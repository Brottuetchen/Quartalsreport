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ersicht" sheetId="1" state="visible" r:id="rId1"/>
    <sheet xmlns:r="http://schemas.openxmlformats.org/officeDocument/2006/relationships" name="Projekt-Budget-Übersicht" sheetId="2" state="visible" r:id="rId2"/>
    <sheet xmlns:r="http://schemas.openxmlformats.org/officeDocument/2006/relationships" name="A. Kokott" sheetId="3" state="visible" r:id="rId3"/>
    <sheet xmlns:r="http://schemas.openxmlformats.org/officeDocument/2006/relationships" name="C. Trapp SV" sheetId="4" state="visible" r:id="rId4"/>
    <sheet xmlns:r="http://schemas.openxmlformats.org/officeDocument/2006/relationships" name="D. Brucker" sheetId="5" state="visible" r:id="rId5"/>
    <sheet xmlns:r="http://schemas.openxmlformats.org/officeDocument/2006/relationships" name="E. Bieler" sheetId="6" state="visible" r:id="rId6"/>
    <sheet xmlns:r="http://schemas.openxmlformats.org/officeDocument/2006/relationships" name="E. Iago Barros de Oliveira" sheetId="7" state="visible" r:id="rId7"/>
    <sheet xmlns:r="http://schemas.openxmlformats.org/officeDocument/2006/relationships" name="H. Bektas" sheetId="8" state="visible" r:id="rId8"/>
    <sheet xmlns:r="http://schemas.openxmlformats.org/officeDocument/2006/relationships" name="J. Dorchies" sheetId="9" state="visible" r:id="rId9"/>
    <sheet xmlns:r="http://schemas.openxmlformats.org/officeDocument/2006/relationships" name="J. Dorn" sheetId="10" state="visible" r:id="rId10"/>
    <sheet xmlns:r="http://schemas.openxmlformats.org/officeDocument/2006/relationships" name="M. Bandlofsky" sheetId="11" state="visible" r:id="rId11"/>
    <sheet xmlns:r="http://schemas.openxmlformats.org/officeDocument/2006/relationships" name="M. Bandlofsky CAD" sheetId="12" state="visible" r:id="rId12"/>
    <sheet xmlns:r="http://schemas.openxmlformats.org/officeDocument/2006/relationships" name="M. Warner" sheetId="13" state="visible" r:id="rId13"/>
    <sheet xmlns:r="http://schemas.openxmlformats.org/officeDocument/2006/relationships" name="O. Haag BS-CAD" sheetId="14" state="visible" r:id="rId14"/>
    <sheet xmlns:r="http://schemas.openxmlformats.org/officeDocument/2006/relationships" name="P. Bergner" sheetId="15" state="visible" r:id="rId15"/>
    <sheet xmlns:r="http://schemas.openxmlformats.org/officeDocument/2006/relationships" name="R. Böttiger" sheetId="16" state="visible" r:id="rId16"/>
    <sheet xmlns:r="http://schemas.openxmlformats.org/officeDocument/2006/relationships" name="R. Wagen CAD" sheetId="17" state="visible" r:id="rId17"/>
    <sheet xmlns:r="http://schemas.openxmlformats.org/officeDocument/2006/relationships" name="S. Roßkopf" sheetId="18" state="visible" r:id="rId18"/>
    <sheet xmlns:r="http://schemas.openxmlformats.org/officeDocument/2006/relationships" name="S. Schüler" sheetId="19" state="visible" r:id="rId19"/>
    <sheet xmlns:r="http://schemas.openxmlformats.org/officeDocument/2006/relationships" name="T. Trautmann" sheetId="20" state="visible" r:id="rId20"/>
    <sheet xmlns:r="http://schemas.openxmlformats.org/officeDocument/2006/relationships" name="U. Sutter ADM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</font>
    <font>
      <b val="1"/>
      <color rgb="00FFFFFF"/>
    </font>
    <font>
      <b val="1"/>
      <color rgb="009C0006"/>
    </font>
    <font>
      <b val="1"/>
      <color rgb="009C5700"/>
    </font>
    <font>
      <b val="1"/>
      <sz val="12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FFF2CC"/>
        <bgColor rgb="00FFF2CC"/>
      </patternFill>
    </fill>
    <fill>
      <patternFill patternType="solid">
        <fgColor rgb="00F8CBAD"/>
        <bgColor rgb="00F8CBAD"/>
      </patternFill>
    </fill>
    <fill>
      <patternFill patternType="solid">
        <fgColor rgb="00C6EFCE"/>
        <bgColor rgb="00C6EFCE"/>
      </patternFill>
    </fill>
    <fill>
      <patternFill patternType="solid">
        <fgColor rgb="00D9EAD3"/>
        <bgColor rgb="00D9EAD3"/>
      </patternFill>
    </fill>
  </fills>
  <borders count="5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/>
      <top/>
      <bottom/>
      <diagonal/>
    </border>
    <border>
      <left style="thin">
        <color rgb="00DDDDDD"/>
      </left>
      <right style="thin">
        <color rgb="00DDDDDD"/>
      </right>
      <top/>
      <bottom/>
      <diagonal/>
    </border>
    <border>
      <left style="thin">
        <color rgb="00DDDDDD"/>
      </left>
      <right style="thin">
        <color rgb="00DDDDDD"/>
      </right>
      <top/>
      <bottom style="thin">
        <color rgb="00DDDDDD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2" fontId="0" fillId="0" borderId="1" pivotButton="0" quotePrefix="0" xfId="0"/>
    <xf numFmtId="2" fontId="3" fillId="0" borderId="1" pivotButton="0" quotePrefix="0" xfId="0"/>
    <xf numFmtId="0" fontId="2" fillId="0" borderId="0" pivotButton="0" quotePrefix="0" xfId="0"/>
    <xf numFmtId="0" fontId="4" fillId="2" borderId="1" pivotButton="0" quotePrefix="0" xfId="0"/>
    <xf numFmtId="0" fontId="5" fillId="3" borderId="1" pivotButton="0" quotePrefix="0" xfId="0"/>
    <xf numFmtId="0" fontId="6" fillId="4" borderId="1" pivotButton="0" quotePrefix="0" xfId="0"/>
    <xf numFmtId="4" fontId="0" fillId="0" borderId="1" pivotButton="0" quotePrefix="0" xfId="0"/>
    <xf numFmtId="0" fontId="3" fillId="0" borderId="0" pivotButton="0" quotePrefix="0" xfId="0"/>
    <xf numFmtId="0" fontId="0" fillId="0" borderId="1" applyAlignment="1" pivotButton="0" quotePrefix="0" xfId="0">
      <alignment vertical="top"/>
    </xf>
    <xf numFmtId="0" fontId="0" fillId="5" borderId="1" pivotButton="0" quotePrefix="0" xfId="0"/>
    <xf numFmtId="0" fontId="0" fillId="0" borderId="4" pivotButton="0" quotePrefix="0" xfId="0"/>
    <xf numFmtId="0" fontId="0" fillId="6" borderId="1" pivotButton="0" quotePrefix="0" xfId="0"/>
    <xf numFmtId="0" fontId="0" fillId="7" borderId="1" pivotButton="0" quotePrefix="0" xfId="0"/>
    <xf numFmtId="0" fontId="3" fillId="8" borderId="1" pivotButton="0" quotePrefix="0" xfId="0"/>
    <xf numFmtId="2" fontId="3" fillId="8" borderId="1" pivotButton="0" quotePrefix="0" xfId="0"/>
    <xf numFmtId="2" fontId="3" fillId="0" borderId="0" pivotButton="0" quotePrefix="0" xfId="0"/>
    <xf numFmtId="0" fontId="0" fillId="0" borderId="3" pivotButton="0" quotePrefix="0" xfId="0"/>
  </cellXfs>
  <cellStyles count="1">
    <cellStyle name="Normal" xfId="0" builtinId="0" hidden="0"/>
  </cellStyles>
  <dxfs count="1"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5" customWidth="1" min="3" max="3"/>
    <col width="35" customWidth="1" min="4" max="4"/>
  </cols>
  <sheetData>
    <row r="1">
      <c r="A1" s="1" t="inlineStr">
        <is>
          <t>Quartalsübersicht 2025Q3 - Zusammenfassung aller Mitarbeiter</t>
        </is>
      </c>
    </row>
    <row r="3">
      <c r="A3" s="2" t="inlineStr">
        <is>
          <t>--- Monatliche Summen ---</t>
        </is>
      </c>
    </row>
    <row r="4">
      <c r="A4" s="3" t="inlineStr">
        <is>
          <t>Monat</t>
        </is>
      </c>
      <c r="B4" s="3" t="inlineStr">
        <is>
          <t>Gesamtstunden</t>
        </is>
      </c>
      <c r="C4" s="3" t="inlineStr">
        <is>
          <t>Bonusberechtigte Stunden</t>
        </is>
      </c>
      <c r="D4" s="3" t="inlineStr">
        <is>
          <t>Bonusberechtigte Stunden Sonderprojekt</t>
        </is>
      </c>
    </row>
    <row r="5">
      <c r="A5" s="4" t="inlineStr">
        <is>
          <t>Juli 2025</t>
        </is>
      </c>
      <c r="B5" s="5">
        <f>SUM('A. Kokott'!F31,'C. Trapp SV'!F24,'D. Brucker'!F16,'E. Bieler'!F42,'E. Iago Barros de Oliveira'!F8,'H. Bektas'!F23,'J. Dorchies'!F15,'J. Dorn'!F37,'M. Bandlofsky'!F18,'M. Bandlofsky CAD'!F9,'O. Haag BS-CAD'!F43,'P. Bergner'!F13,'R. Böttiger'!F23,'R. Wagen CAD'!F23,'S. Schüler'!F45,'T. Trautmann'!F20,'U. Sutter ADM'!F20)</f>
        <v/>
      </c>
      <c r="C5" s="5">
        <f>SUM('A. Kokott'!F32,'C. Trapp SV'!F25,'D. Brucker'!F17,'E. Bieler'!F43,'E. Iago Barros de Oliveira'!F9,'H. Bektas'!F24,'J. Dorchies'!F16,'J. Dorn'!F38,'M. Bandlofsky'!F19,'M. Bandlofsky CAD'!F10,'O. Haag BS-CAD'!F44,'P. Bergner'!F14,'R. Böttiger'!F24,'R. Wagen CAD'!F24,'S. Schüler'!F46,'T. Trautmann'!F21,'U. Sutter ADM'!F21)</f>
        <v/>
      </c>
      <c r="D5" s="5">
        <f>SUM('A. Kokott'!F33,'C. Trapp SV'!F26,'D. Brucker'!F18,'E. Bieler'!F44,'E. Iago Barros de Oliveira'!F10,'H. Bektas'!F25,'J. Dorchies'!F17,'J. Dorn'!F39,'M. Bandlofsky'!F20,'M. Bandlofsky CAD'!F11,'O. Haag BS-CAD'!F45,'P. Bergner'!F15,'R. Böttiger'!F25,'R. Wagen CAD'!F25,'S. Schüler'!F47,'T. Trautmann'!F22,'U. Sutter ADM'!F22)</f>
        <v/>
      </c>
    </row>
    <row r="6">
      <c r="A6" s="4" t="inlineStr">
        <is>
          <t>August 2025</t>
        </is>
      </c>
      <c r="B6" s="5">
        <f>SUM('A. Kokott'!F77,'C. Trapp SV'!F48,'D. Brucker'!F25,'E. Bieler'!F53,'H. Bektas'!F39,'J. Dorchies'!F24,'J. Dorn'!F75,'M. Bandlofsky'!F37,'M. Warner'!F14,'O. Haag BS-CAD'!F84,'P. Bergner'!F34,'R. Böttiger'!F47,'R. Wagen CAD'!F49,'S. Roßkopf'!F10,'S. Schüler'!F85,'T. Trautmann'!F64,'U. Sutter ADM'!F43)</f>
        <v/>
      </c>
      <c r="C6" s="5">
        <f>SUM('A. Kokott'!F78,'C. Trapp SV'!F49,'D. Brucker'!F26,'E. Bieler'!F54,'H. Bektas'!F40,'J. Dorchies'!F25,'J. Dorn'!F76,'M. Bandlofsky'!F38,'M. Warner'!F15,'O. Haag BS-CAD'!F85,'P. Bergner'!F35,'R. Böttiger'!F48,'R. Wagen CAD'!F50,'S. Roßkopf'!F11,'S. Schüler'!F86,'T. Trautmann'!F65,'U. Sutter ADM'!F44)</f>
        <v/>
      </c>
      <c r="D6" s="5">
        <f>SUM('A. Kokott'!F79,'C. Trapp SV'!F50,'D. Brucker'!F27,'E. Bieler'!F55,'H. Bektas'!F41,'J. Dorchies'!F26,'J. Dorn'!F77,'M. Bandlofsky'!F39,'M. Warner'!F16,'O. Haag BS-CAD'!F86,'P. Bergner'!F36,'R. Böttiger'!F49,'R. Wagen CAD'!F51,'S. Roßkopf'!F12,'S. Schüler'!F87,'T. Trautmann'!F66,'U. Sutter ADM'!F45)</f>
        <v/>
      </c>
    </row>
    <row r="7">
      <c r="A7" s="4" t="inlineStr">
        <is>
          <t>September 2025</t>
        </is>
      </c>
      <c r="B7" s="5">
        <f>SUM('A. Kokott'!F123,'C. Trapp SV'!F66,'D. Brucker'!F39,'E. Bieler'!F63,'H. Bektas'!F56,'J. Dorn'!F103,'M. Bandlofsky'!F64,'M. Bandlofsky CAD'!F19,'M. Warner'!F29,'O. Haag BS-CAD'!F127,'P. Bergner'!F55,'R. Böttiger'!F70,'R. Wagen CAD'!F63,'S. Roßkopf'!F22,'S. Schüler'!F118,'T. Trautmann'!F97,'U. Sutter ADM'!F60)</f>
        <v/>
      </c>
      <c r="C7" s="5">
        <f>SUM('A. Kokott'!F124,'C. Trapp SV'!F67,'D. Brucker'!F40,'E. Bieler'!F64,'H. Bektas'!F57,'J. Dorn'!F104,'M. Bandlofsky'!F65,'M. Bandlofsky CAD'!F20,'M. Warner'!F30,'O. Haag BS-CAD'!F128,'P. Bergner'!F56,'R. Böttiger'!F71,'R. Wagen CAD'!F64,'S. Roßkopf'!F23,'S. Schüler'!F119,'T. Trautmann'!F98,'U. Sutter ADM'!F61)</f>
        <v/>
      </c>
      <c r="D7" s="5">
        <f>SUM('A. Kokott'!F125,'C. Trapp SV'!F68,'D. Brucker'!F41,'E. Bieler'!F65,'H. Bektas'!F58,'J. Dorn'!F105,'M. Bandlofsky'!F66,'M. Bandlofsky CAD'!F21,'M. Warner'!F31,'O. Haag BS-CAD'!F129,'P. Bergner'!F57,'R. Böttiger'!F72,'R. Wagen CAD'!F65,'S. Roßkopf'!F24,'S. Schüler'!F120,'T. Trautmann'!F99,'U. Sutter ADM'!F62)</f>
        <v/>
      </c>
    </row>
    <row r="9">
      <c r="A9" s="2" t="inlineStr">
        <is>
          <t>--- Quartalssummen ---</t>
        </is>
      </c>
    </row>
    <row r="10">
      <c r="A10" s="3" t="inlineStr">
        <is>
          <t>Gesamt eingetragene Stunden:</t>
        </is>
      </c>
      <c r="B10" s="6">
        <f>SUM('A. Kokott'!B136,'C. Trapp SV'!B82,'D. Brucker'!B52,'E. Bieler'!B76,'E. Iago Barros de Oliveira'!B19,'H. Bektas'!B69,'J. Dorchies'!B36,'J. Dorn'!B116,'M. Bandlofsky'!B80,'M. Bandlofsky CAD'!B31,'M. Warner'!B41,'O. Haag BS-CAD'!B140,'P. Bergner'!B71,'R. Böttiger'!B83,'R. Wagen CAD'!B76,'S. Roßkopf'!B34,'S. Schüler'!B131,'T. Trautmann'!B110,'U. Sutter ADM'!B73)</f>
        <v/>
      </c>
      <c r="C10" s="3" t="n"/>
      <c r="D10" s="3" t="n"/>
    </row>
    <row r="11">
      <c r="A11" s="3" t="inlineStr">
        <is>
          <t>Bonusberechtigte Stunden (Quartal):</t>
        </is>
      </c>
      <c r="B11" s="6">
        <f>SUM('A. Kokott'!B138,'C. Trapp SV'!B84,'D. Brucker'!B54,'E. Bieler'!B78,'E. Iago Barros de Oliveira'!B21,'H. Bektas'!B71,'J. Dorchies'!B38,'J. Dorn'!B118,'M. Bandlofsky'!B82,'M. Bandlofsky CAD'!B33,'M. Warner'!B43,'O. Haag BS-CAD'!B142,'P. Bergner'!B73,'R. Böttiger'!B85,'R. Wagen CAD'!B78,'S. Roßkopf'!B36,'S. Schüler'!B133,'T. Trautmann'!B112,'U. Sutter ADM'!B75)</f>
        <v/>
      </c>
      <c r="C11" s="3" t="n"/>
      <c r="D11" s="3" t="n"/>
    </row>
    <row r="12">
      <c r="A12" s="3" t="inlineStr">
        <is>
          <t>Bonusberechtigte Stunden Sonderprojekt (Quartal):</t>
        </is>
      </c>
      <c r="B12" s="6">
        <f>SUM('A. Kokott'!B139,'C. Trapp SV'!B85,'D. Brucker'!B55,'E. Bieler'!B79,'E. Iago Barros de Oliveira'!B22,'H. Bektas'!B72,'J. Dorchies'!B39,'J. Dorn'!B119,'M. Bandlofsky'!B83,'M. Bandlofsky CAD'!B34,'M. Warner'!B44,'O. Haag BS-CAD'!B143,'P. Bergner'!B74,'R. Böttiger'!B86,'R. Wagen CAD'!B79,'S. Roßkopf'!B37,'S. Schüler'!B134,'T. Trautmann'!B113,'U. Sutter ADM'!B76)</f>
        <v/>
      </c>
      <c r="C12" s="3" t="n"/>
      <c r="D12" s="3" t="n"/>
    </row>
    <row r="14">
      <c r="A14" s="2" t="inlineStr">
        <is>
          <t>--- Mitarbeiter in diesem Quartal ---</t>
        </is>
      </c>
    </row>
    <row r="15">
      <c r="A15" s="4" t="inlineStr">
        <is>
          <t>A. Kokott</t>
        </is>
      </c>
    </row>
    <row r="16">
      <c r="A16" s="4" t="inlineStr">
        <is>
          <t>C. Trapp SV</t>
        </is>
      </c>
    </row>
    <row r="17">
      <c r="A17" s="4" t="inlineStr">
        <is>
          <t>D. Brucker</t>
        </is>
      </c>
    </row>
    <row r="18">
      <c r="A18" s="4" t="inlineStr">
        <is>
          <t>E. Bieler</t>
        </is>
      </c>
    </row>
    <row r="19">
      <c r="A19" s="4" t="inlineStr">
        <is>
          <t>E. Iago Barros de Oliveira</t>
        </is>
      </c>
    </row>
    <row r="20">
      <c r="A20" s="4" t="inlineStr">
        <is>
          <t>H. Bektas</t>
        </is>
      </c>
    </row>
    <row r="21">
      <c r="A21" s="4" t="inlineStr">
        <is>
          <t>J. Dorchies</t>
        </is>
      </c>
    </row>
    <row r="22">
      <c r="A22" s="4" t="inlineStr">
        <is>
          <t>J. Dorn</t>
        </is>
      </c>
    </row>
    <row r="23">
      <c r="A23" s="4" t="inlineStr">
        <is>
          <t>M. Bandlofsky</t>
        </is>
      </c>
    </row>
    <row r="24">
      <c r="A24" s="4" t="inlineStr">
        <is>
          <t>M. Bandlofsky CAD</t>
        </is>
      </c>
    </row>
    <row r="25">
      <c r="A25" s="4" t="inlineStr">
        <is>
          <t>M. Warner</t>
        </is>
      </c>
    </row>
    <row r="26">
      <c r="A26" s="4" t="inlineStr">
        <is>
          <t>O. Haag BS-CAD</t>
        </is>
      </c>
    </row>
    <row r="27">
      <c r="A27" s="4" t="inlineStr">
        <is>
          <t>P. Bergner</t>
        </is>
      </c>
    </row>
    <row r="28">
      <c r="A28" s="4" t="inlineStr">
        <is>
          <t>R. Böttiger</t>
        </is>
      </c>
    </row>
    <row r="29">
      <c r="A29" s="4" t="inlineStr">
        <is>
          <t>R. Wagen CAD</t>
        </is>
      </c>
    </row>
    <row r="30">
      <c r="A30" s="4" t="inlineStr">
        <is>
          <t>S. Roßkopf</t>
        </is>
      </c>
    </row>
    <row r="31">
      <c r="A31" s="4" t="inlineStr">
        <is>
          <t>S. Schüler</t>
        </is>
      </c>
    </row>
    <row r="32">
      <c r="A32" s="4" t="inlineStr">
        <is>
          <t>T. Trautmann</t>
        </is>
      </c>
    </row>
    <row r="33">
      <c r="A33" s="4" t="inlineStr">
        <is>
          <t>U. Sutter ADM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340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8" customWidth="1" min="3" max="3"/>
    <col width="20" customWidth="1" min="4" max="4"/>
    <col width="18" customWidth="1" min="5" max="5"/>
    <col width="18" customWidth="1" min="6" max="6"/>
    <col width="18" customWidth="1" min="7" max="7"/>
    <col width="22" customWidth="1" min="8" max="8"/>
    <col width="22" customWidth="1" min="9" max="9"/>
    <col width="22" customWidth="1" min="10" max="10"/>
    <col width="40" customWidth="1" min="11" max="11"/>
  </cols>
  <sheetData>
    <row r="1">
      <c r="A1" s="1" t="inlineStr">
        <is>
          <t>Projekt-Budget-Übersicht</t>
        </is>
      </c>
    </row>
    <row r="3">
      <c r="A3" s="7" t="inlineStr">
        <is>
          <t>Hinweis: Rote Zellen = Manuelle Eingabe erforderlich | Gelbe Zellen = Optional manuell anpassen</t>
        </is>
      </c>
    </row>
    <row r="5">
      <c r="A5" s="8" t="inlineStr">
        <is>
          <t>Projekt</t>
        </is>
      </c>
      <c r="B5" s="8" t="inlineStr">
        <is>
          <t>Obermeilenstein</t>
        </is>
      </c>
      <c r="C5" s="8" t="inlineStr">
        <is>
          <t>Abrechnungsart</t>
        </is>
      </c>
      <c r="D5" s="8" t="inlineStr">
        <is>
          <t>Status</t>
        </is>
      </c>
      <c r="E5" s="8" t="inlineStr">
        <is>
          <t>Gesamtbudget (€)</t>
        </is>
      </c>
      <c r="F5" s="8" t="inlineStr">
        <is>
          <t>Abgerechnet (€)</t>
        </is>
      </c>
      <c r="G5" s="8" t="inlineStr">
        <is>
          <t>Verfügbar (€)</t>
        </is>
      </c>
      <c r="H5" s="8" t="inlineStr">
        <is>
          <t>Stundensatz SV (€/h)</t>
        </is>
      </c>
      <c r="I5" s="8" t="inlineStr">
        <is>
          <t>Stundensatz CAD (€/h)</t>
        </is>
      </c>
      <c r="J5" s="8" t="inlineStr">
        <is>
          <t>Stundensatz ADM (€/h)</t>
        </is>
      </c>
      <c r="K5" s="8" t="inlineStr">
        <is>
          <t>Bemerkung</t>
        </is>
      </c>
    </row>
    <row r="6">
      <c r="A6" s="4" t="inlineStr">
        <is>
          <t>0.1000 PM Allgemeinprojekt</t>
        </is>
      </c>
      <c r="B6" s="4" t="inlineStr">
        <is>
          <t>● PM Projektvorbereitung/Dokumentation</t>
        </is>
      </c>
      <c r="C6" s="9" t="inlineStr">
        <is>
          <t>Unbekannt</t>
        </is>
      </c>
      <c r="D6" s="10" t="inlineStr">
        <is>
          <t>⚠ Manual erforderlich</t>
        </is>
      </c>
      <c r="E6" s="11" t="inlineStr"/>
      <c r="F6" s="11" t="n">
        <v>0</v>
      </c>
      <c r="G6" s="11">
        <f>E6-F6</f>
        <v/>
      </c>
      <c r="H6" s="11" t="n">
        <v/>
      </c>
      <c r="I6" s="11" t="n">
        <v/>
      </c>
      <c r="J6" s="11" t="n">
        <v/>
      </c>
      <c r="K6" s="4" t="inlineStr">
        <is>
          <t>Abrechnungsart wählen; Stundensätze eingeben</t>
        </is>
      </c>
    </row>
    <row r="7">
      <c r="A7" s="4" t="inlineStr">
        <is>
          <t>0.1000 PM Allgemeinprojekt</t>
        </is>
      </c>
      <c r="B7" s="4" t="inlineStr">
        <is>
          <t>● PM Einarbeitung neuer Mitarbeiter</t>
        </is>
      </c>
      <c r="C7" s="9" t="inlineStr">
        <is>
          <t>Unbekannt</t>
        </is>
      </c>
      <c r="D7" s="10" t="inlineStr">
        <is>
          <t>⚠ Manual erforderlich</t>
        </is>
      </c>
      <c r="E7" s="11" t="inlineStr"/>
      <c r="F7" s="11" t="n">
        <v>0</v>
      </c>
      <c r="G7" s="11">
        <f>E7-F7</f>
        <v/>
      </c>
      <c r="H7" s="11" t="n">
        <v/>
      </c>
      <c r="I7" s="11" t="n">
        <v/>
      </c>
      <c r="J7" s="11" t="n">
        <v/>
      </c>
      <c r="K7" s="4" t="inlineStr">
        <is>
          <t>Abrechnungsart wählen; Stundensätze eingeben</t>
        </is>
      </c>
    </row>
    <row r="8">
      <c r="A8" s="4" t="inlineStr">
        <is>
          <t>0.1000 PM Allgemeinprojekt</t>
        </is>
      </c>
      <c r="B8" s="4" t="inlineStr">
        <is>
          <t>● PM Teilnahme Meetings</t>
        </is>
      </c>
      <c r="C8" s="9" t="inlineStr">
        <is>
          <t>Unbekannt</t>
        </is>
      </c>
      <c r="D8" s="10" t="inlineStr">
        <is>
          <t>⚠ Manual erforderlich</t>
        </is>
      </c>
      <c r="E8" s="11" t="inlineStr"/>
      <c r="F8" s="11" t="n">
        <v>0</v>
      </c>
      <c r="G8" s="11">
        <f>E8-F8</f>
        <v/>
      </c>
      <c r="H8" s="11" t="n">
        <v/>
      </c>
      <c r="I8" s="11" t="n">
        <v/>
      </c>
      <c r="J8" s="11" t="n">
        <v/>
      </c>
      <c r="K8" s="4" t="inlineStr">
        <is>
          <t>Abrechnungsart wählen; Stundensätze eingeben</t>
        </is>
      </c>
    </row>
    <row r="9">
      <c r="A9" s="4" t="inlineStr">
        <is>
          <t>0.1000 PM Allgemeinprojekt</t>
        </is>
      </c>
      <c r="B9" s="4" t="inlineStr">
        <is>
          <t>● PM Onboarding</t>
        </is>
      </c>
      <c r="C9" s="9" t="inlineStr">
        <is>
          <t>Unbekannt</t>
        </is>
      </c>
      <c r="D9" s="10" t="inlineStr">
        <is>
          <t>⚠ Manual erforderlich</t>
        </is>
      </c>
      <c r="E9" s="11" t="inlineStr"/>
      <c r="F9" s="11" t="n">
        <v>0</v>
      </c>
      <c r="G9" s="11">
        <f>E9-F9</f>
        <v/>
      </c>
      <c r="H9" s="11" t="n">
        <v/>
      </c>
      <c r="I9" s="11" t="n">
        <v/>
      </c>
      <c r="J9" s="11" t="n">
        <v/>
      </c>
      <c r="K9" s="4" t="inlineStr">
        <is>
          <t>Abrechnungsart wählen; Stundensätze eingeben</t>
        </is>
      </c>
    </row>
    <row r="10">
      <c r="A10" s="4" t="inlineStr">
        <is>
          <t>0.1000 PM Allgemeinprojekt</t>
        </is>
      </c>
      <c r="B10" s="4" t="inlineStr">
        <is>
          <t>● PM Vertragswesen</t>
        </is>
      </c>
      <c r="C10" s="9" t="inlineStr">
        <is>
          <t>Unbekannt</t>
        </is>
      </c>
      <c r="D10" s="10" t="inlineStr">
        <is>
          <t>⚠ Manual erforderlich</t>
        </is>
      </c>
      <c r="E10" s="11" t="inlineStr"/>
      <c r="F10" s="11" t="n">
        <v>0</v>
      </c>
      <c r="G10" s="11">
        <f>E10-F10</f>
        <v/>
      </c>
      <c r="H10" s="11" t="n">
        <v/>
      </c>
      <c r="I10" s="11" t="n">
        <v/>
      </c>
      <c r="J10" s="11" t="n">
        <v/>
      </c>
      <c r="K10" s="4" t="inlineStr">
        <is>
          <t>Abrechnungsart wählen; Stundensätze eingeben</t>
        </is>
      </c>
    </row>
    <row r="11">
      <c r="A11" s="4" t="inlineStr">
        <is>
          <t>0.1000 PM Allgemeinprojekt</t>
        </is>
      </c>
      <c r="B11" s="4" t="inlineStr">
        <is>
          <t>● PM Portalanlage und Pflege</t>
        </is>
      </c>
      <c r="C11" s="9" t="inlineStr">
        <is>
          <t>Unbekannt</t>
        </is>
      </c>
      <c r="D11" s="10" t="inlineStr">
        <is>
          <t>⚠ Manual erforderlich</t>
        </is>
      </c>
      <c r="E11" s="11" t="inlineStr"/>
      <c r="F11" s="11" t="n">
        <v>0</v>
      </c>
      <c r="G11" s="11">
        <f>E11-F11</f>
        <v/>
      </c>
      <c r="H11" s="11" t="n">
        <v/>
      </c>
      <c r="I11" s="11" t="n">
        <v/>
      </c>
      <c r="J11" s="11" t="n">
        <v/>
      </c>
      <c r="K11" s="4" t="inlineStr">
        <is>
          <t>Abrechnungsart wählen; Stundensätze eingeben</t>
        </is>
      </c>
    </row>
    <row r="12">
      <c r="A12" s="4" t="inlineStr">
        <is>
          <t>0.1000 PM Allgemeinprojekt</t>
        </is>
      </c>
      <c r="B12" s="4" t="inlineStr">
        <is>
          <t>● SAP Schulungen</t>
        </is>
      </c>
      <c r="C12" s="9" t="inlineStr">
        <is>
          <t>Unbekannt</t>
        </is>
      </c>
      <c r="D12" s="10" t="inlineStr">
        <is>
          <t>⚠ Manual erforderlich</t>
        </is>
      </c>
      <c r="E12" s="11" t="inlineStr"/>
      <c r="F12" s="11" t="n">
        <v>0</v>
      </c>
      <c r="G12" s="11">
        <f>E12-F12</f>
        <v/>
      </c>
      <c r="H12" s="11" t="n">
        <v/>
      </c>
      <c r="I12" s="11" t="n">
        <v/>
      </c>
      <c r="J12" s="11" t="n">
        <v/>
      </c>
      <c r="K12" s="4" t="inlineStr">
        <is>
          <t>Abrechnungsart wählen; Stundensätze eingeben</t>
        </is>
      </c>
    </row>
    <row r="13">
      <c r="A13" s="4" t="inlineStr">
        <is>
          <t>0.1000 PM Allgemeinprojekt</t>
        </is>
      </c>
      <c r="B13" s="4" t="inlineStr">
        <is>
          <t>● SAP Projekt</t>
        </is>
      </c>
      <c r="C13" s="9" t="inlineStr">
        <is>
          <t>Unbekannt</t>
        </is>
      </c>
      <c r="D13" s="10" t="inlineStr">
        <is>
          <t>⚠ Manual erforderlich</t>
        </is>
      </c>
      <c r="E13" s="11" t="inlineStr"/>
      <c r="F13" s="11" t="n">
        <v>0</v>
      </c>
      <c r="G13" s="11">
        <f>E13-F13</f>
        <v/>
      </c>
      <c r="H13" s="11" t="n">
        <v/>
      </c>
      <c r="I13" s="11" t="n">
        <v/>
      </c>
      <c r="J13" s="11" t="n">
        <v/>
      </c>
      <c r="K13" s="4" t="inlineStr">
        <is>
          <t>Abrechnungsart wählen; Stundensätze eingeben</t>
        </is>
      </c>
    </row>
    <row r="14">
      <c r="A14" s="4" t="inlineStr">
        <is>
          <t>0.1000 PM Allgemeinprojekt</t>
        </is>
      </c>
      <c r="B14" s="4" t="inlineStr">
        <is>
          <t>● uStrich Umstellung uStrich/X4</t>
        </is>
      </c>
      <c r="C14" s="9" t="inlineStr">
        <is>
          <t>Unbekannt</t>
        </is>
      </c>
      <c r="D14" s="10" t="inlineStr">
        <is>
          <t>⚠ Manual erforderlich</t>
        </is>
      </c>
      <c r="E14" s="11" t="inlineStr"/>
      <c r="F14" s="11" t="n">
        <v>0</v>
      </c>
      <c r="G14" s="11">
        <f>E14-F14</f>
        <v/>
      </c>
      <c r="H14" s="11" t="n">
        <v/>
      </c>
      <c r="I14" s="11" t="n">
        <v/>
      </c>
      <c r="J14" s="11" t="n">
        <v/>
      </c>
      <c r="K14" s="4" t="inlineStr">
        <is>
          <t>Abrechnungsart wählen; Stundensätze eingeben</t>
        </is>
      </c>
    </row>
    <row r="15">
      <c r="A15" s="4" t="inlineStr">
        <is>
          <t>0000 Sonderprojekt für Bonus</t>
        </is>
      </c>
      <c r="B15" s="4" t="inlineStr">
        <is>
          <t>● Erfassung für</t>
        </is>
      </c>
      <c r="C15" s="9" t="inlineStr">
        <is>
          <t>Unbekannt</t>
        </is>
      </c>
      <c r="D15" s="10" t="inlineStr">
        <is>
          <t>⚠ Manual erforderlich</t>
        </is>
      </c>
      <c r="E15" s="11" t="inlineStr"/>
      <c r="F15" s="11" t="n">
        <v>0</v>
      </c>
      <c r="G15" s="11">
        <f>E15-F15</f>
        <v/>
      </c>
      <c r="H15" s="11" t="n">
        <v/>
      </c>
      <c r="I15" s="11" t="n">
        <v/>
      </c>
      <c r="J15" s="11" t="n">
        <v/>
      </c>
      <c r="K15" s="4" t="inlineStr">
        <is>
          <t>Abrechnungsart wählen; Stundensätze eingeben</t>
        </is>
      </c>
    </row>
    <row r="16">
      <c r="A16" s="4" t="inlineStr">
        <is>
          <t>0283.05 D+R-BAB-Lokalbhf-Dreieichstr59-FFM</t>
        </is>
      </c>
      <c r="B16" s="4" t="inlineStr">
        <is>
          <t>● (p) Pos. 1 Feuerwehrpläne</t>
        </is>
      </c>
      <c r="C16" s="4" t="inlineStr">
        <is>
          <t>Pauschale</t>
        </is>
      </c>
      <c r="D16" s="10" t="inlineStr">
        <is>
          <t>⚠ Manual erforderlich</t>
        </is>
      </c>
      <c r="E16" s="11" t="inlineStr"/>
      <c r="F16" s="11" t="n">
        <v>0</v>
      </c>
      <c r="G16" s="11">
        <f>E16-F16</f>
        <v/>
      </c>
      <c r="H16" s="11" t="n">
        <v>0</v>
      </c>
      <c r="I16" s="11" t="n">
        <v>0</v>
      </c>
      <c r="J16" s="11" t="n">
        <v>0</v>
      </c>
      <c r="K16" s="4" t="inlineStr">
        <is>
          <t>Stundensätze eingeben</t>
        </is>
      </c>
    </row>
    <row r="17">
      <c r="A17" s="4" t="inlineStr">
        <is>
          <t>0283.05 D+R-BAB-Lokalbhf-Dreieichstr59-FFM</t>
        </is>
      </c>
      <c r="B17" s="4" t="inlineStr">
        <is>
          <t>● (aN) BAB</t>
        </is>
      </c>
      <c r="C17" s="4" t="inlineStr">
        <is>
          <t>Nachweis</t>
        </is>
      </c>
      <c r="D17" s="10" t="inlineStr">
        <is>
          <t>⚠ Manual erforderlich</t>
        </is>
      </c>
      <c r="E17" s="11" t="inlineStr"/>
      <c r="F17" s="11" t="n">
        <v>0</v>
      </c>
      <c r="G17" s="11">
        <f>E17-F17</f>
        <v/>
      </c>
      <c r="H17" s="11" t="n">
        <v/>
      </c>
      <c r="I17" s="11" t="n">
        <v/>
      </c>
      <c r="J17" s="11" t="n">
        <v/>
      </c>
      <c r="K17" s="4" t="inlineStr">
        <is>
          <t>Stundensätze eingeben</t>
        </is>
      </c>
    </row>
    <row r="18">
      <c r="A18" s="4" t="inlineStr">
        <is>
          <t>0299.02 BSK-Franziska Schervier-Lange-Straße-10-16-Ffm-Altenpflegeheim</t>
        </is>
      </c>
      <c r="B18" s="4" t="inlineStr">
        <is>
          <t>● (p) Pos.1 Fortschr. bestehendes BSK</t>
        </is>
      </c>
      <c r="C18" s="4" t="inlineStr">
        <is>
          <t>Pauschale</t>
        </is>
      </c>
      <c r="D18" s="10" t="inlineStr">
        <is>
          <t>⚠ Manual erforderlich</t>
        </is>
      </c>
      <c r="E18" s="11" t="inlineStr"/>
      <c r="F18" s="11" t="n">
        <v>0</v>
      </c>
      <c r="G18" s="11">
        <f>E18-F18</f>
        <v/>
      </c>
      <c r="H18" s="11" t="n">
        <v>0</v>
      </c>
      <c r="I18" s="11" t="n">
        <v>0</v>
      </c>
      <c r="J18" s="11" t="n">
        <v>0</v>
      </c>
      <c r="K18" s="4" t="inlineStr">
        <is>
          <t>Stundensätze eingeben</t>
        </is>
      </c>
    </row>
    <row r="19">
      <c r="A19" s="4" t="inlineStr">
        <is>
          <t>0299.02 BSK-Franziska Schervier-Lange-Straße-10-16-Ffm-Altenpflegeheim</t>
        </is>
      </c>
      <c r="B19" s="4" t="inlineStr">
        <is>
          <t>● (a.N.) Pos.2 BAB + Qualitätsüberwachung</t>
        </is>
      </c>
      <c r="C19" s="4" t="inlineStr">
        <is>
          <t>Nachweis</t>
        </is>
      </c>
      <c r="D19" s="10" t="inlineStr">
        <is>
          <t>⚠ Manual erforderlich</t>
        </is>
      </c>
      <c r="E19" s="11" t="inlineStr"/>
      <c r="F19" s="11" t="n">
        <v>0</v>
      </c>
      <c r="G19" s="11">
        <f>E19-F19</f>
        <v/>
      </c>
      <c r="H19" s="11" t="n">
        <v/>
      </c>
      <c r="I19" s="11" t="n">
        <v/>
      </c>
      <c r="J19" s="11" t="n">
        <v/>
      </c>
      <c r="K19" s="4" t="inlineStr">
        <is>
          <t>Stundensätze eingeben</t>
        </is>
      </c>
    </row>
    <row r="20">
      <c r="A20" s="4" t="inlineStr">
        <is>
          <t>0569.03 RUR-BSK-Gutleutstr85-Frankfurt-Hotel-Roomers</t>
        </is>
      </c>
      <c r="B20" s="4" t="inlineStr">
        <is>
          <t>● • (p) Pos. 1 Erstellung BSK</t>
        </is>
      </c>
      <c r="C20" s="4" t="inlineStr">
        <is>
          <t>Pauschale</t>
        </is>
      </c>
      <c r="D20" s="10" t="inlineStr">
        <is>
          <t>⚠ Manual erforderlich</t>
        </is>
      </c>
      <c r="E20" s="11" t="inlineStr"/>
      <c r="F20" s="11" t="n">
        <v>0</v>
      </c>
      <c r="G20" s="11">
        <f>E20-F20</f>
        <v/>
      </c>
      <c r="H20" s="11" t="n">
        <v>0</v>
      </c>
      <c r="I20" s="11" t="n">
        <v>0</v>
      </c>
      <c r="J20" s="11" t="n">
        <v>0</v>
      </c>
      <c r="K20" s="4" t="inlineStr">
        <is>
          <t>Stundensätze eingeben</t>
        </is>
      </c>
    </row>
    <row r="21">
      <c r="A21" s="4" t="inlineStr">
        <is>
          <t>0569.03 RUR-BSK-Gutleutstr85-Frankfurt-Hotel-Roomers</t>
        </is>
      </c>
      <c r="B21" s="4" t="inlineStr">
        <is>
          <t>● • (p) Pos. 2 Auftragsbearbeitung (ADM)</t>
        </is>
      </c>
      <c r="C21" s="4" t="inlineStr">
        <is>
          <t>Pauschale</t>
        </is>
      </c>
      <c r="D21" s="10" t="inlineStr">
        <is>
          <t>⚠ Manual erforderlich</t>
        </is>
      </c>
      <c r="E21" s="11" t="inlineStr"/>
      <c r="F21" s="11" t="n">
        <v>0</v>
      </c>
      <c r="G21" s="11">
        <f>E21-F21</f>
        <v/>
      </c>
      <c r="H21" s="11" t="n">
        <v>0</v>
      </c>
      <c r="I21" s="11" t="n">
        <v>0</v>
      </c>
      <c r="J21" s="11" t="n">
        <v>0</v>
      </c>
      <c r="K21" s="4" t="inlineStr">
        <is>
          <t>Stundensätze eingeben</t>
        </is>
      </c>
    </row>
    <row r="22">
      <c r="A22" s="4" t="inlineStr">
        <is>
          <t>0683.07 BSK-Hanauer-Landstraße-147-149-Ffm</t>
        </is>
      </c>
      <c r="B22" s="4" t="inlineStr">
        <is>
          <t>● (a.N.) BTB zur Nutzungsänderung 2. OG</t>
        </is>
      </c>
      <c r="C22" s="4" t="inlineStr">
        <is>
          <t>Nachweis</t>
        </is>
      </c>
      <c r="D22" s="10" t="inlineStr">
        <is>
          <t>⚠ Manual erforderlich</t>
        </is>
      </c>
      <c r="E22" s="11" t="inlineStr"/>
      <c r="F22" s="11" t="n">
        <v>0</v>
      </c>
      <c r="G22" s="11">
        <f>E22-F22</f>
        <v/>
      </c>
      <c r="H22" s="11" t="n">
        <v/>
      </c>
      <c r="I22" s="11" t="n">
        <v/>
      </c>
      <c r="J22" s="11" t="n">
        <v/>
      </c>
      <c r="K22" s="4" t="inlineStr">
        <is>
          <t>Stundensätze eingeben</t>
        </is>
      </c>
    </row>
    <row r="23">
      <c r="A23" s="4" t="inlineStr">
        <is>
          <t>0683.07 BSK-Hanauer-Landstraße-147-149-Ffm</t>
        </is>
      </c>
      <c r="B23" s="4" t="inlineStr">
        <is>
          <t>● (p) Fortschr. BSK Teilumnutzung Souterrain als Kantine</t>
        </is>
      </c>
      <c r="C23" s="4" t="inlineStr">
        <is>
          <t>Pauschale</t>
        </is>
      </c>
      <c r="D23" s="10" t="inlineStr">
        <is>
          <t>⚠ Manual erforderlich</t>
        </is>
      </c>
      <c r="E23" s="11" t="inlineStr"/>
      <c r="F23" s="11" t="n">
        <v>0</v>
      </c>
      <c r="G23" s="11">
        <f>E23-F23</f>
        <v/>
      </c>
      <c r="H23" s="11" t="n">
        <v>0</v>
      </c>
      <c r="I23" s="11" t="n">
        <v>0</v>
      </c>
      <c r="J23" s="11" t="n">
        <v>0</v>
      </c>
      <c r="K23" s="4" t="inlineStr">
        <is>
          <t>Stundensätze eingeben</t>
        </is>
      </c>
    </row>
    <row r="24">
      <c r="A24" s="4" t="inlineStr">
        <is>
          <t>0683.07 BSK-Hanauer-Landstraße-147-149-Ffm</t>
        </is>
      </c>
      <c r="B24" s="4" t="inlineStr">
        <is>
          <t>● (a.N.) Abstimmung Genehmigungsbehörden</t>
        </is>
      </c>
      <c r="C24" s="4" t="inlineStr">
        <is>
          <t>Nachweis</t>
        </is>
      </c>
      <c r="D24" s="10" t="inlineStr">
        <is>
          <t>⚠ Manual erforderlich</t>
        </is>
      </c>
      <c r="E24" s="11" t="inlineStr"/>
      <c r="F24" s="11" t="n">
        <v>0</v>
      </c>
      <c r="G24" s="11">
        <f>E24-F24</f>
        <v/>
      </c>
      <c r="H24" s="11" t="n">
        <v/>
      </c>
      <c r="I24" s="11" t="n">
        <v/>
      </c>
      <c r="J24" s="11" t="n">
        <v/>
      </c>
      <c r="K24" s="4" t="inlineStr">
        <is>
          <t>Stundensätze eingeben</t>
        </is>
      </c>
    </row>
    <row r="25">
      <c r="A25" s="4" t="inlineStr">
        <is>
          <t>0683.07 BSK-Hanauer-Landstraße-147-149-Ffm</t>
        </is>
      </c>
      <c r="B25" s="4" t="inlineStr">
        <is>
          <t>● (a.N.) BAB</t>
        </is>
      </c>
      <c r="C25" s="4" t="inlineStr">
        <is>
          <t>Nachweis</t>
        </is>
      </c>
      <c r="D25" s="10" t="inlineStr">
        <is>
          <t>⚠ Manual erforderlich</t>
        </is>
      </c>
      <c r="E25" s="11" t="inlineStr"/>
      <c r="F25" s="11" t="n">
        <v>0</v>
      </c>
      <c r="G25" s="11">
        <f>E25-F25</f>
        <v/>
      </c>
      <c r="H25" s="11" t="n">
        <v/>
      </c>
      <c r="I25" s="11" t="n">
        <v/>
      </c>
      <c r="J25" s="11" t="n">
        <v/>
      </c>
      <c r="K25" s="4" t="inlineStr">
        <is>
          <t>Stundensätze eingeben</t>
        </is>
      </c>
    </row>
    <row r="26">
      <c r="A26" s="4" t="inlineStr">
        <is>
          <t>0710.01 Zeilpavillon-Zeil-104-Frankfurt-Weidenhof</t>
        </is>
      </c>
      <c r="B26" s="4" t="inlineStr">
        <is>
          <t>● 2000-Vorplanung</t>
        </is>
      </c>
      <c r="C26" s="9" t="inlineStr">
        <is>
          <t>Unbekannt</t>
        </is>
      </c>
      <c r="D26" s="10" t="inlineStr">
        <is>
          <t>⚠ Manual erforderlich</t>
        </is>
      </c>
      <c r="E26" s="11" t="inlineStr"/>
      <c r="F26" s="11" t="n">
        <v>0</v>
      </c>
      <c r="G26" s="11">
        <f>E26-F26</f>
        <v/>
      </c>
      <c r="H26" s="11" t="n">
        <v/>
      </c>
      <c r="I26" s="11" t="n">
        <v/>
      </c>
      <c r="J26" s="11" t="n">
        <v/>
      </c>
      <c r="K26" s="4" t="inlineStr">
        <is>
          <t>Abrechnungsart wählen; Stundensätze eingeben</t>
        </is>
      </c>
    </row>
    <row r="27">
      <c r="A27" s="4" t="inlineStr">
        <is>
          <t>0757.17 Patrizia GrundInvest Objekt Hofheim GmbH &amp; Co. KG</t>
        </is>
      </c>
      <c r="B27" s="4" t="inlineStr">
        <is>
          <t>● (aN) Pos.1 KOF Umnutzung Fitnessstudio</t>
        </is>
      </c>
      <c r="C27" s="4" t="inlineStr">
        <is>
          <t>Nachweis</t>
        </is>
      </c>
      <c r="D27" s="10" t="inlineStr">
        <is>
          <t>⚠ Manual erforderlich</t>
        </is>
      </c>
      <c r="E27" s="11" t="inlineStr"/>
      <c r="F27" s="11" t="n">
        <v>0</v>
      </c>
      <c r="G27" s="11">
        <f>E27-F27</f>
        <v/>
      </c>
      <c r="H27" s="11" t="n">
        <v/>
      </c>
      <c r="I27" s="11" t="n">
        <v/>
      </c>
      <c r="J27" s="11" t="n">
        <v/>
      </c>
      <c r="K27" s="4" t="inlineStr">
        <is>
          <t>Stundensätze eingeben</t>
        </is>
      </c>
    </row>
    <row r="28">
      <c r="A28" s="4" t="inlineStr">
        <is>
          <t>0757.19 GermanReal-BST-Chinon-Platz-Hofheim-Chinon-Center-Eiswagen</t>
        </is>
      </c>
      <c r="B28" s="4" t="inlineStr">
        <is>
          <t>● (aN) Pos.1 BST bezüglich des Eiswagens am Chinon Center</t>
        </is>
      </c>
      <c r="C28" s="4" t="inlineStr">
        <is>
          <t>Nachweis</t>
        </is>
      </c>
      <c r="D28" s="10" t="inlineStr">
        <is>
          <t>⚠ Manual erforderlich</t>
        </is>
      </c>
      <c r="E28" s="11" t="inlineStr"/>
      <c r="F28" s="11" t="n">
        <v>0</v>
      </c>
      <c r="G28" s="11">
        <f>E28-F28</f>
        <v/>
      </c>
      <c r="H28" s="11" t="n">
        <v/>
      </c>
      <c r="I28" s="11" t="n">
        <v/>
      </c>
      <c r="J28" s="11" t="n">
        <v/>
      </c>
      <c r="K28" s="4" t="inlineStr">
        <is>
          <t>Stundensätze eingeben</t>
        </is>
      </c>
    </row>
    <row r="29">
      <c r="A29" s="4" t="inlineStr">
        <is>
          <t>0815.07 Beratung-MPI-Hirnforschung-Ffm</t>
        </is>
      </c>
      <c r="B29" s="4" t="inlineStr">
        <is>
          <t>● 3000-Entwurfsplanung</t>
        </is>
      </c>
      <c r="C29" s="9" t="inlineStr">
        <is>
          <t>Unbekannt</t>
        </is>
      </c>
      <c r="D29" s="10" t="inlineStr">
        <is>
          <t>⚠ Manual erforderlich</t>
        </is>
      </c>
      <c r="E29" s="11" t="inlineStr"/>
      <c r="F29" s="11" t="n">
        <v>0</v>
      </c>
      <c r="G29" s="11">
        <f>E29-F29</f>
        <v/>
      </c>
      <c r="H29" s="11" t="n">
        <v/>
      </c>
      <c r="I29" s="11" t="n">
        <v/>
      </c>
      <c r="J29" s="11" t="n">
        <v/>
      </c>
      <c r="K29" s="4" t="inlineStr">
        <is>
          <t>Abrechnungsart wählen; Stundensätze eingeben</t>
        </is>
      </c>
    </row>
    <row r="30">
      <c r="A30" s="4" t="inlineStr">
        <is>
          <t>0815.09 MPI-BTB-Z-HIRN-Umbau-Max-von-Laue-Str4-FFM</t>
        </is>
      </c>
      <c r="B30" s="4" t="inlineStr">
        <is>
          <t>● (aN) Pos. 1 Brandschutztechnische Beratung in der Planungsphase</t>
        </is>
      </c>
      <c r="C30" s="4" t="inlineStr">
        <is>
          <t>Nachweis</t>
        </is>
      </c>
      <c r="D30" s="10" t="inlineStr">
        <is>
          <t>⚠ Manual erforderlich</t>
        </is>
      </c>
      <c r="E30" s="11" t="inlineStr"/>
      <c r="F30" s="11" t="n">
        <v>0</v>
      </c>
      <c r="G30" s="11">
        <f>E30-F30</f>
        <v/>
      </c>
      <c r="H30" s="11" t="n">
        <v/>
      </c>
      <c r="I30" s="11" t="n">
        <v/>
      </c>
      <c r="J30" s="11" t="n">
        <v/>
      </c>
      <c r="K30" s="4" t="inlineStr">
        <is>
          <t>Stundensätze eingeben</t>
        </is>
      </c>
    </row>
    <row r="31">
      <c r="A31" s="4" t="inlineStr">
        <is>
          <t>0815.10 MPI-Fortschr-BSK-Z-HIRN-Umbau-Tierhaus-Max-von-Laue-Str4-FFM</t>
        </is>
      </c>
      <c r="B31" s="4" t="inlineStr">
        <is>
          <t>● (p) Pos. 1 Fortschr</t>
        </is>
      </c>
      <c r="C31" s="4" t="inlineStr">
        <is>
          <t>Pauschale</t>
        </is>
      </c>
      <c r="D31" s="10" t="inlineStr">
        <is>
          <t>⚠ Manual erforderlich</t>
        </is>
      </c>
      <c r="E31" s="11" t="inlineStr"/>
      <c r="F31" s="11" t="n">
        <v>0</v>
      </c>
      <c r="G31" s="11">
        <f>E31-F31</f>
        <v/>
      </c>
      <c r="H31" s="11" t="n">
        <v>0</v>
      </c>
      <c r="I31" s="11" t="n">
        <v>0</v>
      </c>
      <c r="J31" s="11" t="n">
        <v>0</v>
      </c>
      <c r="K31" s="4" t="inlineStr">
        <is>
          <t>Stundensätze eingeben</t>
        </is>
      </c>
    </row>
    <row r="32">
      <c r="A32" s="4" t="inlineStr">
        <is>
          <t>1015.02 VuBBaWü-BTB-Kurfürstenanlage15-HD-Justizzentrum</t>
        </is>
      </c>
      <c r="B32" s="4" t="inlineStr">
        <is>
          <t>● (aN) 3.1.1.1 Überprüfung des Brandschutzkonzepts und brandschutztechnische Beratung</t>
        </is>
      </c>
      <c r="C32" s="4" t="inlineStr">
        <is>
          <t>Nachweis</t>
        </is>
      </c>
      <c r="D32" s="10" t="inlineStr">
        <is>
          <t>⚠ Manual erforderlich</t>
        </is>
      </c>
      <c r="E32" s="11" t="inlineStr"/>
      <c r="F32" s="11" t="n">
        <v>0</v>
      </c>
      <c r="G32" s="11">
        <f>E32-F32</f>
        <v/>
      </c>
      <c r="H32" s="11" t="n">
        <v/>
      </c>
      <c r="I32" s="11" t="n">
        <v/>
      </c>
      <c r="J32" s="11" t="n">
        <v/>
      </c>
      <c r="K32" s="4" t="inlineStr">
        <is>
          <t>Stundensätze eingeben</t>
        </is>
      </c>
    </row>
    <row r="33">
      <c r="A33" s="4" t="inlineStr">
        <is>
          <t>1015.02 VuBBaWü-BTB-Kurfürstenanlage15-HD-Justizzentrum</t>
        </is>
      </c>
      <c r="B33" s="4" t="inlineStr">
        <is>
          <t>● (aN) 3.1.1.2 Begleitung bei der Durchführung der Maßnahmen</t>
        </is>
      </c>
      <c r="C33" s="4" t="inlineStr">
        <is>
          <t>Nachweis</t>
        </is>
      </c>
      <c r="D33" s="10" t="inlineStr">
        <is>
          <t>⚠ Manual erforderlich</t>
        </is>
      </c>
      <c r="E33" s="11" t="inlineStr"/>
      <c r="F33" s="11" t="n">
        <v>0</v>
      </c>
      <c r="G33" s="11">
        <f>E33-F33</f>
        <v/>
      </c>
      <c r="H33" s="11" t="n">
        <v/>
      </c>
      <c r="I33" s="11" t="n">
        <v/>
      </c>
      <c r="J33" s="11" t="n">
        <v/>
      </c>
      <c r="K33" s="4" t="inlineStr">
        <is>
          <t>Stundensätze eingeben</t>
        </is>
      </c>
    </row>
    <row r="34">
      <c r="A34" s="4" t="inlineStr">
        <is>
          <t>1015.02 VuBBaWü-BTB-Kurfürstenanlage15-HD-Justizzentrum</t>
        </is>
      </c>
      <c r="B34" s="4" t="inlineStr">
        <is>
          <t>● (p) 3.1.1.3 Fortschreibung des Brandschutzkonzepts bzgl. der Überarbeitung des Sicherheitskonzepts</t>
        </is>
      </c>
      <c r="C34" s="4" t="inlineStr">
        <is>
          <t>Pauschale</t>
        </is>
      </c>
      <c r="D34" s="10" t="inlineStr">
        <is>
          <t>⚠ Manual erforderlich</t>
        </is>
      </c>
      <c r="E34" s="11" t="inlineStr"/>
      <c r="F34" s="11" t="n">
        <v>0</v>
      </c>
      <c r="G34" s="11">
        <f>E34-F34</f>
        <v/>
      </c>
      <c r="H34" s="11" t="n">
        <v>0</v>
      </c>
      <c r="I34" s="11" t="n">
        <v>0</v>
      </c>
      <c r="J34" s="11" t="n">
        <v>0</v>
      </c>
      <c r="K34" s="4" t="inlineStr">
        <is>
          <t>Stundensätze eingeben</t>
        </is>
      </c>
    </row>
    <row r="35">
      <c r="A35" s="4" t="inlineStr">
        <is>
          <t>1015.02 VuBBaWü-BTB-Kurfürstenanlage15-HD-Justizzentrum</t>
        </is>
      </c>
      <c r="B35" s="4" t="inlineStr">
        <is>
          <t>● ADM</t>
        </is>
      </c>
      <c r="C35" s="9" t="inlineStr">
        <is>
          <t>Unbekannt</t>
        </is>
      </c>
      <c r="D35" s="10" t="inlineStr">
        <is>
          <t>⚠ Manual erforderlich</t>
        </is>
      </c>
      <c r="E35" s="11" t="inlineStr"/>
      <c r="F35" s="11" t="n">
        <v>0</v>
      </c>
      <c r="G35" s="11">
        <f>E35-F35</f>
        <v/>
      </c>
      <c r="H35" s="11" t="n">
        <v/>
      </c>
      <c r="I35" s="11" t="n">
        <v/>
      </c>
      <c r="J35" s="11" t="n">
        <v/>
      </c>
      <c r="K35" s="4" t="inlineStr">
        <is>
          <t>Abrechnungsart wählen; Stundensätze eingeben</t>
        </is>
      </c>
    </row>
    <row r="36">
      <c r="A36" s="4" t="inlineStr">
        <is>
          <t>1123.04 Fortschr.-BSK-U-Bahnstation-Dom-Römer-Frankfurt</t>
        </is>
      </c>
      <c r="B36" s="4" t="inlineStr">
        <is>
          <t>● (p) Pos.1 Fortschr. BSK für Stadtbahnstation Dom/Römer</t>
        </is>
      </c>
      <c r="C36" s="4" t="inlineStr">
        <is>
          <t>Pauschale</t>
        </is>
      </c>
      <c r="D36" s="10" t="inlineStr">
        <is>
          <t>⚠ Manual erforderlich</t>
        </is>
      </c>
      <c r="E36" s="11" t="inlineStr"/>
      <c r="F36" s="11" t="n">
        <v>0</v>
      </c>
      <c r="G36" s="11">
        <f>E36-F36</f>
        <v/>
      </c>
      <c r="H36" s="11" t="n">
        <v>0</v>
      </c>
      <c r="I36" s="11" t="n">
        <v>0</v>
      </c>
      <c r="J36" s="11" t="n">
        <v>0</v>
      </c>
      <c r="K36" s="4" t="inlineStr">
        <is>
          <t>Stundensätze eingeben</t>
        </is>
      </c>
    </row>
    <row r="37">
      <c r="A37" s="4" t="inlineStr">
        <is>
          <t>1159.01 Lilienthalstraße-7-Regensburg-EON</t>
        </is>
      </c>
      <c r="B37" s="4" t="inlineStr">
        <is>
          <t>● Beurteilung erhöhter Personenbelegung (pauschal)</t>
        </is>
      </c>
      <c r="C37" s="9" t="inlineStr">
        <is>
          <t>Unbekannt</t>
        </is>
      </c>
      <c r="D37" s="10" t="inlineStr">
        <is>
          <t>⚠ Manual erforderlich</t>
        </is>
      </c>
      <c r="E37" s="11" t="inlineStr"/>
      <c r="F37" s="11" t="n">
        <v>0</v>
      </c>
      <c r="G37" s="11">
        <f>E37-F37</f>
        <v/>
      </c>
      <c r="H37" s="11" t="n">
        <v/>
      </c>
      <c r="I37" s="11" t="n">
        <v/>
      </c>
      <c r="J37" s="11" t="n">
        <v/>
      </c>
      <c r="K37" s="4" t="inlineStr">
        <is>
          <t>Abrechnungsart wählen; Stundensätze eingeben</t>
        </is>
      </c>
    </row>
    <row r="38">
      <c r="A38" s="4" t="inlineStr">
        <is>
          <t>1159.01 Lilienthalstraße-7-Regensburg-EON</t>
        </is>
      </c>
      <c r="B38" s="4" t="inlineStr">
        <is>
          <t>● Fortschr. BSK Personenbelegung (pauschal)</t>
        </is>
      </c>
      <c r="C38" s="9" t="inlineStr">
        <is>
          <t>Unbekannt</t>
        </is>
      </c>
      <c r="D38" s="10" t="inlineStr">
        <is>
          <t>⚠ Manual erforderlich</t>
        </is>
      </c>
      <c r="E38" s="11" t="inlineStr"/>
      <c r="F38" s="11" t="n">
        <v>0</v>
      </c>
      <c r="G38" s="11">
        <f>E38-F38</f>
        <v/>
      </c>
      <c r="H38" s="11" t="n">
        <v/>
      </c>
      <c r="I38" s="11" t="n">
        <v/>
      </c>
      <c r="J38" s="11" t="n">
        <v/>
      </c>
      <c r="K38" s="4" t="inlineStr">
        <is>
          <t>Abrechnungsart wählen; Stundensätze eingeben</t>
        </is>
      </c>
    </row>
    <row r="39">
      <c r="A39" s="4" t="inlineStr">
        <is>
          <t>1208.04 NT01-BTB-Gymnasium-Riedberg-Friedrich-Dessauer-Str-2-Ffm-Batteriespeicher</t>
        </is>
      </c>
      <c r="B39" s="4" t="inlineStr">
        <is>
          <t>● (aN) Pos.1 BTB zur Abnahme und Bewertung des Batteriespeichers</t>
        </is>
      </c>
      <c r="C39" s="4" t="inlineStr">
        <is>
          <t>Nachweis</t>
        </is>
      </c>
      <c r="D39" s="10" t="inlineStr">
        <is>
          <t>⚠ Manual erforderlich</t>
        </is>
      </c>
      <c r="E39" s="11" t="inlineStr"/>
      <c r="F39" s="11" t="n">
        <v>0</v>
      </c>
      <c r="G39" s="11">
        <f>E39-F39</f>
        <v/>
      </c>
      <c r="H39" s="11" t="n">
        <v/>
      </c>
      <c r="I39" s="11" t="n">
        <v/>
      </c>
      <c r="J39" s="11" t="n">
        <v/>
      </c>
      <c r="K39" s="4" t="inlineStr">
        <is>
          <t>Stundensätze eingeben</t>
        </is>
      </c>
    </row>
    <row r="40">
      <c r="A40" s="4" t="inlineStr">
        <is>
          <t>1257.03 LP3-8-Germersheim-Army-Depot-Gebäude-7915</t>
        </is>
      </c>
      <c r="B40" s="4" t="inlineStr">
        <is>
          <t>● 3000-Entwurfsplanung</t>
        </is>
      </c>
      <c r="C40" s="9" t="inlineStr">
        <is>
          <t>Unbekannt</t>
        </is>
      </c>
      <c r="D40" s="10" t="inlineStr">
        <is>
          <t>⚠ Manual erforderlich</t>
        </is>
      </c>
      <c r="E40" s="11" t="inlineStr"/>
      <c r="F40" s="11" t="n">
        <v>0</v>
      </c>
      <c r="G40" s="11">
        <f>E40-F40</f>
        <v/>
      </c>
      <c r="H40" s="11" t="n">
        <v/>
      </c>
      <c r="I40" s="11" t="n">
        <v/>
      </c>
      <c r="J40" s="11" t="n">
        <v/>
      </c>
      <c r="K40" s="4" t="inlineStr">
        <is>
          <t>Abrechnungsart wählen; Stundensätze eingeben</t>
        </is>
      </c>
    </row>
    <row r="41">
      <c r="A41" s="4" t="inlineStr">
        <is>
          <t>1257.03 LP3-8-Germersheim-Army-Depot-Gebäude-7915</t>
        </is>
      </c>
      <c r="B41" s="4" t="inlineStr">
        <is>
          <t>● 5000-Ausführungsplanung</t>
        </is>
      </c>
      <c r="C41" s="9" t="inlineStr">
        <is>
          <t>Unbekannt</t>
        </is>
      </c>
      <c r="D41" s="10" t="inlineStr">
        <is>
          <t>⚠ Manual erforderlich</t>
        </is>
      </c>
      <c r="E41" s="11" t="inlineStr"/>
      <c r="F41" s="11" t="n">
        <v>0</v>
      </c>
      <c r="G41" s="11">
        <f>E41-F41</f>
        <v/>
      </c>
      <c r="H41" s="11" t="n">
        <v/>
      </c>
      <c r="I41" s="11" t="n">
        <v/>
      </c>
      <c r="J41" s="11" t="n">
        <v/>
      </c>
      <c r="K41" s="4" t="inlineStr">
        <is>
          <t>Abrechnungsart wählen; Stundensätze eingeben</t>
        </is>
      </c>
    </row>
    <row r="42">
      <c r="A42" s="4" t="inlineStr">
        <is>
          <t>1257.03 LP3-8-Germersheim-Army-Depot-Gebäude-7915</t>
        </is>
      </c>
      <c r="B42" s="4" t="inlineStr">
        <is>
          <t>● 8000-Objektüberwachung</t>
        </is>
      </c>
      <c r="C42" s="9" t="inlineStr">
        <is>
          <t>Unbekannt</t>
        </is>
      </c>
      <c r="D42" s="10" t="inlineStr">
        <is>
          <t>⚠ Manual erforderlich</t>
        </is>
      </c>
      <c r="E42" s="11" t="inlineStr"/>
      <c r="F42" s="11" t="n">
        <v>0</v>
      </c>
      <c r="G42" s="11">
        <f>E42-F42</f>
        <v/>
      </c>
      <c r="H42" s="11" t="n">
        <v/>
      </c>
      <c r="I42" s="11" t="n">
        <v/>
      </c>
      <c r="J42" s="11" t="n">
        <v/>
      </c>
      <c r="K42" s="4" t="inlineStr">
        <is>
          <t>Abrechnungsart wählen; Stundensätze eingeben</t>
        </is>
      </c>
    </row>
    <row r="43">
      <c r="A43" s="4" t="inlineStr">
        <is>
          <t>1257.03 LP3-8-Germersheim-Army-Depot-Gebäude-7915</t>
        </is>
      </c>
      <c r="B43" s="4" t="inlineStr">
        <is>
          <t>● Beratung/erneute Einarbeitung (pauschal)</t>
        </is>
      </c>
      <c r="C43" s="9" t="inlineStr">
        <is>
          <t>Unbekannt</t>
        </is>
      </c>
      <c r="D43" s="10" t="inlineStr">
        <is>
          <t>⚠ Manual erforderlich</t>
        </is>
      </c>
      <c r="E43" s="11" t="inlineStr"/>
      <c r="F43" s="11" t="n">
        <v>0</v>
      </c>
      <c r="G43" s="11">
        <f>E43-F43</f>
        <v/>
      </c>
      <c r="H43" s="11" t="n">
        <v/>
      </c>
      <c r="I43" s="11" t="n">
        <v/>
      </c>
      <c r="J43" s="11" t="n">
        <v/>
      </c>
      <c r="K43" s="4" t="inlineStr">
        <is>
          <t>Abrechnungsart wählen; Stundensätze eingeben</t>
        </is>
      </c>
    </row>
    <row r="44">
      <c r="A44" s="4" t="inlineStr">
        <is>
          <t>1257.06 Tektur-BSK-Army-Depot-Geb7915-Germersheim</t>
        </is>
      </c>
      <c r="B44" s="4" t="inlineStr">
        <is>
          <t>● (p.) Tektur BSK</t>
        </is>
      </c>
      <c r="C44" s="9" t="inlineStr">
        <is>
          <t>Unbekannt</t>
        </is>
      </c>
      <c r="D44" s="10" t="inlineStr">
        <is>
          <t>⚠ Manual erforderlich</t>
        </is>
      </c>
      <c r="E44" s="11" t="inlineStr"/>
      <c r="F44" s="11" t="n">
        <v>0</v>
      </c>
      <c r="G44" s="11">
        <f>E44-F44</f>
        <v/>
      </c>
      <c r="H44" s="11" t="n">
        <v/>
      </c>
      <c r="I44" s="11" t="n">
        <v/>
      </c>
      <c r="J44" s="11" t="n">
        <v/>
      </c>
      <c r="K44" s="4" t="inlineStr">
        <is>
          <t>Abrechnungsart wählen; Stundensätze eingeben</t>
        </is>
      </c>
    </row>
    <row r="45">
      <c r="A45" s="4" t="inlineStr">
        <is>
          <t>1257.06 Tektur-BSK-Army-Depot-Geb7915-Germersheim</t>
        </is>
      </c>
      <c r="B45" s="4" t="inlineStr">
        <is>
          <t>● (p.)  FuR</t>
        </is>
      </c>
      <c r="C45" s="9" t="inlineStr">
        <is>
          <t>Unbekannt</t>
        </is>
      </c>
      <c r="D45" s="10" t="inlineStr">
        <is>
          <t>⚠ Manual erforderlich</t>
        </is>
      </c>
      <c r="E45" s="11" t="inlineStr"/>
      <c r="F45" s="11" t="n">
        <v>0</v>
      </c>
      <c r="G45" s="11">
        <f>E45-F45</f>
        <v/>
      </c>
      <c r="H45" s="11" t="n">
        <v/>
      </c>
      <c r="I45" s="11" t="n">
        <v/>
      </c>
      <c r="J45" s="11" t="n">
        <v/>
      </c>
      <c r="K45" s="4" t="inlineStr">
        <is>
          <t>Abrechnungsart wählen; Stundensätze eingeben</t>
        </is>
      </c>
    </row>
    <row r="46">
      <c r="A46" s="4" t="inlineStr">
        <is>
          <t>1257.07 Rauchversuch-Army-Depot-Geb7915-Germersheim</t>
        </is>
      </c>
      <c r="B46" s="4" t="inlineStr">
        <is>
          <t>● (p) Durchführung Rauchversuch/Dokumentation</t>
        </is>
      </c>
      <c r="C46" s="4" t="inlineStr">
        <is>
          <t>Pauschale</t>
        </is>
      </c>
      <c r="D46" s="10" t="inlineStr">
        <is>
          <t>⚠ Manual erforderlich</t>
        </is>
      </c>
      <c r="E46" s="11" t="inlineStr"/>
      <c r="F46" s="11" t="n">
        <v>0</v>
      </c>
      <c r="G46" s="11">
        <f>E46-F46</f>
        <v/>
      </c>
      <c r="H46" s="11" t="n">
        <v>0</v>
      </c>
      <c r="I46" s="11" t="n">
        <v>0</v>
      </c>
      <c r="J46" s="11" t="n">
        <v>0</v>
      </c>
      <c r="K46" s="4" t="inlineStr">
        <is>
          <t>Stundensätze eingeben</t>
        </is>
      </c>
    </row>
    <row r="47">
      <c r="A47" s="4" t="inlineStr">
        <is>
          <t>1257.08 Elektro-Krück-Überprüfung-FWP-Geb-7915-Germersheim</t>
        </is>
      </c>
      <c r="B47" s="4" t="inlineStr">
        <is>
          <t>● (p) Pos. 1 Feuerwehrpläne</t>
        </is>
      </c>
      <c r="C47" s="4" t="inlineStr">
        <is>
          <t>Pauschale</t>
        </is>
      </c>
      <c r="D47" s="10" t="inlineStr">
        <is>
          <t>⚠ Manual erforderlich</t>
        </is>
      </c>
      <c r="E47" s="11" t="inlineStr"/>
      <c r="F47" s="11" t="n">
        <v>0</v>
      </c>
      <c r="G47" s="11">
        <f>E47-F47</f>
        <v/>
      </c>
      <c r="H47" s="11" t="n">
        <v>0</v>
      </c>
      <c r="I47" s="11" t="n">
        <v>0</v>
      </c>
      <c r="J47" s="11" t="n">
        <v>0</v>
      </c>
      <c r="K47" s="4" t="inlineStr">
        <is>
          <t>Stundensätze eingeben</t>
        </is>
      </c>
    </row>
    <row r="48">
      <c r="A48" s="4" t="inlineStr">
        <is>
          <t>1257.08 Elektro-Krück-Überprüfung-FWP-Geb-7915-Germersheim</t>
        </is>
      </c>
      <c r="B48" s="4" t="inlineStr">
        <is>
          <t>● (aN) Pos. 2 Begehung (CAD)</t>
        </is>
      </c>
      <c r="C48" s="4" t="inlineStr">
        <is>
          <t>Nachweis</t>
        </is>
      </c>
      <c r="D48" s="10" t="inlineStr">
        <is>
          <t>⚠ Manual erforderlich</t>
        </is>
      </c>
      <c r="E48" s="11" t="inlineStr"/>
      <c r="F48" s="11" t="n">
        <v>0</v>
      </c>
      <c r="G48" s="11">
        <f>E48-F48</f>
        <v/>
      </c>
      <c r="H48" s="11" t="n">
        <v/>
      </c>
      <c r="I48" s="11" t="n">
        <v/>
      </c>
      <c r="J48" s="11" t="n">
        <v/>
      </c>
      <c r="K48" s="4" t="inlineStr">
        <is>
          <t>Stundensätze eingeben</t>
        </is>
      </c>
    </row>
    <row r="49">
      <c r="A49" s="4" t="inlineStr">
        <is>
          <t>1294.01 BSH-Mannheimer-Straße-16-Frankfurt</t>
        </is>
      </c>
      <c r="B49" s="4" t="inlineStr">
        <is>
          <t>● BSO A-C (pauschal)</t>
        </is>
      </c>
      <c r="C49" s="9" t="inlineStr">
        <is>
          <t>Unbekannt</t>
        </is>
      </c>
      <c r="D49" s="10" t="inlineStr">
        <is>
          <t>⚠ Manual erforderlich</t>
        </is>
      </c>
      <c r="E49" s="11" t="inlineStr"/>
      <c r="F49" s="11" t="n">
        <v>0</v>
      </c>
      <c r="G49" s="11">
        <f>E49-F49</f>
        <v/>
      </c>
      <c r="H49" s="11" t="n">
        <v/>
      </c>
      <c r="I49" s="11" t="n">
        <v/>
      </c>
      <c r="J49" s="11" t="n">
        <v/>
      </c>
      <c r="K49" s="4" t="inlineStr">
        <is>
          <t>Abrechnungsart wählen; Stundensätze eingeben</t>
        </is>
      </c>
    </row>
    <row r="50">
      <c r="A50" s="4" t="inlineStr">
        <is>
          <t>1294.01 BSH-Mannheimer-Straße-16-Frankfurt</t>
        </is>
      </c>
      <c r="B50" s="4" t="inlineStr">
        <is>
          <t>● FuR-Pläne (pauschal)</t>
        </is>
      </c>
      <c r="C50" s="9" t="inlineStr">
        <is>
          <t>Unbekannt</t>
        </is>
      </c>
      <c r="D50" s="10" t="inlineStr">
        <is>
          <t>⚠ Manual erforderlich</t>
        </is>
      </c>
      <c r="E50" s="11" t="inlineStr"/>
      <c r="F50" s="11" t="n">
        <v>0</v>
      </c>
      <c r="G50" s="11">
        <f>E50-F50</f>
        <v/>
      </c>
      <c r="H50" s="11" t="n">
        <v/>
      </c>
      <c r="I50" s="11" t="n">
        <v/>
      </c>
      <c r="J50" s="11" t="n">
        <v/>
      </c>
      <c r="K50" s="4" t="inlineStr">
        <is>
          <t>Abrechnungsart wählen; Stundensätze eingeben</t>
        </is>
      </c>
    </row>
    <row r="51">
      <c r="A51" s="4" t="inlineStr">
        <is>
          <t>1294.01 BSH-Mannheimer-Straße-16-Frankfurt</t>
        </is>
      </c>
      <c r="B51" s="4" t="inlineStr">
        <is>
          <t>● FW-Pläne (pauschal)</t>
        </is>
      </c>
      <c r="C51" s="9" t="inlineStr">
        <is>
          <t>Unbekannt</t>
        </is>
      </c>
      <c r="D51" s="10" t="inlineStr">
        <is>
          <t>⚠ Manual erforderlich</t>
        </is>
      </c>
      <c r="E51" s="11" t="inlineStr"/>
      <c r="F51" s="11" t="n">
        <v>0</v>
      </c>
      <c r="G51" s="11">
        <f>E51-F51</f>
        <v/>
      </c>
      <c r="H51" s="11" t="n">
        <v/>
      </c>
      <c r="I51" s="11" t="n">
        <v/>
      </c>
      <c r="J51" s="11" t="n">
        <v/>
      </c>
      <c r="K51" s="4" t="inlineStr">
        <is>
          <t>Abrechnungsart wählen; Stundensätze eingeben</t>
        </is>
      </c>
    </row>
    <row r="52">
      <c r="A52" s="4" t="inlineStr">
        <is>
          <t>1294.01 BSH-Mannheimer-Straße-16-Frankfurt</t>
        </is>
      </c>
      <c r="B52" s="4" t="inlineStr">
        <is>
          <t>● Bestandserfassung (pauschal)</t>
        </is>
      </c>
      <c r="C52" s="9" t="inlineStr">
        <is>
          <t>Unbekannt</t>
        </is>
      </c>
      <c r="D52" s="10" t="inlineStr">
        <is>
          <t>⚠ Manual erforderlich</t>
        </is>
      </c>
      <c r="E52" s="11" t="inlineStr"/>
      <c r="F52" s="11" t="n">
        <v>0</v>
      </c>
      <c r="G52" s="11">
        <f>E52-F52</f>
        <v/>
      </c>
      <c r="H52" s="11" t="n">
        <v/>
      </c>
      <c r="I52" s="11" t="n">
        <v/>
      </c>
      <c r="J52" s="11" t="n">
        <v/>
      </c>
      <c r="K52" s="4" t="inlineStr">
        <is>
          <t>Abrechnungsart wählen; Stundensätze eingeben</t>
        </is>
      </c>
    </row>
    <row r="53">
      <c r="A53" s="4" t="inlineStr">
        <is>
          <t>1294.01 BSH-Mannheimer-Straße-16-Frankfurt</t>
        </is>
      </c>
      <c r="B53" s="4" t="inlineStr">
        <is>
          <t>● Räumungsübung (pauschal)</t>
        </is>
      </c>
      <c r="C53" s="9" t="inlineStr">
        <is>
          <t>Unbekannt</t>
        </is>
      </c>
      <c r="D53" s="10" t="inlineStr">
        <is>
          <t>⚠ Manual erforderlich</t>
        </is>
      </c>
      <c r="E53" s="11" t="inlineStr"/>
      <c r="F53" s="11" t="n">
        <v>0</v>
      </c>
      <c r="G53" s="11">
        <f>E53-F53</f>
        <v/>
      </c>
      <c r="H53" s="11" t="n">
        <v/>
      </c>
      <c r="I53" s="11" t="n">
        <v/>
      </c>
      <c r="J53" s="11" t="n">
        <v/>
      </c>
      <c r="K53" s="4" t="inlineStr">
        <is>
          <t>Abrechnungsart wählen; Stundensätze eingeben</t>
        </is>
      </c>
    </row>
    <row r="54">
      <c r="A54" s="4" t="inlineStr">
        <is>
          <t>1294.01 BSH-Mannheimer-Straße-16-Frankfurt</t>
        </is>
      </c>
      <c r="B54" s="4" t="inlineStr">
        <is>
          <t>● Helferschulung Theorie + Praxis (pauschal)</t>
        </is>
      </c>
      <c r="C54" s="9" t="inlineStr">
        <is>
          <t>Unbekannt</t>
        </is>
      </c>
      <c r="D54" s="10" t="inlineStr">
        <is>
          <t>⚠ Manual erforderlich</t>
        </is>
      </c>
      <c r="E54" s="11" t="inlineStr"/>
      <c r="F54" s="11" t="n">
        <v>0</v>
      </c>
      <c r="G54" s="11">
        <f>E54-F54</f>
        <v/>
      </c>
      <c r="H54" s="11" t="n">
        <v/>
      </c>
      <c r="I54" s="11" t="n">
        <v/>
      </c>
      <c r="J54" s="11" t="n">
        <v/>
      </c>
      <c r="K54" s="4" t="inlineStr">
        <is>
          <t>Abrechnungsart wählen; Stundensätze eingeben</t>
        </is>
      </c>
    </row>
    <row r="55">
      <c r="A55" s="4" t="inlineStr">
        <is>
          <t>1294.08 BSB-2025-Mannheimer-Straße-16-Frankfurt</t>
        </is>
      </c>
      <c r="B55" s="4" t="inlineStr">
        <is>
          <t>● (a.N.)  Brandschutzbeauftragter 2025</t>
        </is>
      </c>
      <c r="C55" s="4" t="inlineStr">
        <is>
          <t>Nachweis</t>
        </is>
      </c>
      <c r="D55" s="10" t="inlineStr">
        <is>
          <t>⚠ Manual erforderlich</t>
        </is>
      </c>
      <c r="E55" s="11" t="inlineStr"/>
      <c r="F55" s="11" t="n">
        <v>0</v>
      </c>
      <c r="G55" s="11">
        <f>E55-F55</f>
        <v/>
      </c>
      <c r="H55" s="11" t="n">
        <v/>
      </c>
      <c r="I55" s="11" t="n">
        <v/>
      </c>
      <c r="J55" s="11" t="n">
        <v/>
      </c>
      <c r="K55" s="4" t="inlineStr">
        <is>
          <t>Stundensätze eingeben</t>
        </is>
      </c>
    </row>
    <row r="56">
      <c r="A56" s="4" t="inlineStr">
        <is>
          <t>1406.04 BTB-Ludwig-Erhard-Strasse-6-Eschborn</t>
        </is>
      </c>
      <c r="B56" s="4" t="inlineStr">
        <is>
          <t>● (aN) Pos.1 BTB zu Erstellung der Konformitätsbescheinigung</t>
        </is>
      </c>
      <c r="C56" s="4" t="inlineStr">
        <is>
          <t>Nachweis</t>
        </is>
      </c>
      <c r="D56" s="10" t="inlineStr">
        <is>
          <t>⚠ Manual erforderlich</t>
        </is>
      </c>
      <c r="E56" s="11" t="inlineStr"/>
      <c r="F56" s="11" t="n">
        <v>0</v>
      </c>
      <c r="G56" s="11">
        <f>E56-F56</f>
        <v/>
      </c>
      <c r="H56" s="11" t="n">
        <v/>
      </c>
      <c r="I56" s="11" t="n">
        <v/>
      </c>
      <c r="J56" s="11" t="n">
        <v/>
      </c>
      <c r="K56" s="4" t="inlineStr">
        <is>
          <t>Stundensätze eingeben</t>
        </is>
      </c>
    </row>
    <row r="57">
      <c r="A57" s="4" t="inlineStr">
        <is>
          <t>1524.09 BSB-2024-Schützenbleiche-9-11-Frankfurt</t>
        </is>
      </c>
      <c r="B57" s="4" t="inlineStr">
        <is>
          <t>● 9000-Objektbetreuung und Dokumentation</t>
        </is>
      </c>
      <c r="C57" s="9" t="inlineStr">
        <is>
          <t>Unbekannt</t>
        </is>
      </c>
      <c r="D57" s="10" t="inlineStr">
        <is>
          <t>⚠ Manual erforderlich</t>
        </is>
      </c>
      <c r="E57" s="11" t="inlineStr"/>
      <c r="F57" s="11" t="n">
        <v>0</v>
      </c>
      <c r="G57" s="11">
        <f>E57-F57</f>
        <v/>
      </c>
      <c r="H57" s="11" t="n">
        <v/>
      </c>
      <c r="I57" s="11" t="n">
        <v/>
      </c>
      <c r="J57" s="11" t="n">
        <v/>
      </c>
      <c r="K57" s="4" t="inlineStr">
        <is>
          <t>Abrechnungsart wählen; Stundensätze eingeben</t>
        </is>
      </c>
    </row>
    <row r="58">
      <c r="A58" s="4" t="inlineStr">
        <is>
          <t>1524.10 BSB-2025-Schützenbleiche-9-11-Frankfurt</t>
        </is>
      </c>
      <c r="B58" s="4" t="inlineStr">
        <is>
          <t>● (aN) Pos.1 Verpflichtung eines externen BSB 2025</t>
        </is>
      </c>
      <c r="C58" s="4" t="inlineStr">
        <is>
          <t>Nachweis</t>
        </is>
      </c>
      <c r="D58" s="10" t="inlineStr">
        <is>
          <t>⚠ Manual erforderlich</t>
        </is>
      </c>
      <c r="E58" s="11" t="inlineStr"/>
      <c r="F58" s="11" t="n">
        <v>0</v>
      </c>
      <c r="G58" s="11">
        <f>E58-F58</f>
        <v/>
      </c>
      <c r="H58" s="11" t="n">
        <v/>
      </c>
      <c r="I58" s="11" t="n">
        <v/>
      </c>
      <c r="J58" s="11" t="n">
        <v/>
      </c>
      <c r="K58" s="4" t="inlineStr">
        <is>
          <t>Stundensätze eingeben</t>
        </is>
      </c>
    </row>
    <row r="59">
      <c r="A59" s="4" t="inlineStr">
        <is>
          <t>1599.13 BSB 2023-IKT-Zanderstraße-7-Frankfurt</t>
        </is>
      </c>
      <c r="B59" s="4" t="inlineStr">
        <is>
          <t>● (a.N.) BSB</t>
        </is>
      </c>
      <c r="C59" s="4" t="inlineStr">
        <is>
          <t>Nachweis</t>
        </is>
      </c>
      <c r="D59" s="10" t="inlineStr">
        <is>
          <t>⚠ Manual erforderlich</t>
        </is>
      </c>
      <c r="E59" s="11" t="inlineStr"/>
      <c r="F59" s="11" t="n">
        <v>0</v>
      </c>
      <c r="G59" s="11">
        <f>E59-F59</f>
        <v/>
      </c>
      <c r="H59" s="11" t="n">
        <v/>
      </c>
      <c r="I59" s="11" t="n">
        <v/>
      </c>
      <c r="J59" s="11" t="n">
        <v/>
      </c>
      <c r="K59" s="4" t="inlineStr">
        <is>
          <t>Stundensätze eingeben</t>
        </is>
      </c>
    </row>
    <row r="60">
      <c r="A60" s="4" t="inlineStr">
        <is>
          <t>1626.06 Seckbacher-Landstraße-St.Katharinenkrankenhaus</t>
        </is>
      </c>
      <c r="B60" s="4" t="inlineStr">
        <is>
          <t>● 8000-Objektüberwachung</t>
        </is>
      </c>
      <c r="C60" s="9" t="inlineStr">
        <is>
          <t>Unbekannt</t>
        </is>
      </c>
      <c r="D60" s="10" t="inlineStr">
        <is>
          <t>⚠ Manual erforderlich</t>
        </is>
      </c>
      <c r="E60" s="11" t="inlineStr"/>
      <c r="F60" s="11" t="n">
        <v>0</v>
      </c>
      <c r="G60" s="11">
        <f>E60-F60</f>
        <v/>
      </c>
      <c r="H60" s="11" t="n">
        <v/>
      </c>
      <c r="I60" s="11" t="n">
        <v/>
      </c>
      <c r="J60" s="11" t="n">
        <v/>
      </c>
      <c r="K60" s="4" t="inlineStr">
        <is>
          <t>Abrechnungsart wählen; Stundensätze eingeben</t>
        </is>
      </c>
    </row>
    <row r="61">
      <c r="A61" s="4" t="inlineStr">
        <is>
          <t>1626.06 Seckbacher-Landstraße-St.Katharinenkrankenhaus</t>
        </is>
      </c>
      <c r="B61" s="4" t="inlineStr">
        <is>
          <t>● Fortschr. BSK (auf Nachweis)</t>
        </is>
      </c>
      <c r="C61" s="9" t="inlineStr">
        <is>
          <t>Unbekannt</t>
        </is>
      </c>
      <c r="D61" s="10" t="inlineStr">
        <is>
          <t>⚠ Manual erforderlich</t>
        </is>
      </c>
      <c r="E61" s="11" t="inlineStr"/>
      <c r="F61" s="11" t="n">
        <v>0</v>
      </c>
      <c r="G61" s="11">
        <f>E61-F61</f>
        <v/>
      </c>
      <c r="H61" s="11" t="n">
        <v/>
      </c>
      <c r="I61" s="11" t="n">
        <v/>
      </c>
      <c r="J61" s="11" t="n">
        <v/>
      </c>
      <c r="K61" s="4" t="inlineStr">
        <is>
          <t>Abrechnungsart wählen; Stundensätze eingeben</t>
        </is>
      </c>
    </row>
    <row r="62">
      <c r="A62" s="4" t="inlineStr">
        <is>
          <t>1626.08 BT-L-BTB-BSK-Seckbacher-Landstraße-St.Katharinenkrankenhaus</t>
        </is>
      </c>
      <c r="B62" s="4" t="inlineStr">
        <is>
          <t>● 1000-Grundlagenermittlung</t>
        </is>
      </c>
      <c r="C62" s="9" t="inlineStr">
        <is>
          <t>Unbekannt</t>
        </is>
      </c>
      <c r="D62" s="10" t="inlineStr">
        <is>
          <t>⚠ Manual erforderlich</t>
        </is>
      </c>
      <c r="E62" s="11" t="inlineStr"/>
      <c r="F62" s="11" t="n">
        <v>0</v>
      </c>
      <c r="G62" s="11">
        <f>E62-F62</f>
        <v/>
      </c>
      <c r="H62" s="11" t="n">
        <v/>
      </c>
      <c r="I62" s="11" t="n">
        <v/>
      </c>
      <c r="J62" s="11" t="n">
        <v/>
      </c>
      <c r="K62" s="4" t="inlineStr">
        <is>
          <t>Abrechnungsart wählen; Stundensätze eingeben</t>
        </is>
      </c>
    </row>
    <row r="63">
      <c r="A63" s="4" t="inlineStr">
        <is>
          <t>1626.08 BT-L-BTB-BSK-Seckbacher-Landstraße-St.Katharinenkrankenhaus</t>
        </is>
      </c>
      <c r="B63" s="4" t="inlineStr">
        <is>
          <t>● 2000-Vorplanung</t>
        </is>
      </c>
      <c r="C63" s="9" t="inlineStr">
        <is>
          <t>Unbekannt</t>
        </is>
      </c>
      <c r="D63" s="10" t="inlineStr">
        <is>
          <t>⚠ Manual erforderlich</t>
        </is>
      </c>
      <c r="E63" s="11" t="inlineStr"/>
      <c r="F63" s="11" t="n">
        <v>0</v>
      </c>
      <c r="G63" s="11">
        <f>E63-F63</f>
        <v/>
      </c>
      <c r="H63" s="11" t="n">
        <v/>
      </c>
      <c r="I63" s="11" t="n">
        <v/>
      </c>
      <c r="J63" s="11" t="n">
        <v/>
      </c>
      <c r="K63" s="4" t="inlineStr">
        <is>
          <t>Abrechnungsart wählen; Stundensätze eingeben</t>
        </is>
      </c>
    </row>
    <row r="64">
      <c r="A64" s="4" t="inlineStr">
        <is>
          <t>1626.08 BT-L-BTB-BSK-Seckbacher-Landstraße-St.Katharinenkrankenhaus</t>
        </is>
      </c>
      <c r="B64" s="4" t="inlineStr">
        <is>
          <t>● 3000-Entwurfsplanung</t>
        </is>
      </c>
      <c r="C64" s="9" t="inlineStr">
        <is>
          <t>Unbekannt</t>
        </is>
      </c>
      <c r="D64" s="10" t="inlineStr">
        <is>
          <t>⚠ Manual erforderlich</t>
        </is>
      </c>
      <c r="E64" s="11" t="inlineStr"/>
      <c r="F64" s="11" t="n">
        <v>0</v>
      </c>
      <c r="G64" s="11">
        <f>E64-F64</f>
        <v/>
      </c>
      <c r="H64" s="11" t="n">
        <v/>
      </c>
      <c r="I64" s="11" t="n">
        <v/>
      </c>
      <c r="J64" s="11" t="n">
        <v/>
      </c>
      <c r="K64" s="4" t="inlineStr">
        <is>
          <t>Abrechnungsart wählen; Stundensätze eingeben</t>
        </is>
      </c>
    </row>
    <row r="65">
      <c r="A65" s="4" t="inlineStr">
        <is>
          <t>1626.08 BT-L-BTB-BSK-Seckbacher-Landstraße-St.Katharinenkrankenhaus</t>
        </is>
      </c>
      <c r="B65" s="4" t="inlineStr">
        <is>
          <t>● 4000-Genehmigungsplanung</t>
        </is>
      </c>
      <c r="C65" s="9" t="inlineStr">
        <is>
          <t>Unbekannt</t>
        </is>
      </c>
      <c r="D65" s="10" t="inlineStr">
        <is>
          <t>⚠ Manual erforderlich</t>
        </is>
      </c>
      <c r="E65" s="11" t="inlineStr"/>
      <c r="F65" s="11" t="n">
        <v>0</v>
      </c>
      <c r="G65" s="11">
        <f>E65-F65</f>
        <v/>
      </c>
      <c r="H65" s="11" t="n">
        <v/>
      </c>
      <c r="I65" s="11" t="n">
        <v/>
      </c>
      <c r="J65" s="11" t="n">
        <v/>
      </c>
      <c r="K65" s="4" t="inlineStr">
        <is>
          <t>Abrechnungsart wählen; Stundensätze eingeben</t>
        </is>
      </c>
    </row>
    <row r="66">
      <c r="A66" s="4" t="inlineStr">
        <is>
          <t>1626.11 RMK-StKKh-orgBS-Seckbacher-Landstraße-65-Frankfurt</t>
        </is>
      </c>
      <c r="B66" s="4" t="inlineStr">
        <is>
          <t>● (a.N.) Beratungsleistungen organisatorischer Brandschutz</t>
        </is>
      </c>
      <c r="C66" s="4" t="inlineStr">
        <is>
          <t>Nachweis</t>
        </is>
      </c>
      <c r="D66" s="10" t="inlineStr">
        <is>
          <t>⚠ Manual erforderlich</t>
        </is>
      </c>
      <c r="E66" s="11" t="inlineStr"/>
      <c r="F66" s="11" t="n">
        <v>0</v>
      </c>
      <c r="G66" s="11">
        <f>E66-F66</f>
        <v/>
      </c>
      <c r="H66" s="11" t="n">
        <v/>
      </c>
      <c r="I66" s="11" t="n">
        <v/>
      </c>
      <c r="J66" s="11" t="n">
        <v/>
      </c>
      <c r="K66" s="4" t="inlineStr">
        <is>
          <t>Stundensätze eingeben</t>
        </is>
      </c>
    </row>
    <row r="67">
      <c r="A67" s="4" t="inlineStr">
        <is>
          <t>1626.13 BSB-2024-Seckbacher-Landstraße-65-Frankfurt-St-Katharinen-Krankenhaus</t>
        </is>
      </c>
      <c r="B67" s="4" t="inlineStr">
        <is>
          <t>● (a.N.) Pos.1 BSBS 2024</t>
        </is>
      </c>
      <c r="C67" s="4" t="inlineStr">
        <is>
          <t>Nachweis</t>
        </is>
      </c>
      <c r="D67" s="10" t="inlineStr">
        <is>
          <t>⚠ Manual erforderlich</t>
        </is>
      </c>
      <c r="E67" s="11" t="inlineStr"/>
      <c r="F67" s="11" t="n">
        <v>0</v>
      </c>
      <c r="G67" s="11">
        <f>E67-F67</f>
        <v/>
      </c>
      <c r="H67" s="11" t="n">
        <v/>
      </c>
      <c r="I67" s="11" t="n">
        <v/>
      </c>
      <c r="J67" s="11" t="n">
        <v/>
      </c>
      <c r="K67" s="4" t="inlineStr">
        <is>
          <t>Stundensätze eingeben</t>
        </is>
      </c>
    </row>
    <row r="68">
      <c r="A68" s="4" t="inlineStr">
        <is>
          <t>1626.14 BSK-Umbau-2OG-Urologie + 4.OG-Physio-Seckbacher-Landstr-65-Ffm-St-Katharinen-KH</t>
        </is>
      </c>
      <c r="B68" s="4" t="inlineStr">
        <is>
          <t>● (a.N.) Pos.1 Ergänzung bestehendes BSK</t>
        </is>
      </c>
      <c r="C68" s="4" t="inlineStr">
        <is>
          <t>Nachweis</t>
        </is>
      </c>
      <c r="D68" s="10" t="inlineStr">
        <is>
          <t>⚠ Manual erforderlich</t>
        </is>
      </c>
      <c r="E68" s="11" t="inlineStr"/>
      <c r="F68" s="11" t="n">
        <v>0</v>
      </c>
      <c r="G68" s="11">
        <f>E68-F68</f>
        <v/>
      </c>
      <c r="H68" s="11" t="n">
        <v/>
      </c>
      <c r="I68" s="11" t="n">
        <v/>
      </c>
      <c r="J68" s="11" t="n">
        <v/>
      </c>
      <c r="K68" s="4" t="inlineStr">
        <is>
          <t>Stundensätze eingeben</t>
        </is>
      </c>
    </row>
    <row r="69">
      <c r="A69" s="4" t="inlineStr">
        <is>
          <t>1626.15 BSK-Seckbacher-Landstraße-St.KKH-Bauteil-M</t>
        </is>
      </c>
      <c r="B69" s="4" t="inlineStr">
        <is>
          <t>● (aN) Pos. 1 Erstellung BSK Bauteil M + 1 Termin Objektbegehung</t>
        </is>
      </c>
      <c r="C69" s="4" t="inlineStr">
        <is>
          <t>Nachweis</t>
        </is>
      </c>
      <c r="D69" s="10" t="inlineStr">
        <is>
          <t>⚠ Manual erforderlich</t>
        </is>
      </c>
      <c r="E69" s="11" t="inlineStr"/>
      <c r="F69" s="11" t="n">
        <v>0</v>
      </c>
      <c r="G69" s="11">
        <f>E69-F69</f>
        <v/>
      </c>
      <c r="H69" s="11" t="n">
        <v/>
      </c>
      <c r="I69" s="11" t="n">
        <v/>
      </c>
      <c r="J69" s="11" t="n">
        <v/>
      </c>
      <c r="K69" s="4" t="inlineStr">
        <is>
          <t>Stundensätze eingeben</t>
        </is>
      </c>
    </row>
    <row r="70">
      <c r="A70" s="4" t="inlineStr">
        <is>
          <t>1626.16 BTB-Seckbacher-Landstraße-St.KKH-ZNA</t>
        </is>
      </c>
      <c r="B70" s="4" t="inlineStr">
        <is>
          <t>● (aN) Pos.1 Ergänzung bestehendes BSK bzgl. d. geplanten Umbaus der ZNA im 1.UG + BT B im EG</t>
        </is>
      </c>
      <c r="C70" s="4" t="inlineStr">
        <is>
          <t>Nachweis</t>
        </is>
      </c>
      <c r="D70" s="10" t="inlineStr">
        <is>
          <t>⚠ Manual erforderlich</t>
        </is>
      </c>
      <c r="E70" s="11" t="inlineStr"/>
      <c r="F70" s="11" t="n">
        <v>0</v>
      </c>
      <c r="G70" s="11">
        <f>E70-F70</f>
        <v/>
      </c>
      <c r="H70" s="11" t="n">
        <v/>
      </c>
      <c r="I70" s="11" t="n">
        <v/>
      </c>
      <c r="J70" s="11" t="n">
        <v/>
      </c>
      <c r="K70" s="4" t="inlineStr">
        <is>
          <t>Stundensätze eingeben</t>
        </is>
      </c>
    </row>
    <row r="71">
      <c r="A71" s="4" t="inlineStr">
        <is>
          <t>1640.08 BTB-Bauherr-SLK-HN-1.BA</t>
        </is>
      </c>
      <c r="B71" s="4" t="inlineStr">
        <is>
          <t>● 3000-Entwurfsplanung</t>
        </is>
      </c>
      <c r="C71" s="9" t="inlineStr">
        <is>
          <t>Unbekannt</t>
        </is>
      </c>
      <c r="D71" s="10" t="inlineStr">
        <is>
          <t>⚠ Manual erforderlich</t>
        </is>
      </c>
      <c r="E71" s="11" t="inlineStr"/>
      <c r="F71" s="11" t="n">
        <v>0</v>
      </c>
      <c r="G71" s="11">
        <f>E71-F71</f>
        <v/>
      </c>
      <c r="H71" s="11" t="n">
        <v/>
      </c>
      <c r="I71" s="11" t="n">
        <v/>
      </c>
      <c r="J71" s="11" t="n">
        <v/>
      </c>
      <c r="K71" s="4" t="inlineStr">
        <is>
          <t>Abrechnungsart wählen; Stundensätze eingeben</t>
        </is>
      </c>
    </row>
    <row r="72">
      <c r="A72" s="4" t="inlineStr">
        <is>
          <t>1640.08 BTB-Bauherr-SLK-HN-1.BA</t>
        </is>
      </c>
      <c r="B72" s="4" t="inlineStr">
        <is>
          <t>● 4000-Genehmigungsplanung</t>
        </is>
      </c>
      <c r="C72" s="9" t="inlineStr">
        <is>
          <t>Unbekannt</t>
        </is>
      </c>
      <c r="D72" s="10" t="inlineStr">
        <is>
          <t>⚠ Manual erforderlich</t>
        </is>
      </c>
      <c r="E72" s="11" t="inlineStr"/>
      <c r="F72" s="11" t="n">
        <v>0</v>
      </c>
      <c r="G72" s="11">
        <f>E72-F72</f>
        <v/>
      </c>
      <c r="H72" s="11" t="n">
        <v/>
      </c>
      <c r="I72" s="11" t="n">
        <v/>
      </c>
      <c r="J72" s="11" t="n">
        <v/>
      </c>
      <c r="K72" s="4" t="inlineStr">
        <is>
          <t>Abrechnungsart wählen; Stundensätze eingeben</t>
        </is>
      </c>
    </row>
    <row r="73">
      <c r="A73" s="4" t="inlineStr">
        <is>
          <t>1640.08 BTB-Bauherr-SLK-HN-1.BA</t>
        </is>
      </c>
      <c r="B73" s="4" t="inlineStr">
        <is>
          <t>● 8000-Objektüberwachung</t>
        </is>
      </c>
      <c r="C73" s="9" t="inlineStr">
        <is>
          <t>Unbekannt</t>
        </is>
      </c>
      <c r="D73" s="10" t="inlineStr">
        <is>
          <t>⚠ Manual erforderlich</t>
        </is>
      </c>
      <c r="E73" s="11" t="inlineStr"/>
      <c r="F73" s="11" t="n">
        <v>0</v>
      </c>
      <c r="G73" s="11">
        <f>E73-F73</f>
        <v/>
      </c>
      <c r="H73" s="11" t="n">
        <v/>
      </c>
      <c r="I73" s="11" t="n">
        <v/>
      </c>
      <c r="J73" s="11" t="n">
        <v/>
      </c>
      <c r="K73" s="4" t="inlineStr">
        <is>
          <t>Abrechnungsart wählen; Stundensätze eingeben</t>
        </is>
      </c>
    </row>
    <row r="74">
      <c r="A74" s="4" t="inlineStr">
        <is>
          <t>1660.07 BTB-Vorstadt-2-Oberursel-Bären-Arkaden-Großraumbüro-1.OG</t>
        </is>
      </c>
      <c r="B74" s="4" t="inlineStr">
        <is>
          <t>● (aN) Pos.1 BTB zu Feuerlöscher und Fluchtwegbeschilderung zum Mieterausbau im 1. OG</t>
        </is>
      </c>
      <c r="C74" s="4" t="inlineStr">
        <is>
          <t>Nachweis</t>
        </is>
      </c>
      <c r="D74" s="10" t="inlineStr">
        <is>
          <t>⚠ Manual erforderlich</t>
        </is>
      </c>
      <c r="E74" s="11" t="inlineStr"/>
      <c r="F74" s="11" t="n">
        <v>0</v>
      </c>
      <c r="G74" s="11">
        <f>E74-F74</f>
        <v/>
      </c>
      <c r="H74" s="11" t="n">
        <v/>
      </c>
      <c r="I74" s="11" t="n">
        <v/>
      </c>
      <c r="J74" s="11" t="n">
        <v/>
      </c>
      <c r="K74" s="4" t="inlineStr">
        <is>
          <t>Stundensätze eingeben</t>
        </is>
      </c>
    </row>
    <row r="75">
      <c r="A75" s="4" t="inlineStr">
        <is>
          <t>1686.04 GemLinsengericht-FWP-Hauptstr29-Linsengericht-Bürgersaal</t>
        </is>
      </c>
      <c r="B75" s="4" t="inlineStr">
        <is>
          <t>● (p) Pos. 1 Aktualisierung Feuerwehrpläne</t>
        </is>
      </c>
      <c r="C75" s="4" t="inlineStr">
        <is>
          <t>Pauschale</t>
        </is>
      </c>
      <c r="D75" s="10" t="inlineStr">
        <is>
          <t>⚠ Manual erforderlich</t>
        </is>
      </c>
      <c r="E75" s="11" t="inlineStr"/>
      <c r="F75" s="11" t="n">
        <v>0</v>
      </c>
      <c r="G75" s="11">
        <f>E75-F75</f>
        <v/>
      </c>
      <c r="H75" s="11" t="n">
        <v>0</v>
      </c>
      <c r="I75" s="11" t="n">
        <v>0</v>
      </c>
      <c r="J75" s="11" t="n">
        <v>0</v>
      </c>
      <c r="K75" s="4" t="inlineStr">
        <is>
          <t>Stundensätze eingeben</t>
        </is>
      </c>
    </row>
    <row r="76">
      <c r="A76" s="4" t="inlineStr">
        <is>
          <t>1686.04 GemLinsengericht-FWP-Hauptstr29-Linsengericht-Bürgersaal</t>
        </is>
      </c>
      <c r="B76" s="4" t="inlineStr">
        <is>
          <t>● (p) Pos. 2 Aktualisierung der Bestuhlungspläne mit den Varianten 1,2,3,5</t>
        </is>
      </c>
      <c r="C76" s="4" t="inlineStr">
        <is>
          <t>Pauschale</t>
        </is>
      </c>
      <c r="D76" s="10" t="inlineStr">
        <is>
          <t>⚠ Manual erforderlich</t>
        </is>
      </c>
      <c r="E76" s="11" t="inlineStr"/>
      <c r="F76" s="11" t="n">
        <v>0</v>
      </c>
      <c r="G76" s="11">
        <f>E76-F76</f>
        <v/>
      </c>
      <c r="H76" s="11" t="n">
        <v>0</v>
      </c>
      <c r="I76" s="11" t="n">
        <v>0</v>
      </c>
      <c r="J76" s="11" t="n">
        <v>0</v>
      </c>
      <c r="K76" s="4" t="inlineStr">
        <is>
          <t>Stundensätze eingeben</t>
        </is>
      </c>
    </row>
    <row r="77">
      <c r="A77" s="4" t="inlineStr">
        <is>
          <t>1686.04 GemLinsengericht-FWP-Hauptstr29-Linsengericht-Bürgersaal</t>
        </is>
      </c>
      <c r="B77" s="4" t="inlineStr">
        <is>
          <t>● ADM</t>
        </is>
      </c>
      <c r="C77" s="9" t="inlineStr">
        <is>
          <t>Unbekannt</t>
        </is>
      </c>
      <c r="D77" s="10" t="inlineStr">
        <is>
          <t>⚠ Manual erforderlich</t>
        </is>
      </c>
      <c r="E77" s="11" t="inlineStr"/>
      <c r="F77" s="11" t="n">
        <v>0</v>
      </c>
      <c r="G77" s="11">
        <f>E77-F77</f>
        <v/>
      </c>
      <c r="H77" s="11" t="n">
        <v/>
      </c>
      <c r="I77" s="11" t="n">
        <v/>
      </c>
      <c r="J77" s="11" t="n">
        <v/>
      </c>
      <c r="K77" s="4" t="inlineStr">
        <is>
          <t>Abrechnungsart wählen; Stundensätze eingeben</t>
        </is>
      </c>
    </row>
    <row r="78">
      <c r="A78" s="4" t="inlineStr">
        <is>
          <t>1732.02 BSK-Europa-Allee-120-126-Ffm-TG</t>
        </is>
      </c>
      <c r="B78" s="4" t="inlineStr">
        <is>
          <t>● (p) Pos.1 Ergänzung des bestehenden BSK zur Installation v. Fluchtwegterminals in Rettungswege</t>
        </is>
      </c>
      <c r="C78" s="4" t="inlineStr">
        <is>
          <t>Pauschale</t>
        </is>
      </c>
      <c r="D78" s="10" t="inlineStr">
        <is>
          <t>⚠ Manual erforderlich</t>
        </is>
      </c>
      <c r="E78" s="11" t="inlineStr"/>
      <c r="F78" s="11" t="n">
        <v>0</v>
      </c>
      <c r="G78" s="11">
        <f>E78-F78</f>
        <v/>
      </c>
      <c r="H78" s="11" t="n">
        <v>0</v>
      </c>
      <c r="I78" s="11" t="n">
        <v>0</v>
      </c>
      <c r="J78" s="11" t="n">
        <v>0</v>
      </c>
      <c r="K78" s="4" t="inlineStr">
        <is>
          <t>Stundensätze eingeben</t>
        </is>
      </c>
    </row>
    <row r="79">
      <c r="A79" s="4" t="inlineStr">
        <is>
          <t>1732.02 BSK-Europa-Allee-120-126-Ffm-TG</t>
        </is>
      </c>
      <c r="B79" s="4" t="inlineStr">
        <is>
          <t>● (aN) Pos.2 Baubegl. Brandschutzberatung +Qualitätsüberwachung für d.Durchführung d. BM</t>
        </is>
      </c>
      <c r="C79" s="4" t="inlineStr">
        <is>
          <t>Nachweis</t>
        </is>
      </c>
      <c r="D79" s="10" t="inlineStr">
        <is>
          <t>⚠ Manual erforderlich</t>
        </is>
      </c>
      <c r="E79" s="11" t="inlineStr"/>
      <c r="F79" s="11" t="n">
        <v>0</v>
      </c>
      <c r="G79" s="11">
        <f>E79-F79</f>
        <v/>
      </c>
      <c r="H79" s="11" t="n">
        <v/>
      </c>
      <c r="I79" s="11" t="n">
        <v/>
      </c>
      <c r="J79" s="11" t="n">
        <v/>
      </c>
      <c r="K79" s="4" t="inlineStr">
        <is>
          <t>Stundensätze eingeben</t>
        </is>
      </c>
    </row>
    <row r="80">
      <c r="A80" s="4" t="inlineStr">
        <is>
          <t>1732.02 BSK-Europa-Allee-120-126-Ffm-TG</t>
        </is>
      </c>
      <c r="B80" s="4" t="inlineStr">
        <is>
          <t>● (p) Pos.3 Erstellung FWP inkl. Objektbegehung</t>
        </is>
      </c>
      <c r="C80" s="4" t="inlineStr">
        <is>
          <t>Pauschale</t>
        </is>
      </c>
      <c r="D80" s="10" t="inlineStr">
        <is>
          <t>⚠ Manual erforderlich</t>
        </is>
      </c>
      <c r="E80" s="11" t="inlineStr"/>
      <c r="F80" s="11" t="n">
        <v>0</v>
      </c>
      <c r="G80" s="11">
        <f>E80-F80</f>
        <v/>
      </c>
      <c r="H80" s="11" t="n">
        <v>0</v>
      </c>
      <c r="I80" s="11" t="n">
        <v>0</v>
      </c>
      <c r="J80" s="11" t="n">
        <v>0</v>
      </c>
      <c r="K80" s="4" t="inlineStr">
        <is>
          <t>Stundensätze eingeben</t>
        </is>
      </c>
    </row>
    <row r="81">
      <c r="A81" s="4" t="inlineStr">
        <is>
          <t>1810.01 BSK-Restnutzung-Bahnhof-Lorch</t>
        </is>
      </c>
      <c r="B81" s="4" t="inlineStr">
        <is>
          <t>● BSK bahnbetriebl. Restnutzung (pauschal)</t>
        </is>
      </c>
      <c r="C81" s="9" t="inlineStr">
        <is>
          <t>Unbekannt</t>
        </is>
      </c>
      <c r="D81" s="10" t="inlineStr">
        <is>
          <t>⚠ Manual erforderlich</t>
        </is>
      </c>
      <c r="E81" s="11" t="inlineStr"/>
      <c r="F81" s="11" t="n">
        <v>0</v>
      </c>
      <c r="G81" s="11">
        <f>E81-F81</f>
        <v/>
      </c>
      <c r="H81" s="11" t="n">
        <v/>
      </c>
      <c r="I81" s="11" t="n">
        <v/>
      </c>
      <c r="J81" s="11" t="n">
        <v/>
      </c>
      <c r="K81" s="4" t="inlineStr">
        <is>
          <t>Abrechnungsart wählen; Stundensätze eingeben</t>
        </is>
      </c>
    </row>
    <row r="82">
      <c r="A82" s="4" t="inlineStr">
        <is>
          <t>1810.02 KOF-Bahnhof-Lorch</t>
        </is>
      </c>
      <c r="B82" s="4" t="inlineStr">
        <is>
          <t>● (p) Pos.1 Erstellen Schlussabnahmebescheinigung</t>
        </is>
      </c>
      <c r="C82" s="4" t="inlineStr">
        <is>
          <t>Pauschale</t>
        </is>
      </c>
      <c r="D82" s="10" t="inlineStr">
        <is>
          <t>⚠ Manual erforderlich</t>
        </is>
      </c>
      <c r="E82" s="11" t="inlineStr"/>
      <c r="F82" s="11" t="n">
        <v>0</v>
      </c>
      <c r="G82" s="11">
        <f>E82-F82</f>
        <v/>
      </c>
      <c r="H82" s="11" t="n">
        <v>0</v>
      </c>
      <c r="I82" s="11" t="n">
        <v>0</v>
      </c>
      <c r="J82" s="11" t="n">
        <v>0</v>
      </c>
      <c r="K82" s="4" t="inlineStr">
        <is>
          <t>Stundensätze eingeben</t>
        </is>
      </c>
    </row>
    <row r="83">
      <c r="A83" s="4" t="inlineStr">
        <is>
          <t>1834.01 BSK-uPva-Karlsplatz-Mieter10</t>
        </is>
      </c>
      <c r="B83" s="4" t="inlineStr">
        <is>
          <t>● 3000-Entwurfsplanung</t>
        </is>
      </c>
      <c r="C83" s="9" t="inlineStr">
        <is>
          <t>Unbekannt</t>
        </is>
      </c>
      <c r="D83" s="10" t="inlineStr">
        <is>
          <t>⚠ Manual erforderlich</t>
        </is>
      </c>
      <c r="E83" s="11" t="inlineStr"/>
      <c r="F83" s="11" t="n">
        <v>0</v>
      </c>
      <c r="G83" s="11">
        <f>E83-F83</f>
        <v/>
      </c>
      <c r="H83" s="11" t="n">
        <v/>
      </c>
      <c r="I83" s="11" t="n">
        <v/>
      </c>
      <c r="J83" s="11" t="n">
        <v/>
      </c>
      <c r="K83" s="4" t="inlineStr">
        <is>
          <t>Abrechnungsart wählen; Stundensätze eingeben</t>
        </is>
      </c>
    </row>
    <row r="84">
      <c r="A84" s="4" t="inlineStr">
        <is>
          <t>1834.01 BSK-uPva-Karlsplatz-Mieter10</t>
        </is>
      </c>
      <c r="B84" s="4" t="inlineStr">
        <is>
          <t>● 8000-Objektüberwachung</t>
        </is>
      </c>
      <c r="C84" s="9" t="inlineStr">
        <is>
          <t>Unbekannt</t>
        </is>
      </c>
      <c r="D84" s="10" t="inlineStr">
        <is>
          <t>⚠ Manual erforderlich</t>
        </is>
      </c>
      <c r="E84" s="11" t="inlineStr"/>
      <c r="F84" s="11" t="n">
        <v>0</v>
      </c>
      <c r="G84" s="11">
        <f>E84-F84</f>
        <v/>
      </c>
      <c r="H84" s="11" t="n">
        <v/>
      </c>
      <c r="I84" s="11" t="n">
        <v/>
      </c>
      <c r="J84" s="11" t="n">
        <v/>
      </c>
      <c r="K84" s="4" t="inlineStr">
        <is>
          <t>Abrechnungsart wählen; Stundensätze eingeben</t>
        </is>
      </c>
    </row>
    <row r="85">
      <c r="A85" s="4" t="inlineStr">
        <is>
          <t>1834.02 BSK-uPva-Karlsplatz-Mieter10a</t>
        </is>
      </c>
      <c r="B85" s="4" t="inlineStr">
        <is>
          <t>● 3000-Entwurfsplanung</t>
        </is>
      </c>
      <c r="C85" s="9" t="inlineStr">
        <is>
          <t>Unbekannt</t>
        </is>
      </c>
      <c r="D85" s="10" t="inlineStr">
        <is>
          <t>⚠ Manual erforderlich</t>
        </is>
      </c>
      <c r="E85" s="11" t="inlineStr"/>
      <c r="F85" s="11" t="n">
        <v>0</v>
      </c>
      <c r="G85" s="11">
        <f>E85-F85</f>
        <v/>
      </c>
      <c r="H85" s="11" t="n">
        <v/>
      </c>
      <c r="I85" s="11" t="n">
        <v/>
      </c>
      <c r="J85" s="11" t="n">
        <v/>
      </c>
      <c r="K85" s="4" t="inlineStr">
        <is>
          <t>Abrechnungsart wählen; Stundensätze eingeben</t>
        </is>
      </c>
    </row>
    <row r="86">
      <c r="A86" s="4" t="inlineStr">
        <is>
          <t>1834.02 BSK-uPva-Karlsplatz-Mieter10a</t>
        </is>
      </c>
      <c r="B86" s="4" t="inlineStr">
        <is>
          <t>● 8000-Objektüberwachung</t>
        </is>
      </c>
      <c r="C86" s="9" t="inlineStr">
        <is>
          <t>Unbekannt</t>
        </is>
      </c>
      <c r="D86" s="10" t="inlineStr">
        <is>
          <t>⚠ Manual erforderlich</t>
        </is>
      </c>
      <c r="E86" s="11" t="inlineStr"/>
      <c r="F86" s="11" t="n">
        <v>0</v>
      </c>
      <c r="G86" s="11">
        <f>E86-F86</f>
        <v/>
      </c>
      <c r="H86" s="11" t="n">
        <v/>
      </c>
      <c r="I86" s="11" t="n">
        <v/>
      </c>
      <c r="J86" s="11" t="n">
        <v/>
      </c>
      <c r="K86" s="4" t="inlineStr">
        <is>
          <t>Abrechnungsart wählen; Stundensätze eingeben</t>
        </is>
      </c>
    </row>
    <row r="87">
      <c r="A87" s="4" t="inlineStr">
        <is>
          <t>1914.02 LP5-Fraport-Terminal-T3</t>
        </is>
      </c>
      <c r="B87" s="4" t="inlineStr">
        <is>
          <t>● 5000-Ausführungsplanung</t>
        </is>
      </c>
      <c r="C87" s="9" t="inlineStr">
        <is>
          <t>Unbekannt</t>
        </is>
      </c>
      <c r="D87" s="10" t="inlineStr">
        <is>
          <t>⚠ Manual erforderlich</t>
        </is>
      </c>
      <c r="E87" s="11" t="inlineStr"/>
      <c r="F87" s="11" t="n">
        <v>0</v>
      </c>
      <c r="G87" s="11">
        <f>E87-F87</f>
        <v/>
      </c>
      <c r="H87" s="11" t="n">
        <v/>
      </c>
      <c r="I87" s="11" t="n">
        <v/>
      </c>
      <c r="J87" s="11" t="n">
        <v/>
      </c>
      <c r="K87" s="4" t="inlineStr">
        <is>
          <t>Abrechnungsart wählen; Stundensätze eingeben</t>
        </is>
      </c>
    </row>
    <row r="88">
      <c r="A88" s="4" t="inlineStr">
        <is>
          <t>1914.100 Fraport-Retailer-T3-übergeordnet-NAT107</t>
        </is>
      </c>
      <c r="B88" s="4" t="inlineStr">
        <is>
          <t>● (p) Pos. 1 Brandschutztechnische Beratung</t>
        </is>
      </c>
      <c r="C88" s="4" t="inlineStr">
        <is>
          <t>Pauschale</t>
        </is>
      </c>
      <c r="D88" s="10" t="inlineStr">
        <is>
          <t>⚠ Manual erforderlich</t>
        </is>
      </c>
      <c r="E88" s="11" t="inlineStr"/>
      <c r="F88" s="11" t="n">
        <v>0</v>
      </c>
      <c r="G88" s="11">
        <f>E88-F88</f>
        <v/>
      </c>
      <c r="H88" s="11" t="n">
        <v>0</v>
      </c>
      <c r="I88" s="11" t="n">
        <v>0</v>
      </c>
      <c r="J88" s="11" t="n">
        <v>0</v>
      </c>
      <c r="K88" s="4" t="inlineStr">
        <is>
          <t>Stundensätze eingeben</t>
        </is>
      </c>
    </row>
    <row r="89">
      <c r="A89" s="4" t="inlineStr">
        <is>
          <t>1914.1000 Fraport-Terminal3-div.Nacharbeiten</t>
        </is>
      </c>
      <c r="B89" s="4" t="inlineStr">
        <is>
          <t>● BST Promotionsflächen</t>
        </is>
      </c>
      <c r="C89" s="9" t="inlineStr">
        <is>
          <t>Unbekannt</t>
        </is>
      </c>
      <c r="D89" s="10" t="inlineStr">
        <is>
          <t>⚠ Manual erforderlich</t>
        </is>
      </c>
      <c r="E89" s="11" t="inlineStr"/>
      <c r="F89" s="11" t="n">
        <v>0</v>
      </c>
      <c r="G89" s="11">
        <f>E89-F89</f>
        <v/>
      </c>
      <c r="H89" s="11" t="n">
        <v/>
      </c>
      <c r="I89" s="11" t="n">
        <v/>
      </c>
      <c r="J89" s="11" t="n">
        <v/>
      </c>
      <c r="K89" s="4" t="inlineStr">
        <is>
          <t>Abrechnungsart wählen; Stundensätze eingeben</t>
        </is>
      </c>
    </row>
    <row r="90">
      <c r="A90" s="4" t="inlineStr">
        <is>
          <t>1914.1000 Fraport-Terminal3-div.Nacharbeiten</t>
        </is>
      </c>
      <c r="B90" s="4" t="inlineStr">
        <is>
          <t>● BTB Lining</t>
        </is>
      </c>
      <c r="C90" s="9" t="inlineStr">
        <is>
          <t>Unbekannt</t>
        </is>
      </c>
      <c r="D90" s="10" t="inlineStr">
        <is>
          <t>⚠ Manual erforderlich</t>
        </is>
      </c>
      <c r="E90" s="11" t="inlineStr"/>
      <c r="F90" s="11" t="n">
        <v>0</v>
      </c>
      <c r="G90" s="11">
        <f>E90-F90</f>
        <v/>
      </c>
      <c r="H90" s="11" t="n">
        <v/>
      </c>
      <c r="I90" s="11" t="n">
        <v/>
      </c>
      <c r="J90" s="11" t="n">
        <v/>
      </c>
      <c r="K90" s="4" t="inlineStr">
        <is>
          <t>Abrechnungsart wählen; Stundensätze eingeben</t>
        </is>
      </c>
    </row>
    <row r="91">
      <c r="A91" s="4" t="inlineStr">
        <is>
          <t>1914.1000 Fraport-Terminal3-div.Nacharbeiten</t>
        </is>
      </c>
      <c r="B91" s="4" t="inlineStr">
        <is>
          <t>● Alarmierung ELA/EAN T3</t>
        </is>
      </c>
      <c r="C91" s="9" t="inlineStr">
        <is>
          <t>Unbekannt</t>
        </is>
      </c>
      <c r="D91" s="10" t="inlineStr">
        <is>
          <t>⚠ Manual erforderlich</t>
        </is>
      </c>
      <c r="E91" s="11" t="inlineStr"/>
      <c r="F91" s="11" t="n">
        <v>0</v>
      </c>
      <c r="G91" s="11">
        <f>E91-F91</f>
        <v/>
      </c>
      <c r="H91" s="11" t="n">
        <v/>
      </c>
      <c r="I91" s="11" t="n">
        <v/>
      </c>
      <c r="J91" s="11" t="n">
        <v/>
      </c>
      <c r="K91" s="4" t="inlineStr">
        <is>
          <t>Abrechnungsart wählen; Stundensätze eingeben</t>
        </is>
      </c>
    </row>
    <row r="92">
      <c r="A92" s="4" t="inlineStr">
        <is>
          <t>1914.1000 Fraport-Terminal3-div.Nacharbeiten</t>
        </is>
      </c>
      <c r="B92" s="4" t="inlineStr">
        <is>
          <t>● Projektassistenz</t>
        </is>
      </c>
      <c r="C92" s="9" t="inlineStr">
        <is>
          <t>Unbekannt</t>
        </is>
      </c>
      <c r="D92" s="10" t="inlineStr">
        <is>
          <t>⚠ Manual erforderlich</t>
        </is>
      </c>
      <c r="E92" s="11" t="inlineStr"/>
      <c r="F92" s="11" t="n">
        <v>0</v>
      </c>
      <c r="G92" s="11">
        <f>E92-F92</f>
        <v/>
      </c>
      <c r="H92" s="11" t="n">
        <v/>
      </c>
      <c r="I92" s="11" t="n">
        <v/>
      </c>
      <c r="J92" s="11" t="n">
        <v/>
      </c>
      <c r="K92" s="4" t="inlineStr">
        <is>
          <t>Abrechnungsart wählen; Stundensätze eingeben</t>
        </is>
      </c>
    </row>
    <row r="93">
      <c r="A93" s="4" t="inlineStr">
        <is>
          <t>1914.1000 Fraport-Terminal3-div.Nacharbeiten</t>
        </is>
      </c>
      <c r="B93" s="4" t="inlineStr">
        <is>
          <t>● Parkhaus</t>
        </is>
      </c>
      <c r="C93" s="9" t="inlineStr">
        <is>
          <t>Unbekannt</t>
        </is>
      </c>
      <c r="D93" s="10" t="inlineStr">
        <is>
          <t>⚠ Manual erforderlich</t>
        </is>
      </c>
      <c r="E93" s="11" t="inlineStr"/>
      <c r="F93" s="11" t="n">
        <v>0</v>
      </c>
      <c r="G93" s="11">
        <f>E93-F93</f>
        <v/>
      </c>
      <c r="H93" s="11" t="n">
        <v/>
      </c>
      <c r="I93" s="11" t="n">
        <v/>
      </c>
      <c r="J93" s="11" t="n">
        <v/>
      </c>
      <c r="K93" s="4" t="inlineStr">
        <is>
          <t>Abrechnungsart wählen; Stundensätze eingeben</t>
        </is>
      </c>
    </row>
    <row r="94">
      <c r="A94" s="4" t="inlineStr">
        <is>
          <t>1914.1000 Fraport-Terminal3-div.Nacharbeiten</t>
        </is>
      </c>
      <c r="B94" s="4" t="inlineStr">
        <is>
          <t>● ORAT Brandschutz</t>
        </is>
      </c>
      <c r="C94" s="9" t="inlineStr">
        <is>
          <t>Unbekannt</t>
        </is>
      </c>
      <c r="D94" s="10" t="inlineStr">
        <is>
          <t>⚠ Manual erforderlich</t>
        </is>
      </c>
      <c r="E94" s="11" t="inlineStr"/>
      <c r="F94" s="11" t="n">
        <v>0</v>
      </c>
      <c r="G94" s="11">
        <f>E94-F94</f>
        <v/>
      </c>
      <c r="H94" s="11" t="n">
        <v/>
      </c>
      <c r="I94" s="11" t="n">
        <v/>
      </c>
      <c r="J94" s="11" t="n">
        <v/>
      </c>
      <c r="K94" s="4" t="inlineStr">
        <is>
          <t>Abrechnungsart wählen; Stundensätze eingeben</t>
        </is>
      </c>
    </row>
    <row r="95">
      <c r="A95" s="4" t="inlineStr">
        <is>
          <t>1914.1000 Fraport-Terminal3-div.Nacharbeiten</t>
        </is>
      </c>
      <c r="B95" s="4" t="inlineStr">
        <is>
          <t>● Nachbearbeitung Rauchversuche</t>
        </is>
      </c>
      <c r="C95" s="9" t="inlineStr">
        <is>
          <t>Unbekannt</t>
        </is>
      </c>
      <c r="D95" s="10" t="inlineStr">
        <is>
          <t>⚠ Manual erforderlich</t>
        </is>
      </c>
      <c r="E95" s="11" t="inlineStr"/>
      <c r="F95" s="11" t="n">
        <v>0</v>
      </c>
      <c r="G95" s="11">
        <f>E95-F95</f>
        <v/>
      </c>
      <c r="H95" s="11" t="n">
        <v/>
      </c>
      <c r="I95" s="11" t="n">
        <v/>
      </c>
      <c r="J95" s="11" t="n">
        <v/>
      </c>
      <c r="K95" s="4" t="inlineStr">
        <is>
          <t>Abrechnungsart wählen; Stundensätze eingeben</t>
        </is>
      </c>
    </row>
    <row r="96">
      <c r="A96" s="4" t="inlineStr">
        <is>
          <t>1914.1000 Fraport-Terminal3-div.Nacharbeiten</t>
        </is>
      </c>
      <c r="B96" s="4" t="inlineStr">
        <is>
          <t>● Aufstellung BBA Bereiche</t>
        </is>
      </c>
      <c r="C96" s="9" t="inlineStr">
        <is>
          <t>Unbekannt</t>
        </is>
      </c>
      <c r="D96" s="10" t="inlineStr">
        <is>
          <t>⚠ Manual erforderlich</t>
        </is>
      </c>
      <c r="E96" s="11" t="inlineStr"/>
      <c r="F96" s="11" t="n">
        <v>0</v>
      </c>
      <c r="G96" s="11">
        <f>E96-F96</f>
        <v/>
      </c>
      <c r="H96" s="11" t="n">
        <v/>
      </c>
      <c r="I96" s="11" t="n">
        <v/>
      </c>
      <c r="J96" s="11" t="n">
        <v/>
      </c>
      <c r="K96" s="4" t="inlineStr">
        <is>
          <t>Abrechnungsart wählen; Stundensätze eingeben</t>
        </is>
      </c>
    </row>
    <row r="97">
      <c r="A97" s="4" t="inlineStr">
        <is>
          <t>1914.1000 Fraport-Terminal3-div.Nacharbeiten</t>
        </is>
      </c>
      <c r="B97" s="4" t="inlineStr">
        <is>
          <t>● PTS - Fluchtwegbeschilderung</t>
        </is>
      </c>
      <c r="C97" s="9" t="inlineStr">
        <is>
          <t>Unbekannt</t>
        </is>
      </c>
      <c r="D97" s="10" t="inlineStr">
        <is>
          <t>⚠ Manual erforderlich</t>
        </is>
      </c>
      <c r="E97" s="11" t="inlineStr"/>
      <c r="F97" s="11" t="n">
        <v>0</v>
      </c>
      <c r="G97" s="11">
        <f>E97-F97</f>
        <v/>
      </c>
      <c r="H97" s="11" t="n">
        <v/>
      </c>
      <c r="I97" s="11" t="n">
        <v/>
      </c>
      <c r="J97" s="11" t="n">
        <v/>
      </c>
      <c r="K97" s="4" t="inlineStr">
        <is>
          <t>Abrechnungsart wählen; Stundensätze eingeben</t>
        </is>
      </c>
    </row>
    <row r="98">
      <c r="A98" s="4" t="inlineStr">
        <is>
          <t>1914.1000 Fraport-Terminal3-div.Nacharbeiten</t>
        </is>
      </c>
      <c r="B98" s="4" t="inlineStr">
        <is>
          <t>● E-Wagenstellplätze THG + PTS</t>
        </is>
      </c>
      <c r="C98" s="9" t="inlineStr">
        <is>
          <t>Unbekannt</t>
        </is>
      </c>
      <c r="D98" s="10" t="inlineStr">
        <is>
          <t>⚠ Manual erforderlich</t>
        </is>
      </c>
      <c r="E98" s="11" t="inlineStr"/>
      <c r="F98" s="11" t="n">
        <v>0</v>
      </c>
      <c r="G98" s="11">
        <f>E98-F98</f>
        <v/>
      </c>
      <c r="H98" s="11" t="n">
        <v/>
      </c>
      <c r="I98" s="11" t="n">
        <v/>
      </c>
      <c r="J98" s="11" t="n">
        <v/>
      </c>
      <c r="K98" s="4" t="inlineStr">
        <is>
          <t>Abrechnungsart wählen; Stundensätze eingeben</t>
        </is>
      </c>
    </row>
    <row r="99">
      <c r="A99" s="4" t="inlineStr">
        <is>
          <t>1914.1000 Fraport-Terminal3-div.Nacharbeiten</t>
        </is>
      </c>
      <c r="B99" s="4" t="inlineStr">
        <is>
          <t>● Umbauten Airline-Büros</t>
        </is>
      </c>
      <c r="C99" s="9" t="inlineStr">
        <is>
          <t>Unbekannt</t>
        </is>
      </c>
      <c r="D99" s="10" t="inlineStr">
        <is>
          <t>⚠ Manual erforderlich</t>
        </is>
      </c>
      <c r="E99" s="11" t="inlineStr"/>
      <c r="F99" s="11" t="n">
        <v>0</v>
      </c>
      <c r="G99" s="11">
        <f>E99-F99</f>
        <v/>
      </c>
      <c r="H99" s="11" t="n">
        <v/>
      </c>
      <c r="I99" s="11" t="n">
        <v/>
      </c>
      <c r="J99" s="11" t="n">
        <v/>
      </c>
      <c r="K99" s="4" t="inlineStr">
        <is>
          <t>Abrechnungsart wählen; Stundensätze eingeben</t>
        </is>
      </c>
    </row>
    <row r="100">
      <c r="A100" s="4" t="inlineStr">
        <is>
          <t>1914.101 Retailer-T3-Lagardère Travel Retail Deutschland GmbH</t>
        </is>
      </c>
      <c r="B100" s="4" t="inlineStr">
        <is>
          <t>● (aN) Brandschutztechnische Beratung</t>
        </is>
      </c>
      <c r="C100" s="4" t="inlineStr">
        <is>
          <t>Nachweis</t>
        </is>
      </c>
      <c r="D100" s="10" t="inlineStr">
        <is>
          <t>⚠ Manual erforderlich</t>
        </is>
      </c>
      <c r="E100" s="11" t="inlineStr"/>
      <c r="F100" s="11" t="n">
        <v>0</v>
      </c>
      <c r="G100" s="11">
        <f>E100-F100</f>
        <v/>
      </c>
      <c r="H100" s="11" t="n">
        <v/>
      </c>
      <c r="I100" s="11" t="n">
        <v/>
      </c>
      <c r="J100" s="11" t="n">
        <v/>
      </c>
      <c r="K100" s="4" t="inlineStr">
        <is>
          <t>Stundensätze eingeben</t>
        </is>
      </c>
    </row>
    <row r="101">
      <c r="A101" s="4" t="inlineStr">
        <is>
          <t>1914.101 Retailer-T3-Lagardère Travel Retail Deutschland GmbH</t>
        </is>
      </c>
      <c r="B101" s="4" t="inlineStr">
        <is>
          <t>● (aN) Erstellung Brandschutztechnische Stellungnahme</t>
        </is>
      </c>
      <c r="C101" s="4" t="inlineStr">
        <is>
          <t>Nachweis</t>
        </is>
      </c>
      <c r="D101" s="10" t="inlineStr">
        <is>
          <t>⚠ Manual erforderlich</t>
        </is>
      </c>
      <c r="E101" s="11" t="inlineStr"/>
      <c r="F101" s="11" t="n">
        <v>0</v>
      </c>
      <c r="G101" s="11">
        <f>E101-F101</f>
        <v/>
      </c>
      <c r="H101" s="11" t="n">
        <v/>
      </c>
      <c r="I101" s="11" t="n">
        <v/>
      </c>
      <c r="J101" s="11" t="n">
        <v/>
      </c>
      <c r="K101" s="4" t="inlineStr">
        <is>
          <t>Stundensätze eingeben</t>
        </is>
      </c>
    </row>
    <row r="102">
      <c r="A102" s="4" t="inlineStr">
        <is>
          <t>1914.101 Retailer-T3-Lagardère Travel Retail Deutschland GmbH</t>
        </is>
      </c>
      <c r="B102" s="4" t="inlineStr">
        <is>
          <t>● (aN) Teilnahme an Besprechungen</t>
        </is>
      </c>
      <c r="C102" s="4" t="inlineStr">
        <is>
          <t>Nachweis</t>
        </is>
      </c>
      <c r="D102" s="10" t="inlineStr">
        <is>
          <t>⚠ Manual erforderlich</t>
        </is>
      </c>
      <c r="E102" s="11" t="inlineStr"/>
      <c r="F102" s="11" t="n">
        <v>0</v>
      </c>
      <c r="G102" s="11">
        <f>E102-F102</f>
        <v/>
      </c>
      <c r="H102" s="11" t="n">
        <v/>
      </c>
      <c r="I102" s="11" t="n">
        <v/>
      </c>
      <c r="J102" s="11" t="n">
        <v/>
      </c>
      <c r="K102" s="4" t="inlineStr">
        <is>
          <t>Stundensätze eingeben</t>
        </is>
      </c>
    </row>
    <row r="103">
      <c r="A103" s="4" t="inlineStr">
        <is>
          <t>1914.102 Retailer-T3-Lagardère Travel Retail Deutschland Foodservice GmbH</t>
        </is>
      </c>
      <c r="B103" s="4" t="inlineStr">
        <is>
          <t>● (a.N) Brandschutztechnische Beratung</t>
        </is>
      </c>
      <c r="C103" s="9" t="inlineStr">
        <is>
          <t>Unbekannt</t>
        </is>
      </c>
      <c r="D103" s="10" t="inlineStr">
        <is>
          <t>⚠ Manual erforderlich</t>
        </is>
      </c>
      <c r="E103" s="11" t="inlineStr"/>
      <c r="F103" s="11" t="n">
        <v>0</v>
      </c>
      <c r="G103" s="11">
        <f>E103-F103</f>
        <v/>
      </c>
      <c r="H103" s="11" t="n">
        <v/>
      </c>
      <c r="I103" s="11" t="n">
        <v/>
      </c>
      <c r="J103" s="11" t="n">
        <v/>
      </c>
      <c r="K103" s="4" t="inlineStr">
        <is>
          <t>Abrechnungsart wählen; Stundensätze eingeben</t>
        </is>
      </c>
    </row>
    <row r="104">
      <c r="A104" s="4" t="inlineStr">
        <is>
          <t>1914.102 Retailer-T3-Lagardère Travel Retail Deutschland Foodservice GmbH</t>
        </is>
      </c>
      <c r="B104" s="4" t="inlineStr">
        <is>
          <t>● (a.N) Erstellung Brandschutztechnische Stellungnahme</t>
        </is>
      </c>
      <c r="C104" s="9" t="inlineStr">
        <is>
          <t>Unbekannt</t>
        </is>
      </c>
      <c r="D104" s="10" t="inlineStr">
        <is>
          <t>⚠ Manual erforderlich</t>
        </is>
      </c>
      <c r="E104" s="11" t="inlineStr"/>
      <c r="F104" s="11" t="n">
        <v>0</v>
      </c>
      <c r="G104" s="11">
        <f>E104-F104</f>
        <v/>
      </c>
      <c r="H104" s="11" t="n">
        <v/>
      </c>
      <c r="I104" s="11" t="n">
        <v/>
      </c>
      <c r="J104" s="11" t="n">
        <v/>
      </c>
      <c r="K104" s="4" t="inlineStr">
        <is>
          <t>Abrechnungsart wählen; Stundensätze eingeben</t>
        </is>
      </c>
    </row>
    <row r="105">
      <c r="A105" s="4" t="inlineStr">
        <is>
          <t>1914.102 Retailer-T3-Lagardère Travel Retail Deutschland Foodservice GmbH</t>
        </is>
      </c>
      <c r="B105" s="4" t="inlineStr">
        <is>
          <t>● (a.N) Teilnahme an Besprechungen</t>
        </is>
      </c>
      <c r="C105" s="9" t="inlineStr">
        <is>
          <t>Unbekannt</t>
        </is>
      </c>
      <c r="D105" s="10" t="inlineStr">
        <is>
          <t>⚠ Manual erforderlich</t>
        </is>
      </c>
      <c r="E105" s="11" t="inlineStr"/>
      <c r="F105" s="11" t="n">
        <v>0</v>
      </c>
      <c r="G105" s="11">
        <f>E105-F105</f>
        <v/>
      </c>
      <c r="H105" s="11" t="n">
        <v/>
      </c>
      <c r="I105" s="11" t="n">
        <v/>
      </c>
      <c r="J105" s="11" t="n">
        <v/>
      </c>
      <c r="K105" s="4" t="inlineStr">
        <is>
          <t>Abrechnungsart wählen; Stundensätze eingeben</t>
        </is>
      </c>
    </row>
    <row r="106">
      <c r="A106" s="4" t="inlineStr">
        <is>
          <t>1914.103 Retailer-T3-Wöllhaf Retail GmbH</t>
        </is>
      </c>
      <c r="B106" s="4" t="inlineStr">
        <is>
          <t>● (a.N) Brandschutztechnische Beratung</t>
        </is>
      </c>
      <c r="C106" s="9" t="inlineStr">
        <is>
          <t>Unbekannt</t>
        </is>
      </c>
      <c r="D106" s="10" t="inlineStr">
        <is>
          <t>⚠ Manual erforderlich</t>
        </is>
      </c>
      <c r="E106" s="11" t="inlineStr"/>
      <c r="F106" s="11" t="n">
        <v>0</v>
      </c>
      <c r="G106" s="11">
        <f>E106-F106</f>
        <v/>
      </c>
      <c r="H106" s="11" t="n">
        <v/>
      </c>
      <c r="I106" s="11" t="n">
        <v/>
      </c>
      <c r="J106" s="11" t="n">
        <v/>
      </c>
      <c r="K106" s="4" t="inlineStr">
        <is>
          <t>Abrechnungsart wählen; Stundensätze eingeben</t>
        </is>
      </c>
    </row>
    <row r="107">
      <c r="A107" s="4" t="inlineStr">
        <is>
          <t>1914.103 Retailer-T3-Wöllhaf Retail GmbH</t>
        </is>
      </c>
      <c r="B107" s="4" t="inlineStr">
        <is>
          <t>● (a.N) Erstellung Brandschutztechnische Stellungnahme</t>
        </is>
      </c>
      <c r="C107" s="9" t="inlineStr">
        <is>
          <t>Unbekannt</t>
        </is>
      </c>
      <c r="D107" s="10" t="inlineStr">
        <is>
          <t>⚠ Manual erforderlich</t>
        </is>
      </c>
      <c r="E107" s="11" t="inlineStr"/>
      <c r="F107" s="11" t="n">
        <v>0</v>
      </c>
      <c r="G107" s="11">
        <f>E107-F107</f>
        <v/>
      </c>
      <c r="H107" s="11" t="n">
        <v/>
      </c>
      <c r="I107" s="11" t="n">
        <v/>
      </c>
      <c r="J107" s="11" t="n">
        <v/>
      </c>
      <c r="K107" s="4" t="inlineStr">
        <is>
          <t>Abrechnungsart wählen; Stundensätze eingeben</t>
        </is>
      </c>
    </row>
    <row r="108">
      <c r="A108" s="4" t="inlineStr">
        <is>
          <t>1914.103 Retailer-T3-Wöllhaf Retail GmbH</t>
        </is>
      </c>
      <c r="B108" s="4" t="inlineStr">
        <is>
          <t>● (a.N) Teilnahme an Besprechungen</t>
        </is>
      </c>
      <c r="C108" s="9" t="inlineStr">
        <is>
          <t>Unbekannt</t>
        </is>
      </c>
      <c r="D108" s="10" t="inlineStr">
        <is>
          <t>⚠ Manual erforderlich</t>
        </is>
      </c>
      <c r="E108" s="11" t="inlineStr"/>
      <c r="F108" s="11" t="n">
        <v>0</v>
      </c>
      <c r="G108" s="11">
        <f>E108-F108</f>
        <v/>
      </c>
      <c r="H108" s="11" t="n">
        <v/>
      </c>
      <c r="I108" s="11" t="n">
        <v/>
      </c>
      <c r="J108" s="11" t="n">
        <v/>
      </c>
      <c r="K108" s="4" t="inlineStr">
        <is>
          <t>Abrechnungsart wählen; Stundensätze eingeben</t>
        </is>
      </c>
    </row>
    <row r="109">
      <c r="A109" s="4" t="inlineStr">
        <is>
          <t>1914.104 Retailer-Autogrill Deutschland GmbH</t>
        </is>
      </c>
      <c r="B109" s="4" t="inlineStr">
        <is>
          <t>● (aN) Brandschutztechnische Beratung</t>
        </is>
      </c>
      <c r="C109" s="4" t="inlineStr">
        <is>
          <t>Nachweis</t>
        </is>
      </c>
      <c r="D109" s="10" t="inlineStr">
        <is>
          <t>⚠ Manual erforderlich</t>
        </is>
      </c>
      <c r="E109" s="11" t="inlineStr"/>
      <c r="F109" s="11" t="n">
        <v>0</v>
      </c>
      <c r="G109" s="11">
        <f>E109-F109</f>
        <v/>
      </c>
      <c r="H109" s="11" t="n">
        <v/>
      </c>
      <c r="I109" s="11" t="n">
        <v/>
      </c>
      <c r="J109" s="11" t="n">
        <v/>
      </c>
      <c r="K109" s="4" t="inlineStr">
        <is>
          <t>Stundensätze eingeben</t>
        </is>
      </c>
    </row>
    <row r="110">
      <c r="A110" s="4" t="inlineStr">
        <is>
          <t>1914.104 Retailer-Autogrill Deutschland GmbH</t>
        </is>
      </c>
      <c r="B110" s="4" t="inlineStr">
        <is>
          <t>● (aN) Erstellung Brandschutztechnische Stellungnahme</t>
        </is>
      </c>
      <c r="C110" s="4" t="inlineStr">
        <is>
          <t>Nachweis</t>
        </is>
      </c>
      <c r="D110" s="10" t="inlineStr">
        <is>
          <t>⚠ Manual erforderlich</t>
        </is>
      </c>
      <c r="E110" s="11" t="inlineStr"/>
      <c r="F110" s="11" t="n">
        <v>0</v>
      </c>
      <c r="G110" s="11">
        <f>E110-F110</f>
        <v/>
      </c>
      <c r="H110" s="11" t="n">
        <v/>
      </c>
      <c r="I110" s="11" t="n">
        <v/>
      </c>
      <c r="J110" s="11" t="n">
        <v/>
      </c>
      <c r="K110" s="4" t="inlineStr">
        <is>
          <t>Stundensätze eingeben</t>
        </is>
      </c>
    </row>
    <row r="111">
      <c r="A111" s="4" t="inlineStr">
        <is>
          <t>1914.104 Retailer-Autogrill Deutschland GmbH</t>
        </is>
      </c>
      <c r="B111" s="4" t="inlineStr">
        <is>
          <t>● (aN) Teilnahme an Besprechungen</t>
        </is>
      </c>
      <c r="C111" s="4" t="inlineStr">
        <is>
          <t>Nachweis</t>
        </is>
      </c>
      <c r="D111" s="10" t="inlineStr">
        <is>
          <t>⚠ Manual erforderlich</t>
        </is>
      </c>
      <c r="E111" s="11" t="inlineStr"/>
      <c r="F111" s="11" t="n">
        <v>0</v>
      </c>
      <c r="G111" s="11">
        <f>E111-F111</f>
        <v/>
      </c>
      <c r="H111" s="11" t="n">
        <v/>
      </c>
      <c r="I111" s="11" t="n">
        <v/>
      </c>
      <c r="J111" s="11" t="n">
        <v/>
      </c>
      <c r="K111" s="4" t="inlineStr">
        <is>
          <t>Stundensätze eingeben</t>
        </is>
      </c>
    </row>
    <row r="112">
      <c r="A112" s="4" t="inlineStr">
        <is>
          <t>1914.105 Retailer-Sunglass-Hut-T3-Luxottica</t>
        </is>
      </c>
      <c r="B112" s="4" t="inlineStr">
        <is>
          <t>● (aN) Brandschutztechnische Beratung</t>
        </is>
      </c>
      <c r="C112" s="4" t="inlineStr">
        <is>
          <t>Nachweis</t>
        </is>
      </c>
      <c r="D112" s="10" t="inlineStr">
        <is>
          <t>⚠ Manual erforderlich</t>
        </is>
      </c>
      <c r="E112" s="11" t="inlineStr"/>
      <c r="F112" s="11" t="n">
        <v>0</v>
      </c>
      <c r="G112" s="11">
        <f>E112-F112</f>
        <v/>
      </c>
      <c r="H112" s="11" t="n">
        <v/>
      </c>
      <c r="I112" s="11" t="n">
        <v/>
      </c>
      <c r="J112" s="11" t="n">
        <v/>
      </c>
      <c r="K112" s="4" t="inlineStr">
        <is>
          <t>Stundensätze eingeben</t>
        </is>
      </c>
    </row>
    <row r="113">
      <c r="A113" s="4" t="inlineStr">
        <is>
          <t>1914.105 Retailer-Sunglass-Hut-T3-Luxottica</t>
        </is>
      </c>
      <c r="B113" s="4" t="inlineStr">
        <is>
          <t>● (aN) Erstellung Brandschutztechnische Stellungnahme</t>
        </is>
      </c>
      <c r="C113" s="4" t="inlineStr">
        <is>
          <t>Nachweis</t>
        </is>
      </c>
      <c r="D113" s="10" t="inlineStr">
        <is>
          <t>⚠ Manual erforderlich</t>
        </is>
      </c>
      <c r="E113" s="11" t="inlineStr"/>
      <c r="F113" s="11" t="n">
        <v>0</v>
      </c>
      <c r="G113" s="11">
        <f>E113-F113</f>
        <v/>
      </c>
      <c r="H113" s="11" t="n">
        <v/>
      </c>
      <c r="I113" s="11" t="n">
        <v/>
      </c>
      <c r="J113" s="11" t="n">
        <v/>
      </c>
      <c r="K113" s="4" t="inlineStr">
        <is>
          <t>Stundensätze eingeben</t>
        </is>
      </c>
    </row>
    <row r="114">
      <c r="A114" s="4" t="inlineStr">
        <is>
          <t>1914.105 Retailer-Sunglass-Hut-T3-Luxottica</t>
        </is>
      </c>
      <c r="B114" s="4" t="inlineStr">
        <is>
          <t>● (aN) Teilnahme an Besprechungen</t>
        </is>
      </c>
      <c r="C114" s="4" t="inlineStr">
        <is>
          <t>Nachweis</t>
        </is>
      </c>
      <c r="D114" s="10" t="inlineStr">
        <is>
          <t>⚠ Manual erforderlich</t>
        </is>
      </c>
      <c r="E114" s="11" t="inlineStr"/>
      <c r="F114" s="11" t="n">
        <v>0</v>
      </c>
      <c r="G114" s="11">
        <f>E114-F114</f>
        <v/>
      </c>
      <c r="H114" s="11" t="n">
        <v/>
      </c>
      <c r="I114" s="11" t="n">
        <v/>
      </c>
      <c r="J114" s="11" t="n">
        <v/>
      </c>
      <c r="K114" s="4" t="inlineStr">
        <is>
          <t>Stundensätze eingeben</t>
        </is>
      </c>
    </row>
    <row r="115">
      <c r="A115" s="4" t="inlineStr">
        <is>
          <t>1914.105_1 Retailer-BAB-Sunglass-Hut-T3-Luxottica</t>
        </is>
      </c>
      <c r="B115" s="4" t="inlineStr">
        <is>
          <t>● (aN) BAB</t>
        </is>
      </c>
      <c r="C115" s="4" t="inlineStr">
        <is>
          <t>Nachweis</t>
        </is>
      </c>
      <c r="D115" s="10" t="inlineStr">
        <is>
          <t>⚠ Manual erforderlich</t>
        </is>
      </c>
      <c r="E115" s="11" t="inlineStr"/>
      <c r="F115" s="11" t="n">
        <v>0</v>
      </c>
      <c r="G115" s="11">
        <f>E115-F115</f>
        <v/>
      </c>
      <c r="H115" s="11" t="n">
        <v/>
      </c>
      <c r="I115" s="11" t="n">
        <v/>
      </c>
      <c r="J115" s="11" t="n">
        <v/>
      </c>
      <c r="K115" s="4" t="inlineStr">
        <is>
          <t>Stundensätze eingeben</t>
        </is>
      </c>
    </row>
    <row r="116">
      <c r="A116" s="4" t="inlineStr">
        <is>
          <t>1914.105_1 Retailer-BAB-Sunglass-Hut-T3-Luxottica</t>
        </is>
      </c>
      <c r="B116" s="4" t="inlineStr">
        <is>
          <t>● (p) Admin</t>
        </is>
      </c>
      <c r="C116" s="4" t="inlineStr">
        <is>
          <t>Pauschale</t>
        </is>
      </c>
      <c r="D116" s="10" t="inlineStr">
        <is>
          <t>⚠ Manual erforderlich</t>
        </is>
      </c>
      <c r="E116" s="11" t="inlineStr"/>
      <c r="F116" s="11" t="n">
        <v>0</v>
      </c>
      <c r="G116" s="11">
        <f>E116-F116</f>
        <v/>
      </c>
      <c r="H116" s="11" t="n">
        <v>0</v>
      </c>
      <c r="I116" s="11" t="n">
        <v>0</v>
      </c>
      <c r="J116" s="11" t="n">
        <v>0</v>
      </c>
      <c r="K116" s="4" t="inlineStr">
        <is>
          <t>Stundensätze eingeben</t>
        </is>
      </c>
    </row>
    <row r="117">
      <c r="A117" s="4" t="inlineStr">
        <is>
          <t>1914.106 Retailer-Global-Blue</t>
        </is>
      </c>
      <c r="B117" s="4" t="inlineStr">
        <is>
          <t>● (aN) Brandschutztechnische Beratung</t>
        </is>
      </c>
      <c r="C117" s="4" t="inlineStr">
        <is>
          <t>Nachweis</t>
        </is>
      </c>
      <c r="D117" s="10" t="inlineStr">
        <is>
          <t>⚠ Manual erforderlich</t>
        </is>
      </c>
      <c r="E117" s="11" t="inlineStr"/>
      <c r="F117" s="11" t="n">
        <v>0</v>
      </c>
      <c r="G117" s="11">
        <f>E117-F117</f>
        <v/>
      </c>
      <c r="H117" s="11" t="n">
        <v/>
      </c>
      <c r="I117" s="11" t="n">
        <v/>
      </c>
      <c r="J117" s="11" t="n">
        <v/>
      </c>
      <c r="K117" s="4" t="inlineStr">
        <is>
          <t>Stundensätze eingeben</t>
        </is>
      </c>
    </row>
    <row r="118">
      <c r="A118" s="4" t="inlineStr">
        <is>
          <t>1914.106 Retailer-Global-Blue</t>
        </is>
      </c>
      <c r="B118" s="4" t="inlineStr">
        <is>
          <t>● (aN) Erstellung Brandschutztechnische Stellungnahme</t>
        </is>
      </c>
      <c r="C118" s="4" t="inlineStr">
        <is>
          <t>Nachweis</t>
        </is>
      </c>
      <c r="D118" s="10" t="inlineStr">
        <is>
          <t>⚠ Manual erforderlich</t>
        </is>
      </c>
      <c r="E118" s="11" t="inlineStr"/>
      <c r="F118" s="11" t="n">
        <v>0</v>
      </c>
      <c r="G118" s="11">
        <f>E118-F118</f>
        <v/>
      </c>
      <c r="H118" s="11" t="n">
        <v/>
      </c>
      <c r="I118" s="11" t="n">
        <v/>
      </c>
      <c r="J118" s="11" t="n">
        <v/>
      </c>
      <c r="K118" s="4" t="inlineStr">
        <is>
          <t>Stundensätze eingeben</t>
        </is>
      </c>
    </row>
    <row r="119">
      <c r="A119" s="4" t="inlineStr">
        <is>
          <t>1914.106 Retailer-Global-Blue</t>
        </is>
      </c>
      <c r="B119" s="4" t="inlineStr">
        <is>
          <t>● (aN) Teilnahme an Besprechungen</t>
        </is>
      </c>
      <c r="C119" s="4" t="inlineStr">
        <is>
          <t>Nachweis</t>
        </is>
      </c>
      <c r="D119" s="10" t="inlineStr">
        <is>
          <t>⚠ Manual erforderlich</t>
        </is>
      </c>
      <c r="E119" s="11" t="inlineStr"/>
      <c r="F119" s="11" t="n">
        <v>0</v>
      </c>
      <c r="G119" s="11">
        <f>E119-F119</f>
        <v/>
      </c>
      <c r="H119" s="11" t="n">
        <v/>
      </c>
      <c r="I119" s="11" t="n">
        <v/>
      </c>
      <c r="J119" s="11" t="n">
        <v/>
      </c>
      <c r="K119" s="4" t="inlineStr">
        <is>
          <t>Stundensätze eingeben</t>
        </is>
      </c>
    </row>
    <row r="120">
      <c r="A120" s="4" t="inlineStr">
        <is>
          <t>1914.107 Retailer-Ganter-Interior-GmbH-Longchamp</t>
        </is>
      </c>
      <c r="B120" s="4" t="inlineStr">
        <is>
          <t>● (aN) Brandschutztechnische Beratung</t>
        </is>
      </c>
      <c r="C120" s="4" t="inlineStr">
        <is>
          <t>Nachweis</t>
        </is>
      </c>
      <c r="D120" s="10" t="inlineStr">
        <is>
          <t>⚠ Manual erforderlich</t>
        </is>
      </c>
      <c r="E120" s="11" t="inlineStr"/>
      <c r="F120" s="11" t="n">
        <v>0</v>
      </c>
      <c r="G120" s="11">
        <f>E120-F120</f>
        <v/>
      </c>
      <c r="H120" s="11" t="n">
        <v/>
      </c>
      <c r="I120" s="11" t="n">
        <v/>
      </c>
      <c r="J120" s="11" t="n">
        <v/>
      </c>
      <c r="K120" s="4" t="inlineStr">
        <is>
          <t>Stundensätze eingeben</t>
        </is>
      </c>
    </row>
    <row r="121">
      <c r="A121" s="4" t="inlineStr">
        <is>
          <t>1914.107 Retailer-Ganter-Interior-GmbH-Longchamp</t>
        </is>
      </c>
      <c r="B121" s="4" t="inlineStr">
        <is>
          <t>● (aN) Erstellung Brandschutztechnische Stellungnahme</t>
        </is>
      </c>
      <c r="C121" s="4" t="inlineStr">
        <is>
          <t>Nachweis</t>
        </is>
      </c>
      <c r="D121" s="10" t="inlineStr">
        <is>
          <t>⚠ Manual erforderlich</t>
        </is>
      </c>
      <c r="E121" s="11" t="inlineStr"/>
      <c r="F121" s="11" t="n">
        <v>0</v>
      </c>
      <c r="G121" s="11">
        <f>E121-F121</f>
        <v/>
      </c>
      <c r="H121" s="11" t="n">
        <v/>
      </c>
      <c r="I121" s="11" t="n">
        <v/>
      </c>
      <c r="J121" s="11" t="n">
        <v/>
      </c>
      <c r="K121" s="4" t="inlineStr">
        <is>
          <t>Stundensätze eingeben</t>
        </is>
      </c>
    </row>
    <row r="122">
      <c r="A122" s="4" t="inlineStr">
        <is>
          <t>1914.107 Retailer-Ganter-Interior-GmbH-Longchamp</t>
        </is>
      </c>
      <c r="B122" s="4" t="inlineStr">
        <is>
          <t>● (aN) Teilnahme an Besprechungen</t>
        </is>
      </c>
      <c r="C122" s="4" t="inlineStr">
        <is>
          <t>Nachweis</t>
        </is>
      </c>
      <c r="D122" s="10" t="inlineStr">
        <is>
          <t>⚠ Manual erforderlich</t>
        </is>
      </c>
      <c r="E122" s="11" t="inlineStr"/>
      <c r="F122" s="11" t="n">
        <v>0</v>
      </c>
      <c r="G122" s="11">
        <f>E122-F122</f>
        <v/>
      </c>
      <c r="H122" s="11" t="n">
        <v/>
      </c>
      <c r="I122" s="11" t="n">
        <v/>
      </c>
      <c r="J122" s="11" t="n">
        <v/>
      </c>
      <c r="K122" s="4" t="inlineStr">
        <is>
          <t>Stundensätze eingeben</t>
        </is>
      </c>
    </row>
    <row r="123">
      <c r="A123" s="4" t="inlineStr">
        <is>
          <t>1914.107_1 Retailer-BAB-Ganter-Interior-GmbH-Longchamp</t>
        </is>
      </c>
      <c r="B123" s="4" t="inlineStr">
        <is>
          <t>● (aN) BAB</t>
        </is>
      </c>
      <c r="C123" s="4" t="inlineStr">
        <is>
          <t>Nachweis</t>
        </is>
      </c>
      <c r="D123" s="10" t="inlineStr">
        <is>
          <t>⚠ Manual erforderlich</t>
        </is>
      </c>
      <c r="E123" s="11" t="inlineStr"/>
      <c r="F123" s="11" t="n">
        <v>0</v>
      </c>
      <c r="G123" s="11">
        <f>E123-F123</f>
        <v/>
      </c>
      <c r="H123" s="11" t="n">
        <v/>
      </c>
      <c r="I123" s="11" t="n">
        <v/>
      </c>
      <c r="J123" s="11" t="n">
        <v/>
      </c>
      <c r="K123" s="4" t="inlineStr">
        <is>
          <t>Stundensätze eingeben</t>
        </is>
      </c>
    </row>
    <row r="124">
      <c r="A124" s="4" t="inlineStr">
        <is>
          <t>1914.107_1 Retailer-BAB-Ganter-Interior-GmbH-Longchamp</t>
        </is>
      </c>
      <c r="B124" s="4" t="inlineStr">
        <is>
          <t>● (p) Admin</t>
        </is>
      </c>
      <c r="C124" s="4" t="inlineStr">
        <is>
          <t>Pauschale</t>
        </is>
      </c>
      <c r="D124" s="10" t="inlineStr">
        <is>
          <t>⚠ Manual erforderlich</t>
        </is>
      </c>
      <c r="E124" s="11" t="inlineStr"/>
      <c r="F124" s="11" t="n">
        <v>0</v>
      </c>
      <c r="G124" s="11">
        <f>E124-F124</f>
        <v/>
      </c>
      <c r="H124" s="11" t="n">
        <v>0</v>
      </c>
      <c r="I124" s="11" t="n">
        <v>0</v>
      </c>
      <c r="J124" s="11" t="n">
        <v>0</v>
      </c>
      <c r="K124" s="4" t="inlineStr">
        <is>
          <t>Stundensätze eingeben</t>
        </is>
      </c>
    </row>
    <row r="125">
      <c r="A125" s="4" t="inlineStr">
        <is>
          <t>1914.108 Retailer-Sixt</t>
        </is>
      </c>
      <c r="B125" s="4" t="inlineStr">
        <is>
          <t>● (aN) Brandschutztechnische Beratung</t>
        </is>
      </c>
      <c r="C125" s="4" t="inlineStr">
        <is>
          <t>Nachweis</t>
        </is>
      </c>
      <c r="D125" s="10" t="inlineStr">
        <is>
          <t>⚠ Manual erforderlich</t>
        </is>
      </c>
      <c r="E125" s="11" t="inlineStr"/>
      <c r="F125" s="11" t="n">
        <v>0</v>
      </c>
      <c r="G125" s="11">
        <f>E125-F125</f>
        <v/>
      </c>
      <c r="H125" s="11" t="n">
        <v/>
      </c>
      <c r="I125" s="11" t="n">
        <v/>
      </c>
      <c r="J125" s="11" t="n">
        <v/>
      </c>
      <c r="K125" s="4" t="inlineStr">
        <is>
          <t>Stundensätze eingeben</t>
        </is>
      </c>
    </row>
    <row r="126">
      <c r="A126" s="4" t="inlineStr">
        <is>
          <t>1914.108 Retailer-Sixt</t>
        </is>
      </c>
      <c r="B126" s="4" t="inlineStr">
        <is>
          <t>● (aN) Erstellung Brandschutztechnische Stellungnahme</t>
        </is>
      </c>
      <c r="C126" s="4" t="inlineStr">
        <is>
          <t>Nachweis</t>
        </is>
      </c>
      <c r="D126" s="10" t="inlineStr">
        <is>
          <t>⚠ Manual erforderlich</t>
        </is>
      </c>
      <c r="E126" s="11" t="inlineStr"/>
      <c r="F126" s="11" t="n">
        <v>0</v>
      </c>
      <c r="G126" s="11">
        <f>E126-F126</f>
        <v/>
      </c>
      <c r="H126" s="11" t="n">
        <v/>
      </c>
      <c r="I126" s="11" t="n">
        <v/>
      </c>
      <c r="J126" s="11" t="n">
        <v/>
      </c>
      <c r="K126" s="4" t="inlineStr">
        <is>
          <t>Stundensätze eingeben</t>
        </is>
      </c>
    </row>
    <row r="127">
      <c r="A127" s="4" t="inlineStr">
        <is>
          <t>1914.108 Retailer-Sixt</t>
        </is>
      </c>
      <c r="B127" s="4" t="inlineStr">
        <is>
          <t>● (aN) Teilnahme an Besprechungen</t>
        </is>
      </c>
      <c r="C127" s="4" t="inlineStr">
        <is>
          <t>Nachweis</t>
        </is>
      </c>
      <c r="D127" s="10" t="inlineStr">
        <is>
          <t>⚠ Manual erforderlich</t>
        </is>
      </c>
      <c r="E127" s="11" t="inlineStr"/>
      <c r="F127" s="11" t="n">
        <v>0</v>
      </c>
      <c r="G127" s="11">
        <f>E127-F127</f>
        <v/>
      </c>
      <c r="H127" s="11" t="n">
        <v/>
      </c>
      <c r="I127" s="11" t="n">
        <v/>
      </c>
      <c r="J127" s="11" t="n">
        <v/>
      </c>
      <c r="K127" s="4" t="inlineStr">
        <is>
          <t>Stundensätze eingeben</t>
        </is>
      </c>
    </row>
    <row r="128">
      <c r="A128" s="4" t="inlineStr">
        <is>
          <t>1914.109 Retailer-Avolta</t>
        </is>
      </c>
      <c r="B128" s="4" t="inlineStr">
        <is>
          <t>● ANG BTB (aN) Brandschutztechnische Beratung</t>
        </is>
      </c>
      <c r="C128" s="4" t="inlineStr">
        <is>
          <t>Nachweis</t>
        </is>
      </c>
      <c r="D128" s="10" t="inlineStr">
        <is>
          <t>⚠ Manual erforderlich</t>
        </is>
      </c>
      <c r="E128" s="11" t="inlineStr"/>
      <c r="F128" s="11" t="n">
        <v>0</v>
      </c>
      <c r="G128" s="11">
        <f>E128-F128</f>
        <v/>
      </c>
      <c r="H128" s="11" t="n">
        <v/>
      </c>
      <c r="I128" s="11" t="n">
        <v/>
      </c>
      <c r="J128" s="11" t="n">
        <v/>
      </c>
      <c r="K128" s="4" t="inlineStr">
        <is>
          <t>Stundensätze eingeben</t>
        </is>
      </c>
    </row>
    <row r="129">
      <c r="A129" s="4" t="inlineStr">
        <is>
          <t>1914.109 Retailer-Avolta</t>
        </is>
      </c>
      <c r="B129" s="4" t="inlineStr">
        <is>
          <t>● ANG BTB (aN) Erstellung Brandschutztechnische Stellungnahme</t>
        </is>
      </c>
      <c r="C129" s="4" t="inlineStr">
        <is>
          <t>Nachweis</t>
        </is>
      </c>
      <c r="D129" s="10" t="inlineStr">
        <is>
          <t>⚠ Manual erforderlich</t>
        </is>
      </c>
      <c r="E129" s="11" t="inlineStr"/>
      <c r="F129" s="11" t="n">
        <v>0</v>
      </c>
      <c r="G129" s="11">
        <f>E129-F129</f>
        <v/>
      </c>
      <c r="H129" s="11" t="n">
        <v/>
      </c>
      <c r="I129" s="11" t="n">
        <v/>
      </c>
      <c r="J129" s="11" t="n">
        <v/>
      </c>
      <c r="K129" s="4" t="inlineStr">
        <is>
          <t>Stundensätze eingeben</t>
        </is>
      </c>
    </row>
    <row r="130">
      <c r="A130" s="4" t="inlineStr">
        <is>
          <t>1914.109 Retailer-Avolta</t>
        </is>
      </c>
      <c r="B130" s="4" t="inlineStr">
        <is>
          <t>● ANG BTB (aN) Teilnahme an Besprechungen</t>
        </is>
      </c>
      <c r="C130" s="4" t="inlineStr">
        <is>
          <t>Nachweis</t>
        </is>
      </c>
      <c r="D130" s="10" t="inlineStr">
        <is>
          <t>⚠ Manual erforderlich</t>
        </is>
      </c>
      <c r="E130" s="11" t="inlineStr"/>
      <c r="F130" s="11" t="n">
        <v>0</v>
      </c>
      <c r="G130" s="11">
        <f>E130-F130</f>
        <v/>
      </c>
      <c r="H130" s="11" t="n">
        <v/>
      </c>
      <c r="I130" s="11" t="n">
        <v/>
      </c>
      <c r="J130" s="11" t="n">
        <v/>
      </c>
      <c r="K130" s="4" t="inlineStr">
        <is>
          <t>Stundensätze eingeben</t>
        </is>
      </c>
    </row>
    <row r="131">
      <c r="A131" s="4" t="inlineStr">
        <is>
          <t>1914.109 Retailer-Avolta</t>
        </is>
      </c>
      <c r="B131" s="4" t="inlineStr">
        <is>
          <t>● ANG BAB (aN) Pos. 1 LP 5 + 8</t>
        </is>
      </c>
      <c r="C131" s="4" t="inlineStr">
        <is>
          <t>Nachweis</t>
        </is>
      </c>
      <c r="D131" s="10" t="inlineStr">
        <is>
          <t>⚠ Manual erforderlich</t>
        </is>
      </c>
      <c r="E131" s="11" t="inlineStr"/>
      <c r="F131" s="11" t="n">
        <v>0</v>
      </c>
      <c r="G131" s="11">
        <f>E131-F131</f>
        <v/>
      </c>
      <c r="H131" s="11" t="n">
        <v/>
      </c>
      <c r="I131" s="11" t="n">
        <v/>
      </c>
      <c r="J131" s="11" t="n">
        <v/>
      </c>
      <c r="K131" s="4" t="inlineStr">
        <is>
          <t>Stundensätze eingeben</t>
        </is>
      </c>
    </row>
    <row r="132">
      <c r="A132" s="4" t="inlineStr">
        <is>
          <t>1914.110 Retailer-napcabs</t>
        </is>
      </c>
      <c r="B132" s="4" t="inlineStr">
        <is>
          <t>● (aN) Brandschutztechnische Beratung</t>
        </is>
      </c>
      <c r="C132" s="4" t="inlineStr">
        <is>
          <t>Nachweis</t>
        </is>
      </c>
      <c r="D132" s="10" t="inlineStr">
        <is>
          <t>⚠ Manual erforderlich</t>
        </is>
      </c>
      <c r="E132" s="11" t="inlineStr"/>
      <c r="F132" s="11" t="n">
        <v>0</v>
      </c>
      <c r="G132" s="11">
        <f>E132-F132</f>
        <v/>
      </c>
      <c r="H132" s="11" t="n">
        <v/>
      </c>
      <c r="I132" s="11" t="n">
        <v/>
      </c>
      <c r="J132" s="11" t="n">
        <v/>
      </c>
      <c r="K132" s="4" t="inlineStr">
        <is>
          <t>Stundensätze eingeben</t>
        </is>
      </c>
    </row>
    <row r="133">
      <c r="A133" s="4" t="inlineStr">
        <is>
          <t>1914.110 Retailer-napcabs</t>
        </is>
      </c>
      <c r="B133" s="4" t="inlineStr">
        <is>
          <t>● (aN) Erstellung Brandschutztechnische Stellungnahme</t>
        </is>
      </c>
      <c r="C133" s="4" t="inlineStr">
        <is>
          <t>Nachweis</t>
        </is>
      </c>
      <c r="D133" s="10" t="inlineStr">
        <is>
          <t>⚠ Manual erforderlich</t>
        </is>
      </c>
      <c r="E133" s="11" t="inlineStr"/>
      <c r="F133" s="11" t="n">
        <v>0</v>
      </c>
      <c r="G133" s="11">
        <f>E133-F133</f>
        <v/>
      </c>
      <c r="H133" s="11" t="n">
        <v/>
      </c>
      <c r="I133" s="11" t="n">
        <v/>
      </c>
      <c r="J133" s="11" t="n">
        <v/>
      </c>
      <c r="K133" s="4" t="inlineStr">
        <is>
          <t>Stundensätze eingeben</t>
        </is>
      </c>
    </row>
    <row r="134">
      <c r="A134" s="4" t="inlineStr">
        <is>
          <t>1914.110 Retailer-napcabs</t>
        </is>
      </c>
      <c r="B134" s="4" t="inlineStr">
        <is>
          <t>● (aN) Teilnahme an Besprechungen</t>
        </is>
      </c>
      <c r="C134" s="4" t="inlineStr">
        <is>
          <t>Nachweis</t>
        </is>
      </c>
      <c r="D134" s="10" t="inlineStr">
        <is>
          <t>⚠ Manual erforderlich</t>
        </is>
      </c>
      <c r="E134" s="11" t="inlineStr"/>
      <c r="F134" s="11" t="n">
        <v>0</v>
      </c>
      <c r="G134" s="11">
        <f>E134-F134</f>
        <v/>
      </c>
      <c r="H134" s="11" t="n">
        <v/>
      </c>
      <c r="I134" s="11" t="n">
        <v/>
      </c>
      <c r="J134" s="11" t="n">
        <v/>
      </c>
      <c r="K134" s="4" t="inlineStr">
        <is>
          <t>Stundensätze eingeben</t>
        </is>
      </c>
    </row>
    <row r="135">
      <c r="A135" s="4" t="inlineStr">
        <is>
          <t>1914.111 Retailer-prosecur-ChangeGroup</t>
        </is>
      </c>
      <c r="B135" s="4" t="inlineStr">
        <is>
          <t>● (aN) Brandschutztechnische Beratung</t>
        </is>
      </c>
      <c r="C135" s="4" t="inlineStr">
        <is>
          <t>Nachweis</t>
        </is>
      </c>
      <c r="D135" s="10" t="inlineStr">
        <is>
          <t>⚠ Manual erforderlich</t>
        </is>
      </c>
      <c r="E135" s="11" t="inlineStr"/>
      <c r="F135" s="11" t="n">
        <v>0</v>
      </c>
      <c r="G135" s="11">
        <f>E135-F135</f>
        <v/>
      </c>
      <c r="H135" s="11" t="n">
        <v/>
      </c>
      <c r="I135" s="11" t="n">
        <v/>
      </c>
      <c r="J135" s="11" t="n">
        <v/>
      </c>
      <c r="K135" s="4" t="inlineStr">
        <is>
          <t>Stundensätze eingeben</t>
        </is>
      </c>
    </row>
    <row r="136">
      <c r="A136" s="4" t="inlineStr">
        <is>
          <t>1914.111 Retailer-prosecur-ChangeGroup</t>
        </is>
      </c>
      <c r="B136" s="4" t="inlineStr">
        <is>
          <t>● (p) Stellungnahmen zu Konzessionärsflächen</t>
        </is>
      </c>
      <c r="C136" s="4" t="inlineStr">
        <is>
          <t>Pauschale</t>
        </is>
      </c>
      <c r="D136" s="10" t="inlineStr">
        <is>
          <t>⚠ Manual erforderlich</t>
        </is>
      </c>
      <c r="E136" s="11" t="inlineStr"/>
      <c r="F136" s="11" t="n">
        <v>0</v>
      </c>
      <c r="G136" s="11">
        <f>E136-F136</f>
        <v/>
      </c>
      <c r="H136" s="11" t="n">
        <v>0</v>
      </c>
      <c r="I136" s="11" t="n">
        <v>0</v>
      </c>
      <c r="J136" s="11" t="n">
        <v>0</v>
      </c>
      <c r="K136" s="4" t="inlineStr">
        <is>
          <t>Stundensätze eingeben</t>
        </is>
      </c>
    </row>
    <row r="137">
      <c r="A137" s="4" t="inlineStr">
        <is>
          <t>1914.112 Retailer-Capi</t>
        </is>
      </c>
      <c r="B137" s="4" t="inlineStr">
        <is>
          <t>● (aN) Brandschutztechnische Beratung</t>
        </is>
      </c>
      <c r="C137" s="4" t="inlineStr">
        <is>
          <t>Nachweis</t>
        </is>
      </c>
      <c r="D137" s="10" t="inlineStr">
        <is>
          <t>⚠ Manual erforderlich</t>
        </is>
      </c>
      <c r="E137" s="11" t="inlineStr"/>
      <c r="F137" s="11" t="n">
        <v>0</v>
      </c>
      <c r="G137" s="11">
        <f>E137-F137</f>
        <v/>
      </c>
      <c r="H137" s="11" t="n">
        <v/>
      </c>
      <c r="I137" s="11" t="n">
        <v/>
      </c>
      <c r="J137" s="11" t="n">
        <v/>
      </c>
      <c r="K137" s="4" t="inlineStr">
        <is>
          <t>Stundensätze eingeben</t>
        </is>
      </c>
    </row>
    <row r="138">
      <c r="A138" s="4" t="inlineStr">
        <is>
          <t>1914.112 Retailer-Capi</t>
        </is>
      </c>
      <c r="B138" s="4" t="inlineStr">
        <is>
          <t>● (aN) Erstellung Brandschutztechnische Stellungnahme</t>
        </is>
      </c>
      <c r="C138" s="4" t="inlineStr">
        <is>
          <t>Nachweis</t>
        </is>
      </c>
      <c r="D138" s="10" t="inlineStr">
        <is>
          <t>⚠ Manual erforderlich</t>
        </is>
      </c>
      <c r="E138" s="11" t="inlineStr"/>
      <c r="F138" s="11" t="n">
        <v>0</v>
      </c>
      <c r="G138" s="11">
        <f>E138-F138</f>
        <v/>
      </c>
      <c r="H138" s="11" t="n">
        <v/>
      </c>
      <c r="I138" s="11" t="n">
        <v/>
      </c>
      <c r="J138" s="11" t="n">
        <v/>
      </c>
      <c r="K138" s="4" t="inlineStr">
        <is>
          <t>Stundensätze eingeben</t>
        </is>
      </c>
    </row>
    <row r="139">
      <c r="A139" s="4" t="inlineStr">
        <is>
          <t>1914.112 Retailer-Capi</t>
        </is>
      </c>
      <c r="B139" s="4" t="inlineStr">
        <is>
          <t>● (aN) Teilnahme an Besprechungen</t>
        </is>
      </c>
      <c r="C139" s="4" t="inlineStr">
        <is>
          <t>Nachweis</t>
        </is>
      </c>
      <c r="D139" s="10" t="inlineStr">
        <is>
          <t>⚠ Manual erforderlich</t>
        </is>
      </c>
      <c r="E139" s="11" t="inlineStr"/>
      <c r="F139" s="11" t="n">
        <v>0</v>
      </c>
      <c r="G139" s="11">
        <f>E139-F139</f>
        <v/>
      </c>
      <c r="H139" s="11" t="n">
        <v/>
      </c>
      <c r="I139" s="11" t="n">
        <v/>
      </c>
      <c r="J139" s="11" t="n">
        <v/>
      </c>
      <c r="K139" s="4" t="inlineStr">
        <is>
          <t>Stundensätze eingeben</t>
        </is>
      </c>
    </row>
    <row r="140">
      <c r="A140" s="4" t="inlineStr">
        <is>
          <t>1914.113 Retailer-T3-Heinemann</t>
        </is>
      </c>
      <c r="B140" s="4" t="inlineStr">
        <is>
          <t>● (a.N) Position 1 - DFS Main</t>
        </is>
      </c>
      <c r="C140" s="9" t="inlineStr">
        <is>
          <t>Unbekannt</t>
        </is>
      </c>
      <c r="D140" s="10" t="inlineStr">
        <is>
          <t>⚠ Manual erforderlich</t>
        </is>
      </c>
      <c r="E140" s="11" t="inlineStr"/>
      <c r="F140" s="11" t="n">
        <v>0</v>
      </c>
      <c r="G140" s="11">
        <f>E140-F140</f>
        <v/>
      </c>
      <c r="H140" s="11" t="n">
        <v/>
      </c>
      <c r="I140" s="11" t="n">
        <v/>
      </c>
      <c r="J140" s="11" t="n">
        <v/>
      </c>
      <c r="K140" s="4" t="inlineStr">
        <is>
          <t>Abrechnungsart wählen; Stundensätze eingeben</t>
        </is>
      </c>
    </row>
    <row r="141">
      <c r="A141" s="4" t="inlineStr">
        <is>
          <t>1914.113 Retailer-T3-Heinemann</t>
        </is>
      </c>
      <c r="B141" s="4" t="inlineStr">
        <is>
          <t>● (a.N) Position 2 - TVS Main</t>
        </is>
      </c>
      <c r="C141" s="9" t="inlineStr">
        <is>
          <t>Unbekannt</t>
        </is>
      </c>
      <c r="D141" s="10" t="inlineStr">
        <is>
          <t>⚠ Manual erforderlich</t>
        </is>
      </c>
      <c r="E141" s="11" t="inlineStr"/>
      <c r="F141" s="11" t="n">
        <v>0</v>
      </c>
      <c r="G141" s="11">
        <f>E141-F141</f>
        <v/>
      </c>
      <c r="H141" s="11" t="n">
        <v/>
      </c>
      <c r="I141" s="11" t="n">
        <v/>
      </c>
      <c r="J141" s="11" t="n">
        <v/>
      </c>
      <c r="K141" s="4" t="inlineStr">
        <is>
          <t>Abrechnungsart wählen; Stundensätze eingeben</t>
        </is>
      </c>
    </row>
    <row r="142">
      <c r="A142" s="4" t="inlineStr">
        <is>
          <t>1914.113 Retailer-T3-Heinemann</t>
        </is>
      </c>
      <c r="B142" s="4" t="inlineStr">
        <is>
          <t>● (a.N) Position 3 - 6 Monobrand-Shops und 1 Multibrand-Shop</t>
        </is>
      </c>
      <c r="C142" s="9" t="inlineStr">
        <is>
          <t>Unbekannt</t>
        </is>
      </c>
      <c r="D142" s="10" t="inlineStr">
        <is>
          <t>⚠ Manual erforderlich</t>
        </is>
      </c>
      <c r="E142" s="11" t="inlineStr"/>
      <c r="F142" s="11" t="n">
        <v>0</v>
      </c>
      <c r="G142" s="11">
        <f>E142-F142</f>
        <v/>
      </c>
      <c r="H142" s="11" t="n">
        <v/>
      </c>
      <c r="I142" s="11" t="n">
        <v/>
      </c>
      <c r="J142" s="11" t="n">
        <v/>
      </c>
      <c r="K142" s="4" t="inlineStr">
        <is>
          <t>Abrechnungsart wählen; Stundensätze eingeben</t>
        </is>
      </c>
    </row>
    <row r="143">
      <c r="A143" s="4" t="inlineStr">
        <is>
          <t>1914.113 Retailer-T3-Heinemann</t>
        </is>
      </c>
      <c r="B143" s="4" t="inlineStr">
        <is>
          <t>● (a.N) Position 4 - TVS Gate (Pier H - E02) und DFS Gate (Pier J - E03)</t>
        </is>
      </c>
      <c r="C143" s="9" t="inlineStr">
        <is>
          <t>Unbekannt</t>
        </is>
      </c>
      <c r="D143" s="10" t="inlineStr">
        <is>
          <t>⚠ Manual erforderlich</t>
        </is>
      </c>
      <c r="E143" s="11" t="inlineStr"/>
      <c r="F143" s="11" t="n">
        <v>0</v>
      </c>
      <c r="G143" s="11">
        <f>E143-F143</f>
        <v/>
      </c>
      <c r="H143" s="11" t="n">
        <v/>
      </c>
      <c r="I143" s="11" t="n">
        <v/>
      </c>
      <c r="J143" s="11" t="n">
        <v/>
      </c>
      <c r="K143" s="4" t="inlineStr">
        <is>
          <t>Abrechnungsart wählen; Stundensätze eingeben</t>
        </is>
      </c>
    </row>
    <row r="144">
      <c r="A144" s="4" t="inlineStr">
        <is>
          <t>1914.113 Retailer-T3-Heinemann</t>
        </is>
      </c>
      <c r="B144" s="4" t="inlineStr">
        <is>
          <t>● ANG-BAB-LP5+8-2025-06-25</t>
        </is>
      </c>
      <c r="C144" s="9" t="inlineStr">
        <is>
          <t>Unbekannt</t>
        </is>
      </c>
      <c r="D144" s="10" t="inlineStr">
        <is>
          <t>⚠ Manual erforderlich</t>
        </is>
      </c>
      <c r="E144" s="11" t="inlineStr"/>
      <c r="F144" s="11" t="n">
        <v>0</v>
      </c>
      <c r="G144" s="11">
        <f>E144-F144</f>
        <v/>
      </c>
      <c r="H144" s="11" t="n">
        <v/>
      </c>
      <c r="I144" s="11" t="n">
        <v/>
      </c>
      <c r="J144" s="11" t="n">
        <v/>
      </c>
      <c r="K144" s="4" t="inlineStr">
        <is>
          <t>Abrechnungsart wählen; Stundensätze eingeben</t>
        </is>
      </c>
    </row>
    <row r="145">
      <c r="A145" s="4" t="inlineStr">
        <is>
          <t>1914.114 Retailer-Rewe To Go</t>
        </is>
      </c>
      <c r="B145" s="4" t="inlineStr">
        <is>
          <t>● (aN) Brandschutztechnische Beratung</t>
        </is>
      </c>
      <c r="C145" s="4" t="inlineStr">
        <is>
          <t>Nachweis</t>
        </is>
      </c>
      <c r="D145" s="10" t="inlineStr">
        <is>
          <t>⚠ Manual erforderlich</t>
        </is>
      </c>
      <c r="E145" s="11" t="inlineStr"/>
      <c r="F145" s="11" t="n">
        <v>0</v>
      </c>
      <c r="G145" s="11">
        <f>E145-F145</f>
        <v/>
      </c>
      <c r="H145" s="11" t="n">
        <v/>
      </c>
      <c r="I145" s="11" t="n">
        <v/>
      </c>
      <c r="J145" s="11" t="n">
        <v/>
      </c>
      <c r="K145" s="4" t="inlineStr">
        <is>
          <t>Stundensätze eingeben</t>
        </is>
      </c>
    </row>
    <row r="146">
      <c r="A146" s="4" t="inlineStr">
        <is>
          <t>1914.114 Retailer-Rewe To Go</t>
        </is>
      </c>
      <c r="B146" s="4" t="inlineStr">
        <is>
          <t>● (aN) Erstellung Brandschutztechnische Stellungnahme</t>
        </is>
      </c>
      <c r="C146" s="4" t="inlineStr">
        <is>
          <t>Nachweis</t>
        </is>
      </c>
      <c r="D146" s="10" t="inlineStr">
        <is>
          <t>⚠ Manual erforderlich</t>
        </is>
      </c>
      <c r="E146" s="11" t="inlineStr"/>
      <c r="F146" s="11" t="n">
        <v>0</v>
      </c>
      <c r="G146" s="11">
        <f>E146-F146</f>
        <v/>
      </c>
      <c r="H146" s="11" t="n">
        <v/>
      </c>
      <c r="I146" s="11" t="n">
        <v/>
      </c>
      <c r="J146" s="11" t="n">
        <v/>
      </c>
      <c r="K146" s="4" t="inlineStr">
        <is>
          <t>Stundensätze eingeben</t>
        </is>
      </c>
    </row>
    <row r="147">
      <c r="A147" s="4" t="inlineStr">
        <is>
          <t>1914.114 Retailer-Rewe To Go</t>
        </is>
      </c>
      <c r="B147" s="4" t="inlineStr">
        <is>
          <t>● (aN) Teilnahme an Besprechungen</t>
        </is>
      </c>
      <c r="C147" s="4" t="inlineStr">
        <is>
          <t>Nachweis</t>
        </is>
      </c>
      <c r="D147" s="10" t="inlineStr">
        <is>
          <t>⚠ Manual erforderlich</t>
        </is>
      </c>
      <c r="E147" s="11" t="inlineStr"/>
      <c r="F147" s="11" t="n">
        <v>0</v>
      </c>
      <c r="G147" s="11">
        <f>E147-F147</f>
        <v/>
      </c>
      <c r="H147" s="11" t="n">
        <v/>
      </c>
      <c r="I147" s="11" t="n">
        <v/>
      </c>
      <c r="J147" s="11" t="n">
        <v/>
      </c>
      <c r="K147" s="4" t="inlineStr">
        <is>
          <t>Stundensätze eingeben</t>
        </is>
      </c>
    </row>
    <row r="148">
      <c r="A148" s="4" t="inlineStr">
        <is>
          <t>1914.115 Retailer-Emirates Lounge</t>
        </is>
      </c>
      <c r="B148" s="4" t="inlineStr">
        <is>
          <t>● (aN) Brandschutztechnische Beratung</t>
        </is>
      </c>
      <c r="C148" s="4" t="inlineStr">
        <is>
          <t>Nachweis</t>
        </is>
      </c>
      <c r="D148" s="10" t="inlineStr">
        <is>
          <t>⚠ Manual erforderlich</t>
        </is>
      </c>
      <c r="E148" s="11" t="inlineStr"/>
      <c r="F148" s="11" t="n">
        <v>0</v>
      </c>
      <c r="G148" s="11">
        <f>E148-F148</f>
        <v/>
      </c>
      <c r="H148" s="11" t="n">
        <v/>
      </c>
      <c r="I148" s="11" t="n">
        <v/>
      </c>
      <c r="J148" s="11" t="n">
        <v/>
      </c>
      <c r="K148" s="4" t="inlineStr">
        <is>
          <t>Stundensätze eingeben</t>
        </is>
      </c>
    </row>
    <row r="149">
      <c r="A149" s="4" t="inlineStr">
        <is>
          <t>1914.115 Retailer-Emirates Lounge</t>
        </is>
      </c>
      <c r="B149" s="4" t="inlineStr">
        <is>
          <t>● (aN) Erstellung Brandschutztechnische Stellungnahme</t>
        </is>
      </c>
      <c r="C149" s="4" t="inlineStr">
        <is>
          <t>Nachweis</t>
        </is>
      </c>
      <c r="D149" s="10" t="inlineStr">
        <is>
          <t>⚠ Manual erforderlich</t>
        </is>
      </c>
      <c r="E149" s="11" t="inlineStr"/>
      <c r="F149" s="11" t="n">
        <v>0</v>
      </c>
      <c r="G149" s="11">
        <f>E149-F149</f>
        <v/>
      </c>
      <c r="H149" s="11" t="n">
        <v/>
      </c>
      <c r="I149" s="11" t="n">
        <v/>
      </c>
      <c r="J149" s="11" t="n">
        <v/>
      </c>
      <c r="K149" s="4" t="inlineStr">
        <is>
          <t>Stundensätze eingeben</t>
        </is>
      </c>
    </row>
    <row r="150">
      <c r="A150" s="4" t="inlineStr">
        <is>
          <t>1914.115 Retailer-Emirates Lounge</t>
        </is>
      </c>
      <c r="B150" s="4" t="inlineStr">
        <is>
          <t>● (aN) Teilnahme an Besprechungen</t>
        </is>
      </c>
      <c r="C150" s="4" t="inlineStr">
        <is>
          <t>Nachweis</t>
        </is>
      </c>
      <c r="D150" s="10" t="inlineStr">
        <is>
          <t>⚠ Manual erforderlich</t>
        </is>
      </c>
      <c r="E150" s="11" t="inlineStr"/>
      <c r="F150" s="11" t="n">
        <v>0</v>
      </c>
      <c r="G150" s="11">
        <f>E150-F150</f>
        <v/>
      </c>
      <c r="H150" s="11" t="n">
        <v/>
      </c>
      <c r="I150" s="11" t="n">
        <v/>
      </c>
      <c r="J150" s="11" t="n">
        <v/>
      </c>
      <c r="K150" s="4" t="inlineStr">
        <is>
          <t>Stundensätze eingeben</t>
        </is>
      </c>
    </row>
    <row r="151">
      <c r="A151" s="4" t="inlineStr">
        <is>
          <t>1914.115_1 Retailer-Emirates-BKS-Baustelle</t>
        </is>
      </c>
      <c r="B151" s="4" t="inlineStr">
        <is>
          <t>● (p) Pos. 1 Erstellung BSK für die Baustelle</t>
        </is>
      </c>
      <c r="C151" s="4" t="inlineStr">
        <is>
          <t>Pauschale</t>
        </is>
      </c>
      <c r="D151" s="10" t="inlineStr">
        <is>
          <t>⚠ Manual erforderlich</t>
        </is>
      </c>
      <c r="E151" s="11" t="inlineStr"/>
      <c r="F151" s="11" t="n">
        <v>0</v>
      </c>
      <c r="G151" s="11">
        <f>E151-F151</f>
        <v/>
      </c>
      <c r="H151" s="11" t="n">
        <v>0</v>
      </c>
      <c r="I151" s="11" t="n">
        <v>0</v>
      </c>
      <c r="J151" s="11" t="n">
        <v>0</v>
      </c>
      <c r="K151" s="4" t="inlineStr">
        <is>
          <t>Stundensätze eingeben</t>
        </is>
      </c>
    </row>
    <row r="152">
      <c r="A152" s="4" t="inlineStr">
        <is>
          <t>1914.115_2 Retailer-Emirates-BAB-T3</t>
        </is>
      </c>
      <c r="B152" s="4" t="inlineStr">
        <is>
          <t>● (aN) Pos. 1 Ausführungsplanung LP5 + LP8</t>
        </is>
      </c>
      <c r="C152" s="4" t="inlineStr">
        <is>
          <t>Nachweis</t>
        </is>
      </c>
      <c r="D152" s="10" t="inlineStr">
        <is>
          <t>⚠ Manual erforderlich</t>
        </is>
      </c>
      <c r="E152" s="11" t="inlineStr"/>
      <c r="F152" s="11" t="n">
        <v>0</v>
      </c>
      <c r="G152" s="11">
        <f>E152-F152</f>
        <v/>
      </c>
      <c r="H152" s="11" t="n">
        <v/>
      </c>
      <c r="I152" s="11" t="n">
        <v/>
      </c>
      <c r="J152" s="11" t="n">
        <v/>
      </c>
      <c r="K152" s="4" t="inlineStr">
        <is>
          <t>Stundensätze eingeben</t>
        </is>
      </c>
    </row>
    <row r="153">
      <c r="A153" s="4" t="inlineStr">
        <is>
          <t>1914.115_2 Retailer-Emirates-BAB-T3</t>
        </is>
      </c>
      <c r="B153" s="4" t="inlineStr">
        <is>
          <t>● (p) Pos. 2 Auftragsbearbeitung / Administrative Tätigkeiten</t>
        </is>
      </c>
      <c r="C153" s="4" t="inlineStr">
        <is>
          <t>Pauschale</t>
        </is>
      </c>
      <c r="D153" s="10" t="inlineStr">
        <is>
          <t>⚠ Manual erforderlich</t>
        </is>
      </c>
      <c r="E153" s="11" t="inlineStr"/>
      <c r="F153" s="11" t="n">
        <v>0</v>
      </c>
      <c r="G153" s="11">
        <f>E153-F153</f>
        <v/>
      </c>
      <c r="H153" s="11" t="n">
        <v>0</v>
      </c>
      <c r="I153" s="11" t="n">
        <v>0</v>
      </c>
      <c r="J153" s="11" t="n">
        <v>0</v>
      </c>
      <c r="K153" s="4" t="inlineStr">
        <is>
          <t>Stundensätze eingeben</t>
        </is>
      </c>
    </row>
    <row r="154">
      <c r="A154" s="4" t="inlineStr">
        <is>
          <t>1914.115_3 Retailer-Emirates Lounge-BSN</t>
        </is>
      </c>
      <c r="B154" s="4" t="inlineStr">
        <is>
          <t>● (p) Fortschreibung BSN</t>
        </is>
      </c>
      <c r="C154" s="4" t="inlineStr">
        <is>
          <t>Pauschale</t>
        </is>
      </c>
      <c r="D154" s="10" t="inlineStr">
        <is>
          <t>⚠ Manual erforderlich</t>
        </is>
      </c>
      <c r="E154" s="11" t="inlineStr"/>
      <c r="F154" s="11" t="n">
        <v>0</v>
      </c>
      <c r="G154" s="11">
        <f>E154-F154</f>
        <v/>
      </c>
      <c r="H154" s="11" t="n">
        <v>0</v>
      </c>
      <c r="I154" s="11" t="n">
        <v>0</v>
      </c>
      <c r="J154" s="11" t="n">
        <v>0</v>
      </c>
      <c r="K154" s="4" t="inlineStr">
        <is>
          <t>Stundensätze eingeben</t>
        </is>
      </c>
    </row>
    <row r="155">
      <c r="A155" s="4" t="inlineStr">
        <is>
          <t>1914.116 Retailer-Priority Lounge</t>
        </is>
      </c>
      <c r="B155" s="4" t="inlineStr">
        <is>
          <t>● (aN) Brandschutztechnische Beratung</t>
        </is>
      </c>
      <c r="C155" s="4" t="inlineStr">
        <is>
          <t>Nachweis</t>
        </is>
      </c>
      <c r="D155" s="10" t="inlineStr">
        <is>
          <t>⚠ Manual erforderlich</t>
        </is>
      </c>
      <c r="E155" s="11" t="inlineStr"/>
      <c r="F155" s="11" t="n">
        <v>0</v>
      </c>
      <c r="G155" s="11">
        <f>E155-F155</f>
        <v/>
      </c>
      <c r="H155" s="11" t="n">
        <v/>
      </c>
      <c r="I155" s="11" t="n">
        <v/>
      </c>
      <c r="J155" s="11" t="n">
        <v/>
      </c>
      <c r="K155" s="4" t="inlineStr">
        <is>
          <t>Stundensätze eingeben</t>
        </is>
      </c>
    </row>
    <row r="156">
      <c r="A156" s="4" t="inlineStr">
        <is>
          <t>1914.116 Retailer-Priority Lounge</t>
        </is>
      </c>
      <c r="B156" s="4" t="inlineStr">
        <is>
          <t>● (aN) Erstellung Brandschutztechnische Stellungnahme</t>
        </is>
      </c>
      <c r="C156" s="4" t="inlineStr">
        <is>
          <t>Nachweis</t>
        </is>
      </c>
      <c r="D156" s="10" t="inlineStr">
        <is>
          <t>⚠ Manual erforderlich</t>
        </is>
      </c>
      <c r="E156" s="11" t="inlineStr"/>
      <c r="F156" s="11" t="n">
        <v>0</v>
      </c>
      <c r="G156" s="11">
        <f>E156-F156</f>
        <v/>
      </c>
      <c r="H156" s="11" t="n">
        <v/>
      </c>
      <c r="I156" s="11" t="n">
        <v/>
      </c>
      <c r="J156" s="11" t="n">
        <v/>
      </c>
      <c r="K156" s="4" t="inlineStr">
        <is>
          <t>Stundensätze eingeben</t>
        </is>
      </c>
    </row>
    <row r="157">
      <c r="A157" s="4" t="inlineStr">
        <is>
          <t>1914.116 Retailer-Priority Lounge</t>
        </is>
      </c>
      <c r="B157" s="4" t="inlineStr">
        <is>
          <t>● (aN) Teilnahme an Besprechungen</t>
        </is>
      </c>
      <c r="C157" s="4" t="inlineStr">
        <is>
          <t>Nachweis</t>
        </is>
      </c>
      <c r="D157" s="10" t="inlineStr">
        <is>
          <t>⚠ Manual erforderlich</t>
        </is>
      </c>
      <c r="E157" s="11" t="inlineStr"/>
      <c r="F157" s="11" t="n">
        <v>0</v>
      </c>
      <c r="G157" s="11">
        <f>E157-F157</f>
        <v/>
      </c>
      <c r="H157" s="11" t="n">
        <v/>
      </c>
      <c r="I157" s="11" t="n">
        <v/>
      </c>
      <c r="J157" s="11" t="n">
        <v/>
      </c>
      <c r="K157" s="4" t="inlineStr">
        <is>
          <t>Stundensätze eingeben</t>
        </is>
      </c>
    </row>
    <row r="158">
      <c r="A158" s="4" t="inlineStr">
        <is>
          <t>1914.116 Retailer-Priority Lounge</t>
        </is>
      </c>
      <c r="B158" s="4" t="inlineStr">
        <is>
          <t>● Verschieben auf 1914.116_1: ANG - LP5+LP8</t>
        </is>
      </c>
      <c r="C158" s="9" t="inlineStr">
        <is>
          <t>Unbekannt</t>
        </is>
      </c>
      <c r="D158" s="10" t="inlineStr">
        <is>
          <t>⚠ Manual erforderlich</t>
        </is>
      </c>
      <c r="E158" s="11" t="inlineStr"/>
      <c r="F158" s="11" t="n">
        <v>0</v>
      </c>
      <c r="G158" s="11">
        <f>E158-F158</f>
        <v/>
      </c>
      <c r="H158" s="11" t="n">
        <v/>
      </c>
      <c r="I158" s="11" t="n">
        <v/>
      </c>
      <c r="J158" s="11" t="n">
        <v/>
      </c>
      <c r="K158" s="4" t="inlineStr">
        <is>
          <t>Abrechnungsart wählen; Stundensätze eingeben</t>
        </is>
      </c>
    </row>
    <row r="159">
      <c r="A159" s="4" t="inlineStr">
        <is>
          <t>1914.116_1 Retailer-Priority-Lounge-LP5+8</t>
        </is>
      </c>
      <c r="B159" s="4" t="inlineStr">
        <is>
          <t>● ANG LP 5+8</t>
        </is>
      </c>
      <c r="C159" s="9" t="inlineStr">
        <is>
          <t>Unbekannt</t>
        </is>
      </c>
      <c r="D159" s="10" t="inlineStr">
        <is>
          <t>⚠ Manual erforderlich</t>
        </is>
      </c>
      <c r="E159" s="11" t="inlineStr"/>
      <c r="F159" s="11" t="n">
        <v>0</v>
      </c>
      <c r="G159" s="11">
        <f>E159-F159</f>
        <v/>
      </c>
      <c r="H159" s="11" t="n">
        <v/>
      </c>
      <c r="I159" s="11" t="n">
        <v/>
      </c>
      <c r="J159" s="11" t="n">
        <v/>
      </c>
      <c r="K159" s="4" t="inlineStr">
        <is>
          <t>Abrechnungsart wählen; Stundensätze eingeben</t>
        </is>
      </c>
    </row>
    <row r="160">
      <c r="A160" s="4" t="inlineStr">
        <is>
          <t>1914.116_2 Retailer-Priority-Lounge-BSK</t>
        </is>
      </c>
      <c r="B160" s="4" t="inlineStr">
        <is>
          <t>● • (p) Pos. 1 Erstellung eines Brandschutzkonzeptes für die Baustelle</t>
        </is>
      </c>
      <c r="C160" s="4" t="inlineStr">
        <is>
          <t>Pauschale</t>
        </is>
      </c>
      <c r="D160" s="10" t="inlineStr">
        <is>
          <t>⚠ Manual erforderlich</t>
        </is>
      </c>
      <c r="E160" s="11" t="inlineStr"/>
      <c r="F160" s="11" t="n">
        <v>0</v>
      </c>
      <c r="G160" s="11">
        <f>E160-F160</f>
        <v/>
      </c>
      <c r="H160" s="11" t="n">
        <v>0</v>
      </c>
      <c r="I160" s="11" t="n">
        <v>0</v>
      </c>
      <c r="J160" s="11" t="n">
        <v>0</v>
      </c>
      <c r="K160" s="4" t="inlineStr">
        <is>
          <t>Stundensätze eingeben</t>
        </is>
      </c>
    </row>
    <row r="161">
      <c r="A161" s="4" t="inlineStr">
        <is>
          <t>1914.117 Retailer-SkyTeam-Lounge</t>
        </is>
      </c>
      <c r="B161" s="4" t="inlineStr">
        <is>
          <t>● (aN) Brandschutztechnische Beratung</t>
        </is>
      </c>
      <c r="C161" s="4" t="inlineStr">
        <is>
          <t>Nachweis</t>
        </is>
      </c>
      <c r="D161" s="10" t="inlineStr">
        <is>
          <t>⚠ Manual erforderlich</t>
        </is>
      </c>
      <c r="E161" s="11" t="inlineStr"/>
      <c r="F161" s="11" t="n">
        <v>0</v>
      </c>
      <c r="G161" s="11">
        <f>E161-F161</f>
        <v/>
      </c>
      <c r="H161" s="11" t="n">
        <v/>
      </c>
      <c r="I161" s="11" t="n">
        <v/>
      </c>
      <c r="J161" s="11" t="n">
        <v/>
      </c>
      <c r="K161" s="4" t="inlineStr">
        <is>
          <t>Stundensätze eingeben</t>
        </is>
      </c>
    </row>
    <row r="162">
      <c r="A162" s="4" t="inlineStr">
        <is>
          <t>1914.117 Retailer-SkyTeam-Lounge</t>
        </is>
      </c>
      <c r="B162" s="4" t="inlineStr">
        <is>
          <t>● (aN) Erstellung Brandschutztechnische Stellungnahme</t>
        </is>
      </c>
      <c r="C162" s="4" t="inlineStr">
        <is>
          <t>Nachweis</t>
        </is>
      </c>
      <c r="D162" s="10" t="inlineStr">
        <is>
          <t>⚠ Manual erforderlich</t>
        </is>
      </c>
      <c r="E162" s="11" t="inlineStr"/>
      <c r="F162" s="11" t="n">
        <v>0</v>
      </c>
      <c r="G162" s="11">
        <f>E162-F162</f>
        <v/>
      </c>
      <c r="H162" s="11" t="n">
        <v/>
      </c>
      <c r="I162" s="11" t="n">
        <v/>
      </c>
      <c r="J162" s="11" t="n">
        <v/>
      </c>
      <c r="K162" s="4" t="inlineStr">
        <is>
          <t>Stundensätze eingeben</t>
        </is>
      </c>
    </row>
    <row r="163">
      <c r="A163" s="4" t="inlineStr">
        <is>
          <t>1914.117 Retailer-SkyTeam-Lounge</t>
        </is>
      </c>
      <c r="B163" s="4" t="inlineStr">
        <is>
          <t>● (aN) Teilnahme an Besprechungen</t>
        </is>
      </c>
      <c r="C163" s="4" t="inlineStr">
        <is>
          <t>Nachweis</t>
        </is>
      </c>
      <c r="D163" s="10" t="inlineStr">
        <is>
          <t>⚠ Manual erforderlich</t>
        </is>
      </c>
      <c r="E163" s="11" t="inlineStr"/>
      <c r="F163" s="11" t="n">
        <v>0</v>
      </c>
      <c r="G163" s="11">
        <f>E163-F163</f>
        <v/>
      </c>
      <c r="H163" s="11" t="n">
        <v/>
      </c>
      <c r="I163" s="11" t="n">
        <v/>
      </c>
      <c r="J163" s="11" t="n">
        <v/>
      </c>
      <c r="K163" s="4" t="inlineStr">
        <is>
          <t>Stundensätze eingeben</t>
        </is>
      </c>
    </row>
    <row r="164">
      <c r="A164" s="4" t="inlineStr">
        <is>
          <t>1914.117_1 Retailer-SkyTeam-Lounge-BSK-Baustelle</t>
        </is>
      </c>
      <c r="B164" s="4" t="inlineStr">
        <is>
          <t>● FRA-ANG-BSK-001-2025-10-10-Konzessionärsausbau-SkyTeamLounge-u</t>
        </is>
      </c>
      <c r="C164" s="9" t="inlineStr">
        <is>
          <t>Unbekannt</t>
        </is>
      </c>
      <c r="D164" s="10" t="inlineStr">
        <is>
          <t>⚠ Manual erforderlich</t>
        </is>
      </c>
      <c r="E164" s="11" t="inlineStr"/>
      <c r="F164" s="11" t="n">
        <v>0</v>
      </c>
      <c r="G164" s="11">
        <f>E164-F164</f>
        <v/>
      </c>
      <c r="H164" s="11" t="n">
        <v/>
      </c>
      <c r="I164" s="11" t="n">
        <v/>
      </c>
      <c r="J164" s="11" t="n">
        <v/>
      </c>
      <c r="K164" s="4" t="inlineStr">
        <is>
          <t>Abrechnungsart wählen; Stundensätze eingeben</t>
        </is>
      </c>
    </row>
    <row r="165">
      <c r="A165" s="4" t="inlineStr">
        <is>
          <t>1914.117_2 Retailer-SkyTeam-Lounge-BAB</t>
        </is>
      </c>
      <c r="B165" s="4" t="inlineStr">
        <is>
          <t>● (a.N.) LP5</t>
        </is>
      </c>
      <c r="C165" s="4" t="inlineStr">
        <is>
          <t>Nachweis</t>
        </is>
      </c>
      <c r="D165" s="10" t="inlineStr">
        <is>
          <t>⚠ Manual erforderlich</t>
        </is>
      </c>
      <c r="E165" s="11" t="inlineStr"/>
      <c r="F165" s="11" t="n">
        <v>0</v>
      </c>
      <c r="G165" s="11">
        <f>E165-F165</f>
        <v/>
      </c>
      <c r="H165" s="11" t="n">
        <v/>
      </c>
      <c r="I165" s="11" t="n">
        <v/>
      </c>
      <c r="J165" s="11" t="n">
        <v/>
      </c>
      <c r="K165" s="4" t="inlineStr">
        <is>
          <t>Stundensätze eingeben</t>
        </is>
      </c>
    </row>
    <row r="166">
      <c r="A166" s="4" t="inlineStr">
        <is>
          <t>1914.117_2 Retailer-SkyTeam-Lounge-BAB</t>
        </is>
      </c>
      <c r="B166" s="4" t="inlineStr">
        <is>
          <t>● (a.N.) LP 8</t>
        </is>
      </c>
      <c r="C166" s="4" t="inlineStr">
        <is>
          <t>Nachweis</t>
        </is>
      </c>
      <c r="D166" s="10" t="inlineStr">
        <is>
          <t>⚠ Manual erforderlich</t>
        </is>
      </c>
      <c r="E166" s="11" t="inlineStr"/>
      <c r="F166" s="11" t="n">
        <v>0</v>
      </c>
      <c r="G166" s="11">
        <f>E166-F166</f>
        <v/>
      </c>
      <c r="H166" s="11" t="n">
        <v/>
      </c>
      <c r="I166" s="11" t="n">
        <v/>
      </c>
      <c r="J166" s="11" t="n">
        <v/>
      </c>
      <c r="K166" s="4" t="inlineStr">
        <is>
          <t>Stundensätze eingeben</t>
        </is>
      </c>
    </row>
    <row r="167">
      <c r="A167" s="4" t="inlineStr">
        <is>
          <t>1914.117_2 Retailer-SkyTeam-Lounge-BAB</t>
        </is>
      </c>
      <c r="B167" s="4" t="inlineStr">
        <is>
          <t>● (p) Admin</t>
        </is>
      </c>
      <c r="C167" s="4" t="inlineStr">
        <is>
          <t>Pauschale</t>
        </is>
      </c>
      <c r="D167" s="10" t="inlineStr">
        <is>
          <t>⚠ Manual erforderlich</t>
        </is>
      </c>
      <c r="E167" s="11" t="inlineStr"/>
      <c r="F167" s="11" t="n">
        <v>0</v>
      </c>
      <c r="G167" s="11">
        <f>E167-F167</f>
        <v/>
      </c>
      <c r="H167" s="11" t="n">
        <v>0</v>
      </c>
      <c r="I167" s="11" t="n">
        <v>0</v>
      </c>
      <c r="J167" s="11" t="n">
        <v>0</v>
      </c>
      <c r="K167" s="4" t="inlineStr">
        <is>
          <t>Stundensätze eingeben</t>
        </is>
      </c>
    </row>
    <row r="168">
      <c r="A168" s="4" t="inlineStr">
        <is>
          <t>1914.119 Retailer-Media-Frankfurt-Werbeelemente</t>
        </is>
      </c>
      <c r="B168" s="4" t="inlineStr">
        <is>
          <t>● (aN) Brandschutztechnische Beratung</t>
        </is>
      </c>
      <c r="C168" s="4" t="inlineStr">
        <is>
          <t>Nachweis</t>
        </is>
      </c>
      <c r="D168" s="10" t="inlineStr">
        <is>
          <t>⚠ Manual erforderlich</t>
        </is>
      </c>
      <c r="E168" s="11" t="inlineStr"/>
      <c r="F168" s="11" t="n">
        <v>0</v>
      </c>
      <c r="G168" s="11">
        <f>E168-F168</f>
        <v/>
      </c>
      <c r="H168" s="11" t="n">
        <v/>
      </c>
      <c r="I168" s="11" t="n">
        <v/>
      </c>
      <c r="J168" s="11" t="n">
        <v/>
      </c>
      <c r="K168" s="4" t="inlineStr">
        <is>
          <t>Stundensätze eingeben</t>
        </is>
      </c>
    </row>
    <row r="169">
      <c r="A169" s="4" t="inlineStr">
        <is>
          <t>1914.119 Retailer-Media-Frankfurt-Werbeelemente</t>
        </is>
      </c>
      <c r="B169" s="4" t="inlineStr">
        <is>
          <t>● (aN) Erstellung Brandschutztechnische Stellungnahme</t>
        </is>
      </c>
      <c r="C169" s="4" t="inlineStr">
        <is>
          <t>Nachweis</t>
        </is>
      </c>
      <c r="D169" s="10" t="inlineStr">
        <is>
          <t>⚠ Manual erforderlich</t>
        </is>
      </c>
      <c r="E169" s="11" t="inlineStr"/>
      <c r="F169" s="11" t="n">
        <v>0</v>
      </c>
      <c r="G169" s="11">
        <f>E169-F169</f>
        <v/>
      </c>
      <c r="H169" s="11" t="n">
        <v/>
      </c>
      <c r="I169" s="11" t="n">
        <v/>
      </c>
      <c r="J169" s="11" t="n">
        <v/>
      </c>
      <c r="K169" s="4" t="inlineStr">
        <is>
          <t>Stundensätze eingeben</t>
        </is>
      </c>
    </row>
    <row r="170">
      <c r="A170" s="4" t="inlineStr">
        <is>
          <t>1914.119 Retailer-Media-Frankfurt-Werbeelemente</t>
        </is>
      </c>
      <c r="B170" s="4" t="inlineStr">
        <is>
          <t>● (aN) Teilnahme an Besprechungen</t>
        </is>
      </c>
      <c r="C170" s="4" t="inlineStr">
        <is>
          <t>Nachweis</t>
        </is>
      </c>
      <c r="D170" s="10" t="inlineStr">
        <is>
          <t>⚠ Manual erforderlich</t>
        </is>
      </c>
      <c r="E170" s="11" t="inlineStr"/>
      <c r="F170" s="11" t="n">
        <v>0</v>
      </c>
      <c r="G170" s="11">
        <f>E170-F170</f>
        <v/>
      </c>
      <c r="H170" s="11" t="n">
        <v/>
      </c>
      <c r="I170" s="11" t="n">
        <v/>
      </c>
      <c r="J170" s="11" t="n">
        <v/>
      </c>
      <c r="K170" s="4" t="inlineStr">
        <is>
          <t>Stundensätze eingeben</t>
        </is>
      </c>
    </row>
    <row r="171">
      <c r="A171" s="4" t="inlineStr">
        <is>
          <t>1914.120 Retailer-Samsonite</t>
        </is>
      </c>
      <c r="B171" s="4" t="inlineStr">
        <is>
          <t>● (aN) Brandschutztechnische Beratung</t>
        </is>
      </c>
      <c r="C171" s="4" t="inlineStr">
        <is>
          <t>Nachweis</t>
        </is>
      </c>
      <c r="D171" s="10" t="inlineStr">
        <is>
          <t>⚠ Manual erforderlich</t>
        </is>
      </c>
      <c r="E171" s="11" t="inlineStr"/>
      <c r="F171" s="11" t="n">
        <v>0</v>
      </c>
      <c r="G171" s="11">
        <f>E171-F171</f>
        <v/>
      </c>
      <c r="H171" s="11" t="n">
        <v/>
      </c>
      <c r="I171" s="11" t="n">
        <v/>
      </c>
      <c r="J171" s="11" t="n">
        <v/>
      </c>
      <c r="K171" s="4" t="inlineStr">
        <is>
          <t>Stundensätze eingeben</t>
        </is>
      </c>
    </row>
    <row r="172">
      <c r="A172" s="4" t="inlineStr">
        <is>
          <t>1914.120 Retailer-Samsonite</t>
        </is>
      </c>
      <c r="B172" s="4" t="inlineStr">
        <is>
          <t>● (aN) Erstellung Brandschutztechnische Stellungnahme</t>
        </is>
      </c>
      <c r="C172" s="4" t="inlineStr">
        <is>
          <t>Nachweis</t>
        </is>
      </c>
      <c r="D172" s="10" t="inlineStr">
        <is>
          <t>⚠ Manual erforderlich</t>
        </is>
      </c>
      <c r="E172" s="11" t="inlineStr"/>
      <c r="F172" s="11" t="n">
        <v>0</v>
      </c>
      <c r="G172" s="11">
        <f>E172-F172</f>
        <v/>
      </c>
      <c r="H172" s="11" t="n">
        <v/>
      </c>
      <c r="I172" s="11" t="n">
        <v/>
      </c>
      <c r="J172" s="11" t="n">
        <v/>
      </c>
      <c r="K172" s="4" t="inlineStr">
        <is>
          <t>Stundensätze eingeben</t>
        </is>
      </c>
    </row>
    <row r="173">
      <c r="A173" s="4" t="inlineStr">
        <is>
          <t>1914.120 Retailer-Samsonite</t>
        </is>
      </c>
      <c r="B173" s="4" t="inlineStr">
        <is>
          <t>● (aN) Teilnahme an Besprechungen</t>
        </is>
      </c>
      <c r="C173" s="4" t="inlineStr">
        <is>
          <t>Nachweis</t>
        </is>
      </c>
      <c r="D173" s="10" t="inlineStr">
        <is>
          <t>⚠ Manual erforderlich</t>
        </is>
      </c>
      <c r="E173" s="11" t="inlineStr"/>
      <c r="F173" s="11" t="n">
        <v>0</v>
      </c>
      <c r="G173" s="11">
        <f>E173-F173</f>
        <v/>
      </c>
      <c r="H173" s="11" t="n">
        <v/>
      </c>
      <c r="I173" s="11" t="n">
        <v/>
      </c>
      <c r="J173" s="11" t="n">
        <v/>
      </c>
      <c r="K173" s="4" t="inlineStr">
        <is>
          <t>Stundensätze eingeben</t>
        </is>
      </c>
    </row>
    <row r="174">
      <c r="A174" s="4" t="inlineStr">
        <is>
          <t>1914.121 Retailer-FALKE Store</t>
        </is>
      </c>
      <c r="B174" s="4" t="inlineStr">
        <is>
          <t>● (aN) Brandschutztechnische Beratung</t>
        </is>
      </c>
      <c r="C174" s="4" t="inlineStr">
        <is>
          <t>Nachweis</t>
        </is>
      </c>
      <c r="D174" s="10" t="inlineStr">
        <is>
          <t>⚠ Manual erforderlich</t>
        </is>
      </c>
      <c r="E174" s="11" t="inlineStr"/>
      <c r="F174" s="11" t="n">
        <v>0</v>
      </c>
      <c r="G174" s="11">
        <f>E174-F174</f>
        <v/>
      </c>
      <c r="H174" s="11" t="n">
        <v/>
      </c>
      <c r="I174" s="11" t="n">
        <v/>
      </c>
      <c r="J174" s="11" t="n">
        <v/>
      </c>
      <c r="K174" s="4" t="inlineStr">
        <is>
          <t>Stundensätze eingeben</t>
        </is>
      </c>
    </row>
    <row r="175">
      <c r="A175" s="4" t="inlineStr">
        <is>
          <t>1914.121 Retailer-FALKE Store</t>
        </is>
      </c>
      <c r="B175" s="4" t="inlineStr">
        <is>
          <t>● (aN) Erstellung Brandschutztechnische Stellungnahme</t>
        </is>
      </c>
      <c r="C175" s="4" t="inlineStr">
        <is>
          <t>Nachweis</t>
        </is>
      </c>
      <c r="D175" s="10" t="inlineStr">
        <is>
          <t>⚠ Manual erforderlich</t>
        </is>
      </c>
      <c r="E175" s="11" t="inlineStr"/>
      <c r="F175" s="11" t="n">
        <v>0</v>
      </c>
      <c r="G175" s="11">
        <f>E175-F175</f>
        <v/>
      </c>
      <c r="H175" s="11" t="n">
        <v/>
      </c>
      <c r="I175" s="11" t="n">
        <v/>
      </c>
      <c r="J175" s="11" t="n">
        <v/>
      </c>
      <c r="K175" s="4" t="inlineStr">
        <is>
          <t>Stundensätze eingeben</t>
        </is>
      </c>
    </row>
    <row r="176">
      <c r="A176" s="4" t="inlineStr">
        <is>
          <t>1914.121 Retailer-FALKE Store</t>
        </is>
      </c>
      <c r="B176" s="4" t="inlineStr">
        <is>
          <t>● (aN) Teilnahme an Besprechungen</t>
        </is>
      </c>
      <c r="C176" s="4" t="inlineStr">
        <is>
          <t>Nachweis</t>
        </is>
      </c>
      <c r="D176" s="10" t="inlineStr">
        <is>
          <t>⚠ Manual erforderlich</t>
        </is>
      </c>
      <c r="E176" s="11" t="inlineStr"/>
      <c r="F176" s="11" t="n">
        <v>0</v>
      </c>
      <c r="G176" s="11">
        <f>E176-F176</f>
        <v/>
      </c>
      <c r="H176" s="11" t="n">
        <v/>
      </c>
      <c r="I176" s="11" t="n">
        <v/>
      </c>
      <c r="J176" s="11" t="n">
        <v/>
      </c>
      <c r="K176" s="4" t="inlineStr">
        <is>
          <t>Stundensätze eingeben</t>
        </is>
      </c>
    </row>
    <row r="177">
      <c r="A177" s="4" t="inlineStr">
        <is>
          <t>1914.123 Retailer-Air France Lounge</t>
        </is>
      </c>
      <c r="B177" s="4" t="inlineStr">
        <is>
          <t>● (aN) Brandschutztechnische Beratung</t>
        </is>
      </c>
      <c r="C177" s="4" t="inlineStr">
        <is>
          <t>Nachweis</t>
        </is>
      </c>
      <c r="D177" s="10" t="inlineStr">
        <is>
          <t>⚠ Manual erforderlich</t>
        </is>
      </c>
      <c r="E177" s="11" t="inlineStr"/>
      <c r="F177" s="11" t="n">
        <v>0</v>
      </c>
      <c r="G177" s="11">
        <f>E177-F177</f>
        <v/>
      </c>
      <c r="H177" s="11" t="n">
        <v/>
      </c>
      <c r="I177" s="11" t="n">
        <v/>
      </c>
      <c r="J177" s="11" t="n">
        <v/>
      </c>
      <c r="K177" s="4" t="inlineStr">
        <is>
          <t>Stundensätze eingeben</t>
        </is>
      </c>
    </row>
    <row r="178">
      <c r="A178" s="4" t="inlineStr">
        <is>
          <t>1914.123 Retailer-Air France Lounge</t>
        </is>
      </c>
      <c r="B178" s="4" t="inlineStr">
        <is>
          <t>● (aN) Erstellung Brandschutztechnische Stellungnahme</t>
        </is>
      </c>
      <c r="C178" s="4" t="inlineStr">
        <is>
          <t>Nachweis</t>
        </is>
      </c>
      <c r="D178" s="10" t="inlineStr">
        <is>
          <t>⚠ Manual erforderlich</t>
        </is>
      </c>
      <c r="E178" s="11" t="inlineStr"/>
      <c r="F178" s="11" t="n">
        <v>0</v>
      </c>
      <c r="G178" s="11">
        <f>E178-F178</f>
        <v/>
      </c>
      <c r="H178" s="11" t="n">
        <v/>
      </c>
      <c r="I178" s="11" t="n">
        <v/>
      </c>
      <c r="J178" s="11" t="n">
        <v/>
      </c>
      <c r="K178" s="4" t="inlineStr">
        <is>
          <t>Stundensätze eingeben</t>
        </is>
      </c>
    </row>
    <row r="179">
      <c r="A179" s="4" t="inlineStr">
        <is>
          <t>1914.123 Retailer-Air France Lounge</t>
        </is>
      </c>
      <c r="B179" s="4" t="inlineStr">
        <is>
          <t>● (aN) Teilnahme an Besprechungen</t>
        </is>
      </c>
      <c r="C179" s="4" t="inlineStr">
        <is>
          <t>Nachweis</t>
        </is>
      </c>
      <c r="D179" s="10" t="inlineStr">
        <is>
          <t>⚠ Manual erforderlich</t>
        </is>
      </c>
      <c r="E179" s="11" t="inlineStr"/>
      <c r="F179" s="11" t="n">
        <v>0</v>
      </c>
      <c r="G179" s="11">
        <f>E179-F179</f>
        <v/>
      </c>
      <c r="H179" s="11" t="n">
        <v/>
      </c>
      <c r="I179" s="11" t="n">
        <v/>
      </c>
      <c r="J179" s="11" t="n">
        <v/>
      </c>
      <c r="K179" s="4" t="inlineStr">
        <is>
          <t>Stundensätze eingeben</t>
        </is>
      </c>
    </row>
    <row r="180">
      <c r="A180" s="4" t="inlineStr">
        <is>
          <t>1914.124 Retailer-Christ</t>
        </is>
      </c>
      <c r="B180" s="4" t="inlineStr">
        <is>
          <t>● (aN) Brandschutztechnische Beratung</t>
        </is>
      </c>
      <c r="C180" s="4" t="inlineStr">
        <is>
          <t>Nachweis</t>
        </is>
      </c>
      <c r="D180" s="10" t="inlineStr">
        <is>
          <t>⚠ Manual erforderlich</t>
        </is>
      </c>
      <c r="E180" s="11" t="inlineStr"/>
      <c r="F180" s="11" t="n">
        <v>0</v>
      </c>
      <c r="G180" s="11">
        <f>E180-F180</f>
        <v/>
      </c>
      <c r="H180" s="11" t="n">
        <v/>
      </c>
      <c r="I180" s="11" t="n">
        <v/>
      </c>
      <c r="J180" s="11" t="n">
        <v/>
      </c>
      <c r="K180" s="4" t="inlineStr">
        <is>
          <t>Stundensätze eingeben</t>
        </is>
      </c>
    </row>
    <row r="181">
      <c r="A181" s="4" t="inlineStr">
        <is>
          <t>1914.124 Retailer-Christ</t>
        </is>
      </c>
      <c r="B181" s="4" t="inlineStr">
        <is>
          <t>● (aN) Erstellung Brandschutztechnische Stellungnahme</t>
        </is>
      </c>
      <c r="C181" s="4" t="inlineStr">
        <is>
          <t>Nachweis</t>
        </is>
      </c>
      <c r="D181" s="10" t="inlineStr">
        <is>
          <t>⚠ Manual erforderlich</t>
        </is>
      </c>
      <c r="E181" s="11" t="inlineStr"/>
      <c r="F181" s="11" t="n">
        <v>0</v>
      </c>
      <c r="G181" s="11">
        <f>E181-F181</f>
        <v/>
      </c>
      <c r="H181" s="11" t="n">
        <v/>
      </c>
      <c r="I181" s="11" t="n">
        <v/>
      </c>
      <c r="J181" s="11" t="n">
        <v/>
      </c>
      <c r="K181" s="4" t="inlineStr">
        <is>
          <t>Stundensätze eingeben</t>
        </is>
      </c>
    </row>
    <row r="182">
      <c r="A182" s="4" t="inlineStr">
        <is>
          <t>1914.124 Retailer-Christ</t>
        </is>
      </c>
      <c r="B182" s="4" t="inlineStr">
        <is>
          <t>● (aN) Teilnahme an Besprechungen</t>
        </is>
      </c>
      <c r="C182" s="4" t="inlineStr">
        <is>
          <t>Nachweis</t>
        </is>
      </c>
      <c r="D182" s="10" t="inlineStr">
        <is>
          <t>⚠ Manual erforderlich</t>
        </is>
      </c>
      <c r="E182" s="11" t="inlineStr"/>
      <c r="F182" s="11" t="n">
        <v>0</v>
      </c>
      <c r="G182" s="11">
        <f>E182-F182</f>
        <v/>
      </c>
      <c r="H182" s="11" t="n">
        <v/>
      </c>
      <c r="I182" s="11" t="n">
        <v/>
      </c>
      <c r="J182" s="11" t="n">
        <v/>
      </c>
      <c r="K182" s="4" t="inlineStr">
        <is>
          <t>Stundensätze eingeben</t>
        </is>
      </c>
    </row>
    <row r="183">
      <c r="A183" s="4" t="inlineStr">
        <is>
          <t>1914.125 Retailer-Qatar Lounge</t>
        </is>
      </c>
      <c r="B183" s="4" t="inlineStr">
        <is>
          <t>● (p) Bearbeitung der LP1-4 nach AHO Grundleistungen</t>
        </is>
      </c>
      <c r="C183" s="4" t="inlineStr">
        <is>
          <t>Pauschale</t>
        </is>
      </c>
      <c r="D183" s="10" t="inlineStr">
        <is>
          <t>⚠ Manual erforderlich</t>
        </is>
      </c>
      <c r="E183" s="11" t="inlineStr"/>
      <c r="F183" s="11" t="n">
        <v>0</v>
      </c>
      <c r="G183" s="11">
        <f>E183-F183</f>
        <v/>
      </c>
      <c r="H183" s="11" t="n">
        <v/>
      </c>
      <c r="I183" s="11" t="n">
        <v/>
      </c>
      <c r="J183" s="11" t="n">
        <v/>
      </c>
      <c r="K183" s="4" t="inlineStr">
        <is>
          <t>Stundensätze eingeben</t>
        </is>
      </c>
    </row>
    <row r="184">
      <c r="A184" s="4" t="inlineStr">
        <is>
          <t>1914.125 Retailer-Qatar Lounge</t>
        </is>
      </c>
      <c r="B184" s="4" t="inlineStr">
        <is>
          <t>● (p) Bearbeitung der LP5-8 nach AHO Grundleistungen</t>
        </is>
      </c>
      <c r="C184" s="4" t="inlineStr">
        <is>
          <t>Pauschale</t>
        </is>
      </c>
      <c r="D184" s="10" t="inlineStr">
        <is>
          <t>⚠ Manual erforderlich</t>
        </is>
      </c>
      <c r="E184" s="11" t="inlineStr"/>
      <c r="F184" s="11" t="n">
        <v>0</v>
      </c>
      <c r="G184" s="11">
        <f>E184-F184</f>
        <v/>
      </c>
      <c r="H184" s="11" t="n">
        <v/>
      </c>
      <c r="I184" s="11" t="n">
        <v/>
      </c>
      <c r="J184" s="11" t="n">
        <v/>
      </c>
      <c r="K184" s="4" t="inlineStr">
        <is>
          <t>Stundensätze eingeben</t>
        </is>
      </c>
    </row>
    <row r="185">
      <c r="A185" s="4" t="inlineStr">
        <is>
          <t>1914.126 Retailer-Victoria-Secret-Shop</t>
        </is>
      </c>
      <c r="B185" s="4" t="inlineStr">
        <is>
          <t>● (aN) Brandschutztechnische Beratung</t>
        </is>
      </c>
      <c r="C185" s="4" t="inlineStr">
        <is>
          <t>Nachweis</t>
        </is>
      </c>
      <c r="D185" s="10" t="inlineStr">
        <is>
          <t>⚠ Manual erforderlich</t>
        </is>
      </c>
      <c r="E185" s="11" t="inlineStr"/>
      <c r="F185" s="11" t="n">
        <v>0</v>
      </c>
      <c r="G185" s="11">
        <f>E185-F185</f>
        <v/>
      </c>
      <c r="H185" s="11" t="n">
        <v/>
      </c>
      <c r="I185" s="11" t="n">
        <v/>
      </c>
      <c r="J185" s="11" t="n">
        <v/>
      </c>
      <c r="K185" s="4" t="inlineStr">
        <is>
          <t>Stundensätze eingeben</t>
        </is>
      </c>
    </row>
    <row r="186">
      <c r="A186" s="4" t="inlineStr">
        <is>
          <t>1914.126 Retailer-Victoria-Secret-Shop</t>
        </is>
      </c>
      <c r="B186" s="4" t="inlineStr">
        <is>
          <t>● (aN) Erstellung Brandschutztechnische Stellungnahme</t>
        </is>
      </c>
      <c r="C186" s="4" t="inlineStr">
        <is>
          <t>Nachweis</t>
        </is>
      </c>
      <c r="D186" s="10" t="inlineStr">
        <is>
          <t>⚠ Manual erforderlich</t>
        </is>
      </c>
      <c r="E186" s="11" t="inlineStr"/>
      <c r="F186" s="11" t="n">
        <v>0</v>
      </c>
      <c r="G186" s="11">
        <f>E186-F186</f>
        <v/>
      </c>
      <c r="H186" s="11" t="n">
        <v/>
      </c>
      <c r="I186" s="11" t="n">
        <v/>
      </c>
      <c r="J186" s="11" t="n">
        <v/>
      </c>
      <c r="K186" s="4" t="inlineStr">
        <is>
          <t>Stundensätze eingeben</t>
        </is>
      </c>
    </row>
    <row r="187">
      <c r="A187" s="4" t="inlineStr">
        <is>
          <t>1914.126 Retailer-Victoria-Secret-Shop</t>
        </is>
      </c>
      <c r="B187" s="4" t="inlineStr">
        <is>
          <t>● (aN) Teilnahme an Besprechungen</t>
        </is>
      </c>
      <c r="C187" s="4" t="inlineStr">
        <is>
          <t>Nachweis</t>
        </is>
      </c>
      <c r="D187" s="10" t="inlineStr">
        <is>
          <t>⚠ Manual erforderlich</t>
        </is>
      </c>
      <c r="E187" s="11" t="inlineStr"/>
      <c r="F187" s="11" t="n">
        <v>0</v>
      </c>
      <c r="G187" s="11">
        <f>E187-F187</f>
        <v/>
      </c>
      <c r="H187" s="11" t="n">
        <v/>
      </c>
      <c r="I187" s="11" t="n">
        <v/>
      </c>
      <c r="J187" s="11" t="n">
        <v/>
      </c>
      <c r="K187" s="4" t="inlineStr">
        <is>
          <t>Stundensätze eingeben</t>
        </is>
      </c>
    </row>
    <row r="188">
      <c r="A188" s="4" t="inlineStr">
        <is>
          <t>1914.126_1 Retailer-BAB-Victoria-Secret-Shop</t>
        </is>
      </c>
      <c r="B188" s="4" t="inlineStr">
        <is>
          <t>● (aN) BAB</t>
        </is>
      </c>
      <c r="C188" s="4" t="inlineStr">
        <is>
          <t>Nachweis</t>
        </is>
      </c>
      <c r="D188" s="10" t="inlineStr">
        <is>
          <t>⚠ Manual erforderlich</t>
        </is>
      </c>
      <c r="E188" s="11" t="inlineStr"/>
      <c r="F188" s="11" t="n">
        <v>0</v>
      </c>
      <c r="G188" s="11">
        <f>E188-F188</f>
        <v/>
      </c>
      <c r="H188" s="11" t="n">
        <v/>
      </c>
      <c r="I188" s="11" t="n">
        <v/>
      </c>
      <c r="J188" s="11" t="n">
        <v/>
      </c>
      <c r="K188" s="4" t="inlineStr">
        <is>
          <t>Stundensätze eingeben</t>
        </is>
      </c>
    </row>
    <row r="189">
      <c r="A189" s="4" t="inlineStr">
        <is>
          <t>1914.126_1 Retailer-BAB-Victoria-Secret-Shop</t>
        </is>
      </c>
      <c r="B189" s="4" t="inlineStr">
        <is>
          <t>● (p) Admin</t>
        </is>
      </c>
      <c r="C189" s="4" t="inlineStr">
        <is>
          <t>Pauschale</t>
        </is>
      </c>
      <c r="D189" s="10" t="inlineStr">
        <is>
          <t>⚠ Manual erforderlich</t>
        </is>
      </c>
      <c r="E189" s="11" t="inlineStr"/>
      <c r="F189" s="11" t="n">
        <v>0</v>
      </c>
      <c r="G189" s="11">
        <f>E189-F189</f>
        <v/>
      </c>
      <c r="H189" s="11" t="n">
        <v>0</v>
      </c>
      <c r="I189" s="11" t="n">
        <v>0</v>
      </c>
      <c r="J189" s="11" t="n">
        <v>0</v>
      </c>
      <c r="K189" s="4" t="inlineStr">
        <is>
          <t>Stundensätze eingeben</t>
        </is>
      </c>
    </row>
    <row r="190">
      <c r="A190" s="4" t="inlineStr">
        <is>
          <t>1914.127 Retailer-Media Frankfurt GmbH-Fläche-602.3604</t>
        </is>
      </c>
      <c r="B190" s="4" t="inlineStr">
        <is>
          <t>● (aN) Brandschutztechnische Beratung</t>
        </is>
      </c>
      <c r="C190" s="4" t="inlineStr">
        <is>
          <t>Nachweis</t>
        </is>
      </c>
      <c r="D190" s="10" t="inlineStr">
        <is>
          <t>⚠ Manual erforderlich</t>
        </is>
      </c>
      <c r="E190" s="11" t="inlineStr"/>
      <c r="F190" s="11" t="n">
        <v>0</v>
      </c>
      <c r="G190" s="11">
        <f>E190-F190</f>
        <v/>
      </c>
      <c r="H190" s="11" t="n">
        <v/>
      </c>
      <c r="I190" s="11" t="n">
        <v/>
      </c>
      <c r="J190" s="11" t="n">
        <v/>
      </c>
      <c r="K190" s="4" t="inlineStr">
        <is>
          <t>Stundensätze eingeben</t>
        </is>
      </c>
    </row>
    <row r="191">
      <c r="A191" s="4" t="inlineStr">
        <is>
          <t>1914.127 Retailer-Media Frankfurt GmbH-Fläche-602.3604</t>
        </is>
      </c>
      <c r="B191" s="4" t="inlineStr">
        <is>
          <t>● (aN) Erstellung Brandschutztechnische Stellungnahme</t>
        </is>
      </c>
      <c r="C191" s="4" t="inlineStr">
        <is>
          <t>Nachweis</t>
        </is>
      </c>
      <c r="D191" s="10" t="inlineStr">
        <is>
          <t>⚠ Manual erforderlich</t>
        </is>
      </c>
      <c r="E191" s="11" t="inlineStr"/>
      <c r="F191" s="11" t="n">
        <v>0</v>
      </c>
      <c r="G191" s="11">
        <f>E191-F191</f>
        <v/>
      </c>
      <c r="H191" s="11" t="n">
        <v/>
      </c>
      <c r="I191" s="11" t="n">
        <v/>
      </c>
      <c r="J191" s="11" t="n">
        <v/>
      </c>
      <c r="K191" s="4" t="inlineStr">
        <is>
          <t>Stundensätze eingeben</t>
        </is>
      </c>
    </row>
    <row r="192">
      <c r="A192" s="4" t="inlineStr">
        <is>
          <t>1914.127 Retailer-Media Frankfurt GmbH-Fläche-602.3604</t>
        </is>
      </c>
      <c r="B192" s="4" t="inlineStr">
        <is>
          <t>● (aN) Teilnahme an Besprechungen</t>
        </is>
      </c>
      <c r="C192" s="4" t="inlineStr">
        <is>
          <t>Nachweis</t>
        </is>
      </c>
      <c r="D192" s="10" t="inlineStr">
        <is>
          <t>⚠ Manual erforderlich</t>
        </is>
      </c>
      <c r="E192" s="11" t="inlineStr"/>
      <c r="F192" s="11" t="n">
        <v>0</v>
      </c>
      <c r="G192" s="11">
        <f>E192-F192</f>
        <v/>
      </c>
      <c r="H192" s="11" t="n">
        <v/>
      </c>
      <c r="I192" s="11" t="n">
        <v/>
      </c>
      <c r="J192" s="11" t="n">
        <v/>
      </c>
      <c r="K192" s="4" t="inlineStr">
        <is>
          <t>Stundensätze eingeben</t>
        </is>
      </c>
    </row>
    <row r="193">
      <c r="A193" s="4" t="inlineStr">
        <is>
          <t>1914.128 Retailer-SmokingLounge-Media Frankfurt</t>
        </is>
      </c>
      <c r="B193" s="4" t="inlineStr">
        <is>
          <t>● (aN) Pos. 1 BTB + BST Smoking Lounge 605.3313</t>
        </is>
      </c>
      <c r="C193" s="4" t="inlineStr">
        <is>
          <t>Nachweis</t>
        </is>
      </c>
      <c r="D193" s="10" t="inlineStr">
        <is>
          <t>⚠ Manual erforderlich</t>
        </is>
      </c>
      <c r="E193" s="11" t="inlineStr"/>
      <c r="F193" s="11" t="n">
        <v>0</v>
      </c>
      <c r="G193" s="11">
        <f>E193-F193</f>
        <v/>
      </c>
      <c r="H193" s="11" t="n">
        <v/>
      </c>
      <c r="I193" s="11" t="n">
        <v/>
      </c>
      <c r="J193" s="11" t="n">
        <v/>
      </c>
      <c r="K193" s="4" t="inlineStr">
        <is>
          <t>Stundensätze eingeben</t>
        </is>
      </c>
    </row>
    <row r="194">
      <c r="A194" s="4" t="inlineStr">
        <is>
          <t>1914.128 Retailer-SmokingLounge-Media Frankfurt</t>
        </is>
      </c>
      <c r="B194" s="4" t="inlineStr">
        <is>
          <t>● (aN) Pos. 2 BTB + BST Smoking Lounge 606.2226</t>
        </is>
      </c>
      <c r="C194" s="4" t="inlineStr">
        <is>
          <t>Nachweis</t>
        </is>
      </c>
      <c r="D194" s="10" t="inlineStr">
        <is>
          <t>⚠ Manual erforderlich</t>
        </is>
      </c>
      <c r="E194" s="11" t="inlineStr"/>
      <c r="F194" s="11" t="n">
        <v>0</v>
      </c>
      <c r="G194" s="11">
        <f>E194-F194</f>
        <v/>
      </c>
      <c r="H194" s="11" t="n">
        <v/>
      </c>
      <c r="I194" s="11" t="n">
        <v/>
      </c>
      <c r="J194" s="11" t="n">
        <v/>
      </c>
      <c r="K194" s="4" t="inlineStr">
        <is>
          <t>Stundensätze eingeben</t>
        </is>
      </c>
    </row>
    <row r="195">
      <c r="A195" s="4" t="inlineStr">
        <is>
          <t>1914.129 Retailer-MaxMAra</t>
        </is>
      </c>
      <c r="B195" s="4" t="inlineStr">
        <is>
          <t>● ANG 25-06-17</t>
        </is>
      </c>
      <c r="C195" s="9" t="inlineStr">
        <is>
          <t>Unbekannt</t>
        </is>
      </c>
      <c r="D195" s="10" t="inlineStr">
        <is>
          <t>⚠ Manual erforderlich</t>
        </is>
      </c>
      <c r="E195" s="11" t="inlineStr"/>
      <c r="F195" s="11" t="n">
        <v>0</v>
      </c>
      <c r="G195" s="11">
        <f>E195-F195</f>
        <v/>
      </c>
      <c r="H195" s="11" t="n">
        <v/>
      </c>
      <c r="I195" s="11" t="n">
        <v/>
      </c>
      <c r="J195" s="11" t="n">
        <v/>
      </c>
      <c r="K195" s="4" t="inlineStr">
        <is>
          <t>Abrechnungsart wählen; Stundensätze eingeben</t>
        </is>
      </c>
    </row>
    <row r="196">
      <c r="A196" s="4" t="inlineStr">
        <is>
          <t>1914.129 Retailer-MaxMAra</t>
        </is>
      </c>
      <c r="B196" s="4" t="inlineStr">
        <is>
          <t>● (aN) Pos. 1 Brandschutztechnische Beratung</t>
        </is>
      </c>
      <c r="C196" s="4" t="inlineStr">
        <is>
          <t>Nachweis</t>
        </is>
      </c>
      <c r="D196" s="10" t="inlineStr">
        <is>
          <t>⚠ Manual erforderlich</t>
        </is>
      </c>
      <c r="E196" s="11" t="inlineStr"/>
      <c r="F196" s="11" t="n">
        <v>0</v>
      </c>
      <c r="G196" s="11">
        <f>E196-F196</f>
        <v/>
      </c>
      <c r="H196" s="11" t="n">
        <v/>
      </c>
      <c r="I196" s="11" t="n">
        <v/>
      </c>
      <c r="J196" s="11" t="n">
        <v/>
      </c>
      <c r="K196" s="4" t="inlineStr">
        <is>
          <t>Stundensätze eingeben</t>
        </is>
      </c>
    </row>
    <row r="197">
      <c r="A197" s="4" t="inlineStr">
        <is>
          <t>1914.129 Retailer-MaxMAra</t>
        </is>
      </c>
      <c r="B197" s="4" t="inlineStr">
        <is>
          <t>● (aN) Pos. 1 Erstellung Brandschutztechnische Stellungnahme</t>
        </is>
      </c>
      <c r="C197" s="4" t="inlineStr">
        <is>
          <t>Nachweis</t>
        </is>
      </c>
      <c r="D197" s="10" t="inlineStr">
        <is>
          <t>⚠ Manual erforderlich</t>
        </is>
      </c>
      <c r="E197" s="11" t="inlineStr"/>
      <c r="F197" s="11" t="n">
        <v>0</v>
      </c>
      <c r="G197" s="11">
        <f>E197-F197</f>
        <v/>
      </c>
      <c r="H197" s="11" t="n">
        <v/>
      </c>
      <c r="I197" s="11" t="n">
        <v/>
      </c>
      <c r="J197" s="11" t="n">
        <v/>
      </c>
      <c r="K197" s="4" t="inlineStr">
        <is>
          <t>Stundensätze eingeben</t>
        </is>
      </c>
    </row>
    <row r="198">
      <c r="A198" s="4" t="inlineStr">
        <is>
          <t>1914.129 Retailer-MaxMAra</t>
        </is>
      </c>
      <c r="B198" s="4" t="inlineStr">
        <is>
          <t>● (aN) Pos. 1 Teilnahme an Besprechungen</t>
        </is>
      </c>
      <c r="C198" s="4" t="inlineStr">
        <is>
          <t>Nachweis</t>
        </is>
      </c>
      <c r="D198" s="10" t="inlineStr">
        <is>
          <t>⚠ Manual erforderlich</t>
        </is>
      </c>
      <c r="E198" s="11" t="inlineStr"/>
      <c r="F198" s="11" t="n">
        <v>0</v>
      </c>
      <c r="G198" s="11">
        <f>E198-F198</f>
        <v/>
      </c>
      <c r="H198" s="11" t="n">
        <v/>
      </c>
      <c r="I198" s="11" t="n">
        <v/>
      </c>
      <c r="J198" s="11" t="n">
        <v/>
      </c>
      <c r="K198" s="4" t="inlineStr">
        <is>
          <t>Stundensätze eingeben</t>
        </is>
      </c>
    </row>
    <row r="199">
      <c r="A199" s="4" t="inlineStr">
        <is>
          <t>1914.129 Retailer-MaxMAra</t>
        </is>
      </c>
      <c r="B199" s="4" t="inlineStr">
        <is>
          <t>● • (p) Pos. 1 Administrative Tätigkeiten</t>
        </is>
      </c>
      <c r="C199" s="4" t="inlineStr">
        <is>
          <t>Pauschale</t>
        </is>
      </c>
      <c r="D199" s="10" t="inlineStr">
        <is>
          <t>⚠ Manual erforderlich</t>
        </is>
      </c>
      <c r="E199" s="11" t="inlineStr"/>
      <c r="F199" s="11" t="n">
        <v>0</v>
      </c>
      <c r="G199" s="11">
        <f>E199-F199</f>
        <v/>
      </c>
      <c r="H199" s="11" t="n">
        <v>0</v>
      </c>
      <c r="I199" s="11" t="n">
        <v>0</v>
      </c>
      <c r="J199" s="11" t="n">
        <v>0</v>
      </c>
      <c r="K199" s="4" t="inlineStr">
        <is>
          <t>Stundensätze eingeben</t>
        </is>
      </c>
    </row>
    <row r="200">
      <c r="A200" s="4" t="inlineStr">
        <is>
          <t>1914.129 Retailer-MaxMAra</t>
        </is>
      </c>
      <c r="B200" s="4" t="inlineStr">
        <is>
          <t>● • (aN) Pos. 2 Ausführungsplanung LP 5 (SV)</t>
        </is>
      </c>
      <c r="C200" s="4" t="inlineStr">
        <is>
          <t>Nachweis</t>
        </is>
      </c>
      <c r="D200" s="10" t="inlineStr">
        <is>
          <t>⚠ Manual erforderlich</t>
        </is>
      </c>
      <c r="E200" s="11" t="inlineStr"/>
      <c r="F200" s="11" t="n">
        <v>0</v>
      </c>
      <c r="G200" s="11">
        <f>E200-F200</f>
        <v/>
      </c>
      <c r="H200" s="11" t="n">
        <v/>
      </c>
      <c r="I200" s="11" t="n">
        <v/>
      </c>
      <c r="J200" s="11" t="n">
        <v/>
      </c>
      <c r="K200" s="4" t="inlineStr">
        <is>
          <t>Stundensätze eingeben</t>
        </is>
      </c>
    </row>
    <row r="201">
      <c r="A201" s="4" t="inlineStr">
        <is>
          <t>1914.129 Retailer-MaxMAra</t>
        </is>
      </c>
      <c r="B201" s="4" t="inlineStr">
        <is>
          <t>● • (aN) Pos. 2 BAB LP  8 (SV)</t>
        </is>
      </c>
      <c r="C201" s="4" t="inlineStr">
        <is>
          <t>Nachweis</t>
        </is>
      </c>
      <c r="D201" s="10" t="inlineStr">
        <is>
          <t>⚠ Manual erforderlich</t>
        </is>
      </c>
      <c r="E201" s="11" t="inlineStr"/>
      <c r="F201" s="11" t="n">
        <v>0</v>
      </c>
      <c r="G201" s="11">
        <f>E201-F201</f>
        <v/>
      </c>
      <c r="H201" s="11" t="n">
        <v/>
      </c>
      <c r="I201" s="11" t="n">
        <v/>
      </c>
      <c r="J201" s="11" t="n">
        <v/>
      </c>
      <c r="K201" s="4" t="inlineStr">
        <is>
          <t>Stundensätze eingeben</t>
        </is>
      </c>
    </row>
    <row r="202">
      <c r="A202" s="4" t="inlineStr">
        <is>
          <t>1914.130 Retailer-BTB-Raum 600.3816-Wechselstube</t>
        </is>
      </c>
      <c r="B202" s="4" t="inlineStr">
        <is>
          <t>● (a.N) BTB</t>
        </is>
      </c>
      <c r="C202" s="9" t="inlineStr">
        <is>
          <t>Unbekannt</t>
        </is>
      </c>
      <c r="D202" s="10" t="inlineStr">
        <is>
          <t>⚠ Manual erforderlich</t>
        </is>
      </c>
      <c r="E202" s="11" t="inlineStr"/>
      <c r="F202" s="11" t="n">
        <v>0</v>
      </c>
      <c r="G202" s="11">
        <f>E202-F202</f>
        <v/>
      </c>
      <c r="H202" s="11" t="n">
        <v/>
      </c>
      <c r="I202" s="11" t="n">
        <v/>
      </c>
      <c r="J202" s="11" t="n">
        <v/>
      </c>
      <c r="K202" s="4" t="inlineStr">
        <is>
          <t>Abrechnungsart wählen; Stundensätze eingeben</t>
        </is>
      </c>
    </row>
    <row r="203">
      <c r="A203" s="4" t="inlineStr">
        <is>
          <t>1914.130 Retailer-BTB-Raum 600.3816-Wechselstube</t>
        </is>
      </c>
      <c r="B203" s="4" t="inlineStr">
        <is>
          <t>● (p) Pos. 2 Auftragsbearbeitung/ADM</t>
        </is>
      </c>
      <c r="C203" s="4" t="inlineStr">
        <is>
          <t>Pauschale</t>
        </is>
      </c>
      <c r="D203" s="10" t="inlineStr">
        <is>
          <t>⚠ Manual erforderlich</t>
        </is>
      </c>
      <c r="E203" s="11" t="inlineStr"/>
      <c r="F203" s="11" t="n">
        <v>0</v>
      </c>
      <c r="G203" s="11">
        <f>E203-F203</f>
        <v/>
      </c>
      <c r="H203" s="11" t="n">
        <v>0</v>
      </c>
      <c r="I203" s="11" t="n">
        <v>0</v>
      </c>
      <c r="J203" s="11" t="n">
        <v>0</v>
      </c>
      <c r="K203" s="4" t="inlineStr">
        <is>
          <t>Stundensätze eingeben</t>
        </is>
      </c>
    </row>
    <row r="204">
      <c r="A204" s="4" t="inlineStr">
        <is>
          <t>1914.18 Bearbeitung 2.NaBA/Bauanträge/ÄM-Fraport-T3</t>
        </is>
      </c>
      <c r="B204" s="4" t="inlineStr">
        <is>
          <t>● 4000-Genehmigungsplanung</t>
        </is>
      </c>
      <c r="C204" s="9" t="inlineStr">
        <is>
          <t>Unbekannt</t>
        </is>
      </c>
      <c r="D204" s="10" t="inlineStr">
        <is>
          <t>⚠ Manual erforderlich</t>
        </is>
      </c>
      <c r="E204" s="11" t="inlineStr"/>
      <c r="F204" s="11" t="n">
        <v>0</v>
      </c>
      <c r="G204" s="11">
        <f>E204-F204</f>
        <v/>
      </c>
      <c r="H204" s="11" t="n">
        <v/>
      </c>
      <c r="I204" s="11" t="n">
        <v/>
      </c>
      <c r="J204" s="11" t="n">
        <v/>
      </c>
      <c r="K204" s="4" t="inlineStr">
        <is>
          <t>Abrechnungsart wählen; Stundensätze eingeben</t>
        </is>
      </c>
    </row>
    <row r="205">
      <c r="A205" s="4" t="inlineStr">
        <is>
          <t>1914.19 Bearbeitung DTB-Pläne inkl. Brandfallmatrix-Fraport-T3</t>
        </is>
      </c>
      <c r="B205" s="4" t="inlineStr">
        <is>
          <t>● 3000-Entwurfsplanung</t>
        </is>
      </c>
      <c r="C205" s="9" t="inlineStr">
        <is>
          <t>Unbekannt</t>
        </is>
      </c>
      <c r="D205" s="10" t="inlineStr">
        <is>
          <t>⚠ Manual erforderlich</t>
        </is>
      </c>
      <c r="E205" s="11" t="inlineStr"/>
      <c r="F205" s="11" t="n">
        <v>0</v>
      </c>
      <c r="G205" s="11">
        <f>E205-F205</f>
        <v/>
      </c>
      <c r="H205" s="11" t="n">
        <v/>
      </c>
      <c r="I205" s="11" t="n">
        <v/>
      </c>
      <c r="J205" s="11" t="n">
        <v/>
      </c>
      <c r="K205" s="4" t="inlineStr">
        <is>
          <t>Abrechnungsart wählen; Stundensätze eingeben</t>
        </is>
      </c>
    </row>
    <row r="206">
      <c r="A206" s="4" t="inlineStr">
        <is>
          <t>1914.19 Bearbeitung DTB-Pläne inkl. Brandfallmatrix-Fraport-T3</t>
        </is>
      </c>
      <c r="B206" s="4" t="inlineStr">
        <is>
          <t>● 4000-Genehmigungsplanung</t>
        </is>
      </c>
      <c r="C206" s="9" t="inlineStr">
        <is>
          <t>Unbekannt</t>
        </is>
      </c>
      <c r="D206" s="10" t="inlineStr">
        <is>
          <t>⚠ Manual erforderlich</t>
        </is>
      </c>
      <c r="E206" s="11" t="inlineStr"/>
      <c r="F206" s="11" t="n">
        <v>0</v>
      </c>
      <c r="G206" s="11">
        <f>E206-F206</f>
        <v/>
      </c>
      <c r="H206" s="11" t="n">
        <v/>
      </c>
      <c r="I206" s="11" t="n">
        <v/>
      </c>
      <c r="J206" s="11" t="n">
        <v/>
      </c>
      <c r="K206" s="4" t="inlineStr">
        <is>
          <t>Abrechnungsart wählen; Stundensätze eingeben</t>
        </is>
      </c>
    </row>
    <row r="207">
      <c r="A207" s="4" t="inlineStr">
        <is>
          <t>1914.26 (2634.01) Fraport-T3-BSK-Bauphase (ehemals 2634.01)</t>
        </is>
      </c>
      <c r="B207" s="4" t="inlineStr">
        <is>
          <t>● 3000-Entwurfsplanung</t>
        </is>
      </c>
      <c r="C207" s="9" t="inlineStr">
        <is>
          <t>Unbekannt</t>
        </is>
      </c>
      <c r="D207" s="10" t="inlineStr">
        <is>
          <t>⚠ Manual erforderlich</t>
        </is>
      </c>
      <c r="E207" s="11" t="inlineStr"/>
      <c r="F207" s="11" t="n">
        <v>0</v>
      </c>
      <c r="G207" s="11">
        <f>E207-F207</f>
        <v/>
      </c>
      <c r="H207" s="11" t="n">
        <v/>
      </c>
      <c r="I207" s="11" t="n">
        <v/>
      </c>
      <c r="J207" s="11" t="n">
        <v/>
      </c>
      <c r="K207" s="4" t="inlineStr">
        <is>
          <t>Abrechnungsart wählen; Stundensätze eingeben</t>
        </is>
      </c>
    </row>
    <row r="208">
      <c r="A208" s="4" t="inlineStr">
        <is>
          <t>1914.26 (2634.01) Fraport-T3-BSK-Bauphase (ehemals 2634.01)</t>
        </is>
      </c>
      <c r="B208" s="4" t="inlineStr">
        <is>
          <t>● 4000-Genehmigungsplanung</t>
        </is>
      </c>
      <c r="C208" s="9" t="inlineStr">
        <is>
          <t>Unbekannt</t>
        </is>
      </c>
      <c r="D208" s="10" t="inlineStr">
        <is>
          <t>⚠ Manual erforderlich</t>
        </is>
      </c>
      <c r="E208" s="11" t="inlineStr"/>
      <c r="F208" s="11" t="n">
        <v>0</v>
      </c>
      <c r="G208" s="11">
        <f>E208-F208</f>
        <v/>
      </c>
      <c r="H208" s="11" t="n">
        <v/>
      </c>
      <c r="I208" s="11" t="n">
        <v/>
      </c>
      <c r="J208" s="11" t="n">
        <v/>
      </c>
      <c r="K208" s="4" t="inlineStr">
        <is>
          <t>Abrechnungsart wählen; Stundensätze eingeben</t>
        </is>
      </c>
    </row>
    <row r="209">
      <c r="A209" s="4" t="inlineStr">
        <is>
          <t>1914.26 (2634.01) Fraport-T3-BSK-Bauphase (ehemals 2634.01)</t>
        </is>
      </c>
      <c r="B209" s="4" t="inlineStr">
        <is>
          <t>● 9000-Objektbetreuung und Dokumentation</t>
        </is>
      </c>
      <c r="C209" s="9" t="inlineStr">
        <is>
          <t>Unbekannt</t>
        </is>
      </c>
      <c r="D209" s="10" t="inlineStr">
        <is>
          <t>⚠ Manual erforderlich</t>
        </is>
      </c>
      <c r="E209" s="11" t="inlineStr"/>
      <c r="F209" s="11" t="n">
        <v>0</v>
      </c>
      <c r="G209" s="11">
        <f>E209-F209</f>
        <v/>
      </c>
      <c r="H209" s="11" t="n">
        <v/>
      </c>
      <c r="I209" s="11" t="n">
        <v/>
      </c>
      <c r="J209" s="11" t="n">
        <v/>
      </c>
      <c r="K209" s="4" t="inlineStr">
        <is>
          <t>Abrechnungsart wählen; Stundensätze eingeben</t>
        </is>
      </c>
    </row>
    <row r="210">
      <c r="A210" s="4" t="inlineStr">
        <is>
          <t>1914.27 LP9-Fraport-Terminal-T3 (ehemals LP(8)</t>
        </is>
      </c>
      <c r="B210" s="4" t="inlineStr">
        <is>
          <t>● LP8 Grundleistungen</t>
        </is>
      </c>
      <c r="C210" s="9" t="inlineStr">
        <is>
          <t>Unbekannt</t>
        </is>
      </c>
      <c r="D210" s="10" t="inlineStr">
        <is>
          <t>⚠ Manual erforderlich</t>
        </is>
      </c>
      <c r="E210" s="11" t="inlineStr"/>
      <c r="F210" s="11" t="n">
        <v>0</v>
      </c>
      <c r="G210" s="11">
        <f>E210-F210</f>
        <v/>
      </c>
      <c r="H210" s="11" t="n">
        <v/>
      </c>
      <c r="I210" s="11" t="n">
        <v/>
      </c>
      <c r="J210" s="11" t="n">
        <v/>
      </c>
      <c r="K210" s="4" t="inlineStr">
        <is>
          <t>Abrechnungsart wählen; Stundensätze eingeben</t>
        </is>
      </c>
    </row>
    <row r="211">
      <c r="A211" s="4" t="inlineStr">
        <is>
          <t>1914.27 LP9-Fraport-Terminal-T3 (ehemals LP(8)</t>
        </is>
      </c>
      <c r="B211" s="4" t="inlineStr">
        <is>
          <t>● LP8 Besondere Leistungen</t>
        </is>
      </c>
      <c r="C211" s="9" t="inlineStr">
        <is>
          <t>Unbekannt</t>
        </is>
      </c>
      <c r="D211" s="10" t="inlineStr">
        <is>
          <t>⚠ Manual erforderlich</t>
        </is>
      </c>
      <c r="E211" s="11" t="inlineStr"/>
      <c r="F211" s="11" t="n">
        <v>0</v>
      </c>
      <c r="G211" s="11">
        <f>E211-F211</f>
        <v/>
      </c>
      <c r="H211" s="11" t="n">
        <v/>
      </c>
      <c r="I211" s="11" t="n">
        <v/>
      </c>
      <c r="J211" s="11" t="n">
        <v/>
      </c>
      <c r="K211" s="4" t="inlineStr">
        <is>
          <t>Abrechnungsart wählen; Stundensätze eingeben</t>
        </is>
      </c>
    </row>
    <row r="212">
      <c r="A212" s="4" t="inlineStr">
        <is>
          <t>1914.27 LP9-Fraport-Terminal-T3 (ehemals LP(8)</t>
        </is>
      </c>
      <c r="B212" s="4" t="inlineStr">
        <is>
          <t>● LP8-B8.6-Umsetzung des Brandschutz- und Alarmierungskonzeptes während der Bauphase</t>
        </is>
      </c>
      <c r="C212" s="9" t="inlineStr">
        <is>
          <t>Unbekannt</t>
        </is>
      </c>
      <c r="D212" s="10" t="inlineStr">
        <is>
          <t>⚠ Manual erforderlich</t>
        </is>
      </c>
      <c r="E212" s="11" t="inlineStr"/>
      <c r="F212" s="11" t="n">
        <v>0</v>
      </c>
      <c r="G212" s="11">
        <f>E212-F212</f>
        <v/>
      </c>
      <c r="H212" s="11" t="n">
        <v/>
      </c>
      <c r="I212" s="11" t="n">
        <v/>
      </c>
      <c r="J212" s="11" t="n">
        <v/>
      </c>
      <c r="K212" s="4" t="inlineStr">
        <is>
          <t>Abrechnungsart wählen; Stundensätze eingeben</t>
        </is>
      </c>
    </row>
    <row r="213">
      <c r="A213" s="4" t="inlineStr">
        <is>
          <t>1914.27 LP9-Fraport-Terminal-T3 (ehemals LP(8)</t>
        </is>
      </c>
      <c r="B213" s="4" t="inlineStr">
        <is>
          <t>● LP8 Optionale Leistungen</t>
        </is>
      </c>
      <c r="C213" s="9" t="inlineStr">
        <is>
          <t>Unbekannt</t>
        </is>
      </c>
      <c r="D213" s="10" t="inlineStr">
        <is>
          <t>⚠ Manual erforderlich</t>
        </is>
      </c>
      <c r="E213" s="11" t="inlineStr"/>
      <c r="F213" s="11" t="n">
        <v>0</v>
      </c>
      <c r="G213" s="11">
        <f>E213-F213</f>
        <v/>
      </c>
      <c r="H213" s="11" t="n">
        <v/>
      </c>
      <c r="I213" s="11" t="n">
        <v/>
      </c>
      <c r="J213" s="11" t="n">
        <v/>
      </c>
      <c r="K213" s="4" t="inlineStr">
        <is>
          <t>Abrechnungsart wählen; Stundensätze eingeben</t>
        </is>
      </c>
    </row>
    <row r="214">
      <c r="A214" s="4" t="inlineStr">
        <is>
          <t>1914.27 LP9-Fraport-Terminal-T3 (ehemals LP(8)</t>
        </is>
      </c>
      <c r="B214" s="4" t="inlineStr">
        <is>
          <t>● LP 8 Auftragserweiterung NT67 (NA109)</t>
        </is>
      </c>
      <c r="C214" s="9" t="inlineStr">
        <is>
          <t>Unbekannt</t>
        </is>
      </c>
      <c r="D214" s="10" t="inlineStr">
        <is>
          <t>⚠ Manual erforderlich</t>
        </is>
      </c>
      <c r="E214" s="11" t="inlineStr"/>
      <c r="F214" s="11" t="n">
        <v>0</v>
      </c>
      <c r="G214" s="11">
        <f>E214-F214</f>
        <v/>
      </c>
      <c r="H214" s="11" t="n">
        <v/>
      </c>
      <c r="I214" s="11" t="n">
        <v/>
      </c>
      <c r="J214" s="11" t="n">
        <v/>
      </c>
      <c r="K214" s="4" t="inlineStr">
        <is>
          <t>Abrechnungsart wählen; Stundensätze eingeben</t>
        </is>
      </c>
    </row>
    <row r="215">
      <c r="A215" s="4" t="inlineStr">
        <is>
          <t>1914.27 LP9-Fraport-Terminal-T3 (ehemals LP(8)</t>
        </is>
      </c>
      <c r="B215" s="4" t="inlineStr">
        <is>
          <t>● LP9</t>
        </is>
      </c>
      <c r="C215" s="9" t="inlineStr">
        <is>
          <t>Unbekannt</t>
        </is>
      </c>
      <c r="D215" s="10" t="inlineStr">
        <is>
          <t>⚠ Manual erforderlich</t>
        </is>
      </c>
      <c r="E215" s="11" t="inlineStr"/>
      <c r="F215" s="11" t="n">
        <v>0</v>
      </c>
      <c r="G215" s="11">
        <f>E215-F215</f>
        <v/>
      </c>
      <c r="H215" s="11" t="n">
        <v/>
      </c>
      <c r="I215" s="11" t="n">
        <v/>
      </c>
      <c r="J215" s="11" t="n">
        <v/>
      </c>
      <c r="K215" s="4" t="inlineStr">
        <is>
          <t>Abrechnungsart wählen; Stundensätze eingeben</t>
        </is>
      </c>
    </row>
    <row r="216">
      <c r="A216" s="4" t="inlineStr">
        <is>
          <t>1914.28 (2628) Fraport-T3-Parkhaus (ehemals 2628)</t>
        </is>
      </c>
      <c r="B216" s="4" t="inlineStr">
        <is>
          <t>● 0001-Sonstiges</t>
        </is>
      </c>
      <c r="C216" s="9" t="inlineStr">
        <is>
          <t>Unbekannt</t>
        </is>
      </c>
      <c r="D216" s="10" t="inlineStr">
        <is>
          <t>⚠ Manual erforderlich</t>
        </is>
      </c>
      <c r="E216" s="11" t="inlineStr"/>
      <c r="F216" s="11" t="n">
        <v>0</v>
      </c>
      <c r="G216" s="11">
        <f>E216-F216</f>
        <v/>
      </c>
      <c r="H216" s="11" t="n">
        <v/>
      </c>
      <c r="I216" s="11" t="n">
        <v/>
      </c>
      <c r="J216" s="11" t="n">
        <v/>
      </c>
      <c r="K216" s="4" t="inlineStr">
        <is>
          <t>Abrechnungsart wählen; Stundensätze eingeben</t>
        </is>
      </c>
    </row>
    <row r="217">
      <c r="A217" s="4" t="inlineStr">
        <is>
          <t>1914.28 (2628) Fraport-T3-Parkhaus (ehemals 2628)</t>
        </is>
      </c>
      <c r="B217" s="4" t="inlineStr">
        <is>
          <t>● 1000-Grundlagenermittlung</t>
        </is>
      </c>
      <c r="C217" s="9" t="inlineStr">
        <is>
          <t>Unbekannt</t>
        </is>
      </c>
      <c r="D217" s="10" t="inlineStr">
        <is>
          <t>⚠ Manual erforderlich</t>
        </is>
      </c>
      <c r="E217" s="11" t="inlineStr"/>
      <c r="F217" s="11" t="n">
        <v>0</v>
      </c>
      <c r="G217" s="11">
        <f>E217-F217</f>
        <v/>
      </c>
      <c r="H217" s="11" t="n">
        <v/>
      </c>
      <c r="I217" s="11" t="n">
        <v/>
      </c>
      <c r="J217" s="11" t="n">
        <v/>
      </c>
      <c r="K217" s="4" t="inlineStr">
        <is>
          <t>Abrechnungsart wählen; Stundensätze eingeben</t>
        </is>
      </c>
    </row>
    <row r="218">
      <c r="A218" s="4" t="inlineStr">
        <is>
          <t>1914.28 (2628) Fraport-T3-Parkhaus (ehemals 2628)</t>
        </is>
      </c>
      <c r="B218" s="4" t="inlineStr">
        <is>
          <t>● 2000-Vorplanung</t>
        </is>
      </c>
      <c r="C218" s="9" t="inlineStr">
        <is>
          <t>Unbekannt</t>
        </is>
      </c>
      <c r="D218" s="10" t="inlineStr">
        <is>
          <t>⚠ Manual erforderlich</t>
        </is>
      </c>
      <c r="E218" s="11" t="inlineStr"/>
      <c r="F218" s="11" t="n">
        <v>0</v>
      </c>
      <c r="G218" s="11">
        <f>E218-F218</f>
        <v/>
      </c>
      <c r="H218" s="11" t="n">
        <v/>
      </c>
      <c r="I218" s="11" t="n">
        <v/>
      </c>
      <c r="J218" s="11" t="n">
        <v/>
      </c>
      <c r="K218" s="4" t="inlineStr">
        <is>
          <t>Abrechnungsart wählen; Stundensätze eingeben</t>
        </is>
      </c>
    </row>
    <row r="219">
      <c r="A219" s="4" t="inlineStr">
        <is>
          <t>1914.28 (2628) Fraport-T3-Parkhaus (ehemals 2628)</t>
        </is>
      </c>
      <c r="B219" s="4" t="inlineStr">
        <is>
          <t>● 3000-Entwurfsplanung</t>
        </is>
      </c>
      <c r="C219" s="9" t="inlineStr">
        <is>
          <t>Unbekannt</t>
        </is>
      </c>
      <c r="D219" s="10" t="inlineStr">
        <is>
          <t>⚠ Manual erforderlich</t>
        </is>
      </c>
      <c r="E219" s="11" t="inlineStr"/>
      <c r="F219" s="11" t="n">
        <v>0</v>
      </c>
      <c r="G219" s="11">
        <f>E219-F219</f>
        <v/>
      </c>
      <c r="H219" s="11" t="n">
        <v/>
      </c>
      <c r="I219" s="11" t="n">
        <v/>
      </c>
      <c r="J219" s="11" t="n">
        <v/>
      </c>
      <c r="K219" s="4" t="inlineStr">
        <is>
          <t>Abrechnungsart wählen; Stundensätze eingeben</t>
        </is>
      </c>
    </row>
    <row r="220">
      <c r="A220" s="4" t="inlineStr">
        <is>
          <t>1914.28 (2628) Fraport-T3-Parkhaus (ehemals 2628)</t>
        </is>
      </c>
      <c r="B220" s="4" t="inlineStr">
        <is>
          <t>● 4000-Genehmigungsplanung</t>
        </is>
      </c>
      <c r="C220" s="9" t="inlineStr">
        <is>
          <t>Unbekannt</t>
        </is>
      </c>
      <c r="D220" s="10" t="inlineStr">
        <is>
          <t>⚠ Manual erforderlich</t>
        </is>
      </c>
      <c r="E220" s="11" t="inlineStr"/>
      <c r="F220" s="11" t="n">
        <v>0</v>
      </c>
      <c r="G220" s="11">
        <f>E220-F220</f>
        <v/>
      </c>
      <c r="H220" s="11" t="n">
        <v/>
      </c>
      <c r="I220" s="11" t="n">
        <v/>
      </c>
      <c r="J220" s="11" t="n">
        <v/>
      </c>
      <c r="K220" s="4" t="inlineStr">
        <is>
          <t>Abrechnungsart wählen; Stundensätze eingeben</t>
        </is>
      </c>
    </row>
    <row r="221">
      <c r="A221" s="4" t="inlineStr">
        <is>
          <t>1914.28 (2628) Fraport-T3-Parkhaus (ehemals 2628)</t>
        </is>
      </c>
      <c r="B221" s="4" t="inlineStr">
        <is>
          <t>● 5000-Ausführungsplanung</t>
        </is>
      </c>
      <c r="C221" s="9" t="inlineStr">
        <is>
          <t>Unbekannt</t>
        </is>
      </c>
      <c r="D221" s="10" t="inlineStr">
        <is>
          <t>⚠ Manual erforderlich</t>
        </is>
      </c>
      <c r="E221" s="11" t="inlineStr"/>
      <c r="F221" s="11" t="n">
        <v>0</v>
      </c>
      <c r="G221" s="11">
        <f>E221-F221</f>
        <v/>
      </c>
      <c r="H221" s="11" t="n">
        <v/>
      </c>
      <c r="I221" s="11" t="n">
        <v/>
      </c>
      <c r="J221" s="11" t="n">
        <v/>
      </c>
      <c r="K221" s="4" t="inlineStr">
        <is>
          <t>Abrechnungsart wählen; Stundensätze eingeben</t>
        </is>
      </c>
    </row>
    <row r="222">
      <c r="A222" s="4" t="inlineStr">
        <is>
          <t>1914.28 (2628) Fraport-T3-Parkhaus (ehemals 2628)</t>
        </is>
      </c>
      <c r="B222" s="4" t="inlineStr">
        <is>
          <t>● 6000-Vorbereiten der Vergabe</t>
        </is>
      </c>
      <c r="C222" s="9" t="inlineStr">
        <is>
          <t>Unbekannt</t>
        </is>
      </c>
      <c r="D222" s="10" t="inlineStr">
        <is>
          <t>⚠ Manual erforderlich</t>
        </is>
      </c>
      <c r="E222" s="11" t="inlineStr"/>
      <c r="F222" s="11" t="n">
        <v>0</v>
      </c>
      <c r="G222" s="11">
        <f>E222-F222</f>
        <v/>
      </c>
      <c r="H222" s="11" t="n">
        <v/>
      </c>
      <c r="I222" s="11" t="n">
        <v/>
      </c>
      <c r="J222" s="11" t="n">
        <v/>
      </c>
      <c r="K222" s="4" t="inlineStr">
        <is>
          <t>Abrechnungsart wählen; Stundensätze eingeben</t>
        </is>
      </c>
    </row>
    <row r="223">
      <c r="A223" s="4" t="inlineStr">
        <is>
          <t>1914.28 (2628) Fraport-T3-Parkhaus (ehemals 2628)</t>
        </is>
      </c>
      <c r="B223" s="4" t="inlineStr">
        <is>
          <t>● 7000-Mitwirkung bei der Vergabe</t>
        </is>
      </c>
      <c r="C223" s="9" t="inlineStr">
        <is>
          <t>Unbekannt</t>
        </is>
      </c>
      <c r="D223" s="10" t="inlineStr">
        <is>
          <t>⚠ Manual erforderlich</t>
        </is>
      </c>
      <c r="E223" s="11" t="inlineStr"/>
      <c r="F223" s="11" t="n">
        <v>0</v>
      </c>
      <c r="G223" s="11">
        <f>E223-F223</f>
        <v/>
      </c>
      <c r="H223" s="11" t="n">
        <v/>
      </c>
      <c r="I223" s="11" t="n">
        <v/>
      </c>
      <c r="J223" s="11" t="n">
        <v/>
      </c>
      <c r="K223" s="4" t="inlineStr">
        <is>
          <t>Abrechnungsart wählen; Stundensätze eingeben</t>
        </is>
      </c>
    </row>
    <row r="224">
      <c r="A224" s="4" t="inlineStr">
        <is>
          <t>1914.28 (2628) Fraport-T3-Parkhaus (ehemals 2628)</t>
        </is>
      </c>
      <c r="B224" s="4" t="inlineStr">
        <is>
          <t>● 8000-Objektüberwachung</t>
        </is>
      </c>
      <c r="C224" s="9" t="inlineStr">
        <is>
          <t>Unbekannt</t>
        </is>
      </c>
      <c r="D224" s="10" t="inlineStr">
        <is>
          <t>⚠ Manual erforderlich</t>
        </is>
      </c>
      <c r="E224" s="11" t="inlineStr"/>
      <c r="F224" s="11" t="n">
        <v>0</v>
      </c>
      <c r="G224" s="11">
        <f>E224-F224</f>
        <v/>
      </c>
      <c r="H224" s="11" t="n">
        <v/>
      </c>
      <c r="I224" s="11" t="n">
        <v/>
      </c>
      <c r="J224" s="11" t="n">
        <v/>
      </c>
      <c r="K224" s="4" t="inlineStr">
        <is>
          <t>Abrechnungsart wählen; Stundensätze eingeben</t>
        </is>
      </c>
    </row>
    <row r="225">
      <c r="A225" s="4" t="inlineStr">
        <is>
          <t>1914.28 (2628) Fraport-T3-Parkhaus (ehemals 2628)</t>
        </is>
      </c>
      <c r="B225" s="4" t="inlineStr">
        <is>
          <t>● 9000-Objektbetreuung und Dokumentation</t>
        </is>
      </c>
      <c r="C225" s="9" t="inlineStr">
        <is>
          <t>Unbekannt</t>
        </is>
      </c>
      <c r="D225" s="10" t="inlineStr">
        <is>
          <t>⚠ Manual erforderlich</t>
        </is>
      </c>
      <c r="E225" s="11" t="inlineStr"/>
      <c r="F225" s="11" t="n">
        <v>0</v>
      </c>
      <c r="G225" s="11">
        <f>E225-F225</f>
        <v/>
      </c>
      <c r="H225" s="11" t="n">
        <v/>
      </c>
      <c r="I225" s="11" t="n">
        <v/>
      </c>
      <c r="J225" s="11" t="n">
        <v/>
      </c>
      <c r="K225" s="4" t="inlineStr">
        <is>
          <t>Abrechnungsart wählen; Stundensätze eingeben</t>
        </is>
      </c>
    </row>
    <row r="226">
      <c r="A226" s="4" t="inlineStr">
        <is>
          <t>1914.29 Fraport-T3-Parkhaus</t>
        </is>
      </c>
      <c r="B226" s="4" t="inlineStr">
        <is>
          <t>●  NA03-Leistungen Änderungsmanagement / Änderungen BSK (auf Nachweis)</t>
        </is>
      </c>
      <c r="C226" s="9" t="inlineStr">
        <is>
          <t>Unbekannt</t>
        </is>
      </c>
      <c r="D226" s="10" t="inlineStr">
        <is>
          <t>⚠ Manual erforderlich</t>
        </is>
      </c>
      <c r="E226" s="11" t="inlineStr"/>
      <c r="F226" s="11" t="n">
        <v>0</v>
      </c>
      <c r="G226" s="11">
        <f>E226-F226</f>
        <v/>
      </c>
      <c r="H226" s="11" t="n">
        <v/>
      </c>
      <c r="I226" s="11" t="n">
        <v/>
      </c>
      <c r="J226" s="11" t="n">
        <v/>
      </c>
      <c r="K226" s="4" t="inlineStr">
        <is>
          <t>Abrechnungsart wählen; Stundensätze eingeben</t>
        </is>
      </c>
    </row>
    <row r="227">
      <c r="A227" s="4" t="inlineStr">
        <is>
          <t>1914.30 Fraport-Terminal3-Bauanträge</t>
        </is>
      </c>
      <c r="B227" s="4" t="inlineStr">
        <is>
          <t>● Geb. Pier H</t>
        </is>
      </c>
      <c r="C227" s="9" t="inlineStr">
        <is>
          <t>Unbekannt</t>
        </is>
      </c>
      <c r="D227" s="10" t="inlineStr">
        <is>
          <t>⚠ Manual erforderlich</t>
        </is>
      </c>
      <c r="E227" s="11" t="inlineStr"/>
      <c r="F227" s="11" t="n">
        <v>0</v>
      </c>
      <c r="G227" s="11">
        <f>E227-F227</f>
        <v/>
      </c>
      <c r="H227" s="11" t="n">
        <v/>
      </c>
      <c r="I227" s="11" t="n">
        <v/>
      </c>
      <c r="J227" s="11" t="n">
        <v/>
      </c>
      <c r="K227" s="4" t="inlineStr">
        <is>
          <t>Abrechnungsart wählen; Stundensätze eingeben</t>
        </is>
      </c>
    </row>
    <row r="228">
      <c r="A228" s="4" t="inlineStr">
        <is>
          <t>1914.30 Fraport-Terminal3-Bauanträge</t>
        </is>
      </c>
      <c r="B228" s="4" t="inlineStr">
        <is>
          <t>● Geb. THG</t>
        </is>
      </c>
      <c r="C228" s="9" t="inlineStr">
        <is>
          <t>Unbekannt</t>
        </is>
      </c>
      <c r="D228" s="10" t="inlineStr">
        <is>
          <t>⚠ Manual erforderlich</t>
        </is>
      </c>
      <c r="E228" s="11" t="inlineStr"/>
      <c r="F228" s="11" t="n">
        <v>0</v>
      </c>
      <c r="G228" s="11">
        <f>E228-F228</f>
        <v/>
      </c>
      <c r="H228" s="11" t="n">
        <v/>
      </c>
      <c r="I228" s="11" t="n">
        <v/>
      </c>
      <c r="J228" s="11" t="n">
        <v/>
      </c>
      <c r="K228" s="4" t="inlineStr">
        <is>
          <t>Abrechnungsart wählen; Stundensätze eingeben</t>
        </is>
      </c>
    </row>
    <row r="229">
      <c r="A229" s="4" t="inlineStr">
        <is>
          <t>1914.30 Fraport-Terminal3-Bauanträge</t>
        </is>
      </c>
      <c r="B229" s="4" t="inlineStr">
        <is>
          <t>● Geb.  Pier J</t>
        </is>
      </c>
      <c r="C229" s="9" t="inlineStr">
        <is>
          <t>Unbekannt</t>
        </is>
      </c>
      <c r="D229" s="10" t="inlineStr">
        <is>
          <t>⚠ Manual erforderlich</t>
        </is>
      </c>
      <c r="E229" s="11" t="inlineStr"/>
      <c r="F229" s="11" t="n">
        <v>0</v>
      </c>
      <c r="G229" s="11">
        <f>E229-F229</f>
        <v/>
      </c>
      <c r="H229" s="11" t="n">
        <v/>
      </c>
      <c r="I229" s="11" t="n">
        <v/>
      </c>
      <c r="J229" s="11" t="n">
        <v/>
      </c>
      <c r="K229" s="4" t="inlineStr">
        <is>
          <t>Abrechnungsart wählen; Stundensätze eingeben</t>
        </is>
      </c>
    </row>
    <row r="230">
      <c r="A230" s="4" t="inlineStr">
        <is>
          <t>1914.30 Fraport-Terminal3-Bauanträge</t>
        </is>
      </c>
      <c r="B230" s="4" t="inlineStr">
        <is>
          <t>● Geb. PTS</t>
        </is>
      </c>
      <c r="C230" s="9" t="inlineStr">
        <is>
          <t>Unbekannt</t>
        </is>
      </c>
      <c r="D230" s="10" t="inlineStr">
        <is>
          <t>⚠ Manual erforderlich</t>
        </is>
      </c>
      <c r="E230" s="11" t="inlineStr"/>
      <c r="F230" s="11" t="n">
        <v>0</v>
      </c>
      <c r="G230" s="11">
        <f>E230-F230</f>
        <v/>
      </c>
      <c r="H230" s="11" t="n">
        <v/>
      </c>
      <c r="I230" s="11" t="n">
        <v/>
      </c>
      <c r="J230" s="11" t="n">
        <v/>
      </c>
      <c r="K230" s="4" t="inlineStr">
        <is>
          <t>Abrechnungsart wählen; Stundensätze eingeben</t>
        </is>
      </c>
    </row>
    <row r="231">
      <c r="A231" s="4" t="inlineStr">
        <is>
          <t>1914.30 Fraport-Terminal3-Bauanträge</t>
        </is>
      </c>
      <c r="B231" s="4" t="inlineStr">
        <is>
          <t>● BL-Fortschreibung Brandmeldeanlagenkonzept LP8</t>
        </is>
      </c>
      <c r="C231" s="9" t="inlineStr">
        <is>
          <t>Unbekannt</t>
        </is>
      </c>
      <c r="D231" s="10" t="inlineStr">
        <is>
          <t>⚠ Manual erforderlich</t>
        </is>
      </c>
      <c r="E231" s="11" t="inlineStr"/>
      <c r="F231" s="11" t="n">
        <v>0</v>
      </c>
      <c r="G231" s="11">
        <f>E231-F231</f>
        <v/>
      </c>
      <c r="H231" s="11" t="n">
        <v/>
      </c>
      <c r="I231" s="11" t="n">
        <v/>
      </c>
      <c r="J231" s="11" t="n">
        <v/>
      </c>
      <c r="K231" s="4" t="inlineStr">
        <is>
          <t>Abrechnungsart wählen; Stundensätze eingeben</t>
        </is>
      </c>
    </row>
    <row r="232">
      <c r="A232" s="4" t="inlineStr">
        <is>
          <t>1914.31 Fraport-Terminal3-Aktualisierung-BSP-NA106</t>
        </is>
      </c>
      <c r="B232" s="4" t="inlineStr">
        <is>
          <t>● (aN) 4103-Erarbeiten Brandschutzkonzeptpläne THG</t>
        </is>
      </c>
      <c r="C232" s="4" t="inlineStr">
        <is>
          <t>Nachweis</t>
        </is>
      </c>
      <c r="D232" s="10" t="inlineStr">
        <is>
          <t>⚠ Manual erforderlich</t>
        </is>
      </c>
      <c r="E232" s="11" t="inlineStr"/>
      <c r="F232" s="11" t="n">
        <v>0</v>
      </c>
      <c r="G232" s="11">
        <f>E232-F232</f>
        <v/>
      </c>
      <c r="H232" s="11" t="n">
        <v/>
      </c>
      <c r="I232" s="11" t="n">
        <v/>
      </c>
      <c r="J232" s="11" t="n">
        <v/>
      </c>
      <c r="K232" s="4" t="inlineStr">
        <is>
          <t>Stundensätze eingeben</t>
        </is>
      </c>
    </row>
    <row r="233">
      <c r="A233" s="4" t="inlineStr">
        <is>
          <t>1914.31 Fraport-Terminal3-Aktualisierung-BSP-NA106</t>
        </is>
      </c>
      <c r="B233" s="4" t="inlineStr">
        <is>
          <t>● (aN) 4103-Erarbeiten Brandschutzkonzeptpläne Pier H</t>
        </is>
      </c>
      <c r="C233" s="4" t="inlineStr">
        <is>
          <t>Nachweis</t>
        </is>
      </c>
      <c r="D233" s="10" t="inlineStr">
        <is>
          <t>⚠ Manual erforderlich</t>
        </is>
      </c>
      <c r="E233" s="11" t="inlineStr"/>
      <c r="F233" s="11" t="n">
        <v>0</v>
      </c>
      <c r="G233" s="11">
        <f>E233-F233</f>
        <v/>
      </c>
      <c r="H233" s="11" t="n">
        <v/>
      </c>
      <c r="I233" s="11" t="n">
        <v/>
      </c>
      <c r="J233" s="11" t="n">
        <v/>
      </c>
      <c r="K233" s="4" t="inlineStr">
        <is>
          <t>Stundensätze eingeben</t>
        </is>
      </c>
    </row>
    <row r="234">
      <c r="A234" s="4" t="inlineStr">
        <is>
          <t>1914.31 Fraport-Terminal3-Aktualisierung-BSP-NA106</t>
        </is>
      </c>
      <c r="B234" s="4" t="inlineStr">
        <is>
          <t>● (aN) 4103-Erarbeiten Brandschutzkonzeptpläne Pier J</t>
        </is>
      </c>
      <c r="C234" s="4" t="inlineStr">
        <is>
          <t>Nachweis</t>
        </is>
      </c>
      <c r="D234" s="10" t="inlineStr">
        <is>
          <t>⚠ Manual erforderlich</t>
        </is>
      </c>
      <c r="E234" s="11" t="inlineStr"/>
      <c r="F234" s="11" t="n">
        <v>0</v>
      </c>
      <c r="G234" s="11">
        <f>E234-F234</f>
        <v/>
      </c>
      <c r="H234" s="11" t="n">
        <v/>
      </c>
      <c r="I234" s="11" t="n">
        <v/>
      </c>
      <c r="J234" s="11" t="n">
        <v/>
      </c>
      <c r="K234" s="4" t="inlineStr">
        <is>
          <t>Stundensätze eingeben</t>
        </is>
      </c>
    </row>
    <row r="235">
      <c r="A235" s="4" t="inlineStr">
        <is>
          <t>1914.31 Fraport-Terminal3-Aktualisierung-BSP-NA106</t>
        </is>
      </c>
      <c r="B235" s="4" t="inlineStr">
        <is>
          <t>● (aN) 4103-Erarbeiten Brandschutzkonzeptpläne PTS</t>
        </is>
      </c>
      <c r="C235" s="4" t="inlineStr">
        <is>
          <t>Nachweis</t>
        </is>
      </c>
      <c r="D235" s="10" t="inlineStr">
        <is>
          <t>⚠ Manual erforderlich</t>
        </is>
      </c>
      <c r="E235" s="11" t="inlineStr"/>
      <c r="F235" s="11" t="n">
        <v>0</v>
      </c>
      <c r="G235" s="11">
        <f>E235-F235</f>
        <v/>
      </c>
      <c r="H235" s="11" t="n">
        <v/>
      </c>
      <c r="I235" s="11" t="n">
        <v/>
      </c>
      <c r="J235" s="11" t="n">
        <v/>
      </c>
      <c r="K235" s="4" t="inlineStr">
        <is>
          <t>Stundensätze eingeben</t>
        </is>
      </c>
    </row>
    <row r="236">
      <c r="A236" s="4" t="inlineStr">
        <is>
          <t>1914.32 Fraport-T3-Kunst am Bau</t>
        </is>
      </c>
      <c r="B236" s="4" t="inlineStr">
        <is>
          <t>● (p) NT66 (NA108) Pos. 1 BTB + BST 1.650€</t>
        </is>
      </c>
      <c r="C236" s="4" t="inlineStr">
        <is>
          <t>Pauschale</t>
        </is>
      </c>
      <c r="D236" s="10" t="inlineStr">
        <is>
          <t>⚠ Manual erforderlich</t>
        </is>
      </c>
      <c r="E236" s="11" t="inlineStr"/>
      <c r="F236" s="11" t="n">
        <v>0</v>
      </c>
      <c r="G236" s="11">
        <f>E236-F236</f>
        <v/>
      </c>
      <c r="H236" s="11" t="n">
        <v>0</v>
      </c>
      <c r="I236" s="11" t="n">
        <v>0</v>
      </c>
      <c r="J236" s="11" t="n">
        <v>0</v>
      </c>
      <c r="K236" s="4" t="inlineStr">
        <is>
          <t>Stundensätze eingeben</t>
        </is>
      </c>
    </row>
    <row r="237">
      <c r="A237" s="4" t="inlineStr">
        <is>
          <t>1922.14 BSB-2025-Kaiserstraße-13-15-Butzbach</t>
        </is>
      </c>
      <c r="B237" s="4" t="inlineStr">
        <is>
          <t>● (a.N.) 9000-Objektbetreuung und Dokumentation</t>
        </is>
      </c>
      <c r="C237" s="4" t="inlineStr">
        <is>
          <t>Nachweis</t>
        </is>
      </c>
      <c r="D237" s="10" t="inlineStr">
        <is>
          <t>⚠ Manual erforderlich</t>
        </is>
      </c>
      <c r="E237" s="11" t="inlineStr"/>
      <c r="F237" s="11" t="n">
        <v>0</v>
      </c>
      <c r="G237" s="11">
        <f>E237-F237</f>
        <v/>
      </c>
      <c r="H237" s="11" t="n">
        <v/>
      </c>
      <c r="I237" s="11" t="n">
        <v/>
      </c>
      <c r="J237" s="11" t="n">
        <v/>
      </c>
      <c r="K237" s="4" t="inlineStr">
        <is>
          <t>Stundensätze eingeben</t>
        </is>
      </c>
    </row>
    <row r="238">
      <c r="A238" s="4" t="inlineStr">
        <is>
          <t>1942.04 Deurag-BSK-Abraham-Lincoln-Str3-Wiesbaden</t>
        </is>
      </c>
      <c r="B238" s="4" t="inlineStr">
        <is>
          <t>● (p) Pos. 1 - BSK</t>
        </is>
      </c>
      <c r="C238" s="4" t="inlineStr">
        <is>
          <t>Pauschale</t>
        </is>
      </c>
      <c r="D238" s="10" t="inlineStr">
        <is>
          <t>⚠ Manual erforderlich</t>
        </is>
      </c>
      <c r="E238" s="11" t="inlineStr"/>
      <c r="F238" s="11" t="n">
        <v>0</v>
      </c>
      <c r="G238" s="11">
        <f>E238-F238</f>
        <v/>
      </c>
      <c r="H238" s="11" t="n">
        <v>0</v>
      </c>
      <c r="I238" s="11" t="n">
        <v>0</v>
      </c>
      <c r="J238" s="11" t="n">
        <v>0</v>
      </c>
      <c r="K238" s="4" t="inlineStr">
        <is>
          <t>Stundensätze eingeben</t>
        </is>
      </c>
    </row>
    <row r="239">
      <c r="A239" s="4" t="inlineStr">
        <is>
          <t>1942.04 Deurag-BSK-Abraham-Lincoln-Str3-Wiesbaden</t>
        </is>
      </c>
      <c r="B239" s="4" t="inlineStr">
        <is>
          <t>● (aN) Pos. 2 Brandschutztechnische Beratungsleistungen</t>
        </is>
      </c>
      <c r="C239" s="4" t="inlineStr">
        <is>
          <t>Nachweis</t>
        </is>
      </c>
      <c r="D239" s="10" t="inlineStr">
        <is>
          <t>⚠ Manual erforderlich</t>
        </is>
      </c>
      <c r="E239" s="11" t="inlineStr"/>
      <c r="F239" s="11" t="n">
        <v>0</v>
      </c>
      <c r="G239" s="11">
        <f>E239-F239</f>
        <v/>
      </c>
      <c r="H239" s="11" t="n">
        <v/>
      </c>
      <c r="I239" s="11" t="n">
        <v/>
      </c>
      <c r="J239" s="11" t="n">
        <v/>
      </c>
      <c r="K239" s="4" t="inlineStr">
        <is>
          <t>Stundensätze eingeben</t>
        </is>
      </c>
    </row>
    <row r="240">
      <c r="A240" s="4" t="inlineStr">
        <is>
          <t>1942.04 Deurag-BSK-Abraham-Lincoln-Str3-Wiesbaden</t>
        </is>
      </c>
      <c r="B240" s="4" t="inlineStr">
        <is>
          <t>● (p) Admin</t>
        </is>
      </c>
      <c r="C240" s="4" t="inlineStr">
        <is>
          <t>Pauschale</t>
        </is>
      </c>
      <c r="D240" s="10" t="inlineStr">
        <is>
          <t>⚠ Manual erforderlich</t>
        </is>
      </c>
      <c r="E240" s="11" t="inlineStr"/>
      <c r="F240" s="11" t="n">
        <v>0</v>
      </c>
      <c r="G240" s="11">
        <f>E240-F240</f>
        <v/>
      </c>
      <c r="H240" s="11" t="n">
        <v>0</v>
      </c>
      <c r="I240" s="11" t="n">
        <v>0</v>
      </c>
      <c r="J240" s="11" t="n">
        <v>0</v>
      </c>
      <c r="K240" s="4" t="inlineStr">
        <is>
          <t>Stundensätze eingeben</t>
        </is>
      </c>
    </row>
    <row r="241">
      <c r="A241" s="4" t="inlineStr">
        <is>
          <t>1967.03 BAB-Office-Center-Frankfurt-Mannheimer-Straße-81-83-Frankfurt</t>
        </is>
      </c>
      <c r="B241" s="4" t="inlineStr">
        <is>
          <t>● (a.N.) Baubegl. Brandschutzbe. u. Qualitätsüberwachung f.d. Durchführung Baumaßnahme</t>
        </is>
      </c>
      <c r="C241" s="4" t="inlineStr">
        <is>
          <t>Nachweis</t>
        </is>
      </c>
      <c r="D241" s="10" t="inlineStr">
        <is>
          <t>⚠ Manual erforderlich</t>
        </is>
      </c>
      <c r="E241" s="11" t="inlineStr"/>
      <c r="F241" s="11" t="n">
        <v>0</v>
      </c>
      <c r="G241" s="11">
        <f>E241-F241</f>
        <v/>
      </c>
      <c r="H241" s="11" t="n">
        <v/>
      </c>
      <c r="I241" s="11" t="n">
        <v/>
      </c>
      <c r="J241" s="11" t="n">
        <v/>
      </c>
      <c r="K241" s="4" t="inlineStr">
        <is>
          <t>Stundensätze eingeben</t>
        </is>
      </c>
    </row>
    <row r="242">
      <c r="A242" s="4" t="inlineStr">
        <is>
          <t>1982.06 BTB-Am-Untertor-6-Hofheim-MTV-Dachterrasse-1.OG</t>
        </is>
      </c>
      <c r="B242" s="4" t="inlineStr">
        <is>
          <t>● (a.N.) Pos.1 BTB Thematik Nutzung Dachterrasse 1.OG</t>
        </is>
      </c>
      <c r="C242" s="4" t="inlineStr">
        <is>
          <t>Nachweis</t>
        </is>
      </c>
      <c r="D242" s="10" t="inlineStr">
        <is>
          <t>⚠ Manual erforderlich</t>
        </is>
      </c>
      <c r="E242" s="11" t="inlineStr"/>
      <c r="F242" s="11" t="n">
        <v>0</v>
      </c>
      <c r="G242" s="11">
        <f>E242-F242</f>
        <v/>
      </c>
      <c r="H242" s="11" t="n">
        <v/>
      </c>
      <c r="I242" s="11" t="n">
        <v/>
      </c>
      <c r="J242" s="11" t="n">
        <v/>
      </c>
      <c r="K242" s="4" t="inlineStr">
        <is>
          <t>Stundensätze eingeben</t>
        </is>
      </c>
    </row>
    <row r="243">
      <c r="A243" s="4" t="inlineStr">
        <is>
          <t>1986 Otto-Hahn-Schule-Gerichtsgutachten</t>
        </is>
      </c>
      <c r="B243" s="4" t="inlineStr">
        <is>
          <t>● 0001-Sonstiges</t>
        </is>
      </c>
      <c r="C243" s="9" t="inlineStr">
        <is>
          <t>Unbekannt</t>
        </is>
      </c>
      <c r="D243" s="10" t="inlineStr">
        <is>
          <t>⚠ Manual erforderlich</t>
        </is>
      </c>
      <c r="E243" s="11" t="inlineStr"/>
      <c r="F243" s="11" t="n">
        <v>0</v>
      </c>
      <c r="G243" s="11">
        <f>E243-F243</f>
        <v/>
      </c>
      <c r="H243" s="11" t="n">
        <v/>
      </c>
      <c r="I243" s="11" t="n">
        <v/>
      </c>
      <c r="J243" s="11" t="n">
        <v/>
      </c>
      <c r="K243" s="4" t="inlineStr">
        <is>
          <t>Abrechnungsart wählen; Stundensätze eingeben</t>
        </is>
      </c>
    </row>
    <row r="244">
      <c r="A244" s="4" t="inlineStr">
        <is>
          <t>1986 Otto-Hahn-Schule-Gerichtsgutachten</t>
        </is>
      </c>
      <c r="B244" s="4" t="inlineStr">
        <is>
          <t>● 1000-Grundlagenermittlung</t>
        </is>
      </c>
      <c r="C244" s="9" t="inlineStr">
        <is>
          <t>Unbekannt</t>
        </is>
      </c>
      <c r="D244" s="10" t="inlineStr">
        <is>
          <t>⚠ Manual erforderlich</t>
        </is>
      </c>
      <c r="E244" s="11" t="inlineStr"/>
      <c r="F244" s="11" t="n">
        <v>0</v>
      </c>
      <c r="G244" s="11">
        <f>E244-F244</f>
        <v/>
      </c>
      <c r="H244" s="11" t="n">
        <v/>
      </c>
      <c r="I244" s="11" t="n">
        <v/>
      </c>
      <c r="J244" s="11" t="n">
        <v/>
      </c>
      <c r="K244" s="4" t="inlineStr">
        <is>
          <t>Abrechnungsart wählen; Stundensätze eingeben</t>
        </is>
      </c>
    </row>
    <row r="245">
      <c r="A245" s="4" t="inlineStr">
        <is>
          <t>1986 Otto-Hahn-Schule-Gerichtsgutachten</t>
        </is>
      </c>
      <c r="B245" s="4" t="inlineStr">
        <is>
          <t>● 2000-Vorplanung</t>
        </is>
      </c>
      <c r="C245" s="9" t="inlineStr">
        <is>
          <t>Unbekannt</t>
        </is>
      </c>
      <c r="D245" s="10" t="inlineStr">
        <is>
          <t>⚠ Manual erforderlich</t>
        </is>
      </c>
      <c r="E245" s="11" t="inlineStr"/>
      <c r="F245" s="11" t="n">
        <v>0</v>
      </c>
      <c r="G245" s="11">
        <f>E245-F245</f>
        <v/>
      </c>
      <c r="H245" s="11" t="n">
        <v/>
      </c>
      <c r="I245" s="11" t="n">
        <v/>
      </c>
      <c r="J245" s="11" t="n">
        <v/>
      </c>
      <c r="K245" s="4" t="inlineStr">
        <is>
          <t>Abrechnungsart wählen; Stundensätze eingeben</t>
        </is>
      </c>
    </row>
    <row r="246">
      <c r="A246" s="4" t="inlineStr">
        <is>
          <t>1986 Otto-Hahn-Schule-Gerichtsgutachten</t>
        </is>
      </c>
      <c r="B246" s="4" t="inlineStr">
        <is>
          <t>● 3000-Entwurfsplanung</t>
        </is>
      </c>
      <c r="C246" s="9" t="inlineStr">
        <is>
          <t>Unbekannt</t>
        </is>
      </c>
      <c r="D246" s="10" t="inlineStr">
        <is>
          <t>⚠ Manual erforderlich</t>
        </is>
      </c>
      <c r="E246" s="11" t="inlineStr"/>
      <c r="F246" s="11" t="n">
        <v>0</v>
      </c>
      <c r="G246" s="11">
        <f>E246-F246</f>
        <v/>
      </c>
      <c r="H246" s="11" t="n">
        <v/>
      </c>
      <c r="I246" s="11" t="n">
        <v/>
      </c>
      <c r="J246" s="11" t="n">
        <v/>
      </c>
      <c r="K246" s="4" t="inlineStr">
        <is>
          <t>Abrechnungsart wählen; Stundensätze eingeben</t>
        </is>
      </c>
    </row>
    <row r="247">
      <c r="A247" s="4" t="inlineStr">
        <is>
          <t>1986 Otto-Hahn-Schule-Gerichtsgutachten</t>
        </is>
      </c>
      <c r="B247" s="4" t="inlineStr">
        <is>
          <t>● 4000-Genehmigungsplanung</t>
        </is>
      </c>
      <c r="C247" s="9" t="inlineStr">
        <is>
          <t>Unbekannt</t>
        </is>
      </c>
      <c r="D247" s="10" t="inlineStr">
        <is>
          <t>⚠ Manual erforderlich</t>
        </is>
      </c>
      <c r="E247" s="11" t="inlineStr"/>
      <c r="F247" s="11" t="n">
        <v>0</v>
      </c>
      <c r="G247" s="11">
        <f>E247-F247</f>
        <v/>
      </c>
      <c r="H247" s="11" t="n">
        <v/>
      </c>
      <c r="I247" s="11" t="n">
        <v/>
      </c>
      <c r="J247" s="11" t="n">
        <v/>
      </c>
      <c r="K247" s="4" t="inlineStr">
        <is>
          <t>Abrechnungsart wählen; Stundensätze eingeben</t>
        </is>
      </c>
    </row>
    <row r="248">
      <c r="A248" s="4" t="inlineStr">
        <is>
          <t>1986 Otto-Hahn-Schule-Gerichtsgutachten</t>
        </is>
      </c>
      <c r="B248" s="4" t="inlineStr">
        <is>
          <t>● 5000-Ausführungsplanung</t>
        </is>
      </c>
      <c r="C248" s="9" t="inlineStr">
        <is>
          <t>Unbekannt</t>
        </is>
      </c>
      <c r="D248" s="10" t="inlineStr">
        <is>
          <t>⚠ Manual erforderlich</t>
        </is>
      </c>
      <c r="E248" s="11" t="inlineStr"/>
      <c r="F248" s="11" t="n">
        <v>0</v>
      </c>
      <c r="G248" s="11">
        <f>E248-F248</f>
        <v/>
      </c>
      <c r="H248" s="11" t="n">
        <v/>
      </c>
      <c r="I248" s="11" t="n">
        <v/>
      </c>
      <c r="J248" s="11" t="n">
        <v/>
      </c>
      <c r="K248" s="4" t="inlineStr">
        <is>
          <t>Abrechnungsart wählen; Stundensätze eingeben</t>
        </is>
      </c>
    </row>
    <row r="249">
      <c r="A249" s="4" t="inlineStr">
        <is>
          <t>1986 Otto-Hahn-Schule-Gerichtsgutachten</t>
        </is>
      </c>
      <c r="B249" s="4" t="inlineStr">
        <is>
          <t>● 6000-Vorbereiten der Vergabe</t>
        </is>
      </c>
      <c r="C249" s="9" t="inlineStr">
        <is>
          <t>Unbekannt</t>
        </is>
      </c>
      <c r="D249" s="10" t="inlineStr">
        <is>
          <t>⚠ Manual erforderlich</t>
        </is>
      </c>
      <c r="E249" s="11" t="inlineStr"/>
      <c r="F249" s="11" t="n">
        <v>0</v>
      </c>
      <c r="G249" s="11">
        <f>E249-F249</f>
        <v/>
      </c>
      <c r="H249" s="11" t="n">
        <v/>
      </c>
      <c r="I249" s="11" t="n">
        <v/>
      </c>
      <c r="J249" s="11" t="n">
        <v/>
      </c>
      <c r="K249" s="4" t="inlineStr">
        <is>
          <t>Abrechnungsart wählen; Stundensätze eingeben</t>
        </is>
      </c>
    </row>
    <row r="250">
      <c r="A250" s="4" t="inlineStr">
        <is>
          <t>1986 Otto-Hahn-Schule-Gerichtsgutachten</t>
        </is>
      </c>
      <c r="B250" s="4" t="inlineStr">
        <is>
          <t>● 7000-Mitwirkung bei der Vergabe</t>
        </is>
      </c>
      <c r="C250" s="9" t="inlineStr">
        <is>
          <t>Unbekannt</t>
        </is>
      </c>
      <c r="D250" s="10" t="inlineStr">
        <is>
          <t>⚠ Manual erforderlich</t>
        </is>
      </c>
      <c r="E250" s="11" t="inlineStr"/>
      <c r="F250" s="11" t="n">
        <v>0</v>
      </c>
      <c r="G250" s="11">
        <f>E250-F250</f>
        <v/>
      </c>
      <c r="H250" s="11" t="n">
        <v/>
      </c>
      <c r="I250" s="11" t="n">
        <v/>
      </c>
      <c r="J250" s="11" t="n">
        <v/>
      </c>
      <c r="K250" s="4" t="inlineStr">
        <is>
          <t>Abrechnungsart wählen; Stundensätze eingeben</t>
        </is>
      </c>
    </row>
    <row r="251">
      <c r="A251" s="4" t="inlineStr">
        <is>
          <t>1986 Otto-Hahn-Schule-Gerichtsgutachten</t>
        </is>
      </c>
      <c r="B251" s="4" t="inlineStr">
        <is>
          <t>● 8000-Objektüberwachung</t>
        </is>
      </c>
      <c r="C251" s="9" t="inlineStr">
        <is>
          <t>Unbekannt</t>
        </is>
      </c>
      <c r="D251" s="10" t="inlineStr">
        <is>
          <t>⚠ Manual erforderlich</t>
        </is>
      </c>
      <c r="E251" s="11" t="inlineStr"/>
      <c r="F251" s="11" t="n">
        <v>0</v>
      </c>
      <c r="G251" s="11">
        <f>E251-F251</f>
        <v/>
      </c>
      <c r="H251" s="11" t="n">
        <v/>
      </c>
      <c r="I251" s="11" t="n">
        <v/>
      </c>
      <c r="J251" s="11" t="n">
        <v/>
      </c>
      <c r="K251" s="4" t="inlineStr">
        <is>
          <t>Abrechnungsart wählen; Stundensätze eingeben</t>
        </is>
      </c>
    </row>
    <row r="252">
      <c r="A252" s="4" t="inlineStr">
        <is>
          <t>1986 Otto-Hahn-Schule-Gerichtsgutachten</t>
        </is>
      </c>
      <c r="B252" s="4" t="inlineStr">
        <is>
          <t>● 9000-Objektbetreuung und Dokumentation</t>
        </is>
      </c>
      <c r="C252" s="9" t="inlineStr">
        <is>
          <t>Unbekannt</t>
        </is>
      </c>
      <c r="D252" s="10" t="inlineStr">
        <is>
          <t>⚠ Manual erforderlich</t>
        </is>
      </c>
      <c r="E252" s="11" t="inlineStr"/>
      <c r="F252" s="11" t="n">
        <v>0</v>
      </c>
      <c r="G252" s="11">
        <f>E252-F252</f>
        <v/>
      </c>
      <c r="H252" s="11" t="n">
        <v/>
      </c>
      <c r="I252" s="11" t="n">
        <v/>
      </c>
      <c r="J252" s="11" t="n">
        <v/>
      </c>
      <c r="K252" s="4" t="inlineStr">
        <is>
          <t>Abrechnungsart wählen; Stundensätze eingeben</t>
        </is>
      </c>
    </row>
    <row r="253">
      <c r="A253" s="4" t="inlineStr">
        <is>
          <t>1987.11 BSB-2025-Am-langen-Graben-7-Düren</t>
        </is>
      </c>
      <c r="B253" s="4" t="inlineStr">
        <is>
          <t>● 9000-Objektbetreuung und Dokumentation</t>
        </is>
      </c>
      <c r="C253" s="9" t="inlineStr">
        <is>
          <t>Unbekannt</t>
        </is>
      </c>
      <c r="D253" s="10" t="inlineStr">
        <is>
          <t>⚠ Manual erforderlich</t>
        </is>
      </c>
      <c r="E253" s="11" t="inlineStr"/>
      <c r="F253" s="11" t="n">
        <v>0</v>
      </c>
      <c r="G253" s="11">
        <f>E253-F253</f>
        <v/>
      </c>
      <c r="H253" s="11" t="n">
        <v/>
      </c>
      <c r="I253" s="11" t="n">
        <v/>
      </c>
      <c r="J253" s="11" t="n">
        <v/>
      </c>
      <c r="K253" s="4" t="inlineStr">
        <is>
          <t>Abrechnungsart wählen; Stundensätze eingeben</t>
        </is>
      </c>
    </row>
    <row r="254">
      <c r="A254" s="4" t="inlineStr">
        <is>
          <t>2032.061 aam2core-FRP-Halbergstraße1-LU</t>
        </is>
      </c>
      <c r="B254" s="4" t="inlineStr">
        <is>
          <t>● (p) Pos. 1 Aktual. FRP</t>
        </is>
      </c>
      <c r="C254" s="4" t="inlineStr">
        <is>
          <t>Pauschale</t>
        </is>
      </c>
      <c r="D254" s="10" t="inlineStr">
        <is>
          <t>⚠ Manual erforderlich</t>
        </is>
      </c>
      <c r="E254" s="11" t="inlineStr"/>
      <c r="F254" s="11" t="n">
        <v>0</v>
      </c>
      <c r="G254" s="11">
        <f>E254-F254</f>
        <v/>
      </c>
      <c r="H254" s="11" t="n">
        <v>0</v>
      </c>
      <c r="I254" s="11" t="n">
        <v>0</v>
      </c>
      <c r="J254" s="11" t="n">
        <v>0</v>
      </c>
      <c r="K254" s="4" t="inlineStr">
        <is>
          <t>Stundensätze eingeben</t>
        </is>
      </c>
    </row>
    <row r="255">
      <c r="A255" s="4" t="inlineStr">
        <is>
          <t>2032.061 aam2core-FRP-Halbergstraße1-LU</t>
        </is>
      </c>
      <c r="B255" s="4" t="inlineStr">
        <is>
          <t>● (aN) Pos. 2 Begehung</t>
        </is>
      </c>
      <c r="C255" s="4" t="inlineStr">
        <is>
          <t>Nachweis</t>
        </is>
      </c>
      <c r="D255" s="10" t="inlineStr">
        <is>
          <t>⚠ Manual erforderlich</t>
        </is>
      </c>
      <c r="E255" s="11" t="inlineStr"/>
      <c r="F255" s="11" t="n">
        <v>0</v>
      </c>
      <c r="G255" s="11">
        <f>E255-F255</f>
        <v/>
      </c>
      <c r="H255" s="11" t="n">
        <v/>
      </c>
      <c r="I255" s="11" t="n">
        <v/>
      </c>
      <c r="J255" s="11" t="n">
        <v/>
      </c>
      <c r="K255" s="4" t="inlineStr">
        <is>
          <t>Stundensätze eingeben</t>
        </is>
      </c>
    </row>
    <row r="256">
      <c r="A256" s="4" t="inlineStr">
        <is>
          <t>2036.06 BTB-Zeil-85-93-Frankfurt</t>
        </is>
      </c>
      <c r="B256" s="4" t="inlineStr">
        <is>
          <t>● (a.N.) Pos. 1 - BTB zur Thematik Teilnahme an Gefahrenverhütungsschau</t>
        </is>
      </c>
      <c r="C256" s="4" t="inlineStr">
        <is>
          <t>Nachweis</t>
        </is>
      </c>
      <c r="D256" s="10" t="inlineStr">
        <is>
          <t>⚠ Manual erforderlich</t>
        </is>
      </c>
      <c r="E256" s="11" t="inlineStr"/>
      <c r="F256" s="11" t="n">
        <v>0</v>
      </c>
      <c r="G256" s="11">
        <f>E256-F256</f>
        <v/>
      </c>
      <c r="H256" s="11" t="n">
        <v/>
      </c>
      <c r="I256" s="11" t="n">
        <v/>
      </c>
      <c r="J256" s="11" t="n">
        <v/>
      </c>
      <c r="K256" s="4" t="inlineStr">
        <is>
          <t>Stundensätze eingeben</t>
        </is>
      </c>
    </row>
    <row r="257">
      <c r="A257" s="4" t="inlineStr">
        <is>
          <t>2036.08 BSK-H&amp;M-Zeil-85-93-Ffm-Area-Büro</t>
        </is>
      </c>
      <c r="B257" s="4" t="inlineStr">
        <is>
          <t>● (p) Pos.1 Fortschreibung BSK für den Bereich Area-Büro</t>
        </is>
      </c>
      <c r="C257" s="4" t="inlineStr">
        <is>
          <t>Pauschale</t>
        </is>
      </c>
      <c r="D257" s="10" t="inlineStr">
        <is>
          <t>⚠ Manual erforderlich</t>
        </is>
      </c>
      <c r="E257" s="11" t="inlineStr"/>
      <c r="F257" s="11" t="n">
        <v>0</v>
      </c>
      <c r="G257" s="11">
        <f>E257-F257</f>
        <v/>
      </c>
      <c r="H257" s="11" t="n">
        <v>0</v>
      </c>
      <c r="I257" s="11" t="n">
        <v>0</v>
      </c>
      <c r="J257" s="11" t="n">
        <v>0</v>
      </c>
      <c r="K257" s="4" t="inlineStr">
        <is>
          <t>Stundensätze eingeben</t>
        </is>
      </c>
    </row>
    <row r="258">
      <c r="A258" s="4" t="inlineStr">
        <is>
          <t>2036.08 BSK-H&amp;M-Zeil-85-93-Ffm-Area-Büro</t>
        </is>
      </c>
      <c r="B258" s="4" t="inlineStr">
        <is>
          <t>● (aN) Pos.2 Baubegl. BSB + Qualitätsüberwachung</t>
        </is>
      </c>
      <c r="C258" s="4" t="inlineStr">
        <is>
          <t>Nachweis</t>
        </is>
      </c>
      <c r="D258" s="10" t="inlineStr">
        <is>
          <t>⚠ Manual erforderlich</t>
        </is>
      </c>
      <c r="E258" s="11" t="inlineStr"/>
      <c r="F258" s="11" t="n">
        <v>0</v>
      </c>
      <c r="G258" s="11">
        <f>E258-F258</f>
        <v/>
      </c>
      <c r="H258" s="11" t="n">
        <v/>
      </c>
      <c r="I258" s="11" t="n">
        <v/>
      </c>
      <c r="J258" s="11" t="n">
        <v/>
      </c>
      <c r="K258" s="4" t="inlineStr">
        <is>
          <t>Stundensätze eingeben</t>
        </is>
      </c>
    </row>
    <row r="259">
      <c r="A259" s="4" t="inlineStr">
        <is>
          <t>2036.09 BTB-Zeil-85-93-Frankfurt-Knolli-EG-1.OG</t>
        </is>
      </c>
      <c r="B259" s="4" t="inlineStr">
        <is>
          <t>● (aN) Pos.1 BTB - Bew.+Festlegung v. Brandschutzm. i.d. MFl. Nord-West EG-1.OG+Begehung</t>
        </is>
      </c>
      <c r="C259" s="4" t="inlineStr">
        <is>
          <t>Nachweis</t>
        </is>
      </c>
      <c r="D259" s="10" t="inlineStr">
        <is>
          <t>⚠ Manual erforderlich</t>
        </is>
      </c>
      <c r="E259" s="11" t="inlineStr"/>
      <c r="F259" s="11" t="n">
        <v>0</v>
      </c>
      <c r="G259" s="11">
        <f>E259-F259</f>
        <v/>
      </c>
      <c r="H259" s="11" t="n">
        <v/>
      </c>
      <c r="I259" s="11" t="n">
        <v/>
      </c>
      <c r="J259" s="11" t="n">
        <v/>
      </c>
      <c r="K259" s="4" t="inlineStr">
        <is>
          <t>Stundensätze eingeben</t>
        </is>
      </c>
    </row>
    <row r="260">
      <c r="A260" s="4" t="inlineStr">
        <is>
          <t>2036.10 BSK-Zeil-85-93-Frankfurt-Kiko-EG+1.OG</t>
        </is>
      </c>
      <c r="B260" s="4" t="inlineStr">
        <is>
          <t>● (p) Pos.1 Erstellung BSK für KIKO – Ladengeschäft EG + 1. OG</t>
        </is>
      </c>
      <c r="C260" s="4" t="inlineStr">
        <is>
          <t>Pauschale</t>
        </is>
      </c>
      <c r="D260" s="10" t="inlineStr">
        <is>
          <t>⚠ Manual erforderlich</t>
        </is>
      </c>
      <c r="E260" s="11" t="inlineStr"/>
      <c r="F260" s="11" t="n">
        <v>0</v>
      </c>
      <c r="G260" s="11">
        <f>E260-F260</f>
        <v/>
      </c>
      <c r="H260" s="11" t="n">
        <v>0</v>
      </c>
      <c r="I260" s="11" t="n">
        <v>0</v>
      </c>
      <c r="J260" s="11" t="n">
        <v>0</v>
      </c>
      <c r="K260" s="4" t="inlineStr">
        <is>
          <t>Stundensätze eingeben</t>
        </is>
      </c>
    </row>
    <row r="261">
      <c r="A261" s="4" t="inlineStr">
        <is>
          <t>2036.10 BSK-Zeil-85-93-Frankfurt-Kiko-EG+1.OG</t>
        </is>
      </c>
      <c r="B261" s="4" t="inlineStr">
        <is>
          <t>● (aN) Pos.2 BAB</t>
        </is>
      </c>
      <c r="C261" s="4" t="inlineStr">
        <is>
          <t>Nachweis</t>
        </is>
      </c>
      <c r="D261" s="10" t="inlineStr">
        <is>
          <t>⚠ Manual erforderlich</t>
        </is>
      </c>
      <c r="E261" s="11" t="inlineStr"/>
      <c r="F261" s="11" t="n">
        <v>0</v>
      </c>
      <c r="G261" s="11">
        <f>E261-F261</f>
        <v/>
      </c>
      <c r="H261" s="11" t="n">
        <v/>
      </c>
      <c r="I261" s="11" t="n">
        <v/>
      </c>
      <c r="J261" s="11" t="n">
        <v/>
      </c>
      <c r="K261" s="4" t="inlineStr">
        <is>
          <t>Stundensätze eingeben</t>
        </is>
      </c>
    </row>
    <row r="262">
      <c r="A262" s="4" t="inlineStr">
        <is>
          <t>2044 Frankfurter Verein e.V. - Anfragen</t>
        </is>
      </c>
      <c r="B262" s="4" t="inlineStr">
        <is>
          <t>● 0001-Sonstiges</t>
        </is>
      </c>
      <c r="C262" s="9" t="inlineStr">
        <is>
          <t>Unbekannt</t>
        </is>
      </c>
      <c r="D262" s="10" t="inlineStr">
        <is>
          <t>⚠ Manual erforderlich</t>
        </is>
      </c>
      <c r="E262" s="11" t="inlineStr"/>
      <c r="F262" s="11" t="n">
        <v>0</v>
      </c>
      <c r="G262" s="11">
        <f>E262-F262</f>
        <v/>
      </c>
      <c r="H262" s="11" t="n">
        <v/>
      </c>
      <c r="I262" s="11" t="n">
        <v/>
      </c>
      <c r="J262" s="11" t="n">
        <v/>
      </c>
      <c r="K262" s="4" t="inlineStr">
        <is>
          <t>Abrechnungsart wählen; Stundensätze eingeben</t>
        </is>
      </c>
    </row>
    <row r="263">
      <c r="A263" s="4" t="inlineStr">
        <is>
          <t>2044 Frankfurter Verein e.V. - Anfragen</t>
        </is>
      </c>
      <c r="B263" s="4" t="inlineStr">
        <is>
          <t>● 1000-Grundlagenermittlung</t>
        </is>
      </c>
      <c r="C263" s="9" t="inlineStr">
        <is>
          <t>Unbekannt</t>
        </is>
      </c>
      <c r="D263" s="10" t="inlineStr">
        <is>
          <t>⚠ Manual erforderlich</t>
        </is>
      </c>
      <c r="E263" s="11" t="inlineStr"/>
      <c r="F263" s="11" t="n">
        <v>0</v>
      </c>
      <c r="G263" s="11">
        <f>E263-F263</f>
        <v/>
      </c>
      <c r="H263" s="11" t="n">
        <v/>
      </c>
      <c r="I263" s="11" t="n">
        <v/>
      </c>
      <c r="J263" s="11" t="n">
        <v/>
      </c>
      <c r="K263" s="4" t="inlineStr">
        <is>
          <t>Abrechnungsart wählen; Stundensätze eingeben</t>
        </is>
      </c>
    </row>
    <row r="264">
      <c r="A264" s="4" t="inlineStr">
        <is>
          <t>2044 Frankfurter Verein e.V. - Anfragen</t>
        </is>
      </c>
      <c r="B264" s="4" t="inlineStr">
        <is>
          <t>● 2000-Vorplanung</t>
        </is>
      </c>
      <c r="C264" s="9" t="inlineStr">
        <is>
          <t>Unbekannt</t>
        </is>
      </c>
      <c r="D264" s="10" t="inlineStr">
        <is>
          <t>⚠ Manual erforderlich</t>
        </is>
      </c>
      <c r="E264" s="11" t="inlineStr"/>
      <c r="F264" s="11" t="n">
        <v>0</v>
      </c>
      <c r="G264" s="11">
        <f>E264-F264</f>
        <v/>
      </c>
      <c r="H264" s="11" t="n">
        <v/>
      </c>
      <c r="I264" s="11" t="n">
        <v/>
      </c>
      <c r="J264" s="11" t="n">
        <v/>
      </c>
      <c r="K264" s="4" t="inlineStr">
        <is>
          <t>Abrechnungsart wählen; Stundensätze eingeben</t>
        </is>
      </c>
    </row>
    <row r="265">
      <c r="A265" s="4" t="inlineStr">
        <is>
          <t>2044 Frankfurter Verein e.V. - Anfragen</t>
        </is>
      </c>
      <c r="B265" s="4" t="inlineStr">
        <is>
          <t>● 3000-Entwurfsplanung</t>
        </is>
      </c>
      <c r="C265" s="9" t="inlineStr">
        <is>
          <t>Unbekannt</t>
        </is>
      </c>
      <c r="D265" s="10" t="inlineStr">
        <is>
          <t>⚠ Manual erforderlich</t>
        </is>
      </c>
      <c r="E265" s="11" t="inlineStr"/>
      <c r="F265" s="11" t="n">
        <v>0</v>
      </c>
      <c r="G265" s="11">
        <f>E265-F265</f>
        <v/>
      </c>
      <c r="H265" s="11" t="n">
        <v/>
      </c>
      <c r="I265" s="11" t="n">
        <v/>
      </c>
      <c r="J265" s="11" t="n">
        <v/>
      </c>
      <c r="K265" s="4" t="inlineStr">
        <is>
          <t>Abrechnungsart wählen; Stundensätze eingeben</t>
        </is>
      </c>
    </row>
    <row r="266">
      <c r="A266" s="4" t="inlineStr">
        <is>
          <t>2044 Frankfurter Verein e.V. - Anfragen</t>
        </is>
      </c>
      <c r="B266" s="4" t="inlineStr">
        <is>
          <t>● 4000-Genehmigungsplanung</t>
        </is>
      </c>
      <c r="C266" s="9" t="inlineStr">
        <is>
          <t>Unbekannt</t>
        </is>
      </c>
      <c r="D266" s="10" t="inlineStr">
        <is>
          <t>⚠ Manual erforderlich</t>
        </is>
      </c>
      <c r="E266" s="11" t="inlineStr"/>
      <c r="F266" s="11" t="n">
        <v>0</v>
      </c>
      <c r="G266" s="11">
        <f>E266-F266</f>
        <v/>
      </c>
      <c r="H266" s="11" t="n">
        <v/>
      </c>
      <c r="I266" s="11" t="n">
        <v/>
      </c>
      <c r="J266" s="11" t="n">
        <v/>
      </c>
      <c r="K266" s="4" t="inlineStr">
        <is>
          <t>Abrechnungsart wählen; Stundensätze eingeben</t>
        </is>
      </c>
    </row>
    <row r="267">
      <c r="A267" s="4" t="inlineStr">
        <is>
          <t>2044 Frankfurter Verein e.V. - Anfragen</t>
        </is>
      </c>
      <c r="B267" s="4" t="inlineStr">
        <is>
          <t>● 5000-Ausführungsplanung</t>
        </is>
      </c>
      <c r="C267" s="9" t="inlineStr">
        <is>
          <t>Unbekannt</t>
        </is>
      </c>
      <c r="D267" s="10" t="inlineStr">
        <is>
          <t>⚠ Manual erforderlich</t>
        </is>
      </c>
      <c r="E267" s="11" t="inlineStr"/>
      <c r="F267" s="11" t="n">
        <v>0</v>
      </c>
      <c r="G267" s="11">
        <f>E267-F267</f>
        <v/>
      </c>
      <c r="H267" s="11" t="n">
        <v/>
      </c>
      <c r="I267" s="11" t="n">
        <v/>
      </c>
      <c r="J267" s="11" t="n">
        <v/>
      </c>
      <c r="K267" s="4" t="inlineStr">
        <is>
          <t>Abrechnungsart wählen; Stundensätze eingeben</t>
        </is>
      </c>
    </row>
    <row r="268">
      <c r="A268" s="4" t="inlineStr">
        <is>
          <t>2044 Frankfurter Verein e.V. - Anfragen</t>
        </is>
      </c>
      <c r="B268" s="4" t="inlineStr">
        <is>
          <t>● 6000-Vorbereiten der Vergabe</t>
        </is>
      </c>
      <c r="C268" s="9" t="inlineStr">
        <is>
          <t>Unbekannt</t>
        </is>
      </c>
      <c r="D268" s="10" t="inlineStr">
        <is>
          <t>⚠ Manual erforderlich</t>
        </is>
      </c>
      <c r="E268" s="11" t="inlineStr"/>
      <c r="F268" s="11" t="n">
        <v>0</v>
      </c>
      <c r="G268" s="11">
        <f>E268-F268</f>
        <v/>
      </c>
      <c r="H268" s="11" t="n">
        <v/>
      </c>
      <c r="I268" s="11" t="n">
        <v/>
      </c>
      <c r="J268" s="11" t="n">
        <v/>
      </c>
      <c r="K268" s="4" t="inlineStr">
        <is>
          <t>Abrechnungsart wählen; Stundensätze eingeben</t>
        </is>
      </c>
    </row>
    <row r="269">
      <c r="A269" s="4" t="inlineStr">
        <is>
          <t>2044 Frankfurter Verein e.V. - Anfragen</t>
        </is>
      </c>
      <c r="B269" s="4" t="inlineStr">
        <is>
          <t>● 7000-Mitwirkung bei der Vergabe</t>
        </is>
      </c>
      <c r="C269" s="9" t="inlineStr">
        <is>
          <t>Unbekannt</t>
        </is>
      </c>
      <c r="D269" s="10" t="inlineStr">
        <is>
          <t>⚠ Manual erforderlich</t>
        </is>
      </c>
      <c r="E269" s="11" t="inlineStr"/>
      <c r="F269" s="11" t="n">
        <v>0</v>
      </c>
      <c r="G269" s="11">
        <f>E269-F269</f>
        <v/>
      </c>
      <c r="H269" s="11" t="n">
        <v/>
      </c>
      <c r="I269" s="11" t="n">
        <v/>
      </c>
      <c r="J269" s="11" t="n">
        <v/>
      </c>
      <c r="K269" s="4" t="inlineStr">
        <is>
          <t>Abrechnungsart wählen; Stundensätze eingeben</t>
        </is>
      </c>
    </row>
    <row r="270">
      <c r="A270" s="4" t="inlineStr">
        <is>
          <t>2044 Frankfurter Verein e.V. - Anfragen</t>
        </is>
      </c>
      <c r="B270" s="4" t="inlineStr">
        <is>
          <t>● 8000-Objektüberwachung</t>
        </is>
      </c>
      <c r="C270" s="9" t="inlineStr">
        <is>
          <t>Unbekannt</t>
        </is>
      </c>
      <c r="D270" s="10" t="inlineStr">
        <is>
          <t>⚠ Manual erforderlich</t>
        </is>
      </c>
      <c r="E270" s="11" t="inlineStr"/>
      <c r="F270" s="11" t="n">
        <v>0</v>
      </c>
      <c r="G270" s="11">
        <f>E270-F270</f>
        <v/>
      </c>
      <c r="H270" s="11" t="n">
        <v/>
      </c>
      <c r="I270" s="11" t="n">
        <v/>
      </c>
      <c r="J270" s="11" t="n">
        <v/>
      </c>
      <c r="K270" s="4" t="inlineStr">
        <is>
          <t>Abrechnungsart wählen; Stundensätze eingeben</t>
        </is>
      </c>
    </row>
    <row r="271">
      <c r="A271" s="4" t="inlineStr">
        <is>
          <t>2044 Frankfurter Verein e.V. - Anfragen</t>
        </is>
      </c>
      <c r="B271" s="4" t="inlineStr">
        <is>
          <t>● 9000-Objektbetreuung und Dokumentation</t>
        </is>
      </c>
      <c r="C271" s="9" t="inlineStr">
        <is>
          <t>Unbekannt</t>
        </is>
      </c>
      <c r="D271" s="10" t="inlineStr">
        <is>
          <t>⚠ Manual erforderlich</t>
        </is>
      </c>
      <c r="E271" s="11" t="inlineStr"/>
      <c r="F271" s="11" t="n">
        <v>0</v>
      </c>
      <c r="G271" s="11">
        <f>E271-F271</f>
        <v/>
      </c>
      <c r="H271" s="11" t="n">
        <v/>
      </c>
      <c r="I271" s="11" t="n">
        <v/>
      </c>
      <c r="J271" s="11" t="n">
        <v/>
      </c>
      <c r="K271" s="4" t="inlineStr">
        <is>
          <t>Abrechnungsart wählen; Stundensätze eingeben</t>
        </is>
      </c>
    </row>
    <row r="272">
      <c r="A272" s="4" t="inlineStr">
        <is>
          <t>2044.01 BSB-Frankfurter-Verein-Liegenschaften-allgem.</t>
        </is>
      </c>
      <c r="B272" s="4" t="inlineStr">
        <is>
          <t>● (aN) Pos.1 BTB Liegenschaften allgemein</t>
        </is>
      </c>
      <c r="C272" s="4" t="inlineStr">
        <is>
          <t>Nachweis</t>
        </is>
      </c>
      <c r="D272" s="10" t="inlineStr">
        <is>
          <t>⚠ Manual erforderlich</t>
        </is>
      </c>
      <c r="E272" s="11" t="inlineStr"/>
      <c r="F272" s="11" t="n">
        <v>0</v>
      </c>
      <c r="G272" s="11">
        <f>E272-F272</f>
        <v/>
      </c>
      <c r="H272" s="11" t="n">
        <v/>
      </c>
      <c r="I272" s="11" t="n">
        <v/>
      </c>
      <c r="J272" s="11" t="n">
        <v/>
      </c>
      <c r="K272" s="4" t="inlineStr">
        <is>
          <t>Stundensätze eingeben</t>
        </is>
      </c>
    </row>
    <row r="273">
      <c r="A273" s="4" t="inlineStr">
        <is>
          <t>2044.02 BSK-Lyoner-Straße-1-Frankfurt</t>
        </is>
      </c>
      <c r="B273" s="4" t="inlineStr">
        <is>
          <t>● (p) Pos.1 BSK</t>
        </is>
      </c>
      <c r="C273" s="4" t="inlineStr">
        <is>
          <t>Pauschale</t>
        </is>
      </c>
      <c r="D273" s="10" t="inlineStr">
        <is>
          <t>⚠ Manual erforderlich</t>
        </is>
      </c>
      <c r="E273" s="11" t="inlineStr"/>
      <c r="F273" s="11" t="n">
        <v>0</v>
      </c>
      <c r="G273" s="11">
        <f>E273-F273</f>
        <v/>
      </c>
      <c r="H273" s="11" t="n">
        <v>0</v>
      </c>
      <c r="I273" s="11" t="n">
        <v>0</v>
      </c>
      <c r="J273" s="11" t="n">
        <v>0</v>
      </c>
      <c r="K273" s="4" t="inlineStr">
        <is>
          <t>Stundensätze eingeben</t>
        </is>
      </c>
    </row>
    <row r="274">
      <c r="A274" s="4" t="inlineStr">
        <is>
          <t>2112.08 Pläne-Schützenbleiche-3-7-Frankfurt-Süwag-Haus-B</t>
        </is>
      </c>
      <c r="B274" s="4" t="inlineStr">
        <is>
          <t>● (p) Pos. 1 - FW-Pläne</t>
        </is>
      </c>
      <c r="C274" s="4" t="inlineStr">
        <is>
          <t>Pauschale</t>
        </is>
      </c>
      <c r="D274" s="10" t="inlineStr">
        <is>
          <t>⚠ Manual erforderlich</t>
        </is>
      </c>
      <c r="E274" s="11" t="inlineStr"/>
      <c r="F274" s="11" t="n">
        <v>0</v>
      </c>
      <c r="G274" s="11">
        <f>E274-F274</f>
        <v/>
      </c>
      <c r="H274" s="11" t="n">
        <v>0</v>
      </c>
      <c r="I274" s="11" t="n">
        <v>0</v>
      </c>
      <c r="J274" s="11" t="n">
        <v>0</v>
      </c>
      <c r="K274" s="4" t="inlineStr">
        <is>
          <t>Stundensätze eingeben</t>
        </is>
      </c>
    </row>
    <row r="275">
      <c r="A275" s="4" t="inlineStr">
        <is>
          <t>2112.08 Pläne-Schützenbleiche-3-7-Frankfurt-Süwag-Haus-B</t>
        </is>
      </c>
      <c r="B275" s="4" t="inlineStr">
        <is>
          <t>● (p) Pos. 2 - FuR-Pläne</t>
        </is>
      </c>
      <c r="C275" s="4" t="inlineStr">
        <is>
          <t>Pauschale</t>
        </is>
      </c>
      <c r="D275" s="10" t="inlineStr">
        <is>
          <t>⚠ Manual erforderlich</t>
        </is>
      </c>
      <c r="E275" s="11" t="inlineStr"/>
      <c r="F275" s="11" t="n">
        <v>0</v>
      </c>
      <c r="G275" s="11">
        <f>E275-F275</f>
        <v/>
      </c>
      <c r="H275" s="11" t="n">
        <v>0</v>
      </c>
      <c r="I275" s="11" t="n">
        <v>0</v>
      </c>
      <c r="J275" s="11" t="n">
        <v>0</v>
      </c>
      <c r="K275" s="4" t="inlineStr">
        <is>
          <t>Stundensätze eingeben</t>
        </is>
      </c>
    </row>
    <row r="276">
      <c r="A276" s="4" t="inlineStr">
        <is>
          <t>2112.08 Pläne-Schützenbleiche-3-7-Frankfurt-Süwag-Haus-B</t>
        </is>
      </c>
      <c r="B276" s="4" t="inlineStr">
        <is>
          <t>● Admin</t>
        </is>
      </c>
      <c r="C276" s="9" t="inlineStr">
        <is>
          <t>Unbekannt</t>
        </is>
      </c>
      <c r="D276" s="10" t="inlineStr">
        <is>
          <t>⚠ Manual erforderlich</t>
        </is>
      </c>
      <c r="E276" s="11" t="inlineStr"/>
      <c r="F276" s="11" t="n">
        <v>0</v>
      </c>
      <c r="G276" s="11">
        <f>E276-F276</f>
        <v/>
      </c>
      <c r="H276" s="11" t="n">
        <v/>
      </c>
      <c r="I276" s="11" t="n">
        <v/>
      </c>
      <c r="J276" s="11" t="n">
        <v/>
      </c>
      <c r="K276" s="4" t="inlineStr">
        <is>
          <t>Abrechnungsart wählen; Stundensätze eingeben</t>
        </is>
      </c>
    </row>
    <row r="277">
      <c r="A277" s="4" t="inlineStr">
        <is>
          <t>2151.06 SIK-Haus-I+II-Kaiser-Friedrich-Promenade-57a-Kurstift-Bad Homburg</t>
        </is>
      </c>
      <c r="B277" s="4" t="inlineStr">
        <is>
          <t>● 3000-Entwurfsplanung</t>
        </is>
      </c>
      <c r="C277" s="9" t="inlineStr">
        <is>
          <t>Unbekannt</t>
        </is>
      </c>
      <c r="D277" s="10" t="inlineStr">
        <is>
          <t>⚠ Manual erforderlich</t>
        </is>
      </c>
      <c r="E277" s="11" t="inlineStr"/>
      <c r="F277" s="11" t="n">
        <v>0</v>
      </c>
      <c r="G277" s="11">
        <f>E277-F277</f>
        <v/>
      </c>
      <c r="H277" s="11" t="n">
        <v/>
      </c>
      <c r="I277" s="11" t="n">
        <v/>
      </c>
      <c r="J277" s="11" t="n">
        <v/>
      </c>
      <c r="K277" s="4" t="inlineStr">
        <is>
          <t>Abrechnungsart wählen; Stundensätze eingeben</t>
        </is>
      </c>
    </row>
    <row r="278">
      <c r="A278" s="4" t="inlineStr">
        <is>
          <t>2151.06 SIK-Haus-I+II-Kaiser-Friedrich-Promenade-57a-Kurstift-Bad Homburg</t>
        </is>
      </c>
      <c r="B278" s="4" t="inlineStr">
        <is>
          <t>● 9000-Objektbetreuung und Dokumentation</t>
        </is>
      </c>
      <c r="C278" s="9" t="inlineStr">
        <is>
          <t>Unbekannt</t>
        </is>
      </c>
      <c r="D278" s="10" t="inlineStr">
        <is>
          <t>⚠ Manual erforderlich</t>
        </is>
      </c>
      <c r="E278" s="11" t="inlineStr"/>
      <c r="F278" s="11" t="n">
        <v>0</v>
      </c>
      <c r="G278" s="11">
        <f>E278-F278</f>
        <v/>
      </c>
      <c r="H278" s="11" t="n">
        <v/>
      </c>
      <c r="I278" s="11" t="n">
        <v/>
      </c>
      <c r="J278" s="11" t="n">
        <v/>
      </c>
      <c r="K278" s="4" t="inlineStr">
        <is>
          <t>Abrechnungsart wählen; Stundensätze eingeben</t>
        </is>
      </c>
    </row>
    <row r="279">
      <c r="A279" s="4" t="inlineStr">
        <is>
          <t>2151.08 RMK-Haus-III+IV-Kaiser-Friedrich-Promenade-57a-Kurstift-Bad Homburg</t>
        </is>
      </c>
      <c r="B279" s="4" t="inlineStr">
        <is>
          <t>● 1000-Grundlagenermittlung</t>
        </is>
      </c>
      <c r="C279" s="9" t="inlineStr">
        <is>
          <t>Unbekannt</t>
        </is>
      </c>
      <c r="D279" s="10" t="inlineStr">
        <is>
          <t>⚠ Manual erforderlich</t>
        </is>
      </c>
      <c r="E279" s="11" t="inlineStr"/>
      <c r="F279" s="11" t="n">
        <v>0</v>
      </c>
      <c r="G279" s="11">
        <f>E279-F279</f>
        <v/>
      </c>
      <c r="H279" s="11" t="n">
        <v/>
      </c>
      <c r="I279" s="11" t="n">
        <v/>
      </c>
      <c r="J279" s="11" t="n">
        <v/>
      </c>
      <c r="K279" s="4" t="inlineStr">
        <is>
          <t>Abrechnungsart wählen; Stundensätze eingeben</t>
        </is>
      </c>
    </row>
    <row r="280">
      <c r="A280" s="4" t="inlineStr">
        <is>
          <t>2151.08 RMK-Haus-III+IV-Kaiser-Friedrich-Promenade-57a-Kurstift-Bad Homburg</t>
        </is>
      </c>
      <c r="B280" s="4" t="inlineStr">
        <is>
          <t>● 3000-Entwurfsplanung</t>
        </is>
      </c>
      <c r="C280" s="9" t="inlineStr">
        <is>
          <t>Unbekannt</t>
        </is>
      </c>
      <c r="D280" s="10" t="inlineStr">
        <is>
          <t>⚠ Manual erforderlich</t>
        </is>
      </c>
      <c r="E280" s="11" t="inlineStr"/>
      <c r="F280" s="11" t="n">
        <v>0</v>
      </c>
      <c r="G280" s="11">
        <f>E280-F280</f>
        <v/>
      </c>
      <c r="H280" s="11" t="n">
        <v/>
      </c>
      <c r="I280" s="11" t="n">
        <v/>
      </c>
      <c r="J280" s="11" t="n">
        <v/>
      </c>
      <c r="K280" s="4" t="inlineStr">
        <is>
          <t>Abrechnungsart wählen; Stundensätze eingeben</t>
        </is>
      </c>
    </row>
    <row r="281">
      <c r="A281" s="4" t="inlineStr">
        <is>
          <t>2151.08 RMK-Haus-III+IV-Kaiser-Friedrich-Promenade-57a-Kurstift-Bad Homburg</t>
        </is>
      </c>
      <c r="B281" s="4" t="inlineStr">
        <is>
          <t>● 9000-Objektbetreuung und Dokumentation</t>
        </is>
      </c>
      <c r="C281" s="9" t="inlineStr">
        <is>
          <t>Unbekannt</t>
        </is>
      </c>
      <c r="D281" s="10" t="inlineStr">
        <is>
          <t>⚠ Manual erforderlich</t>
        </is>
      </c>
      <c r="E281" s="11" t="inlineStr"/>
      <c r="F281" s="11" t="n">
        <v>0</v>
      </c>
      <c r="G281" s="11">
        <f>E281-F281</f>
        <v/>
      </c>
      <c r="H281" s="11" t="n">
        <v/>
      </c>
      <c r="I281" s="11" t="n">
        <v/>
      </c>
      <c r="J281" s="11" t="n">
        <v/>
      </c>
      <c r="K281" s="4" t="inlineStr">
        <is>
          <t>Abrechnungsart wählen; Stundensätze eingeben</t>
        </is>
      </c>
    </row>
    <row r="282">
      <c r="A282" s="4" t="inlineStr">
        <is>
          <t>2173 SWM-U-Bahn-Hbf Fachbauüberwachung</t>
        </is>
      </c>
      <c r="B282" s="4" t="inlineStr">
        <is>
          <t>● 0001-Sonstiges</t>
        </is>
      </c>
      <c r="C282" s="9" t="inlineStr">
        <is>
          <t>Unbekannt</t>
        </is>
      </c>
      <c r="D282" s="10" t="inlineStr">
        <is>
          <t>⚠ Manual erforderlich</t>
        </is>
      </c>
      <c r="E282" s="11" t="inlineStr"/>
      <c r="F282" s="11" t="n">
        <v>0</v>
      </c>
      <c r="G282" s="11">
        <f>E282-F282</f>
        <v/>
      </c>
      <c r="H282" s="11" t="n">
        <v/>
      </c>
      <c r="I282" s="11" t="n">
        <v/>
      </c>
      <c r="J282" s="11" t="n">
        <v/>
      </c>
      <c r="K282" s="4" t="inlineStr">
        <is>
          <t>Abrechnungsart wählen; Stundensätze eingeben</t>
        </is>
      </c>
    </row>
    <row r="283">
      <c r="A283" s="4" t="inlineStr">
        <is>
          <t>2173 SWM-U-Bahn-Hbf Fachbauüberwachung</t>
        </is>
      </c>
      <c r="B283" s="4" t="inlineStr">
        <is>
          <t>● 1000-Grundlagenermittlung</t>
        </is>
      </c>
      <c r="C283" s="9" t="inlineStr">
        <is>
          <t>Unbekannt</t>
        </is>
      </c>
      <c r="D283" s="10" t="inlineStr">
        <is>
          <t>⚠ Manual erforderlich</t>
        </is>
      </c>
      <c r="E283" s="11" t="inlineStr"/>
      <c r="F283" s="11" t="n">
        <v>0</v>
      </c>
      <c r="G283" s="11">
        <f>E283-F283</f>
        <v/>
      </c>
      <c r="H283" s="11" t="n">
        <v/>
      </c>
      <c r="I283" s="11" t="n">
        <v/>
      </c>
      <c r="J283" s="11" t="n">
        <v/>
      </c>
      <c r="K283" s="4" t="inlineStr">
        <is>
          <t>Abrechnungsart wählen; Stundensätze eingeben</t>
        </is>
      </c>
    </row>
    <row r="284">
      <c r="A284" s="4" t="inlineStr">
        <is>
          <t>2173 SWM-U-Bahn-Hbf Fachbauüberwachung</t>
        </is>
      </c>
      <c r="B284" s="4" t="inlineStr">
        <is>
          <t>● 2000-Vorplanung</t>
        </is>
      </c>
      <c r="C284" s="9" t="inlineStr">
        <is>
          <t>Unbekannt</t>
        </is>
      </c>
      <c r="D284" s="10" t="inlineStr">
        <is>
          <t>⚠ Manual erforderlich</t>
        </is>
      </c>
      <c r="E284" s="11" t="inlineStr"/>
      <c r="F284" s="11" t="n">
        <v>0</v>
      </c>
      <c r="G284" s="11">
        <f>E284-F284</f>
        <v/>
      </c>
      <c r="H284" s="11" t="n">
        <v/>
      </c>
      <c r="I284" s="11" t="n">
        <v/>
      </c>
      <c r="J284" s="11" t="n">
        <v/>
      </c>
      <c r="K284" s="4" t="inlineStr">
        <is>
          <t>Abrechnungsart wählen; Stundensätze eingeben</t>
        </is>
      </c>
    </row>
    <row r="285">
      <c r="A285" s="4" t="inlineStr">
        <is>
          <t>2173 SWM-U-Bahn-Hbf Fachbauüberwachung</t>
        </is>
      </c>
      <c r="B285" s="4" t="inlineStr">
        <is>
          <t>● 3000-Entwurfsplanung</t>
        </is>
      </c>
      <c r="C285" s="9" t="inlineStr">
        <is>
          <t>Unbekannt</t>
        </is>
      </c>
      <c r="D285" s="10" t="inlineStr">
        <is>
          <t>⚠ Manual erforderlich</t>
        </is>
      </c>
      <c r="E285" s="11" t="inlineStr"/>
      <c r="F285" s="11" t="n">
        <v>0</v>
      </c>
      <c r="G285" s="11">
        <f>E285-F285</f>
        <v/>
      </c>
      <c r="H285" s="11" t="n">
        <v/>
      </c>
      <c r="I285" s="11" t="n">
        <v/>
      </c>
      <c r="J285" s="11" t="n">
        <v/>
      </c>
      <c r="K285" s="4" t="inlineStr">
        <is>
          <t>Abrechnungsart wählen; Stundensätze eingeben</t>
        </is>
      </c>
    </row>
    <row r="286">
      <c r="A286" s="4" t="inlineStr">
        <is>
          <t>2173 SWM-U-Bahn-Hbf Fachbauüberwachung</t>
        </is>
      </c>
      <c r="B286" s="4" t="inlineStr">
        <is>
          <t>● 4000-Genehmigungsplanung</t>
        </is>
      </c>
      <c r="C286" s="9" t="inlineStr">
        <is>
          <t>Unbekannt</t>
        </is>
      </c>
      <c r="D286" s="10" t="inlineStr">
        <is>
          <t>⚠ Manual erforderlich</t>
        </is>
      </c>
      <c r="E286" s="11" t="inlineStr"/>
      <c r="F286" s="11" t="n">
        <v>0</v>
      </c>
      <c r="G286" s="11">
        <f>E286-F286</f>
        <v/>
      </c>
      <c r="H286" s="11" t="n">
        <v/>
      </c>
      <c r="I286" s="11" t="n">
        <v/>
      </c>
      <c r="J286" s="11" t="n">
        <v/>
      </c>
      <c r="K286" s="4" t="inlineStr">
        <is>
          <t>Abrechnungsart wählen; Stundensätze eingeben</t>
        </is>
      </c>
    </row>
    <row r="287">
      <c r="A287" s="4" t="inlineStr">
        <is>
          <t>2173 SWM-U-Bahn-Hbf Fachbauüberwachung</t>
        </is>
      </c>
      <c r="B287" s="4" t="inlineStr">
        <is>
          <t>● 5000-Ausführungsplanung</t>
        </is>
      </c>
      <c r="C287" s="9" t="inlineStr">
        <is>
          <t>Unbekannt</t>
        </is>
      </c>
      <c r="D287" s="10" t="inlineStr">
        <is>
          <t>⚠ Manual erforderlich</t>
        </is>
      </c>
      <c r="E287" s="11" t="inlineStr"/>
      <c r="F287" s="11" t="n">
        <v>0</v>
      </c>
      <c r="G287" s="11">
        <f>E287-F287</f>
        <v/>
      </c>
      <c r="H287" s="11" t="n">
        <v/>
      </c>
      <c r="I287" s="11" t="n">
        <v/>
      </c>
      <c r="J287" s="11" t="n">
        <v/>
      </c>
      <c r="K287" s="4" t="inlineStr">
        <is>
          <t>Abrechnungsart wählen; Stundensätze eingeben</t>
        </is>
      </c>
    </row>
    <row r="288">
      <c r="A288" s="4" t="inlineStr">
        <is>
          <t>2173 SWM-U-Bahn-Hbf Fachbauüberwachung</t>
        </is>
      </c>
      <c r="B288" s="4" t="inlineStr">
        <is>
          <t>● 6000-Vorbereiten der Vergabe</t>
        </is>
      </c>
      <c r="C288" s="9" t="inlineStr">
        <is>
          <t>Unbekannt</t>
        </is>
      </c>
      <c r="D288" s="10" t="inlineStr">
        <is>
          <t>⚠ Manual erforderlich</t>
        </is>
      </c>
      <c r="E288" s="11" t="inlineStr"/>
      <c r="F288" s="11" t="n">
        <v>0</v>
      </c>
      <c r="G288" s="11">
        <f>E288-F288</f>
        <v/>
      </c>
      <c r="H288" s="11" t="n">
        <v/>
      </c>
      <c r="I288" s="11" t="n">
        <v/>
      </c>
      <c r="J288" s="11" t="n">
        <v/>
      </c>
      <c r="K288" s="4" t="inlineStr">
        <is>
          <t>Abrechnungsart wählen; Stundensätze eingeben</t>
        </is>
      </c>
    </row>
    <row r="289">
      <c r="A289" s="4" t="inlineStr">
        <is>
          <t>2173 SWM-U-Bahn-Hbf Fachbauüberwachung</t>
        </is>
      </c>
      <c r="B289" s="4" t="inlineStr">
        <is>
          <t>● 7000-Mitwirkung bei der Vergabe</t>
        </is>
      </c>
      <c r="C289" s="9" t="inlineStr">
        <is>
          <t>Unbekannt</t>
        </is>
      </c>
      <c r="D289" s="10" t="inlineStr">
        <is>
          <t>⚠ Manual erforderlich</t>
        </is>
      </c>
      <c r="E289" s="11" t="inlineStr"/>
      <c r="F289" s="11" t="n">
        <v>0</v>
      </c>
      <c r="G289" s="11">
        <f>E289-F289</f>
        <v/>
      </c>
      <c r="H289" s="11" t="n">
        <v/>
      </c>
      <c r="I289" s="11" t="n">
        <v/>
      </c>
      <c r="J289" s="11" t="n">
        <v/>
      </c>
      <c r="K289" s="4" t="inlineStr">
        <is>
          <t>Abrechnungsart wählen; Stundensätze eingeben</t>
        </is>
      </c>
    </row>
    <row r="290">
      <c r="A290" s="4" t="inlineStr">
        <is>
          <t>2173 SWM-U-Bahn-Hbf Fachbauüberwachung</t>
        </is>
      </c>
      <c r="B290" s="4" t="inlineStr">
        <is>
          <t>● 8000-Objektüberwachung</t>
        </is>
      </c>
      <c r="C290" s="9" t="inlineStr">
        <is>
          <t>Unbekannt</t>
        </is>
      </c>
      <c r="D290" s="10" t="inlineStr">
        <is>
          <t>⚠ Manual erforderlich</t>
        </is>
      </c>
      <c r="E290" s="11" t="inlineStr"/>
      <c r="F290" s="11" t="n">
        <v>0</v>
      </c>
      <c r="G290" s="11">
        <f>E290-F290</f>
        <v/>
      </c>
      <c r="H290" s="11" t="n">
        <v/>
      </c>
      <c r="I290" s="11" t="n">
        <v/>
      </c>
      <c r="J290" s="11" t="n">
        <v/>
      </c>
      <c r="K290" s="4" t="inlineStr">
        <is>
          <t>Abrechnungsart wählen; Stundensätze eingeben</t>
        </is>
      </c>
    </row>
    <row r="291">
      <c r="A291" s="4" t="inlineStr">
        <is>
          <t>2173 SWM-U-Bahn-Hbf Fachbauüberwachung</t>
        </is>
      </c>
      <c r="B291" s="4" t="inlineStr">
        <is>
          <t>● 9000-Objektbetreuung und Dokumentation</t>
        </is>
      </c>
      <c r="C291" s="9" t="inlineStr">
        <is>
          <t>Unbekannt</t>
        </is>
      </c>
      <c r="D291" s="10" t="inlineStr">
        <is>
          <t>⚠ Manual erforderlich</t>
        </is>
      </c>
      <c r="E291" s="11" t="inlineStr"/>
      <c r="F291" s="11" t="n">
        <v>0</v>
      </c>
      <c r="G291" s="11">
        <f>E291-F291</f>
        <v/>
      </c>
      <c r="H291" s="11" t="n">
        <v/>
      </c>
      <c r="I291" s="11" t="n">
        <v/>
      </c>
      <c r="J291" s="11" t="n">
        <v/>
      </c>
      <c r="K291" s="4" t="inlineStr">
        <is>
          <t>Abrechnungsart wählen; Stundensätze eingeben</t>
        </is>
      </c>
    </row>
    <row r="292">
      <c r="A292" s="4" t="inlineStr">
        <is>
          <t>2181.05 BSK-Bartningstraße-57-Darmstadt-Wandhydrantenanlage</t>
        </is>
      </c>
      <c r="B292" s="4" t="inlineStr">
        <is>
          <t>● (p) Fortschr. BSK zur Umrüstung der vorhandenen Wandhydrantenanlage auf trockene Steigleitungen</t>
        </is>
      </c>
      <c r="C292" s="4" t="inlineStr">
        <is>
          <t>Pauschale</t>
        </is>
      </c>
      <c r="D292" s="10" t="inlineStr">
        <is>
          <t>⚠ Manual erforderlich</t>
        </is>
      </c>
      <c r="E292" s="11" t="inlineStr"/>
      <c r="F292" s="11" t="n">
        <v>0</v>
      </c>
      <c r="G292" s="11">
        <f>E292-F292</f>
        <v/>
      </c>
      <c r="H292" s="11" t="n">
        <v>0</v>
      </c>
      <c r="I292" s="11" t="n">
        <v>0</v>
      </c>
      <c r="J292" s="11" t="n">
        <v>0</v>
      </c>
      <c r="K292" s="4" t="inlineStr">
        <is>
          <t>Stundensätze eingeben</t>
        </is>
      </c>
    </row>
    <row r="293">
      <c r="A293" s="4" t="inlineStr">
        <is>
          <t>2181.05 BSK-Bartningstraße-57-Darmstadt-Wandhydrantenanlage</t>
        </is>
      </c>
      <c r="B293" s="4" t="inlineStr">
        <is>
          <t>● (aN) Pos.2 BAB+Qualitätsüberwachung</t>
        </is>
      </c>
      <c r="C293" s="4" t="inlineStr">
        <is>
          <t>Nachweis</t>
        </is>
      </c>
      <c r="D293" s="10" t="inlineStr">
        <is>
          <t>⚠ Manual erforderlich</t>
        </is>
      </c>
      <c r="E293" s="11" t="inlineStr"/>
      <c r="F293" s="11" t="n">
        <v>0</v>
      </c>
      <c r="G293" s="11">
        <f>E293-F293</f>
        <v/>
      </c>
      <c r="H293" s="11" t="n">
        <v/>
      </c>
      <c r="I293" s="11" t="n">
        <v/>
      </c>
      <c r="J293" s="11" t="n">
        <v/>
      </c>
      <c r="K293" s="4" t="inlineStr">
        <is>
          <t>Stundensätze eingeben</t>
        </is>
      </c>
    </row>
    <row r="294">
      <c r="A294" s="4" t="inlineStr">
        <is>
          <t>2224.01 U2-Bad-Homburg</t>
        </is>
      </c>
      <c r="B294" s="4" t="inlineStr">
        <is>
          <t>● 5.3.1 Stufe 1 (pauschal)</t>
        </is>
      </c>
      <c r="C294" s="9" t="inlineStr">
        <is>
          <t>Unbekannt</t>
        </is>
      </c>
      <c r="D294" s="10" t="inlineStr">
        <is>
          <t>⚠ Manual erforderlich</t>
        </is>
      </c>
      <c r="E294" s="11" t="inlineStr"/>
      <c r="F294" s="11" t="n">
        <v>0</v>
      </c>
      <c r="G294" s="11">
        <f>E294-F294</f>
        <v/>
      </c>
      <c r="H294" s="11" t="n">
        <v/>
      </c>
      <c r="I294" s="11" t="n">
        <v/>
      </c>
      <c r="J294" s="11" t="n">
        <v/>
      </c>
      <c r="K294" s="4" t="inlineStr">
        <is>
          <t>Abrechnungsart wählen; Stundensätze eingeben</t>
        </is>
      </c>
    </row>
    <row r="295">
      <c r="A295" s="4" t="inlineStr">
        <is>
          <t>2224.01 U2-Bad-Homburg</t>
        </is>
      </c>
      <c r="B295" s="4" t="inlineStr">
        <is>
          <t>● 5.3.2 Stufe 2 (auf Nachweis)</t>
        </is>
      </c>
      <c r="C295" s="9" t="inlineStr">
        <is>
          <t>Unbekannt</t>
        </is>
      </c>
      <c r="D295" s="10" t="inlineStr">
        <is>
          <t>⚠ Manual erforderlich</t>
        </is>
      </c>
      <c r="E295" s="11" t="inlineStr"/>
      <c r="F295" s="11" t="n">
        <v>0</v>
      </c>
      <c r="G295" s="11">
        <f>E295-F295</f>
        <v/>
      </c>
      <c r="H295" s="11" t="n">
        <v/>
      </c>
      <c r="I295" s="11" t="n">
        <v/>
      </c>
      <c r="J295" s="11" t="n">
        <v/>
      </c>
      <c r="K295" s="4" t="inlineStr">
        <is>
          <t>Abrechnungsart wählen; Stundensätze eingeben</t>
        </is>
      </c>
    </row>
    <row r="296">
      <c r="A296" s="4" t="inlineStr">
        <is>
          <t>2224.01 U2-Bad-Homburg</t>
        </is>
      </c>
      <c r="B296" s="4" t="inlineStr">
        <is>
          <t>● 5.3.2 Stufe 2 (pauschal)</t>
        </is>
      </c>
      <c r="C296" s="9" t="inlineStr">
        <is>
          <t>Unbekannt</t>
        </is>
      </c>
      <c r="D296" s="10" t="inlineStr">
        <is>
          <t>⚠ Manual erforderlich</t>
        </is>
      </c>
      <c r="E296" s="11" t="inlineStr"/>
      <c r="F296" s="11" t="n">
        <v>0</v>
      </c>
      <c r="G296" s="11">
        <f>E296-F296</f>
        <v/>
      </c>
      <c r="H296" s="11" t="n">
        <v/>
      </c>
      <c r="I296" s="11" t="n">
        <v/>
      </c>
      <c r="J296" s="11" t="n">
        <v/>
      </c>
      <c r="K296" s="4" t="inlineStr">
        <is>
          <t>Abrechnungsart wählen; Stundensätze eingeben</t>
        </is>
      </c>
    </row>
    <row r="297">
      <c r="A297" s="4" t="inlineStr">
        <is>
          <t>2224.01 U2-Bad-Homburg</t>
        </is>
      </c>
      <c r="B297" s="4" t="inlineStr">
        <is>
          <t>● 5.3.3 Stufe 3 (auf Nachweis)</t>
        </is>
      </c>
      <c r="C297" s="9" t="inlineStr">
        <is>
          <t>Unbekannt</t>
        </is>
      </c>
      <c r="D297" s="10" t="inlineStr">
        <is>
          <t>⚠ Manual erforderlich</t>
        </is>
      </c>
      <c r="E297" s="11" t="inlineStr"/>
      <c r="F297" s="11" t="n">
        <v>0</v>
      </c>
      <c r="G297" s="11">
        <f>E297-F297</f>
        <v/>
      </c>
      <c r="H297" s="11" t="n">
        <v/>
      </c>
      <c r="I297" s="11" t="n">
        <v/>
      </c>
      <c r="J297" s="11" t="n">
        <v/>
      </c>
      <c r="K297" s="4" t="inlineStr">
        <is>
          <t>Abrechnungsart wählen; Stundensätze eingeben</t>
        </is>
      </c>
    </row>
    <row r="298">
      <c r="A298" s="4" t="inlineStr">
        <is>
          <t>2224.01 U2-Bad-Homburg</t>
        </is>
      </c>
      <c r="B298" s="4" t="inlineStr">
        <is>
          <t>● 5.3.4 Stufe 4 (p) Abgerechnet, Std. Yvonne klären</t>
        </is>
      </c>
      <c r="C298" s="4" t="inlineStr">
        <is>
          <t>Pauschale</t>
        </is>
      </c>
      <c r="D298" s="10" t="inlineStr">
        <is>
          <t>⚠ Manual erforderlich</t>
        </is>
      </c>
      <c r="E298" s="11" t="inlineStr"/>
      <c r="F298" s="11" t="n">
        <v>0</v>
      </c>
      <c r="G298" s="11">
        <f>E298-F298</f>
        <v/>
      </c>
      <c r="H298" s="11" t="n">
        <v>0</v>
      </c>
      <c r="I298" s="11" t="n">
        <v>0</v>
      </c>
      <c r="J298" s="11" t="n">
        <v>0</v>
      </c>
      <c r="K298" s="4" t="inlineStr">
        <is>
          <t>Stundensätze eingeben</t>
        </is>
      </c>
    </row>
    <row r="299">
      <c r="A299" s="4" t="inlineStr">
        <is>
          <t>2224.01 U2-Bad-Homburg</t>
        </is>
      </c>
      <c r="B299" s="4" t="inlineStr">
        <is>
          <t>● 5.3.5 Stufe 5 (pauschal)</t>
        </is>
      </c>
      <c r="C299" s="9" t="inlineStr">
        <is>
          <t>Unbekannt</t>
        </is>
      </c>
      <c r="D299" s="10" t="inlineStr">
        <is>
          <t>⚠ Manual erforderlich</t>
        </is>
      </c>
      <c r="E299" s="11" t="inlineStr"/>
      <c r="F299" s="11" t="n">
        <v>0</v>
      </c>
      <c r="G299" s="11">
        <f>E299-F299</f>
        <v/>
      </c>
      <c r="H299" s="11" t="n">
        <v/>
      </c>
      <c r="I299" s="11" t="n">
        <v/>
      </c>
      <c r="J299" s="11" t="n">
        <v/>
      </c>
      <c r="K299" s="4" t="inlineStr">
        <is>
          <t>Abrechnungsart wählen; Stundensätze eingeben</t>
        </is>
      </c>
    </row>
    <row r="300">
      <c r="A300" s="4" t="inlineStr">
        <is>
          <t>2224.01 U2-Bad-Homburg</t>
        </is>
      </c>
      <c r="B300" s="4" t="inlineStr">
        <is>
          <t>● 5.3.6 Stufe 6 (auf Nachweis)</t>
        </is>
      </c>
      <c r="C300" s="9" t="inlineStr">
        <is>
          <t>Unbekannt</t>
        </is>
      </c>
      <c r="D300" s="10" t="inlineStr">
        <is>
          <t>⚠ Manual erforderlich</t>
        </is>
      </c>
      <c r="E300" s="11" t="inlineStr"/>
      <c r="F300" s="11" t="n">
        <v>0</v>
      </c>
      <c r="G300" s="11">
        <f>E300-F300</f>
        <v/>
      </c>
      <c r="H300" s="11" t="n">
        <v/>
      </c>
      <c r="I300" s="11" t="n">
        <v/>
      </c>
      <c r="J300" s="11" t="n">
        <v/>
      </c>
      <c r="K300" s="4" t="inlineStr">
        <is>
          <t>Abrechnungsart wählen; Stundensätze eingeben</t>
        </is>
      </c>
    </row>
    <row r="301">
      <c r="A301" s="4" t="inlineStr">
        <is>
          <t>2224.01 U2-Bad-Homburg</t>
        </is>
      </c>
      <c r="B301" s="4" t="inlineStr">
        <is>
          <t>● 5.3.7 Stufe 7 (auf Nachweis)</t>
        </is>
      </c>
      <c r="C301" s="9" t="inlineStr">
        <is>
          <t>Unbekannt</t>
        </is>
      </c>
      <c r="D301" s="10" t="inlineStr">
        <is>
          <t>⚠ Manual erforderlich</t>
        </is>
      </c>
      <c r="E301" s="11" t="inlineStr"/>
      <c r="F301" s="11" t="n">
        <v>0</v>
      </c>
      <c r="G301" s="11">
        <f>E301-F301</f>
        <v/>
      </c>
      <c r="H301" s="11" t="n">
        <v/>
      </c>
      <c r="I301" s="11" t="n">
        <v/>
      </c>
      <c r="J301" s="11" t="n">
        <v/>
      </c>
      <c r="K301" s="4" t="inlineStr">
        <is>
          <t>Abrechnungsart wählen; Stundensätze eingeben</t>
        </is>
      </c>
    </row>
    <row r="302">
      <c r="A302" s="4" t="inlineStr">
        <is>
          <t>2224.01 U2-Bad-Homburg</t>
        </is>
      </c>
      <c r="B302" s="4" t="inlineStr">
        <is>
          <t>● 5.3.8 Stufe 8 (pauschal)</t>
        </is>
      </c>
      <c r="C302" s="9" t="inlineStr">
        <is>
          <t>Unbekannt</t>
        </is>
      </c>
      <c r="D302" s="10" t="inlineStr">
        <is>
          <t>⚠ Manual erforderlich</t>
        </is>
      </c>
      <c r="E302" s="11" t="inlineStr"/>
      <c r="F302" s="11" t="n">
        <v>0</v>
      </c>
      <c r="G302" s="11">
        <f>E302-F302</f>
        <v/>
      </c>
      <c r="H302" s="11" t="n">
        <v/>
      </c>
      <c r="I302" s="11" t="n">
        <v/>
      </c>
      <c r="J302" s="11" t="n">
        <v/>
      </c>
      <c r="K302" s="4" t="inlineStr">
        <is>
          <t>Abrechnungsart wählen; Stundensätze eingeben</t>
        </is>
      </c>
    </row>
    <row r="303">
      <c r="A303" s="4" t="inlineStr">
        <is>
          <t>2224.02 NAT-01-BSK-U2-Stellwerk</t>
        </is>
      </c>
      <c r="B303" s="4" t="inlineStr">
        <is>
          <t>● p) Pos.1 Brandschutzkonzept Stellwerk</t>
        </is>
      </c>
      <c r="C303" s="9" t="inlineStr">
        <is>
          <t>Unbekannt</t>
        </is>
      </c>
      <c r="D303" s="10" t="inlineStr">
        <is>
          <t>⚠ Manual erforderlich</t>
        </is>
      </c>
      <c r="E303" s="11" t="inlineStr"/>
      <c r="F303" s="11" t="n">
        <v>0</v>
      </c>
      <c r="G303" s="11">
        <f>E303-F303</f>
        <v/>
      </c>
      <c r="H303" s="11" t="n">
        <v/>
      </c>
      <c r="I303" s="11" t="n">
        <v/>
      </c>
      <c r="J303" s="11" t="n">
        <v/>
      </c>
      <c r="K303" s="4" t="inlineStr">
        <is>
          <t>Abrechnungsart wählen; Stundensätze eingeben</t>
        </is>
      </c>
    </row>
    <row r="304">
      <c r="A304" s="4" t="inlineStr">
        <is>
          <t>2224.03 NAT-01-BSK-U2-GuW</t>
        </is>
      </c>
      <c r="B304" s="4" t="inlineStr">
        <is>
          <t>● (p) Pos2. NAT-01-BSK Gleichrichterwerk</t>
        </is>
      </c>
      <c r="C304" s="4" t="inlineStr">
        <is>
          <t>Pauschale</t>
        </is>
      </c>
      <c r="D304" s="10" t="inlineStr">
        <is>
          <t>⚠ Manual erforderlich</t>
        </is>
      </c>
      <c r="E304" s="11" t="inlineStr"/>
      <c r="F304" s="11" t="n">
        <v>0</v>
      </c>
      <c r="G304" s="11">
        <f>E304-F304</f>
        <v/>
      </c>
      <c r="H304" s="11" t="n">
        <v>0</v>
      </c>
      <c r="I304" s="11" t="n">
        <v>0</v>
      </c>
      <c r="J304" s="11" t="n">
        <v>0</v>
      </c>
      <c r="K304" s="4" t="inlineStr">
        <is>
          <t>Stundensätze eingeben</t>
        </is>
      </c>
    </row>
    <row r="305">
      <c r="A305" s="4" t="inlineStr">
        <is>
          <t>2224.04 NAT02-SIM+Fortschr-BSK-U2-Bad Homburg-Nachverhandlung</t>
        </is>
      </c>
      <c r="B305" s="4" t="inlineStr">
        <is>
          <t>● (p) Pos.1 Rauchgassimulation</t>
        </is>
      </c>
      <c r="C305" s="4" t="inlineStr">
        <is>
          <t>Pauschale</t>
        </is>
      </c>
      <c r="D305" s="10" t="inlineStr">
        <is>
          <t>⚠ Manual erforderlich</t>
        </is>
      </c>
      <c r="E305" s="11" t="inlineStr"/>
      <c r="F305" s="11" t="n">
        <v>0</v>
      </c>
      <c r="G305" s="11">
        <f>E305-F305</f>
        <v/>
      </c>
      <c r="H305" s="11" t="n">
        <v>0</v>
      </c>
      <c r="I305" s="11" t="n">
        <v>0</v>
      </c>
      <c r="J305" s="11" t="n">
        <v>0</v>
      </c>
      <c r="K305" s="4" t="inlineStr">
        <is>
          <t>Stundensätze eingeben</t>
        </is>
      </c>
    </row>
    <row r="306">
      <c r="A306" s="4" t="inlineStr">
        <is>
          <t>2224.04 NAT02-SIM+Fortschr-BSK-U2-Bad Homburg-Nachverhandlung</t>
        </is>
      </c>
      <c r="B306" s="4" t="inlineStr">
        <is>
          <t>● (p) Pos.2 Evakuierungssimulation</t>
        </is>
      </c>
      <c r="C306" s="4" t="inlineStr">
        <is>
          <t>Pauschale</t>
        </is>
      </c>
      <c r="D306" s="10" t="inlineStr">
        <is>
          <t>⚠ Manual erforderlich</t>
        </is>
      </c>
      <c r="E306" s="11" t="inlineStr"/>
      <c r="F306" s="11" t="n">
        <v>0</v>
      </c>
      <c r="G306" s="11">
        <f>E306-F306</f>
        <v/>
      </c>
      <c r="H306" s="11" t="n">
        <v>0</v>
      </c>
      <c r="I306" s="11" t="n">
        <v>0</v>
      </c>
      <c r="J306" s="11" t="n">
        <v>0</v>
      </c>
      <c r="K306" s="4" t="inlineStr">
        <is>
          <t>Stundensätze eingeben</t>
        </is>
      </c>
    </row>
    <row r="307">
      <c r="A307" s="4" t="inlineStr">
        <is>
          <t>2224.04 NAT02-SIM+Fortschr-BSK-U2-Bad Homburg-Nachverhandlung</t>
        </is>
      </c>
      <c r="B307" s="4" t="inlineStr">
        <is>
          <t>● (p) Pos.3 Anpassungen Brandschutzkonzepte und -pläne f. die Station + die Freie Strecke</t>
        </is>
      </c>
      <c r="C307" s="4" t="inlineStr">
        <is>
          <t>Pauschale</t>
        </is>
      </c>
      <c r="D307" s="10" t="inlineStr">
        <is>
          <t>⚠ Manual erforderlich</t>
        </is>
      </c>
      <c r="E307" s="11" t="inlineStr"/>
      <c r="F307" s="11" t="n">
        <v>0</v>
      </c>
      <c r="G307" s="11">
        <f>E307-F307</f>
        <v/>
      </c>
      <c r="H307" s="11" t="n">
        <v>0</v>
      </c>
      <c r="I307" s="11" t="n">
        <v>0</v>
      </c>
      <c r="J307" s="11" t="n">
        <v>0</v>
      </c>
      <c r="K307" s="4" t="inlineStr">
        <is>
          <t>Stundensätze eingeben</t>
        </is>
      </c>
    </row>
    <row r="308">
      <c r="A308" s="4" t="inlineStr">
        <is>
          <t>2224.05 NA03-BSK-U2-Bad Homburg-Bauzeit</t>
        </is>
      </c>
      <c r="B308" s="4" t="inlineStr">
        <is>
          <t>● (p) Pos.1 Bauzeitl. BSK für die Stationen Gonzenheim und Bad Homburg</t>
        </is>
      </c>
      <c r="C308" s="4" t="inlineStr">
        <is>
          <t>Pauschale</t>
        </is>
      </c>
      <c r="D308" s="10" t="inlineStr">
        <is>
          <t>⚠ Manual erforderlich</t>
        </is>
      </c>
      <c r="E308" s="11" t="inlineStr"/>
      <c r="F308" s="11" t="n">
        <v>0</v>
      </c>
      <c r="G308" s="11">
        <f>E308-F308</f>
        <v/>
      </c>
      <c r="H308" s="11" t="n">
        <v>0</v>
      </c>
      <c r="I308" s="11" t="n">
        <v>0</v>
      </c>
      <c r="J308" s="11" t="n">
        <v>0</v>
      </c>
      <c r="K308" s="4" t="inlineStr">
        <is>
          <t>Stundensätze eingeben</t>
        </is>
      </c>
    </row>
    <row r="309">
      <c r="A309" s="4" t="inlineStr">
        <is>
          <t>2224.06 BST-U2-Bad Homburg-Brandschutz-im Tunnel-und der Station</t>
        </is>
      </c>
      <c r="B309" s="4" t="inlineStr">
        <is>
          <t>● (aN) Pos.1 BST -  Brandschutz im Tunnel und der Station</t>
        </is>
      </c>
      <c r="C309" s="4" t="inlineStr">
        <is>
          <t>Nachweis</t>
        </is>
      </c>
      <c r="D309" s="10" t="inlineStr">
        <is>
          <t>⚠ Manual erforderlich</t>
        </is>
      </c>
      <c r="E309" s="11" t="inlineStr"/>
      <c r="F309" s="11" t="n">
        <v>0</v>
      </c>
      <c r="G309" s="11">
        <f>E309-F309</f>
        <v/>
      </c>
      <c r="H309" s="11" t="n">
        <v/>
      </c>
      <c r="I309" s="11" t="n">
        <v/>
      </c>
      <c r="J309" s="11" t="n">
        <v/>
      </c>
      <c r="K309" s="4" t="inlineStr">
        <is>
          <t>Stundensätze eingeben</t>
        </is>
      </c>
    </row>
    <row r="310">
      <c r="A310" s="4" t="inlineStr">
        <is>
          <t>2237.07 BTB-Emil-von-Behring-Straße-6-FFM-Glasdachsanierung</t>
        </is>
      </c>
      <c r="B310" s="4" t="inlineStr">
        <is>
          <t>● (aN) Pos.1 BTB Bew. Glasdachsanierung - Neubetr. Öffnungen zur Rauchableitung</t>
        </is>
      </c>
      <c r="C310" s="4" t="inlineStr">
        <is>
          <t>Nachweis</t>
        </is>
      </c>
      <c r="D310" s="10" t="inlineStr">
        <is>
          <t>⚠ Manual erforderlich</t>
        </is>
      </c>
      <c r="E310" s="11" t="inlineStr"/>
      <c r="F310" s="11" t="n">
        <v>0</v>
      </c>
      <c r="G310" s="11">
        <f>E310-F310</f>
        <v/>
      </c>
      <c r="H310" s="11" t="n">
        <v/>
      </c>
      <c r="I310" s="11" t="n">
        <v/>
      </c>
      <c r="J310" s="11" t="n">
        <v/>
      </c>
      <c r="K310" s="4" t="inlineStr">
        <is>
          <t>Stundensätze eingeben</t>
        </is>
      </c>
    </row>
    <row r="311">
      <c r="A311" s="4" t="inlineStr">
        <is>
          <t>2344.04 LP8+9-Spangdahlem-MiddleHighSchool</t>
        </is>
      </c>
      <c r="B311" s="4" t="inlineStr">
        <is>
          <t>● 8000-Objektüberwachung</t>
        </is>
      </c>
      <c r="C311" s="9" t="inlineStr">
        <is>
          <t>Unbekannt</t>
        </is>
      </c>
      <c r="D311" s="10" t="inlineStr">
        <is>
          <t>⚠ Manual erforderlich</t>
        </is>
      </c>
      <c r="E311" s="11" t="inlineStr"/>
      <c r="F311" s="11" t="n">
        <v>0</v>
      </c>
      <c r="G311" s="11">
        <f>E311-F311</f>
        <v/>
      </c>
      <c r="H311" s="11" t="n">
        <v/>
      </c>
      <c r="I311" s="11" t="n">
        <v/>
      </c>
      <c r="J311" s="11" t="n">
        <v/>
      </c>
      <c r="K311" s="4" t="inlineStr">
        <is>
          <t>Abrechnungsart wählen; Stundensätze eingeben</t>
        </is>
      </c>
    </row>
    <row r="312">
      <c r="A312" s="4" t="inlineStr">
        <is>
          <t>2344.04 LP8+9-Spangdahlem-MiddleHighSchool</t>
        </is>
      </c>
      <c r="B312" s="4" t="inlineStr">
        <is>
          <t>● 9000-Objektbetreuung und Dokumentation</t>
        </is>
      </c>
      <c r="C312" s="9" t="inlineStr">
        <is>
          <t>Unbekannt</t>
        </is>
      </c>
      <c r="D312" s="10" t="inlineStr">
        <is>
          <t>⚠ Manual erforderlich</t>
        </is>
      </c>
      <c r="E312" s="11" t="inlineStr"/>
      <c r="F312" s="11" t="n">
        <v>0</v>
      </c>
      <c r="G312" s="11">
        <f>E312-F312</f>
        <v/>
      </c>
      <c r="H312" s="11" t="n">
        <v/>
      </c>
      <c r="I312" s="11" t="n">
        <v/>
      </c>
      <c r="J312" s="11" t="n">
        <v/>
      </c>
      <c r="K312" s="4" t="inlineStr">
        <is>
          <t>Abrechnungsart wählen; Stundensätze eingeben</t>
        </is>
      </c>
    </row>
    <row r="313">
      <c r="A313" s="4" t="inlineStr">
        <is>
          <t>2403.02 Baubegleitung-Niederhöchstädter Straße 12-20, Steinbach</t>
        </is>
      </c>
      <c r="B313" s="4" t="inlineStr">
        <is>
          <t>● 5000-Ausführungsplanung</t>
        </is>
      </c>
      <c r="C313" s="9" t="inlineStr">
        <is>
          <t>Unbekannt</t>
        </is>
      </c>
      <c r="D313" s="10" t="inlineStr">
        <is>
          <t>⚠ Manual erforderlich</t>
        </is>
      </c>
      <c r="E313" s="11" t="inlineStr"/>
      <c r="F313" s="11" t="n">
        <v>0</v>
      </c>
      <c r="G313" s="11">
        <f>E313-F313</f>
        <v/>
      </c>
      <c r="H313" s="11" t="n">
        <v/>
      </c>
      <c r="I313" s="11" t="n">
        <v/>
      </c>
      <c r="J313" s="11" t="n">
        <v/>
      </c>
      <c r="K313" s="4" t="inlineStr">
        <is>
          <t>Abrechnungsart wählen; Stundensätze eingeben</t>
        </is>
      </c>
    </row>
    <row r="314">
      <c r="A314" s="4" t="inlineStr">
        <is>
          <t>2403.02 Baubegleitung-Niederhöchstädter Straße 12-20, Steinbach</t>
        </is>
      </c>
      <c r="B314" s="4" t="inlineStr">
        <is>
          <t>● 8000-Objektüberwachung</t>
        </is>
      </c>
      <c r="C314" s="9" t="inlineStr">
        <is>
          <t>Unbekannt</t>
        </is>
      </c>
      <c r="D314" s="10" t="inlineStr">
        <is>
          <t>⚠ Manual erforderlich</t>
        </is>
      </c>
      <c r="E314" s="11" t="inlineStr"/>
      <c r="F314" s="11" t="n">
        <v>0</v>
      </c>
      <c r="G314" s="11">
        <f>E314-F314</f>
        <v/>
      </c>
      <c r="H314" s="11" t="n">
        <v/>
      </c>
      <c r="I314" s="11" t="n">
        <v/>
      </c>
      <c r="J314" s="11" t="n">
        <v/>
      </c>
      <c r="K314" s="4" t="inlineStr">
        <is>
          <t>Abrechnungsart wählen; Stundensätze eingeben</t>
        </is>
      </c>
    </row>
    <row r="315">
      <c r="A315" s="4" t="inlineStr">
        <is>
          <t>2403.05 Pläne+Fortschr-BSK-Niederhöchstädter-Straße-12-20-Steinbach</t>
        </is>
      </c>
      <c r="B315" s="4" t="inlineStr">
        <is>
          <t>● 9000-Objektbetreuung und Dokumentation</t>
        </is>
      </c>
      <c r="C315" s="9" t="inlineStr">
        <is>
          <t>Unbekannt</t>
        </is>
      </c>
      <c r="D315" s="10" t="inlineStr">
        <is>
          <t>⚠ Manual erforderlich</t>
        </is>
      </c>
      <c r="E315" s="11" t="inlineStr"/>
      <c r="F315" s="11" t="n">
        <v>0</v>
      </c>
      <c r="G315" s="11">
        <f>E315-F315</f>
        <v/>
      </c>
      <c r="H315" s="11" t="n">
        <v/>
      </c>
      <c r="I315" s="11" t="n">
        <v/>
      </c>
      <c r="J315" s="11" t="n">
        <v/>
      </c>
      <c r="K315" s="4" t="inlineStr">
        <is>
          <t>Abrechnungsart wählen; Stundensätze eingeben</t>
        </is>
      </c>
    </row>
    <row r="316">
      <c r="A316" s="4" t="inlineStr">
        <is>
          <t>2403.10 BSB-08/23-07/24-Niederhöchstädter-Straße-12-20-Steinbach</t>
        </is>
      </c>
      <c r="B316" s="4" t="inlineStr">
        <is>
          <t>● a.N. - 9000-Objektbetreuung und Dokumentation</t>
        </is>
      </c>
      <c r="C316" s="9" t="inlineStr">
        <is>
          <t>Unbekannt</t>
        </is>
      </c>
      <c r="D316" s="10" t="inlineStr">
        <is>
          <t>⚠ Manual erforderlich</t>
        </is>
      </c>
      <c r="E316" s="11" t="inlineStr"/>
      <c r="F316" s="11" t="n">
        <v>0</v>
      </c>
      <c r="G316" s="11">
        <f>E316-F316</f>
        <v/>
      </c>
      <c r="H316" s="11" t="n">
        <v/>
      </c>
      <c r="I316" s="11" t="n">
        <v/>
      </c>
      <c r="J316" s="11" t="n">
        <v/>
      </c>
      <c r="K316" s="4" t="inlineStr">
        <is>
          <t>Abrechnungsart wählen; Stundensätze eingeben</t>
        </is>
      </c>
    </row>
    <row r="317">
      <c r="A317" s="4" t="inlineStr">
        <is>
          <t>2465.09 BSB-2023-Mousonturm</t>
        </is>
      </c>
      <c r="B317" s="4" t="inlineStr">
        <is>
          <t>● 9000-Objektbetreuung und Dokumentation</t>
        </is>
      </c>
      <c r="C317" s="9" t="inlineStr">
        <is>
          <t>Unbekannt</t>
        </is>
      </c>
      <c r="D317" s="10" t="inlineStr">
        <is>
          <t>⚠ Manual erforderlich</t>
        </is>
      </c>
      <c r="E317" s="11" t="inlineStr"/>
      <c r="F317" s="11" t="n">
        <v>0</v>
      </c>
      <c r="G317" s="11">
        <f>E317-F317</f>
        <v/>
      </c>
      <c r="H317" s="11" t="n">
        <v/>
      </c>
      <c r="I317" s="11" t="n">
        <v/>
      </c>
      <c r="J317" s="11" t="n">
        <v/>
      </c>
      <c r="K317" s="4" t="inlineStr">
        <is>
          <t>Abrechnungsart wählen; Stundensätze eingeben</t>
        </is>
      </c>
    </row>
    <row r="318">
      <c r="A318" s="4" t="inlineStr">
        <is>
          <t>2465.12 BSB-2025-Mousonturm</t>
        </is>
      </c>
      <c r="B318" s="4" t="inlineStr">
        <is>
          <t>● (p) Brandschutzbeauftragter 2025</t>
        </is>
      </c>
      <c r="C318" s="4" t="inlineStr">
        <is>
          <t>Pauschale</t>
        </is>
      </c>
      <c r="D318" s="10" t="inlineStr">
        <is>
          <t>⚠ Manual erforderlich</t>
        </is>
      </c>
      <c r="E318" s="11" t="inlineStr"/>
      <c r="F318" s="11" t="n">
        <v>0</v>
      </c>
      <c r="G318" s="11">
        <f>E318-F318</f>
        <v/>
      </c>
      <c r="H318" s="11" t="n">
        <v>0</v>
      </c>
      <c r="I318" s="11" t="n">
        <v>0</v>
      </c>
      <c r="J318" s="11" t="n">
        <v>0</v>
      </c>
      <c r="K318" s="4" t="inlineStr">
        <is>
          <t>Stundensätze eingeben</t>
        </is>
      </c>
    </row>
    <row r="319">
      <c r="A319" s="4" t="inlineStr">
        <is>
          <t>2484.05 BST-Wasserweg-2A-Groß-Gerau</t>
        </is>
      </c>
      <c r="B319" s="4" t="inlineStr">
        <is>
          <t>● (aN) Pos.1 erstellung BST zur Thematik Bewertung d. Mangelpunkte 1+2 aus Prüfbericht RLT-2024</t>
        </is>
      </c>
      <c r="C319" s="4" t="inlineStr">
        <is>
          <t>Nachweis</t>
        </is>
      </c>
      <c r="D319" s="10" t="inlineStr">
        <is>
          <t>⚠ Manual erforderlich</t>
        </is>
      </c>
      <c r="E319" s="11" t="inlineStr"/>
      <c r="F319" s="11" t="n">
        <v>0</v>
      </c>
      <c r="G319" s="11">
        <f>E319-F319</f>
        <v/>
      </c>
      <c r="H319" s="11" t="n">
        <v/>
      </c>
      <c r="I319" s="11" t="n">
        <v/>
      </c>
      <c r="J319" s="11" t="n">
        <v/>
      </c>
      <c r="K319" s="4" t="inlineStr">
        <is>
          <t>Stundensätze eingeben</t>
        </is>
      </c>
    </row>
    <row r="320">
      <c r="A320" s="4" t="inlineStr">
        <is>
          <t>2492.01 BTB-Mecklenburger-Straße-12-Frankfurt</t>
        </is>
      </c>
      <c r="B320" s="4" t="inlineStr">
        <is>
          <t>● Beratung IST-Zustand (auf Nachweis)</t>
        </is>
      </c>
      <c r="C320" s="9" t="inlineStr">
        <is>
          <t>Unbekannt</t>
        </is>
      </c>
      <c r="D320" s="10" t="inlineStr">
        <is>
          <t>⚠ Manual erforderlich</t>
        </is>
      </c>
      <c r="E320" s="11" t="inlineStr"/>
      <c r="F320" s="11" t="n">
        <v>0</v>
      </c>
      <c r="G320" s="11">
        <f>E320-F320</f>
        <v/>
      </c>
      <c r="H320" s="11" t="n">
        <v/>
      </c>
      <c r="I320" s="11" t="n">
        <v/>
      </c>
      <c r="J320" s="11" t="n">
        <v/>
      </c>
      <c r="K320" s="4" t="inlineStr">
        <is>
          <t>Abrechnungsart wählen; Stundensätze eingeben</t>
        </is>
      </c>
    </row>
    <row r="321">
      <c r="A321" s="4" t="inlineStr">
        <is>
          <t>2492.01 BTB-Mecklenburger-Straße-12-Frankfurt</t>
        </is>
      </c>
      <c r="B321" s="4" t="inlineStr">
        <is>
          <t>● Erstellung Pläne (auf Nachweis)</t>
        </is>
      </c>
      <c r="C321" s="9" t="inlineStr">
        <is>
          <t>Unbekannt</t>
        </is>
      </c>
      <c r="D321" s="10" t="inlineStr">
        <is>
          <t>⚠ Manual erforderlich</t>
        </is>
      </c>
      <c r="E321" s="11" t="inlineStr"/>
      <c r="F321" s="11" t="n">
        <v>0</v>
      </c>
      <c r="G321" s="11">
        <f>E321-F321</f>
        <v/>
      </c>
      <c r="H321" s="11" t="n">
        <v/>
      </c>
      <c r="I321" s="11" t="n">
        <v/>
      </c>
      <c r="J321" s="11" t="n">
        <v/>
      </c>
      <c r="K321" s="4" t="inlineStr">
        <is>
          <t>Abrechnungsart wählen; Stundensätze eingeben</t>
        </is>
      </c>
    </row>
    <row r="322">
      <c r="A322" s="4" t="inlineStr">
        <is>
          <t>2505 GemuesebauRenner-Mutterstadt-BMA</t>
        </is>
      </c>
      <c r="B322" s="4" t="inlineStr">
        <is>
          <t>● 0001-Sonstiges</t>
        </is>
      </c>
      <c r="C322" s="9" t="inlineStr">
        <is>
          <t>Unbekannt</t>
        </is>
      </c>
      <c r="D322" s="10" t="inlineStr">
        <is>
          <t>⚠ Manual erforderlich</t>
        </is>
      </c>
      <c r="E322" s="11" t="inlineStr"/>
      <c r="F322" s="11" t="n">
        <v>0</v>
      </c>
      <c r="G322" s="11">
        <f>E322-F322</f>
        <v/>
      </c>
      <c r="H322" s="11" t="n">
        <v/>
      </c>
      <c r="I322" s="11" t="n">
        <v/>
      </c>
      <c r="J322" s="11" t="n">
        <v/>
      </c>
      <c r="K322" s="4" t="inlineStr">
        <is>
          <t>Abrechnungsart wählen; Stundensätze eingeben</t>
        </is>
      </c>
    </row>
    <row r="323">
      <c r="A323" s="4" t="inlineStr">
        <is>
          <t>2505 GemuesebauRenner-Mutterstadt-BMA</t>
        </is>
      </c>
      <c r="B323" s="4" t="inlineStr">
        <is>
          <t>● 1000-Grundlagenermittlung</t>
        </is>
      </c>
      <c r="C323" s="9" t="inlineStr">
        <is>
          <t>Unbekannt</t>
        </is>
      </c>
      <c r="D323" s="10" t="inlineStr">
        <is>
          <t>⚠ Manual erforderlich</t>
        </is>
      </c>
      <c r="E323" s="11" t="inlineStr"/>
      <c r="F323" s="11" t="n">
        <v>0</v>
      </c>
      <c r="G323" s="11">
        <f>E323-F323</f>
        <v/>
      </c>
      <c r="H323" s="11" t="n">
        <v/>
      </c>
      <c r="I323" s="11" t="n">
        <v/>
      </c>
      <c r="J323" s="11" t="n">
        <v/>
      </c>
      <c r="K323" s="4" t="inlineStr">
        <is>
          <t>Abrechnungsart wählen; Stundensätze eingeben</t>
        </is>
      </c>
    </row>
    <row r="324">
      <c r="A324" s="4" t="inlineStr">
        <is>
          <t>2505 GemuesebauRenner-Mutterstadt-BMA</t>
        </is>
      </c>
      <c r="B324" s="4" t="inlineStr">
        <is>
          <t>● 2000-Vorplanung</t>
        </is>
      </c>
      <c r="C324" s="9" t="inlineStr">
        <is>
          <t>Unbekannt</t>
        </is>
      </c>
      <c r="D324" s="10" t="inlineStr">
        <is>
          <t>⚠ Manual erforderlich</t>
        </is>
      </c>
      <c r="E324" s="11" t="inlineStr"/>
      <c r="F324" s="11" t="n">
        <v>0</v>
      </c>
      <c r="G324" s="11">
        <f>E324-F324</f>
        <v/>
      </c>
      <c r="H324" s="11" t="n">
        <v/>
      </c>
      <c r="I324" s="11" t="n">
        <v/>
      </c>
      <c r="J324" s="11" t="n">
        <v/>
      </c>
      <c r="K324" s="4" t="inlineStr">
        <is>
          <t>Abrechnungsart wählen; Stundensätze eingeben</t>
        </is>
      </c>
    </row>
    <row r="325">
      <c r="A325" s="4" t="inlineStr">
        <is>
          <t>2505 GemuesebauRenner-Mutterstadt-BMA</t>
        </is>
      </c>
      <c r="B325" s="4" t="inlineStr">
        <is>
          <t>● 3000-Entwurfsplanung</t>
        </is>
      </c>
      <c r="C325" s="9" t="inlineStr">
        <is>
          <t>Unbekannt</t>
        </is>
      </c>
      <c r="D325" s="10" t="inlineStr">
        <is>
          <t>⚠ Manual erforderlich</t>
        </is>
      </c>
      <c r="E325" s="11" t="inlineStr"/>
      <c r="F325" s="11" t="n">
        <v>0</v>
      </c>
      <c r="G325" s="11">
        <f>E325-F325</f>
        <v/>
      </c>
      <c r="H325" s="11" t="n">
        <v/>
      </c>
      <c r="I325" s="11" t="n">
        <v/>
      </c>
      <c r="J325" s="11" t="n">
        <v/>
      </c>
      <c r="K325" s="4" t="inlineStr">
        <is>
          <t>Abrechnungsart wählen; Stundensätze eingeben</t>
        </is>
      </c>
    </row>
    <row r="326">
      <c r="A326" s="4" t="inlineStr">
        <is>
          <t>2505 GemuesebauRenner-Mutterstadt-BMA</t>
        </is>
      </c>
      <c r="B326" s="4" t="inlineStr">
        <is>
          <t>● 4000-Genehmigungsplanung</t>
        </is>
      </c>
      <c r="C326" s="9" t="inlineStr">
        <is>
          <t>Unbekannt</t>
        </is>
      </c>
      <c r="D326" s="10" t="inlineStr">
        <is>
          <t>⚠ Manual erforderlich</t>
        </is>
      </c>
      <c r="E326" s="11" t="inlineStr"/>
      <c r="F326" s="11" t="n">
        <v>0</v>
      </c>
      <c r="G326" s="11">
        <f>E326-F326</f>
        <v/>
      </c>
      <c r="H326" s="11" t="n">
        <v/>
      </c>
      <c r="I326" s="11" t="n">
        <v/>
      </c>
      <c r="J326" s="11" t="n">
        <v/>
      </c>
      <c r="K326" s="4" t="inlineStr">
        <is>
          <t>Abrechnungsart wählen; Stundensätze eingeben</t>
        </is>
      </c>
    </row>
    <row r="327">
      <c r="A327" s="4" t="inlineStr">
        <is>
          <t>2505 GemuesebauRenner-Mutterstadt-BMA</t>
        </is>
      </c>
      <c r="B327" s="4" t="inlineStr">
        <is>
          <t>● 5000-Ausführungsplanung</t>
        </is>
      </c>
      <c r="C327" s="9" t="inlineStr">
        <is>
          <t>Unbekannt</t>
        </is>
      </c>
      <c r="D327" s="10" t="inlineStr">
        <is>
          <t>⚠ Manual erforderlich</t>
        </is>
      </c>
      <c r="E327" s="11" t="inlineStr"/>
      <c r="F327" s="11" t="n">
        <v>0</v>
      </c>
      <c r="G327" s="11">
        <f>E327-F327</f>
        <v/>
      </c>
      <c r="H327" s="11" t="n">
        <v/>
      </c>
      <c r="I327" s="11" t="n">
        <v/>
      </c>
      <c r="J327" s="11" t="n">
        <v/>
      </c>
      <c r="K327" s="4" t="inlineStr">
        <is>
          <t>Abrechnungsart wählen; Stundensätze eingeben</t>
        </is>
      </c>
    </row>
    <row r="328">
      <c r="A328" s="4" t="inlineStr">
        <is>
          <t>2505 GemuesebauRenner-Mutterstadt-BMA</t>
        </is>
      </c>
      <c r="B328" s="4" t="inlineStr">
        <is>
          <t>● 6000-Vorbereiten der Vergabe</t>
        </is>
      </c>
      <c r="C328" s="9" t="inlineStr">
        <is>
          <t>Unbekannt</t>
        </is>
      </c>
      <c r="D328" s="10" t="inlineStr">
        <is>
          <t>⚠ Manual erforderlich</t>
        </is>
      </c>
      <c r="E328" s="11" t="inlineStr"/>
      <c r="F328" s="11" t="n">
        <v>0</v>
      </c>
      <c r="G328" s="11">
        <f>E328-F328</f>
        <v/>
      </c>
      <c r="H328" s="11" t="n">
        <v/>
      </c>
      <c r="I328" s="11" t="n">
        <v/>
      </c>
      <c r="J328" s="11" t="n">
        <v/>
      </c>
      <c r="K328" s="4" t="inlineStr">
        <is>
          <t>Abrechnungsart wählen; Stundensätze eingeben</t>
        </is>
      </c>
    </row>
    <row r="329">
      <c r="A329" s="4" t="inlineStr">
        <is>
          <t>2505 GemuesebauRenner-Mutterstadt-BMA</t>
        </is>
      </c>
      <c r="B329" s="4" t="inlineStr">
        <is>
          <t>● 7000-Mitwirkung bei der Vergabe</t>
        </is>
      </c>
      <c r="C329" s="9" t="inlineStr">
        <is>
          <t>Unbekannt</t>
        </is>
      </c>
      <c r="D329" s="10" t="inlineStr">
        <is>
          <t>⚠ Manual erforderlich</t>
        </is>
      </c>
      <c r="E329" s="11" t="inlineStr"/>
      <c r="F329" s="11" t="n">
        <v>0</v>
      </c>
      <c r="G329" s="11">
        <f>E329-F329</f>
        <v/>
      </c>
      <c r="H329" s="11" t="n">
        <v/>
      </c>
      <c r="I329" s="11" t="n">
        <v/>
      </c>
      <c r="J329" s="11" t="n">
        <v/>
      </c>
      <c r="K329" s="4" t="inlineStr">
        <is>
          <t>Abrechnungsart wählen; Stundensätze eingeben</t>
        </is>
      </c>
    </row>
    <row r="330">
      <c r="A330" s="4" t="inlineStr">
        <is>
          <t>2505 GemuesebauRenner-Mutterstadt-BMA</t>
        </is>
      </c>
      <c r="B330" s="4" t="inlineStr">
        <is>
          <t>● 8000-Objektüberwachung</t>
        </is>
      </c>
      <c r="C330" s="9" t="inlineStr">
        <is>
          <t>Unbekannt</t>
        </is>
      </c>
      <c r="D330" s="10" t="inlineStr">
        <is>
          <t>⚠ Manual erforderlich</t>
        </is>
      </c>
      <c r="E330" s="11" t="inlineStr"/>
      <c r="F330" s="11" t="n">
        <v>0</v>
      </c>
      <c r="G330" s="11">
        <f>E330-F330</f>
        <v/>
      </c>
      <c r="H330" s="11" t="n">
        <v/>
      </c>
      <c r="I330" s="11" t="n">
        <v/>
      </c>
      <c r="J330" s="11" t="n">
        <v/>
      </c>
      <c r="K330" s="4" t="inlineStr">
        <is>
          <t>Abrechnungsart wählen; Stundensätze eingeben</t>
        </is>
      </c>
    </row>
    <row r="331">
      <c r="A331" s="4" t="inlineStr">
        <is>
          <t>2505 GemuesebauRenner-Mutterstadt-BMA</t>
        </is>
      </c>
      <c r="B331" s="4" t="inlineStr">
        <is>
          <t>● 9000-Objektbetreuung und Dokumentation</t>
        </is>
      </c>
      <c r="C331" s="9" t="inlineStr">
        <is>
          <t>Unbekannt</t>
        </is>
      </c>
      <c r="D331" s="10" t="inlineStr">
        <is>
          <t>⚠ Manual erforderlich</t>
        </is>
      </c>
      <c r="E331" s="11" t="inlineStr"/>
      <c r="F331" s="11" t="n">
        <v>0</v>
      </c>
      <c r="G331" s="11">
        <f>E331-F331</f>
        <v/>
      </c>
      <c r="H331" s="11" t="n">
        <v/>
      </c>
      <c r="I331" s="11" t="n">
        <v/>
      </c>
      <c r="J331" s="11" t="n">
        <v/>
      </c>
      <c r="K331" s="4" t="inlineStr">
        <is>
          <t>Abrechnungsart wählen; Stundensätze eingeben</t>
        </is>
      </c>
    </row>
    <row r="332">
      <c r="A332" s="4" t="inlineStr">
        <is>
          <t>2541 Bommersheimer Weg 59, Bad Homburg-BSK</t>
        </is>
      </c>
      <c r="B332" s="4" t="inlineStr">
        <is>
          <t>● 0001-Sonstiges</t>
        </is>
      </c>
      <c r="C332" s="9" t="inlineStr">
        <is>
          <t>Unbekannt</t>
        </is>
      </c>
      <c r="D332" s="10" t="inlineStr">
        <is>
          <t>⚠ Manual erforderlich</t>
        </is>
      </c>
      <c r="E332" s="11" t="inlineStr"/>
      <c r="F332" s="11" t="n">
        <v>0</v>
      </c>
      <c r="G332" s="11">
        <f>E332-F332</f>
        <v/>
      </c>
      <c r="H332" s="11" t="n">
        <v/>
      </c>
      <c r="I332" s="11" t="n">
        <v/>
      </c>
      <c r="J332" s="11" t="n">
        <v/>
      </c>
      <c r="K332" s="4" t="inlineStr">
        <is>
          <t>Abrechnungsart wählen; Stundensätze eingeben</t>
        </is>
      </c>
    </row>
    <row r="333">
      <c r="A333" s="4" t="inlineStr">
        <is>
          <t>2541 Bommersheimer Weg 59, Bad Homburg-BSK</t>
        </is>
      </c>
      <c r="B333" s="4" t="inlineStr">
        <is>
          <t>● 1000-Grundlagenermittlung</t>
        </is>
      </c>
      <c r="C333" s="9" t="inlineStr">
        <is>
          <t>Unbekannt</t>
        </is>
      </c>
      <c r="D333" s="10" t="inlineStr">
        <is>
          <t>⚠ Manual erforderlich</t>
        </is>
      </c>
      <c r="E333" s="11" t="inlineStr"/>
      <c r="F333" s="11" t="n">
        <v>0</v>
      </c>
      <c r="G333" s="11">
        <f>E333-F333</f>
        <v/>
      </c>
      <c r="H333" s="11" t="n">
        <v/>
      </c>
      <c r="I333" s="11" t="n">
        <v/>
      </c>
      <c r="J333" s="11" t="n">
        <v/>
      </c>
      <c r="K333" s="4" t="inlineStr">
        <is>
          <t>Abrechnungsart wählen; Stundensätze eingeben</t>
        </is>
      </c>
    </row>
    <row r="334">
      <c r="A334" s="4" t="inlineStr">
        <is>
          <t>2541 Bommersheimer Weg 59, Bad Homburg-BSK</t>
        </is>
      </c>
      <c r="B334" s="4" t="inlineStr">
        <is>
          <t>● 2000-Vorplanung</t>
        </is>
      </c>
      <c r="C334" s="9" t="inlineStr">
        <is>
          <t>Unbekannt</t>
        </is>
      </c>
      <c r="D334" s="10" t="inlineStr">
        <is>
          <t>⚠ Manual erforderlich</t>
        </is>
      </c>
      <c r="E334" s="11" t="inlineStr"/>
      <c r="F334" s="11" t="n">
        <v>0</v>
      </c>
      <c r="G334" s="11">
        <f>E334-F334</f>
        <v/>
      </c>
      <c r="H334" s="11" t="n">
        <v/>
      </c>
      <c r="I334" s="11" t="n">
        <v/>
      </c>
      <c r="J334" s="11" t="n">
        <v/>
      </c>
      <c r="K334" s="4" t="inlineStr">
        <is>
          <t>Abrechnungsart wählen; Stundensätze eingeben</t>
        </is>
      </c>
    </row>
    <row r="335">
      <c r="A335" s="4" t="inlineStr">
        <is>
          <t>2541 Bommersheimer Weg 59, Bad Homburg-BSK</t>
        </is>
      </c>
      <c r="B335" s="4" t="inlineStr">
        <is>
          <t>● 3000-Entwurfsplanung</t>
        </is>
      </c>
      <c r="C335" s="9" t="inlineStr">
        <is>
          <t>Unbekannt</t>
        </is>
      </c>
      <c r="D335" s="10" t="inlineStr">
        <is>
          <t>⚠ Manual erforderlich</t>
        </is>
      </c>
      <c r="E335" s="11" t="inlineStr"/>
      <c r="F335" s="11" t="n">
        <v>0</v>
      </c>
      <c r="G335" s="11">
        <f>E335-F335</f>
        <v/>
      </c>
      <c r="H335" s="11" t="n">
        <v/>
      </c>
      <c r="I335" s="11" t="n">
        <v/>
      </c>
      <c r="J335" s="11" t="n">
        <v/>
      </c>
      <c r="K335" s="4" t="inlineStr">
        <is>
          <t>Abrechnungsart wählen; Stundensätze eingeben</t>
        </is>
      </c>
    </row>
    <row r="336">
      <c r="A336" s="4" t="inlineStr">
        <is>
          <t>2541 Bommersheimer Weg 59, Bad Homburg-BSK</t>
        </is>
      </c>
      <c r="B336" s="4" t="inlineStr">
        <is>
          <t>● 4000-Genehmigungsplanung</t>
        </is>
      </c>
      <c r="C336" s="9" t="inlineStr">
        <is>
          <t>Unbekannt</t>
        </is>
      </c>
      <c r="D336" s="10" t="inlineStr">
        <is>
          <t>⚠ Manual erforderlich</t>
        </is>
      </c>
      <c r="E336" s="11" t="inlineStr"/>
      <c r="F336" s="11" t="n">
        <v>0</v>
      </c>
      <c r="G336" s="11">
        <f>E336-F336</f>
        <v/>
      </c>
      <c r="H336" s="11" t="n">
        <v/>
      </c>
      <c r="I336" s="11" t="n">
        <v/>
      </c>
      <c r="J336" s="11" t="n">
        <v/>
      </c>
      <c r="K336" s="4" t="inlineStr">
        <is>
          <t>Abrechnungsart wählen; Stundensätze eingeben</t>
        </is>
      </c>
    </row>
    <row r="337">
      <c r="A337" s="4" t="inlineStr">
        <is>
          <t>2541 Bommersheimer Weg 59, Bad Homburg-BSK</t>
        </is>
      </c>
      <c r="B337" s="4" t="inlineStr">
        <is>
          <t>● 5000-Ausführungsplanung</t>
        </is>
      </c>
      <c r="C337" s="9" t="inlineStr">
        <is>
          <t>Unbekannt</t>
        </is>
      </c>
      <c r="D337" s="10" t="inlineStr">
        <is>
          <t>⚠ Manual erforderlich</t>
        </is>
      </c>
      <c r="E337" s="11" t="inlineStr"/>
      <c r="F337" s="11" t="n">
        <v>0</v>
      </c>
      <c r="G337" s="11">
        <f>E337-F337</f>
        <v/>
      </c>
      <c r="H337" s="11" t="n">
        <v/>
      </c>
      <c r="I337" s="11" t="n">
        <v/>
      </c>
      <c r="J337" s="11" t="n">
        <v/>
      </c>
      <c r="K337" s="4" t="inlineStr">
        <is>
          <t>Abrechnungsart wählen; Stundensätze eingeben</t>
        </is>
      </c>
    </row>
    <row r="338">
      <c r="A338" s="4" t="inlineStr">
        <is>
          <t>2541 Bommersheimer Weg 59, Bad Homburg-BSK</t>
        </is>
      </c>
      <c r="B338" s="4" t="inlineStr">
        <is>
          <t>● 6000-Vorbereiten der Vergabe</t>
        </is>
      </c>
      <c r="C338" s="9" t="inlineStr">
        <is>
          <t>Unbekannt</t>
        </is>
      </c>
      <c r="D338" s="10" t="inlineStr">
        <is>
          <t>⚠ Manual erforderlich</t>
        </is>
      </c>
      <c r="E338" s="11" t="inlineStr"/>
      <c r="F338" s="11" t="n">
        <v>0</v>
      </c>
      <c r="G338" s="11">
        <f>E338-F338</f>
        <v/>
      </c>
      <c r="H338" s="11" t="n">
        <v/>
      </c>
      <c r="I338" s="11" t="n">
        <v/>
      </c>
      <c r="J338" s="11" t="n">
        <v/>
      </c>
      <c r="K338" s="4" t="inlineStr">
        <is>
          <t>Abrechnungsart wählen; Stundensätze eingeben</t>
        </is>
      </c>
    </row>
    <row r="339">
      <c r="A339" s="4" t="inlineStr">
        <is>
          <t>2541 Bommersheimer Weg 59, Bad Homburg-BSK</t>
        </is>
      </c>
      <c r="B339" s="4" t="inlineStr">
        <is>
          <t>● 7000-Mitwirkung bei der Vergabe</t>
        </is>
      </c>
      <c r="C339" s="9" t="inlineStr">
        <is>
          <t>Unbekannt</t>
        </is>
      </c>
      <c r="D339" s="10" t="inlineStr">
        <is>
          <t>⚠ Manual erforderlich</t>
        </is>
      </c>
      <c r="E339" s="11" t="inlineStr"/>
      <c r="F339" s="11" t="n">
        <v>0</v>
      </c>
      <c r="G339" s="11">
        <f>E339-F339</f>
        <v/>
      </c>
      <c r="H339" s="11" t="n">
        <v/>
      </c>
      <c r="I339" s="11" t="n">
        <v/>
      </c>
      <c r="J339" s="11" t="n">
        <v/>
      </c>
      <c r="K339" s="4" t="inlineStr">
        <is>
          <t>Abrechnungsart wählen; Stundensätze eingeben</t>
        </is>
      </c>
    </row>
    <row r="340">
      <c r="A340" s="4" t="inlineStr">
        <is>
          <t>2541 Bommersheimer Weg 59, Bad Homburg-BSK</t>
        </is>
      </c>
      <c r="B340" s="4" t="inlineStr">
        <is>
          <t>● 8000-Objektüberwachung</t>
        </is>
      </c>
      <c r="C340" s="9" t="inlineStr">
        <is>
          <t>Unbekannt</t>
        </is>
      </c>
      <c r="D340" s="10" t="inlineStr">
        <is>
          <t>⚠ Manual erforderlich</t>
        </is>
      </c>
      <c r="E340" s="11" t="inlineStr"/>
      <c r="F340" s="11" t="n">
        <v>0</v>
      </c>
      <c r="G340" s="11">
        <f>E340-F340</f>
        <v/>
      </c>
      <c r="H340" s="11" t="n">
        <v/>
      </c>
      <c r="I340" s="11" t="n">
        <v/>
      </c>
      <c r="J340" s="11" t="n">
        <v/>
      </c>
      <c r="K340" s="4" t="inlineStr">
        <is>
          <t>Abrechnungsart wählen; Stundensätze eingeben</t>
        </is>
      </c>
    </row>
    <row r="341">
      <c r="A341" s="4" t="inlineStr">
        <is>
          <t>2541 Bommersheimer Weg 59, Bad Homburg-BSK</t>
        </is>
      </c>
      <c r="B341" s="4" t="inlineStr">
        <is>
          <t>● 9000-Objektbetreuung und Dokumentation</t>
        </is>
      </c>
      <c r="C341" s="9" t="inlineStr">
        <is>
          <t>Unbekannt</t>
        </is>
      </c>
      <c r="D341" s="10" t="inlineStr">
        <is>
          <t>⚠ Manual erforderlich</t>
        </is>
      </c>
      <c r="E341" s="11" t="inlineStr"/>
      <c r="F341" s="11" t="n">
        <v>0</v>
      </c>
      <c r="G341" s="11">
        <f>E341-F341</f>
        <v/>
      </c>
      <c r="H341" s="11" t="n">
        <v/>
      </c>
      <c r="I341" s="11" t="n">
        <v/>
      </c>
      <c r="J341" s="11" t="n">
        <v/>
      </c>
      <c r="K341" s="4" t="inlineStr">
        <is>
          <t>Abrechnungsart wählen; Stundensätze eingeben</t>
        </is>
      </c>
    </row>
    <row r="342">
      <c r="A342" s="4" t="inlineStr">
        <is>
          <t>2620.05 Fortschr. BSK-TU-Darmstadt-Parkdeck-Erweiterung-Franziska-von-Braun-Straße-Lichtwiese</t>
        </is>
      </c>
      <c r="B342" s="4" t="inlineStr">
        <is>
          <t>● (a.N.) Fortschreibung Brandschutzkonzept</t>
        </is>
      </c>
      <c r="C342" s="4" t="inlineStr">
        <is>
          <t>Nachweis</t>
        </is>
      </c>
      <c r="D342" s="10" t="inlineStr">
        <is>
          <t>⚠ Manual erforderlich</t>
        </is>
      </c>
      <c r="E342" s="11" t="inlineStr"/>
      <c r="F342" s="11" t="n">
        <v>0</v>
      </c>
      <c r="G342" s="11">
        <f>E342-F342</f>
        <v/>
      </c>
      <c r="H342" s="11" t="n">
        <v/>
      </c>
      <c r="I342" s="11" t="n">
        <v/>
      </c>
      <c r="J342" s="11" t="n">
        <v/>
      </c>
      <c r="K342" s="4" t="inlineStr">
        <is>
          <t>Stundensätze eingeben</t>
        </is>
      </c>
    </row>
    <row r="343">
      <c r="A343" s="4" t="inlineStr">
        <is>
          <t>2620.05 Fortschr. BSK-TU-Darmstadt-Parkdeck-Erweiterung-Franziska-von-Braun-Straße-Lichtwiese</t>
        </is>
      </c>
      <c r="B343" s="4" t="inlineStr">
        <is>
          <t>● (a.N.) Aktualisierung Brandschutzkonzeptpläne</t>
        </is>
      </c>
      <c r="C343" s="4" t="inlineStr">
        <is>
          <t>Nachweis</t>
        </is>
      </c>
      <c r="D343" s="10" t="inlineStr">
        <is>
          <t>⚠ Manual erforderlich</t>
        </is>
      </c>
      <c r="E343" s="11" t="inlineStr"/>
      <c r="F343" s="11" t="n">
        <v>0</v>
      </c>
      <c r="G343" s="11">
        <f>E343-F343</f>
        <v/>
      </c>
      <c r="H343" s="11" t="n">
        <v/>
      </c>
      <c r="I343" s="11" t="n">
        <v/>
      </c>
      <c r="J343" s="11" t="n">
        <v/>
      </c>
      <c r="K343" s="4" t="inlineStr">
        <is>
          <t>Stundensätze eingeben</t>
        </is>
      </c>
    </row>
    <row r="344">
      <c r="A344" s="4" t="inlineStr">
        <is>
          <t>2620.05 Fortschr. BSK-TU-Darmstadt-Parkdeck-Erweiterung-Franziska-von-Braun-Straße-Lichtwiese</t>
        </is>
      </c>
      <c r="B344" s="4" t="inlineStr">
        <is>
          <t>● (a.N.) Objektüberwachung und brandschutztechnische Beratung</t>
        </is>
      </c>
      <c r="C344" s="4" t="inlineStr">
        <is>
          <t>Nachweis</t>
        </is>
      </c>
      <c r="D344" s="10" t="inlineStr">
        <is>
          <t>⚠ Manual erforderlich</t>
        </is>
      </c>
      <c r="E344" s="11" t="inlineStr"/>
      <c r="F344" s="11" t="n">
        <v>0</v>
      </c>
      <c r="G344" s="11">
        <f>E344-F344</f>
        <v/>
      </c>
      <c r="H344" s="11" t="n">
        <v/>
      </c>
      <c r="I344" s="11" t="n">
        <v/>
      </c>
      <c r="J344" s="11" t="n">
        <v/>
      </c>
      <c r="K344" s="4" t="inlineStr">
        <is>
          <t>Stundensätze eingeben</t>
        </is>
      </c>
    </row>
    <row r="345">
      <c r="A345" s="4" t="inlineStr">
        <is>
          <t>2621.03 BAB-Abbruchphase-Martha-Else-Haus</t>
        </is>
      </c>
      <c r="B345" s="4" t="inlineStr">
        <is>
          <t>● 5000-Ausführungsplanung</t>
        </is>
      </c>
      <c r="C345" s="9" t="inlineStr">
        <is>
          <t>Unbekannt</t>
        </is>
      </c>
      <c r="D345" s="10" t="inlineStr">
        <is>
          <t>⚠ Manual erforderlich</t>
        </is>
      </c>
      <c r="E345" s="11" t="inlineStr"/>
      <c r="F345" s="11" t="n">
        <v>0</v>
      </c>
      <c r="G345" s="11">
        <f>E345-F345</f>
        <v/>
      </c>
      <c r="H345" s="11" t="n">
        <v/>
      </c>
      <c r="I345" s="11" t="n">
        <v/>
      </c>
      <c r="J345" s="11" t="n">
        <v/>
      </c>
      <c r="K345" s="4" t="inlineStr">
        <is>
          <t>Abrechnungsart wählen; Stundensätze eingeben</t>
        </is>
      </c>
    </row>
    <row r="346">
      <c r="A346" s="4" t="inlineStr">
        <is>
          <t>2621.03 BAB-Abbruchphase-Martha-Else-Haus</t>
        </is>
      </c>
      <c r="B346" s="4" t="inlineStr">
        <is>
          <t>● 8000-Objektüberwachung</t>
        </is>
      </c>
      <c r="C346" s="9" t="inlineStr">
        <is>
          <t>Unbekannt</t>
        </is>
      </c>
      <c r="D346" s="10" t="inlineStr">
        <is>
          <t>⚠ Manual erforderlich</t>
        </is>
      </c>
      <c r="E346" s="11" t="inlineStr"/>
      <c r="F346" s="11" t="n">
        <v>0</v>
      </c>
      <c r="G346" s="11">
        <f>E346-F346</f>
        <v/>
      </c>
      <c r="H346" s="11" t="n">
        <v/>
      </c>
      <c r="I346" s="11" t="n">
        <v/>
      </c>
      <c r="J346" s="11" t="n">
        <v/>
      </c>
      <c r="K346" s="4" t="inlineStr">
        <is>
          <t>Abrechnungsart wählen; Stundensätze eingeben</t>
        </is>
      </c>
    </row>
    <row r="347">
      <c r="A347" s="4" t="inlineStr">
        <is>
          <t>2621.03 BAB-Abbruchphase-Martha-Else-Haus</t>
        </is>
      </c>
      <c r="B347" s="4" t="inlineStr">
        <is>
          <t>● Fortschr. BSK (auf Nachweis)</t>
        </is>
      </c>
      <c r="C347" s="9" t="inlineStr">
        <is>
          <t>Unbekannt</t>
        </is>
      </c>
      <c r="D347" s="10" t="inlineStr">
        <is>
          <t>⚠ Manual erforderlich</t>
        </is>
      </c>
      <c r="E347" s="11" t="inlineStr"/>
      <c r="F347" s="11" t="n">
        <v>0</v>
      </c>
      <c r="G347" s="11">
        <f>E347-F347</f>
        <v/>
      </c>
      <c r="H347" s="11" t="n">
        <v/>
      </c>
      <c r="I347" s="11" t="n">
        <v/>
      </c>
      <c r="J347" s="11" t="n">
        <v/>
      </c>
      <c r="K347" s="4" t="inlineStr">
        <is>
          <t>Abrechnungsart wählen; Stundensätze eingeben</t>
        </is>
      </c>
    </row>
    <row r="348">
      <c r="A348" s="4" t="inlineStr">
        <is>
          <t>2621.06 SMEH-FWP-Martha-Else-Haus-SodenerStr8-Hofheim</t>
        </is>
      </c>
      <c r="B348" s="4" t="inlineStr">
        <is>
          <t>● (p) Pos. 1 FWP</t>
        </is>
      </c>
      <c r="C348" s="4" t="inlineStr">
        <is>
          <t>Pauschale</t>
        </is>
      </c>
      <c r="D348" s="10" t="inlineStr">
        <is>
          <t>⚠ Manual erforderlich</t>
        </is>
      </c>
      <c r="E348" s="11" t="inlineStr"/>
      <c r="F348" s="11" t="n">
        <v>0</v>
      </c>
      <c r="G348" s="11">
        <f>E348-F348</f>
        <v/>
      </c>
      <c r="H348" s="11" t="n">
        <v>0</v>
      </c>
      <c r="I348" s="11" t="n">
        <v>0</v>
      </c>
      <c r="J348" s="11" t="n">
        <v>0</v>
      </c>
      <c r="K348" s="4" t="inlineStr">
        <is>
          <t>Stundensätze eingeben</t>
        </is>
      </c>
    </row>
    <row r="349">
      <c r="A349" s="4" t="inlineStr">
        <is>
          <t>2621.06 SMEH-FWP-Martha-Else-Haus-SodenerStr8-Hofheim</t>
        </is>
      </c>
      <c r="B349" s="4" t="inlineStr">
        <is>
          <t>● (p) FRP pro Plan</t>
        </is>
      </c>
      <c r="C349" s="4" t="inlineStr">
        <is>
          <t>Pauschale</t>
        </is>
      </c>
      <c r="D349" s="10" t="inlineStr">
        <is>
          <t>⚠ Manual erforderlich</t>
        </is>
      </c>
      <c r="E349" s="11" t="inlineStr"/>
      <c r="F349" s="11" t="n">
        <v>0</v>
      </c>
      <c r="G349" s="11">
        <f>E349-F349</f>
        <v/>
      </c>
      <c r="H349" s="11" t="n">
        <v/>
      </c>
      <c r="I349" s="11" t="n">
        <v/>
      </c>
      <c r="J349" s="11" t="n">
        <v/>
      </c>
      <c r="K349" s="4" t="inlineStr">
        <is>
          <t>Stundensätze eingeben</t>
        </is>
      </c>
    </row>
    <row r="350">
      <c r="A350" s="4" t="inlineStr">
        <is>
          <t>2621.06 SMEH-FWP-Martha-Else-Haus-SodenerStr8-Hofheim</t>
        </is>
      </c>
      <c r="B350" s="4" t="inlineStr">
        <is>
          <t>● ADM</t>
        </is>
      </c>
      <c r="C350" s="9" t="inlineStr">
        <is>
          <t>Unbekannt</t>
        </is>
      </c>
      <c r="D350" s="10" t="inlineStr">
        <is>
          <t>⚠ Manual erforderlich</t>
        </is>
      </c>
      <c r="E350" s="11" t="inlineStr"/>
      <c r="F350" s="11" t="n">
        <v>0</v>
      </c>
      <c r="G350" s="11">
        <f>E350-F350</f>
        <v/>
      </c>
      <c r="H350" s="11" t="n">
        <v/>
      </c>
      <c r="I350" s="11" t="n">
        <v/>
      </c>
      <c r="J350" s="11" t="n">
        <v/>
      </c>
      <c r="K350" s="4" t="inlineStr">
        <is>
          <t>Abrechnungsart wählen; Stundensätze eingeben</t>
        </is>
      </c>
    </row>
    <row r="351">
      <c r="A351" s="4" t="inlineStr">
        <is>
          <t>2626.07 BTB-Maschinenfabrik-Passavant-Geiger-Straße1-Aarbergen</t>
        </is>
      </c>
      <c r="B351" s="4" t="inlineStr">
        <is>
          <t>● (a.N.) Beratung Maschinenfabrik inkl. Kranüberdachung</t>
        </is>
      </c>
      <c r="C351" s="4" t="inlineStr">
        <is>
          <t>Nachweis</t>
        </is>
      </c>
      <c r="D351" s="10" t="inlineStr">
        <is>
          <t>⚠ Manual erforderlich</t>
        </is>
      </c>
      <c r="E351" s="11" t="inlineStr"/>
      <c r="F351" s="11" t="n">
        <v>0</v>
      </c>
      <c r="G351" s="11">
        <f>E351-F351</f>
        <v/>
      </c>
      <c r="H351" s="11" t="n">
        <v/>
      </c>
      <c r="I351" s="11" t="n">
        <v/>
      </c>
      <c r="J351" s="11" t="n">
        <v/>
      </c>
      <c r="K351" s="4" t="inlineStr">
        <is>
          <t>Stundensätze eingeben</t>
        </is>
      </c>
    </row>
    <row r="352">
      <c r="A352" s="4" t="inlineStr">
        <is>
          <t>2626.07 BTB-Maschinenfabrik-Passavant-Geiger-Straße1-Aarbergen</t>
        </is>
      </c>
      <c r="B352" s="4" t="inlineStr">
        <is>
          <t>● (a.N.) NAT BTB</t>
        </is>
      </c>
      <c r="C352" s="4" t="inlineStr">
        <is>
          <t>Nachweis</t>
        </is>
      </c>
      <c r="D352" s="10" t="inlineStr">
        <is>
          <t>⚠ Manual erforderlich</t>
        </is>
      </c>
      <c r="E352" s="11" t="inlineStr"/>
      <c r="F352" s="11" t="n">
        <v>0</v>
      </c>
      <c r="G352" s="11">
        <f>E352-F352</f>
        <v/>
      </c>
      <c r="H352" s="11" t="n">
        <v/>
      </c>
      <c r="I352" s="11" t="n">
        <v/>
      </c>
      <c r="J352" s="11" t="n">
        <v/>
      </c>
      <c r="K352" s="4" t="inlineStr">
        <is>
          <t>Stundensätze eingeben</t>
        </is>
      </c>
    </row>
    <row r="353">
      <c r="A353" s="4" t="inlineStr">
        <is>
          <t>2626.08 BSK-Maschinenfabrik-Passavant-Geiger-Straße1-Aarbergen</t>
        </is>
      </c>
      <c r="B353" s="4" t="inlineStr">
        <is>
          <t>● (p) Pos.1 Erstellung BSK</t>
        </is>
      </c>
      <c r="C353" s="4" t="inlineStr">
        <is>
          <t>Pauschale</t>
        </is>
      </c>
      <c r="D353" s="10" t="inlineStr">
        <is>
          <t>⚠ Manual erforderlich</t>
        </is>
      </c>
      <c r="E353" s="11" t="inlineStr"/>
      <c r="F353" s="11" t="n">
        <v>0</v>
      </c>
      <c r="G353" s="11">
        <f>E353-F353</f>
        <v/>
      </c>
      <c r="H353" s="11" t="n">
        <v>0</v>
      </c>
      <c r="I353" s="11" t="n">
        <v>0</v>
      </c>
      <c r="J353" s="11" t="n">
        <v>0</v>
      </c>
      <c r="K353" s="4" t="inlineStr">
        <is>
          <t>Stundensätze eingeben</t>
        </is>
      </c>
    </row>
    <row r="354">
      <c r="A354" s="4" t="inlineStr">
        <is>
          <t>2626.08 BSK-Maschinenfabrik-Passavant-Geiger-Straße1-Aarbergen</t>
        </is>
      </c>
      <c r="B354" s="4" t="inlineStr">
        <is>
          <t>● (aN) Pos.2 Brandlastberechnung gemäß DIN 18230 i.V.m. Abschn.7 Muster-Industriebaurichtlinie</t>
        </is>
      </c>
      <c r="C354" s="4" t="inlineStr">
        <is>
          <t>Nachweis</t>
        </is>
      </c>
      <c r="D354" s="10" t="inlineStr">
        <is>
          <t>⚠ Manual erforderlich</t>
        </is>
      </c>
      <c r="E354" s="11" t="inlineStr"/>
      <c r="F354" s="11" t="n">
        <v>0</v>
      </c>
      <c r="G354" s="11">
        <f>E354-F354</f>
        <v/>
      </c>
      <c r="H354" s="11" t="n">
        <v/>
      </c>
      <c r="I354" s="11" t="n">
        <v/>
      </c>
      <c r="J354" s="11" t="n">
        <v/>
      </c>
      <c r="K354" s="4" t="inlineStr">
        <is>
          <t>Stundensätze eingeben</t>
        </is>
      </c>
    </row>
    <row r="355">
      <c r="A355" s="4" t="inlineStr">
        <is>
          <t>2626.08 BSK-Maschinenfabrik-Passavant-Geiger-Straße1-Aarbergen</t>
        </is>
      </c>
      <c r="B355" s="4" t="inlineStr">
        <is>
          <t>● (aN) Pos.3 BAB und Qualitätsüberwachung</t>
        </is>
      </c>
      <c r="C355" s="4" t="inlineStr">
        <is>
          <t>Nachweis</t>
        </is>
      </c>
      <c r="D355" s="10" t="inlineStr">
        <is>
          <t>⚠ Manual erforderlich</t>
        </is>
      </c>
      <c r="E355" s="11" t="inlineStr"/>
      <c r="F355" s="11" t="n">
        <v>0</v>
      </c>
      <c r="G355" s="11">
        <f>E355-F355</f>
        <v/>
      </c>
      <c r="H355" s="11" t="n">
        <v/>
      </c>
      <c r="I355" s="11" t="n">
        <v/>
      </c>
      <c r="J355" s="11" t="n">
        <v/>
      </c>
      <c r="K355" s="4" t="inlineStr">
        <is>
          <t>Stundensätze eingeben</t>
        </is>
      </c>
    </row>
    <row r="356">
      <c r="A356" s="4" t="inlineStr">
        <is>
          <t>2642 Zu-den-Rehwiesen-9-Klinikum-Duisburg-Wedau</t>
        </is>
      </c>
      <c r="B356" s="4" t="inlineStr">
        <is>
          <t>● 0001-Sonstiges</t>
        </is>
      </c>
      <c r="C356" s="9" t="inlineStr">
        <is>
          <t>Unbekannt</t>
        </is>
      </c>
      <c r="D356" s="10" t="inlineStr">
        <is>
          <t>⚠ Manual erforderlich</t>
        </is>
      </c>
      <c r="E356" s="11" t="inlineStr"/>
      <c r="F356" s="11" t="n">
        <v>0</v>
      </c>
      <c r="G356" s="11">
        <f>E356-F356</f>
        <v/>
      </c>
      <c r="H356" s="11" t="n">
        <v/>
      </c>
      <c r="I356" s="11" t="n">
        <v/>
      </c>
      <c r="J356" s="11" t="n">
        <v/>
      </c>
      <c r="K356" s="4" t="inlineStr">
        <is>
          <t>Abrechnungsart wählen; Stundensätze eingeben</t>
        </is>
      </c>
    </row>
    <row r="357">
      <c r="A357" s="4" t="inlineStr">
        <is>
          <t>2642 Zu-den-Rehwiesen-9-Klinikum-Duisburg-Wedau</t>
        </is>
      </c>
      <c r="B357" s="4" t="inlineStr">
        <is>
          <t>● 1000-Grundlagenermittlung</t>
        </is>
      </c>
      <c r="C357" s="9" t="inlineStr">
        <is>
          <t>Unbekannt</t>
        </is>
      </c>
      <c r="D357" s="10" t="inlineStr">
        <is>
          <t>⚠ Manual erforderlich</t>
        </is>
      </c>
      <c r="E357" s="11" t="inlineStr"/>
      <c r="F357" s="11" t="n">
        <v>0</v>
      </c>
      <c r="G357" s="11">
        <f>E357-F357</f>
        <v/>
      </c>
      <c r="H357" s="11" t="n">
        <v/>
      </c>
      <c r="I357" s="11" t="n">
        <v/>
      </c>
      <c r="J357" s="11" t="n">
        <v/>
      </c>
      <c r="K357" s="4" t="inlineStr">
        <is>
          <t>Abrechnungsart wählen; Stundensätze eingeben</t>
        </is>
      </c>
    </row>
    <row r="358">
      <c r="A358" s="4" t="inlineStr">
        <is>
          <t>2642 Zu-den-Rehwiesen-9-Klinikum-Duisburg-Wedau</t>
        </is>
      </c>
      <c r="B358" s="4" t="inlineStr">
        <is>
          <t>● 2000-Vorplanung</t>
        </is>
      </c>
      <c r="C358" s="9" t="inlineStr">
        <is>
          <t>Unbekannt</t>
        </is>
      </c>
      <c r="D358" s="10" t="inlineStr">
        <is>
          <t>⚠ Manual erforderlich</t>
        </is>
      </c>
      <c r="E358" s="11" t="inlineStr"/>
      <c r="F358" s="11" t="n">
        <v>0</v>
      </c>
      <c r="G358" s="11">
        <f>E358-F358</f>
        <v/>
      </c>
      <c r="H358" s="11" t="n">
        <v/>
      </c>
      <c r="I358" s="11" t="n">
        <v/>
      </c>
      <c r="J358" s="11" t="n">
        <v/>
      </c>
      <c r="K358" s="4" t="inlineStr">
        <is>
          <t>Abrechnungsart wählen; Stundensätze eingeben</t>
        </is>
      </c>
    </row>
    <row r="359">
      <c r="A359" s="4" t="inlineStr">
        <is>
          <t>2642 Zu-den-Rehwiesen-9-Klinikum-Duisburg-Wedau</t>
        </is>
      </c>
      <c r="B359" s="4" t="inlineStr">
        <is>
          <t>● 3000-Entwurfsplanung</t>
        </is>
      </c>
      <c r="C359" s="9" t="inlineStr">
        <is>
          <t>Unbekannt</t>
        </is>
      </c>
      <c r="D359" s="10" t="inlineStr">
        <is>
          <t>⚠ Manual erforderlich</t>
        </is>
      </c>
      <c r="E359" s="11" t="inlineStr"/>
      <c r="F359" s="11" t="n">
        <v>0</v>
      </c>
      <c r="G359" s="11">
        <f>E359-F359</f>
        <v/>
      </c>
      <c r="H359" s="11" t="n">
        <v/>
      </c>
      <c r="I359" s="11" t="n">
        <v/>
      </c>
      <c r="J359" s="11" t="n">
        <v/>
      </c>
      <c r="K359" s="4" t="inlineStr">
        <is>
          <t>Abrechnungsart wählen; Stundensätze eingeben</t>
        </is>
      </c>
    </row>
    <row r="360">
      <c r="A360" s="4" t="inlineStr">
        <is>
          <t>2642 Zu-den-Rehwiesen-9-Klinikum-Duisburg-Wedau</t>
        </is>
      </c>
      <c r="B360" s="4" t="inlineStr">
        <is>
          <t>● 4000-Genehmigungsplanung</t>
        </is>
      </c>
      <c r="C360" s="9" t="inlineStr">
        <is>
          <t>Unbekannt</t>
        </is>
      </c>
      <c r="D360" s="10" t="inlineStr">
        <is>
          <t>⚠ Manual erforderlich</t>
        </is>
      </c>
      <c r="E360" s="11" t="inlineStr"/>
      <c r="F360" s="11" t="n">
        <v>0</v>
      </c>
      <c r="G360" s="11">
        <f>E360-F360</f>
        <v/>
      </c>
      <c r="H360" s="11" t="n">
        <v/>
      </c>
      <c r="I360" s="11" t="n">
        <v/>
      </c>
      <c r="J360" s="11" t="n">
        <v/>
      </c>
      <c r="K360" s="4" t="inlineStr">
        <is>
          <t>Abrechnungsart wählen; Stundensätze eingeben</t>
        </is>
      </c>
    </row>
    <row r="361">
      <c r="A361" s="4" t="inlineStr">
        <is>
          <t>2642 Zu-den-Rehwiesen-9-Klinikum-Duisburg-Wedau</t>
        </is>
      </c>
      <c r="B361" s="4" t="inlineStr">
        <is>
          <t>● 5000-Ausführungsplanung</t>
        </is>
      </c>
      <c r="C361" s="9" t="inlineStr">
        <is>
          <t>Unbekannt</t>
        </is>
      </c>
      <c r="D361" s="10" t="inlineStr">
        <is>
          <t>⚠ Manual erforderlich</t>
        </is>
      </c>
      <c r="E361" s="11" t="inlineStr"/>
      <c r="F361" s="11" t="n">
        <v>0</v>
      </c>
      <c r="G361" s="11">
        <f>E361-F361</f>
        <v/>
      </c>
      <c r="H361" s="11" t="n">
        <v/>
      </c>
      <c r="I361" s="11" t="n">
        <v/>
      </c>
      <c r="J361" s="11" t="n">
        <v/>
      </c>
      <c r="K361" s="4" t="inlineStr">
        <is>
          <t>Abrechnungsart wählen; Stundensätze eingeben</t>
        </is>
      </c>
    </row>
    <row r="362">
      <c r="A362" s="4" t="inlineStr">
        <is>
          <t>2642 Zu-den-Rehwiesen-9-Klinikum-Duisburg-Wedau</t>
        </is>
      </c>
      <c r="B362" s="4" t="inlineStr">
        <is>
          <t>● 6000-Vorbereiten der Vergabe</t>
        </is>
      </c>
      <c r="C362" s="9" t="inlineStr">
        <is>
          <t>Unbekannt</t>
        </is>
      </c>
      <c r="D362" s="10" t="inlineStr">
        <is>
          <t>⚠ Manual erforderlich</t>
        </is>
      </c>
      <c r="E362" s="11" t="inlineStr"/>
      <c r="F362" s="11" t="n">
        <v>0</v>
      </c>
      <c r="G362" s="11">
        <f>E362-F362</f>
        <v/>
      </c>
      <c r="H362" s="11" t="n">
        <v/>
      </c>
      <c r="I362" s="11" t="n">
        <v/>
      </c>
      <c r="J362" s="11" t="n">
        <v/>
      </c>
      <c r="K362" s="4" t="inlineStr">
        <is>
          <t>Abrechnungsart wählen; Stundensätze eingeben</t>
        </is>
      </c>
    </row>
    <row r="363">
      <c r="A363" s="4" t="inlineStr">
        <is>
          <t>2642 Zu-den-Rehwiesen-9-Klinikum-Duisburg-Wedau</t>
        </is>
      </c>
      <c r="B363" s="4" t="inlineStr">
        <is>
          <t>● 7000-Mitwirkung bei der Vergabe</t>
        </is>
      </c>
      <c r="C363" s="9" t="inlineStr">
        <is>
          <t>Unbekannt</t>
        </is>
      </c>
      <c r="D363" s="10" t="inlineStr">
        <is>
          <t>⚠ Manual erforderlich</t>
        </is>
      </c>
      <c r="E363" s="11" t="inlineStr"/>
      <c r="F363" s="11" t="n">
        <v>0</v>
      </c>
      <c r="G363" s="11">
        <f>E363-F363</f>
        <v/>
      </c>
      <c r="H363" s="11" t="n">
        <v/>
      </c>
      <c r="I363" s="11" t="n">
        <v/>
      </c>
      <c r="J363" s="11" t="n">
        <v/>
      </c>
      <c r="K363" s="4" t="inlineStr">
        <is>
          <t>Abrechnungsart wählen; Stundensätze eingeben</t>
        </is>
      </c>
    </row>
    <row r="364">
      <c r="A364" s="4" t="inlineStr">
        <is>
          <t>2642 Zu-den-Rehwiesen-9-Klinikum-Duisburg-Wedau</t>
        </is>
      </c>
      <c r="B364" s="4" t="inlineStr">
        <is>
          <t>● 8000-Objektüberwachung</t>
        </is>
      </c>
      <c r="C364" s="9" t="inlineStr">
        <is>
          <t>Unbekannt</t>
        </is>
      </c>
      <c r="D364" s="10" t="inlineStr">
        <is>
          <t>⚠ Manual erforderlich</t>
        </is>
      </c>
      <c r="E364" s="11" t="inlineStr"/>
      <c r="F364" s="11" t="n">
        <v>0</v>
      </c>
      <c r="G364" s="11">
        <f>E364-F364</f>
        <v/>
      </c>
      <c r="H364" s="11" t="n">
        <v/>
      </c>
      <c r="I364" s="11" t="n">
        <v/>
      </c>
      <c r="J364" s="11" t="n">
        <v/>
      </c>
      <c r="K364" s="4" t="inlineStr">
        <is>
          <t>Abrechnungsart wählen; Stundensätze eingeben</t>
        </is>
      </c>
    </row>
    <row r="365">
      <c r="A365" s="4" t="inlineStr">
        <is>
          <t>2642 Zu-den-Rehwiesen-9-Klinikum-Duisburg-Wedau</t>
        </is>
      </c>
      <c r="B365" s="4" t="inlineStr">
        <is>
          <t>● 9000-Objektbetreuung und Dokumentation</t>
        </is>
      </c>
      <c r="C365" s="9" t="inlineStr">
        <is>
          <t>Unbekannt</t>
        </is>
      </c>
      <c r="D365" s="10" t="inlineStr">
        <is>
          <t>⚠ Manual erforderlich</t>
        </is>
      </c>
      <c r="E365" s="11" t="inlineStr"/>
      <c r="F365" s="11" t="n">
        <v>0</v>
      </c>
      <c r="G365" s="11">
        <f>E365-F365</f>
        <v/>
      </c>
      <c r="H365" s="11" t="n">
        <v/>
      </c>
      <c r="I365" s="11" t="n">
        <v/>
      </c>
      <c r="J365" s="11" t="n">
        <v/>
      </c>
      <c r="K365" s="4" t="inlineStr">
        <is>
          <t>Abrechnungsart wählen; Stundensätze eingeben</t>
        </is>
      </c>
    </row>
    <row r="366">
      <c r="A366" s="4" t="inlineStr">
        <is>
          <t>2642.01 Fortschr.Räumungskonzeptpläne-Zu-den-Rehwiesen-9-Klinikum-Duisburg-Wedau</t>
        </is>
      </c>
      <c r="B366" s="4" t="inlineStr">
        <is>
          <t>● 4000-Genehmigungsplanung</t>
        </is>
      </c>
      <c r="C366" s="9" t="inlineStr">
        <is>
          <t>Unbekannt</t>
        </is>
      </c>
      <c r="D366" s="10" t="inlineStr">
        <is>
          <t>⚠ Manual erforderlich</t>
        </is>
      </c>
      <c r="E366" s="11" t="inlineStr"/>
      <c r="F366" s="11" t="n">
        <v>0</v>
      </c>
      <c r="G366" s="11">
        <f>E366-F366</f>
        <v/>
      </c>
      <c r="H366" s="11" t="n">
        <v/>
      </c>
      <c r="I366" s="11" t="n">
        <v/>
      </c>
      <c r="J366" s="11" t="n">
        <v/>
      </c>
      <c r="K366" s="4" t="inlineStr">
        <is>
          <t>Abrechnungsart wählen; Stundensätze eingeben</t>
        </is>
      </c>
    </row>
    <row r="367">
      <c r="A367" s="4" t="inlineStr">
        <is>
          <t>2667.02 Kellereigasse-Marktplatz-Lohr-Fortschr.BSN</t>
        </is>
      </c>
      <c r="B367" s="4" t="inlineStr">
        <is>
          <t>● 8000-Objektüberwachung</t>
        </is>
      </c>
      <c r="C367" s="9" t="inlineStr">
        <is>
          <t>Unbekannt</t>
        </is>
      </c>
      <c r="D367" s="10" t="inlineStr">
        <is>
          <t>⚠ Manual erforderlich</t>
        </is>
      </c>
      <c r="E367" s="11" t="inlineStr"/>
      <c r="F367" s="11" t="n">
        <v>0</v>
      </c>
      <c r="G367" s="11">
        <f>E367-F367</f>
        <v/>
      </c>
      <c r="H367" s="11" t="n">
        <v/>
      </c>
      <c r="I367" s="11" t="n">
        <v/>
      </c>
      <c r="J367" s="11" t="n">
        <v/>
      </c>
      <c r="K367" s="4" t="inlineStr">
        <is>
          <t>Abrechnungsart wählen; Stundensätze eingeben</t>
        </is>
      </c>
    </row>
    <row r="368">
      <c r="A368" s="4" t="inlineStr">
        <is>
          <t>2667.02 Kellereigasse-Marktplatz-Lohr-Fortschr.BSN</t>
        </is>
      </c>
      <c r="B368" s="4" t="inlineStr">
        <is>
          <t>● 9000-Objektbetreuung und Dokumentation</t>
        </is>
      </c>
      <c r="C368" s="9" t="inlineStr">
        <is>
          <t>Unbekannt</t>
        </is>
      </c>
      <c r="D368" s="10" t="inlineStr">
        <is>
          <t>⚠ Manual erforderlich</t>
        </is>
      </c>
      <c r="E368" s="11" t="inlineStr"/>
      <c r="F368" s="11" t="n">
        <v>0</v>
      </c>
      <c r="G368" s="11">
        <f>E368-F368</f>
        <v/>
      </c>
      <c r="H368" s="11" t="n">
        <v/>
      </c>
      <c r="I368" s="11" t="n">
        <v/>
      </c>
      <c r="J368" s="11" t="n">
        <v/>
      </c>
      <c r="K368" s="4" t="inlineStr">
        <is>
          <t>Abrechnungsart wählen; Stundensätze eingeben</t>
        </is>
      </c>
    </row>
    <row r="369">
      <c r="A369" s="4" t="inlineStr">
        <is>
          <t>2671.03 BAB-OG2-Zum-Wartturm-7+9-Gelnhausen</t>
        </is>
      </c>
      <c r="B369" s="4" t="inlineStr">
        <is>
          <t>● 8000-Objektüberwachung</t>
        </is>
      </c>
      <c r="C369" s="9" t="inlineStr">
        <is>
          <t>Unbekannt</t>
        </is>
      </c>
      <c r="D369" s="10" t="inlineStr">
        <is>
          <t>⚠ Manual erforderlich</t>
        </is>
      </c>
      <c r="E369" s="11" t="inlineStr"/>
      <c r="F369" s="11" t="n">
        <v>0</v>
      </c>
      <c r="G369" s="11">
        <f>E369-F369</f>
        <v/>
      </c>
      <c r="H369" s="11" t="n">
        <v/>
      </c>
      <c r="I369" s="11" t="n">
        <v/>
      </c>
      <c r="J369" s="11" t="n">
        <v/>
      </c>
      <c r="K369" s="4" t="inlineStr">
        <is>
          <t>Abrechnungsart wählen; Stundensätze eingeben</t>
        </is>
      </c>
    </row>
    <row r="370">
      <c r="A370" s="4" t="inlineStr">
        <is>
          <t>2671.03 BAB-OG2-Zum-Wartturm-7+9-Gelnhausen</t>
        </is>
      </c>
      <c r="B370" s="4" t="inlineStr">
        <is>
          <t>● 9000-Objektbetreuung und Dokumentation</t>
        </is>
      </c>
      <c r="C370" s="9" t="inlineStr">
        <is>
          <t>Unbekannt</t>
        </is>
      </c>
      <c r="D370" s="10" t="inlineStr">
        <is>
          <t>⚠ Manual erforderlich</t>
        </is>
      </c>
      <c r="E370" s="11" t="inlineStr"/>
      <c r="F370" s="11" t="n">
        <v>0</v>
      </c>
      <c r="G370" s="11">
        <f>E370-F370</f>
        <v/>
      </c>
      <c r="H370" s="11" t="n">
        <v/>
      </c>
      <c r="I370" s="11" t="n">
        <v/>
      </c>
      <c r="J370" s="11" t="n">
        <v/>
      </c>
      <c r="K370" s="4" t="inlineStr">
        <is>
          <t>Abrechnungsart wählen; Stundensätze eingeben</t>
        </is>
      </c>
    </row>
    <row r="371">
      <c r="A371" s="4" t="inlineStr">
        <is>
          <t>2673.09 Fortschr-BSK--Messer-Platz-1-Messer-Group-BadSoden-1+3OG</t>
        </is>
      </c>
      <c r="B371" s="4" t="inlineStr">
        <is>
          <t>● (p) Pos.1 Fortschr. BSK für die Umbaumaßnahmen im 1. und 3. OG</t>
        </is>
      </c>
      <c r="C371" s="4" t="inlineStr">
        <is>
          <t>Pauschale</t>
        </is>
      </c>
      <c r="D371" s="10" t="inlineStr">
        <is>
          <t>⚠ Manual erforderlich</t>
        </is>
      </c>
      <c r="E371" s="11" t="inlineStr"/>
      <c r="F371" s="11" t="n">
        <v>0</v>
      </c>
      <c r="G371" s="11">
        <f>E371-F371</f>
        <v/>
      </c>
      <c r="H371" s="11" t="n">
        <v>0</v>
      </c>
      <c r="I371" s="11" t="n">
        <v>0</v>
      </c>
      <c r="J371" s="11" t="n">
        <v>0</v>
      </c>
      <c r="K371" s="4" t="inlineStr">
        <is>
          <t>Stundensätze eingeben</t>
        </is>
      </c>
    </row>
    <row r="372">
      <c r="A372" s="4" t="inlineStr">
        <is>
          <t>2673.09 Fortschr-BSK--Messer-Platz-1-Messer-Group-BadSoden-1+3OG</t>
        </is>
      </c>
      <c r="B372" s="4" t="inlineStr">
        <is>
          <t>● (aN) Pos.2 BAB + Qualitätsüberwachung</t>
        </is>
      </c>
      <c r="C372" s="4" t="inlineStr">
        <is>
          <t>Nachweis</t>
        </is>
      </c>
      <c r="D372" s="10" t="inlineStr">
        <is>
          <t>⚠ Manual erforderlich</t>
        </is>
      </c>
      <c r="E372" s="11" t="inlineStr"/>
      <c r="F372" s="11" t="n">
        <v>0</v>
      </c>
      <c r="G372" s="11">
        <f>E372-F372</f>
        <v/>
      </c>
      <c r="H372" s="11" t="n">
        <v/>
      </c>
      <c r="I372" s="11" t="n">
        <v/>
      </c>
      <c r="J372" s="11" t="n">
        <v/>
      </c>
      <c r="K372" s="4" t="inlineStr">
        <is>
          <t>Stundensätze eingeben</t>
        </is>
      </c>
    </row>
    <row r="373">
      <c r="A373" s="4" t="inlineStr">
        <is>
          <t>2674.01 BST-Ackermannstraße-35-37-Ackermannschule-Dachsanierung</t>
        </is>
      </c>
      <c r="B373" s="4" t="inlineStr">
        <is>
          <t>● (p) Pos.1 Fortschr. BSK</t>
        </is>
      </c>
      <c r="C373" s="4" t="inlineStr">
        <is>
          <t>Pauschale</t>
        </is>
      </c>
      <c r="D373" s="10" t="inlineStr">
        <is>
          <t>⚠ Manual erforderlich</t>
        </is>
      </c>
      <c r="E373" s="11" t="inlineStr"/>
      <c r="F373" s="11" t="n">
        <v>0</v>
      </c>
      <c r="G373" s="11">
        <f>E373-F373</f>
        <v/>
      </c>
      <c r="H373" s="11" t="n">
        <v>0</v>
      </c>
      <c r="I373" s="11" t="n">
        <v>0</v>
      </c>
      <c r="J373" s="11" t="n">
        <v>0</v>
      </c>
      <c r="K373" s="4" t="inlineStr">
        <is>
          <t>Stundensätze eingeben</t>
        </is>
      </c>
    </row>
    <row r="374">
      <c r="A374" s="4" t="inlineStr">
        <is>
          <t>2674.01 BST-Ackermannstraße-35-37-Ackermannschule-Dachsanierung</t>
        </is>
      </c>
      <c r="B374" s="4" t="inlineStr">
        <is>
          <t>● Pos.2 Baubegl. Brandschutzberatung + Qualitätsüberwachung</t>
        </is>
      </c>
      <c r="C374" s="9" t="inlineStr">
        <is>
          <t>Unbekannt</t>
        </is>
      </c>
      <c r="D374" s="10" t="inlineStr">
        <is>
          <t>⚠ Manual erforderlich</t>
        </is>
      </c>
      <c r="E374" s="11" t="inlineStr"/>
      <c r="F374" s="11" t="n">
        <v>0</v>
      </c>
      <c r="G374" s="11">
        <f>E374-F374</f>
        <v/>
      </c>
      <c r="H374" s="11" t="n">
        <v/>
      </c>
      <c r="I374" s="11" t="n">
        <v/>
      </c>
      <c r="J374" s="11" t="n">
        <v/>
      </c>
      <c r="K374" s="4" t="inlineStr">
        <is>
          <t>Abrechnungsart wählen; Stundensätze eingeben</t>
        </is>
      </c>
    </row>
    <row r="375">
      <c r="A375" s="4" t="inlineStr">
        <is>
          <t>2674.01 BST-Ackermannstraße-35-37-Ackermannschule-Dachsanierung</t>
        </is>
      </c>
      <c r="B375" s="4" t="inlineStr">
        <is>
          <t>● (a.N.) Pos.3 Optional: Zusätzl. Beratungslstg.</t>
        </is>
      </c>
      <c r="C375" s="4" t="inlineStr">
        <is>
          <t>Nachweis</t>
        </is>
      </c>
      <c r="D375" s="10" t="inlineStr">
        <is>
          <t>⚠ Manual erforderlich</t>
        </is>
      </c>
      <c r="E375" s="11" t="inlineStr"/>
      <c r="F375" s="11" t="n">
        <v>0</v>
      </c>
      <c r="G375" s="11">
        <f>E375-F375</f>
        <v/>
      </c>
      <c r="H375" s="11" t="n">
        <v/>
      </c>
      <c r="I375" s="11" t="n">
        <v/>
      </c>
      <c r="J375" s="11" t="n">
        <v/>
      </c>
      <c r="K375" s="4" t="inlineStr">
        <is>
          <t>Stundensätze eingeben</t>
        </is>
      </c>
    </row>
    <row r="376">
      <c r="A376" s="4" t="inlineStr">
        <is>
          <t>2700.02 BTB-Spielbank-Kisseleffstraße-35-Bad-Homburg</t>
        </is>
      </c>
      <c r="B376" s="4" t="inlineStr">
        <is>
          <t>● 2000-Vorplanung</t>
        </is>
      </c>
      <c r="C376" s="9" t="inlineStr">
        <is>
          <t>Unbekannt</t>
        </is>
      </c>
      <c r="D376" s="10" t="inlineStr">
        <is>
          <t>⚠ Manual erforderlich</t>
        </is>
      </c>
      <c r="E376" s="11" t="inlineStr"/>
      <c r="F376" s="11" t="n">
        <v>0</v>
      </c>
      <c r="G376" s="11">
        <f>E376-F376</f>
        <v/>
      </c>
      <c r="H376" s="11" t="n">
        <v/>
      </c>
      <c r="I376" s="11" t="n">
        <v/>
      </c>
      <c r="J376" s="11" t="n">
        <v/>
      </c>
      <c r="K376" s="4" t="inlineStr">
        <is>
          <t>Abrechnungsart wählen; Stundensätze eingeben</t>
        </is>
      </c>
    </row>
    <row r="377">
      <c r="A377" s="4" t="inlineStr">
        <is>
          <t>2700.02 BTB-Spielbank-Kisseleffstraße-35-Bad-Homburg</t>
        </is>
      </c>
      <c r="B377" s="4" t="inlineStr">
        <is>
          <t>● 3000-Entwurfsplanung</t>
        </is>
      </c>
      <c r="C377" s="9" t="inlineStr">
        <is>
          <t>Unbekannt</t>
        </is>
      </c>
      <c r="D377" s="10" t="inlineStr">
        <is>
          <t>⚠ Manual erforderlich</t>
        </is>
      </c>
      <c r="E377" s="11" t="inlineStr"/>
      <c r="F377" s="11" t="n">
        <v>0</v>
      </c>
      <c r="G377" s="11">
        <f>E377-F377</f>
        <v/>
      </c>
      <c r="H377" s="11" t="n">
        <v/>
      </c>
      <c r="I377" s="11" t="n">
        <v/>
      </c>
      <c r="J377" s="11" t="n">
        <v/>
      </c>
      <c r="K377" s="4" t="inlineStr">
        <is>
          <t>Abrechnungsart wählen; Stundensätze eingeben</t>
        </is>
      </c>
    </row>
    <row r="378">
      <c r="A378" s="4" t="inlineStr">
        <is>
          <t>2722 Wingertstraße-128-Maintal</t>
        </is>
      </c>
      <c r="B378" s="4" t="inlineStr">
        <is>
          <t>● 0001-Sonstiges</t>
        </is>
      </c>
      <c r="C378" s="9" t="inlineStr">
        <is>
          <t>Unbekannt</t>
        </is>
      </c>
      <c r="D378" s="10" t="inlineStr">
        <is>
          <t>⚠ Manual erforderlich</t>
        </is>
      </c>
      <c r="E378" s="11" t="inlineStr"/>
      <c r="F378" s="11" t="n">
        <v>0</v>
      </c>
      <c r="G378" s="11">
        <f>E378-F378</f>
        <v/>
      </c>
      <c r="H378" s="11" t="n">
        <v/>
      </c>
      <c r="I378" s="11" t="n">
        <v/>
      </c>
      <c r="J378" s="11" t="n">
        <v/>
      </c>
      <c r="K378" s="4" t="inlineStr">
        <is>
          <t>Abrechnungsart wählen; Stundensätze eingeben</t>
        </is>
      </c>
    </row>
    <row r="379">
      <c r="A379" s="4" t="inlineStr">
        <is>
          <t>2722 Wingertstraße-128-Maintal</t>
        </is>
      </c>
      <c r="B379" s="4" t="inlineStr">
        <is>
          <t>● 1000-Grundlagenermittlung</t>
        </is>
      </c>
      <c r="C379" s="9" t="inlineStr">
        <is>
          <t>Unbekannt</t>
        </is>
      </c>
      <c r="D379" s="10" t="inlineStr">
        <is>
          <t>⚠ Manual erforderlich</t>
        </is>
      </c>
      <c r="E379" s="11" t="inlineStr"/>
      <c r="F379" s="11" t="n">
        <v>0</v>
      </c>
      <c r="G379" s="11">
        <f>E379-F379</f>
        <v/>
      </c>
      <c r="H379" s="11" t="n">
        <v/>
      </c>
      <c r="I379" s="11" t="n">
        <v/>
      </c>
      <c r="J379" s="11" t="n">
        <v/>
      </c>
      <c r="K379" s="4" t="inlineStr">
        <is>
          <t>Abrechnungsart wählen; Stundensätze eingeben</t>
        </is>
      </c>
    </row>
    <row r="380">
      <c r="A380" s="4" t="inlineStr">
        <is>
          <t>2722 Wingertstraße-128-Maintal</t>
        </is>
      </c>
      <c r="B380" s="4" t="inlineStr">
        <is>
          <t>● 2000-Vorplanung</t>
        </is>
      </c>
      <c r="C380" s="9" t="inlineStr">
        <is>
          <t>Unbekannt</t>
        </is>
      </c>
      <c r="D380" s="10" t="inlineStr">
        <is>
          <t>⚠ Manual erforderlich</t>
        </is>
      </c>
      <c r="E380" s="11" t="inlineStr"/>
      <c r="F380" s="11" t="n">
        <v>0</v>
      </c>
      <c r="G380" s="11">
        <f>E380-F380</f>
        <v/>
      </c>
      <c r="H380" s="11" t="n">
        <v/>
      </c>
      <c r="I380" s="11" t="n">
        <v/>
      </c>
      <c r="J380" s="11" t="n">
        <v/>
      </c>
      <c r="K380" s="4" t="inlineStr">
        <is>
          <t>Abrechnungsart wählen; Stundensätze eingeben</t>
        </is>
      </c>
    </row>
    <row r="381">
      <c r="A381" s="4" t="inlineStr">
        <is>
          <t>2722 Wingertstraße-128-Maintal</t>
        </is>
      </c>
      <c r="B381" s="4" t="inlineStr">
        <is>
          <t>● 3000-Entwurfsplanung</t>
        </is>
      </c>
      <c r="C381" s="9" t="inlineStr">
        <is>
          <t>Unbekannt</t>
        </is>
      </c>
      <c r="D381" s="10" t="inlineStr">
        <is>
          <t>⚠ Manual erforderlich</t>
        </is>
      </c>
      <c r="E381" s="11" t="inlineStr"/>
      <c r="F381" s="11" t="n">
        <v>0</v>
      </c>
      <c r="G381" s="11">
        <f>E381-F381</f>
        <v/>
      </c>
      <c r="H381" s="11" t="n">
        <v/>
      </c>
      <c r="I381" s="11" t="n">
        <v/>
      </c>
      <c r="J381" s="11" t="n">
        <v/>
      </c>
      <c r="K381" s="4" t="inlineStr">
        <is>
          <t>Abrechnungsart wählen; Stundensätze eingeben</t>
        </is>
      </c>
    </row>
    <row r="382">
      <c r="A382" s="4" t="inlineStr">
        <is>
          <t>2722 Wingertstraße-128-Maintal</t>
        </is>
      </c>
      <c r="B382" s="4" t="inlineStr">
        <is>
          <t>● 4000-Genehmigungsplanung</t>
        </is>
      </c>
      <c r="C382" s="9" t="inlineStr">
        <is>
          <t>Unbekannt</t>
        </is>
      </c>
      <c r="D382" s="10" t="inlineStr">
        <is>
          <t>⚠ Manual erforderlich</t>
        </is>
      </c>
      <c r="E382" s="11" t="inlineStr"/>
      <c r="F382" s="11" t="n">
        <v>0</v>
      </c>
      <c r="G382" s="11">
        <f>E382-F382</f>
        <v/>
      </c>
      <c r="H382" s="11" t="n">
        <v/>
      </c>
      <c r="I382" s="11" t="n">
        <v/>
      </c>
      <c r="J382" s="11" t="n">
        <v/>
      </c>
      <c r="K382" s="4" t="inlineStr">
        <is>
          <t>Abrechnungsart wählen; Stundensätze eingeben</t>
        </is>
      </c>
    </row>
    <row r="383">
      <c r="A383" s="4" t="inlineStr">
        <is>
          <t>2722 Wingertstraße-128-Maintal</t>
        </is>
      </c>
      <c r="B383" s="4" t="inlineStr">
        <is>
          <t>● 5000-Ausführungsplanung</t>
        </is>
      </c>
      <c r="C383" s="9" t="inlineStr">
        <is>
          <t>Unbekannt</t>
        </is>
      </c>
      <c r="D383" s="10" t="inlineStr">
        <is>
          <t>⚠ Manual erforderlich</t>
        </is>
      </c>
      <c r="E383" s="11" t="inlineStr"/>
      <c r="F383" s="11" t="n">
        <v>0</v>
      </c>
      <c r="G383" s="11">
        <f>E383-F383</f>
        <v/>
      </c>
      <c r="H383" s="11" t="n">
        <v/>
      </c>
      <c r="I383" s="11" t="n">
        <v/>
      </c>
      <c r="J383" s="11" t="n">
        <v/>
      </c>
      <c r="K383" s="4" t="inlineStr">
        <is>
          <t>Abrechnungsart wählen; Stundensätze eingeben</t>
        </is>
      </c>
    </row>
    <row r="384">
      <c r="A384" s="4" t="inlineStr">
        <is>
          <t>2722 Wingertstraße-128-Maintal</t>
        </is>
      </c>
      <c r="B384" s="4" t="inlineStr">
        <is>
          <t>● 6000-Vorbereiten der Vergabe</t>
        </is>
      </c>
      <c r="C384" s="9" t="inlineStr">
        <is>
          <t>Unbekannt</t>
        </is>
      </c>
      <c r="D384" s="10" t="inlineStr">
        <is>
          <t>⚠ Manual erforderlich</t>
        </is>
      </c>
      <c r="E384" s="11" t="inlineStr"/>
      <c r="F384" s="11" t="n">
        <v>0</v>
      </c>
      <c r="G384" s="11">
        <f>E384-F384</f>
        <v/>
      </c>
      <c r="H384" s="11" t="n">
        <v/>
      </c>
      <c r="I384" s="11" t="n">
        <v/>
      </c>
      <c r="J384" s="11" t="n">
        <v/>
      </c>
      <c r="K384" s="4" t="inlineStr">
        <is>
          <t>Abrechnungsart wählen; Stundensätze eingeben</t>
        </is>
      </c>
    </row>
    <row r="385">
      <c r="A385" s="4" t="inlineStr">
        <is>
          <t>2722 Wingertstraße-128-Maintal</t>
        </is>
      </c>
      <c r="B385" s="4" t="inlineStr">
        <is>
          <t>● 7000-Mitwirkung bei der Vergabe</t>
        </is>
      </c>
      <c r="C385" s="9" t="inlineStr">
        <is>
          <t>Unbekannt</t>
        </is>
      </c>
      <c r="D385" s="10" t="inlineStr">
        <is>
          <t>⚠ Manual erforderlich</t>
        </is>
      </c>
      <c r="E385" s="11" t="inlineStr"/>
      <c r="F385" s="11" t="n">
        <v>0</v>
      </c>
      <c r="G385" s="11">
        <f>E385-F385</f>
        <v/>
      </c>
      <c r="H385" s="11" t="n">
        <v/>
      </c>
      <c r="I385" s="11" t="n">
        <v/>
      </c>
      <c r="J385" s="11" t="n">
        <v/>
      </c>
      <c r="K385" s="4" t="inlineStr">
        <is>
          <t>Abrechnungsart wählen; Stundensätze eingeben</t>
        </is>
      </c>
    </row>
    <row r="386">
      <c r="A386" s="4" t="inlineStr">
        <is>
          <t>2722 Wingertstraße-128-Maintal</t>
        </is>
      </c>
      <c r="B386" s="4" t="inlineStr">
        <is>
          <t>● 8000-Objektüberwachung</t>
        </is>
      </c>
      <c r="C386" s="9" t="inlineStr">
        <is>
          <t>Unbekannt</t>
        </is>
      </c>
      <c r="D386" s="10" t="inlineStr">
        <is>
          <t>⚠ Manual erforderlich</t>
        </is>
      </c>
      <c r="E386" s="11" t="inlineStr"/>
      <c r="F386" s="11" t="n">
        <v>0</v>
      </c>
      <c r="G386" s="11">
        <f>E386-F386</f>
        <v/>
      </c>
      <c r="H386" s="11" t="n">
        <v/>
      </c>
      <c r="I386" s="11" t="n">
        <v/>
      </c>
      <c r="J386" s="11" t="n">
        <v/>
      </c>
      <c r="K386" s="4" t="inlineStr">
        <is>
          <t>Abrechnungsart wählen; Stundensätze eingeben</t>
        </is>
      </c>
    </row>
    <row r="387">
      <c r="A387" s="4" t="inlineStr">
        <is>
          <t>2722 Wingertstraße-128-Maintal</t>
        </is>
      </c>
      <c r="B387" s="4" t="inlineStr">
        <is>
          <t>● 9000-Objektbetreuung und Dokumentation</t>
        </is>
      </c>
      <c r="C387" s="9" t="inlineStr">
        <is>
          <t>Unbekannt</t>
        </is>
      </c>
      <c r="D387" s="10" t="inlineStr">
        <is>
          <t>⚠ Manual erforderlich</t>
        </is>
      </c>
      <c r="E387" s="11" t="inlineStr"/>
      <c r="F387" s="11" t="n">
        <v>0</v>
      </c>
      <c r="G387" s="11">
        <f>E387-F387</f>
        <v/>
      </c>
      <c r="H387" s="11" t="n">
        <v/>
      </c>
      <c r="I387" s="11" t="n">
        <v/>
      </c>
      <c r="J387" s="11" t="n">
        <v/>
      </c>
      <c r="K387" s="4" t="inlineStr">
        <is>
          <t>Abrechnungsart wählen; Stundensätze eingeben</t>
        </is>
      </c>
    </row>
    <row r="388">
      <c r="A388" s="4" t="inlineStr">
        <is>
          <t>2727 Bahnhof-Fellbach-BSK-2013</t>
        </is>
      </c>
      <c r="B388" s="4" t="inlineStr">
        <is>
          <t>● 0001-Sonstiges</t>
        </is>
      </c>
      <c r="C388" s="9" t="inlineStr">
        <is>
          <t>Unbekannt</t>
        </is>
      </c>
      <c r="D388" s="10" t="inlineStr">
        <is>
          <t>⚠ Manual erforderlich</t>
        </is>
      </c>
      <c r="E388" s="11" t="inlineStr"/>
      <c r="F388" s="11" t="n">
        <v>0</v>
      </c>
      <c r="G388" s="11">
        <f>E388-F388</f>
        <v/>
      </c>
      <c r="H388" s="11" t="n">
        <v/>
      </c>
      <c r="I388" s="11" t="n">
        <v/>
      </c>
      <c r="J388" s="11" t="n">
        <v/>
      </c>
      <c r="K388" s="4" t="inlineStr">
        <is>
          <t>Abrechnungsart wählen; Stundensätze eingeben</t>
        </is>
      </c>
    </row>
    <row r="389">
      <c r="A389" s="4" t="inlineStr">
        <is>
          <t>2727 Bahnhof-Fellbach-BSK-2013</t>
        </is>
      </c>
      <c r="B389" s="4" t="inlineStr">
        <is>
          <t>● 1000-Grundlagenermittlung</t>
        </is>
      </c>
      <c r="C389" s="9" t="inlineStr">
        <is>
          <t>Unbekannt</t>
        </is>
      </c>
      <c r="D389" s="10" t="inlineStr">
        <is>
          <t>⚠ Manual erforderlich</t>
        </is>
      </c>
      <c r="E389" s="11" t="inlineStr"/>
      <c r="F389" s="11" t="n">
        <v>0</v>
      </c>
      <c r="G389" s="11">
        <f>E389-F389</f>
        <v/>
      </c>
      <c r="H389" s="11" t="n">
        <v/>
      </c>
      <c r="I389" s="11" t="n">
        <v/>
      </c>
      <c r="J389" s="11" t="n">
        <v/>
      </c>
      <c r="K389" s="4" t="inlineStr">
        <is>
          <t>Abrechnungsart wählen; Stundensätze eingeben</t>
        </is>
      </c>
    </row>
    <row r="390">
      <c r="A390" s="4" t="inlineStr">
        <is>
          <t>2727 Bahnhof-Fellbach-BSK-2013</t>
        </is>
      </c>
      <c r="B390" s="4" t="inlineStr">
        <is>
          <t>● 2000-Vorplanung</t>
        </is>
      </c>
      <c r="C390" s="9" t="inlineStr">
        <is>
          <t>Unbekannt</t>
        </is>
      </c>
      <c r="D390" s="10" t="inlineStr">
        <is>
          <t>⚠ Manual erforderlich</t>
        </is>
      </c>
      <c r="E390" s="11" t="inlineStr"/>
      <c r="F390" s="11" t="n">
        <v>0</v>
      </c>
      <c r="G390" s="11">
        <f>E390-F390</f>
        <v/>
      </c>
      <c r="H390" s="11" t="n">
        <v/>
      </c>
      <c r="I390" s="11" t="n">
        <v/>
      </c>
      <c r="J390" s="11" t="n">
        <v/>
      </c>
      <c r="K390" s="4" t="inlineStr">
        <is>
          <t>Abrechnungsart wählen; Stundensätze eingeben</t>
        </is>
      </c>
    </row>
    <row r="391">
      <c r="A391" s="4" t="inlineStr">
        <is>
          <t>2727 Bahnhof-Fellbach-BSK-2013</t>
        </is>
      </c>
      <c r="B391" s="4" t="inlineStr">
        <is>
          <t>● 3000-Entwurfsplanung</t>
        </is>
      </c>
      <c r="C391" s="9" t="inlineStr">
        <is>
          <t>Unbekannt</t>
        </is>
      </c>
      <c r="D391" s="10" t="inlineStr">
        <is>
          <t>⚠ Manual erforderlich</t>
        </is>
      </c>
      <c r="E391" s="11" t="inlineStr"/>
      <c r="F391" s="11" t="n">
        <v>0</v>
      </c>
      <c r="G391" s="11">
        <f>E391-F391</f>
        <v/>
      </c>
      <c r="H391" s="11" t="n">
        <v/>
      </c>
      <c r="I391" s="11" t="n">
        <v/>
      </c>
      <c r="J391" s="11" t="n">
        <v/>
      </c>
      <c r="K391" s="4" t="inlineStr">
        <is>
          <t>Abrechnungsart wählen; Stundensätze eingeben</t>
        </is>
      </c>
    </row>
    <row r="392">
      <c r="A392" s="4" t="inlineStr">
        <is>
          <t>2727 Bahnhof-Fellbach-BSK-2013</t>
        </is>
      </c>
      <c r="B392" s="4" t="inlineStr">
        <is>
          <t>● 4000-Genehmigungsplanung</t>
        </is>
      </c>
      <c r="C392" s="9" t="inlineStr">
        <is>
          <t>Unbekannt</t>
        </is>
      </c>
      <c r="D392" s="10" t="inlineStr">
        <is>
          <t>⚠ Manual erforderlich</t>
        </is>
      </c>
      <c r="E392" s="11" t="inlineStr"/>
      <c r="F392" s="11" t="n">
        <v>0</v>
      </c>
      <c r="G392" s="11">
        <f>E392-F392</f>
        <v/>
      </c>
      <c r="H392" s="11" t="n">
        <v/>
      </c>
      <c r="I392" s="11" t="n">
        <v/>
      </c>
      <c r="J392" s="11" t="n">
        <v/>
      </c>
      <c r="K392" s="4" t="inlineStr">
        <is>
          <t>Abrechnungsart wählen; Stundensätze eingeben</t>
        </is>
      </c>
    </row>
    <row r="393">
      <c r="A393" s="4" t="inlineStr">
        <is>
          <t>2727 Bahnhof-Fellbach-BSK-2013</t>
        </is>
      </c>
      <c r="B393" s="4" t="inlineStr">
        <is>
          <t>● 5000-Ausführungsplanung</t>
        </is>
      </c>
      <c r="C393" s="9" t="inlineStr">
        <is>
          <t>Unbekannt</t>
        </is>
      </c>
      <c r="D393" s="10" t="inlineStr">
        <is>
          <t>⚠ Manual erforderlich</t>
        </is>
      </c>
      <c r="E393" s="11" t="inlineStr"/>
      <c r="F393" s="11" t="n">
        <v>0</v>
      </c>
      <c r="G393" s="11">
        <f>E393-F393</f>
        <v/>
      </c>
      <c r="H393" s="11" t="n">
        <v/>
      </c>
      <c r="I393" s="11" t="n">
        <v/>
      </c>
      <c r="J393" s="11" t="n">
        <v/>
      </c>
      <c r="K393" s="4" t="inlineStr">
        <is>
          <t>Abrechnungsart wählen; Stundensätze eingeben</t>
        </is>
      </c>
    </row>
    <row r="394">
      <c r="A394" s="4" t="inlineStr">
        <is>
          <t>2727 Bahnhof-Fellbach-BSK-2013</t>
        </is>
      </c>
      <c r="B394" s="4" t="inlineStr">
        <is>
          <t>● 6000-Vorbereiten der Vergabe</t>
        </is>
      </c>
      <c r="C394" s="9" t="inlineStr">
        <is>
          <t>Unbekannt</t>
        </is>
      </c>
      <c r="D394" s="10" t="inlineStr">
        <is>
          <t>⚠ Manual erforderlich</t>
        </is>
      </c>
      <c r="E394" s="11" t="inlineStr"/>
      <c r="F394" s="11" t="n">
        <v>0</v>
      </c>
      <c r="G394" s="11">
        <f>E394-F394</f>
        <v/>
      </c>
      <c r="H394" s="11" t="n">
        <v/>
      </c>
      <c r="I394" s="11" t="n">
        <v/>
      </c>
      <c r="J394" s="11" t="n">
        <v/>
      </c>
      <c r="K394" s="4" t="inlineStr">
        <is>
          <t>Abrechnungsart wählen; Stundensätze eingeben</t>
        </is>
      </c>
    </row>
    <row r="395">
      <c r="A395" s="4" t="inlineStr">
        <is>
          <t>2727 Bahnhof-Fellbach-BSK-2013</t>
        </is>
      </c>
      <c r="B395" s="4" t="inlineStr">
        <is>
          <t>● 7000-Mitwirkung bei der Vergabe</t>
        </is>
      </c>
      <c r="C395" s="9" t="inlineStr">
        <is>
          <t>Unbekannt</t>
        </is>
      </c>
      <c r="D395" s="10" t="inlineStr">
        <is>
          <t>⚠ Manual erforderlich</t>
        </is>
      </c>
      <c r="E395" s="11" t="inlineStr"/>
      <c r="F395" s="11" t="n">
        <v>0</v>
      </c>
      <c r="G395" s="11">
        <f>E395-F395</f>
        <v/>
      </c>
      <c r="H395" s="11" t="n">
        <v/>
      </c>
      <c r="I395" s="11" t="n">
        <v/>
      </c>
      <c r="J395" s="11" t="n">
        <v/>
      </c>
      <c r="K395" s="4" t="inlineStr">
        <is>
          <t>Abrechnungsart wählen; Stundensätze eingeben</t>
        </is>
      </c>
    </row>
    <row r="396">
      <c r="A396" s="4" t="inlineStr">
        <is>
          <t>2727 Bahnhof-Fellbach-BSK-2013</t>
        </is>
      </c>
      <c r="B396" s="4" t="inlineStr">
        <is>
          <t>● 8000-Objektüberwachung</t>
        </is>
      </c>
      <c r="C396" s="9" t="inlineStr">
        <is>
          <t>Unbekannt</t>
        </is>
      </c>
      <c r="D396" s="10" t="inlineStr">
        <is>
          <t>⚠ Manual erforderlich</t>
        </is>
      </c>
      <c r="E396" s="11" t="inlineStr"/>
      <c r="F396" s="11" t="n">
        <v>0</v>
      </c>
      <c r="G396" s="11">
        <f>E396-F396</f>
        <v/>
      </c>
      <c r="H396" s="11" t="n">
        <v/>
      </c>
      <c r="I396" s="11" t="n">
        <v/>
      </c>
      <c r="J396" s="11" t="n">
        <v/>
      </c>
      <c r="K396" s="4" t="inlineStr">
        <is>
          <t>Abrechnungsart wählen; Stundensätze eingeben</t>
        </is>
      </c>
    </row>
    <row r="397">
      <c r="A397" s="4" t="inlineStr">
        <is>
          <t>2727 Bahnhof-Fellbach-BSK-2013</t>
        </is>
      </c>
      <c r="B397" s="4" t="inlineStr">
        <is>
          <t>● 9000-Objektbetreuung und Dokumentation</t>
        </is>
      </c>
      <c r="C397" s="9" t="inlineStr">
        <is>
          <t>Unbekannt</t>
        </is>
      </c>
      <c r="D397" s="10" t="inlineStr">
        <is>
          <t>⚠ Manual erforderlich</t>
        </is>
      </c>
      <c r="E397" s="11" t="inlineStr"/>
      <c r="F397" s="11" t="n">
        <v>0</v>
      </c>
      <c r="G397" s="11">
        <f>E397-F397</f>
        <v/>
      </c>
      <c r="H397" s="11" t="n">
        <v/>
      </c>
      <c r="I397" s="11" t="n">
        <v/>
      </c>
      <c r="J397" s="11" t="n">
        <v/>
      </c>
      <c r="K397" s="4" t="inlineStr">
        <is>
          <t>Abrechnungsart wählen; Stundensätze eingeben</t>
        </is>
      </c>
    </row>
    <row r="398">
      <c r="A398" s="4" t="inlineStr">
        <is>
          <t>2813.03 BAB-Bahnhof-Schwäbisch-Hall-Hessental</t>
        </is>
      </c>
      <c r="B398" s="4" t="inlineStr">
        <is>
          <t>● (p) Pos.1 Abnahmebegehung und Konformität Brandschutz</t>
        </is>
      </c>
      <c r="C398" s="4" t="inlineStr">
        <is>
          <t>Pauschale</t>
        </is>
      </c>
      <c r="D398" s="10" t="inlineStr">
        <is>
          <t>⚠ Manual erforderlich</t>
        </is>
      </c>
      <c r="E398" s="11" t="inlineStr"/>
      <c r="F398" s="11" t="n">
        <v>0</v>
      </c>
      <c r="G398" s="11">
        <f>E398-F398</f>
        <v/>
      </c>
      <c r="H398" s="11" t="n">
        <v>0</v>
      </c>
      <c r="I398" s="11" t="n">
        <v>0</v>
      </c>
      <c r="J398" s="11" t="n">
        <v>0</v>
      </c>
      <c r="K398" s="4" t="inlineStr">
        <is>
          <t>Stundensätze eingeben</t>
        </is>
      </c>
    </row>
    <row r="399">
      <c r="A399" s="4" t="inlineStr">
        <is>
          <t>2815.04 MPI-Rechtsgeschichte-Erweiterung-Institut-Frankfurt</t>
        </is>
      </c>
      <c r="B399" s="4" t="inlineStr">
        <is>
          <t>● LP 1 Nachtrag  (a.N.)</t>
        </is>
      </c>
      <c r="C399" s="4" t="inlineStr">
        <is>
          <t>Nachweis</t>
        </is>
      </c>
      <c r="D399" s="10" t="inlineStr">
        <is>
          <t>⚠ Manual erforderlich</t>
        </is>
      </c>
      <c r="E399" s="11" t="inlineStr"/>
      <c r="F399" s="11" t="n">
        <v>0</v>
      </c>
      <c r="G399" s="11">
        <f>E399-F399</f>
        <v/>
      </c>
      <c r="H399" s="11" t="n">
        <v/>
      </c>
      <c r="I399" s="11" t="n">
        <v/>
      </c>
      <c r="J399" s="11" t="n">
        <v/>
      </c>
      <c r="K399" s="4" t="inlineStr">
        <is>
          <t>Stundensätze eingeben</t>
        </is>
      </c>
    </row>
    <row r="400">
      <c r="A400" s="4" t="inlineStr">
        <is>
          <t>2815.04 MPI-Rechtsgeschichte-Erweiterung-Institut-Frankfurt</t>
        </is>
      </c>
      <c r="B400" s="4" t="inlineStr">
        <is>
          <t>● LP2 GL (pauschal)</t>
        </is>
      </c>
      <c r="C400" s="9" t="inlineStr">
        <is>
          <t>Unbekannt</t>
        </is>
      </c>
      <c r="D400" s="10" t="inlineStr">
        <is>
          <t>⚠ Manual erforderlich</t>
        </is>
      </c>
      <c r="E400" s="11" t="inlineStr"/>
      <c r="F400" s="11" t="n">
        <v>0</v>
      </c>
      <c r="G400" s="11">
        <f>E400-F400</f>
        <v/>
      </c>
      <c r="H400" s="11" t="n">
        <v/>
      </c>
      <c r="I400" s="11" t="n">
        <v/>
      </c>
      <c r="J400" s="11" t="n">
        <v/>
      </c>
      <c r="K400" s="4" t="inlineStr">
        <is>
          <t>Abrechnungsart wählen; Stundensätze eingeben</t>
        </is>
      </c>
    </row>
    <row r="401">
      <c r="A401" s="4" t="inlineStr">
        <is>
          <t>2815.04 MPI-Rechtsgeschichte-Erweiterung-Institut-Frankfurt</t>
        </is>
      </c>
      <c r="B401" s="4" t="inlineStr">
        <is>
          <t>● LP3 GL (pauschal)</t>
        </is>
      </c>
      <c r="C401" s="9" t="inlineStr">
        <is>
          <t>Unbekannt</t>
        </is>
      </c>
      <c r="D401" s="10" t="inlineStr">
        <is>
          <t>⚠ Manual erforderlich</t>
        </is>
      </c>
      <c r="E401" s="11" t="inlineStr"/>
      <c r="F401" s="11" t="n">
        <v>0</v>
      </c>
      <c r="G401" s="11">
        <f>E401-F401</f>
        <v/>
      </c>
      <c r="H401" s="11" t="n">
        <v/>
      </c>
      <c r="I401" s="11" t="n">
        <v/>
      </c>
      <c r="J401" s="11" t="n">
        <v/>
      </c>
      <c r="K401" s="4" t="inlineStr">
        <is>
          <t>Abrechnungsart wählen; Stundensätze eingeben</t>
        </is>
      </c>
    </row>
    <row r="402">
      <c r="A402" s="4" t="inlineStr">
        <is>
          <t>2815.04 MPI-Rechtsgeschichte-Erweiterung-Institut-Frankfurt</t>
        </is>
      </c>
      <c r="B402" s="4" t="inlineStr">
        <is>
          <t>● LP4 GL (pauschal)</t>
        </is>
      </c>
      <c r="C402" s="9" t="inlineStr">
        <is>
          <t>Unbekannt</t>
        </is>
      </c>
      <c r="D402" s="10" t="inlineStr">
        <is>
          <t>⚠ Manual erforderlich</t>
        </is>
      </c>
      <c r="E402" s="11" t="inlineStr"/>
      <c r="F402" s="11" t="n">
        <v>0</v>
      </c>
      <c r="G402" s="11">
        <f>E402-F402</f>
        <v/>
      </c>
      <c r="H402" s="11" t="n">
        <v/>
      </c>
      <c r="I402" s="11" t="n">
        <v/>
      </c>
      <c r="J402" s="11" t="n">
        <v/>
      </c>
      <c r="K402" s="4" t="inlineStr">
        <is>
          <t>Abrechnungsart wählen; Stundensätze eingeben</t>
        </is>
      </c>
    </row>
    <row r="403">
      <c r="A403" s="4" t="inlineStr">
        <is>
          <t>2815.04 MPI-Rechtsgeschichte-Erweiterung-Institut-Frankfurt</t>
        </is>
      </c>
      <c r="B403" s="4" t="inlineStr">
        <is>
          <t>● NAT (a.N.)</t>
        </is>
      </c>
      <c r="C403" s="4" t="inlineStr">
        <is>
          <t>Nachweis</t>
        </is>
      </c>
      <c r="D403" s="10" t="inlineStr">
        <is>
          <t>⚠ Manual erforderlich</t>
        </is>
      </c>
      <c r="E403" s="11" t="inlineStr"/>
      <c r="F403" s="11" t="n">
        <v>0</v>
      </c>
      <c r="G403" s="11">
        <f>E403-F403</f>
        <v/>
      </c>
      <c r="H403" s="11" t="n">
        <v/>
      </c>
      <c r="I403" s="11" t="n">
        <v/>
      </c>
      <c r="J403" s="11" t="n">
        <v/>
      </c>
      <c r="K403" s="4" t="inlineStr">
        <is>
          <t>Stundensätze eingeben</t>
        </is>
      </c>
    </row>
    <row r="404">
      <c r="A404" s="4" t="inlineStr">
        <is>
          <t>2835.01 BSK-SWM-U-Bahnhof-Theresienstraße</t>
        </is>
      </c>
      <c r="B404" s="4" t="inlineStr">
        <is>
          <t>● 0000-Aquise</t>
        </is>
      </c>
      <c r="C404" s="9" t="inlineStr">
        <is>
          <t>Unbekannt</t>
        </is>
      </c>
      <c r="D404" s="10" t="inlineStr">
        <is>
          <t>⚠ Manual erforderlich</t>
        </is>
      </c>
      <c r="E404" s="11" t="inlineStr"/>
      <c r="F404" s="11" t="n">
        <v>0</v>
      </c>
      <c r="G404" s="11">
        <f>E404-F404</f>
        <v/>
      </c>
      <c r="H404" s="11" t="n">
        <v/>
      </c>
      <c r="I404" s="11" t="n">
        <v/>
      </c>
      <c r="J404" s="11" t="n">
        <v/>
      </c>
      <c r="K404" s="4" t="inlineStr">
        <is>
          <t>Abrechnungsart wählen; Stundensätze eingeben</t>
        </is>
      </c>
    </row>
    <row r="405">
      <c r="A405" s="4" t="inlineStr">
        <is>
          <t>2835.01 BSK-SWM-U-Bahnhof-Theresienstraße</t>
        </is>
      </c>
      <c r="B405" s="4" t="inlineStr">
        <is>
          <t>● 1000-Grundlagenermittlung</t>
        </is>
      </c>
      <c r="C405" s="9" t="inlineStr">
        <is>
          <t>Unbekannt</t>
        </is>
      </c>
      <c r="D405" s="10" t="inlineStr">
        <is>
          <t>⚠ Manual erforderlich</t>
        </is>
      </c>
      <c r="E405" s="11" t="inlineStr"/>
      <c r="F405" s="11" t="n">
        <v>0</v>
      </c>
      <c r="G405" s="11">
        <f>E405-F405</f>
        <v/>
      </c>
      <c r="H405" s="11" t="n">
        <v/>
      </c>
      <c r="I405" s="11" t="n">
        <v/>
      </c>
      <c r="J405" s="11" t="n">
        <v/>
      </c>
      <c r="K405" s="4" t="inlineStr">
        <is>
          <t>Abrechnungsart wählen; Stundensätze eingeben</t>
        </is>
      </c>
    </row>
    <row r="406">
      <c r="A406" s="4" t="inlineStr">
        <is>
          <t>2835.01 BSK-SWM-U-Bahnhof-Theresienstraße</t>
        </is>
      </c>
      <c r="B406" s="4" t="inlineStr">
        <is>
          <t>● 2000-Vorplanung</t>
        </is>
      </c>
      <c r="C406" s="9" t="inlineStr">
        <is>
          <t>Unbekannt</t>
        </is>
      </c>
      <c r="D406" s="10" t="inlineStr">
        <is>
          <t>⚠ Manual erforderlich</t>
        </is>
      </c>
      <c r="E406" s="11" t="inlineStr"/>
      <c r="F406" s="11" t="n">
        <v>0</v>
      </c>
      <c r="G406" s="11">
        <f>E406-F406</f>
        <v/>
      </c>
      <c r="H406" s="11" t="n">
        <v/>
      </c>
      <c r="I406" s="11" t="n">
        <v/>
      </c>
      <c r="J406" s="11" t="n">
        <v/>
      </c>
      <c r="K406" s="4" t="inlineStr">
        <is>
          <t>Abrechnungsart wählen; Stundensätze eingeben</t>
        </is>
      </c>
    </row>
    <row r="407">
      <c r="A407" s="4" t="inlineStr">
        <is>
          <t>2835.01 BSK-SWM-U-Bahnhof-Theresienstraße</t>
        </is>
      </c>
      <c r="B407" s="4" t="inlineStr">
        <is>
          <t>● 3000-Entwurfsplanung</t>
        </is>
      </c>
      <c r="C407" s="9" t="inlineStr">
        <is>
          <t>Unbekannt</t>
        </is>
      </c>
      <c r="D407" s="10" t="inlineStr">
        <is>
          <t>⚠ Manual erforderlich</t>
        </is>
      </c>
      <c r="E407" s="11" t="inlineStr"/>
      <c r="F407" s="11" t="n">
        <v>0</v>
      </c>
      <c r="G407" s="11">
        <f>E407-F407</f>
        <v/>
      </c>
      <c r="H407" s="11" t="n">
        <v/>
      </c>
      <c r="I407" s="11" t="n">
        <v/>
      </c>
      <c r="J407" s="11" t="n">
        <v/>
      </c>
      <c r="K407" s="4" t="inlineStr">
        <is>
          <t>Abrechnungsart wählen; Stundensätze eingeben</t>
        </is>
      </c>
    </row>
    <row r="408">
      <c r="A408" s="4" t="inlineStr">
        <is>
          <t>2835.01 BSK-SWM-U-Bahnhof-Theresienstraße</t>
        </is>
      </c>
      <c r="B408" s="4" t="inlineStr">
        <is>
          <t>● 4000-Genehmigungsplanung</t>
        </is>
      </c>
      <c r="C408" s="9" t="inlineStr">
        <is>
          <t>Unbekannt</t>
        </is>
      </c>
      <c r="D408" s="10" t="inlineStr">
        <is>
          <t>⚠ Manual erforderlich</t>
        </is>
      </c>
      <c r="E408" s="11" t="inlineStr"/>
      <c r="F408" s="11" t="n">
        <v>0</v>
      </c>
      <c r="G408" s="11">
        <f>E408-F408</f>
        <v/>
      </c>
      <c r="H408" s="11" t="n">
        <v/>
      </c>
      <c r="I408" s="11" t="n">
        <v/>
      </c>
      <c r="J408" s="11" t="n">
        <v/>
      </c>
      <c r="K408" s="4" t="inlineStr">
        <is>
          <t>Abrechnungsart wählen; Stundensätze eingeben</t>
        </is>
      </c>
    </row>
    <row r="409">
      <c r="A409" s="4" t="inlineStr">
        <is>
          <t>2835.01 BSK-SWM-U-Bahnhof-Theresienstraße</t>
        </is>
      </c>
      <c r="B409" s="4" t="inlineStr">
        <is>
          <t>● 5000-Ausführungsplanung</t>
        </is>
      </c>
      <c r="C409" s="9" t="inlineStr">
        <is>
          <t>Unbekannt</t>
        </is>
      </c>
      <c r="D409" s="10" t="inlineStr">
        <is>
          <t>⚠ Manual erforderlich</t>
        </is>
      </c>
      <c r="E409" s="11" t="inlineStr"/>
      <c r="F409" s="11" t="n">
        <v>0</v>
      </c>
      <c r="G409" s="11">
        <f>E409-F409</f>
        <v/>
      </c>
      <c r="H409" s="11" t="n">
        <v/>
      </c>
      <c r="I409" s="11" t="n">
        <v/>
      </c>
      <c r="J409" s="11" t="n">
        <v/>
      </c>
      <c r="K409" s="4" t="inlineStr">
        <is>
          <t>Abrechnungsart wählen; Stundensätze eingeben</t>
        </is>
      </c>
    </row>
    <row r="410">
      <c r="A410" s="4" t="inlineStr">
        <is>
          <t>2835.01 BSK-SWM-U-Bahnhof-Theresienstraße</t>
        </is>
      </c>
      <c r="B410" s="4" t="inlineStr">
        <is>
          <t>● 8000-Objektüberwachung</t>
        </is>
      </c>
      <c r="C410" s="9" t="inlineStr">
        <is>
          <t>Unbekannt</t>
        </is>
      </c>
      <c r="D410" s="10" t="inlineStr">
        <is>
          <t>⚠ Manual erforderlich</t>
        </is>
      </c>
      <c r="E410" s="11" t="inlineStr"/>
      <c r="F410" s="11" t="n">
        <v>0</v>
      </c>
      <c r="G410" s="11">
        <f>E410-F410</f>
        <v/>
      </c>
      <c r="H410" s="11" t="n">
        <v/>
      </c>
      <c r="I410" s="11" t="n">
        <v/>
      </c>
      <c r="J410" s="11" t="n">
        <v/>
      </c>
      <c r="K410" s="4" t="inlineStr">
        <is>
          <t>Abrechnungsart wählen; Stundensätze eingeben</t>
        </is>
      </c>
    </row>
    <row r="411">
      <c r="A411" s="4" t="inlineStr">
        <is>
          <t>2835.01 BSK-SWM-U-Bahnhof-Theresienstraße</t>
        </is>
      </c>
      <c r="B411" s="4" t="inlineStr">
        <is>
          <t>● 9000-Objektbetreuung und Dokumentation</t>
        </is>
      </c>
      <c r="C411" s="9" t="inlineStr">
        <is>
          <t>Unbekannt</t>
        </is>
      </c>
      <c r="D411" s="10" t="inlineStr">
        <is>
          <t>⚠ Manual erforderlich</t>
        </is>
      </c>
      <c r="E411" s="11" t="inlineStr"/>
      <c r="F411" s="11" t="n">
        <v>0</v>
      </c>
      <c r="G411" s="11">
        <f>E411-F411</f>
        <v/>
      </c>
      <c r="H411" s="11" t="n">
        <v/>
      </c>
      <c r="I411" s="11" t="n">
        <v/>
      </c>
      <c r="J411" s="11" t="n">
        <v/>
      </c>
      <c r="K411" s="4" t="inlineStr">
        <is>
          <t>Abrechnungsart wählen; Stundensätze eingeben</t>
        </is>
      </c>
    </row>
    <row r="412">
      <c r="A412" s="4" t="inlineStr">
        <is>
          <t>2845.02 BST-Sprinkleranlage-Berliner-Platz-6-10-Kronberg</t>
        </is>
      </c>
      <c r="B412" s="4" t="inlineStr">
        <is>
          <t>● (p) Pos.1 BST für Sprinkleranlage</t>
        </is>
      </c>
      <c r="C412" s="4" t="inlineStr">
        <is>
          <t>Pauschale</t>
        </is>
      </c>
      <c r="D412" s="10" t="inlineStr">
        <is>
          <t>⚠ Manual erforderlich</t>
        </is>
      </c>
      <c r="E412" s="11" t="inlineStr"/>
      <c r="F412" s="11" t="n">
        <v>0</v>
      </c>
      <c r="G412" s="11">
        <f>E412-F412</f>
        <v/>
      </c>
      <c r="H412" s="11" t="n">
        <v>0</v>
      </c>
      <c r="I412" s="11" t="n">
        <v>0</v>
      </c>
      <c r="J412" s="11" t="n">
        <v>0</v>
      </c>
      <c r="K412" s="4" t="inlineStr">
        <is>
          <t>Stundensätze eingeben</t>
        </is>
      </c>
    </row>
    <row r="413">
      <c r="A413" s="4" t="inlineStr">
        <is>
          <t>2896.02 Fortschr2-BSK-Bahnhof-Frankfurt-Süd-barrierefreier-Ausbau</t>
        </is>
      </c>
      <c r="B413" s="4" t="inlineStr">
        <is>
          <t>● 1000-Grundlagenermittlung</t>
        </is>
      </c>
      <c r="C413" s="9" t="inlineStr">
        <is>
          <t>Unbekannt</t>
        </is>
      </c>
      <c r="D413" s="10" t="inlineStr">
        <is>
          <t>⚠ Manual erforderlich</t>
        </is>
      </c>
      <c r="E413" s="11" t="inlineStr"/>
      <c r="F413" s="11" t="n">
        <v>0</v>
      </c>
      <c r="G413" s="11">
        <f>E413-F413</f>
        <v/>
      </c>
      <c r="H413" s="11" t="n">
        <v/>
      </c>
      <c r="I413" s="11" t="n">
        <v/>
      </c>
      <c r="J413" s="11" t="n">
        <v/>
      </c>
      <c r="K413" s="4" t="inlineStr">
        <is>
          <t>Abrechnungsart wählen; Stundensätze eingeben</t>
        </is>
      </c>
    </row>
    <row r="414">
      <c r="A414" s="4" t="inlineStr">
        <is>
          <t>2896.02 Fortschr2-BSK-Bahnhof-Frankfurt-Süd-barrierefreier-Ausbau</t>
        </is>
      </c>
      <c r="B414" s="4" t="inlineStr">
        <is>
          <t>● 3000-Entwurfsplanung</t>
        </is>
      </c>
      <c r="C414" s="9" t="inlineStr">
        <is>
          <t>Unbekannt</t>
        </is>
      </c>
      <c r="D414" s="10" t="inlineStr">
        <is>
          <t>⚠ Manual erforderlich</t>
        </is>
      </c>
      <c r="E414" s="11" t="inlineStr"/>
      <c r="F414" s="11" t="n">
        <v>0</v>
      </c>
      <c r="G414" s="11">
        <f>E414-F414</f>
        <v/>
      </c>
      <c r="H414" s="11" t="n">
        <v/>
      </c>
      <c r="I414" s="11" t="n">
        <v/>
      </c>
      <c r="J414" s="11" t="n">
        <v/>
      </c>
      <c r="K414" s="4" t="inlineStr">
        <is>
          <t>Abrechnungsart wählen; Stundensätze eingeben</t>
        </is>
      </c>
    </row>
    <row r="415">
      <c r="A415" s="4" t="inlineStr">
        <is>
          <t>2896.02 Fortschr2-BSK-Bahnhof-Frankfurt-Süd-barrierefreier-Ausbau</t>
        </is>
      </c>
      <c r="B415" s="4" t="inlineStr">
        <is>
          <t>● 4000-Genehmigungsplanung</t>
        </is>
      </c>
      <c r="C415" s="9" t="inlineStr">
        <is>
          <t>Unbekannt</t>
        </is>
      </c>
      <c r="D415" s="10" t="inlineStr">
        <is>
          <t>⚠ Manual erforderlich</t>
        </is>
      </c>
      <c r="E415" s="11" t="inlineStr"/>
      <c r="F415" s="11" t="n">
        <v>0</v>
      </c>
      <c r="G415" s="11">
        <f>E415-F415</f>
        <v/>
      </c>
      <c r="H415" s="11" t="n">
        <v/>
      </c>
      <c r="I415" s="11" t="n">
        <v/>
      </c>
      <c r="J415" s="11" t="n">
        <v/>
      </c>
      <c r="K415" s="4" t="inlineStr">
        <is>
          <t>Abrechnungsart wählen; Stundensätze eingeben</t>
        </is>
      </c>
    </row>
    <row r="416">
      <c r="A416" s="4" t="inlineStr">
        <is>
          <t>2896.02 Fortschr2-BSK-Bahnhof-Frankfurt-Süd-barrierefreier-Ausbau</t>
        </is>
      </c>
      <c r="B416" s="4" t="inlineStr">
        <is>
          <t>● 5000-Ausführungsplanung</t>
        </is>
      </c>
      <c r="C416" s="9" t="inlineStr">
        <is>
          <t>Unbekannt</t>
        </is>
      </c>
      <c r="D416" s="10" t="inlineStr">
        <is>
          <t>⚠ Manual erforderlich</t>
        </is>
      </c>
      <c r="E416" s="11" t="inlineStr"/>
      <c r="F416" s="11" t="n">
        <v>0</v>
      </c>
      <c r="G416" s="11">
        <f>E416-F416</f>
        <v/>
      </c>
      <c r="H416" s="11" t="n">
        <v/>
      </c>
      <c r="I416" s="11" t="n">
        <v/>
      </c>
      <c r="J416" s="11" t="n">
        <v/>
      </c>
      <c r="K416" s="4" t="inlineStr">
        <is>
          <t>Abrechnungsart wählen; Stundensätze eingeben</t>
        </is>
      </c>
    </row>
    <row r="417">
      <c r="A417" s="4" t="inlineStr">
        <is>
          <t>2896.02 Fortschr2-BSK-Bahnhof-Frankfurt-Süd-barrierefreier-Ausbau</t>
        </is>
      </c>
      <c r="B417" s="4" t="inlineStr">
        <is>
          <t>● 9000-Objektbetreuung und Dokumentation</t>
        </is>
      </c>
      <c r="C417" s="9" t="inlineStr">
        <is>
          <t>Unbekannt</t>
        </is>
      </c>
      <c r="D417" s="10" t="inlineStr">
        <is>
          <t>⚠ Manual erforderlich</t>
        </is>
      </c>
      <c r="E417" s="11" t="inlineStr"/>
      <c r="F417" s="11" t="n">
        <v>0</v>
      </c>
      <c r="G417" s="11">
        <f>E417-F417</f>
        <v/>
      </c>
      <c r="H417" s="11" t="n">
        <v/>
      </c>
      <c r="I417" s="11" t="n">
        <v/>
      </c>
      <c r="J417" s="11" t="n">
        <v/>
      </c>
      <c r="K417" s="4" t="inlineStr">
        <is>
          <t>Abrechnungsart wählen; Stundensätze eingeben</t>
        </is>
      </c>
    </row>
    <row r="418">
      <c r="A418" s="4" t="inlineStr">
        <is>
          <t>2896.02 Fortschr2-BSK-Bahnhof-Frankfurt-Süd-barrierefreier-Ausbau</t>
        </is>
      </c>
      <c r="B418" s="4" t="inlineStr">
        <is>
          <t>● Bestandsaufnahme (pauschal)</t>
        </is>
      </c>
      <c r="C418" s="9" t="inlineStr">
        <is>
          <t>Unbekannt</t>
        </is>
      </c>
      <c r="D418" s="10" t="inlineStr">
        <is>
          <t>⚠ Manual erforderlich</t>
        </is>
      </c>
      <c r="E418" s="11" t="inlineStr"/>
      <c r="F418" s="11" t="n">
        <v>0</v>
      </c>
      <c r="G418" s="11">
        <f>E418-F418</f>
        <v/>
      </c>
      <c r="H418" s="11" t="n">
        <v/>
      </c>
      <c r="I418" s="11" t="n">
        <v/>
      </c>
      <c r="J418" s="11" t="n">
        <v/>
      </c>
      <c r="K418" s="4" t="inlineStr">
        <is>
          <t>Abrechnungsart wählen; Stundensätze eingeben</t>
        </is>
      </c>
    </row>
    <row r="419">
      <c r="A419" s="4" t="inlineStr">
        <is>
          <t>2896.02 Fortschr2-BSK-Bahnhof-Frankfurt-Süd-barrierefreier-Ausbau</t>
        </is>
      </c>
      <c r="B419" s="4" t="inlineStr">
        <is>
          <t>● Objektüberwachung (auf Nachweis)</t>
        </is>
      </c>
      <c r="C419" s="9" t="inlineStr">
        <is>
          <t>Unbekannt</t>
        </is>
      </c>
      <c r="D419" s="10" t="inlineStr">
        <is>
          <t>⚠ Manual erforderlich</t>
        </is>
      </c>
      <c r="E419" s="11" t="inlineStr"/>
      <c r="F419" s="11" t="n">
        <v>0</v>
      </c>
      <c r="G419" s="11">
        <f>E419-F419</f>
        <v/>
      </c>
      <c r="H419" s="11" t="n">
        <v/>
      </c>
      <c r="I419" s="11" t="n">
        <v/>
      </c>
      <c r="J419" s="11" t="n">
        <v/>
      </c>
      <c r="K419" s="4" t="inlineStr">
        <is>
          <t>Abrechnungsart wählen; Stundensätze eingeben</t>
        </is>
      </c>
    </row>
    <row r="420">
      <c r="A420" s="4" t="inlineStr">
        <is>
          <t>2896.02 Fortschr2-BSK-Bahnhof-Frankfurt-Süd-barrierefreier-Ausbau</t>
        </is>
      </c>
      <c r="B420" s="4" t="inlineStr">
        <is>
          <t>● Besprechungs-/Abstimmungstermine (auf Nachweis)</t>
        </is>
      </c>
      <c r="C420" s="9" t="inlineStr">
        <is>
          <t>Unbekannt</t>
        </is>
      </c>
      <c r="D420" s="10" t="inlineStr">
        <is>
          <t>⚠ Manual erforderlich</t>
        </is>
      </c>
      <c r="E420" s="11" t="inlineStr"/>
      <c r="F420" s="11" t="n">
        <v>0</v>
      </c>
      <c r="G420" s="11">
        <f>E420-F420</f>
        <v/>
      </c>
      <c r="H420" s="11" t="n">
        <v/>
      </c>
      <c r="I420" s="11" t="n">
        <v/>
      </c>
      <c r="J420" s="11" t="n">
        <v/>
      </c>
      <c r="K420" s="4" t="inlineStr">
        <is>
          <t>Abrechnungsart wählen; Stundensätze eingeben</t>
        </is>
      </c>
    </row>
    <row r="421">
      <c r="A421" s="4" t="inlineStr">
        <is>
          <t>2896.02 Fortschr2-BSK-Bahnhof-Frankfurt-Süd-barrierefreier-Ausbau</t>
        </is>
      </c>
      <c r="B421" s="4" t="inlineStr">
        <is>
          <t>● 2. Planlauf Grundriss A-Ebene (auf Nachweis)</t>
        </is>
      </c>
      <c r="C421" s="9" t="inlineStr">
        <is>
          <t>Unbekannt</t>
        </is>
      </c>
      <c r="D421" s="10" t="inlineStr">
        <is>
          <t>⚠ Manual erforderlich</t>
        </is>
      </c>
      <c r="E421" s="11" t="inlineStr"/>
      <c r="F421" s="11" t="n">
        <v>0</v>
      </c>
      <c r="G421" s="11">
        <f>E421-F421</f>
        <v/>
      </c>
      <c r="H421" s="11" t="n">
        <v/>
      </c>
      <c r="I421" s="11" t="n">
        <v/>
      </c>
      <c r="J421" s="11" t="n">
        <v/>
      </c>
      <c r="K421" s="4" t="inlineStr">
        <is>
          <t>Abrechnungsart wählen; Stundensätze eingeben</t>
        </is>
      </c>
    </row>
    <row r="422">
      <c r="A422" s="4" t="inlineStr">
        <is>
          <t>2896.02 Fortschr2-BSK-Bahnhof-Frankfurt-Süd-barrierefreier-Ausbau</t>
        </is>
      </c>
      <c r="B422" s="4" t="inlineStr">
        <is>
          <t>● Erstellen Räumungskonzept (pauschal)</t>
        </is>
      </c>
      <c r="C422" s="9" t="inlineStr">
        <is>
          <t>Unbekannt</t>
        </is>
      </c>
      <c r="D422" s="10" t="inlineStr">
        <is>
          <t>⚠ Manual erforderlich</t>
        </is>
      </c>
      <c r="E422" s="11" t="inlineStr"/>
      <c r="F422" s="11" t="n">
        <v>0</v>
      </c>
      <c r="G422" s="11">
        <f>E422-F422</f>
        <v/>
      </c>
      <c r="H422" s="11" t="n">
        <v/>
      </c>
      <c r="I422" s="11" t="n">
        <v/>
      </c>
      <c r="J422" s="11" t="n">
        <v/>
      </c>
      <c r="K422" s="4" t="inlineStr">
        <is>
          <t>Abrechnungsart wählen; Stundensätze eingeben</t>
        </is>
      </c>
    </row>
    <row r="423">
      <c r="A423" s="4" t="inlineStr">
        <is>
          <t>2896.03 BSK-Baustelle-Bahnhof-Frankfurt-Süd-barrierefreier-Ausbau</t>
        </is>
      </c>
      <c r="B423" s="4" t="inlineStr">
        <is>
          <t>● 1000-Grundlagenermittlung</t>
        </is>
      </c>
      <c r="C423" s="9" t="inlineStr">
        <is>
          <t>Unbekannt</t>
        </is>
      </c>
      <c r="D423" s="10" t="inlineStr">
        <is>
          <t>⚠ Manual erforderlich</t>
        </is>
      </c>
      <c r="E423" s="11" t="inlineStr"/>
      <c r="F423" s="11" t="n">
        <v>0</v>
      </c>
      <c r="G423" s="11">
        <f>E423-F423</f>
        <v/>
      </c>
      <c r="H423" s="11" t="n">
        <v/>
      </c>
      <c r="I423" s="11" t="n">
        <v/>
      </c>
      <c r="J423" s="11" t="n">
        <v/>
      </c>
      <c r="K423" s="4" t="inlineStr">
        <is>
          <t>Abrechnungsart wählen; Stundensätze eingeben</t>
        </is>
      </c>
    </row>
    <row r="424">
      <c r="A424" s="4" t="inlineStr">
        <is>
          <t>2896.03 BSK-Baustelle-Bahnhof-Frankfurt-Süd-barrierefreier-Ausbau</t>
        </is>
      </c>
      <c r="B424" s="4" t="inlineStr">
        <is>
          <t>● 3000-Entwurfsplanung</t>
        </is>
      </c>
      <c r="C424" s="9" t="inlineStr">
        <is>
          <t>Unbekannt</t>
        </is>
      </c>
      <c r="D424" s="10" t="inlineStr">
        <is>
          <t>⚠ Manual erforderlich</t>
        </is>
      </c>
      <c r="E424" s="11" t="inlineStr"/>
      <c r="F424" s="11" t="n">
        <v>0</v>
      </c>
      <c r="G424" s="11">
        <f>E424-F424</f>
        <v/>
      </c>
      <c r="H424" s="11" t="n">
        <v/>
      </c>
      <c r="I424" s="11" t="n">
        <v/>
      </c>
      <c r="J424" s="11" t="n">
        <v/>
      </c>
      <c r="K424" s="4" t="inlineStr">
        <is>
          <t>Abrechnungsart wählen; Stundensätze eingeben</t>
        </is>
      </c>
    </row>
    <row r="425">
      <c r="A425" s="4" t="inlineStr">
        <is>
          <t>2896.03 BSK-Baustelle-Bahnhof-Frankfurt-Süd-barrierefreier-Ausbau</t>
        </is>
      </c>
      <c r="B425" s="4" t="inlineStr">
        <is>
          <t>● 4000-Genehmigungsplanung</t>
        </is>
      </c>
      <c r="C425" s="9" t="inlineStr">
        <is>
          <t>Unbekannt</t>
        </is>
      </c>
      <c r="D425" s="10" t="inlineStr">
        <is>
          <t>⚠ Manual erforderlich</t>
        </is>
      </c>
      <c r="E425" s="11" t="inlineStr"/>
      <c r="F425" s="11" t="n">
        <v>0</v>
      </c>
      <c r="G425" s="11">
        <f>E425-F425</f>
        <v/>
      </c>
      <c r="H425" s="11" t="n">
        <v/>
      </c>
      <c r="I425" s="11" t="n">
        <v/>
      </c>
      <c r="J425" s="11" t="n">
        <v/>
      </c>
      <c r="K425" s="4" t="inlineStr">
        <is>
          <t>Abrechnungsart wählen; Stundensätze eingeben</t>
        </is>
      </c>
    </row>
    <row r="426">
      <c r="A426" s="4" t="inlineStr">
        <is>
          <t>2896.07 NAT-BSK-Bahnhof-Frankfurt-Süd-Umzug-Elektroanlagen-50Hz</t>
        </is>
      </c>
      <c r="B426" s="4" t="inlineStr">
        <is>
          <t>● (p) Pos.1 Fortschr. BSK für 50HZ Proj. am Bahnhof Süd</t>
        </is>
      </c>
      <c r="C426" s="4" t="inlineStr">
        <is>
          <t>Pauschale</t>
        </is>
      </c>
      <c r="D426" s="10" t="inlineStr">
        <is>
          <t>⚠ Manual erforderlich</t>
        </is>
      </c>
      <c r="E426" s="11" t="inlineStr"/>
      <c r="F426" s="11" t="n">
        <v>0</v>
      </c>
      <c r="G426" s="11">
        <f>E426-F426</f>
        <v/>
      </c>
      <c r="H426" s="11" t="n">
        <v>0</v>
      </c>
      <c r="I426" s="11" t="n">
        <v>0</v>
      </c>
      <c r="J426" s="11" t="n">
        <v>0</v>
      </c>
      <c r="K426" s="4" t="inlineStr">
        <is>
          <t>Stundensätze eingeben</t>
        </is>
      </c>
    </row>
    <row r="427">
      <c r="A427" s="4" t="inlineStr">
        <is>
          <t>2896.07 NAT-BSK-Bahnhof-Frankfurt-Süd-Umzug-Elektroanlagen-50Hz</t>
        </is>
      </c>
      <c r="B427" s="4" t="inlineStr">
        <is>
          <t>● (aN) Pos.2 BTB in Planungsphase</t>
        </is>
      </c>
      <c r="C427" s="4" t="inlineStr">
        <is>
          <t>Nachweis</t>
        </is>
      </c>
      <c r="D427" s="10" t="inlineStr">
        <is>
          <t>⚠ Manual erforderlich</t>
        </is>
      </c>
      <c r="E427" s="11" t="inlineStr"/>
      <c r="F427" s="11" t="n">
        <v>0</v>
      </c>
      <c r="G427" s="11">
        <f>E427-F427</f>
        <v/>
      </c>
      <c r="H427" s="11" t="n">
        <v/>
      </c>
      <c r="I427" s="11" t="n">
        <v/>
      </c>
      <c r="J427" s="11" t="n">
        <v/>
      </c>
      <c r="K427" s="4" t="inlineStr">
        <is>
          <t>Stundensätze eingeben</t>
        </is>
      </c>
    </row>
    <row r="428">
      <c r="A428" s="4" t="inlineStr">
        <is>
          <t>2933.03 BSK-Ganzzugbehandlungsanlage-Höchst</t>
        </is>
      </c>
      <c r="B428" s="4" t="inlineStr">
        <is>
          <t>● (p) Aktualisierung BSK</t>
        </is>
      </c>
      <c r="C428" s="4" t="inlineStr">
        <is>
          <t>Pauschale</t>
        </is>
      </c>
      <c r="D428" s="10" t="inlineStr">
        <is>
          <t>⚠ Manual erforderlich</t>
        </is>
      </c>
      <c r="E428" s="11" t="inlineStr"/>
      <c r="F428" s="11" t="n">
        <v>0</v>
      </c>
      <c r="G428" s="11">
        <f>E428-F428</f>
        <v/>
      </c>
      <c r="H428" s="11" t="n">
        <v>0</v>
      </c>
      <c r="I428" s="11" t="n">
        <v>0</v>
      </c>
      <c r="J428" s="11" t="n">
        <v>0</v>
      </c>
      <c r="K428" s="4" t="inlineStr">
        <is>
          <t>Stundensätze eingeben</t>
        </is>
      </c>
    </row>
    <row r="429">
      <c r="A429" s="4" t="inlineStr">
        <is>
          <t>2933.03 BSK-Ganzzugbehandlungsanlage-Höchst</t>
        </is>
      </c>
      <c r="B429" s="4" t="inlineStr">
        <is>
          <t>● (a.N.) BTB und Abgleich Maßnahmeliste</t>
        </is>
      </c>
      <c r="C429" s="4" t="inlineStr">
        <is>
          <t>Nachweis</t>
        </is>
      </c>
      <c r="D429" s="10" t="inlineStr">
        <is>
          <t>⚠ Manual erforderlich</t>
        </is>
      </c>
      <c r="E429" s="11" t="inlineStr"/>
      <c r="F429" s="11" t="n">
        <v>0</v>
      </c>
      <c r="G429" s="11">
        <f>E429-F429</f>
        <v/>
      </c>
      <c r="H429" s="11" t="n">
        <v/>
      </c>
      <c r="I429" s="11" t="n">
        <v/>
      </c>
      <c r="J429" s="11" t="n">
        <v/>
      </c>
      <c r="K429" s="4" t="inlineStr">
        <is>
          <t>Stundensätze eingeben</t>
        </is>
      </c>
    </row>
    <row r="430">
      <c r="A430" s="4" t="inlineStr">
        <is>
          <t>2942.04 BAB-Forsthausstraße-11-Ruesselsheim-Grundschule-Koenigstaedten-Umnutzung</t>
        </is>
      </c>
      <c r="B430" s="4" t="inlineStr">
        <is>
          <t>● Baubegleitung (auf Nachweis)</t>
        </is>
      </c>
      <c r="C430" s="9" t="inlineStr">
        <is>
          <t>Unbekannt</t>
        </is>
      </c>
      <c r="D430" s="10" t="inlineStr">
        <is>
          <t>⚠ Manual erforderlich</t>
        </is>
      </c>
      <c r="E430" s="11" t="inlineStr"/>
      <c r="F430" s="11" t="n">
        <v>0</v>
      </c>
      <c r="G430" s="11">
        <f>E430-F430</f>
        <v/>
      </c>
      <c r="H430" s="11" t="n">
        <v/>
      </c>
      <c r="I430" s="11" t="n">
        <v/>
      </c>
      <c r="J430" s="11" t="n">
        <v/>
      </c>
      <c r="K430" s="4" t="inlineStr">
        <is>
          <t>Abrechnungsart wählen; Stundensätze eingeben</t>
        </is>
      </c>
    </row>
    <row r="431">
      <c r="A431" s="4" t="inlineStr">
        <is>
          <t>2945 Michaelisstraße-16-18-Darmstadt-Baufeld-3-Baubegleitung</t>
        </is>
      </c>
      <c r="B431" s="4" t="inlineStr">
        <is>
          <t>● 0001-Sonstiges</t>
        </is>
      </c>
      <c r="C431" s="9" t="inlineStr">
        <is>
          <t>Unbekannt</t>
        </is>
      </c>
      <c r="D431" s="10" t="inlineStr">
        <is>
          <t>⚠ Manual erforderlich</t>
        </is>
      </c>
      <c r="E431" s="11" t="inlineStr"/>
      <c r="F431" s="11" t="n">
        <v>0</v>
      </c>
      <c r="G431" s="11">
        <f>E431-F431</f>
        <v/>
      </c>
      <c r="H431" s="11" t="n">
        <v/>
      </c>
      <c r="I431" s="11" t="n">
        <v/>
      </c>
      <c r="J431" s="11" t="n">
        <v/>
      </c>
      <c r="K431" s="4" t="inlineStr">
        <is>
          <t>Abrechnungsart wählen; Stundensätze eingeben</t>
        </is>
      </c>
    </row>
    <row r="432">
      <c r="A432" s="4" t="inlineStr">
        <is>
          <t>2945 Michaelisstraße-16-18-Darmstadt-Baufeld-3-Baubegleitung</t>
        </is>
      </c>
      <c r="B432" s="4" t="inlineStr">
        <is>
          <t>● 1000-Grundlagenermittlung</t>
        </is>
      </c>
      <c r="C432" s="9" t="inlineStr">
        <is>
          <t>Unbekannt</t>
        </is>
      </c>
      <c r="D432" s="10" t="inlineStr">
        <is>
          <t>⚠ Manual erforderlich</t>
        </is>
      </c>
      <c r="E432" s="11" t="inlineStr"/>
      <c r="F432" s="11" t="n">
        <v>0</v>
      </c>
      <c r="G432" s="11">
        <f>E432-F432</f>
        <v/>
      </c>
      <c r="H432" s="11" t="n">
        <v/>
      </c>
      <c r="I432" s="11" t="n">
        <v/>
      </c>
      <c r="J432" s="11" t="n">
        <v/>
      </c>
      <c r="K432" s="4" t="inlineStr">
        <is>
          <t>Abrechnungsart wählen; Stundensätze eingeben</t>
        </is>
      </c>
    </row>
    <row r="433">
      <c r="A433" s="4" t="inlineStr">
        <is>
          <t>2945 Michaelisstraße-16-18-Darmstadt-Baufeld-3-Baubegleitung</t>
        </is>
      </c>
      <c r="B433" s="4" t="inlineStr">
        <is>
          <t>● 2000-Vorplanung</t>
        </is>
      </c>
      <c r="C433" s="9" t="inlineStr">
        <is>
          <t>Unbekannt</t>
        </is>
      </c>
      <c r="D433" s="10" t="inlineStr">
        <is>
          <t>⚠ Manual erforderlich</t>
        </is>
      </c>
      <c r="E433" s="11" t="inlineStr"/>
      <c r="F433" s="11" t="n">
        <v>0</v>
      </c>
      <c r="G433" s="11">
        <f>E433-F433</f>
        <v/>
      </c>
      <c r="H433" s="11" t="n">
        <v/>
      </c>
      <c r="I433" s="11" t="n">
        <v/>
      </c>
      <c r="J433" s="11" t="n">
        <v/>
      </c>
      <c r="K433" s="4" t="inlineStr">
        <is>
          <t>Abrechnungsart wählen; Stundensätze eingeben</t>
        </is>
      </c>
    </row>
    <row r="434">
      <c r="A434" s="4" t="inlineStr">
        <is>
          <t>2945 Michaelisstraße-16-18-Darmstadt-Baufeld-3-Baubegleitung</t>
        </is>
      </c>
      <c r="B434" s="4" t="inlineStr">
        <is>
          <t>● 3000-Entwurfsplanung</t>
        </is>
      </c>
      <c r="C434" s="9" t="inlineStr">
        <is>
          <t>Unbekannt</t>
        </is>
      </c>
      <c r="D434" s="10" t="inlineStr">
        <is>
          <t>⚠ Manual erforderlich</t>
        </is>
      </c>
      <c r="E434" s="11" t="inlineStr"/>
      <c r="F434" s="11" t="n">
        <v>0</v>
      </c>
      <c r="G434" s="11">
        <f>E434-F434</f>
        <v/>
      </c>
      <c r="H434" s="11" t="n">
        <v/>
      </c>
      <c r="I434" s="11" t="n">
        <v/>
      </c>
      <c r="J434" s="11" t="n">
        <v/>
      </c>
      <c r="K434" s="4" t="inlineStr">
        <is>
          <t>Abrechnungsart wählen; Stundensätze eingeben</t>
        </is>
      </c>
    </row>
    <row r="435">
      <c r="A435" s="4" t="inlineStr">
        <is>
          <t>2945 Michaelisstraße-16-18-Darmstadt-Baufeld-3-Baubegleitung</t>
        </is>
      </c>
      <c r="B435" s="4" t="inlineStr">
        <is>
          <t>● 4000-Genehmigungsplanung</t>
        </is>
      </c>
      <c r="C435" s="9" t="inlineStr">
        <is>
          <t>Unbekannt</t>
        </is>
      </c>
      <c r="D435" s="10" t="inlineStr">
        <is>
          <t>⚠ Manual erforderlich</t>
        </is>
      </c>
      <c r="E435" s="11" t="inlineStr"/>
      <c r="F435" s="11" t="n">
        <v>0</v>
      </c>
      <c r="G435" s="11">
        <f>E435-F435</f>
        <v/>
      </c>
      <c r="H435" s="11" t="n">
        <v/>
      </c>
      <c r="I435" s="11" t="n">
        <v/>
      </c>
      <c r="J435" s="11" t="n">
        <v/>
      </c>
      <c r="K435" s="4" t="inlineStr">
        <is>
          <t>Abrechnungsart wählen; Stundensätze eingeben</t>
        </is>
      </c>
    </row>
    <row r="436">
      <c r="A436" s="4" t="inlineStr">
        <is>
          <t>2945 Michaelisstraße-16-18-Darmstadt-Baufeld-3-Baubegleitung</t>
        </is>
      </c>
      <c r="B436" s="4" t="inlineStr">
        <is>
          <t>● 5000-Ausführungsplanung</t>
        </is>
      </c>
      <c r="C436" s="9" t="inlineStr">
        <is>
          <t>Unbekannt</t>
        </is>
      </c>
      <c r="D436" s="10" t="inlineStr">
        <is>
          <t>⚠ Manual erforderlich</t>
        </is>
      </c>
      <c r="E436" s="11" t="inlineStr"/>
      <c r="F436" s="11" t="n">
        <v>0</v>
      </c>
      <c r="G436" s="11">
        <f>E436-F436</f>
        <v/>
      </c>
      <c r="H436" s="11" t="n">
        <v/>
      </c>
      <c r="I436" s="11" t="n">
        <v/>
      </c>
      <c r="J436" s="11" t="n">
        <v/>
      </c>
      <c r="K436" s="4" t="inlineStr">
        <is>
          <t>Abrechnungsart wählen; Stundensätze eingeben</t>
        </is>
      </c>
    </row>
    <row r="437">
      <c r="A437" s="4" t="inlineStr">
        <is>
          <t>2945 Michaelisstraße-16-18-Darmstadt-Baufeld-3-Baubegleitung</t>
        </is>
      </c>
      <c r="B437" s="4" t="inlineStr">
        <is>
          <t>● 6000-Vorbereiten der Vergabe</t>
        </is>
      </c>
      <c r="C437" s="9" t="inlineStr">
        <is>
          <t>Unbekannt</t>
        </is>
      </c>
      <c r="D437" s="10" t="inlineStr">
        <is>
          <t>⚠ Manual erforderlich</t>
        </is>
      </c>
      <c r="E437" s="11" t="inlineStr"/>
      <c r="F437" s="11" t="n">
        <v>0</v>
      </c>
      <c r="G437" s="11">
        <f>E437-F437</f>
        <v/>
      </c>
      <c r="H437" s="11" t="n">
        <v/>
      </c>
      <c r="I437" s="11" t="n">
        <v/>
      </c>
      <c r="J437" s="11" t="n">
        <v/>
      </c>
      <c r="K437" s="4" t="inlineStr">
        <is>
          <t>Abrechnungsart wählen; Stundensätze eingeben</t>
        </is>
      </c>
    </row>
    <row r="438">
      <c r="A438" s="4" t="inlineStr">
        <is>
          <t>2945 Michaelisstraße-16-18-Darmstadt-Baufeld-3-Baubegleitung</t>
        </is>
      </c>
      <c r="B438" s="4" t="inlineStr">
        <is>
          <t>● 7000-Mitwirkung bei der Vergabe</t>
        </is>
      </c>
      <c r="C438" s="9" t="inlineStr">
        <is>
          <t>Unbekannt</t>
        </is>
      </c>
      <c r="D438" s="10" t="inlineStr">
        <is>
          <t>⚠ Manual erforderlich</t>
        </is>
      </c>
      <c r="E438" s="11" t="inlineStr"/>
      <c r="F438" s="11" t="n">
        <v>0</v>
      </c>
      <c r="G438" s="11">
        <f>E438-F438</f>
        <v/>
      </c>
      <c r="H438" s="11" t="n">
        <v/>
      </c>
      <c r="I438" s="11" t="n">
        <v/>
      </c>
      <c r="J438" s="11" t="n">
        <v/>
      </c>
      <c r="K438" s="4" t="inlineStr">
        <is>
          <t>Abrechnungsart wählen; Stundensätze eingeben</t>
        </is>
      </c>
    </row>
    <row r="439">
      <c r="A439" s="4" t="inlineStr">
        <is>
          <t>2945 Michaelisstraße-16-18-Darmstadt-Baufeld-3-Baubegleitung</t>
        </is>
      </c>
      <c r="B439" s="4" t="inlineStr">
        <is>
          <t>● 8000-Objektüberwachung</t>
        </is>
      </c>
      <c r="C439" s="9" t="inlineStr">
        <is>
          <t>Unbekannt</t>
        </is>
      </c>
      <c r="D439" s="10" t="inlineStr">
        <is>
          <t>⚠ Manual erforderlich</t>
        </is>
      </c>
      <c r="E439" s="11" t="inlineStr"/>
      <c r="F439" s="11" t="n">
        <v>0</v>
      </c>
      <c r="G439" s="11">
        <f>E439-F439</f>
        <v/>
      </c>
      <c r="H439" s="11" t="n">
        <v/>
      </c>
      <c r="I439" s="11" t="n">
        <v/>
      </c>
      <c r="J439" s="11" t="n">
        <v/>
      </c>
      <c r="K439" s="4" t="inlineStr">
        <is>
          <t>Abrechnungsart wählen; Stundensätze eingeben</t>
        </is>
      </c>
    </row>
    <row r="440">
      <c r="A440" s="4" t="inlineStr">
        <is>
          <t>2945 Michaelisstraße-16-18-Darmstadt-Baufeld-3-Baubegleitung</t>
        </is>
      </c>
      <c r="B440" s="4" t="inlineStr">
        <is>
          <t>● 9000-Objektbetreuung und Dokumentation</t>
        </is>
      </c>
      <c r="C440" s="9" t="inlineStr">
        <is>
          <t>Unbekannt</t>
        </is>
      </c>
      <c r="D440" s="10" t="inlineStr">
        <is>
          <t>⚠ Manual erforderlich</t>
        </is>
      </c>
      <c r="E440" s="11" t="inlineStr"/>
      <c r="F440" s="11" t="n">
        <v>0</v>
      </c>
      <c r="G440" s="11">
        <f>E440-F440</f>
        <v/>
      </c>
      <c r="H440" s="11" t="n">
        <v/>
      </c>
      <c r="I440" s="11" t="n">
        <v/>
      </c>
      <c r="J440" s="11" t="n">
        <v/>
      </c>
      <c r="K440" s="4" t="inlineStr">
        <is>
          <t>Abrechnungsart wählen; Stundensätze eingeben</t>
        </is>
      </c>
    </row>
    <row r="441">
      <c r="A441" s="4" t="inlineStr">
        <is>
          <t>2949.21 BSB-2023-Kisseleffstraße-35-Bad-Homburg</t>
        </is>
      </c>
      <c r="B441" s="4" t="inlineStr">
        <is>
          <t>● 9000-Objektbetreuung und Dokumentation</t>
        </is>
      </c>
      <c r="C441" s="9" t="inlineStr">
        <is>
          <t>Unbekannt</t>
        </is>
      </c>
      <c r="D441" s="10" t="inlineStr">
        <is>
          <t>⚠ Manual erforderlich</t>
        </is>
      </c>
      <c r="E441" s="11" t="inlineStr"/>
      <c r="F441" s="11" t="n">
        <v>0</v>
      </c>
      <c r="G441" s="11">
        <f>E441-F441</f>
        <v/>
      </c>
      <c r="H441" s="11" t="n">
        <v/>
      </c>
      <c r="I441" s="11" t="n">
        <v/>
      </c>
      <c r="J441" s="11" t="n">
        <v/>
      </c>
      <c r="K441" s="4" t="inlineStr">
        <is>
          <t>Abrechnungsart wählen; Stundensätze eingeben</t>
        </is>
      </c>
    </row>
    <row r="442">
      <c r="A442" s="4" t="inlineStr">
        <is>
          <t>2949.24 BSB-2025-Kisseleffstraße-35-Bad-Homburg</t>
        </is>
      </c>
      <c r="B442" s="4" t="inlineStr">
        <is>
          <t>● (a.N.) Brandschutzbeauftragter 2025</t>
        </is>
      </c>
      <c r="C442" s="4" t="inlineStr">
        <is>
          <t>Nachweis</t>
        </is>
      </c>
      <c r="D442" s="10" t="inlineStr">
        <is>
          <t>⚠ Manual erforderlich</t>
        </is>
      </c>
      <c r="E442" s="11" t="inlineStr"/>
      <c r="F442" s="11" t="n">
        <v>0</v>
      </c>
      <c r="G442" s="11">
        <f>E442-F442</f>
        <v/>
      </c>
      <c r="H442" s="11" t="n">
        <v/>
      </c>
      <c r="I442" s="11" t="n">
        <v/>
      </c>
      <c r="J442" s="11" t="n">
        <v/>
      </c>
      <c r="K442" s="4" t="inlineStr">
        <is>
          <t>Stundensätze eingeben</t>
        </is>
      </c>
    </row>
    <row r="443">
      <c r="A443" s="4" t="inlineStr">
        <is>
          <t>2950.03 BSK-Wicker-Klinik-Bad-Homburg</t>
        </is>
      </c>
      <c r="B443" s="4" t="inlineStr">
        <is>
          <t>● 1000-Grundlagenermittlung</t>
        </is>
      </c>
      <c r="C443" s="9" t="inlineStr">
        <is>
          <t>Unbekannt</t>
        </is>
      </c>
      <c r="D443" s="10" t="inlineStr">
        <is>
          <t>⚠ Manual erforderlich</t>
        </is>
      </c>
      <c r="E443" s="11" t="inlineStr"/>
      <c r="F443" s="11" t="n">
        <v>0</v>
      </c>
      <c r="G443" s="11">
        <f>E443-F443</f>
        <v/>
      </c>
      <c r="H443" s="11" t="n">
        <v/>
      </c>
      <c r="I443" s="11" t="n">
        <v/>
      </c>
      <c r="J443" s="11" t="n">
        <v/>
      </c>
      <c r="K443" s="4" t="inlineStr">
        <is>
          <t>Abrechnungsart wählen; Stundensätze eingeben</t>
        </is>
      </c>
    </row>
    <row r="444">
      <c r="A444" s="4" t="inlineStr">
        <is>
          <t>2950.03 BSK-Wicker-Klinik-Bad-Homburg</t>
        </is>
      </c>
      <c r="B444" s="4" t="inlineStr">
        <is>
          <t>● 2000-Vorplanung</t>
        </is>
      </c>
      <c r="C444" s="9" t="inlineStr">
        <is>
          <t>Unbekannt</t>
        </is>
      </c>
      <c r="D444" s="10" t="inlineStr">
        <is>
          <t>⚠ Manual erforderlich</t>
        </is>
      </c>
      <c r="E444" s="11" t="inlineStr"/>
      <c r="F444" s="11" t="n">
        <v>0</v>
      </c>
      <c r="G444" s="11">
        <f>E444-F444</f>
        <v/>
      </c>
      <c r="H444" s="11" t="n">
        <v/>
      </c>
      <c r="I444" s="11" t="n">
        <v/>
      </c>
      <c r="J444" s="11" t="n">
        <v/>
      </c>
      <c r="K444" s="4" t="inlineStr">
        <is>
          <t>Abrechnungsart wählen; Stundensätze eingeben</t>
        </is>
      </c>
    </row>
    <row r="445">
      <c r="A445" s="4" t="inlineStr">
        <is>
          <t>2950.03 BSK-Wicker-Klinik-Bad-Homburg</t>
        </is>
      </c>
      <c r="B445" s="4" t="inlineStr">
        <is>
          <t>● 3000-Entwurfsplanung</t>
        </is>
      </c>
      <c r="C445" s="9" t="inlineStr">
        <is>
          <t>Unbekannt</t>
        </is>
      </c>
      <c r="D445" s="10" t="inlineStr">
        <is>
          <t>⚠ Manual erforderlich</t>
        </is>
      </c>
      <c r="E445" s="11" t="inlineStr"/>
      <c r="F445" s="11" t="n">
        <v>0</v>
      </c>
      <c r="G445" s="11">
        <f>E445-F445</f>
        <v/>
      </c>
      <c r="H445" s="11" t="n">
        <v/>
      </c>
      <c r="I445" s="11" t="n">
        <v/>
      </c>
      <c r="J445" s="11" t="n">
        <v/>
      </c>
      <c r="K445" s="4" t="inlineStr">
        <is>
          <t>Abrechnungsart wählen; Stundensätze eingeben</t>
        </is>
      </c>
    </row>
    <row r="446">
      <c r="A446" s="4" t="inlineStr">
        <is>
          <t>2950.03 BSK-Wicker-Klinik-Bad-Homburg</t>
        </is>
      </c>
      <c r="B446" s="4" t="inlineStr">
        <is>
          <t>● 4000-Genehmigungsplanung</t>
        </is>
      </c>
      <c r="C446" s="9" t="inlineStr">
        <is>
          <t>Unbekannt</t>
        </is>
      </c>
      <c r="D446" s="10" t="inlineStr">
        <is>
          <t>⚠ Manual erforderlich</t>
        </is>
      </c>
      <c r="E446" s="11" t="inlineStr"/>
      <c r="F446" s="11" t="n">
        <v>0</v>
      </c>
      <c r="G446" s="11">
        <f>E446-F446</f>
        <v/>
      </c>
      <c r="H446" s="11" t="n">
        <v/>
      </c>
      <c r="I446" s="11" t="n">
        <v/>
      </c>
      <c r="J446" s="11" t="n">
        <v/>
      </c>
      <c r="K446" s="4" t="inlineStr">
        <is>
          <t>Abrechnungsart wählen; Stundensätze eingeben</t>
        </is>
      </c>
    </row>
    <row r="447">
      <c r="A447" s="4" t="inlineStr">
        <is>
          <t>2950.03 BSK-Wicker-Klinik-Bad-Homburg</t>
        </is>
      </c>
      <c r="B447" s="4" t="inlineStr">
        <is>
          <t>● Konformität Umbau Pelzladen in Physiotherapie</t>
        </is>
      </c>
      <c r="C447" s="9" t="inlineStr">
        <is>
          <t>Unbekannt</t>
        </is>
      </c>
      <c r="D447" s="10" t="inlineStr">
        <is>
          <t>⚠ Manual erforderlich</t>
        </is>
      </c>
      <c r="E447" s="11" t="inlineStr"/>
      <c r="F447" s="11" t="n">
        <v>0</v>
      </c>
      <c r="G447" s="11">
        <f>E447-F447</f>
        <v/>
      </c>
      <c r="H447" s="11" t="n">
        <v/>
      </c>
      <c r="I447" s="11" t="n">
        <v/>
      </c>
      <c r="J447" s="11" t="n">
        <v/>
      </c>
      <c r="K447" s="4" t="inlineStr">
        <is>
          <t>Abrechnungsart wählen; Stundensätze eingeben</t>
        </is>
      </c>
    </row>
    <row r="448">
      <c r="A448" s="4" t="inlineStr">
        <is>
          <t>2953.06 BTB-Collegium-Wüstemser-Straße-1-Glashuetten</t>
        </is>
      </c>
      <c r="B448" s="4" t="inlineStr">
        <is>
          <t>● (a.N.) Pos.1 BTB Thematik Sanierungsmaßnahmen am Dach</t>
        </is>
      </c>
      <c r="C448" s="4" t="inlineStr">
        <is>
          <t>Nachweis</t>
        </is>
      </c>
      <c r="D448" s="10" t="inlineStr">
        <is>
          <t>⚠ Manual erforderlich</t>
        </is>
      </c>
      <c r="E448" s="11" t="inlineStr"/>
      <c r="F448" s="11" t="n">
        <v>0</v>
      </c>
      <c r="G448" s="11">
        <f>E448-F448</f>
        <v/>
      </c>
      <c r="H448" s="11" t="n">
        <v/>
      </c>
      <c r="I448" s="11" t="n">
        <v/>
      </c>
      <c r="J448" s="11" t="n">
        <v/>
      </c>
      <c r="K448" s="4" t="inlineStr">
        <is>
          <t>Stundensätze eingeben</t>
        </is>
      </c>
    </row>
    <row r="449">
      <c r="A449" s="4" t="inlineStr">
        <is>
          <t>2953.06 BTB-Collegium-Wüstemser-Straße-1-Glashuetten</t>
        </is>
      </c>
      <c r="B449" s="4" t="inlineStr">
        <is>
          <t>● (a.N.) Pos.1 NAT001 BTB zu Phasen Dachsanierung</t>
        </is>
      </c>
      <c r="C449" s="4" t="inlineStr">
        <is>
          <t>Nachweis</t>
        </is>
      </c>
      <c r="D449" s="10" t="inlineStr">
        <is>
          <t>⚠ Manual erforderlich</t>
        </is>
      </c>
      <c r="E449" s="11" t="inlineStr"/>
      <c r="F449" s="11" t="n">
        <v>0</v>
      </c>
      <c r="G449" s="11">
        <f>E449-F449</f>
        <v/>
      </c>
      <c r="H449" s="11" t="n">
        <v/>
      </c>
      <c r="I449" s="11" t="n">
        <v/>
      </c>
      <c r="J449" s="11" t="n">
        <v/>
      </c>
      <c r="K449" s="4" t="inlineStr">
        <is>
          <t>Stundensätze eingeben</t>
        </is>
      </c>
    </row>
    <row r="450">
      <c r="A450" s="4" t="inlineStr">
        <is>
          <t>2953.07 BTB-Collegium-Wüstemser-Straße-1-Glashütten-Küchensanierung</t>
        </is>
      </c>
      <c r="B450" s="4" t="inlineStr">
        <is>
          <t>● (aN) Pos.1 BTB Sanierung Küche + Nebenräume - Kostengr. 7104</t>
        </is>
      </c>
      <c r="C450" s="4" t="inlineStr">
        <is>
          <t>Nachweis</t>
        </is>
      </c>
      <c r="D450" s="10" t="inlineStr">
        <is>
          <t>⚠ Manual erforderlich</t>
        </is>
      </c>
      <c r="E450" s="11" t="inlineStr"/>
      <c r="F450" s="11" t="n">
        <v>0</v>
      </c>
      <c r="G450" s="11">
        <f>E450-F450</f>
        <v/>
      </c>
      <c r="H450" s="11" t="n">
        <v/>
      </c>
      <c r="I450" s="11" t="n">
        <v/>
      </c>
      <c r="J450" s="11" t="n">
        <v/>
      </c>
      <c r="K450" s="4" t="inlineStr">
        <is>
          <t>Stundensätze eingeben</t>
        </is>
      </c>
    </row>
    <row r="451">
      <c r="A451" s="4" t="inlineStr">
        <is>
          <t>2953.07 BTB-Collegium-Wüstemser-Straße-1-Glashütten-Küchensanierung</t>
        </is>
      </c>
      <c r="B451" s="4" t="inlineStr">
        <is>
          <t>● (aN) Pos.2 Fortschr. BSK - Kostengr. 7104</t>
        </is>
      </c>
      <c r="C451" s="4" t="inlineStr">
        <is>
          <t>Nachweis</t>
        </is>
      </c>
      <c r="D451" s="10" t="inlineStr">
        <is>
          <t>⚠ Manual erforderlich</t>
        </is>
      </c>
      <c r="E451" s="11" t="inlineStr"/>
      <c r="F451" s="11" t="n">
        <v>0</v>
      </c>
      <c r="G451" s="11">
        <f>E451-F451</f>
        <v/>
      </c>
      <c r="H451" s="11" t="n">
        <v/>
      </c>
      <c r="I451" s="11" t="n">
        <v/>
      </c>
      <c r="J451" s="11" t="n">
        <v/>
      </c>
      <c r="K451" s="4" t="inlineStr">
        <is>
          <t>Stundensätze eingeben</t>
        </is>
      </c>
    </row>
    <row r="452">
      <c r="A452" s="4" t="inlineStr">
        <is>
          <t>2953.07 BTB-Collegium-Wüstemser-Straße-1-Glashütten-Küchensanierung</t>
        </is>
      </c>
      <c r="B452" s="4" t="inlineStr">
        <is>
          <t>● (aN) Pos.3 BAB + Qualitätstüberwachung - Kostengr. 7104</t>
        </is>
      </c>
      <c r="C452" s="4" t="inlineStr">
        <is>
          <t>Nachweis</t>
        </is>
      </c>
      <c r="D452" s="10" t="inlineStr">
        <is>
          <t>⚠ Manual erforderlich</t>
        </is>
      </c>
      <c r="E452" s="11" t="inlineStr"/>
      <c r="F452" s="11" t="n">
        <v>0</v>
      </c>
      <c r="G452" s="11">
        <f>E452-F452</f>
        <v/>
      </c>
      <c r="H452" s="11" t="n">
        <v/>
      </c>
      <c r="I452" s="11" t="n">
        <v/>
      </c>
      <c r="J452" s="11" t="n">
        <v/>
      </c>
      <c r="K452" s="4" t="inlineStr">
        <is>
          <t>Stundensätze eingeben</t>
        </is>
      </c>
    </row>
    <row r="453">
      <c r="A453" s="4" t="inlineStr">
        <is>
          <t>2953.07 BTB-Collegium-Wüstemser-Straße-1-Glashütten-Küchensanierung</t>
        </is>
      </c>
      <c r="B453" s="4" t="inlineStr">
        <is>
          <t>● (p) Pos.4 FWP inkl. Objektbegehung - Kostengr. 7104</t>
        </is>
      </c>
      <c r="C453" s="4" t="inlineStr">
        <is>
          <t>Pauschale</t>
        </is>
      </c>
      <c r="D453" s="10" t="inlineStr">
        <is>
          <t>⚠ Manual erforderlich</t>
        </is>
      </c>
      <c r="E453" s="11" t="inlineStr"/>
      <c r="F453" s="11" t="n">
        <v>0</v>
      </c>
      <c r="G453" s="11">
        <f>E453-F453</f>
        <v/>
      </c>
      <c r="H453" s="11" t="n">
        <v>0</v>
      </c>
      <c r="I453" s="11" t="n">
        <v>0</v>
      </c>
      <c r="J453" s="11" t="n">
        <v>0</v>
      </c>
      <c r="K453" s="4" t="inlineStr">
        <is>
          <t>Stundensätze eingeben</t>
        </is>
      </c>
    </row>
    <row r="454">
      <c r="A454" s="4" t="inlineStr">
        <is>
          <t>2953.07 BTB-Collegium-Wüstemser-Straße-1-Glashütten-Küchensanierung</t>
        </is>
      </c>
      <c r="B454" s="4" t="inlineStr">
        <is>
          <t>● (p) Pos.5 FRP - Kostengr. 7104</t>
        </is>
      </c>
      <c r="C454" s="4" t="inlineStr">
        <is>
          <t>Pauschale</t>
        </is>
      </c>
      <c r="D454" s="10" t="inlineStr">
        <is>
          <t>⚠ Manual erforderlich</t>
        </is>
      </c>
      <c r="E454" s="11" t="inlineStr"/>
      <c r="F454" s="11" t="n">
        <v>0</v>
      </c>
      <c r="G454" s="11">
        <f>E454-F454</f>
        <v/>
      </c>
      <c r="H454" s="11" t="n">
        <v>0</v>
      </c>
      <c r="I454" s="11" t="n">
        <v>0</v>
      </c>
      <c r="J454" s="11" t="n">
        <v>0</v>
      </c>
      <c r="K454" s="4" t="inlineStr">
        <is>
          <t>Stundensätze eingeben</t>
        </is>
      </c>
    </row>
    <row r="455">
      <c r="A455" s="4" t="inlineStr">
        <is>
          <t>2953.08 BSK-Collegium-Wüstemser-Straße-1-Glashütten-Dachsanierungsanierung</t>
        </is>
      </c>
      <c r="B455" s="4" t="inlineStr">
        <is>
          <t>● (p) Pos.1 Fortschr. BSK Dachsanierung</t>
        </is>
      </c>
      <c r="C455" s="4" t="inlineStr">
        <is>
          <t>Pauschale</t>
        </is>
      </c>
      <c r="D455" s="10" t="inlineStr">
        <is>
          <t>⚠ Manual erforderlich</t>
        </is>
      </c>
      <c r="E455" s="11" t="inlineStr"/>
      <c r="F455" s="11" t="n">
        <v>0</v>
      </c>
      <c r="G455" s="11">
        <f>E455-F455</f>
        <v/>
      </c>
      <c r="H455" s="11" t="n">
        <v>0</v>
      </c>
      <c r="I455" s="11" t="n">
        <v>0</v>
      </c>
      <c r="J455" s="11" t="n">
        <v>0</v>
      </c>
      <c r="K455" s="4" t="inlineStr">
        <is>
          <t>Stundensätze eingeben</t>
        </is>
      </c>
    </row>
    <row r="456">
      <c r="A456" s="4" t="inlineStr">
        <is>
          <t>2999.02 BSK-Kaiserstraße-13-15-Butzbach</t>
        </is>
      </c>
      <c r="B456" s="4" t="inlineStr">
        <is>
          <t>● (a.N.) Pos.1 - Erstellung/Fortschr. Brandschutzkonzept</t>
        </is>
      </c>
      <c r="C456" s="4" t="inlineStr">
        <is>
          <t>Nachweis</t>
        </is>
      </c>
      <c r="D456" s="10" t="inlineStr">
        <is>
          <t>⚠ Manual erforderlich</t>
        </is>
      </c>
      <c r="E456" s="11" t="inlineStr"/>
      <c r="F456" s="11" t="n">
        <v>0</v>
      </c>
      <c r="G456" s="11">
        <f>E456-F456</f>
        <v/>
      </c>
      <c r="H456" s="11" t="n">
        <v/>
      </c>
      <c r="I456" s="11" t="n">
        <v/>
      </c>
      <c r="J456" s="11" t="n">
        <v/>
      </c>
      <c r="K456" s="4" t="inlineStr">
        <is>
          <t>Stundensätze eingeben</t>
        </is>
      </c>
    </row>
    <row r="457">
      <c r="A457" s="4" t="inlineStr">
        <is>
          <t>2999.02 BSK-Kaiserstraße-13-15-Butzbach</t>
        </is>
      </c>
      <c r="B457" s="4" t="inlineStr">
        <is>
          <t>● (a.N.) Pos.2 - Baubegl. Branschutzberatung u. Qualitätsüberwachung</t>
        </is>
      </c>
      <c r="C457" s="4" t="inlineStr">
        <is>
          <t>Nachweis</t>
        </is>
      </c>
      <c r="D457" s="10" t="inlineStr">
        <is>
          <t>⚠ Manual erforderlich</t>
        </is>
      </c>
      <c r="E457" s="11" t="inlineStr"/>
      <c r="F457" s="11" t="n">
        <v>0</v>
      </c>
      <c r="G457" s="11">
        <f>E457-F457</f>
        <v/>
      </c>
      <c r="H457" s="11" t="n">
        <v/>
      </c>
      <c r="I457" s="11" t="n">
        <v/>
      </c>
      <c r="J457" s="11" t="n">
        <v/>
      </c>
      <c r="K457" s="4" t="inlineStr">
        <is>
          <t>Stundensätze eingeben</t>
        </is>
      </c>
    </row>
    <row r="458">
      <c r="A458" s="4" t="inlineStr">
        <is>
          <t>3002.07 Videoprojekt-Bahnhof-Hbf-Wiesbaden</t>
        </is>
      </c>
      <c r="B458" s="4" t="inlineStr">
        <is>
          <t>● BST (pauschal)</t>
        </is>
      </c>
      <c r="C458" s="9" t="inlineStr">
        <is>
          <t>Unbekannt</t>
        </is>
      </c>
      <c r="D458" s="10" t="inlineStr">
        <is>
          <t>⚠ Manual erforderlich</t>
        </is>
      </c>
      <c r="E458" s="11" t="inlineStr"/>
      <c r="F458" s="11" t="n">
        <v>0</v>
      </c>
      <c r="G458" s="11">
        <f>E458-F458</f>
        <v/>
      </c>
      <c r="H458" s="11" t="n">
        <v/>
      </c>
      <c r="I458" s="11" t="n">
        <v/>
      </c>
      <c r="J458" s="11" t="n">
        <v/>
      </c>
      <c r="K458" s="4" t="inlineStr">
        <is>
          <t>Abrechnungsart wählen; Stundensätze eingeben</t>
        </is>
      </c>
    </row>
    <row r="459">
      <c r="A459" s="4" t="inlineStr">
        <is>
          <t>3002.07 Videoprojekt-Bahnhof-Hbf-Wiesbaden</t>
        </is>
      </c>
      <c r="B459" s="4" t="inlineStr">
        <is>
          <t>● Abstimmungen (auf Nachweis)</t>
        </is>
      </c>
      <c r="C459" s="9" t="inlineStr">
        <is>
          <t>Unbekannt</t>
        </is>
      </c>
      <c r="D459" s="10" t="inlineStr">
        <is>
          <t>⚠ Manual erforderlich</t>
        </is>
      </c>
      <c r="E459" s="11" t="inlineStr"/>
      <c r="F459" s="11" t="n">
        <v>0</v>
      </c>
      <c r="G459" s="11">
        <f>E459-F459</f>
        <v/>
      </c>
      <c r="H459" s="11" t="n">
        <v/>
      </c>
      <c r="I459" s="11" t="n">
        <v/>
      </c>
      <c r="J459" s="11" t="n">
        <v/>
      </c>
      <c r="K459" s="4" t="inlineStr">
        <is>
          <t>Abrechnungsart wählen; Stundensätze eingeben</t>
        </is>
      </c>
    </row>
    <row r="460">
      <c r="A460" s="4" t="inlineStr">
        <is>
          <t>3002.08 BST-Bahnhof-Hbf-Wiesbaden-DBOS</t>
        </is>
      </c>
      <c r="B460" s="4" t="inlineStr">
        <is>
          <t>● (p.) brandschutztechn. Stellungnahme</t>
        </is>
      </c>
      <c r="C460" s="9" t="inlineStr">
        <is>
          <t>Unbekannt</t>
        </is>
      </c>
      <c r="D460" s="10" t="inlineStr">
        <is>
          <t>⚠ Manual erforderlich</t>
        </is>
      </c>
      <c r="E460" s="11" t="inlineStr"/>
      <c r="F460" s="11" t="n">
        <v>0</v>
      </c>
      <c r="G460" s="11">
        <f>E460-F460</f>
        <v/>
      </c>
      <c r="H460" s="11" t="n">
        <v/>
      </c>
      <c r="I460" s="11" t="n">
        <v/>
      </c>
      <c r="J460" s="11" t="n">
        <v/>
      </c>
      <c r="K460" s="4" t="inlineStr">
        <is>
          <t>Abrechnungsart wählen; Stundensätze eingeben</t>
        </is>
      </c>
    </row>
    <row r="461">
      <c r="A461" s="4" t="inlineStr">
        <is>
          <t>3002.08 BST-Bahnhof-Hbf-Wiesbaden-DBOS</t>
        </is>
      </c>
      <c r="B461" s="4" t="inlineStr">
        <is>
          <t>● (p.) Ortstermine</t>
        </is>
      </c>
      <c r="C461" s="9" t="inlineStr">
        <is>
          <t>Unbekannt</t>
        </is>
      </c>
      <c r="D461" s="10" t="inlineStr">
        <is>
          <t>⚠ Manual erforderlich</t>
        </is>
      </c>
      <c r="E461" s="11" t="inlineStr"/>
      <c r="F461" s="11" t="n">
        <v>0</v>
      </c>
      <c r="G461" s="11">
        <f>E461-F461</f>
        <v/>
      </c>
      <c r="H461" s="11" t="n">
        <v/>
      </c>
      <c r="I461" s="11" t="n">
        <v/>
      </c>
      <c r="J461" s="11" t="n">
        <v/>
      </c>
      <c r="K461" s="4" t="inlineStr">
        <is>
          <t>Abrechnungsart wählen; Stundensätze eingeben</t>
        </is>
      </c>
    </row>
    <row r="462">
      <c r="A462" s="4" t="inlineStr">
        <is>
          <t>3002.08 BST-Bahnhof-Hbf-Wiesbaden-DBOS</t>
        </is>
      </c>
      <c r="B462" s="4" t="inlineStr">
        <is>
          <t>● (a.N.) brandschutztechnische Beratung</t>
        </is>
      </c>
      <c r="C462" s="4" t="inlineStr">
        <is>
          <t>Nachweis</t>
        </is>
      </c>
      <c r="D462" s="10" t="inlineStr">
        <is>
          <t>⚠ Manual erforderlich</t>
        </is>
      </c>
      <c r="E462" s="11" t="inlineStr"/>
      <c r="F462" s="11" t="n">
        <v>0</v>
      </c>
      <c r="G462" s="11">
        <f>E462-F462</f>
        <v/>
      </c>
      <c r="H462" s="11" t="n">
        <v/>
      </c>
      <c r="I462" s="11" t="n">
        <v/>
      </c>
      <c r="J462" s="11" t="n">
        <v/>
      </c>
      <c r="K462" s="4" t="inlineStr">
        <is>
          <t>Stundensätze eingeben</t>
        </is>
      </c>
    </row>
    <row r="463">
      <c r="A463" s="4" t="inlineStr">
        <is>
          <t>3002.08 BST-Bahnhof-Hbf-Wiesbaden-DBOS</t>
        </is>
      </c>
      <c r="B463" s="4" t="inlineStr">
        <is>
          <t>● (a.N.) Prüfung Leistungsverzeichnis</t>
        </is>
      </c>
      <c r="C463" s="4" t="inlineStr">
        <is>
          <t>Nachweis</t>
        </is>
      </c>
      <c r="D463" s="10" t="inlineStr">
        <is>
          <t>⚠ Manual erforderlich</t>
        </is>
      </c>
      <c r="E463" s="11" t="inlineStr"/>
      <c r="F463" s="11" t="n">
        <v>0</v>
      </c>
      <c r="G463" s="11">
        <f>E463-F463</f>
        <v/>
      </c>
      <c r="H463" s="11" t="n">
        <v/>
      </c>
      <c r="I463" s="11" t="n">
        <v/>
      </c>
      <c r="J463" s="11" t="n">
        <v/>
      </c>
      <c r="K463" s="4" t="inlineStr">
        <is>
          <t>Stundensätze eingeben</t>
        </is>
      </c>
    </row>
    <row r="464">
      <c r="A464" s="4" t="inlineStr">
        <is>
          <t>3017.15 BTB-Klinik-Dr-Baumstark-Bad Homburg</t>
        </is>
      </c>
      <c r="B464" s="4" t="inlineStr">
        <is>
          <t>● (a.N.) BTB</t>
        </is>
      </c>
      <c r="C464" s="4" t="inlineStr">
        <is>
          <t>Nachweis</t>
        </is>
      </c>
      <c r="D464" s="10" t="inlineStr">
        <is>
          <t>⚠ Manual erforderlich</t>
        </is>
      </c>
      <c r="E464" s="11" t="inlineStr"/>
      <c r="F464" s="11" t="n">
        <v>0</v>
      </c>
      <c r="G464" s="11">
        <f>E464-F464</f>
        <v/>
      </c>
      <c r="H464" s="11" t="n">
        <v/>
      </c>
      <c r="I464" s="11" t="n">
        <v/>
      </c>
      <c r="J464" s="11" t="n">
        <v/>
      </c>
      <c r="K464" s="4" t="inlineStr">
        <is>
          <t>Stundensätze eingeben</t>
        </is>
      </c>
    </row>
    <row r="465">
      <c r="A465" s="4" t="inlineStr">
        <is>
          <t>3017.16 FWP-Klinik-Dr-Baumstark-Bad Homburg</t>
        </is>
      </c>
      <c r="B465" s="4" t="inlineStr">
        <is>
          <t>● (p) Pos.1 Aktualisierung FWP</t>
        </is>
      </c>
      <c r="C465" s="4" t="inlineStr">
        <is>
          <t>Pauschale</t>
        </is>
      </c>
      <c r="D465" s="10" t="inlineStr">
        <is>
          <t>⚠ Manual erforderlich</t>
        </is>
      </c>
      <c r="E465" s="11" t="inlineStr"/>
      <c r="F465" s="11" t="n">
        <v>0</v>
      </c>
      <c r="G465" s="11">
        <f>E465-F465</f>
        <v/>
      </c>
      <c r="H465" s="11" t="n">
        <v>0</v>
      </c>
      <c r="I465" s="11" t="n">
        <v>0</v>
      </c>
      <c r="J465" s="11" t="n">
        <v>0</v>
      </c>
      <c r="K465" s="4" t="inlineStr">
        <is>
          <t>Stundensätze eingeben</t>
        </is>
      </c>
    </row>
    <row r="466">
      <c r="A466" s="4" t="inlineStr">
        <is>
          <t>3017.16 FWP-Klinik-Dr-Baumstark-Bad Homburg</t>
        </is>
      </c>
      <c r="B466" s="4" t="inlineStr">
        <is>
          <t>● (p) Pos.2 Aktualisierung FRP</t>
        </is>
      </c>
      <c r="C466" s="4" t="inlineStr">
        <is>
          <t>Pauschale</t>
        </is>
      </c>
      <c r="D466" s="10" t="inlineStr">
        <is>
          <t>⚠ Manual erforderlich</t>
        </is>
      </c>
      <c r="E466" s="11" t="inlineStr"/>
      <c r="F466" s="11" t="n">
        <v>0</v>
      </c>
      <c r="G466" s="11">
        <f>E466-F466</f>
        <v/>
      </c>
      <c r="H466" s="11" t="n">
        <v>0</v>
      </c>
      <c r="I466" s="11" t="n">
        <v>0</v>
      </c>
      <c r="J466" s="11" t="n">
        <v>0</v>
      </c>
      <c r="K466" s="4" t="inlineStr">
        <is>
          <t>Stundensätze eingeben</t>
        </is>
      </c>
    </row>
    <row r="467">
      <c r="A467" s="4" t="inlineStr">
        <is>
          <t>3044.06 BTB-ME Gastronomie-Am Bahnof 1-Bad Soden</t>
        </is>
      </c>
      <c r="B467" s="4" t="inlineStr">
        <is>
          <t>● (a.N.) Pos.1-BTB zur ME Gastronomie</t>
        </is>
      </c>
      <c r="C467" s="4" t="inlineStr">
        <is>
          <t>Nachweis</t>
        </is>
      </c>
      <c r="D467" s="10" t="inlineStr">
        <is>
          <t>⚠ Manual erforderlich</t>
        </is>
      </c>
      <c r="E467" s="11" t="inlineStr"/>
      <c r="F467" s="11" t="n">
        <v>0</v>
      </c>
      <c r="G467" s="11">
        <f>E467-F467</f>
        <v/>
      </c>
      <c r="H467" s="11" t="n">
        <v/>
      </c>
      <c r="I467" s="11" t="n">
        <v/>
      </c>
      <c r="J467" s="11" t="n">
        <v/>
      </c>
      <c r="K467" s="4" t="inlineStr">
        <is>
          <t>Stundensätze eingeben</t>
        </is>
      </c>
    </row>
    <row r="468">
      <c r="A468" s="4" t="inlineStr">
        <is>
          <t>3046.05 Verlängerung-uPva-M-Hbf-1.UG(VTE)-Fachbauueberwachung</t>
        </is>
      </c>
      <c r="B468" s="4" t="inlineStr">
        <is>
          <t>● 4000-Genehmigungsplanung</t>
        </is>
      </c>
      <c r="C468" s="9" t="inlineStr">
        <is>
          <t>Unbekannt</t>
        </is>
      </c>
      <c r="D468" s="10" t="inlineStr">
        <is>
          <t>⚠ Manual erforderlich</t>
        </is>
      </c>
      <c r="E468" s="11" t="inlineStr"/>
      <c r="F468" s="11" t="n">
        <v>0</v>
      </c>
      <c r="G468" s="11">
        <f>E468-F468</f>
        <v/>
      </c>
      <c r="H468" s="11" t="n">
        <v/>
      </c>
      <c r="I468" s="11" t="n">
        <v/>
      </c>
      <c r="J468" s="11" t="n">
        <v/>
      </c>
      <c r="K468" s="4" t="inlineStr">
        <is>
          <t>Abrechnungsart wählen; Stundensätze eingeben</t>
        </is>
      </c>
    </row>
    <row r="469">
      <c r="A469" s="4" t="inlineStr">
        <is>
          <t>3046.05 Verlängerung-uPva-M-Hbf-1.UG(VTE)-Fachbauueberwachung</t>
        </is>
      </c>
      <c r="B469" s="4" t="inlineStr">
        <is>
          <t>● 8000-Objektüberwachung</t>
        </is>
      </c>
      <c r="C469" s="9" t="inlineStr">
        <is>
          <t>Unbekannt</t>
        </is>
      </c>
      <c r="D469" s="10" t="inlineStr">
        <is>
          <t>⚠ Manual erforderlich</t>
        </is>
      </c>
      <c r="E469" s="11" t="inlineStr"/>
      <c r="F469" s="11" t="n">
        <v>0</v>
      </c>
      <c r="G469" s="11">
        <f>E469-F469</f>
        <v/>
      </c>
      <c r="H469" s="11" t="n">
        <v/>
      </c>
      <c r="I469" s="11" t="n">
        <v/>
      </c>
      <c r="J469" s="11" t="n">
        <v/>
      </c>
      <c r="K469" s="4" t="inlineStr">
        <is>
          <t>Abrechnungsart wählen; Stundensätze eingeben</t>
        </is>
      </c>
    </row>
    <row r="470">
      <c r="A470" s="4" t="inlineStr">
        <is>
          <t>3046.05 Verlängerung-uPva-M-Hbf-1.UG(VTE)-Fachbauueberwachung</t>
        </is>
      </c>
      <c r="B470" s="4" t="inlineStr">
        <is>
          <t>● 9000-Objektbetreuung und Dokumentation</t>
        </is>
      </c>
      <c r="C470" s="9" t="inlineStr">
        <is>
          <t>Unbekannt</t>
        </is>
      </c>
      <c r="D470" s="10" t="inlineStr">
        <is>
          <t>⚠ Manual erforderlich</t>
        </is>
      </c>
      <c r="E470" s="11" t="inlineStr"/>
      <c r="F470" s="11" t="n">
        <v>0</v>
      </c>
      <c r="G470" s="11">
        <f>E470-F470</f>
        <v/>
      </c>
      <c r="H470" s="11" t="n">
        <v/>
      </c>
      <c r="I470" s="11" t="n">
        <v/>
      </c>
      <c r="J470" s="11" t="n">
        <v/>
      </c>
      <c r="K470" s="4" t="inlineStr">
        <is>
          <t>Abrechnungsart wählen; Stundensätze eingeben</t>
        </is>
      </c>
    </row>
    <row r="471">
      <c r="A471" s="4" t="inlineStr">
        <is>
          <t>3070.09 BSB-2023-Gutenbergstraße-13-Maintal</t>
        </is>
      </c>
      <c r="B471" s="4" t="inlineStr">
        <is>
          <t>● 9000-Objektbetreuung und Dokumentation</t>
        </is>
      </c>
      <c r="C471" s="9" t="inlineStr">
        <is>
          <t>Unbekannt</t>
        </is>
      </c>
      <c r="D471" s="10" t="inlineStr">
        <is>
          <t>⚠ Manual erforderlich</t>
        </is>
      </c>
      <c r="E471" s="11" t="inlineStr"/>
      <c r="F471" s="11" t="n">
        <v>0</v>
      </c>
      <c r="G471" s="11">
        <f>E471-F471</f>
        <v/>
      </c>
      <c r="H471" s="11" t="n">
        <v/>
      </c>
      <c r="I471" s="11" t="n">
        <v/>
      </c>
      <c r="J471" s="11" t="n">
        <v/>
      </c>
      <c r="K471" s="4" t="inlineStr">
        <is>
          <t>Abrechnungsart wählen; Stundensätze eingeben</t>
        </is>
      </c>
    </row>
    <row r="472">
      <c r="A472" s="4" t="inlineStr">
        <is>
          <t>3070.11 BSB-2025-Gutenbergstraße-13-Maintal</t>
        </is>
      </c>
      <c r="B472" s="4" t="inlineStr">
        <is>
          <t>● 9000-Objektbetreuung und Dokumentation</t>
        </is>
      </c>
      <c r="C472" s="9" t="inlineStr">
        <is>
          <t>Unbekannt</t>
        </is>
      </c>
      <c r="D472" s="10" t="inlineStr">
        <is>
          <t>⚠ Manual erforderlich</t>
        </is>
      </c>
      <c r="E472" s="11" t="inlineStr"/>
      <c r="F472" s="11" t="n">
        <v>0</v>
      </c>
      <c r="G472" s="11">
        <f>E472-F472</f>
        <v/>
      </c>
      <c r="H472" s="11" t="n">
        <v/>
      </c>
      <c r="I472" s="11" t="n">
        <v/>
      </c>
      <c r="J472" s="11" t="n">
        <v/>
      </c>
      <c r="K472" s="4" t="inlineStr">
        <is>
          <t>Abrechnungsart wählen; Stundensätze eingeben</t>
        </is>
      </c>
    </row>
    <row r="473">
      <c r="A473" s="4" t="inlineStr">
        <is>
          <t>3075.08 Fraport-RV-NAT06+07-FWP-BAB-BSK-Geb100</t>
        </is>
      </c>
      <c r="B473" s="4" t="inlineStr">
        <is>
          <t>● (aN) NAT06 Pos. 1 BAB</t>
        </is>
      </c>
      <c r="C473" s="4" t="inlineStr">
        <is>
          <t>Nachweis</t>
        </is>
      </c>
      <c r="D473" s="10" t="inlineStr">
        <is>
          <t>⚠ Manual erforderlich</t>
        </is>
      </c>
      <c r="E473" s="11" t="inlineStr"/>
      <c r="F473" s="11" t="n">
        <v>0</v>
      </c>
      <c r="G473" s="11">
        <f>E473-F473</f>
        <v/>
      </c>
      <c r="H473" s="11" t="n">
        <v/>
      </c>
      <c r="I473" s="11" t="n">
        <v/>
      </c>
      <c r="J473" s="11" t="n">
        <v/>
      </c>
      <c r="K473" s="4" t="inlineStr">
        <is>
          <t>Stundensätze eingeben</t>
        </is>
      </c>
    </row>
    <row r="474">
      <c r="A474" s="4" t="inlineStr">
        <is>
          <t>3075.08 Fraport-RV-NAT06+07-FWP-BAB-BSK-Geb100</t>
        </is>
      </c>
      <c r="B474" s="4" t="inlineStr">
        <is>
          <t>● (aN) NAT06 Pos. 2 BSK</t>
        </is>
      </c>
      <c r="C474" s="4" t="inlineStr">
        <is>
          <t>Nachweis</t>
        </is>
      </c>
      <c r="D474" s="10" t="inlineStr">
        <is>
          <t>⚠ Manual erforderlich</t>
        </is>
      </c>
      <c r="E474" s="11" t="inlineStr"/>
      <c r="F474" s="11" t="n">
        <v>0</v>
      </c>
      <c r="G474" s="11">
        <f>E474-F474</f>
        <v/>
      </c>
      <c r="H474" s="11" t="n">
        <v/>
      </c>
      <c r="I474" s="11" t="n">
        <v/>
      </c>
      <c r="J474" s="11" t="n">
        <v/>
      </c>
      <c r="K474" s="4" t="inlineStr">
        <is>
          <t>Stundensätze eingeben</t>
        </is>
      </c>
    </row>
    <row r="475">
      <c r="A475" s="4" t="inlineStr">
        <is>
          <t>3075.08 Fraport-RV-NAT06+07-FWP-BAB-BSK-Geb100</t>
        </is>
      </c>
      <c r="B475" s="4" t="inlineStr">
        <is>
          <t>● (aN) NAT06 Pos. 3 FRP</t>
        </is>
      </c>
      <c r="C475" s="4" t="inlineStr">
        <is>
          <t>Nachweis</t>
        </is>
      </c>
      <c r="D475" s="10" t="inlineStr">
        <is>
          <t>⚠ Manual erforderlich</t>
        </is>
      </c>
      <c r="E475" s="11" t="inlineStr"/>
      <c r="F475" s="11" t="n">
        <v>0</v>
      </c>
      <c r="G475" s="11">
        <f>E475-F475</f>
        <v/>
      </c>
      <c r="H475" s="11" t="n">
        <v/>
      </c>
      <c r="I475" s="11" t="n">
        <v/>
      </c>
      <c r="J475" s="11" t="n">
        <v/>
      </c>
      <c r="K475" s="4" t="inlineStr">
        <is>
          <t>Stundensätze eingeben</t>
        </is>
      </c>
    </row>
    <row r="476">
      <c r="A476" s="4" t="inlineStr">
        <is>
          <t>3075.08 Fraport-RV-NAT06+07-FWP-BAB-BSK-Geb100</t>
        </is>
      </c>
      <c r="B476" s="4" t="inlineStr">
        <is>
          <t>● (aN) NAT06 Pos. 4 BSK-Pläne</t>
        </is>
      </c>
      <c r="C476" s="4" t="inlineStr">
        <is>
          <t>Nachweis</t>
        </is>
      </c>
      <c r="D476" s="10" t="inlineStr">
        <is>
          <t>⚠ Manual erforderlich</t>
        </is>
      </c>
      <c r="E476" s="11" t="inlineStr"/>
      <c r="F476" s="11" t="n">
        <v>0</v>
      </c>
      <c r="G476" s="11">
        <f>E476-F476</f>
        <v/>
      </c>
      <c r="H476" s="11" t="n">
        <v/>
      </c>
      <c r="I476" s="11" t="n">
        <v/>
      </c>
      <c r="J476" s="11" t="n">
        <v/>
      </c>
      <c r="K476" s="4" t="inlineStr">
        <is>
          <t>Stundensätze eingeben</t>
        </is>
      </c>
    </row>
    <row r="477">
      <c r="A477" s="4" t="inlineStr">
        <is>
          <t>3075.08 Fraport-RV-NAT06+07-FWP-BAB-BSK-Geb100</t>
        </is>
      </c>
      <c r="B477" s="4" t="inlineStr">
        <is>
          <t>● (aN) NAT07 Pos. 1 Erstellung von Feuerwehrplänen</t>
        </is>
      </c>
      <c r="C477" s="4" t="inlineStr">
        <is>
          <t>Nachweis</t>
        </is>
      </c>
      <c r="D477" s="10" t="inlineStr">
        <is>
          <t>⚠ Manual erforderlich</t>
        </is>
      </c>
      <c r="E477" s="11" t="inlineStr"/>
      <c r="F477" s="11" t="n">
        <v>0</v>
      </c>
      <c r="G477" s="11">
        <f>E477-F477</f>
        <v/>
      </c>
      <c r="H477" s="11" t="n">
        <v/>
      </c>
      <c r="I477" s="11" t="n">
        <v/>
      </c>
      <c r="J477" s="11" t="n">
        <v/>
      </c>
      <c r="K477" s="4" t="inlineStr">
        <is>
          <t>Stundensätze eingeben</t>
        </is>
      </c>
    </row>
    <row r="478">
      <c r="A478" s="4" t="inlineStr">
        <is>
          <t>3075.08 Fraport-RV-NAT06+07-FWP-BAB-BSK-Geb100</t>
        </is>
      </c>
      <c r="B478" s="4" t="inlineStr">
        <is>
          <t>● (a.N.) Brandschutzkonzept für die Bauphase</t>
        </is>
      </c>
      <c r="C478" s="4" t="inlineStr">
        <is>
          <t>Nachweis</t>
        </is>
      </c>
      <c r="D478" s="10" t="inlineStr">
        <is>
          <t>⚠ Manual erforderlich</t>
        </is>
      </c>
      <c r="E478" s="11" t="inlineStr"/>
      <c r="F478" s="11" t="n">
        <v>0</v>
      </c>
      <c r="G478" s="11">
        <f>E478-F478</f>
        <v/>
      </c>
      <c r="H478" s="11" t="n">
        <v/>
      </c>
      <c r="I478" s="11" t="n">
        <v/>
      </c>
      <c r="J478" s="11" t="n">
        <v/>
      </c>
      <c r="K478" s="4" t="inlineStr">
        <is>
          <t>Stundensätze eingeben</t>
        </is>
      </c>
    </row>
    <row r="479">
      <c r="A479" s="4" t="inlineStr">
        <is>
          <t>3083.03 BAB-Marienburgstraße-2-Frankfurt-Haus-D</t>
        </is>
      </c>
      <c r="B479" s="4" t="inlineStr">
        <is>
          <t>● 8000-Objektüberwachung</t>
        </is>
      </c>
      <c r="C479" s="9" t="inlineStr">
        <is>
          <t>Unbekannt</t>
        </is>
      </c>
      <c r="D479" s="10" t="inlineStr">
        <is>
          <t>⚠ Manual erforderlich</t>
        </is>
      </c>
      <c r="E479" s="11" t="inlineStr"/>
      <c r="F479" s="11" t="n">
        <v>0</v>
      </c>
      <c r="G479" s="11">
        <f>E479-F479</f>
        <v/>
      </c>
      <c r="H479" s="11" t="n">
        <v/>
      </c>
      <c r="I479" s="11" t="n">
        <v/>
      </c>
      <c r="J479" s="11" t="n">
        <v/>
      </c>
      <c r="K479" s="4" t="inlineStr">
        <is>
          <t>Abrechnungsart wählen; Stundensätze eingeben</t>
        </is>
      </c>
    </row>
    <row r="480">
      <c r="A480" s="4" t="inlineStr">
        <is>
          <t>3083.11 BSK-OG1-3-neueHBO-Marienburgstraße-2-Frankfurt-Haus-D</t>
        </is>
      </c>
      <c r="B480" s="4" t="inlineStr">
        <is>
          <t>● 3000-Entwurfsplanung</t>
        </is>
      </c>
      <c r="C480" s="9" t="inlineStr">
        <is>
          <t>Unbekannt</t>
        </is>
      </c>
      <c r="D480" s="10" t="inlineStr">
        <is>
          <t>⚠ Manual erforderlich</t>
        </is>
      </c>
      <c r="E480" s="11" t="inlineStr"/>
      <c r="F480" s="11" t="n">
        <v>0</v>
      </c>
      <c r="G480" s="11">
        <f>E480-F480</f>
        <v/>
      </c>
      <c r="H480" s="11" t="n">
        <v/>
      </c>
      <c r="I480" s="11" t="n">
        <v/>
      </c>
      <c r="J480" s="11" t="n">
        <v/>
      </c>
      <c r="K480" s="4" t="inlineStr">
        <is>
          <t>Abrechnungsart wählen; Stundensätze eingeben</t>
        </is>
      </c>
    </row>
    <row r="481">
      <c r="A481" s="4" t="inlineStr">
        <is>
          <t>3083.11 BSK-OG1-3-neueHBO-Marienburgstraße-2-Frankfurt-Haus-D</t>
        </is>
      </c>
      <c r="B481" s="4" t="inlineStr">
        <is>
          <t>● 4000-Genehmigungsplanung</t>
        </is>
      </c>
      <c r="C481" s="9" t="inlineStr">
        <is>
          <t>Unbekannt</t>
        </is>
      </c>
      <c r="D481" s="10" t="inlineStr">
        <is>
          <t>⚠ Manual erforderlich</t>
        </is>
      </c>
      <c r="E481" s="11" t="inlineStr"/>
      <c r="F481" s="11" t="n">
        <v>0</v>
      </c>
      <c r="G481" s="11">
        <f>E481-F481</f>
        <v/>
      </c>
      <c r="H481" s="11" t="n">
        <v/>
      </c>
      <c r="I481" s="11" t="n">
        <v/>
      </c>
      <c r="J481" s="11" t="n">
        <v/>
      </c>
      <c r="K481" s="4" t="inlineStr">
        <is>
          <t>Abrechnungsart wählen; Stundensätze eingeben</t>
        </is>
      </c>
    </row>
    <row r="482">
      <c r="A482" s="4" t="inlineStr">
        <is>
          <t>3083.11 BSK-OG1-3-neueHBO-Marienburgstraße-2-Frankfurt-Haus-D</t>
        </is>
      </c>
      <c r="B482" s="4" t="inlineStr">
        <is>
          <t>● 8000-Objektüberwachung</t>
        </is>
      </c>
      <c r="C482" s="9" t="inlineStr">
        <is>
          <t>Unbekannt</t>
        </is>
      </c>
      <c r="D482" s="10" t="inlineStr">
        <is>
          <t>⚠ Manual erforderlich</t>
        </is>
      </c>
      <c r="E482" s="11" t="inlineStr"/>
      <c r="F482" s="11" t="n">
        <v>0</v>
      </c>
      <c r="G482" s="11">
        <f>E482-F482</f>
        <v/>
      </c>
      <c r="H482" s="11" t="n">
        <v/>
      </c>
      <c r="I482" s="11" t="n">
        <v/>
      </c>
      <c r="J482" s="11" t="n">
        <v/>
      </c>
      <c r="K482" s="4" t="inlineStr">
        <is>
          <t>Abrechnungsart wählen; Stundensätze eingeben</t>
        </is>
      </c>
    </row>
    <row r="483">
      <c r="A483" s="4" t="inlineStr">
        <is>
          <t>3108.02 STG-Dreiech-BTB-FWP-Sporthalle-Rhönstraße1-Dreieich</t>
        </is>
      </c>
      <c r="B483" s="4" t="inlineStr">
        <is>
          <t>● (aN) Pos. 1 BTB</t>
        </is>
      </c>
      <c r="C483" s="4" t="inlineStr">
        <is>
          <t>Nachweis</t>
        </is>
      </c>
      <c r="D483" s="10" t="inlineStr">
        <is>
          <t>⚠ Manual erforderlich</t>
        </is>
      </c>
      <c r="E483" s="11" t="inlineStr"/>
      <c r="F483" s="11" t="n">
        <v>0</v>
      </c>
      <c r="G483" s="11">
        <f>E483-F483</f>
        <v/>
      </c>
      <c r="H483" s="11" t="n">
        <v/>
      </c>
      <c r="I483" s="11" t="n">
        <v/>
      </c>
      <c r="J483" s="11" t="n">
        <v/>
      </c>
      <c r="K483" s="4" t="inlineStr">
        <is>
          <t>Stundensätze eingeben</t>
        </is>
      </c>
    </row>
    <row r="484">
      <c r="A484" s="4" t="inlineStr">
        <is>
          <t>3108.02 STG-Dreiech-BTB-FWP-Sporthalle-Rhönstraße1-Dreieich</t>
        </is>
      </c>
      <c r="B484" s="4" t="inlineStr">
        <is>
          <t>● (p) Pos. 2 Feuerwehrpläne (CAD)</t>
        </is>
      </c>
      <c r="C484" s="4" t="inlineStr">
        <is>
          <t>Pauschale</t>
        </is>
      </c>
      <c r="D484" s="10" t="inlineStr">
        <is>
          <t>⚠ Manual erforderlich</t>
        </is>
      </c>
      <c r="E484" s="11" t="inlineStr"/>
      <c r="F484" s="11" t="n">
        <v>0</v>
      </c>
      <c r="G484" s="11">
        <f>E484-F484</f>
        <v/>
      </c>
      <c r="H484" s="11" t="n">
        <v>0</v>
      </c>
      <c r="I484" s="11" t="n">
        <v>0</v>
      </c>
      <c r="J484" s="11" t="n">
        <v>0</v>
      </c>
      <c r="K484" s="4" t="inlineStr">
        <is>
          <t>Stundensätze eingeben</t>
        </is>
      </c>
    </row>
    <row r="485">
      <c r="A485" s="4" t="inlineStr">
        <is>
          <t>3110.05 Girrulat-WEG-BAB-Am-kühlen-Grund1-9-Liederbach</t>
        </is>
      </c>
      <c r="B485" s="4" t="inlineStr">
        <is>
          <t>● (aN) Pos. 1 Baubegleitende Brandschutzberatung</t>
        </is>
      </c>
      <c r="C485" s="4" t="inlineStr">
        <is>
          <t>Nachweis</t>
        </is>
      </c>
      <c r="D485" s="10" t="inlineStr">
        <is>
          <t>⚠ Manual erforderlich</t>
        </is>
      </c>
      <c r="E485" s="11" t="inlineStr"/>
      <c r="F485" s="11" t="n">
        <v>0</v>
      </c>
      <c r="G485" s="11">
        <f>E485-F485</f>
        <v/>
      </c>
      <c r="H485" s="11" t="n">
        <v/>
      </c>
      <c r="I485" s="11" t="n">
        <v/>
      </c>
      <c r="J485" s="11" t="n">
        <v/>
      </c>
      <c r="K485" s="4" t="inlineStr">
        <is>
          <t>Stundensätze eingeben</t>
        </is>
      </c>
    </row>
    <row r="486">
      <c r="A486" s="4" t="inlineStr">
        <is>
          <t>3111.02 Ganzheitl-BSK-Bahnhof-Weiterstadt</t>
        </is>
      </c>
      <c r="B486" s="4" t="inlineStr">
        <is>
          <t>● 0000-Aquise</t>
        </is>
      </c>
      <c r="C486" s="9" t="inlineStr">
        <is>
          <t>Unbekannt</t>
        </is>
      </c>
      <c r="D486" s="10" t="inlineStr">
        <is>
          <t>⚠ Manual erforderlich</t>
        </is>
      </c>
      <c r="E486" s="11" t="inlineStr"/>
      <c r="F486" s="11" t="n">
        <v>0</v>
      </c>
      <c r="G486" s="11">
        <f>E486-F486</f>
        <v/>
      </c>
      <c r="H486" s="11" t="n">
        <v/>
      </c>
      <c r="I486" s="11" t="n">
        <v/>
      </c>
      <c r="J486" s="11" t="n">
        <v/>
      </c>
      <c r="K486" s="4" t="inlineStr">
        <is>
          <t>Abrechnungsart wählen; Stundensätze eingeben</t>
        </is>
      </c>
    </row>
    <row r="487">
      <c r="A487" s="4" t="inlineStr">
        <is>
          <t>3111.02 Ganzheitl-BSK-Bahnhof-Weiterstadt</t>
        </is>
      </c>
      <c r="B487" s="4" t="inlineStr">
        <is>
          <t>● 1000-Grundlagenermittlung</t>
        </is>
      </c>
      <c r="C487" s="9" t="inlineStr">
        <is>
          <t>Unbekannt</t>
        </is>
      </c>
      <c r="D487" s="10" t="inlineStr">
        <is>
          <t>⚠ Manual erforderlich</t>
        </is>
      </c>
      <c r="E487" s="11" t="inlineStr"/>
      <c r="F487" s="11" t="n">
        <v>0</v>
      </c>
      <c r="G487" s="11">
        <f>E487-F487</f>
        <v/>
      </c>
      <c r="H487" s="11" t="n">
        <v/>
      </c>
      <c r="I487" s="11" t="n">
        <v/>
      </c>
      <c r="J487" s="11" t="n">
        <v/>
      </c>
      <c r="K487" s="4" t="inlineStr">
        <is>
          <t>Abrechnungsart wählen; Stundensätze eingeben</t>
        </is>
      </c>
    </row>
    <row r="488">
      <c r="A488" s="4" t="inlineStr">
        <is>
          <t>3111.02 Ganzheitl-BSK-Bahnhof-Weiterstadt</t>
        </is>
      </c>
      <c r="B488" s="4" t="inlineStr">
        <is>
          <t>● 2000-Vorplanung</t>
        </is>
      </c>
      <c r="C488" s="9" t="inlineStr">
        <is>
          <t>Unbekannt</t>
        </is>
      </c>
      <c r="D488" s="10" t="inlineStr">
        <is>
          <t>⚠ Manual erforderlich</t>
        </is>
      </c>
      <c r="E488" s="11" t="inlineStr"/>
      <c r="F488" s="11" t="n">
        <v>0</v>
      </c>
      <c r="G488" s="11">
        <f>E488-F488</f>
        <v/>
      </c>
      <c r="H488" s="11" t="n">
        <v/>
      </c>
      <c r="I488" s="11" t="n">
        <v/>
      </c>
      <c r="J488" s="11" t="n">
        <v/>
      </c>
      <c r="K488" s="4" t="inlineStr">
        <is>
          <t>Abrechnungsart wählen; Stundensätze eingeben</t>
        </is>
      </c>
    </row>
    <row r="489">
      <c r="A489" s="4" t="inlineStr">
        <is>
          <t>3111.02 Ganzheitl-BSK-Bahnhof-Weiterstadt</t>
        </is>
      </c>
      <c r="B489" s="4" t="inlineStr">
        <is>
          <t>● 3000-Entwurfsplanung</t>
        </is>
      </c>
      <c r="C489" s="9" t="inlineStr">
        <is>
          <t>Unbekannt</t>
        </is>
      </c>
      <c r="D489" s="10" t="inlineStr">
        <is>
          <t>⚠ Manual erforderlich</t>
        </is>
      </c>
      <c r="E489" s="11" t="inlineStr"/>
      <c r="F489" s="11" t="n">
        <v>0</v>
      </c>
      <c r="G489" s="11">
        <f>E489-F489</f>
        <v/>
      </c>
      <c r="H489" s="11" t="n">
        <v/>
      </c>
      <c r="I489" s="11" t="n">
        <v/>
      </c>
      <c r="J489" s="11" t="n">
        <v/>
      </c>
      <c r="K489" s="4" t="inlineStr">
        <is>
          <t>Abrechnungsart wählen; Stundensätze eingeben</t>
        </is>
      </c>
    </row>
    <row r="490">
      <c r="A490" s="4" t="inlineStr">
        <is>
          <t>3111.02 Ganzheitl-BSK-Bahnhof-Weiterstadt</t>
        </is>
      </c>
      <c r="B490" s="4" t="inlineStr">
        <is>
          <t>● 4000-Genehmigungsplanung</t>
        </is>
      </c>
      <c r="C490" s="9" t="inlineStr">
        <is>
          <t>Unbekannt</t>
        </is>
      </c>
      <c r="D490" s="10" t="inlineStr">
        <is>
          <t>⚠ Manual erforderlich</t>
        </is>
      </c>
      <c r="E490" s="11" t="inlineStr"/>
      <c r="F490" s="11" t="n">
        <v>0</v>
      </c>
      <c r="G490" s="11">
        <f>E490-F490</f>
        <v/>
      </c>
      <c r="H490" s="11" t="n">
        <v/>
      </c>
      <c r="I490" s="11" t="n">
        <v/>
      </c>
      <c r="J490" s="11" t="n">
        <v/>
      </c>
      <c r="K490" s="4" t="inlineStr">
        <is>
          <t>Abrechnungsart wählen; Stundensätze eingeben</t>
        </is>
      </c>
    </row>
    <row r="491">
      <c r="A491" s="4" t="inlineStr">
        <is>
          <t>3156.18 BTB-Frankfurt-School-of-Finance</t>
        </is>
      </c>
      <c r="B491" s="4" t="inlineStr">
        <is>
          <t>● Beraten Bauherr+FM-Dienstleister (auf Nachweis)</t>
        </is>
      </c>
      <c r="C491" s="9" t="inlineStr">
        <is>
          <t>Unbekannt</t>
        </is>
      </c>
      <c r="D491" s="10" t="inlineStr">
        <is>
          <t>⚠ Manual erforderlich</t>
        </is>
      </c>
      <c r="E491" s="11" t="inlineStr"/>
      <c r="F491" s="11" t="n">
        <v>0</v>
      </c>
      <c r="G491" s="11">
        <f>E491-F491</f>
        <v/>
      </c>
      <c r="H491" s="11" t="n">
        <v/>
      </c>
      <c r="I491" s="11" t="n">
        <v/>
      </c>
      <c r="J491" s="11" t="n">
        <v/>
      </c>
      <c r="K491" s="4" t="inlineStr">
        <is>
          <t>Abrechnungsart wählen; Stundensätze eingeben</t>
        </is>
      </c>
    </row>
    <row r="492">
      <c r="A492" s="4" t="inlineStr">
        <is>
          <t>3156.19 Fortschreibung-BSK-Frankfurt-School-of-Finance-Adickesallee32-34-Frankfurt</t>
        </is>
      </c>
      <c r="B492" s="4" t="inlineStr">
        <is>
          <t>● • 2302-Beratungsleistungen in der Planungsphase...</t>
        </is>
      </c>
      <c r="C492" s="9" t="inlineStr">
        <is>
          <t>Unbekannt</t>
        </is>
      </c>
      <c r="D492" s="10" t="inlineStr">
        <is>
          <t>⚠ Manual erforderlich</t>
        </is>
      </c>
      <c r="E492" s="11" t="inlineStr"/>
      <c r="F492" s="11" t="n">
        <v>0</v>
      </c>
      <c r="G492" s="11">
        <f>E492-F492</f>
        <v/>
      </c>
      <c r="H492" s="11" t="n">
        <v/>
      </c>
      <c r="I492" s="11" t="n">
        <v/>
      </c>
      <c r="J492" s="11" t="n">
        <v/>
      </c>
      <c r="K492" s="4" t="inlineStr">
        <is>
          <t>Abrechnungsart wählen; Stundensätze eingeben</t>
        </is>
      </c>
    </row>
    <row r="493">
      <c r="A493" s="4" t="inlineStr">
        <is>
          <t>3156.19 Fortschreibung-BSK-Frankfurt-School-of-Finance-Adickesallee32-34-Frankfurt</t>
        </is>
      </c>
      <c r="B493" s="4" t="inlineStr">
        <is>
          <t>● • 2103-Vorabstimmungen Behörden….</t>
        </is>
      </c>
      <c r="C493" s="9" t="inlineStr">
        <is>
          <t>Unbekannt</t>
        </is>
      </c>
      <c r="D493" s="10" t="inlineStr">
        <is>
          <t>⚠ Manual erforderlich</t>
        </is>
      </c>
      <c r="E493" s="11" t="inlineStr"/>
      <c r="F493" s="11" t="n">
        <v>0</v>
      </c>
      <c r="G493" s="11">
        <f>E493-F493</f>
        <v/>
      </c>
      <c r="H493" s="11" t="n">
        <v/>
      </c>
      <c r="I493" s="11" t="n">
        <v/>
      </c>
      <c r="J493" s="11" t="n">
        <v/>
      </c>
      <c r="K493" s="4" t="inlineStr">
        <is>
          <t>Abrechnungsart wählen; Stundensätze eingeben</t>
        </is>
      </c>
    </row>
    <row r="494">
      <c r="A494" s="4" t="inlineStr">
        <is>
          <t>3156.19 Fortschreibung-BSK-Frankfurt-School-of-Finance-Adickesallee32-34-Frankfurt</t>
        </is>
      </c>
      <c r="B494" s="4" t="inlineStr">
        <is>
          <t>● • 2211-Teilnahme Besprechungen....</t>
        </is>
      </c>
      <c r="C494" s="9" t="inlineStr">
        <is>
          <t>Unbekannt</t>
        </is>
      </c>
      <c r="D494" s="10" t="inlineStr">
        <is>
          <t>⚠ Manual erforderlich</t>
        </is>
      </c>
      <c r="E494" s="11" t="inlineStr"/>
      <c r="F494" s="11" t="n">
        <v>0</v>
      </c>
      <c r="G494" s="11">
        <f>E494-F494</f>
        <v/>
      </c>
      <c r="H494" s="11" t="n">
        <v/>
      </c>
      <c r="I494" s="11" t="n">
        <v/>
      </c>
      <c r="J494" s="11" t="n">
        <v/>
      </c>
      <c r="K494" s="4" t="inlineStr">
        <is>
          <t>Abrechnungsart wählen; Stundensätze eingeben</t>
        </is>
      </c>
    </row>
    <row r="495">
      <c r="A495" s="4" t="inlineStr">
        <is>
          <t>3156.19 Fortschreibung-BSK-Frankfurt-School-of-Finance-Adickesallee32-34-Frankfurt</t>
        </is>
      </c>
      <c r="B495" s="4" t="inlineStr">
        <is>
          <t>● • 2104-Stichpunktartige Zusammenstellung Ergebnisse LP2…</t>
        </is>
      </c>
      <c r="C495" s="9" t="inlineStr">
        <is>
          <t>Unbekannt</t>
        </is>
      </c>
      <c r="D495" s="10" t="inlineStr">
        <is>
          <t>⚠ Manual erforderlich</t>
        </is>
      </c>
      <c r="E495" s="11" t="inlineStr"/>
      <c r="F495" s="11" t="n">
        <v>0</v>
      </c>
      <c r="G495" s="11">
        <f>E495-F495</f>
        <v/>
      </c>
      <c r="H495" s="11" t="n">
        <v/>
      </c>
      <c r="I495" s="11" t="n">
        <v/>
      </c>
      <c r="J495" s="11" t="n">
        <v/>
      </c>
      <c r="K495" s="4" t="inlineStr">
        <is>
          <t>Abrechnungsart wählen; Stundensätze eingeben</t>
        </is>
      </c>
    </row>
    <row r="496">
      <c r="A496" s="4" t="inlineStr">
        <is>
          <t>3156.19 Fortschreibung-BSK-Frankfurt-School-of-Finance-Adickesallee32-34-Frankfurt</t>
        </is>
      </c>
      <c r="B496" s="4" t="inlineStr">
        <is>
          <t>● (p.) Fortschr. BSK</t>
        </is>
      </c>
      <c r="C496" s="9" t="inlineStr">
        <is>
          <t>Unbekannt</t>
        </is>
      </c>
      <c r="D496" s="10" t="inlineStr">
        <is>
          <t>⚠ Manual erforderlich</t>
        </is>
      </c>
      <c r="E496" s="11" t="inlineStr"/>
      <c r="F496" s="11" t="n">
        <v>0</v>
      </c>
      <c r="G496" s="11">
        <f>E496-F496</f>
        <v/>
      </c>
      <c r="H496" s="11" t="n">
        <v/>
      </c>
      <c r="I496" s="11" t="n">
        <v/>
      </c>
      <c r="J496" s="11" t="n">
        <v/>
      </c>
      <c r="K496" s="4" t="inlineStr">
        <is>
          <t>Abrechnungsart wählen; Stundensätze eingeben</t>
        </is>
      </c>
    </row>
    <row r="497">
      <c r="A497" s="4" t="inlineStr">
        <is>
          <t>3156.19 Fortschreibung-BSK-Frankfurt-School-of-Finance-Adickesallee32-34-Frankfurt</t>
        </is>
      </c>
      <c r="B497" s="4" t="inlineStr">
        <is>
          <t>● (p.) Fortschr. BSK-Pläne</t>
        </is>
      </c>
      <c r="C497" s="9" t="inlineStr">
        <is>
          <t>Unbekannt</t>
        </is>
      </c>
      <c r="D497" s="10" t="inlineStr">
        <is>
          <t>⚠ Manual erforderlich</t>
        </is>
      </c>
      <c r="E497" s="11" t="inlineStr"/>
      <c r="F497" s="11" t="n">
        <v>0</v>
      </c>
      <c r="G497" s="11">
        <f>E497-F497</f>
        <v/>
      </c>
      <c r="H497" s="11" t="n">
        <v/>
      </c>
      <c r="I497" s="11" t="n">
        <v/>
      </c>
      <c r="J497" s="11" t="n">
        <v/>
      </c>
      <c r="K497" s="4" t="inlineStr">
        <is>
          <t>Abrechnungsart wählen; Stundensätze eingeben</t>
        </is>
      </c>
    </row>
    <row r="498">
      <c r="A498" s="4" t="inlineStr">
        <is>
          <t>3156.19 Fortschreibung-BSK-Frankfurt-School-of-Finance-Adickesallee32-34-Frankfurt</t>
        </is>
      </c>
      <c r="B498" s="4" t="inlineStr">
        <is>
          <t>● (p.) Durchf. Evakuierungssim.</t>
        </is>
      </c>
      <c r="C498" s="9" t="inlineStr">
        <is>
          <t>Unbekannt</t>
        </is>
      </c>
      <c r="D498" s="10" t="inlineStr">
        <is>
          <t>⚠ Manual erforderlich</t>
        </is>
      </c>
      <c r="E498" s="11" t="inlineStr"/>
      <c r="F498" s="11" t="n">
        <v>0</v>
      </c>
      <c r="G498" s="11">
        <f>E498-F498</f>
        <v/>
      </c>
      <c r="H498" s="11" t="n">
        <v/>
      </c>
      <c r="I498" s="11" t="n">
        <v/>
      </c>
      <c r="J498" s="11" t="n">
        <v/>
      </c>
      <c r="K498" s="4" t="inlineStr">
        <is>
          <t>Abrechnungsart wählen; Stundensätze eingeben</t>
        </is>
      </c>
    </row>
    <row r="499">
      <c r="A499" s="4" t="inlineStr">
        <is>
          <t>3156.19 Fortschreibung-BSK-Frankfurt-School-of-Finance-Adickesallee32-34-Frankfurt</t>
        </is>
      </c>
      <c r="B499" s="4" t="inlineStr">
        <is>
          <t>● • Brandschutztechnische Beratungsleistungen</t>
        </is>
      </c>
      <c r="C499" s="9" t="inlineStr">
        <is>
          <t>Unbekannt</t>
        </is>
      </c>
      <c r="D499" s="10" t="inlineStr">
        <is>
          <t>⚠ Manual erforderlich</t>
        </is>
      </c>
      <c r="E499" s="11" t="inlineStr"/>
      <c r="F499" s="11" t="n">
        <v>0</v>
      </c>
      <c r="G499" s="11">
        <f>E499-F499</f>
        <v/>
      </c>
      <c r="H499" s="11" t="n">
        <v/>
      </c>
      <c r="I499" s="11" t="n">
        <v/>
      </c>
      <c r="J499" s="11" t="n">
        <v/>
      </c>
      <c r="K499" s="4" t="inlineStr">
        <is>
          <t>Abrechnungsart wählen; Stundensätze eingeben</t>
        </is>
      </c>
    </row>
    <row r="500">
      <c r="A500" s="4" t="inlineStr">
        <is>
          <t>3156.19 Fortschreibung-BSK-Frankfurt-School-of-Finance-Adickesallee32-34-Frankfurt</t>
        </is>
      </c>
      <c r="B500" s="4" t="inlineStr">
        <is>
          <t>● (a.N.) NAT Erstellung des Brandschutzkonzeptes für die Bauphase</t>
        </is>
      </c>
      <c r="C500" s="4" t="inlineStr">
        <is>
          <t>Nachweis</t>
        </is>
      </c>
      <c r="D500" s="10" t="inlineStr">
        <is>
          <t>⚠ Manual erforderlich</t>
        </is>
      </c>
      <c r="E500" s="11" t="inlineStr"/>
      <c r="F500" s="11" t="n">
        <v>0</v>
      </c>
      <c r="G500" s="11">
        <f>E500-F500</f>
        <v/>
      </c>
      <c r="H500" s="11" t="n">
        <v/>
      </c>
      <c r="I500" s="11" t="n">
        <v/>
      </c>
      <c r="J500" s="11" t="n">
        <v/>
      </c>
      <c r="K500" s="4" t="inlineStr">
        <is>
          <t>Stundensätze eingeben</t>
        </is>
      </c>
    </row>
    <row r="501">
      <c r="A501" s="4" t="inlineStr">
        <is>
          <t>3156.19 Fortschreibung-BSK-Frankfurt-School-of-Finance-Adickesallee32-34-Frankfurt</t>
        </is>
      </c>
      <c r="B501" s="4" t="inlineStr">
        <is>
          <t>● (a.N.) Baubegleitung</t>
        </is>
      </c>
      <c r="C501" s="4" t="inlineStr">
        <is>
          <t>Nachweis</t>
        </is>
      </c>
      <c r="D501" s="10" t="inlineStr">
        <is>
          <t>⚠ Manual erforderlich</t>
        </is>
      </c>
      <c r="E501" s="11" t="inlineStr"/>
      <c r="F501" s="11" t="n">
        <v>0</v>
      </c>
      <c r="G501" s="11">
        <f>E501-F501</f>
        <v/>
      </c>
      <c r="H501" s="11" t="n">
        <v/>
      </c>
      <c r="I501" s="11" t="n">
        <v/>
      </c>
      <c r="J501" s="11" t="n">
        <v/>
      </c>
      <c r="K501" s="4" t="inlineStr">
        <is>
          <t>Stundensätze eingeben</t>
        </is>
      </c>
    </row>
    <row r="502">
      <c r="A502" s="4" t="inlineStr">
        <is>
          <t>3156.21 FWP-Frankfurt-School-of-Finance-Addickesallee32-34-Frankfurt</t>
        </is>
      </c>
      <c r="B502" s="4" t="inlineStr">
        <is>
          <t>● 1000-Grundlagenermittlung</t>
        </is>
      </c>
      <c r="C502" s="9" t="inlineStr">
        <is>
          <t>Unbekannt</t>
        </is>
      </c>
      <c r="D502" s="10" t="inlineStr">
        <is>
          <t>⚠ Manual erforderlich</t>
        </is>
      </c>
      <c r="E502" s="11" t="inlineStr"/>
      <c r="F502" s="11" t="n">
        <v>0</v>
      </c>
      <c r="G502" s="11">
        <f>E502-F502</f>
        <v/>
      </c>
      <c r="H502" s="11" t="n">
        <v/>
      </c>
      <c r="I502" s="11" t="n">
        <v/>
      </c>
      <c r="J502" s="11" t="n">
        <v/>
      </c>
      <c r="K502" s="4" t="inlineStr">
        <is>
          <t>Abrechnungsart wählen; Stundensätze eingeben</t>
        </is>
      </c>
    </row>
    <row r="503">
      <c r="A503" s="4" t="inlineStr">
        <is>
          <t>3156.21 FWP-Frankfurt-School-of-Finance-Addickesallee32-34-Frankfurt</t>
        </is>
      </c>
      <c r="B503" s="4" t="inlineStr">
        <is>
          <t>● 9000-Objektbetreuung und Dokumentation</t>
        </is>
      </c>
      <c r="C503" s="9" t="inlineStr">
        <is>
          <t>Unbekannt</t>
        </is>
      </c>
      <c r="D503" s="10" t="inlineStr">
        <is>
          <t>⚠ Manual erforderlich</t>
        </is>
      </c>
      <c r="E503" s="11" t="inlineStr"/>
      <c r="F503" s="11" t="n">
        <v>0</v>
      </c>
      <c r="G503" s="11">
        <f>E503-F503</f>
        <v/>
      </c>
      <c r="H503" s="11" t="n">
        <v/>
      </c>
      <c r="I503" s="11" t="n">
        <v/>
      </c>
      <c r="J503" s="11" t="n">
        <v/>
      </c>
      <c r="K503" s="4" t="inlineStr">
        <is>
          <t>Abrechnungsart wählen; Stundensätze eingeben</t>
        </is>
      </c>
    </row>
    <row r="504">
      <c r="A504" s="4" t="inlineStr">
        <is>
          <t>3210.09 Tektur-BSK-Gewerbestraße10-Markt-Rettenbach</t>
        </is>
      </c>
      <c r="B504" s="4" t="inlineStr">
        <is>
          <t>● Fortführung BSK (a.N.)</t>
        </is>
      </c>
      <c r="C504" s="4" t="inlineStr">
        <is>
          <t>Nachweis</t>
        </is>
      </c>
      <c r="D504" s="10" t="inlineStr">
        <is>
          <t>⚠ Manual erforderlich</t>
        </is>
      </c>
      <c r="E504" s="11" t="inlineStr"/>
      <c r="F504" s="11" t="n">
        <v>0</v>
      </c>
      <c r="G504" s="11">
        <f>E504-F504</f>
        <v/>
      </c>
      <c r="H504" s="11" t="n">
        <v/>
      </c>
      <c r="I504" s="11" t="n">
        <v/>
      </c>
      <c r="J504" s="11" t="n">
        <v/>
      </c>
      <c r="K504" s="4" t="inlineStr">
        <is>
          <t>Stundensätze eingeben</t>
        </is>
      </c>
    </row>
    <row r="505">
      <c r="A505" s="4" t="inlineStr">
        <is>
          <t>3210.09 Tektur-BSK-Gewerbestraße10-Markt-Rettenbach</t>
        </is>
      </c>
      <c r="B505" s="4" t="inlineStr">
        <is>
          <t>● Fortf. der BSK-Pläne (a.N.)</t>
        </is>
      </c>
      <c r="C505" s="4" t="inlineStr">
        <is>
          <t>Nachweis</t>
        </is>
      </c>
      <c r="D505" s="10" t="inlineStr">
        <is>
          <t>⚠ Manual erforderlich</t>
        </is>
      </c>
      <c r="E505" s="11" t="inlineStr"/>
      <c r="F505" s="11" t="n">
        <v>0</v>
      </c>
      <c r="G505" s="11">
        <f>E505-F505</f>
        <v/>
      </c>
      <c r="H505" s="11" t="n">
        <v/>
      </c>
      <c r="I505" s="11" t="n">
        <v/>
      </c>
      <c r="J505" s="11" t="n">
        <v/>
      </c>
      <c r="K505" s="4" t="inlineStr">
        <is>
          <t>Stundensätze eingeben</t>
        </is>
      </c>
    </row>
    <row r="506">
      <c r="A506" s="4" t="inlineStr">
        <is>
          <t>3210.09 Tektur-BSK-Gewerbestraße10-Markt-Rettenbach</t>
        </is>
      </c>
      <c r="B506" s="4" t="inlineStr">
        <is>
          <t>● Abgleich Rettungswege (a.N.)</t>
        </is>
      </c>
      <c r="C506" s="4" t="inlineStr">
        <is>
          <t>Nachweis</t>
        </is>
      </c>
      <c r="D506" s="10" t="inlineStr">
        <is>
          <t>⚠ Manual erforderlich</t>
        </is>
      </c>
      <c r="E506" s="11" t="inlineStr"/>
      <c r="F506" s="11" t="n">
        <v>0</v>
      </c>
      <c r="G506" s="11">
        <f>E506-F506</f>
        <v/>
      </c>
      <c r="H506" s="11" t="n">
        <v/>
      </c>
      <c r="I506" s="11" t="n">
        <v/>
      </c>
      <c r="J506" s="11" t="n">
        <v/>
      </c>
      <c r="K506" s="4" t="inlineStr">
        <is>
          <t>Stundensätze eingeben</t>
        </is>
      </c>
    </row>
    <row r="507">
      <c r="A507" s="4" t="inlineStr">
        <is>
          <t>3212.04 FWP-Luebecker-Str-5-7-Eschborn</t>
        </is>
      </c>
      <c r="B507" s="4" t="inlineStr">
        <is>
          <t>● (p) Pos.1 Aktualisierung FWP</t>
        </is>
      </c>
      <c r="C507" s="4" t="inlineStr">
        <is>
          <t>Pauschale</t>
        </is>
      </c>
      <c r="D507" s="10" t="inlineStr">
        <is>
          <t>⚠ Manual erforderlich</t>
        </is>
      </c>
      <c r="E507" s="11" t="inlineStr"/>
      <c r="F507" s="11" t="n">
        <v>0</v>
      </c>
      <c r="G507" s="11">
        <f>E507-F507</f>
        <v/>
      </c>
      <c r="H507" s="11" t="n">
        <v>0</v>
      </c>
      <c r="I507" s="11" t="n">
        <v>0</v>
      </c>
      <c r="J507" s="11" t="n">
        <v>0</v>
      </c>
      <c r="K507" s="4" t="inlineStr">
        <is>
          <t>Stundensätze eingeben</t>
        </is>
      </c>
    </row>
    <row r="508">
      <c r="A508" s="4" t="inlineStr">
        <is>
          <t>3216.02 BTB-Campus Westend-Rostocker-Straße-2-Frankfurt-Brandschutztüren</t>
        </is>
      </c>
      <c r="B508" s="4" t="inlineStr">
        <is>
          <t>● (aN) Pos.1 BTB Bewertung v. Brandschutztüren inkl. Objektbegehung</t>
        </is>
      </c>
      <c r="C508" s="4" t="inlineStr">
        <is>
          <t>Nachweis</t>
        </is>
      </c>
      <c r="D508" s="10" t="inlineStr">
        <is>
          <t>⚠ Manual erforderlich</t>
        </is>
      </c>
      <c r="E508" s="11" t="inlineStr"/>
      <c r="F508" s="11" t="n">
        <v>0</v>
      </c>
      <c r="G508" s="11">
        <f>E508-F508</f>
        <v/>
      </c>
      <c r="H508" s="11" t="n">
        <v/>
      </c>
      <c r="I508" s="11" t="n">
        <v/>
      </c>
      <c r="J508" s="11" t="n">
        <v/>
      </c>
      <c r="K508" s="4" t="inlineStr">
        <is>
          <t>Stundensätze eingeben</t>
        </is>
      </c>
    </row>
    <row r="509">
      <c r="A509" s="4" t="inlineStr">
        <is>
          <t>3228.01 BST-Hochtaunuskliniken-Bad-Homburg-</t>
        </is>
      </c>
      <c r="B509" s="4" t="inlineStr">
        <is>
          <t>● 3000-Entwurfsplanung</t>
        </is>
      </c>
      <c r="C509" s="9" t="inlineStr">
        <is>
          <t>Unbekannt</t>
        </is>
      </c>
      <c r="D509" s="10" t="inlineStr">
        <is>
          <t>⚠ Manual erforderlich</t>
        </is>
      </c>
      <c r="E509" s="11" t="inlineStr"/>
      <c r="F509" s="11" t="n">
        <v>0</v>
      </c>
      <c r="G509" s="11">
        <f>E509-F509</f>
        <v/>
      </c>
      <c r="H509" s="11" t="n">
        <v/>
      </c>
      <c r="I509" s="11" t="n">
        <v/>
      </c>
      <c r="J509" s="11" t="n">
        <v/>
      </c>
      <c r="K509" s="4" t="inlineStr">
        <is>
          <t>Abrechnungsart wählen; Stundensätze eingeben</t>
        </is>
      </c>
    </row>
    <row r="510">
      <c r="A510" s="4" t="inlineStr">
        <is>
          <t>3228.02 BTB-Hochtaunuskliniken-Bad-Homburg</t>
        </is>
      </c>
      <c r="B510" s="4" t="inlineStr">
        <is>
          <t>● Beratung (auf Nachweis)</t>
        </is>
      </c>
      <c r="C510" s="9" t="inlineStr">
        <is>
          <t>Unbekannt</t>
        </is>
      </c>
      <c r="D510" s="10" t="inlineStr">
        <is>
          <t>⚠ Manual erforderlich</t>
        </is>
      </c>
      <c r="E510" s="11" t="inlineStr"/>
      <c r="F510" s="11" t="n">
        <v>0</v>
      </c>
      <c r="G510" s="11">
        <f>E510-F510</f>
        <v/>
      </c>
      <c r="H510" s="11" t="n">
        <v/>
      </c>
      <c r="I510" s="11" t="n">
        <v/>
      </c>
      <c r="J510" s="11" t="n">
        <v/>
      </c>
      <c r="K510" s="4" t="inlineStr">
        <is>
          <t>Abrechnungsart wählen; Stundensätze eingeben</t>
        </is>
      </c>
    </row>
    <row r="511">
      <c r="A511" s="4" t="inlineStr">
        <is>
          <t>3228.02 BTB-Hochtaunuskliniken-Bad-Homburg</t>
        </is>
      </c>
      <c r="B511" s="4" t="inlineStr">
        <is>
          <t>● (aN) Beratung BSK-Linearbeschleuniger-Bunker</t>
        </is>
      </c>
      <c r="C511" s="4" t="inlineStr">
        <is>
          <t>Nachweis</t>
        </is>
      </c>
      <c r="D511" s="10" t="inlineStr">
        <is>
          <t>⚠ Manual erforderlich</t>
        </is>
      </c>
      <c r="E511" s="11" t="inlineStr"/>
      <c r="F511" s="11" t="n">
        <v>0</v>
      </c>
      <c r="G511" s="11">
        <f>E511-F511</f>
        <v/>
      </c>
      <c r="H511" s="11" t="n">
        <v/>
      </c>
      <c r="I511" s="11" t="n">
        <v/>
      </c>
      <c r="J511" s="11" t="n">
        <v/>
      </c>
      <c r="K511" s="4" t="inlineStr">
        <is>
          <t>Stundensätze eingeben</t>
        </is>
      </c>
    </row>
    <row r="512">
      <c r="A512" s="4" t="inlineStr">
        <is>
          <t>3228.04 RMK-Hochtaunus-Kliniken-Zeppelinstr-20-Bad-Homburg</t>
        </is>
      </c>
      <c r="B512" s="4" t="inlineStr">
        <is>
          <t>● (a.N.) Beratungsleistungen Organisatorischer Brandschutz</t>
        </is>
      </c>
      <c r="C512" s="4" t="inlineStr">
        <is>
          <t>Nachweis</t>
        </is>
      </c>
      <c r="D512" s="10" t="inlineStr">
        <is>
          <t>⚠ Manual erforderlich</t>
        </is>
      </c>
      <c r="E512" s="11" t="inlineStr"/>
      <c r="F512" s="11" t="n">
        <v>0</v>
      </c>
      <c r="G512" s="11">
        <f>E512-F512</f>
        <v/>
      </c>
      <c r="H512" s="11" t="n">
        <v/>
      </c>
      <c r="I512" s="11" t="n">
        <v/>
      </c>
      <c r="J512" s="11" t="n">
        <v/>
      </c>
      <c r="K512" s="4" t="inlineStr">
        <is>
          <t>Stundensätze eingeben</t>
        </is>
      </c>
    </row>
    <row r="513">
      <c r="A513" s="4" t="inlineStr">
        <is>
          <t>3228.04 RMK-Hochtaunus-Kliniken-Zeppelinstr-20-Bad-Homburg</t>
        </is>
      </c>
      <c r="B513" s="4" t="inlineStr">
        <is>
          <t>● (a.N.) Räumungskarten (pro Stück)</t>
        </is>
      </c>
      <c r="C513" s="4" t="inlineStr">
        <is>
          <t>Nachweis</t>
        </is>
      </c>
      <c r="D513" s="10" t="inlineStr">
        <is>
          <t>⚠ Manual erforderlich</t>
        </is>
      </c>
      <c r="E513" s="11" t="inlineStr"/>
      <c r="F513" s="11" t="n">
        <v>0</v>
      </c>
      <c r="G513" s="11">
        <f>E513-F513</f>
        <v/>
      </c>
      <c r="H513" s="11" t="n">
        <v/>
      </c>
      <c r="I513" s="11" t="n">
        <v/>
      </c>
      <c r="J513" s="11" t="n">
        <v/>
      </c>
      <c r="K513" s="4" t="inlineStr">
        <is>
          <t>Stundensätze eingeben</t>
        </is>
      </c>
    </row>
    <row r="514">
      <c r="A514" s="4" t="inlineStr">
        <is>
          <t>3228.05 RMS-Hochtaunuskliniken-Bad Homburg</t>
        </is>
      </c>
      <c r="B514" s="4" t="inlineStr">
        <is>
          <t>● (a.N.) Pos.1 Räumungsplan DIN A3 - Abrechnung erfolgt je Räungsplan 100€/ St</t>
        </is>
      </c>
      <c r="C514" s="4" t="inlineStr">
        <is>
          <t>Nachweis</t>
        </is>
      </c>
      <c r="D514" s="10" t="inlineStr">
        <is>
          <t>⚠ Manual erforderlich</t>
        </is>
      </c>
      <c r="E514" s="11" t="inlineStr"/>
      <c r="F514" s="11" t="n">
        <v>0</v>
      </c>
      <c r="G514" s="11">
        <f>E514-F514</f>
        <v/>
      </c>
      <c r="H514" s="11" t="n">
        <v/>
      </c>
      <c r="I514" s="11" t="n">
        <v/>
      </c>
      <c r="J514" s="11" t="n">
        <v/>
      </c>
      <c r="K514" s="4" t="inlineStr">
        <is>
          <t>Stundensätze eingeben</t>
        </is>
      </c>
    </row>
    <row r="515">
      <c r="A515" s="4" t="inlineStr">
        <is>
          <t>3228.05 RMS-Hochtaunuskliniken-Bad Homburg</t>
        </is>
      </c>
      <c r="B515" s="4" t="inlineStr">
        <is>
          <t>● (a.N.) Pos.2 Räumungmappe - Abrechnung erfolgt je Räumungmappe 98€/St</t>
        </is>
      </c>
      <c r="C515" s="4" t="inlineStr">
        <is>
          <t>Nachweis</t>
        </is>
      </c>
      <c r="D515" s="10" t="inlineStr">
        <is>
          <t>⚠ Manual erforderlich</t>
        </is>
      </c>
      <c r="E515" s="11" t="inlineStr"/>
      <c r="F515" s="11" t="n">
        <v>0</v>
      </c>
      <c r="G515" s="11">
        <f>E515-F515</f>
        <v/>
      </c>
      <c r="H515" s="11" t="n">
        <v/>
      </c>
      <c r="I515" s="11" t="n">
        <v/>
      </c>
      <c r="J515" s="11" t="n">
        <v/>
      </c>
      <c r="K515" s="4" t="inlineStr">
        <is>
          <t>Stundensätze eingeben</t>
        </is>
      </c>
    </row>
    <row r="516">
      <c r="A516" s="4" t="inlineStr">
        <is>
          <t>3228.06 BTB-ambulanter-OP-Hochtaunuskliniken-Bad Homburg</t>
        </is>
      </c>
      <c r="B516" s="4" t="inlineStr">
        <is>
          <t>● (aN) BSK - brandschutztechn. Konzept-Umbauarbeiten ambulanter OP (ohne ANG)</t>
        </is>
      </c>
      <c r="C516" s="4" t="inlineStr">
        <is>
          <t>Nachweis</t>
        </is>
      </c>
      <c r="D516" s="10" t="inlineStr">
        <is>
          <t>⚠ Manual erforderlich</t>
        </is>
      </c>
      <c r="E516" s="11" t="inlineStr"/>
      <c r="F516" s="11" t="n">
        <v>0</v>
      </c>
      <c r="G516" s="11">
        <f>E516-F516</f>
        <v/>
      </c>
      <c r="H516" s="11" t="n">
        <v/>
      </c>
      <c r="I516" s="11" t="n">
        <v/>
      </c>
      <c r="J516" s="11" t="n">
        <v/>
      </c>
      <c r="K516" s="4" t="inlineStr">
        <is>
          <t>Stundensätze eingeben</t>
        </is>
      </c>
    </row>
    <row r="517">
      <c r="A517" s="4" t="inlineStr">
        <is>
          <t>3228.07 Pravida-BTB-Hochtaunuskliniken-BHG-Linearbeschleuniger</t>
        </is>
      </c>
      <c r="B517" s="4" t="inlineStr">
        <is>
          <t>● (aN) Pos.1 BTB +Stellungnahme</t>
        </is>
      </c>
      <c r="C517" s="4" t="inlineStr">
        <is>
          <t>Nachweis</t>
        </is>
      </c>
      <c r="D517" s="10" t="inlineStr">
        <is>
          <t>⚠ Manual erforderlich</t>
        </is>
      </c>
      <c r="E517" s="11" t="inlineStr"/>
      <c r="F517" s="11" t="n">
        <v>0</v>
      </c>
      <c r="G517" s="11">
        <f>E517-F517</f>
        <v/>
      </c>
      <c r="H517" s="11" t="n">
        <v/>
      </c>
      <c r="I517" s="11" t="n">
        <v/>
      </c>
      <c r="J517" s="11" t="n">
        <v/>
      </c>
      <c r="K517" s="4" t="inlineStr">
        <is>
          <t>Stundensätze eingeben</t>
        </is>
      </c>
    </row>
    <row r="518">
      <c r="A518" s="4" t="inlineStr">
        <is>
          <t>3233.05 PTS-FLA-LP5</t>
        </is>
      </c>
      <c r="B518" s="4" t="inlineStr">
        <is>
          <t>● 5000-Ausführungsplanung</t>
        </is>
      </c>
      <c r="C518" s="9" t="inlineStr">
        <is>
          <t>Unbekannt</t>
        </is>
      </c>
      <c r="D518" s="10" t="inlineStr">
        <is>
          <t>⚠ Manual erforderlich</t>
        </is>
      </c>
      <c r="E518" s="11" t="inlineStr"/>
      <c r="F518" s="11" t="n">
        <v>0</v>
      </c>
      <c r="G518" s="11">
        <f>E518-F518</f>
        <v/>
      </c>
      <c r="H518" s="11" t="n">
        <v/>
      </c>
      <c r="I518" s="11" t="n">
        <v/>
      </c>
      <c r="J518" s="11" t="n">
        <v/>
      </c>
      <c r="K518" s="4" t="inlineStr">
        <is>
          <t>Abrechnungsart wählen; Stundensätze eingeben</t>
        </is>
      </c>
    </row>
    <row r="519">
      <c r="A519" s="4" t="inlineStr">
        <is>
          <t>3249.03 Fortschr-BSK-Insterburger-Straße-4-6-Frankfurt</t>
        </is>
      </c>
      <c r="B519" s="4" t="inlineStr">
        <is>
          <t>● 0000-Akquise</t>
        </is>
      </c>
      <c r="C519" s="9" t="inlineStr">
        <is>
          <t>Unbekannt</t>
        </is>
      </c>
      <c r="D519" s="10" t="inlineStr">
        <is>
          <t>⚠ Manual erforderlich</t>
        </is>
      </c>
      <c r="E519" s="11" t="inlineStr"/>
      <c r="F519" s="11" t="n">
        <v>0</v>
      </c>
      <c r="G519" s="11">
        <f>E519-F519</f>
        <v/>
      </c>
      <c r="H519" s="11" t="n">
        <v/>
      </c>
      <c r="I519" s="11" t="n">
        <v/>
      </c>
      <c r="J519" s="11" t="n">
        <v/>
      </c>
      <c r="K519" s="4" t="inlineStr">
        <is>
          <t>Abrechnungsart wählen; Stundensätze eingeben</t>
        </is>
      </c>
    </row>
    <row r="520">
      <c r="A520" s="4" t="inlineStr">
        <is>
          <t>3249.03 Fortschr-BSK-Insterburger-Straße-4-6-Frankfurt</t>
        </is>
      </c>
      <c r="B520" s="4" t="inlineStr">
        <is>
          <t>● 1000-Grundlagenermittlung</t>
        </is>
      </c>
      <c r="C520" s="9" t="inlineStr">
        <is>
          <t>Unbekannt</t>
        </is>
      </c>
      <c r="D520" s="10" t="inlineStr">
        <is>
          <t>⚠ Manual erforderlich</t>
        </is>
      </c>
      <c r="E520" s="11" t="inlineStr"/>
      <c r="F520" s="11" t="n">
        <v>0</v>
      </c>
      <c r="G520" s="11">
        <f>E520-F520</f>
        <v/>
      </c>
      <c r="H520" s="11" t="n">
        <v/>
      </c>
      <c r="I520" s="11" t="n">
        <v/>
      </c>
      <c r="J520" s="11" t="n">
        <v/>
      </c>
      <c r="K520" s="4" t="inlineStr">
        <is>
          <t>Abrechnungsart wählen; Stundensätze eingeben</t>
        </is>
      </c>
    </row>
    <row r="521">
      <c r="A521" s="4" t="inlineStr">
        <is>
          <t>3249.03 Fortschr-BSK-Insterburger-Straße-4-6-Frankfurt</t>
        </is>
      </c>
      <c r="B521" s="4" t="inlineStr">
        <is>
          <t>● 2000-Vorplanung</t>
        </is>
      </c>
      <c r="C521" s="9" t="inlineStr">
        <is>
          <t>Unbekannt</t>
        </is>
      </c>
      <c r="D521" s="10" t="inlineStr">
        <is>
          <t>⚠ Manual erforderlich</t>
        </is>
      </c>
      <c r="E521" s="11" t="inlineStr"/>
      <c r="F521" s="11" t="n">
        <v>0</v>
      </c>
      <c r="G521" s="11">
        <f>E521-F521</f>
        <v/>
      </c>
      <c r="H521" s="11" t="n">
        <v/>
      </c>
      <c r="I521" s="11" t="n">
        <v/>
      </c>
      <c r="J521" s="11" t="n">
        <v/>
      </c>
      <c r="K521" s="4" t="inlineStr">
        <is>
          <t>Abrechnungsart wählen; Stundensätze eingeben</t>
        </is>
      </c>
    </row>
    <row r="522">
      <c r="A522" s="4" t="inlineStr">
        <is>
          <t>3249.03 Fortschr-BSK-Insterburger-Straße-4-6-Frankfurt</t>
        </is>
      </c>
      <c r="B522" s="4" t="inlineStr">
        <is>
          <t>● 3000-Entwurfsplanung</t>
        </is>
      </c>
      <c r="C522" s="9" t="inlineStr">
        <is>
          <t>Unbekannt</t>
        </is>
      </c>
      <c r="D522" s="10" t="inlineStr">
        <is>
          <t>⚠ Manual erforderlich</t>
        </is>
      </c>
      <c r="E522" s="11" t="inlineStr"/>
      <c r="F522" s="11" t="n">
        <v>0</v>
      </c>
      <c r="G522" s="11">
        <f>E522-F522</f>
        <v/>
      </c>
      <c r="H522" s="11" t="n">
        <v/>
      </c>
      <c r="I522" s="11" t="n">
        <v/>
      </c>
      <c r="J522" s="11" t="n">
        <v/>
      </c>
      <c r="K522" s="4" t="inlineStr">
        <is>
          <t>Abrechnungsart wählen; Stundensätze eingeben</t>
        </is>
      </c>
    </row>
    <row r="523">
      <c r="A523" s="4" t="inlineStr">
        <is>
          <t>3249.03 Fortschr-BSK-Insterburger-Straße-4-6-Frankfurt</t>
        </is>
      </c>
      <c r="B523" s="4" t="inlineStr">
        <is>
          <t>● 4000-Genehmigungsplanung</t>
        </is>
      </c>
      <c r="C523" s="9" t="inlineStr">
        <is>
          <t>Unbekannt</t>
        </is>
      </c>
      <c r="D523" s="10" t="inlineStr">
        <is>
          <t>⚠ Manual erforderlich</t>
        </is>
      </c>
      <c r="E523" s="11" t="inlineStr"/>
      <c r="F523" s="11" t="n">
        <v>0</v>
      </c>
      <c r="G523" s="11">
        <f>E523-F523</f>
        <v/>
      </c>
      <c r="H523" s="11" t="n">
        <v/>
      </c>
      <c r="I523" s="11" t="n">
        <v/>
      </c>
      <c r="J523" s="11" t="n">
        <v/>
      </c>
      <c r="K523" s="4" t="inlineStr">
        <is>
          <t>Abrechnungsart wählen; Stundensätze eingeben</t>
        </is>
      </c>
    </row>
    <row r="524">
      <c r="A524" s="4" t="inlineStr">
        <is>
          <t>3249.03 Fortschr-BSK-Insterburger-Straße-4-6-Frankfurt</t>
        </is>
      </c>
      <c r="B524" s="4" t="inlineStr">
        <is>
          <t>● 7000-Mitwirkung bei der Vergabe</t>
        </is>
      </c>
      <c r="C524" s="9" t="inlineStr">
        <is>
          <t>Unbekannt</t>
        </is>
      </c>
      <c r="D524" s="10" t="inlineStr">
        <is>
          <t>⚠ Manual erforderlich</t>
        </is>
      </c>
      <c r="E524" s="11" t="inlineStr"/>
      <c r="F524" s="11" t="n">
        <v>0</v>
      </c>
      <c r="G524" s="11">
        <f>E524-F524</f>
        <v/>
      </c>
      <c r="H524" s="11" t="n">
        <v/>
      </c>
      <c r="I524" s="11" t="n">
        <v/>
      </c>
      <c r="J524" s="11" t="n">
        <v/>
      </c>
      <c r="K524" s="4" t="inlineStr">
        <is>
          <t>Abrechnungsart wählen; Stundensätze eingeben</t>
        </is>
      </c>
    </row>
    <row r="525">
      <c r="A525" s="4" t="inlineStr">
        <is>
          <t>3249.03 Fortschr-BSK-Insterburger-Straße-4-6-Frankfurt</t>
        </is>
      </c>
      <c r="B525" s="4" t="inlineStr">
        <is>
          <t>● 8000-Objektüberwachung</t>
        </is>
      </c>
      <c r="C525" s="9" t="inlineStr">
        <is>
          <t>Unbekannt</t>
        </is>
      </c>
      <c r="D525" s="10" t="inlineStr">
        <is>
          <t>⚠ Manual erforderlich</t>
        </is>
      </c>
      <c r="E525" s="11" t="inlineStr"/>
      <c r="F525" s="11" t="n">
        <v>0</v>
      </c>
      <c r="G525" s="11">
        <f>E525-F525</f>
        <v/>
      </c>
      <c r="H525" s="11" t="n">
        <v/>
      </c>
      <c r="I525" s="11" t="n">
        <v/>
      </c>
      <c r="J525" s="11" t="n">
        <v/>
      </c>
      <c r="K525" s="4" t="inlineStr">
        <is>
          <t>Abrechnungsart wählen; Stundensätze eingeben</t>
        </is>
      </c>
    </row>
    <row r="526">
      <c r="A526" s="4" t="inlineStr">
        <is>
          <t>3249.03 Fortschr-BSK-Insterburger-Straße-4-6-Frankfurt</t>
        </is>
      </c>
      <c r="B526" s="4" t="inlineStr">
        <is>
          <t>● 9000-Objektbetreuung und Dokumentation</t>
        </is>
      </c>
      <c r="C526" s="9" t="inlineStr">
        <is>
          <t>Unbekannt</t>
        </is>
      </c>
      <c r="D526" s="10" t="inlineStr">
        <is>
          <t>⚠ Manual erforderlich</t>
        </is>
      </c>
      <c r="E526" s="11" t="inlineStr"/>
      <c r="F526" s="11" t="n">
        <v>0</v>
      </c>
      <c r="G526" s="11">
        <f>E526-F526</f>
        <v/>
      </c>
      <c r="H526" s="11" t="n">
        <v/>
      </c>
      <c r="I526" s="11" t="n">
        <v/>
      </c>
      <c r="J526" s="11" t="n">
        <v/>
      </c>
      <c r="K526" s="4" t="inlineStr">
        <is>
          <t>Abrechnungsart wählen; Stundensätze eingeben</t>
        </is>
      </c>
    </row>
    <row r="527">
      <c r="A527" s="4" t="inlineStr">
        <is>
          <t>3256.09 IKK-SW-FRP-Bestuhlungspläne-Atrium-Quartier-Eurobahnhof-Saarbrücken</t>
        </is>
      </c>
      <c r="B527" s="4" t="inlineStr">
        <is>
          <t>● (p) Pos. 1 Fortschreibung des Brandschutzkonzeptes</t>
        </is>
      </c>
      <c r="C527" s="4" t="inlineStr">
        <is>
          <t>Pauschale</t>
        </is>
      </c>
      <c r="D527" s="10" t="inlineStr">
        <is>
          <t>⚠ Manual erforderlich</t>
        </is>
      </c>
      <c r="E527" s="11" t="inlineStr"/>
      <c r="F527" s="11" t="n">
        <v>0</v>
      </c>
      <c r="G527" s="11">
        <f>E527-F527</f>
        <v/>
      </c>
      <c r="H527" s="11" t="n">
        <v>0</v>
      </c>
      <c r="I527" s="11" t="n">
        <v>0</v>
      </c>
      <c r="J527" s="11" t="n">
        <v>0</v>
      </c>
      <c r="K527" s="4" t="inlineStr">
        <is>
          <t>Stundensätze eingeben</t>
        </is>
      </c>
    </row>
    <row r="528">
      <c r="A528" s="4" t="inlineStr">
        <is>
          <t>3256.09 IKK-SW-FRP-Bestuhlungspläne-Atrium-Quartier-Eurobahnhof-Saarbrücken</t>
        </is>
      </c>
      <c r="B528" s="4" t="inlineStr">
        <is>
          <t>● (p) Pos. 2 Bestuhlungspläne</t>
        </is>
      </c>
      <c r="C528" s="4" t="inlineStr">
        <is>
          <t>Pauschale</t>
        </is>
      </c>
      <c r="D528" s="10" t="inlineStr">
        <is>
          <t>⚠ Manual erforderlich</t>
        </is>
      </c>
      <c r="E528" s="11" t="inlineStr"/>
      <c r="F528" s="11" t="n">
        <v>0</v>
      </c>
      <c r="G528" s="11">
        <f>E528-F528</f>
        <v/>
      </c>
      <c r="H528" s="11" t="n">
        <v>0</v>
      </c>
      <c r="I528" s="11" t="n">
        <v>0</v>
      </c>
      <c r="J528" s="11" t="n">
        <v>0</v>
      </c>
      <c r="K528" s="4" t="inlineStr">
        <is>
          <t>Stundensätze eingeben</t>
        </is>
      </c>
    </row>
    <row r="529">
      <c r="A529" s="4" t="inlineStr">
        <is>
          <t>3258.01 LP4-9-Marktstraße 1-3-Dorotheen Quartier-Breuninger-Stuttgart-EKZ</t>
        </is>
      </c>
      <c r="B529" s="4" t="inlineStr">
        <is>
          <t>● 4000-Genehmigungsplanung</t>
        </is>
      </c>
      <c r="C529" s="9" t="inlineStr">
        <is>
          <t>Unbekannt</t>
        </is>
      </c>
      <c r="D529" s="10" t="inlineStr">
        <is>
          <t>⚠ Manual erforderlich</t>
        </is>
      </c>
      <c r="E529" s="11" t="inlineStr"/>
      <c r="F529" s="11" t="n">
        <v>0</v>
      </c>
      <c r="G529" s="11">
        <f>E529-F529</f>
        <v/>
      </c>
      <c r="H529" s="11" t="n">
        <v/>
      </c>
      <c r="I529" s="11" t="n">
        <v/>
      </c>
      <c r="J529" s="11" t="n">
        <v/>
      </c>
      <c r="K529" s="4" t="inlineStr">
        <is>
          <t>Abrechnungsart wählen; Stundensätze eingeben</t>
        </is>
      </c>
    </row>
    <row r="530">
      <c r="A530" s="4" t="inlineStr">
        <is>
          <t>3258.01 LP4-9-Marktstraße 1-3-Dorotheen Quartier-Breuninger-Stuttgart-EKZ</t>
        </is>
      </c>
      <c r="B530" s="4" t="inlineStr">
        <is>
          <t>● 5000-Ausführungsplanung</t>
        </is>
      </c>
      <c r="C530" s="9" t="inlineStr">
        <is>
          <t>Unbekannt</t>
        </is>
      </c>
      <c r="D530" s="10" t="inlineStr">
        <is>
          <t>⚠ Manual erforderlich</t>
        </is>
      </c>
      <c r="E530" s="11" t="inlineStr"/>
      <c r="F530" s="11" t="n">
        <v>0</v>
      </c>
      <c r="G530" s="11">
        <f>E530-F530</f>
        <v/>
      </c>
      <c r="H530" s="11" t="n">
        <v/>
      </c>
      <c r="I530" s="11" t="n">
        <v/>
      </c>
      <c r="J530" s="11" t="n">
        <v/>
      </c>
      <c r="K530" s="4" t="inlineStr">
        <is>
          <t>Abrechnungsart wählen; Stundensätze eingeben</t>
        </is>
      </c>
    </row>
    <row r="531">
      <c r="A531" s="4" t="inlineStr">
        <is>
          <t>3258.01 LP4-9-Marktstraße 1-3-Dorotheen Quartier-Breuninger-Stuttgart-EKZ</t>
        </is>
      </c>
      <c r="B531" s="4" t="inlineStr">
        <is>
          <t>● 6000-Vorbereiten der Vergabe</t>
        </is>
      </c>
      <c r="C531" s="9" t="inlineStr">
        <is>
          <t>Unbekannt</t>
        </is>
      </c>
      <c r="D531" s="10" t="inlineStr">
        <is>
          <t>⚠ Manual erforderlich</t>
        </is>
      </c>
      <c r="E531" s="11" t="inlineStr"/>
      <c r="F531" s="11" t="n">
        <v>0</v>
      </c>
      <c r="G531" s="11">
        <f>E531-F531</f>
        <v/>
      </c>
      <c r="H531" s="11" t="n">
        <v/>
      </c>
      <c r="I531" s="11" t="n">
        <v/>
      </c>
      <c r="J531" s="11" t="n">
        <v/>
      </c>
      <c r="K531" s="4" t="inlineStr">
        <is>
          <t>Abrechnungsart wählen; Stundensätze eingeben</t>
        </is>
      </c>
    </row>
    <row r="532">
      <c r="A532" s="4" t="inlineStr">
        <is>
          <t>3258.01 LP4-9-Marktstraße 1-3-Dorotheen Quartier-Breuninger-Stuttgart-EKZ</t>
        </is>
      </c>
      <c r="B532" s="4" t="inlineStr">
        <is>
          <t>● 7000-Mitwirkung bei der Vergabe</t>
        </is>
      </c>
      <c r="C532" s="9" t="inlineStr">
        <is>
          <t>Unbekannt</t>
        </is>
      </c>
      <c r="D532" s="10" t="inlineStr">
        <is>
          <t>⚠ Manual erforderlich</t>
        </is>
      </c>
      <c r="E532" s="11" t="inlineStr"/>
      <c r="F532" s="11" t="n">
        <v>0</v>
      </c>
      <c r="G532" s="11">
        <f>E532-F532</f>
        <v/>
      </c>
      <c r="H532" s="11" t="n">
        <v/>
      </c>
      <c r="I532" s="11" t="n">
        <v/>
      </c>
      <c r="J532" s="11" t="n">
        <v/>
      </c>
      <c r="K532" s="4" t="inlineStr">
        <is>
          <t>Abrechnungsart wählen; Stundensätze eingeben</t>
        </is>
      </c>
    </row>
    <row r="533">
      <c r="A533" s="4" t="inlineStr">
        <is>
          <t>3258.01 LP4-9-Marktstraße 1-3-Dorotheen Quartier-Breuninger-Stuttgart-EKZ</t>
        </is>
      </c>
      <c r="B533" s="4" t="inlineStr">
        <is>
          <t>● 8000-Objektüberwachung</t>
        </is>
      </c>
      <c r="C533" s="9" t="inlineStr">
        <is>
          <t>Unbekannt</t>
        </is>
      </c>
      <c r="D533" s="10" t="inlineStr">
        <is>
          <t>⚠ Manual erforderlich</t>
        </is>
      </c>
      <c r="E533" s="11" t="inlineStr"/>
      <c r="F533" s="11" t="n">
        <v>0</v>
      </c>
      <c r="G533" s="11">
        <f>E533-F533</f>
        <v/>
      </c>
      <c r="H533" s="11" t="n">
        <v/>
      </c>
      <c r="I533" s="11" t="n">
        <v/>
      </c>
      <c r="J533" s="11" t="n">
        <v/>
      </c>
      <c r="K533" s="4" t="inlineStr">
        <is>
          <t>Abrechnungsart wählen; Stundensätze eingeben</t>
        </is>
      </c>
    </row>
    <row r="534">
      <c r="A534" s="4" t="inlineStr">
        <is>
          <t>3258.01 LP4-9-Marktstraße 1-3-Dorotheen Quartier-Breuninger-Stuttgart-EKZ</t>
        </is>
      </c>
      <c r="B534" s="4" t="inlineStr">
        <is>
          <t>● 9000-Objektbetreuung und Dokumentation</t>
        </is>
      </c>
      <c r="C534" s="9" t="inlineStr">
        <is>
          <t>Unbekannt</t>
        </is>
      </c>
      <c r="D534" s="10" t="inlineStr">
        <is>
          <t>⚠ Manual erforderlich</t>
        </is>
      </c>
      <c r="E534" s="11" t="inlineStr"/>
      <c r="F534" s="11" t="n">
        <v>0</v>
      </c>
      <c r="G534" s="11">
        <f>E534-F534</f>
        <v/>
      </c>
      <c r="H534" s="11" t="n">
        <v/>
      </c>
      <c r="I534" s="11" t="n">
        <v/>
      </c>
      <c r="J534" s="11" t="n">
        <v/>
      </c>
      <c r="K534" s="4" t="inlineStr">
        <is>
          <t>Abrechnungsart wählen; Stundensätze eingeben</t>
        </is>
      </c>
    </row>
    <row r="535">
      <c r="A535" s="4" t="inlineStr">
        <is>
          <t>3258.21 F+M-KOF-DQ-Tiffany-EZH19A-Stuttgart</t>
        </is>
      </c>
      <c r="B535" s="4" t="inlineStr">
        <is>
          <t>● (aN) KOF</t>
        </is>
      </c>
      <c r="C535" s="4" t="inlineStr">
        <is>
          <t>Nachweis</t>
        </is>
      </c>
      <c r="D535" s="10" t="inlineStr">
        <is>
          <t>⚠ Manual erforderlich</t>
        </is>
      </c>
      <c r="E535" s="11" t="inlineStr"/>
      <c r="F535" s="11" t="n">
        <v>0</v>
      </c>
      <c r="G535" s="11">
        <f>E535-F535</f>
        <v/>
      </c>
      <c r="H535" s="11" t="n">
        <v/>
      </c>
      <c r="I535" s="11" t="n">
        <v/>
      </c>
      <c r="J535" s="11" t="n">
        <v/>
      </c>
      <c r="K535" s="4" t="inlineStr">
        <is>
          <t>Stundensätze eingeben</t>
        </is>
      </c>
    </row>
    <row r="536">
      <c r="A536" s="4" t="inlineStr">
        <is>
          <t>3258.22 Rummel-DQ-LouisVuitton-Stuttgart</t>
        </is>
      </c>
      <c r="B536" s="4" t="inlineStr">
        <is>
          <t>● (p) BST</t>
        </is>
      </c>
      <c r="C536" s="4" t="inlineStr">
        <is>
          <t>Pauschale</t>
        </is>
      </c>
      <c r="D536" s="10" t="inlineStr">
        <is>
          <t>⚠ Manual erforderlich</t>
        </is>
      </c>
      <c r="E536" s="11" t="inlineStr"/>
      <c r="F536" s="11" t="n">
        <v>0</v>
      </c>
      <c r="G536" s="11">
        <f>E536-F536</f>
        <v/>
      </c>
      <c r="H536" s="11" t="n">
        <v>0</v>
      </c>
      <c r="I536" s="11" t="n">
        <v>0</v>
      </c>
      <c r="J536" s="11" t="n">
        <v>0</v>
      </c>
      <c r="K536" s="4" t="inlineStr">
        <is>
          <t>Stundensätze eingeben</t>
        </is>
      </c>
    </row>
    <row r="537">
      <c r="A537" s="4" t="inlineStr">
        <is>
          <t>3258.22 Rummel-DQ-LouisVuitton-Stuttgart</t>
        </is>
      </c>
      <c r="B537" s="4" t="inlineStr">
        <is>
          <t>● (aN) BTB</t>
        </is>
      </c>
      <c r="C537" s="4" t="inlineStr">
        <is>
          <t>Nachweis</t>
        </is>
      </c>
      <c r="D537" s="10" t="inlineStr">
        <is>
          <t>⚠ Manual erforderlich</t>
        </is>
      </c>
      <c r="E537" s="11" t="inlineStr"/>
      <c r="F537" s="11" t="n">
        <v>0</v>
      </c>
      <c r="G537" s="11">
        <f>E537-F537</f>
        <v/>
      </c>
      <c r="H537" s="11" t="n">
        <v/>
      </c>
      <c r="I537" s="11" t="n">
        <v/>
      </c>
      <c r="J537" s="11" t="n">
        <v/>
      </c>
      <c r="K537" s="4" t="inlineStr">
        <is>
          <t>Stundensätze eingeben</t>
        </is>
      </c>
    </row>
    <row r="538">
      <c r="A538" s="4" t="inlineStr">
        <is>
          <t>3258.26 F&amp;M-BTB-DQ-Tiffany-Marktstraße-1-3-Stuttgart</t>
        </is>
      </c>
      <c r="B538" s="4" t="inlineStr">
        <is>
          <t>● (aN) Pos. 1 Brandschutztechnische Beratung</t>
        </is>
      </c>
      <c r="C538" s="4" t="inlineStr">
        <is>
          <t>Nachweis</t>
        </is>
      </c>
      <c r="D538" s="10" t="inlineStr">
        <is>
          <t>⚠ Manual erforderlich</t>
        </is>
      </c>
      <c r="E538" s="11" t="inlineStr"/>
      <c r="F538" s="11" t="n">
        <v>0</v>
      </c>
      <c r="G538" s="11">
        <f>E538-F538</f>
        <v/>
      </c>
      <c r="H538" s="11" t="n">
        <v/>
      </c>
      <c r="I538" s="11" t="n">
        <v/>
      </c>
      <c r="J538" s="11" t="n">
        <v/>
      </c>
      <c r="K538" s="4" t="inlineStr">
        <is>
          <t>Stundensätze eingeben</t>
        </is>
      </c>
    </row>
    <row r="539">
      <c r="A539" s="4" t="inlineStr">
        <is>
          <t>3258.30 Öztürk-FRP-DQ-Pilates-Studio-Marktstr1-3-Stuttgart</t>
        </is>
      </c>
      <c r="B539" s="4" t="inlineStr">
        <is>
          <t>● (p) Pos. 1 Ber. Feuerlöscher</t>
        </is>
      </c>
      <c r="C539" s="4" t="inlineStr">
        <is>
          <t>Pauschale</t>
        </is>
      </c>
      <c r="D539" s="10" t="inlineStr">
        <is>
          <t>⚠ Manual erforderlich</t>
        </is>
      </c>
      <c r="E539" s="11" t="inlineStr"/>
      <c r="F539" s="11" t="n">
        <v>0</v>
      </c>
      <c r="G539" s="11">
        <f>E539-F539</f>
        <v/>
      </c>
      <c r="H539" s="11" t="n">
        <v>0</v>
      </c>
      <c r="I539" s="11" t="n">
        <v>0</v>
      </c>
      <c r="J539" s="11" t="n">
        <v>0</v>
      </c>
      <c r="K539" s="4" t="inlineStr">
        <is>
          <t>Stundensätze eingeben</t>
        </is>
      </c>
    </row>
    <row r="540">
      <c r="A540" s="4" t="inlineStr">
        <is>
          <t>3258.30 Öztürk-FRP-DQ-Pilates-Studio-Marktstr1-3-Stuttgart</t>
        </is>
      </c>
      <c r="B540" s="4" t="inlineStr">
        <is>
          <t>● (p) Pos. 2 FRP</t>
        </is>
      </c>
      <c r="C540" s="4" t="inlineStr">
        <is>
          <t>Pauschale</t>
        </is>
      </c>
      <c r="D540" s="10" t="inlineStr">
        <is>
          <t>⚠ Manual erforderlich</t>
        </is>
      </c>
      <c r="E540" s="11" t="inlineStr"/>
      <c r="F540" s="11" t="n">
        <v>0</v>
      </c>
      <c r="G540" s="11">
        <f>E540-F540</f>
        <v/>
      </c>
      <c r="H540" s="11" t="n">
        <v>0</v>
      </c>
      <c r="I540" s="11" t="n">
        <v>0</v>
      </c>
      <c r="J540" s="11" t="n">
        <v>0</v>
      </c>
      <c r="K540" s="4" t="inlineStr">
        <is>
          <t>Stundensätze eingeben</t>
        </is>
      </c>
    </row>
    <row r="541">
      <c r="A541" s="4" t="inlineStr">
        <is>
          <t>3268 Hafenstraße-Frankfurt-SelfStorage (Pilotprojekt)</t>
        </is>
      </c>
      <c r="B541" s="4" t="inlineStr">
        <is>
          <t>● 0001-Sonstiges</t>
        </is>
      </c>
      <c r="C541" s="9" t="inlineStr">
        <is>
          <t>Unbekannt</t>
        </is>
      </c>
      <c r="D541" s="10" t="inlineStr">
        <is>
          <t>⚠ Manual erforderlich</t>
        </is>
      </c>
      <c r="E541" s="11" t="inlineStr"/>
      <c r="F541" s="11" t="n">
        <v>0</v>
      </c>
      <c r="G541" s="11">
        <f>E541-F541</f>
        <v/>
      </c>
      <c r="H541" s="11" t="n">
        <v/>
      </c>
      <c r="I541" s="11" t="n">
        <v/>
      </c>
      <c r="J541" s="11" t="n">
        <v/>
      </c>
      <c r="K541" s="4" t="inlineStr">
        <is>
          <t>Abrechnungsart wählen; Stundensätze eingeben</t>
        </is>
      </c>
    </row>
    <row r="542">
      <c r="A542" s="4" t="inlineStr">
        <is>
          <t>3268 Hafenstraße-Frankfurt-SelfStorage (Pilotprojekt)</t>
        </is>
      </c>
      <c r="B542" s="4" t="inlineStr">
        <is>
          <t>● 1000-Grundlagenermittlung</t>
        </is>
      </c>
      <c r="C542" s="9" t="inlineStr">
        <is>
          <t>Unbekannt</t>
        </is>
      </c>
      <c r="D542" s="10" t="inlineStr">
        <is>
          <t>⚠ Manual erforderlich</t>
        </is>
      </c>
      <c r="E542" s="11" t="inlineStr"/>
      <c r="F542" s="11" t="n">
        <v>0</v>
      </c>
      <c r="G542" s="11">
        <f>E542-F542</f>
        <v/>
      </c>
      <c r="H542" s="11" t="n">
        <v/>
      </c>
      <c r="I542" s="11" t="n">
        <v/>
      </c>
      <c r="J542" s="11" t="n">
        <v/>
      </c>
      <c r="K542" s="4" t="inlineStr">
        <is>
          <t>Abrechnungsart wählen; Stundensätze eingeben</t>
        </is>
      </c>
    </row>
    <row r="543">
      <c r="A543" s="4" t="inlineStr">
        <is>
          <t>3268 Hafenstraße-Frankfurt-SelfStorage (Pilotprojekt)</t>
        </is>
      </c>
      <c r="B543" s="4" t="inlineStr">
        <is>
          <t>● 2000-Vorplanung</t>
        </is>
      </c>
      <c r="C543" s="9" t="inlineStr">
        <is>
          <t>Unbekannt</t>
        </is>
      </c>
      <c r="D543" s="10" t="inlineStr">
        <is>
          <t>⚠ Manual erforderlich</t>
        </is>
      </c>
      <c r="E543" s="11" t="inlineStr"/>
      <c r="F543" s="11" t="n">
        <v>0</v>
      </c>
      <c r="G543" s="11">
        <f>E543-F543</f>
        <v/>
      </c>
      <c r="H543" s="11" t="n">
        <v/>
      </c>
      <c r="I543" s="11" t="n">
        <v/>
      </c>
      <c r="J543" s="11" t="n">
        <v/>
      </c>
      <c r="K543" s="4" t="inlineStr">
        <is>
          <t>Abrechnungsart wählen; Stundensätze eingeben</t>
        </is>
      </c>
    </row>
    <row r="544">
      <c r="A544" s="4" t="inlineStr">
        <is>
          <t>3268 Hafenstraße-Frankfurt-SelfStorage (Pilotprojekt)</t>
        </is>
      </c>
      <c r="B544" s="4" t="inlineStr">
        <is>
          <t>● 3000-Entwurfsplanung</t>
        </is>
      </c>
      <c r="C544" s="9" t="inlineStr">
        <is>
          <t>Unbekannt</t>
        </is>
      </c>
      <c r="D544" s="10" t="inlineStr">
        <is>
          <t>⚠ Manual erforderlich</t>
        </is>
      </c>
      <c r="E544" s="11" t="inlineStr"/>
      <c r="F544" s="11" t="n">
        <v>0</v>
      </c>
      <c r="G544" s="11">
        <f>E544-F544</f>
        <v/>
      </c>
      <c r="H544" s="11" t="n">
        <v/>
      </c>
      <c r="I544" s="11" t="n">
        <v/>
      </c>
      <c r="J544" s="11" t="n">
        <v/>
      </c>
      <c r="K544" s="4" t="inlineStr">
        <is>
          <t>Abrechnungsart wählen; Stundensätze eingeben</t>
        </is>
      </c>
    </row>
    <row r="545">
      <c r="A545" s="4" t="inlineStr">
        <is>
          <t>3268 Hafenstraße-Frankfurt-SelfStorage (Pilotprojekt)</t>
        </is>
      </c>
      <c r="B545" s="4" t="inlineStr">
        <is>
          <t>● 4000-Genehmigungsplanung</t>
        </is>
      </c>
      <c r="C545" s="9" t="inlineStr">
        <is>
          <t>Unbekannt</t>
        </is>
      </c>
      <c r="D545" s="10" t="inlineStr">
        <is>
          <t>⚠ Manual erforderlich</t>
        </is>
      </c>
      <c r="E545" s="11" t="inlineStr"/>
      <c r="F545" s="11" t="n">
        <v>0</v>
      </c>
      <c r="G545" s="11">
        <f>E545-F545</f>
        <v/>
      </c>
      <c r="H545" s="11" t="n">
        <v/>
      </c>
      <c r="I545" s="11" t="n">
        <v/>
      </c>
      <c r="J545" s="11" t="n">
        <v/>
      </c>
      <c r="K545" s="4" t="inlineStr">
        <is>
          <t>Abrechnungsart wählen; Stundensätze eingeben</t>
        </is>
      </c>
    </row>
    <row r="546">
      <c r="A546" s="4" t="inlineStr">
        <is>
          <t>3273.01 BTB-Zech-Hochtaunuskliniken-Usingen</t>
        </is>
      </c>
      <c r="B546" s="4" t="inlineStr">
        <is>
          <t>● Beratung allgemein (auf Nachweis)</t>
        </is>
      </c>
      <c r="C546" s="9" t="inlineStr">
        <is>
          <t>Unbekannt</t>
        </is>
      </c>
      <c r="D546" s="10" t="inlineStr">
        <is>
          <t>⚠ Manual erforderlich</t>
        </is>
      </c>
      <c r="E546" s="11" t="inlineStr"/>
      <c r="F546" s="11" t="n">
        <v>0</v>
      </c>
      <c r="G546" s="11">
        <f>E546-F546</f>
        <v/>
      </c>
      <c r="H546" s="11" t="n">
        <v/>
      </c>
      <c r="I546" s="11" t="n">
        <v/>
      </c>
      <c r="J546" s="11" t="n">
        <v/>
      </c>
      <c r="K546" s="4" t="inlineStr">
        <is>
          <t>Abrechnungsart wählen; Stundensätze eingeben</t>
        </is>
      </c>
    </row>
    <row r="547">
      <c r="A547" s="4" t="inlineStr">
        <is>
          <t>3273.02 RMU-Hochtaunuskliniken-Usingen</t>
        </is>
      </c>
      <c r="B547" s="4" t="inlineStr">
        <is>
          <t>● (a.N.) Pos.1 - 7 Stück Räumungskarten</t>
        </is>
      </c>
      <c r="C547" s="4" t="inlineStr">
        <is>
          <t>Nachweis</t>
        </is>
      </c>
      <c r="D547" s="10" t="inlineStr">
        <is>
          <t>⚠ Manual erforderlich</t>
        </is>
      </c>
      <c r="E547" s="11" t="inlineStr"/>
      <c r="F547" s="11" t="n">
        <v>0</v>
      </c>
      <c r="G547" s="11">
        <f>E547-F547</f>
        <v/>
      </c>
      <c r="H547" s="11" t="n">
        <v/>
      </c>
      <c r="I547" s="11" t="n">
        <v/>
      </c>
      <c r="J547" s="11" t="n">
        <v/>
      </c>
      <c r="K547" s="4" t="inlineStr">
        <is>
          <t>Stundensätze eingeben</t>
        </is>
      </c>
    </row>
    <row r="548">
      <c r="A548" s="4" t="inlineStr">
        <is>
          <t>3273.02 RMU-Hochtaunuskliniken-Usingen</t>
        </is>
      </c>
      <c r="B548" s="4" t="inlineStr">
        <is>
          <t>● (a.N.) Pos.2 - 7 Stück Räumungspläne</t>
        </is>
      </c>
      <c r="C548" s="4" t="inlineStr">
        <is>
          <t>Nachweis</t>
        </is>
      </c>
      <c r="D548" s="10" t="inlineStr">
        <is>
          <t>⚠ Manual erforderlich</t>
        </is>
      </c>
      <c r="E548" s="11" t="inlineStr"/>
      <c r="F548" s="11" t="n">
        <v>0</v>
      </c>
      <c r="G548" s="11">
        <f>E548-F548</f>
        <v/>
      </c>
      <c r="H548" s="11" t="n">
        <v/>
      </c>
      <c r="I548" s="11" t="n">
        <v/>
      </c>
      <c r="J548" s="11" t="n">
        <v/>
      </c>
      <c r="K548" s="4" t="inlineStr">
        <is>
          <t>Stundensätze eingeben</t>
        </is>
      </c>
    </row>
    <row r="549">
      <c r="A549" s="4" t="inlineStr">
        <is>
          <t>3273.02 RMU-Hochtaunuskliniken-Usingen</t>
        </is>
      </c>
      <c r="B549" s="4" t="inlineStr">
        <is>
          <t>● (a.N.) Pos.3 - 7 Stück Räumungsmappen</t>
        </is>
      </c>
      <c r="C549" s="4" t="inlineStr">
        <is>
          <t>Nachweis</t>
        </is>
      </c>
      <c r="D549" s="10" t="inlineStr">
        <is>
          <t>⚠ Manual erforderlich</t>
        </is>
      </c>
      <c r="E549" s="11" t="inlineStr"/>
      <c r="F549" s="11" t="n">
        <v>0</v>
      </c>
      <c r="G549" s="11">
        <f>E549-F549</f>
        <v/>
      </c>
      <c r="H549" s="11" t="n">
        <v/>
      </c>
      <c r="I549" s="11" t="n">
        <v/>
      </c>
      <c r="J549" s="11" t="n">
        <v/>
      </c>
      <c r="K549" s="4" t="inlineStr">
        <is>
          <t>Stundensätze eingeben</t>
        </is>
      </c>
    </row>
    <row r="550">
      <c r="A550" s="4" t="inlineStr">
        <is>
          <t>3307 Neubau Hochhaus BASF-Ludwigshafen</t>
        </is>
      </c>
      <c r="B550" s="4" t="inlineStr">
        <is>
          <t>● 0000-Aquise</t>
        </is>
      </c>
      <c r="C550" s="9" t="inlineStr">
        <is>
          <t>Unbekannt</t>
        </is>
      </c>
      <c r="D550" s="10" t="inlineStr">
        <is>
          <t>⚠ Manual erforderlich</t>
        </is>
      </c>
      <c r="E550" s="11" t="inlineStr"/>
      <c r="F550" s="11" t="n">
        <v>0</v>
      </c>
      <c r="G550" s="11">
        <f>E550-F550</f>
        <v/>
      </c>
      <c r="H550" s="11" t="n">
        <v/>
      </c>
      <c r="I550" s="11" t="n">
        <v/>
      </c>
      <c r="J550" s="11" t="n">
        <v/>
      </c>
      <c r="K550" s="4" t="inlineStr">
        <is>
          <t>Abrechnungsart wählen; Stundensätze eingeben</t>
        </is>
      </c>
    </row>
    <row r="551">
      <c r="A551" s="4" t="inlineStr">
        <is>
          <t>3332.02 Fortschr-BSK-Kleyerstraße79-89-Telehouse-GebA</t>
        </is>
      </c>
      <c r="B551" s="4" t="inlineStr">
        <is>
          <t>● 1000-Grundlagenermittlung</t>
        </is>
      </c>
      <c r="C551" s="9" t="inlineStr">
        <is>
          <t>Unbekannt</t>
        </is>
      </c>
      <c r="D551" s="10" t="inlineStr">
        <is>
          <t>⚠ Manual erforderlich</t>
        </is>
      </c>
      <c r="E551" s="11" t="inlineStr"/>
      <c r="F551" s="11" t="n">
        <v>0</v>
      </c>
      <c r="G551" s="11">
        <f>E551-F551</f>
        <v/>
      </c>
      <c r="H551" s="11" t="n">
        <v/>
      </c>
      <c r="I551" s="11" t="n">
        <v/>
      </c>
      <c r="J551" s="11" t="n">
        <v/>
      </c>
      <c r="K551" s="4" t="inlineStr">
        <is>
          <t>Abrechnungsart wählen; Stundensätze eingeben</t>
        </is>
      </c>
    </row>
    <row r="552">
      <c r="A552" s="4" t="inlineStr">
        <is>
          <t>3332.02 Fortschr-BSK-Kleyerstraße79-89-Telehouse-GebA</t>
        </is>
      </c>
      <c r="B552" s="4" t="inlineStr">
        <is>
          <t>● 2000-Vorplanung</t>
        </is>
      </c>
      <c r="C552" s="9" t="inlineStr">
        <is>
          <t>Unbekannt</t>
        </is>
      </c>
      <c r="D552" s="10" t="inlineStr">
        <is>
          <t>⚠ Manual erforderlich</t>
        </is>
      </c>
      <c r="E552" s="11" t="inlineStr"/>
      <c r="F552" s="11" t="n">
        <v>0</v>
      </c>
      <c r="G552" s="11">
        <f>E552-F552</f>
        <v/>
      </c>
      <c r="H552" s="11" t="n">
        <v/>
      </c>
      <c r="I552" s="11" t="n">
        <v/>
      </c>
      <c r="J552" s="11" t="n">
        <v/>
      </c>
      <c r="K552" s="4" t="inlineStr">
        <is>
          <t>Abrechnungsart wählen; Stundensätze eingeben</t>
        </is>
      </c>
    </row>
    <row r="553">
      <c r="A553" s="4" t="inlineStr">
        <is>
          <t>3332.02 Fortschr-BSK-Kleyerstraße79-89-Telehouse-GebA</t>
        </is>
      </c>
      <c r="B553" s="4" t="inlineStr">
        <is>
          <t>● 3000-Entwurfsplanung</t>
        </is>
      </c>
      <c r="C553" s="9" t="inlineStr">
        <is>
          <t>Unbekannt</t>
        </is>
      </c>
      <c r="D553" s="10" t="inlineStr">
        <is>
          <t>⚠ Manual erforderlich</t>
        </is>
      </c>
      <c r="E553" s="11" t="inlineStr"/>
      <c r="F553" s="11" t="n">
        <v>0</v>
      </c>
      <c r="G553" s="11">
        <f>E553-F553</f>
        <v/>
      </c>
      <c r="H553" s="11" t="n">
        <v/>
      </c>
      <c r="I553" s="11" t="n">
        <v/>
      </c>
      <c r="J553" s="11" t="n">
        <v/>
      </c>
      <c r="K553" s="4" t="inlineStr">
        <is>
          <t>Abrechnungsart wählen; Stundensätze eingeben</t>
        </is>
      </c>
    </row>
    <row r="554">
      <c r="A554" s="4" t="inlineStr">
        <is>
          <t>3332.02 Fortschr-BSK-Kleyerstraße79-89-Telehouse-GebA</t>
        </is>
      </c>
      <c r="B554" s="4" t="inlineStr">
        <is>
          <t>● 4000-Genehmigungsplanung</t>
        </is>
      </c>
      <c r="C554" s="9" t="inlineStr">
        <is>
          <t>Unbekannt</t>
        </is>
      </c>
      <c r="D554" s="10" t="inlineStr">
        <is>
          <t>⚠ Manual erforderlich</t>
        </is>
      </c>
      <c r="E554" s="11" t="inlineStr"/>
      <c r="F554" s="11" t="n">
        <v>0</v>
      </c>
      <c r="G554" s="11">
        <f>E554-F554</f>
        <v/>
      </c>
      <c r="H554" s="11" t="n">
        <v/>
      </c>
      <c r="I554" s="11" t="n">
        <v/>
      </c>
      <c r="J554" s="11" t="n">
        <v/>
      </c>
      <c r="K554" s="4" t="inlineStr">
        <is>
          <t>Abrechnungsart wählen; Stundensätze eingeben</t>
        </is>
      </c>
    </row>
    <row r="555">
      <c r="A555" s="4" t="inlineStr">
        <is>
          <t>3332.02 Fortschr-BSK-Kleyerstraße79-89-Telehouse-GebA</t>
        </is>
      </c>
      <c r="B555" s="4" t="inlineStr">
        <is>
          <t>● 8000-Objektüberwachung</t>
        </is>
      </c>
      <c r="C555" s="9" t="inlineStr">
        <is>
          <t>Unbekannt</t>
        </is>
      </c>
      <c r="D555" s="10" t="inlineStr">
        <is>
          <t>⚠ Manual erforderlich</t>
        </is>
      </c>
      <c r="E555" s="11" t="inlineStr"/>
      <c r="F555" s="11" t="n">
        <v>0</v>
      </c>
      <c r="G555" s="11">
        <f>E555-F555</f>
        <v/>
      </c>
      <c r="H555" s="11" t="n">
        <v/>
      </c>
      <c r="I555" s="11" t="n">
        <v/>
      </c>
      <c r="J555" s="11" t="n">
        <v/>
      </c>
      <c r="K555" s="4" t="inlineStr">
        <is>
          <t>Abrechnungsart wählen; Stundensätze eingeben</t>
        </is>
      </c>
    </row>
    <row r="556">
      <c r="A556" s="4" t="inlineStr">
        <is>
          <t>3353.14  BSB-2025-Rudolf-Diesel-Straße-1-Hofheim</t>
        </is>
      </c>
      <c r="B556" s="4" t="inlineStr">
        <is>
          <t>● (a.N.) Brandschutzbeauftragter 2025</t>
        </is>
      </c>
      <c r="C556" s="4" t="inlineStr">
        <is>
          <t>Nachweis</t>
        </is>
      </c>
      <c r="D556" s="10" t="inlineStr">
        <is>
          <t>⚠ Manual erforderlich</t>
        </is>
      </c>
      <c r="E556" s="11" t="inlineStr"/>
      <c r="F556" s="11" t="n">
        <v>0</v>
      </c>
      <c r="G556" s="11">
        <f>E556-F556</f>
        <v/>
      </c>
      <c r="H556" s="11" t="n">
        <v/>
      </c>
      <c r="I556" s="11" t="n">
        <v/>
      </c>
      <c r="J556" s="11" t="n">
        <v/>
      </c>
      <c r="K556" s="4" t="inlineStr">
        <is>
          <t>Stundensätze eingeben</t>
        </is>
      </c>
    </row>
    <row r="557">
      <c r="A557" s="4" t="inlineStr">
        <is>
          <t>3356.03 Stufe5-Universität-Konstanz-Geb-A</t>
        </is>
      </c>
      <c r="B557" s="4" t="inlineStr">
        <is>
          <t>● 1000-Grundlagenermittlung</t>
        </is>
      </c>
      <c r="C557" s="9" t="inlineStr">
        <is>
          <t>Unbekannt</t>
        </is>
      </c>
      <c r="D557" s="10" t="inlineStr">
        <is>
          <t>⚠ Manual erforderlich</t>
        </is>
      </c>
      <c r="E557" s="11" t="inlineStr"/>
      <c r="F557" s="11" t="n">
        <v>0</v>
      </c>
      <c r="G557" s="11">
        <f>E557-F557</f>
        <v/>
      </c>
      <c r="H557" s="11" t="n">
        <v/>
      </c>
      <c r="I557" s="11" t="n">
        <v/>
      </c>
      <c r="J557" s="11" t="n">
        <v/>
      </c>
      <c r="K557" s="4" t="inlineStr">
        <is>
          <t>Abrechnungsart wählen; Stundensätze eingeben</t>
        </is>
      </c>
    </row>
    <row r="558">
      <c r="A558" s="4" t="inlineStr">
        <is>
          <t>3356.03 Stufe5-Universität-Konstanz-Geb-A</t>
        </is>
      </c>
      <c r="B558" s="4" t="inlineStr">
        <is>
          <t>● 5000-Ausführungsplanung</t>
        </is>
      </c>
      <c r="C558" s="9" t="inlineStr">
        <is>
          <t>Unbekannt</t>
        </is>
      </c>
      <c r="D558" s="10" t="inlineStr">
        <is>
          <t>⚠ Manual erforderlich</t>
        </is>
      </c>
      <c r="E558" s="11" t="inlineStr"/>
      <c r="F558" s="11" t="n">
        <v>0</v>
      </c>
      <c r="G558" s="11">
        <f>E558-F558</f>
        <v/>
      </c>
      <c r="H558" s="11" t="n">
        <v/>
      </c>
      <c r="I558" s="11" t="n">
        <v/>
      </c>
      <c r="J558" s="11" t="n">
        <v/>
      </c>
      <c r="K558" s="4" t="inlineStr">
        <is>
          <t>Abrechnungsart wählen; Stundensätze eingeben</t>
        </is>
      </c>
    </row>
    <row r="559">
      <c r="A559" s="4" t="inlineStr">
        <is>
          <t>3356.03 Stufe5-Universität-Konstanz-Geb-A</t>
        </is>
      </c>
      <c r="B559" s="4" t="inlineStr">
        <is>
          <t>● (aN) Pos. 1 Stundenkontingenterhöhung in der LP5 (ANG 2023-03-30)</t>
        </is>
      </c>
      <c r="C559" s="4" t="inlineStr">
        <is>
          <t>Nachweis</t>
        </is>
      </c>
      <c r="D559" s="10" t="inlineStr">
        <is>
          <t>⚠ Manual erforderlich</t>
        </is>
      </c>
      <c r="E559" s="11" t="inlineStr"/>
      <c r="F559" s="11" t="n">
        <v>0</v>
      </c>
      <c r="G559" s="11">
        <f>E559-F559</f>
        <v/>
      </c>
      <c r="H559" s="11" t="n">
        <v/>
      </c>
      <c r="I559" s="11" t="n">
        <v/>
      </c>
      <c r="J559" s="11" t="n">
        <v/>
      </c>
      <c r="K559" s="4" t="inlineStr">
        <is>
          <t>Stundensätze eingeben</t>
        </is>
      </c>
    </row>
    <row r="560">
      <c r="A560" s="4" t="inlineStr">
        <is>
          <t>3356.03 Stufe5-Universität-Konstanz-Geb-A</t>
        </is>
      </c>
      <c r="B560" s="4" t="inlineStr">
        <is>
          <t>● Nachtragsleistungen aus NAT 08</t>
        </is>
      </c>
      <c r="C560" s="9" t="inlineStr">
        <is>
          <t>Unbekannt</t>
        </is>
      </c>
      <c r="D560" s="10" t="inlineStr">
        <is>
          <t>⚠ Manual erforderlich</t>
        </is>
      </c>
      <c r="E560" s="11" t="inlineStr"/>
      <c r="F560" s="11" t="n">
        <v>0</v>
      </c>
      <c r="G560" s="11">
        <f>E560-F560</f>
        <v/>
      </c>
      <c r="H560" s="11" t="n">
        <v/>
      </c>
      <c r="I560" s="11" t="n">
        <v/>
      </c>
      <c r="J560" s="11" t="n">
        <v/>
      </c>
      <c r="K560" s="4" t="inlineStr">
        <is>
          <t>Abrechnungsart wählen; Stundensätze eingeben</t>
        </is>
      </c>
    </row>
    <row r="561">
      <c r="A561" s="4" t="inlineStr">
        <is>
          <t>3356.04 Stufe6-LP8-Uni-Konstanz-GebA</t>
        </is>
      </c>
      <c r="B561" s="4" t="inlineStr">
        <is>
          <t>● (p) LP8 (Stufe 6) GL</t>
        </is>
      </c>
      <c r="C561" s="4" t="inlineStr">
        <is>
          <t>Pauschale</t>
        </is>
      </c>
      <c r="D561" s="10" t="inlineStr">
        <is>
          <t>⚠ Manual erforderlich</t>
        </is>
      </c>
      <c r="E561" s="11" t="inlineStr"/>
      <c r="F561" s="11" t="n">
        <v>0</v>
      </c>
      <c r="G561" s="11">
        <f>E561-F561</f>
        <v/>
      </c>
      <c r="H561" s="11" t="n">
        <v>0</v>
      </c>
      <c r="I561" s="11" t="n">
        <v>0</v>
      </c>
      <c r="J561" s="11" t="n">
        <v>0</v>
      </c>
      <c r="K561" s="4" t="inlineStr">
        <is>
          <t>Stundensätze eingeben</t>
        </is>
      </c>
    </row>
    <row r="562">
      <c r="A562" s="4" t="inlineStr">
        <is>
          <t>3356.04 Stufe6-LP8-Uni-Konstanz-GebA</t>
        </is>
      </c>
      <c r="B562" s="4" t="inlineStr">
        <is>
          <t>● (p) LP8 (Stufe 6) BL</t>
        </is>
      </c>
      <c r="C562" s="4" t="inlineStr">
        <is>
          <t>Pauschale</t>
        </is>
      </c>
      <c r="D562" s="10" t="inlineStr">
        <is>
          <t>⚠ Manual erforderlich</t>
        </is>
      </c>
      <c r="E562" s="11" t="inlineStr"/>
      <c r="F562" s="11" t="n">
        <v>0</v>
      </c>
      <c r="G562" s="11">
        <f>E562-F562</f>
        <v/>
      </c>
      <c r="H562" s="11" t="n">
        <v>0</v>
      </c>
      <c r="I562" s="11" t="n">
        <v>0</v>
      </c>
      <c r="J562" s="11" t="n">
        <v>0</v>
      </c>
      <c r="K562" s="4" t="inlineStr">
        <is>
          <t>Stundensätze eingeben</t>
        </is>
      </c>
    </row>
    <row r="563">
      <c r="A563" s="4" t="inlineStr">
        <is>
          <t>3356.04 Stufe6-LP8-Uni-Konstanz-GebA</t>
        </is>
      </c>
      <c r="B563" s="4" t="inlineStr">
        <is>
          <t>● Nachtragsleistungen</t>
        </is>
      </c>
      <c r="C563" s="9" t="inlineStr">
        <is>
          <t>Unbekannt</t>
        </is>
      </c>
      <c r="D563" s="10" t="inlineStr">
        <is>
          <t>⚠ Manual erforderlich</t>
        </is>
      </c>
      <c r="E563" s="11" t="inlineStr"/>
      <c r="F563" s="11" t="n">
        <v>0</v>
      </c>
      <c r="G563" s="11">
        <f>E563-F563</f>
        <v/>
      </c>
      <c r="H563" s="11" t="n">
        <v/>
      </c>
      <c r="I563" s="11" t="n">
        <v/>
      </c>
      <c r="J563" s="11" t="n">
        <v/>
      </c>
      <c r="K563" s="4" t="inlineStr">
        <is>
          <t>Abrechnungsart wählen; Stundensätze eingeben</t>
        </is>
      </c>
    </row>
    <row r="564">
      <c r="A564" s="4" t="inlineStr">
        <is>
          <t>3356.06 VuBBW-Uni-Konstanz-BFM-GebA</t>
        </is>
      </c>
      <c r="B564" s="4" t="inlineStr">
        <is>
          <t>● •  (aN) 2.2 (unsere Pos. 1) Prüfung der (technischen) gewerkübergreifenden Brandfallsteuermatrix</t>
        </is>
      </c>
      <c r="C564" s="4" t="inlineStr">
        <is>
          <t>Nachweis</t>
        </is>
      </c>
      <c r="D564" s="10" t="inlineStr">
        <is>
          <t>⚠ Manual erforderlich</t>
        </is>
      </c>
      <c r="E564" s="11" t="inlineStr"/>
      <c r="F564" s="11" t="n">
        <v>0</v>
      </c>
      <c r="G564" s="11">
        <f>E564-F564</f>
        <v/>
      </c>
      <c r="H564" s="11" t="n">
        <v/>
      </c>
      <c r="I564" s="11" t="n">
        <v/>
      </c>
      <c r="J564" s="11" t="n">
        <v/>
      </c>
      <c r="K564" s="4" t="inlineStr">
        <is>
          <t>Stundensätze eingeben</t>
        </is>
      </c>
    </row>
    <row r="565">
      <c r="A565" s="4" t="inlineStr">
        <is>
          <t>3356.06 VuBBW-Uni-Konstanz-BFM-GebA</t>
        </is>
      </c>
      <c r="B565" s="4" t="inlineStr">
        <is>
          <t>● • (aN) 2.2 (unsere Pos. 1) Prüfung Brandfallsteuermatrix/ zweiter Prüflauf</t>
        </is>
      </c>
      <c r="C565" s="4" t="inlineStr">
        <is>
          <t>Nachweis</t>
        </is>
      </c>
      <c r="D565" s="10" t="inlineStr">
        <is>
          <t>⚠ Manual erforderlich</t>
        </is>
      </c>
      <c r="E565" s="11" t="inlineStr"/>
      <c r="F565" s="11" t="n">
        <v>0</v>
      </c>
      <c r="G565" s="11">
        <f>E565-F565</f>
        <v/>
      </c>
      <c r="H565" s="11" t="n">
        <v/>
      </c>
      <c r="I565" s="11" t="n">
        <v/>
      </c>
      <c r="J565" s="11" t="n">
        <v/>
      </c>
      <c r="K565" s="4" t="inlineStr">
        <is>
          <t>Stundensätze eingeben</t>
        </is>
      </c>
    </row>
    <row r="566">
      <c r="A566" s="4" t="inlineStr">
        <is>
          <t>3356.07 NAT-07-BST-Uni-Konstanz-Brandlastermittlung-Eingang-GebA</t>
        </is>
      </c>
      <c r="B566" s="4" t="inlineStr">
        <is>
          <t>● (p) Pos.1 BSN Simulation mit dem Feldmodell Fire Dynamics Simulator (FDS)</t>
        </is>
      </c>
      <c r="C566" s="4" t="inlineStr">
        <is>
          <t>Pauschale</t>
        </is>
      </c>
      <c r="D566" s="10" t="inlineStr">
        <is>
          <t>⚠ Manual erforderlich</t>
        </is>
      </c>
      <c r="E566" s="11" t="inlineStr"/>
      <c r="F566" s="11" t="n">
        <v>0</v>
      </c>
      <c r="G566" s="11">
        <f>E566-F566</f>
        <v/>
      </c>
      <c r="H566" s="11" t="n">
        <v>0</v>
      </c>
      <c r="I566" s="11" t="n">
        <v>0</v>
      </c>
      <c r="J566" s="11" t="n">
        <v>0</v>
      </c>
      <c r="K566" s="4" t="inlineStr">
        <is>
          <t>Stundensätze eingeben</t>
        </is>
      </c>
    </row>
    <row r="567">
      <c r="A567" s="4" t="inlineStr">
        <is>
          <t>3356.07 NAT-07-BST-Uni-Konstanz-Brandlastermittlung-Eingang-GebA</t>
        </is>
      </c>
      <c r="B567" s="4" t="inlineStr">
        <is>
          <t>● (p) Pos.2 Zusätzlicher Simulationslauf</t>
        </is>
      </c>
      <c r="C567" s="4" t="inlineStr">
        <is>
          <t>Pauschale</t>
        </is>
      </c>
      <c r="D567" s="10" t="inlineStr">
        <is>
          <t>⚠ Manual erforderlich</t>
        </is>
      </c>
      <c r="E567" s="11" t="inlineStr"/>
      <c r="F567" s="11" t="n">
        <v>0</v>
      </c>
      <c r="G567" s="11">
        <f>E567-F567</f>
        <v/>
      </c>
      <c r="H567" s="11" t="n">
        <v>0</v>
      </c>
      <c r="I567" s="11" t="n">
        <v>0</v>
      </c>
      <c r="J567" s="11" t="n">
        <v>0</v>
      </c>
      <c r="K567" s="4" t="inlineStr">
        <is>
          <t>Stundensätze eingeben</t>
        </is>
      </c>
    </row>
    <row r="568">
      <c r="A568" s="4" t="inlineStr">
        <is>
          <t>3356.07 NAT-07-BST-Uni-Konstanz-Brandlastermittlung-Eingang-GebA</t>
        </is>
      </c>
      <c r="B568" s="4" t="inlineStr">
        <is>
          <t>● (p) Pos.2 (aus ANG 2024) 4.1.2 Durchführung Rauchversuch</t>
        </is>
      </c>
      <c r="C568" s="4" t="inlineStr">
        <is>
          <t>Pauschale</t>
        </is>
      </c>
      <c r="D568" s="10" t="inlineStr">
        <is>
          <t>⚠ Manual erforderlich</t>
        </is>
      </c>
      <c r="E568" s="11" t="inlineStr"/>
      <c r="F568" s="11" t="n">
        <v>0</v>
      </c>
      <c r="G568" s="11">
        <f>E568-F568</f>
        <v/>
      </c>
      <c r="H568" s="11" t="n">
        <v>0</v>
      </c>
      <c r="I568" s="11" t="n">
        <v>0</v>
      </c>
      <c r="J568" s="11" t="n">
        <v>0</v>
      </c>
      <c r="K568" s="4" t="inlineStr">
        <is>
          <t>Stundensätze eingeben</t>
        </is>
      </c>
    </row>
    <row r="569">
      <c r="A569" s="4" t="inlineStr">
        <is>
          <t>3356.07 NAT-07-BST-Uni-Konstanz-Brandlastermittlung-Eingang-GebA</t>
        </is>
      </c>
      <c r="B569" s="4" t="inlineStr">
        <is>
          <t>● (aN) Pos.3 (ANG 2025) 4.1.7 CFD Strömungs-+ Brandsimulation</t>
        </is>
      </c>
      <c r="C569" s="4" t="inlineStr">
        <is>
          <t>Nachweis</t>
        </is>
      </c>
      <c r="D569" s="10" t="inlineStr">
        <is>
          <t>⚠ Manual erforderlich</t>
        </is>
      </c>
      <c r="E569" s="11" t="inlineStr"/>
      <c r="F569" s="11" t="n">
        <v>0</v>
      </c>
      <c r="G569" s="11">
        <f>E569-F569</f>
        <v/>
      </c>
      <c r="H569" s="11" t="n">
        <v/>
      </c>
      <c r="I569" s="11" t="n">
        <v/>
      </c>
      <c r="J569" s="11" t="n">
        <v/>
      </c>
      <c r="K569" s="4" t="inlineStr">
        <is>
          <t>Stundensätze eingeben</t>
        </is>
      </c>
    </row>
    <row r="570">
      <c r="A570" s="4" t="inlineStr">
        <is>
          <t>3356.07 NAT-07-BST-Uni-Konstanz-Brandlastermittlung-Eingang-GebA</t>
        </is>
      </c>
      <c r="B570" s="4" t="inlineStr">
        <is>
          <t>● (p) Pos.4 (ANG 2025) 4.1.8 NT Rauchversuch</t>
        </is>
      </c>
      <c r="C570" s="4" t="inlineStr">
        <is>
          <t>Pauschale</t>
        </is>
      </c>
      <c r="D570" s="10" t="inlineStr">
        <is>
          <t>⚠ Manual erforderlich</t>
        </is>
      </c>
      <c r="E570" s="11" t="inlineStr"/>
      <c r="F570" s="11" t="n">
        <v>0</v>
      </c>
      <c r="G570" s="11">
        <f>E570-F570</f>
        <v/>
      </c>
      <c r="H570" s="11" t="n">
        <v>0</v>
      </c>
      <c r="I570" s="11" t="n">
        <v>0</v>
      </c>
      <c r="J570" s="11" t="n">
        <v>0</v>
      </c>
      <c r="K570" s="4" t="inlineStr">
        <is>
          <t>Stundensätze eingeben</t>
        </is>
      </c>
    </row>
    <row r="571">
      <c r="A571" s="4" t="inlineStr">
        <is>
          <t>3356.08 NAT-08-Stufe6-LP8-Uni-Konstanz-GebA</t>
        </is>
      </c>
      <c r="B571" s="4" t="inlineStr">
        <is>
          <t>● (p) Pos.1(A) (4.1.1) Anpassung/Fortschr. BSK</t>
        </is>
      </c>
      <c r="C571" s="4" t="inlineStr">
        <is>
          <t>Pauschale</t>
        </is>
      </c>
      <c r="D571" s="10" t="inlineStr">
        <is>
          <t>⚠ Manual erforderlich</t>
        </is>
      </c>
      <c r="E571" s="11" t="inlineStr"/>
      <c r="F571" s="11" t="n">
        <v>0</v>
      </c>
      <c r="G571" s="11">
        <f>E571-F571</f>
        <v/>
      </c>
      <c r="H571" s="11" t="n">
        <v>0</v>
      </c>
      <c r="I571" s="11" t="n">
        <v>0</v>
      </c>
      <c r="J571" s="11" t="n">
        <v>0</v>
      </c>
      <c r="K571" s="4" t="inlineStr">
        <is>
          <t>Stundensätze eingeben</t>
        </is>
      </c>
    </row>
    <row r="572">
      <c r="A572" s="4" t="inlineStr">
        <is>
          <t>3356.08 NAT-08-Stufe6-LP8-Uni-Konstanz-GebA</t>
        </is>
      </c>
      <c r="B572" s="4" t="inlineStr">
        <is>
          <t>● (aN) Pos.2(B) (4.1.4) 10 Halbtagespauschalen 10 Stck.á 600€</t>
        </is>
      </c>
      <c r="C572" s="4" t="inlineStr">
        <is>
          <t>Nachweis</t>
        </is>
      </c>
      <c r="D572" s="10" t="inlineStr">
        <is>
          <t>⚠ Manual erforderlich</t>
        </is>
      </c>
      <c r="E572" s="11" t="inlineStr"/>
      <c r="F572" s="11" t="n">
        <v>0</v>
      </c>
      <c r="G572" s="11">
        <f>E572-F572</f>
        <v/>
      </c>
      <c r="H572" s="11" t="n">
        <v/>
      </c>
      <c r="I572" s="11" t="n">
        <v/>
      </c>
      <c r="J572" s="11" t="n">
        <v/>
      </c>
      <c r="K572" s="4" t="inlineStr">
        <is>
          <t>Stundensätze eingeben</t>
        </is>
      </c>
    </row>
    <row r="573">
      <c r="A573" s="4" t="inlineStr">
        <is>
          <t>3356.08 NAT-08-Stufe6-LP8-Uni-Konstanz-GebA</t>
        </is>
      </c>
      <c r="B573" s="4" t="inlineStr">
        <is>
          <t>● (aN) Pos.2(B) (4.1.5) 10 Tagespauschalen 10 Stck. á 1.000€</t>
        </is>
      </c>
      <c r="C573" s="4" t="inlineStr">
        <is>
          <t>Nachweis</t>
        </is>
      </c>
      <c r="D573" s="10" t="inlineStr">
        <is>
          <t>⚠ Manual erforderlich</t>
        </is>
      </c>
      <c r="E573" s="11" t="inlineStr"/>
      <c r="F573" s="11" t="n">
        <v>0</v>
      </c>
      <c r="G573" s="11">
        <f>E573-F573</f>
        <v/>
      </c>
      <c r="H573" s="11" t="n">
        <v/>
      </c>
      <c r="I573" s="11" t="n">
        <v/>
      </c>
      <c r="J573" s="11" t="n">
        <v/>
      </c>
      <c r="K573" s="4" t="inlineStr">
        <is>
          <t>Stundensätze eingeben</t>
        </is>
      </c>
    </row>
    <row r="574">
      <c r="A574" s="4" t="inlineStr">
        <is>
          <t>3356.08 NAT-08-Stufe6-LP8-Uni-Konstanz-GebA</t>
        </is>
      </c>
      <c r="B574" s="4" t="inlineStr">
        <is>
          <t>● (aN) Pos.2(B) (4.1.6) weitere Std.Beratung in der LP8 (100 h SV) 10.000 €</t>
        </is>
      </c>
      <c r="C574" s="4" t="inlineStr">
        <is>
          <t>Nachweis</t>
        </is>
      </c>
      <c r="D574" s="10" t="inlineStr">
        <is>
          <t>⚠ Manual erforderlich</t>
        </is>
      </c>
      <c r="E574" s="11" t="inlineStr"/>
      <c r="F574" s="11" t="n">
        <v>0</v>
      </c>
      <c r="G574" s="11">
        <f>E574-F574</f>
        <v/>
      </c>
      <c r="H574" s="11" t="n">
        <v/>
      </c>
      <c r="I574" s="11" t="n">
        <v/>
      </c>
      <c r="J574" s="11" t="n">
        <v/>
      </c>
      <c r="K574" s="4" t="inlineStr">
        <is>
          <t>Stundensätze eingeben</t>
        </is>
      </c>
    </row>
    <row r="575">
      <c r="A575" s="4" t="inlineStr">
        <is>
          <t>3356.08 NAT-08-Stufe6-LP8-Uni-Konstanz-GebA</t>
        </is>
      </c>
      <c r="B575" s="4" t="inlineStr">
        <is>
          <t>● (p) Pos.5(B) (4.1.9) weitere Anpassung BSK</t>
        </is>
      </c>
      <c r="C575" s="4" t="inlineStr">
        <is>
          <t>Pauschale</t>
        </is>
      </c>
      <c r="D575" s="10" t="inlineStr">
        <is>
          <t>⚠ Manual erforderlich</t>
        </is>
      </c>
      <c r="E575" s="11" t="inlineStr"/>
      <c r="F575" s="11" t="n">
        <v>0</v>
      </c>
      <c r="G575" s="11">
        <f>E575-F575</f>
        <v/>
      </c>
      <c r="H575" s="11" t="n">
        <v>0</v>
      </c>
      <c r="I575" s="11" t="n">
        <v>0</v>
      </c>
      <c r="J575" s="11" t="n">
        <v>0</v>
      </c>
      <c r="K575" s="4" t="inlineStr">
        <is>
          <t>Stundensätze eingeben</t>
        </is>
      </c>
    </row>
    <row r="576">
      <c r="A576" s="4" t="inlineStr">
        <is>
          <t>3356.08 NAT-08-Stufe6-LP8-Uni-Konstanz-GebA</t>
        </is>
      </c>
      <c r="B576" s="4" t="inlineStr">
        <is>
          <t>● (aN) Pos.6(B) (4.1.10) Anpassung FRP</t>
        </is>
      </c>
      <c r="C576" s="4" t="inlineStr">
        <is>
          <t>Nachweis</t>
        </is>
      </c>
      <c r="D576" s="10" t="inlineStr">
        <is>
          <t>⚠ Manual erforderlich</t>
        </is>
      </c>
      <c r="E576" s="11" t="inlineStr"/>
      <c r="F576" s="11" t="n">
        <v>0</v>
      </c>
      <c r="G576" s="11">
        <f>E576-F576</f>
        <v/>
      </c>
      <c r="H576" s="11" t="n">
        <v/>
      </c>
      <c r="I576" s="11" t="n">
        <v/>
      </c>
      <c r="J576" s="11" t="n">
        <v/>
      </c>
      <c r="K576" s="4" t="inlineStr">
        <is>
          <t>Stundensätze eingeben</t>
        </is>
      </c>
    </row>
    <row r="577">
      <c r="A577" s="4" t="inlineStr">
        <is>
          <t>3356.08 NAT-08-Stufe6-LP8-Uni-Konstanz-GebA</t>
        </is>
      </c>
      <c r="B577" s="4" t="inlineStr">
        <is>
          <t>● (aN) Pos.7(B) (4.1.11) Anpassung FWP</t>
        </is>
      </c>
      <c r="C577" s="4" t="inlineStr">
        <is>
          <t>Nachweis</t>
        </is>
      </c>
      <c r="D577" s="10" t="inlineStr">
        <is>
          <t>⚠ Manual erforderlich</t>
        </is>
      </c>
      <c r="E577" s="11" t="inlineStr"/>
      <c r="F577" s="11" t="n">
        <v>0</v>
      </c>
      <c r="G577" s="11">
        <f>E577-F577</f>
        <v/>
      </c>
      <c r="H577" s="11" t="n">
        <v/>
      </c>
      <c r="I577" s="11" t="n">
        <v/>
      </c>
      <c r="J577" s="11" t="n">
        <v/>
      </c>
      <c r="K577" s="4" t="inlineStr">
        <is>
          <t>Stundensätze eingeben</t>
        </is>
      </c>
    </row>
    <row r="578">
      <c r="A578" s="4" t="inlineStr">
        <is>
          <t>3381.01 Telehouse-BSK-C1 Nutzungsänderung-EG+KG</t>
        </is>
      </c>
      <c r="B578" s="4" t="inlineStr">
        <is>
          <t>● (p) BSK Nutzungsänderung Geb.C 1 EG/KG</t>
        </is>
      </c>
      <c r="C578" s="4" t="inlineStr">
        <is>
          <t>Pauschale</t>
        </is>
      </c>
      <c r="D578" s="10" t="inlineStr">
        <is>
          <t>⚠ Manual erforderlich</t>
        </is>
      </c>
      <c r="E578" s="11" t="inlineStr"/>
      <c r="F578" s="11" t="n">
        <v>0</v>
      </c>
      <c r="G578" s="11">
        <f>E578-F578</f>
        <v/>
      </c>
      <c r="H578" s="11" t="n">
        <v>0</v>
      </c>
      <c r="I578" s="11" t="n">
        <v>0</v>
      </c>
      <c r="J578" s="11" t="n">
        <v>0</v>
      </c>
      <c r="K578" s="4" t="inlineStr">
        <is>
          <t>Stundensätze eingeben</t>
        </is>
      </c>
    </row>
    <row r="579">
      <c r="A579" s="4" t="inlineStr">
        <is>
          <t>3381.02 Telehouse-KOF-C1-UG-Kleyerstraße79-89-FFM</t>
        </is>
      </c>
      <c r="B579" s="4" t="inlineStr">
        <is>
          <t>● Stundensammler</t>
        </is>
      </c>
      <c r="C579" s="9" t="inlineStr">
        <is>
          <t>Unbekannt</t>
        </is>
      </c>
      <c r="D579" s="10" t="inlineStr">
        <is>
          <t>⚠ Manual erforderlich</t>
        </is>
      </c>
      <c r="E579" s="11" t="inlineStr"/>
      <c r="F579" s="11" t="n">
        <v>0</v>
      </c>
      <c r="G579" s="11">
        <f>E579-F579</f>
        <v/>
      </c>
      <c r="H579" s="11" t="n">
        <v/>
      </c>
      <c r="I579" s="11" t="n">
        <v/>
      </c>
      <c r="J579" s="11" t="n">
        <v/>
      </c>
      <c r="K579" s="4" t="inlineStr">
        <is>
          <t>Abrechnungsart wählen; Stundensätze eingeben</t>
        </is>
      </c>
    </row>
    <row r="580">
      <c r="A580" s="4" t="inlineStr">
        <is>
          <t>3392.03 BTB-BAB-Schillerpassage-Frankfurt</t>
        </is>
      </c>
      <c r="B580" s="4" t="inlineStr">
        <is>
          <t>● 1000-Grundlagenermittlung</t>
        </is>
      </c>
      <c r="C580" s="9" t="inlineStr">
        <is>
          <t>Unbekannt</t>
        </is>
      </c>
      <c r="D580" s="10" t="inlineStr">
        <is>
          <t>⚠ Manual erforderlich</t>
        </is>
      </c>
      <c r="E580" s="11" t="inlineStr"/>
      <c r="F580" s="11" t="n">
        <v>0</v>
      </c>
      <c r="G580" s="11">
        <f>E580-F580</f>
        <v/>
      </c>
      <c r="H580" s="11" t="n">
        <v/>
      </c>
      <c r="I580" s="11" t="n">
        <v/>
      </c>
      <c r="J580" s="11" t="n">
        <v/>
      </c>
      <c r="K580" s="4" t="inlineStr">
        <is>
          <t>Abrechnungsart wählen; Stundensätze eingeben</t>
        </is>
      </c>
    </row>
    <row r="581">
      <c r="A581" s="4" t="inlineStr">
        <is>
          <t>3392.03 BTB-BAB-Schillerpassage-Frankfurt</t>
        </is>
      </c>
      <c r="B581" s="4" t="inlineStr">
        <is>
          <t>● 5000-Ausführungsplanung</t>
        </is>
      </c>
      <c r="C581" s="9" t="inlineStr">
        <is>
          <t>Unbekannt</t>
        </is>
      </c>
      <c r="D581" s="10" t="inlineStr">
        <is>
          <t>⚠ Manual erforderlich</t>
        </is>
      </c>
      <c r="E581" s="11" t="inlineStr"/>
      <c r="F581" s="11" t="n">
        <v>0</v>
      </c>
      <c r="G581" s="11">
        <f>E581-F581</f>
        <v/>
      </c>
      <c r="H581" s="11" t="n">
        <v/>
      </c>
      <c r="I581" s="11" t="n">
        <v/>
      </c>
      <c r="J581" s="11" t="n">
        <v/>
      </c>
      <c r="K581" s="4" t="inlineStr">
        <is>
          <t>Abrechnungsart wählen; Stundensätze eingeben</t>
        </is>
      </c>
    </row>
    <row r="582">
      <c r="A582" s="4" t="inlineStr">
        <is>
          <t>3392.03 BTB-BAB-Schillerpassage-Frankfurt</t>
        </is>
      </c>
      <c r="B582" s="4" t="inlineStr">
        <is>
          <t>● 8000-Objektüberwachung</t>
        </is>
      </c>
      <c r="C582" s="9" t="inlineStr">
        <is>
          <t>Unbekannt</t>
        </is>
      </c>
      <c r="D582" s="10" t="inlineStr">
        <is>
          <t>⚠ Manual erforderlich</t>
        </is>
      </c>
      <c r="E582" s="11" t="inlineStr"/>
      <c r="F582" s="11" t="n">
        <v>0</v>
      </c>
      <c r="G582" s="11">
        <f>E582-F582</f>
        <v/>
      </c>
      <c r="H582" s="11" t="n">
        <v/>
      </c>
      <c r="I582" s="11" t="n">
        <v/>
      </c>
      <c r="J582" s="11" t="n">
        <v/>
      </c>
      <c r="K582" s="4" t="inlineStr">
        <is>
          <t>Abrechnungsart wählen; Stundensätze eingeben</t>
        </is>
      </c>
    </row>
    <row r="583">
      <c r="A583" s="4" t="inlineStr">
        <is>
          <t>3400 uPva-München-Marienplatz</t>
        </is>
      </c>
      <c r="B583" s="4" t="inlineStr">
        <is>
          <t>● 5000-Ausführungsplanung</t>
        </is>
      </c>
      <c r="C583" s="9" t="inlineStr">
        <is>
          <t>Unbekannt</t>
        </is>
      </c>
      <c r="D583" s="10" t="inlineStr">
        <is>
          <t>⚠ Manual erforderlich</t>
        </is>
      </c>
      <c r="E583" s="11" t="inlineStr"/>
      <c r="F583" s="11" t="n">
        <v>0</v>
      </c>
      <c r="G583" s="11">
        <f>E583-F583</f>
        <v/>
      </c>
      <c r="H583" s="11" t="n">
        <v/>
      </c>
      <c r="I583" s="11" t="n">
        <v/>
      </c>
      <c r="J583" s="11" t="n">
        <v/>
      </c>
      <c r="K583" s="4" t="inlineStr">
        <is>
          <t>Abrechnungsart wählen; Stundensätze eingeben</t>
        </is>
      </c>
    </row>
    <row r="584">
      <c r="A584" s="4" t="inlineStr">
        <is>
          <t>3400 uPva-München-Marienplatz</t>
        </is>
      </c>
      <c r="B584" s="4" t="inlineStr">
        <is>
          <t>● 8000-Objektüberwachung</t>
        </is>
      </c>
      <c r="C584" s="9" t="inlineStr">
        <is>
          <t>Unbekannt</t>
        </is>
      </c>
      <c r="D584" s="10" t="inlineStr">
        <is>
          <t>⚠ Manual erforderlich</t>
        </is>
      </c>
      <c r="E584" s="11" t="inlineStr"/>
      <c r="F584" s="11" t="n">
        <v>0</v>
      </c>
      <c r="G584" s="11">
        <f>E584-F584</f>
        <v/>
      </c>
      <c r="H584" s="11" t="n">
        <v/>
      </c>
      <c r="I584" s="11" t="n">
        <v/>
      </c>
      <c r="J584" s="11" t="n">
        <v/>
      </c>
      <c r="K584" s="4" t="inlineStr">
        <is>
          <t>Abrechnungsart wählen; Stundensätze eingeben</t>
        </is>
      </c>
    </row>
    <row r="585">
      <c r="A585" s="4" t="inlineStr">
        <is>
          <t>3400 uPva-München-Marienplatz</t>
        </is>
      </c>
      <c r="B585" s="4" t="inlineStr">
        <is>
          <t>● 9000-Objektbetreuung und Dokumentation</t>
        </is>
      </c>
      <c r="C585" s="9" t="inlineStr">
        <is>
          <t>Unbekannt</t>
        </is>
      </c>
      <c r="D585" s="10" t="inlineStr">
        <is>
          <t>⚠ Manual erforderlich</t>
        </is>
      </c>
      <c r="E585" s="11" t="inlineStr"/>
      <c r="F585" s="11" t="n">
        <v>0</v>
      </c>
      <c r="G585" s="11">
        <f>E585-F585</f>
        <v/>
      </c>
      <c r="H585" s="11" t="n">
        <v/>
      </c>
      <c r="I585" s="11" t="n">
        <v/>
      </c>
      <c r="J585" s="11" t="n">
        <v/>
      </c>
      <c r="K585" s="4" t="inlineStr">
        <is>
          <t>Abrechnungsart wählen; Stundensätze eingeben</t>
        </is>
      </c>
    </row>
    <row r="586">
      <c r="A586" s="4" t="inlineStr">
        <is>
          <t>3400.01 uPva-München-Marienplatz-BTB+WPP</t>
        </is>
      </c>
      <c r="B586" s="4" t="inlineStr">
        <is>
          <t>● (a.N) NAT 04-BTB+WPP</t>
        </is>
      </c>
      <c r="C586" s="9" t="inlineStr">
        <is>
          <t>Unbekannt</t>
        </is>
      </c>
      <c r="D586" s="10" t="inlineStr">
        <is>
          <t>⚠ Manual erforderlich</t>
        </is>
      </c>
      <c r="E586" s="11" t="inlineStr"/>
      <c r="F586" s="11" t="n">
        <v>0</v>
      </c>
      <c r="G586" s="11">
        <f>E586-F586</f>
        <v/>
      </c>
      <c r="H586" s="11" t="n">
        <v/>
      </c>
      <c r="I586" s="11" t="n">
        <v/>
      </c>
      <c r="J586" s="11" t="n">
        <v/>
      </c>
      <c r="K586" s="4" t="inlineStr">
        <is>
          <t>Abrechnungsart wählen; Stundensätze eingeben</t>
        </is>
      </c>
    </row>
    <row r="587">
      <c r="A587" s="4" t="inlineStr">
        <is>
          <t>3400.02 NAT-BST-uPva-München-Marienplatz-Aufsichtskanzeln-MMP</t>
        </is>
      </c>
      <c r="B587" s="4" t="inlineStr">
        <is>
          <t>● (aN) Pos.1 BST  für die Aufsichtskanzeln d. Bahnsteigebenen MHT</t>
        </is>
      </c>
      <c r="C587" s="4" t="inlineStr">
        <is>
          <t>Nachweis</t>
        </is>
      </c>
      <c r="D587" s="10" t="inlineStr">
        <is>
          <t>⚠ Manual erforderlich</t>
        </is>
      </c>
      <c r="E587" s="11" t="inlineStr"/>
      <c r="F587" s="11" t="n">
        <v>0</v>
      </c>
      <c r="G587" s="11">
        <f>E587-F587</f>
        <v/>
      </c>
      <c r="H587" s="11" t="n">
        <v/>
      </c>
      <c r="I587" s="11" t="n">
        <v/>
      </c>
      <c r="J587" s="11" t="n">
        <v/>
      </c>
      <c r="K587" s="4" t="inlineStr">
        <is>
          <t>Stundensätze eingeben</t>
        </is>
      </c>
    </row>
    <row r="588">
      <c r="A588" s="4" t="inlineStr">
        <is>
          <t>3400.03 DB-PLP-uPVA-MMP-nsFLA</t>
        </is>
      </c>
      <c r="B588" s="4" t="inlineStr">
        <is>
          <t>● (aN) Pos.1 Planprüfung nichtselbständiger FLA</t>
        </is>
      </c>
      <c r="C588" s="4" t="inlineStr">
        <is>
          <t>Nachweis</t>
        </is>
      </c>
      <c r="D588" s="10" t="inlineStr">
        <is>
          <t>⚠ Manual erforderlich</t>
        </is>
      </c>
      <c r="E588" s="11" t="inlineStr"/>
      <c r="F588" s="11" t="n">
        <v>0</v>
      </c>
      <c r="G588" s="11">
        <f>E588-F588</f>
        <v/>
      </c>
      <c r="H588" s="11" t="n">
        <v/>
      </c>
      <c r="I588" s="11" t="n">
        <v/>
      </c>
      <c r="J588" s="11" t="n">
        <v/>
      </c>
      <c r="K588" s="4" t="inlineStr">
        <is>
          <t>Stundensätze eingeben</t>
        </is>
      </c>
    </row>
    <row r="589">
      <c r="A589" s="4" t="inlineStr">
        <is>
          <t>3400.04 DB-PHP-uPVA-MMP-VM-Bäcker-2+3UG</t>
        </is>
      </c>
      <c r="B589" s="4" t="inlineStr">
        <is>
          <t>● (aN) Pos.1 Planprüfung selbstätige Feuerlöschanlage</t>
        </is>
      </c>
      <c r="C589" s="4" t="inlineStr">
        <is>
          <t>Nachweis</t>
        </is>
      </c>
      <c r="D589" s="10" t="inlineStr">
        <is>
          <t>⚠ Manual erforderlich</t>
        </is>
      </c>
      <c r="E589" s="11" t="inlineStr"/>
      <c r="F589" s="11" t="n">
        <v>0</v>
      </c>
      <c r="G589" s="11">
        <f>E589-F589</f>
        <v/>
      </c>
      <c r="H589" s="11" t="n">
        <v/>
      </c>
      <c r="I589" s="11" t="n">
        <v/>
      </c>
      <c r="J589" s="11" t="n">
        <v/>
      </c>
      <c r="K589" s="4" t="inlineStr">
        <is>
          <t>Stundensätze eingeben</t>
        </is>
      </c>
    </row>
    <row r="590">
      <c r="A590" s="4" t="inlineStr">
        <is>
          <t>3400.04 DB-PHP-uPVA-MMP-VM-Bäcker-2+3UG</t>
        </is>
      </c>
      <c r="B590" s="4" t="inlineStr">
        <is>
          <t>● (p) Pos.2 Sachverständigenprüfung sFLA nach Prüfverordnung Bundesland</t>
        </is>
      </c>
      <c r="C590" s="4" t="inlineStr">
        <is>
          <t>Pauschale</t>
        </is>
      </c>
      <c r="D590" s="10" t="inlineStr">
        <is>
          <t>⚠ Manual erforderlich</t>
        </is>
      </c>
      <c r="E590" s="11" t="inlineStr"/>
      <c r="F590" s="11" t="n">
        <v>0</v>
      </c>
      <c r="G590" s="11">
        <f>E590-F590</f>
        <v/>
      </c>
      <c r="H590" s="11" t="n">
        <v>0</v>
      </c>
      <c r="I590" s="11" t="n">
        <v>0</v>
      </c>
      <c r="J590" s="11" t="n">
        <v>0</v>
      </c>
      <c r="K590" s="4" t="inlineStr">
        <is>
          <t>Stundensätze eingeben</t>
        </is>
      </c>
    </row>
    <row r="591">
      <c r="A591" s="4" t="inlineStr">
        <is>
          <t>3400.04 DB-PHP-uPVA-MMP-VM-Bäcker-2+3UG</t>
        </is>
      </c>
      <c r="B591" s="4" t="inlineStr">
        <is>
          <t>● (aN) Pos.3 Mängelkontrollen</t>
        </is>
      </c>
      <c r="C591" s="4" t="inlineStr">
        <is>
          <t>Nachweis</t>
        </is>
      </c>
      <c r="D591" s="10" t="inlineStr">
        <is>
          <t>⚠ Manual erforderlich</t>
        </is>
      </c>
      <c r="E591" s="11" t="inlineStr"/>
      <c r="F591" s="11" t="n">
        <v>0</v>
      </c>
      <c r="G591" s="11">
        <f>E591-F591</f>
        <v/>
      </c>
      <c r="H591" s="11" t="n">
        <v/>
      </c>
      <c r="I591" s="11" t="n">
        <v/>
      </c>
      <c r="J591" s="11" t="n">
        <v/>
      </c>
      <c r="K591" s="4" t="inlineStr">
        <is>
          <t>Stundensätze eingeben</t>
        </is>
      </c>
    </row>
    <row r="592">
      <c r="A592" s="4" t="inlineStr">
        <is>
          <t>3400.101 BST-uPva-Marienplatz-Rischart-München-Bauphasen-Bäcker-2.+3.UG</t>
        </is>
      </c>
      <c r="B592" s="4" t="inlineStr">
        <is>
          <t>● (p) Pos.1 BST für die Bauphasen des Neubaus der Vermarktungsflächen Bäckerei</t>
        </is>
      </c>
      <c r="C592" s="4" t="inlineStr">
        <is>
          <t>Pauschale</t>
        </is>
      </c>
      <c r="D592" s="10" t="inlineStr">
        <is>
          <t>⚠ Manual erforderlich</t>
        </is>
      </c>
      <c r="E592" s="11" t="inlineStr"/>
      <c r="F592" s="11" t="n">
        <v>0</v>
      </c>
      <c r="G592" s="11">
        <f>E592-F592</f>
        <v/>
      </c>
      <c r="H592" s="11" t="n">
        <v>0</v>
      </c>
      <c r="I592" s="11" t="n">
        <v>0</v>
      </c>
      <c r="J592" s="11" t="n">
        <v>0</v>
      </c>
      <c r="K592" s="4" t="inlineStr">
        <is>
          <t>Stundensätze eingeben</t>
        </is>
      </c>
    </row>
    <row r="593">
      <c r="A593" s="4" t="inlineStr">
        <is>
          <t>3401 uPva-München-Karlsplatz+Hbf</t>
        </is>
      </c>
      <c r="B593" s="4" t="inlineStr">
        <is>
          <t>● 5000-Ausführungsplanung</t>
        </is>
      </c>
      <c r="C593" s="9" t="inlineStr">
        <is>
          <t>Unbekannt</t>
        </is>
      </c>
      <c r="D593" s="10" t="inlineStr">
        <is>
          <t>⚠ Manual erforderlich</t>
        </is>
      </c>
      <c r="E593" s="11" t="inlineStr"/>
      <c r="F593" s="11" t="n">
        <v>0</v>
      </c>
      <c r="G593" s="11">
        <f>E593-F593</f>
        <v/>
      </c>
      <c r="H593" s="11" t="n">
        <v/>
      </c>
      <c r="I593" s="11" t="n">
        <v/>
      </c>
      <c r="J593" s="11" t="n">
        <v/>
      </c>
      <c r="K593" s="4" t="inlineStr">
        <is>
          <t>Abrechnungsart wählen; Stundensätze eingeben</t>
        </is>
      </c>
    </row>
    <row r="594">
      <c r="A594" s="4" t="inlineStr">
        <is>
          <t>3401 uPva-München-Karlsplatz+Hbf</t>
        </is>
      </c>
      <c r="B594" s="4" t="inlineStr">
        <is>
          <t>● 8000-Objektüberwachung</t>
        </is>
      </c>
      <c r="C594" s="9" t="inlineStr">
        <is>
          <t>Unbekannt</t>
        </is>
      </c>
      <c r="D594" s="10" t="inlineStr">
        <is>
          <t>⚠ Manual erforderlich</t>
        </is>
      </c>
      <c r="E594" s="11" t="inlineStr"/>
      <c r="F594" s="11" t="n">
        <v>0</v>
      </c>
      <c r="G594" s="11">
        <f>E594-F594</f>
        <v/>
      </c>
      <c r="H594" s="11" t="n">
        <v/>
      </c>
      <c r="I594" s="11" t="n">
        <v/>
      </c>
      <c r="J594" s="11" t="n">
        <v/>
      </c>
      <c r="K594" s="4" t="inlineStr">
        <is>
          <t>Abrechnungsart wählen; Stundensätze eingeben</t>
        </is>
      </c>
    </row>
    <row r="595">
      <c r="A595" s="4" t="inlineStr">
        <is>
          <t>3401 uPva-München-Karlsplatz+Hbf</t>
        </is>
      </c>
      <c r="B595" s="4" t="inlineStr">
        <is>
          <t>● 9000-Objektbetreuung und Dokumentation</t>
        </is>
      </c>
      <c r="C595" s="9" t="inlineStr">
        <is>
          <t>Unbekannt</t>
        </is>
      </c>
      <c r="D595" s="10" t="inlineStr">
        <is>
          <t>⚠ Manual erforderlich</t>
        </is>
      </c>
      <c r="E595" s="11" t="inlineStr"/>
      <c r="F595" s="11" t="n">
        <v>0</v>
      </c>
      <c r="G595" s="11">
        <f>E595-F595</f>
        <v/>
      </c>
      <c r="H595" s="11" t="n">
        <v/>
      </c>
      <c r="I595" s="11" t="n">
        <v/>
      </c>
      <c r="J595" s="11" t="n">
        <v/>
      </c>
      <c r="K595" s="4" t="inlineStr">
        <is>
          <t>Abrechnungsart wählen; Stundensätze eingeben</t>
        </is>
      </c>
    </row>
    <row r="596">
      <c r="A596" s="4" t="inlineStr">
        <is>
          <t>3401.01 uPva-München-Karlsplatz-BTB+WPP</t>
        </is>
      </c>
      <c r="B596" s="4" t="inlineStr">
        <is>
          <t>● (a.N.) NAT 04-BTB+WPP</t>
        </is>
      </c>
      <c r="C596" s="4" t="inlineStr">
        <is>
          <t>Nachweis</t>
        </is>
      </c>
      <c r="D596" s="10" t="inlineStr">
        <is>
          <t>⚠ Manual erforderlich</t>
        </is>
      </c>
      <c r="E596" s="11" t="inlineStr"/>
      <c r="F596" s="11" t="n">
        <v>0</v>
      </c>
      <c r="G596" s="11">
        <f>E596-F596</f>
        <v/>
      </c>
      <c r="H596" s="11" t="n">
        <v/>
      </c>
      <c r="I596" s="11" t="n">
        <v/>
      </c>
      <c r="J596" s="11" t="n">
        <v/>
      </c>
      <c r="K596" s="4" t="inlineStr">
        <is>
          <t>Stundensätze eingeben</t>
        </is>
      </c>
    </row>
    <row r="597">
      <c r="A597" s="4" t="inlineStr">
        <is>
          <t>3401.02 NAT-BST-uPva-München-Karlsplatz-Aufsichtskanzeln-MKA</t>
        </is>
      </c>
      <c r="B597" s="4" t="inlineStr">
        <is>
          <t>● (aN) Pos.1 BST für die Aufsichtskanzeln d. Bahnsteigebenen MHT</t>
        </is>
      </c>
      <c r="C597" s="4" t="inlineStr">
        <is>
          <t>Nachweis</t>
        </is>
      </c>
      <c r="D597" s="10" t="inlineStr">
        <is>
          <t>⚠ Manual erforderlich</t>
        </is>
      </c>
      <c r="E597" s="11" t="inlineStr"/>
      <c r="F597" s="11" t="n">
        <v>0</v>
      </c>
      <c r="G597" s="11">
        <f>E597-F597</f>
        <v/>
      </c>
      <c r="H597" s="11" t="n">
        <v/>
      </c>
      <c r="I597" s="11" t="n">
        <v/>
      </c>
      <c r="J597" s="11" t="n">
        <v/>
      </c>
      <c r="K597" s="4" t="inlineStr">
        <is>
          <t>Stundensätze eingeben</t>
        </is>
      </c>
    </row>
    <row r="598">
      <c r="A598" s="4" t="inlineStr">
        <is>
          <t>3401.03 BST-uPva-VTE-Ost und Mitte-Karlsplatz-München</t>
        </is>
      </c>
      <c r="B598" s="4" t="inlineStr">
        <is>
          <t>● (p) Pos.1 BST VTE Mitte LP3</t>
        </is>
      </c>
      <c r="C598" s="4" t="inlineStr">
        <is>
          <t>Pauschale</t>
        </is>
      </c>
      <c r="D598" s="10" t="inlineStr">
        <is>
          <t>⚠ Manual erforderlich</t>
        </is>
      </c>
      <c r="E598" s="11" t="inlineStr"/>
      <c r="F598" s="11" t="n">
        <v>0</v>
      </c>
      <c r="G598" s="11">
        <f>E598-F598</f>
        <v/>
      </c>
      <c r="H598" s="11" t="n">
        <v>0</v>
      </c>
      <c r="I598" s="11" t="n">
        <v>0</v>
      </c>
      <c r="J598" s="11" t="n">
        <v>0</v>
      </c>
      <c r="K598" s="4" t="inlineStr">
        <is>
          <t>Stundensätze eingeben</t>
        </is>
      </c>
    </row>
    <row r="599">
      <c r="A599" s="4" t="inlineStr">
        <is>
          <t>3401.03 BST-uPva-VTE-Ost und Mitte-Karlsplatz-München</t>
        </is>
      </c>
      <c r="B599" s="4" t="inlineStr">
        <is>
          <t>● (p) Pos.2 BST VTE Mitte LP5</t>
        </is>
      </c>
      <c r="C599" s="4" t="inlineStr">
        <is>
          <t>Pauschale</t>
        </is>
      </c>
      <c r="D599" s="10" t="inlineStr">
        <is>
          <t>⚠ Manual erforderlich</t>
        </is>
      </c>
      <c r="E599" s="11" t="inlineStr"/>
      <c r="F599" s="11" t="n">
        <v>0</v>
      </c>
      <c r="G599" s="11">
        <f>E599-F599</f>
        <v/>
      </c>
      <c r="H599" s="11" t="n">
        <v>0</v>
      </c>
      <c r="I599" s="11" t="n">
        <v>0</v>
      </c>
      <c r="J599" s="11" t="n">
        <v>0</v>
      </c>
      <c r="K599" s="4" t="inlineStr">
        <is>
          <t>Stundensätze eingeben</t>
        </is>
      </c>
    </row>
    <row r="600">
      <c r="A600" s="4" t="inlineStr">
        <is>
          <t>3401.03 BST-uPva-VTE-Ost und Mitte-Karlsplatz-München</t>
        </is>
      </c>
      <c r="B600" s="4" t="inlineStr">
        <is>
          <t>● (p) Pos.3 BST VTE Ost LP3</t>
        </is>
      </c>
      <c r="C600" s="4" t="inlineStr">
        <is>
          <t>Pauschale</t>
        </is>
      </c>
      <c r="D600" s="10" t="inlineStr">
        <is>
          <t>⚠ Manual erforderlich</t>
        </is>
      </c>
      <c r="E600" s="11" t="inlineStr"/>
      <c r="F600" s="11" t="n">
        <v>0</v>
      </c>
      <c r="G600" s="11">
        <f>E600-F600</f>
        <v/>
      </c>
      <c r="H600" s="11" t="n">
        <v>0</v>
      </c>
      <c r="I600" s="11" t="n">
        <v>0</v>
      </c>
      <c r="J600" s="11" t="n">
        <v>0</v>
      </c>
      <c r="K600" s="4" t="inlineStr">
        <is>
          <t>Stundensätze eingeben</t>
        </is>
      </c>
    </row>
    <row r="601">
      <c r="A601" s="4" t="inlineStr">
        <is>
          <t>3401.03 BST-uPva-VTE-Ost und Mitte-Karlsplatz-München</t>
        </is>
      </c>
      <c r="B601" s="4" t="inlineStr">
        <is>
          <t>● (p) Pos.4 BST VTE Ost LP5</t>
        </is>
      </c>
      <c r="C601" s="4" t="inlineStr">
        <is>
          <t>Pauschale</t>
        </is>
      </c>
      <c r="D601" s="10" t="inlineStr">
        <is>
          <t>⚠ Manual erforderlich</t>
        </is>
      </c>
      <c r="E601" s="11" t="inlineStr"/>
      <c r="F601" s="11" t="n">
        <v>0</v>
      </c>
      <c r="G601" s="11">
        <f>E601-F601</f>
        <v/>
      </c>
      <c r="H601" s="11" t="n">
        <v>0</v>
      </c>
      <c r="I601" s="11" t="n">
        <v>0</v>
      </c>
      <c r="J601" s="11" t="n">
        <v>0</v>
      </c>
      <c r="K601" s="4" t="inlineStr">
        <is>
          <t>Stundensätze eingeben</t>
        </is>
      </c>
    </row>
    <row r="602">
      <c r="A602" s="4" t="inlineStr">
        <is>
          <t>3411.03 LP8-9-Spangdahlem-Neubau-DMCA</t>
        </is>
      </c>
      <c r="B602" s="4" t="inlineStr">
        <is>
          <t>● 8000-Objektüberwachung</t>
        </is>
      </c>
      <c r="C602" s="9" t="inlineStr">
        <is>
          <t>Unbekannt</t>
        </is>
      </c>
      <c r="D602" s="10" t="inlineStr">
        <is>
          <t>⚠ Manual erforderlich</t>
        </is>
      </c>
      <c r="E602" s="11" t="inlineStr"/>
      <c r="F602" s="11" t="n">
        <v>0</v>
      </c>
      <c r="G602" s="11">
        <f>E602-F602</f>
        <v/>
      </c>
      <c r="H602" s="11" t="n">
        <v/>
      </c>
      <c r="I602" s="11" t="n">
        <v/>
      </c>
      <c r="J602" s="11" t="n">
        <v/>
      </c>
      <c r="K602" s="4" t="inlineStr">
        <is>
          <t>Abrechnungsart wählen; Stundensätze eingeben</t>
        </is>
      </c>
    </row>
    <row r="603">
      <c r="A603" s="4" t="inlineStr">
        <is>
          <t>3411.03 LP8-9-Spangdahlem-Neubau-DMCA</t>
        </is>
      </c>
      <c r="B603" s="4" t="inlineStr">
        <is>
          <t>● 9000-Objektbetreuung und Dokumentation</t>
        </is>
      </c>
      <c r="C603" s="9" t="inlineStr">
        <is>
          <t>Unbekannt</t>
        </is>
      </c>
      <c r="D603" s="10" t="inlineStr">
        <is>
          <t>⚠ Manual erforderlich</t>
        </is>
      </c>
      <c r="E603" s="11" t="inlineStr"/>
      <c r="F603" s="11" t="n">
        <v>0</v>
      </c>
      <c r="G603" s="11">
        <f>E603-F603</f>
        <v/>
      </c>
      <c r="H603" s="11" t="n">
        <v/>
      </c>
      <c r="I603" s="11" t="n">
        <v/>
      </c>
      <c r="J603" s="11" t="n">
        <v/>
      </c>
      <c r="K603" s="4" t="inlineStr">
        <is>
          <t>Abrechnungsart wählen; Stundensätze eingeben</t>
        </is>
      </c>
    </row>
    <row r="604">
      <c r="A604" s="4" t="inlineStr">
        <is>
          <t>3411.03 LP8-9-Spangdahlem-Neubau-DMCA</t>
        </is>
      </c>
      <c r="B604" s="4" t="inlineStr">
        <is>
          <t>● Prüfung der Brandfallmatrix (a.N.)</t>
        </is>
      </c>
      <c r="C604" s="4" t="inlineStr">
        <is>
          <t>Nachweis</t>
        </is>
      </c>
      <c r="D604" s="10" t="inlineStr">
        <is>
          <t>⚠ Manual erforderlich</t>
        </is>
      </c>
      <c r="E604" s="11" t="inlineStr"/>
      <c r="F604" s="11" t="n">
        <v>0</v>
      </c>
      <c r="G604" s="11">
        <f>E604-F604</f>
        <v/>
      </c>
      <c r="H604" s="11" t="n">
        <v/>
      </c>
      <c r="I604" s="11" t="n">
        <v/>
      </c>
      <c r="J604" s="11" t="n">
        <v/>
      </c>
      <c r="K604" s="4" t="inlineStr">
        <is>
          <t>Stundensätze eingeben</t>
        </is>
      </c>
    </row>
    <row r="605">
      <c r="A605" s="4" t="inlineStr">
        <is>
          <t>3422.03 Zusatzleistungen-LP5+8-Sana-Krankenhaus-Biberach-Neubau</t>
        </is>
      </c>
      <c r="B605" s="4" t="inlineStr">
        <is>
          <t>● 5000-Ausführungsplanung</t>
        </is>
      </c>
      <c r="C605" s="9" t="inlineStr">
        <is>
          <t>Unbekannt</t>
        </is>
      </c>
      <c r="D605" s="10" t="inlineStr">
        <is>
          <t>⚠ Manual erforderlich</t>
        </is>
      </c>
      <c r="E605" s="11" t="inlineStr"/>
      <c r="F605" s="11" t="n">
        <v>0</v>
      </c>
      <c r="G605" s="11">
        <f>E605-F605</f>
        <v/>
      </c>
      <c r="H605" s="11" t="n">
        <v/>
      </c>
      <c r="I605" s="11" t="n">
        <v/>
      </c>
      <c r="J605" s="11" t="n">
        <v/>
      </c>
      <c r="K605" s="4" t="inlineStr">
        <is>
          <t>Abrechnungsart wählen; Stundensätze eingeben</t>
        </is>
      </c>
    </row>
    <row r="606">
      <c r="A606" s="4" t="inlineStr">
        <is>
          <t>3422.03 Zusatzleistungen-LP5+8-Sana-Krankenhaus-Biberach-Neubau</t>
        </is>
      </c>
      <c r="B606" s="4" t="inlineStr">
        <is>
          <t>● 8000-Objektüberwachung</t>
        </is>
      </c>
      <c r="C606" s="9" t="inlineStr">
        <is>
          <t>Unbekannt</t>
        </is>
      </c>
      <c r="D606" s="10" t="inlineStr">
        <is>
          <t>⚠ Manual erforderlich</t>
        </is>
      </c>
      <c r="E606" s="11" t="inlineStr"/>
      <c r="F606" s="11" t="n">
        <v>0</v>
      </c>
      <c r="G606" s="11">
        <f>E606-F606</f>
        <v/>
      </c>
      <c r="H606" s="11" t="n">
        <v/>
      </c>
      <c r="I606" s="11" t="n">
        <v/>
      </c>
      <c r="J606" s="11" t="n">
        <v/>
      </c>
      <c r="K606" s="4" t="inlineStr">
        <is>
          <t>Abrechnungsart wählen; Stundensätze eingeben</t>
        </is>
      </c>
    </row>
    <row r="607">
      <c r="A607" s="4" t="inlineStr">
        <is>
          <t>3432.01 LP5-9-Friedrichsring-35-Offenbach-Bundesmonopolverwaltung</t>
        </is>
      </c>
      <c r="B607" s="4" t="inlineStr">
        <is>
          <t>● 5000-Ausführungsplanung</t>
        </is>
      </c>
      <c r="C607" s="9" t="inlineStr">
        <is>
          <t>Unbekannt</t>
        </is>
      </c>
      <c r="D607" s="10" t="inlineStr">
        <is>
          <t>⚠ Manual erforderlich</t>
        </is>
      </c>
      <c r="E607" s="11" t="inlineStr"/>
      <c r="F607" s="11" t="n">
        <v>0</v>
      </c>
      <c r="G607" s="11">
        <f>E607-F607</f>
        <v/>
      </c>
      <c r="H607" s="11" t="n">
        <v/>
      </c>
      <c r="I607" s="11" t="n">
        <v/>
      </c>
      <c r="J607" s="11" t="n">
        <v/>
      </c>
      <c r="K607" s="4" t="inlineStr">
        <is>
          <t>Abrechnungsart wählen; Stundensätze eingeben</t>
        </is>
      </c>
    </row>
    <row r="608">
      <c r="A608" s="4" t="inlineStr">
        <is>
          <t>3432.01 LP5-9-Friedrichsring-35-Offenbach-Bundesmonopolverwaltung</t>
        </is>
      </c>
      <c r="B608" s="4" t="inlineStr">
        <is>
          <t>● 6000-Vorbereiten der Vergabe</t>
        </is>
      </c>
      <c r="C608" s="9" t="inlineStr">
        <is>
          <t>Unbekannt</t>
        </is>
      </c>
      <c r="D608" s="10" t="inlineStr">
        <is>
          <t>⚠ Manual erforderlich</t>
        </is>
      </c>
      <c r="E608" s="11" t="inlineStr"/>
      <c r="F608" s="11" t="n">
        <v>0</v>
      </c>
      <c r="G608" s="11">
        <f>E608-F608</f>
        <v/>
      </c>
      <c r="H608" s="11" t="n">
        <v/>
      </c>
      <c r="I608" s="11" t="n">
        <v/>
      </c>
      <c r="J608" s="11" t="n">
        <v/>
      </c>
      <c r="K608" s="4" t="inlineStr">
        <is>
          <t>Abrechnungsart wählen; Stundensätze eingeben</t>
        </is>
      </c>
    </row>
    <row r="609">
      <c r="A609" s="4" t="inlineStr">
        <is>
          <t>3432.01 LP5-9-Friedrichsring-35-Offenbach-Bundesmonopolverwaltung</t>
        </is>
      </c>
      <c r="B609" s="4" t="inlineStr">
        <is>
          <t>● 7000-Mitwirkung bei der Vergabe</t>
        </is>
      </c>
      <c r="C609" s="9" t="inlineStr">
        <is>
          <t>Unbekannt</t>
        </is>
      </c>
      <c r="D609" s="10" t="inlineStr">
        <is>
          <t>⚠ Manual erforderlich</t>
        </is>
      </c>
      <c r="E609" s="11" t="inlineStr"/>
      <c r="F609" s="11" t="n">
        <v>0</v>
      </c>
      <c r="G609" s="11">
        <f>E609-F609</f>
        <v/>
      </c>
      <c r="H609" s="11" t="n">
        <v/>
      </c>
      <c r="I609" s="11" t="n">
        <v/>
      </c>
      <c r="J609" s="11" t="n">
        <v/>
      </c>
      <c r="K609" s="4" t="inlineStr">
        <is>
          <t>Abrechnungsart wählen; Stundensätze eingeben</t>
        </is>
      </c>
    </row>
    <row r="610">
      <c r="A610" s="4" t="inlineStr">
        <is>
          <t>3432.01 LP5-9-Friedrichsring-35-Offenbach-Bundesmonopolverwaltung</t>
        </is>
      </c>
      <c r="B610" s="4" t="inlineStr">
        <is>
          <t>● 8000-Objektüberwachung</t>
        </is>
      </c>
      <c r="C610" s="9" t="inlineStr">
        <is>
          <t>Unbekannt</t>
        </is>
      </c>
      <c r="D610" s="10" t="inlineStr">
        <is>
          <t>⚠ Manual erforderlich</t>
        </is>
      </c>
      <c r="E610" s="11" t="inlineStr"/>
      <c r="F610" s="11" t="n">
        <v>0</v>
      </c>
      <c r="G610" s="11">
        <f>E610-F610</f>
        <v/>
      </c>
      <c r="H610" s="11" t="n">
        <v/>
      </c>
      <c r="I610" s="11" t="n">
        <v/>
      </c>
      <c r="J610" s="11" t="n">
        <v/>
      </c>
      <c r="K610" s="4" t="inlineStr">
        <is>
          <t>Abrechnungsart wählen; Stundensätze eingeben</t>
        </is>
      </c>
    </row>
    <row r="611">
      <c r="A611" s="4" t="inlineStr">
        <is>
          <t>3432.01 LP5-9-Friedrichsring-35-Offenbach-Bundesmonopolverwaltung</t>
        </is>
      </c>
      <c r="B611" s="4" t="inlineStr">
        <is>
          <t>● 9000-Objektbetreuung und Dokumentation</t>
        </is>
      </c>
      <c r="C611" s="9" t="inlineStr">
        <is>
          <t>Unbekannt</t>
        </is>
      </c>
      <c r="D611" s="10" t="inlineStr">
        <is>
          <t>⚠ Manual erforderlich</t>
        </is>
      </c>
      <c r="E611" s="11" t="inlineStr"/>
      <c r="F611" s="11" t="n">
        <v>0</v>
      </c>
      <c r="G611" s="11">
        <f>E611-F611</f>
        <v/>
      </c>
      <c r="H611" s="11" t="n">
        <v/>
      </c>
      <c r="I611" s="11" t="n">
        <v/>
      </c>
      <c r="J611" s="11" t="n">
        <v/>
      </c>
      <c r="K611" s="4" t="inlineStr">
        <is>
          <t>Abrechnungsart wählen; Stundensätze eingeben</t>
        </is>
      </c>
    </row>
    <row r="612">
      <c r="A612" s="4" t="inlineStr">
        <is>
          <t>3432.02 FRP-FWP-Friedrichsring-35-Offenbach-Bundesmonopolverwaltung</t>
        </is>
      </c>
      <c r="B612" s="4" t="inlineStr">
        <is>
          <t>● (p) Pos.1 Erstellen von Feuerwehrplänen</t>
        </is>
      </c>
      <c r="C612" s="4" t="inlineStr">
        <is>
          <t>Pauschale</t>
        </is>
      </c>
      <c r="D612" s="10" t="inlineStr">
        <is>
          <t>⚠ Manual erforderlich</t>
        </is>
      </c>
      <c r="E612" s="11" t="inlineStr"/>
      <c r="F612" s="11" t="n">
        <v>0</v>
      </c>
      <c r="G612" s="11">
        <f>E612-F612</f>
        <v/>
      </c>
      <c r="H612" s="11" t="n">
        <v>0</v>
      </c>
      <c r="I612" s="11" t="n">
        <v>0</v>
      </c>
      <c r="J612" s="11" t="n">
        <v>0</v>
      </c>
      <c r="K612" s="4" t="inlineStr">
        <is>
          <t>Stundensätze eingeben</t>
        </is>
      </c>
    </row>
    <row r="613">
      <c r="A613" s="4" t="inlineStr">
        <is>
          <t>3432.02 FRP-FWP-Friedrichsring-35-Offenbach-Bundesmonopolverwaltung</t>
        </is>
      </c>
      <c r="B613" s="4" t="inlineStr">
        <is>
          <t>● (p) Pos.2 Erstellen von Flucht- und Rettungsplänen</t>
        </is>
      </c>
      <c r="C613" s="4" t="inlineStr">
        <is>
          <t>Pauschale</t>
        </is>
      </c>
      <c r="D613" s="10" t="inlineStr">
        <is>
          <t>⚠ Manual erforderlich</t>
        </is>
      </c>
      <c r="E613" s="11" t="inlineStr"/>
      <c r="F613" s="11" t="n">
        <v>0</v>
      </c>
      <c r="G613" s="11">
        <f>E613-F613</f>
        <v/>
      </c>
      <c r="H613" s="11" t="n">
        <v>0</v>
      </c>
      <c r="I613" s="11" t="n">
        <v>0</v>
      </c>
      <c r="J613" s="11" t="n">
        <v>0</v>
      </c>
      <c r="K613" s="4" t="inlineStr">
        <is>
          <t>Stundensätze eingeben</t>
        </is>
      </c>
    </row>
    <row r="614">
      <c r="A614" s="4" t="inlineStr">
        <is>
          <t>3432.03 BTB-Friedrichsring-35-Offenbach-Bundesmonopolverwaltung-BSK</t>
        </is>
      </c>
      <c r="B614" s="4" t="inlineStr">
        <is>
          <t>● (aN) Pos.1 BTB für Bauantrag/Nutzungsänderung</t>
        </is>
      </c>
      <c r="C614" s="4" t="inlineStr">
        <is>
          <t>Nachweis</t>
        </is>
      </c>
      <c r="D614" s="10" t="inlineStr">
        <is>
          <t>⚠ Manual erforderlich</t>
        </is>
      </c>
      <c r="E614" s="11" t="inlineStr"/>
      <c r="F614" s="11" t="n">
        <v>0</v>
      </c>
      <c r="G614" s="11">
        <f>E614-F614</f>
        <v/>
      </c>
      <c r="H614" s="11" t="n">
        <v/>
      </c>
      <c r="I614" s="11" t="n">
        <v/>
      </c>
      <c r="J614" s="11" t="n">
        <v/>
      </c>
      <c r="K614" s="4" t="inlineStr">
        <is>
          <t>Stundensätze eingeben</t>
        </is>
      </c>
    </row>
    <row r="615">
      <c r="A615" s="4" t="inlineStr">
        <is>
          <t>3432.03 BTB-Friedrichsring-35-Offenbach-Bundesmonopolverwaltung-BSK</t>
        </is>
      </c>
      <c r="B615" s="4" t="inlineStr">
        <is>
          <t>● (p) Pos.2 Fortschr.- BSK für Bauantrag/Nutzungsänderung 3.OG</t>
        </is>
      </c>
      <c r="C615" s="4" t="inlineStr">
        <is>
          <t>Pauschale</t>
        </is>
      </c>
      <c r="D615" s="10" t="inlineStr">
        <is>
          <t>⚠ Manual erforderlich</t>
        </is>
      </c>
      <c r="E615" s="11" t="inlineStr"/>
      <c r="F615" s="11" t="n">
        <v>0</v>
      </c>
      <c r="G615" s="11">
        <f>E615-F615</f>
        <v/>
      </c>
      <c r="H615" s="11" t="n">
        <v>0</v>
      </c>
      <c r="I615" s="11" t="n">
        <v>0</v>
      </c>
      <c r="J615" s="11" t="n">
        <v>0</v>
      </c>
      <c r="K615" s="4" t="inlineStr">
        <is>
          <t>Stundensätze eingeben</t>
        </is>
      </c>
    </row>
    <row r="616">
      <c r="A616" s="4" t="inlineStr">
        <is>
          <t>3433.02 Fortschr-BSK-2017-Bahnhof Böblingen</t>
        </is>
      </c>
      <c r="B616" s="4" t="inlineStr">
        <is>
          <t>● 0000-Aquise</t>
        </is>
      </c>
      <c r="C616" s="9" t="inlineStr">
        <is>
          <t>Unbekannt</t>
        </is>
      </c>
      <c r="D616" s="10" t="inlineStr">
        <is>
          <t>⚠ Manual erforderlich</t>
        </is>
      </c>
      <c r="E616" s="11" t="inlineStr"/>
      <c r="F616" s="11" t="n">
        <v>0</v>
      </c>
      <c r="G616" s="11">
        <f>E616-F616</f>
        <v/>
      </c>
      <c r="H616" s="11" t="n">
        <v/>
      </c>
      <c r="I616" s="11" t="n">
        <v/>
      </c>
      <c r="J616" s="11" t="n">
        <v/>
      </c>
      <c r="K616" s="4" t="inlineStr">
        <is>
          <t>Abrechnungsart wählen; Stundensätze eingeben</t>
        </is>
      </c>
    </row>
    <row r="617">
      <c r="A617" s="4" t="inlineStr">
        <is>
          <t>3433.02 Fortschr-BSK-2017-Bahnhof Böblingen</t>
        </is>
      </c>
      <c r="B617" s="4" t="inlineStr">
        <is>
          <t>● 9000-Objektbetreuung und Dokumentation</t>
        </is>
      </c>
      <c r="C617" s="9" t="inlineStr">
        <is>
          <t>Unbekannt</t>
        </is>
      </c>
      <c r="D617" s="10" t="inlineStr">
        <is>
          <t>⚠ Manual erforderlich</t>
        </is>
      </c>
      <c r="E617" s="11" t="inlineStr"/>
      <c r="F617" s="11" t="n">
        <v>0</v>
      </c>
      <c r="G617" s="11">
        <f>E617-F617</f>
        <v/>
      </c>
      <c r="H617" s="11" t="n">
        <v/>
      </c>
      <c r="I617" s="11" t="n">
        <v/>
      </c>
      <c r="J617" s="11" t="n">
        <v/>
      </c>
      <c r="K617" s="4" t="inlineStr">
        <is>
          <t>Abrechnungsart wählen; Stundensätze eingeben</t>
        </is>
      </c>
    </row>
    <row r="618">
      <c r="A618" s="4" t="inlineStr">
        <is>
          <t>3741.02 BSB-2024-2025-Gutleutstraße 191-Frankfurt</t>
        </is>
      </c>
      <c r="B618" s="4" t="inlineStr">
        <is>
          <t>● (a.N.) Brandschutzbeauftragter 10/2023-09/2024</t>
        </is>
      </c>
      <c r="C618" s="4" t="inlineStr">
        <is>
          <t>Nachweis</t>
        </is>
      </c>
      <c r="D618" s="10" t="inlineStr">
        <is>
          <t>⚠ Manual erforderlich</t>
        </is>
      </c>
      <c r="E618" s="11" t="inlineStr"/>
      <c r="F618" s="11" t="n">
        <v>0</v>
      </c>
      <c r="G618" s="11">
        <f>E618-F618</f>
        <v/>
      </c>
      <c r="H618" s="11" t="n">
        <v/>
      </c>
      <c r="I618" s="11" t="n">
        <v/>
      </c>
      <c r="J618" s="11" t="n">
        <v/>
      </c>
      <c r="K618" s="4" t="inlineStr">
        <is>
          <t>Stundensätze eingeben</t>
        </is>
      </c>
    </row>
    <row r="619">
      <c r="A619" s="4" t="inlineStr">
        <is>
          <t>3741.04  BSB-2025-2026-Gutleutstraße 191-Frankfurt</t>
        </is>
      </c>
      <c r="B619" s="4" t="inlineStr">
        <is>
          <t>● (a.N.) Brandschutzbeauftragter 10/2023-09/2024</t>
        </is>
      </c>
      <c r="C619" s="4" t="inlineStr">
        <is>
          <t>Nachweis</t>
        </is>
      </c>
      <c r="D619" s="10" t="inlineStr">
        <is>
          <t>⚠ Manual erforderlich</t>
        </is>
      </c>
      <c r="E619" s="11" t="inlineStr"/>
      <c r="F619" s="11" t="n">
        <v>0</v>
      </c>
      <c r="G619" s="11">
        <f>E619-F619</f>
        <v/>
      </c>
      <c r="H619" s="11" t="n">
        <v/>
      </c>
      <c r="I619" s="11" t="n">
        <v/>
      </c>
      <c r="J619" s="11" t="n">
        <v/>
      </c>
      <c r="K619" s="4" t="inlineStr">
        <is>
          <t>Stundensätze eingeben</t>
        </is>
      </c>
    </row>
    <row r="620">
      <c r="A620" s="4" t="inlineStr">
        <is>
          <t>3749.07 AHO-Karl-Mayer-Quartier-Obertshausen</t>
        </is>
      </c>
      <c r="B620" s="4" t="inlineStr">
        <is>
          <t>● (p) Pos./Stufe 1</t>
        </is>
      </c>
      <c r="C620" s="4" t="inlineStr">
        <is>
          <t>Pauschale</t>
        </is>
      </c>
      <c r="D620" s="10" t="inlineStr">
        <is>
          <t>⚠ Manual erforderlich</t>
        </is>
      </c>
      <c r="E620" s="11" t="inlineStr"/>
      <c r="F620" s="11" t="n">
        <v>0</v>
      </c>
      <c r="G620" s="11">
        <f>E620-F620</f>
        <v/>
      </c>
      <c r="H620" s="11" t="n">
        <v>0</v>
      </c>
      <c r="I620" s="11" t="n">
        <v>0</v>
      </c>
      <c r="J620" s="11" t="n">
        <v>0</v>
      </c>
      <c r="K620" s="4" t="inlineStr">
        <is>
          <t>Stundensätze eingeben</t>
        </is>
      </c>
    </row>
    <row r="621">
      <c r="A621" s="4" t="inlineStr">
        <is>
          <t>3749.07 AHO-Karl-Mayer-Quartier-Obertshausen</t>
        </is>
      </c>
      <c r="B621" s="4" t="inlineStr">
        <is>
          <t>● (p) Pos.1 LP 2</t>
        </is>
      </c>
      <c r="C621" s="4" t="inlineStr">
        <is>
          <t>Pauschale</t>
        </is>
      </c>
      <c r="D621" s="10" t="inlineStr">
        <is>
          <t>⚠ Manual erforderlich</t>
        </is>
      </c>
      <c r="E621" s="11" t="inlineStr"/>
      <c r="F621" s="11" t="n">
        <v>0</v>
      </c>
      <c r="G621" s="11">
        <f>E621-F621</f>
        <v/>
      </c>
      <c r="H621" s="11" t="n">
        <v>0</v>
      </c>
      <c r="I621" s="11" t="n">
        <v>0</v>
      </c>
      <c r="J621" s="11" t="n">
        <v>0</v>
      </c>
      <c r="K621" s="4" t="inlineStr">
        <is>
          <t>Stundensätze eingeben</t>
        </is>
      </c>
    </row>
    <row r="622">
      <c r="A622" s="4" t="inlineStr">
        <is>
          <t>3749.07 AHO-Karl-Mayer-Quartier-Obertshausen</t>
        </is>
      </c>
      <c r="B622" s="4" t="inlineStr">
        <is>
          <t>● (p) Pos.2 LP 3</t>
        </is>
      </c>
      <c r="C622" s="4" t="inlineStr">
        <is>
          <t>Pauschale</t>
        </is>
      </c>
      <c r="D622" s="10" t="inlineStr">
        <is>
          <t>⚠ Manual erforderlich</t>
        </is>
      </c>
      <c r="E622" s="11" t="inlineStr"/>
      <c r="F622" s="11" t="n">
        <v>0</v>
      </c>
      <c r="G622" s="11">
        <f>E622-F622</f>
        <v/>
      </c>
      <c r="H622" s="11" t="n">
        <v>0</v>
      </c>
      <c r="I622" s="11" t="n">
        <v>0</v>
      </c>
      <c r="J622" s="11" t="n">
        <v>0</v>
      </c>
      <c r="K622" s="4" t="inlineStr">
        <is>
          <t>Stundensätze eingeben</t>
        </is>
      </c>
    </row>
    <row r="623">
      <c r="A623" s="4" t="inlineStr">
        <is>
          <t>3749.07 AHO-Karl-Mayer-Quartier-Obertshausen</t>
        </is>
      </c>
      <c r="B623" s="4" t="inlineStr">
        <is>
          <t>● (p) Pos.3 LP 4</t>
        </is>
      </c>
      <c r="C623" s="4" t="inlineStr">
        <is>
          <t>Pauschale</t>
        </is>
      </c>
      <c r="D623" s="10" t="inlineStr">
        <is>
          <t>⚠ Manual erforderlich</t>
        </is>
      </c>
      <c r="E623" s="11" t="inlineStr"/>
      <c r="F623" s="11" t="n">
        <v>0</v>
      </c>
      <c r="G623" s="11">
        <f>E623-F623</f>
        <v/>
      </c>
      <c r="H623" s="11" t="n">
        <v>0</v>
      </c>
      <c r="I623" s="11" t="n">
        <v>0</v>
      </c>
      <c r="J623" s="11" t="n">
        <v>0</v>
      </c>
      <c r="K623" s="4" t="inlineStr">
        <is>
          <t>Stundensätze eingeben</t>
        </is>
      </c>
    </row>
    <row r="624">
      <c r="A624" s="4" t="inlineStr">
        <is>
          <t>3757.05 Fortschr-BSK-Geb-A93-MAN-Nürnberg</t>
        </is>
      </c>
      <c r="B624" s="4" t="inlineStr">
        <is>
          <t>● Fortschr. BSK (pauschal)</t>
        </is>
      </c>
      <c r="C624" s="9" t="inlineStr">
        <is>
          <t>Unbekannt</t>
        </is>
      </c>
      <c r="D624" s="10" t="inlineStr">
        <is>
          <t>⚠ Manual erforderlich</t>
        </is>
      </c>
      <c r="E624" s="11" t="inlineStr"/>
      <c r="F624" s="11" t="n">
        <v>0</v>
      </c>
      <c r="G624" s="11">
        <f>E624-F624</f>
        <v/>
      </c>
      <c r="H624" s="11" t="n">
        <v/>
      </c>
      <c r="I624" s="11" t="n">
        <v/>
      </c>
      <c r="J624" s="11" t="n">
        <v/>
      </c>
      <c r="K624" s="4" t="inlineStr">
        <is>
          <t>Abrechnungsart wählen; Stundensätze eingeben</t>
        </is>
      </c>
    </row>
    <row r="625">
      <c r="A625" s="4" t="inlineStr">
        <is>
          <t>3757.05 Fortschr-BSK-Geb-A93-MAN-Nürnberg</t>
        </is>
      </c>
      <c r="B625" s="4" t="inlineStr">
        <is>
          <t>● Abstimmungen PrüfSV + weitere Anp. BSK (auf Nachweis)</t>
        </is>
      </c>
      <c r="C625" s="9" t="inlineStr">
        <is>
          <t>Unbekannt</t>
        </is>
      </c>
      <c r="D625" s="10" t="inlineStr">
        <is>
          <t>⚠ Manual erforderlich</t>
        </is>
      </c>
      <c r="E625" s="11" t="inlineStr"/>
      <c r="F625" s="11" t="n">
        <v>0</v>
      </c>
      <c r="G625" s="11">
        <f>E625-F625</f>
        <v/>
      </c>
      <c r="H625" s="11" t="n">
        <v/>
      </c>
      <c r="I625" s="11" t="n">
        <v/>
      </c>
      <c r="J625" s="11" t="n">
        <v/>
      </c>
      <c r="K625" s="4" t="inlineStr">
        <is>
          <t>Abrechnungsart wählen; Stundensätze eingeben</t>
        </is>
      </c>
    </row>
    <row r="626">
      <c r="A626" s="4" t="inlineStr">
        <is>
          <t>3757.06 MAN-BAB-GebA93-Vogelweiherstr33-Nürnberg</t>
        </is>
      </c>
      <c r="B626" s="4" t="inlineStr">
        <is>
          <t>● (aN) LP 8 Objektüberwachung</t>
        </is>
      </c>
      <c r="C626" s="4" t="inlineStr">
        <is>
          <t>Nachweis</t>
        </is>
      </c>
      <c r="D626" s="10" t="inlineStr">
        <is>
          <t>⚠ Manual erforderlich</t>
        </is>
      </c>
      <c r="E626" s="11" t="inlineStr"/>
      <c r="F626" s="11" t="n">
        <v>0</v>
      </c>
      <c r="G626" s="11">
        <f>E626-F626</f>
        <v/>
      </c>
      <c r="H626" s="11" t="n">
        <v/>
      </c>
      <c r="I626" s="11" t="n">
        <v/>
      </c>
      <c r="J626" s="11" t="n">
        <v/>
      </c>
      <c r="K626" s="4" t="inlineStr">
        <is>
          <t>Stundensätze eingeben</t>
        </is>
      </c>
    </row>
    <row r="627">
      <c r="A627" s="4" t="inlineStr">
        <is>
          <t>3767.10 BST-Klosterstraße-15-Stadtgalerie-Koenigstein-Haus-1-EG-1.OG</t>
        </is>
      </c>
      <c r="B627" s="4" t="inlineStr">
        <is>
          <t>● (p) Pos.1 Erstellung BST zum Bauantrag</t>
        </is>
      </c>
      <c r="C627" s="4" t="inlineStr">
        <is>
          <t>Pauschale</t>
        </is>
      </c>
      <c r="D627" s="10" t="inlineStr">
        <is>
          <t>⚠ Manual erforderlich</t>
        </is>
      </c>
      <c r="E627" s="11" t="inlineStr"/>
      <c r="F627" s="11" t="n">
        <v>0</v>
      </c>
      <c r="G627" s="11">
        <f>E627-F627</f>
        <v/>
      </c>
      <c r="H627" s="11" t="n">
        <v>0</v>
      </c>
      <c r="I627" s="11" t="n">
        <v>0</v>
      </c>
      <c r="J627" s="11" t="n">
        <v>0</v>
      </c>
      <c r="K627" s="4" t="inlineStr">
        <is>
          <t>Stundensätze eingeben</t>
        </is>
      </c>
    </row>
    <row r="628">
      <c r="A628" s="4" t="inlineStr">
        <is>
          <t>3767.10 BST-Klosterstraße-15-Stadtgalerie-Koenigstein-Haus-1-EG-1.OG</t>
        </is>
      </c>
      <c r="B628" s="4" t="inlineStr">
        <is>
          <t>● (a.N.) Pos.2 BAB</t>
        </is>
      </c>
      <c r="C628" s="4" t="inlineStr">
        <is>
          <t>Nachweis</t>
        </is>
      </c>
      <c r="D628" s="10" t="inlineStr">
        <is>
          <t>⚠ Manual erforderlich</t>
        </is>
      </c>
      <c r="E628" s="11" t="inlineStr"/>
      <c r="F628" s="11" t="n">
        <v>0</v>
      </c>
      <c r="G628" s="11">
        <f>E628-F628</f>
        <v/>
      </c>
      <c r="H628" s="11" t="n">
        <v/>
      </c>
      <c r="I628" s="11" t="n">
        <v/>
      </c>
      <c r="J628" s="11" t="n">
        <v/>
      </c>
      <c r="K628" s="4" t="inlineStr">
        <is>
          <t>Stundensätze eingeben</t>
        </is>
      </c>
    </row>
    <row r="629">
      <c r="A629" s="4" t="inlineStr">
        <is>
          <t>3767.11 FWP-FRP-Klosterstraße-15a-b-Koenigstein</t>
        </is>
      </c>
      <c r="B629" s="4" t="inlineStr">
        <is>
          <t>● (p) Pos.1 FWP</t>
        </is>
      </c>
      <c r="C629" s="4" t="inlineStr">
        <is>
          <t>Pauschale</t>
        </is>
      </c>
      <c r="D629" s="10" t="inlineStr">
        <is>
          <t>⚠ Manual erforderlich</t>
        </is>
      </c>
      <c r="E629" s="11" t="inlineStr"/>
      <c r="F629" s="11" t="n">
        <v>0</v>
      </c>
      <c r="G629" s="11">
        <f>E629-F629</f>
        <v/>
      </c>
      <c r="H629" s="11" t="n">
        <v>0</v>
      </c>
      <c r="I629" s="11" t="n">
        <v>0</v>
      </c>
      <c r="J629" s="11" t="n">
        <v>0</v>
      </c>
      <c r="K629" s="4" t="inlineStr">
        <is>
          <t>Stundensätze eingeben</t>
        </is>
      </c>
    </row>
    <row r="630">
      <c r="A630" s="4" t="inlineStr">
        <is>
          <t>3767.11 FWP-FRP-Klosterstraße-15a-b-Koenigstein</t>
        </is>
      </c>
      <c r="B630" s="4" t="inlineStr">
        <is>
          <t>● (p) Pos.2 FRP</t>
        </is>
      </c>
      <c r="C630" s="4" t="inlineStr">
        <is>
          <t>Pauschale</t>
        </is>
      </c>
      <c r="D630" s="10" t="inlineStr">
        <is>
          <t>⚠ Manual erforderlich</t>
        </is>
      </c>
      <c r="E630" s="11" t="inlineStr"/>
      <c r="F630" s="11" t="n">
        <v>0</v>
      </c>
      <c r="G630" s="11">
        <f>E630-F630</f>
        <v/>
      </c>
      <c r="H630" s="11" t="n">
        <v>0</v>
      </c>
      <c r="I630" s="11" t="n">
        <v>0</v>
      </c>
      <c r="J630" s="11" t="n">
        <v>0</v>
      </c>
      <c r="K630" s="4" t="inlineStr">
        <is>
          <t>Stundensätze eingeben</t>
        </is>
      </c>
    </row>
    <row r="631">
      <c r="A631" s="4" t="inlineStr">
        <is>
          <t>3767.12 BSK-Klosterstraße-15-Stadtgalerie-Koenigstein</t>
        </is>
      </c>
      <c r="B631" s="4" t="inlineStr">
        <is>
          <t>● (p) Pos.1 Fortschreibung Brandschutzkonzept</t>
        </is>
      </c>
      <c r="C631" s="4" t="inlineStr">
        <is>
          <t>Pauschale</t>
        </is>
      </c>
      <c r="D631" s="10" t="inlineStr">
        <is>
          <t>⚠ Manual erforderlich</t>
        </is>
      </c>
      <c r="E631" s="11" t="inlineStr"/>
      <c r="F631" s="11" t="n">
        <v>0</v>
      </c>
      <c r="G631" s="11">
        <f>E631-F631</f>
        <v/>
      </c>
      <c r="H631" s="11" t="n">
        <v>0</v>
      </c>
      <c r="I631" s="11" t="n">
        <v>0</v>
      </c>
      <c r="J631" s="11" t="n">
        <v>0</v>
      </c>
      <c r="K631" s="4" t="inlineStr">
        <is>
          <t>Stundensätze eingeben</t>
        </is>
      </c>
    </row>
    <row r="632">
      <c r="A632" s="4" t="inlineStr">
        <is>
          <t>3767.12 BSK-Klosterstraße-15-Stadtgalerie-Koenigstein</t>
        </is>
      </c>
      <c r="B632" s="4" t="inlineStr">
        <is>
          <t>● (a.N.) Beratung</t>
        </is>
      </c>
      <c r="C632" s="4" t="inlineStr">
        <is>
          <t>Nachweis</t>
        </is>
      </c>
      <c r="D632" s="10" t="inlineStr">
        <is>
          <t>⚠ Manual erforderlich</t>
        </is>
      </c>
      <c r="E632" s="11" t="inlineStr"/>
      <c r="F632" s="11" t="n">
        <v>0</v>
      </c>
      <c r="G632" s="11">
        <f>E632-F632</f>
        <v/>
      </c>
      <c r="H632" s="11" t="n">
        <v/>
      </c>
      <c r="I632" s="11" t="n">
        <v/>
      </c>
      <c r="J632" s="11" t="n">
        <v/>
      </c>
      <c r="K632" s="4" t="inlineStr">
        <is>
          <t>Stundensätze eingeben</t>
        </is>
      </c>
    </row>
    <row r="633">
      <c r="A633" s="4" t="inlineStr">
        <is>
          <t>3785.09 BSK-Mainzer-Landstraße-681-Frankfurt-toom-Baumarkt</t>
        </is>
      </c>
      <c r="B633" s="4" t="inlineStr">
        <is>
          <t>● (p) Pos.1 Erstellung BSK</t>
        </is>
      </c>
      <c r="C633" s="4" t="inlineStr">
        <is>
          <t>Pauschale</t>
        </is>
      </c>
      <c r="D633" s="10" t="inlineStr">
        <is>
          <t>⚠ Manual erforderlich</t>
        </is>
      </c>
      <c r="E633" s="11" t="inlineStr"/>
      <c r="F633" s="11" t="n">
        <v>0</v>
      </c>
      <c r="G633" s="11">
        <f>E633-F633</f>
        <v/>
      </c>
      <c r="H633" s="11" t="n">
        <v>0</v>
      </c>
      <c r="I633" s="11" t="n">
        <v>0</v>
      </c>
      <c r="J633" s="11" t="n">
        <v>0</v>
      </c>
      <c r="K633" s="4" t="inlineStr">
        <is>
          <t>Stundensätze eingeben</t>
        </is>
      </c>
    </row>
    <row r="634">
      <c r="A634" s="4" t="inlineStr">
        <is>
          <t>3785.09 BSK-Mainzer-Landstraße-681-Frankfurt-toom-Baumarkt</t>
        </is>
      </c>
      <c r="B634" s="4" t="inlineStr">
        <is>
          <t>● (a.N.) Pos.2 BAB</t>
        </is>
      </c>
      <c r="C634" s="4" t="inlineStr">
        <is>
          <t>Nachweis</t>
        </is>
      </c>
      <c r="D634" s="10" t="inlineStr">
        <is>
          <t>⚠ Manual erforderlich</t>
        </is>
      </c>
      <c r="E634" s="11" t="inlineStr"/>
      <c r="F634" s="11" t="n">
        <v>0</v>
      </c>
      <c r="G634" s="11">
        <f>E634-F634</f>
        <v/>
      </c>
      <c r="H634" s="11" t="n">
        <v/>
      </c>
      <c r="I634" s="11" t="n">
        <v/>
      </c>
      <c r="J634" s="11" t="n">
        <v/>
      </c>
      <c r="K634" s="4" t="inlineStr">
        <is>
          <t>Stundensätze eingeben</t>
        </is>
      </c>
    </row>
    <row r="635">
      <c r="A635" s="4" t="inlineStr">
        <is>
          <t>3785.09 BSK-Mainzer-Landstraße-681-Frankfurt-toom-Baumarkt</t>
        </is>
      </c>
      <c r="B635" s="4" t="inlineStr">
        <is>
          <t>● NAT 24-09-10</t>
        </is>
      </c>
      <c r="C635" s="9" t="inlineStr">
        <is>
          <t>Unbekannt</t>
        </is>
      </c>
      <c r="D635" s="10" t="inlineStr">
        <is>
          <t>⚠ Manual erforderlich</t>
        </is>
      </c>
      <c r="E635" s="11" t="inlineStr"/>
      <c r="F635" s="11" t="n">
        <v>0</v>
      </c>
      <c r="G635" s="11">
        <f>E635-F635</f>
        <v/>
      </c>
      <c r="H635" s="11" t="n">
        <v/>
      </c>
      <c r="I635" s="11" t="n">
        <v/>
      </c>
      <c r="J635" s="11" t="n">
        <v/>
      </c>
      <c r="K635" s="4" t="inlineStr">
        <is>
          <t>Abrechnungsart wählen; Stundensätze eingeben</t>
        </is>
      </c>
    </row>
    <row r="636">
      <c r="A636" s="4" t="inlineStr">
        <is>
          <t>3785.09 BSK-Mainzer-Landstraße-681-Frankfurt-toom-Baumarkt</t>
        </is>
      </c>
      <c r="B636" s="4" t="inlineStr">
        <is>
          <t>● (p) Pos.1 Fortschr. BSK</t>
        </is>
      </c>
      <c r="C636" s="4" t="inlineStr">
        <is>
          <t>Pauschale</t>
        </is>
      </c>
      <c r="D636" s="10" t="inlineStr">
        <is>
          <t>⚠ Manual erforderlich</t>
        </is>
      </c>
      <c r="E636" s="11" t="inlineStr"/>
      <c r="F636" s="11" t="n">
        <v>0</v>
      </c>
      <c r="G636" s="11">
        <f>E636-F636</f>
        <v/>
      </c>
      <c r="H636" s="11" t="n">
        <v>0</v>
      </c>
      <c r="I636" s="11" t="n">
        <v>0</v>
      </c>
      <c r="J636" s="11" t="n">
        <v>0</v>
      </c>
      <c r="K636" s="4" t="inlineStr">
        <is>
          <t>Stundensätze eingeben</t>
        </is>
      </c>
    </row>
    <row r="637">
      <c r="A637" s="4" t="inlineStr">
        <is>
          <t>3785.10 FWP-Mainzer-Landstraße-681-Frankfurt-toomBaumarkt</t>
        </is>
      </c>
      <c r="B637" s="4" t="inlineStr">
        <is>
          <t>● (p) Pos.1 Erstellung FWP ohne Objektbegehung für EG inkl. Lageplan</t>
        </is>
      </c>
      <c r="C637" s="4" t="inlineStr">
        <is>
          <t>Pauschale</t>
        </is>
      </c>
      <c r="D637" s="10" t="inlineStr">
        <is>
          <t>⚠ Manual erforderlich</t>
        </is>
      </c>
      <c r="E637" s="11" t="inlineStr"/>
      <c r="F637" s="11" t="n">
        <v>0</v>
      </c>
      <c r="G637" s="11">
        <f>E637-F637</f>
        <v/>
      </c>
      <c r="H637" s="11" t="n">
        <v>0</v>
      </c>
      <c r="I637" s="11" t="n">
        <v>0</v>
      </c>
      <c r="J637" s="11" t="n">
        <v>0</v>
      </c>
      <c r="K637" s="4" t="inlineStr">
        <is>
          <t>Stundensätze eingeben</t>
        </is>
      </c>
    </row>
    <row r="638">
      <c r="A638" s="4" t="inlineStr">
        <is>
          <t>3785.11 BTB-Mainzer-Landstraße-681-Frankfurt-toomBaumarkt</t>
        </is>
      </c>
      <c r="B638" s="4" t="inlineStr">
        <is>
          <t>● (aN) Pos.1 Brandschutztechn. Beratung Ortstermin mit Feuerwehr</t>
        </is>
      </c>
      <c r="C638" s="4" t="inlineStr">
        <is>
          <t>Nachweis</t>
        </is>
      </c>
      <c r="D638" s="10" t="inlineStr">
        <is>
          <t>⚠ Manual erforderlich</t>
        </is>
      </c>
      <c r="E638" s="11" t="inlineStr"/>
      <c r="F638" s="11" t="n">
        <v>0</v>
      </c>
      <c r="G638" s="11">
        <f>E638-F638</f>
        <v/>
      </c>
      <c r="H638" s="11" t="n">
        <v/>
      </c>
      <c r="I638" s="11" t="n">
        <v/>
      </c>
      <c r="J638" s="11" t="n">
        <v/>
      </c>
      <c r="K638" s="4" t="inlineStr">
        <is>
          <t>Stundensätze eingeben</t>
        </is>
      </c>
    </row>
    <row r="639">
      <c r="A639" s="4" t="inlineStr">
        <is>
          <t>3795.09 BSK-Sparkasse-Louisenstraße-60-Bad Homburg-Fortschreibung</t>
        </is>
      </c>
      <c r="B639" s="4" t="inlineStr">
        <is>
          <t>● (p) Pos.1 Fortschr. BSK Anpassungen zum zeitl. Weiterbetrieb</t>
        </is>
      </c>
      <c r="C639" s="4" t="inlineStr">
        <is>
          <t>Pauschale</t>
        </is>
      </c>
      <c r="D639" s="10" t="inlineStr">
        <is>
          <t>⚠ Manual erforderlich</t>
        </is>
      </c>
      <c r="E639" s="11" t="inlineStr"/>
      <c r="F639" s="11" t="n">
        <v>0</v>
      </c>
      <c r="G639" s="11">
        <f>E639-F639</f>
        <v/>
      </c>
      <c r="H639" s="11" t="n">
        <v>0</v>
      </c>
      <c r="I639" s="11" t="n">
        <v>0</v>
      </c>
      <c r="J639" s="11" t="n">
        <v>0</v>
      </c>
      <c r="K639" s="4" t="inlineStr">
        <is>
          <t>Stundensätze eingeben</t>
        </is>
      </c>
    </row>
    <row r="640">
      <c r="A640" s="4" t="inlineStr">
        <is>
          <t>3795.09 BSK-Sparkasse-Louisenstraße-60-Bad Homburg-Fortschreibung</t>
        </is>
      </c>
      <c r="B640" s="4" t="inlineStr">
        <is>
          <t>● (aN) Pos.2 Begehung für die Lüftungsanlage</t>
        </is>
      </c>
      <c r="C640" s="4" t="inlineStr">
        <is>
          <t>Nachweis</t>
        </is>
      </c>
      <c r="D640" s="10" t="inlineStr">
        <is>
          <t>⚠ Manual erforderlich</t>
        </is>
      </c>
      <c r="E640" s="11" t="inlineStr"/>
      <c r="F640" s="11" t="n">
        <v>0</v>
      </c>
      <c r="G640" s="11">
        <f>E640-F640</f>
        <v/>
      </c>
      <c r="H640" s="11" t="n">
        <v/>
      </c>
      <c r="I640" s="11" t="n">
        <v/>
      </c>
      <c r="J640" s="11" t="n">
        <v/>
      </c>
      <c r="K640" s="4" t="inlineStr">
        <is>
          <t>Stundensätze eingeben</t>
        </is>
      </c>
    </row>
    <row r="641">
      <c r="A641" s="4" t="inlineStr">
        <is>
          <t>3869.221 Breuninger-NAT-QBS-Anp-Brandfallmatrix-Marktstr1-3-Stuttgart</t>
        </is>
      </c>
      <c r="B641" s="4" t="inlineStr">
        <is>
          <t>● (aN) Pos. 1 Anpassung der Brandfallsteuermatrix</t>
        </is>
      </c>
      <c r="C641" s="4" t="inlineStr">
        <is>
          <t>Nachweis</t>
        </is>
      </c>
      <c r="D641" s="10" t="inlineStr">
        <is>
          <t>⚠ Manual erforderlich</t>
        </is>
      </c>
      <c r="E641" s="11" t="inlineStr"/>
      <c r="F641" s="11" t="n">
        <v>0</v>
      </c>
      <c r="G641" s="11">
        <f>E641-F641</f>
        <v/>
      </c>
      <c r="H641" s="11" t="n">
        <v/>
      </c>
      <c r="I641" s="11" t="n">
        <v/>
      </c>
      <c r="J641" s="11" t="n">
        <v/>
      </c>
      <c r="K641" s="4" t="inlineStr">
        <is>
          <t>Stundensätze eingeben</t>
        </is>
      </c>
    </row>
    <row r="642">
      <c r="A642" s="4" t="inlineStr">
        <is>
          <t>3869.23 (eh.3258.29) Breuninger-BSK-Bestandsgebäude-Marktstr1-3-Stuttgart</t>
        </is>
      </c>
      <c r="B642" s="4" t="inlineStr">
        <is>
          <t>● (p) Pos. 1 Erstellung eines Brandschutzkonzeptes</t>
        </is>
      </c>
      <c r="C642" s="4" t="inlineStr">
        <is>
          <t>Pauschale</t>
        </is>
      </c>
      <c r="D642" s="10" t="inlineStr">
        <is>
          <t>⚠ Manual erforderlich</t>
        </is>
      </c>
      <c r="E642" s="11" t="inlineStr"/>
      <c r="F642" s="11" t="n">
        <v>0</v>
      </c>
      <c r="G642" s="11">
        <f>E642-F642</f>
        <v/>
      </c>
      <c r="H642" s="11" t="n">
        <v>0</v>
      </c>
      <c r="I642" s="11" t="n">
        <v>0</v>
      </c>
      <c r="J642" s="11" t="n">
        <v>0</v>
      </c>
      <c r="K642" s="4" t="inlineStr">
        <is>
          <t>Stundensätze eingeben</t>
        </is>
      </c>
    </row>
    <row r="643">
      <c r="A643" s="4" t="inlineStr">
        <is>
          <t>3869.23 (eh.3258.29) Breuninger-BSK-Bestandsgebäude-Marktstr1-3-Stuttgart</t>
        </is>
      </c>
      <c r="B643" s="4" t="inlineStr">
        <is>
          <t>● (aN) Pos. 2 Begehungstermine</t>
        </is>
      </c>
      <c r="C643" s="4" t="inlineStr">
        <is>
          <t>Nachweis</t>
        </is>
      </c>
      <c r="D643" s="10" t="inlineStr">
        <is>
          <t>⚠ Manual erforderlich</t>
        </is>
      </c>
      <c r="E643" s="11" t="inlineStr"/>
      <c r="F643" s="11" t="n">
        <v>0</v>
      </c>
      <c r="G643" s="11">
        <f>E643-F643</f>
        <v/>
      </c>
      <c r="H643" s="11" t="n">
        <v/>
      </c>
      <c r="I643" s="11" t="n">
        <v/>
      </c>
      <c r="J643" s="11" t="n">
        <v/>
      </c>
      <c r="K643" s="4" t="inlineStr">
        <is>
          <t>Stundensätze eingeben</t>
        </is>
      </c>
    </row>
    <row r="644">
      <c r="A644" s="4" t="inlineStr">
        <is>
          <t>3869.24 KES-BST-1.OG-Bestandsgebäude-Marktstr1-3-Stuttgart</t>
        </is>
      </c>
      <c r="B644" s="4" t="inlineStr">
        <is>
          <t>● (p) Pos. 1 BST</t>
        </is>
      </c>
      <c r="C644" s="4" t="inlineStr">
        <is>
          <t>Pauschale</t>
        </is>
      </c>
      <c r="D644" s="10" t="inlineStr">
        <is>
          <t>⚠ Manual erforderlich</t>
        </is>
      </c>
      <c r="E644" s="11" t="inlineStr"/>
      <c r="F644" s="11" t="n">
        <v>0</v>
      </c>
      <c r="G644" s="11">
        <f>E644-F644</f>
        <v/>
      </c>
      <c r="H644" s="11" t="n">
        <v>0</v>
      </c>
      <c r="I644" s="11" t="n">
        <v>0</v>
      </c>
      <c r="J644" s="11" t="n">
        <v>0</v>
      </c>
      <c r="K644" s="4" t="inlineStr">
        <is>
          <t>Stundensätze eingeben</t>
        </is>
      </c>
    </row>
    <row r="645">
      <c r="A645" s="4" t="inlineStr">
        <is>
          <t>3869.24 KES-BST-1.OG-Bestandsgebäude-Marktstr1-3-Stuttgart</t>
        </is>
      </c>
      <c r="B645" s="4" t="inlineStr">
        <is>
          <t>● (aN) Pos. 2 Begehungstermine</t>
        </is>
      </c>
      <c r="C645" s="4" t="inlineStr">
        <is>
          <t>Nachweis</t>
        </is>
      </c>
      <c r="D645" s="10" t="inlineStr">
        <is>
          <t>⚠ Manual erforderlich</t>
        </is>
      </c>
      <c r="E645" s="11" t="inlineStr"/>
      <c r="F645" s="11" t="n">
        <v>0</v>
      </c>
      <c r="G645" s="11">
        <f>E645-F645</f>
        <v/>
      </c>
      <c r="H645" s="11" t="n">
        <v/>
      </c>
      <c r="I645" s="11" t="n">
        <v/>
      </c>
      <c r="J645" s="11" t="n">
        <v/>
      </c>
      <c r="K645" s="4" t="inlineStr">
        <is>
          <t>Stundensätze eingeben</t>
        </is>
      </c>
    </row>
    <row r="646">
      <c r="A646" s="4" t="inlineStr">
        <is>
          <t>3869.241 KES-Blackwood-FRP-1.OG-Bestandsgebäude-Marktstr1-3-Stuttgart</t>
        </is>
      </c>
      <c r="B646" s="4" t="inlineStr">
        <is>
          <t>● (aN) Pos. 1 Flucht- und Rettungspläne</t>
        </is>
      </c>
      <c r="C646" s="4" t="inlineStr">
        <is>
          <t>Nachweis</t>
        </is>
      </c>
      <c r="D646" s="10" t="inlineStr">
        <is>
          <t>⚠ Manual erforderlich</t>
        </is>
      </c>
      <c r="E646" s="11" t="inlineStr"/>
      <c r="F646" s="11" t="n">
        <v>0</v>
      </c>
      <c r="G646" s="11">
        <f>E646-F646</f>
        <v/>
      </c>
      <c r="H646" s="11" t="n">
        <v/>
      </c>
      <c r="I646" s="11" t="n">
        <v/>
      </c>
      <c r="J646" s="11" t="n">
        <v/>
      </c>
      <c r="K646" s="4" t="inlineStr">
        <is>
          <t>Stundensätze eingeben</t>
        </is>
      </c>
    </row>
    <row r="647">
      <c r="A647" s="4" t="inlineStr">
        <is>
          <t>3869.25 Breuninger-Brandschutzbegehung-Marktstr1-3-Stuttgart</t>
        </is>
      </c>
      <c r="B647" s="4" t="inlineStr">
        <is>
          <t>● (aN) Pos. 1 Brandschutzbegehung</t>
        </is>
      </c>
      <c r="C647" s="4" t="inlineStr">
        <is>
          <t>Nachweis</t>
        </is>
      </c>
      <c r="D647" s="10" t="inlineStr">
        <is>
          <t>⚠ Manual erforderlich</t>
        </is>
      </c>
      <c r="E647" s="11" t="inlineStr"/>
      <c r="F647" s="11" t="n">
        <v>0</v>
      </c>
      <c r="G647" s="11">
        <f>E647-F647</f>
        <v/>
      </c>
      <c r="H647" s="11" t="n">
        <v/>
      </c>
      <c r="I647" s="11" t="n">
        <v/>
      </c>
      <c r="J647" s="11" t="n">
        <v/>
      </c>
      <c r="K647" s="4" t="inlineStr">
        <is>
          <t>Stundensätze eingeben</t>
        </is>
      </c>
    </row>
    <row r="648">
      <c r="A648" s="4" t="inlineStr">
        <is>
          <t>3870.02 BST-Interimszustand-Bonatzbau-Bahnhof-Hbf-Stuttgart-21-Rahmenvertrag</t>
        </is>
      </c>
      <c r="B648" s="4" t="inlineStr">
        <is>
          <t>● 1000-Grundlagenermittlung</t>
        </is>
      </c>
      <c r="C648" s="9" t="inlineStr">
        <is>
          <t>Unbekannt</t>
        </is>
      </c>
      <c r="D648" s="10" t="inlineStr">
        <is>
          <t>⚠ Manual erforderlich</t>
        </is>
      </c>
      <c r="E648" s="11" t="inlineStr"/>
      <c r="F648" s="11" t="n">
        <v>0</v>
      </c>
      <c r="G648" s="11">
        <f>E648-F648</f>
        <v/>
      </c>
      <c r="H648" s="11" t="n">
        <v/>
      </c>
      <c r="I648" s="11" t="n">
        <v/>
      </c>
      <c r="J648" s="11" t="n">
        <v/>
      </c>
      <c r="K648" s="4" t="inlineStr">
        <is>
          <t>Abrechnungsart wählen; Stundensätze eingeben</t>
        </is>
      </c>
    </row>
    <row r="649">
      <c r="A649" s="4" t="inlineStr">
        <is>
          <t>3870.02 BST-Interimszustand-Bonatzbau-Bahnhof-Hbf-Stuttgart-21-Rahmenvertrag</t>
        </is>
      </c>
      <c r="B649" s="4" t="inlineStr">
        <is>
          <t>● 2000-Vorplanung</t>
        </is>
      </c>
      <c r="C649" s="9" t="inlineStr">
        <is>
          <t>Unbekannt</t>
        </is>
      </c>
      <c r="D649" s="10" t="inlineStr">
        <is>
          <t>⚠ Manual erforderlich</t>
        </is>
      </c>
      <c r="E649" s="11" t="inlineStr"/>
      <c r="F649" s="11" t="n">
        <v>0</v>
      </c>
      <c r="G649" s="11">
        <f>E649-F649</f>
        <v/>
      </c>
      <c r="H649" s="11" t="n">
        <v/>
      </c>
      <c r="I649" s="11" t="n">
        <v/>
      </c>
      <c r="J649" s="11" t="n">
        <v/>
      </c>
      <c r="K649" s="4" t="inlineStr">
        <is>
          <t>Abrechnungsart wählen; Stundensätze eingeben</t>
        </is>
      </c>
    </row>
    <row r="650">
      <c r="A650" s="4" t="inlineStr">
        <is>
          <t>3870.02 BST-Interimszustand-Bonatzbau-Bahnhof-Hbf-Stuttgart-21-Rahmenvertrag</t>
        </is>
      </c>
      <c r="B650" s="4" t="inlineStr">
        <is>
          <t>● 3000-Entwurfsplanung</t>
        </is>
      </c>
      <c r="C650" s="9" t="inlineStr">
        <is>
          <t>Unbekannt</t>
        </is>
      </c>
      <c r="D650" s="10" t="inlineStr">
        <is>
          <t>⚠ Manual erforderlich</t>
        </is>
      </c>
      <c r="E650" s="11" t="inlineStr"/>
      <c r="F650" s="11" t="n">
        <v>0</v>
      </c>
      <c r="G650" s="11">
        <f>E650-F650</f>
        <v/>
      </c>
      <c r="H650" s="11" t="n">
        <v/>
      </c>
      <c r="I650" s="11" t="n">
        <v/>
      </c>
      <c r="J650" s="11" t="n">
        <v/>
      </c>
      <c r="K650" s="4" t="inlineStr">
        <is>
          <t>Abrechnungsart wählen; Stundensätze eingeben</t>
        </is>
      </c>
    </row>
    <row r="651">
      <c r="A651" s="4" t="inlineStr">
        <is>
          <t>3870.02 BST-Interimszustand-Bonatzbau-Bahnhof-Hbf-Stuttgart-21-Rahmenvertrag</t>
        </is>
      </c>
      <c r="B651" s="4" t="inlineStr">
        <is>
          <t>● 5000-Ausführungsplanung</t>
        </is>
      </c>
      <c r="C651" s="9" t="inlineStr">
        <is>
          <t>Unbekannt</t>
        </is>
      </c>
      <c r="D651" s="10" t="inlineStr">
        <is>
          <t>⚠ Manual erforderlich</t>
        </is>
      </c>
      <c r="E651" s="11" t="inlineStr"/>
      <c r="F651" s="11" t="n">
        <v>0</v>
      </c>
      <c r="G651" s="11">
        <f>E651-F651</f>
        <v/>
      </c>
      <c r="H651" s="11" t="n">
        <v/>
      </c>
      <c r="I651" s="11" t="n">
        <v/>
      </c>
      <c r="J651" s="11" t="n">
        <v/>
      </c>
      <c r="K651" s="4" t="inlineStr">
        <is>
          <t>Abrechnungsart wählen; Stundensätze eingeben</t>
        </is>
      </c>
    </row>
    <row r="652">
      <c r="A652" s="4" t="inlineStr">
        <is>
          <t>3870.04 BSK-Container-Bonatzbau-Bahnhof-Hbf-Stuttgart-21</t>
        </is>
      </c>
      <c r="B652" s="4" t="inlineStr">
        <is>
          <t>● 3000-Entwurfsplanung</t>
        </is>
      </c>
      <c r="C652" s="9" t="inlineStr">
        <is>
          <t>Unbekannt</t>
        </is>
      </c>
      <c r="D652" s="10" t="inlineStr">
        <is>
          <t>⚠ Manual erforderlich</t>
        </is>
      </c>
      <c r="E652" s="11" t="inlineStr"/>
      <c r="F652" s="11" t="n">
        <v>0</v>
      </c>
      <c r="G652" s="11">
        <f>E652-F652</f>
        <v/>
      </c>
      <c r="H652" s="11" t="n">
        <v/>
      </c>
      <c r="I652" s="11" t="n">
        <v/>
      </c>
      <c r="J652" s="11" t="n">
        <v/>
      </c>
      <c r="K652" s="4" t="inlineStr">
        <is>
          <t>Abrechnungsart wählen; Stundensätze eingeben</t>
        </is>
      </c>
    </row>
    <row r="653">
      <c r="A653" s="4" t="inlineStr">
        <is>
          <t>3870.04 BSK-Container-Bonatzbau-Bahnhof-Hbf-Stuttgart-21</t>
        </is>
      </c>
      <c r="B653" s="4" t="inlineStr">
        <is>
          <t>● 4000-Genehmigungsplanung</t>
        </is>
      </c>
      <c r="C653" s="9" t="inlineStr">
        <is>
          <t>Unbekannt</t>
        </is>
      </c>
      <c r="D653" s="10" t="inlineStr">
        <is>
          <t>⚠ Manual erforderlich</t>
        </is>
      </c>
      <c r="E653" s="11" t="inlineStr"/>
      <c r="F653" s="11" t="n">
        <v>0</v>
      </c>
      <c r="G653" s="11">
        <f>E653-F653</f>
        <v/>
      </c>
      <c r="H653" s="11" t="n">
        <v/>
      </c>
      <c r="I653" s="11" t="n">
        <v/>
      </c>
      <c r="J653" s="11" t="n">
        <v/>
      </c>
      <c r="K653" s="4" t="inlineStr">
        <is>
          <t>Abrechnungsart wählen; Stundensätze eingeben</t>
        </is>
      </c>
    </row>
    <row r="654">
      <c r="A654" s="4" t="inlineStr">
        <is>
          <t>3870.04 BSK-Container-Bonatzbau-Bahnhof-Hbf-Stuttgart-21</t>
        </is>
      </c>
      <c r="B654" s="4" t="inlineStr">
        <is>
          <t>● 5000-Ausführungsplanung</t>
        </is>
      </c>
      <c r="C654" s="9" t="inlineStr">
        <is>
          <t>Unbekannt</t>
        </is>
      </c>
      <c r="D654" s="10" t="inlineStr">
        <is>
          <t>⚠ Manual erforderlich</t>
        </is>
      </c>
      <c r="E654" s="11" t="inlineStr"/>
      <c r="F654" s="11" t="n">
        <v>0</v>
      </c>
      <c r="G654" s="11">
        <f>E654-F654</f>
        <v/>
      </c>
      <c r="H654" s="11" t="n">
        <v/>
      </c>
      <c r="I654" s="11" t="n">
        <v/>
      </c>
      <c r="J654" s="11" t="n">
        <v/>
      </c>
      <c r="K654" s="4" t="inlineStr">
        <is>
          <t>Abrechnungsart wählen; Stundensätze eingeben</t>
        </is>
      </c>
    </row>
    <row r="655">
      <c r="A655" s="4" t="inlineStr">
        <is>
          <t>3870.04 BSK-Container-Bonatzbau-Bahnhof-Hbf-Stuttgart-21</t>
        </is>
      </c>
      <c r="B655" s="4" t="inlineStr">
        <is>
          <t>● 8000-Objektüberwachung</t>
        </is>
      </c>
      <c r="C655" s="9" t="inlineStr">
        <is>
          <t>Unbekannt</t>
        </is>
      </c>
      <c r="D655" s="10" t="inlineStr">
        <is>
          <t>⚠ Manual erforderlich</t>
        </is>
      </c>
      <c r="E655" s="11" t="inlineStr"/>
      <c r="F655" s="11" t="n">
        <v>0</v>
      </c>
      <c r="G655" s="11">
        <f>E655-F655</f>
        <v/>
      </c>
      <c r="H655" s="11" t="n">
        <v/>
      </c>
      <c r="I655" s="11" t="n">
        <v/>
      </c>
      <c r="J655" s="11" t="n">
        <v/>
      </c>
      <c r="K655" s="4" t="inlineStr">
        <is>
          <t>Abrechnungsart wählen; Stundensätze eingeben</t>
        </is>
      </c>
    </row>
    <row r="656">
      <c r="A656" s="4" t="inlineStr">
        <is>
          <t>3910 Verteilnetzbetreiber Rhein-Main-Neckar GmbH ./. Thorsten Schulz</t>
        </is>
      </c>
      <c r="B656" s="4" t="inlineStr">
        <is>
          <t>● 0000-Aquise</t>
        </is>
      </c>
      <c r="C656" s="9" t="inlineStr">
        <is>
          <t>Unbekannt</t>
        </is>
      </c>
      <c r="D656" s="10" t="inlineStr">
        <is>
          <t>⚠ Manual erforderlich</t>
        </is>
      </c>
      <c r="E656" s="11" t="inlineStr"/>
      <c r="F656" s="11" t="n">
        <v>0</v>
      </c>
      <c r="G656" s="11">
        <f>E656-F656</f>
        <v/>
      </c>
      <c r="H656" s="11" t="n">
        <v/>
      </c>
      <c r="I656" s="11" t="n">
        <v/>
      </c>
      <c r="J656" s="11" t="n">
        <v/>
      </c>
      <c r="K656" s="4" t="inlineStr">
        <is>
          <t>Abrechnungsart wählen; Stundensätze eingeben</t>
        </is>
      </c>
    </row>
    <row r="657">
      <c r="A657" s="4" t="inlineStr">
        <is>
          <t>3910 Verteilnetzbetreiber Rhein-Main-Neckar GmbH ./. Thorsten Schulz</t>
        </is>
      </c>
      <c r="B657" s="4" t="inlineStr">
        <is>
          <t>● 0001-Sonstiges</t>
        </is>
      </c>
      <c r="C657" s="9" t="inlineStr">
        <is>
          <t>Unbekannt</t>
        </is>
      </c>
      <c r="D657" s="10" t="inlineStr">
        <is>
          <t>⚠ Manual erforderlich</t>
        </is>
      </c>
      <c r="E657" s="11" t="inlineStr"/>
      <c r="F657" s="11" t="n">
        <v>0</v>
      </c>
      <c r="G657" s="11">
        <f>E657-F657</f>
        <v/>
      </c>
      <c r="H657" s="11" t="n">
        <v/>
      </c>
      <c r="I657" s="11" t="n">
        <v/>
      </c>
      <c r="J657" s="11" t="n">
        <v/>
      </c>
      <c r="K657" s="4" t="inlineStr">
        <is>
          <t>Abrechnungsart wählen; Stundensätze eingeben</t>
        </is>
      </c>
    </row>
    <row r="658">
      <c r="A658" s="4" t="inlineStr">
        <is>
          <t>3932.06 BSN-Homburger-Landstraße-375-+Frankfurt-Brandmeldeanlage</t>
        </is>
      </c>
      <c r="B658" s="4" t="inlineStr">
        <is>
          <t>● (p) Pos.1 Anpassung BSN Neubew. Ausführung zum Überwachungsumfang Brandmeldeanlage</t>
        </is>
      </c>
      <c r="C658" s="4" t="inlineStr">
        <is>
          <t>Pauschale</t>
        </is>
      </c>
      <c r="D658" s="10" t="inlineStr">
        <is>
          <t>⚠ Manual erforderlich</t>
        </is>
      </c>
      <c r="E658" s="11" t="inlineStr"/>
      <c r="F658" s="11" t="n">
        <v>0</v>
      </c>
      <c r="G658" s="11">
        <f>E658-F658</f>
        <v/>
      </c>
      <c r="H658" s="11" t="n">
        <v>0</v>
      </c>
      <c r="I658" s="11" t="n">
        <v>0</v>
      </c>
      <c r="J658" s="11" t="n">
        <v>0</v>
      </c>
      <c r="K658" s="4" t="inlineStr">
        <is>
          <t>Stundensätze eingeben</t>
        </is>
      </c>
    </row>
    <row r="659">
      <c r="A659" s="4" t="inlineStr">
        <is>
          <t>3933.06 FRP+FWP-Philosophicum-Campus-Bockenheim-Frankfurt-The-Flag-III</t>
        </is>
      </c>
      <c r="B659" s="4" t="inlineStr">
        <is>
          <t>● (p) Pos.1 Erstellung FRP für EG - 8. OG, Flag III, Gräfenstr. 74-76, Ffm</t>
        </is>
      </c>
      <c r="C659" s="4" t="inlineStr">
        <is>
          <t>Pauschale</t>
        </is>
      </c>
      <c r="D659" s="10" t="inlineStr">
        <is>
          <t>⚠ Manual erforderlich</t>
        </is>
      </c>
      <c r="E659" s="11" t="inlineStr"/>
      <c r="F659" s="11" t="n">
        <v>0</v>
      </c>
      <c r="G659" s="11">
        <f>E659-F659</f>
        <v/>
      </c>
      <c r="H659" s="11" t="n">
        <v>0</v>
      </c>
      <c r="I659" s="11" t="n">
        <v>0</v>
      </c>
      <c r="J659" s="11" t="n">
        <v>0</v>
      </c>
      <c r="K659" s="4" t="inlineStr">
        <is>
          <t>Stundensätze eingeben</t>
        </is>
      </c>
    </row>
    <row r="660">
      <c r="A660" s="4" t="inlineStr">
        <is>
          <t>3933.06 FRP+FWP-Philosophicum-Campus-Bockenheim-Frankfurt-The-Flag-III</t>
        </is>
      </c>
      <c r="B660" s="4" t="inlineStr">
        <is>
          <t>● (p) Pos.2 Erstellung FWP</t>
        </is>
      </c>
      <c r="C660" s="4" t="inlineStr">
        <is>
          <t>Pauschale</t>
        </is>
      </c>
      <c r="D660" s="10" t="inlineStr">
        <is>
          <t>⚠ Manual erforderlich</t>
        </is>
      </c>
      <c r="E660" s="11" t="inlineStr"/>
      <c r="F660" s="11" t="n">
        <v>0</v>
      </c>
      <c r="G660" s="11">
        <f>E660-F660</f>
        <v/>
      </c>
      <c r="H660" s="11" t="n">
        <v>0</v>
      </c>
      <c r="I660" s="11" t="n">
        <v>0</v>
      </c>
      <c r="J660" s="11" t="n">
        <v>0</v>
      </c>
      <c r="K660" s="4" t="inlineStr">
        <is>
          <t>Stundensätze eingeben</t>
        </is>
      </c>
    </row>
    <row r="661">
      <c r="A661" s="4" t="inlineStr">
        <is>
          <t>3933.07 TheFlag-III-BSO-Gräfenstraße-74-76-Frankfurt-FRP-KITA</t>
        </is>
      </c>
      <c r="B661" s="4" t="inlineStr">
        <is>
          <t>● (p) Pos.1 Überarbeitung der Brandschutzordnung Teil B</t>
        </is>
      </c>
      <c r="C661" s="4" t="inlineStr">
        <is>
          <t>Pauschale</t>
        </is>
      </c>
      <c r="D661" s="10" t="inlineStr">
        <is>
          <t>⚠ Manual erforderlich</t>
        </is>
      </c>
      <c r="E661" s="11" t="inlineStr"/>
      <c r="F661" s="11" t="n">
        <v>0</v>
      </c>
      <c r="G661" s="11">
        <f>E661-F661</f>
        <v/>
      </c>
      <c r="H661" s="11" t="n">
        <v>0</v>
      </c>
      <c r="I661" s="11" t="n">
        <v>0</v>
      </c>
      <c r="J661" s="11" t="n">
        <v>0</v>
      </c>
      <c r="K661" s="4" t="inlineStr">
        <is>
          <t>Stundensätze eingeben</t>
        </is>
      </c>
    </row>
    <row r="662">
      <c r="A662" s="4" t="inlineStr">
        <is>
          <t>3937.08 Adidas-BTB-Adi-Dassler-Str1-Herzogenaurach</t>
        </is>
      </c>
      <c r="B662" s="4" t="inlineStr">
        <is>
          <t>● (aN) Pos. 1 Brandschutztechnische Beratung</t>
        </is>
      </c>
      <c r="C662" s="4" t="inlineStr">
        <is>
          <t>Nachweis</t>
        </is>
      </c>
      <c r="D662" s="10" t="inlineStr">
        <is>
          <t>⚠ Manual erforderlich</t>
        </is>
      </c>
      <c r="E662" s="11" t="inlineStr"/>
      <c r="F662" s="11" t="n">
        <v>0</v>
      </c>
      <c r="G662" s="11">
        <f>E662-F662</f>
        <v/>
      </c>
      <c r="H662" s="11" t="n">
        <v/>
      </c>
      <c r="I662" s="11" t="n">
        <v/>
      </c>
      <c r="J662" s="11" t="n">
        <v/>
      </c>
      <c r="K662" s="4" t="inlineStr">
        <is>
          <t>Stundensätze eingeben</t>
        </is>
      </c>
    </row>
    <row r="663">
      <c r="A663" s="4" t="inlineStr">
        <is>
          <t>3943.08 TFD-FWP+FRP-Museum-EuropePlaza-Stockholmer-Platz1-Stuttgart</t>
        </is>
      </c>
      <c r="B663" s="4" t="inlineStr">
        <is>
          <t>● (p) Pos. 1 Aktual. FRP</t>
        </is>
      </c>
      <c r="C663" s="4" t="inlineStr">
        <is>
          <t>Pauschale</t>
        </is>
      </c>
      <c r="D663" s="10" t="inlineStr">
        <is>
          <t>⚠ Manual erforderlich</t>
        </is>
      </c>
      <c r="E663" s="11" t="inlineStr"/>
      <c r="F663" s="11" t="n">
        <v>0</v>
      </c>
      <c r="G663" s="11">
        <f>E663-F663</f>
        <v/>
      </c>
      <c r="H663" s="11" t="n">
        <v>0</v>
      </c>
      <c r="I663" s="11" t="n">
        <v>0</v>
      </c>
      <c r="J663" s="11" t="n">
        <v>0</v>
      </c>
      <c r="K663" s="4" t="inlineStr">
        <is>
          <t>Stundensätze eingeben</t>
        </is>
      </c>
    </row>
    <row r="664">
      <c r="A664" s="4" t="inlineStr">
        <is>
          <t>3943.08 TFD-FWP+FRP-Museum-EuropePlaza-Stockholmer-Platz1-Stuttgart</t>
        </is>
      </c>
      <c r="B664" s="4" t="inlineStr">
        <is>
          <t>● (p) Pos. 2 Aktual. FWP</t>
        </is>
      </c>
      <c r="C664" s="4" t="inlineStr">
        <is>
          <t>Pauschale</t>
        </is>
      </c>
      <c r="D664" s="10" t="inlineStr">
        <is>
          <t>⚠ Manual erforderlich</t>
        </is>
      </c>
      <c r="E664" s="11" t="inlineStr"/>
      <c r="F664" s="11" t="n">
        <v>0</v>
      </c>
      <c r="G664" s="11">
        <f>E664-F664</f>
        <v/>
      </c>
      <c r="H664" s="11" t="n">
        <v>0</v>
      </c>
      <c r="I664" s="11" t="n">
        <v>0</v>
      </c>
      <c r="J664" s="11" t="n">
        <v>0</v>
      </c>
      <c r="K664" s="4" t="inlineStr">
        <is>
          <t>Stundensätze eingeben</t>
        </is>
      </c>
    </row>
    <row r="665">
      <c r="A665" s="4" t="inlineStr">
        <is>
          <t>3943.09 TFD-FWP+FRP-PlanungsgebietA1.10.2-Europe-Plaza-Stuttgart</t>
        </is>
      </c>
      <c r="B665" s="4" t="inlineStr">
        <is>
          <t>● (p) Pos. 1 Aktualisieren der Feuerwehrpläne</t>
        </is>
      </c>
      <c r="C665" s="4" t="inlineStr">
        <is>
          <t>Pauschale</t>
        </is>
      </c>
      <c r="D665" s="10" t="inlineStr">
        <is>
          <t>⚠ Manual erforderlich</t>
        </is>
      </c>
      <c r="E665" s="11" t="inlineStr"/>
      <c r="F665" s="11" t="n">
        <v>0</v>
      </c>
      <c r="G665" s="11">
        <f>E665-F665</f>
        <v/>
      </c>
      <c r="H665" s="11" t="n">
        <v>0</v>
      </c>
      <c r="I665" s="11" t="n">
        <v>0</v>
      </c>
      <c r="J665" s="11" t="n">
        <v>0</v>
      </c>
      <c r="K665" s="4" t="inlineStr">
        <is>
          <t>Stundensätze eingeben</t>
        </is>
      </c>
    </row>
    <row r="666">
      <c r="A666" s="4" t="inlineStr">
        <is>
          <t>3943.09 TFD-FWP+FRP-PlanungsgebietA1.10.2-Europe-Plaza-Stuttgart</t>
        </is>
      </c>
      <c r="B666" s="4" t="inlineStr">
        <is>
          <t>● (p) Pos. 2 Aktualisieren der Flucht- und Rettungspläne</t>
        </is>
      </c>
      <c r="C666" s="4" t="inlineStr">
        <is>
          <t>Pauschale</t>
        </is>
      </c>
      <c r="D666" s="10" t="inlineStr">
        <is>
          <t>⚠ Manual erforderlich</t>
        </is>
      </c>
      <c r="E666" s="11" t="inlineStr"/>
      <c r="F666" s="11" t="n">
        <v>0</v>
      </c>
      <c r="G666" s="11">
        <f>E666-F666</f>
        <v/>
      </c>
      <c r="H666" s="11" t="n">
        <v>0</v>
      </c>
      <c r="I666" s="11" t="n">
        <v>0</v>
      </c>
      <c r="J666" s="11" t="n">
        <v>0</v>
      </c>
      <c r="K666" s="4" t="inlineStr">
        <is>
          <t>Stundensätze eingeben</t>
        </is>
      </c>
    </row>
    <row r="667">
      <c r="A667" s="4" t="inlineStr">
        <is>
          <t>4015.14 BSK-Seedammweg-10-Bad-Homburg-Taunus-Therme</t>
        </is>
      </c>
      <c r="B667" s="4" t="inlineStr">
        <is>
          <t>● (aN) Erstmal nur den MLST 3100 für die SV-ler</t>
        </is>
      </c>
      <c r="C667" s="4" t="inlineStr">
        <is>
          <t>Nachweis</t>
        </is>
      </c>
      <c r="D667" s="10" t="inlineStr">
        <is>
          <t>⚠ Manual erforderlich</t>
        </is>
      </c>
      <c r="E667" s="11" t="inlineStr"/>
      <c r="F667" s="11" t="n">
        <v>0</v>
      </c>
      <c r="G667" s="11">
        <f>E667-F667</f>
        <v/>
      </c>
      <c r="H667" s="11" t="n">
        <v/>
      </c>
      <c r="I667" s="11" t="n">
        <v/>
      </c>
      <c r="J667" s="11" t="n">
        <v/>
      </c>
      <c r="K667" s="4" t="inlineStr">
        <is>
          <t>Stundensätze eingeben</t>
        </is>
      </c>
    </row>
    <row r="668">
      <c r="A668" s="4" t="inlineStr">
        <is>
          <t>4015.14 BSK-Seedammweg-10-Bad-Homburg-Taunus-Therme</t>
        </is>
      </c>
      <c r="B668" s="4" t="inlineStr">
        <is>
          <t>● (aN) Planung der Sprinkleranlage Team FLA</t>
        </is>
      </c>
      <c r="C668" s="4" t="inlineStr">
        <is>
          <t>Nachweis</t>
        </is>
      </c>
      <c r="D668" s="10" t="inlineStr">
        <is>
          <t>⚠ Manual erforderlich</t>
        </is>
      </c>
      <c r="E668" s="11" t="inlineStr"/>
      <c r="F668" s="11" t="n">
        <v>0</v>
      </c>
      <c r="G668" s="11">
        <f>E668-F668</f>
        <v/>
      </c>
      <c r="H668" s="11" t="n">
        <v/>
      </c>
      <c r="I668" s="11" t="n">
        <v/>
      </c>
      <c r="J668" s="11" t="n">
        <v/>
      </c>
      <c r="K668" s="4" t="inlineStr">
        <is>
          <t>Stundensätze eingeben</t>
        </is>
      </c>
    </row>
    <row r="669">
      <c r="A669" s="4" t="inlineStr">
        <is>
          <t>4017.06 BSK-Lorscher-Straße-80-Frankfurt-Dehner</t>
        </is>
      </c>
      <c r="B669" s="4" t="inlineStr">
        <is>
          <t>● (p) Pos.1 Fortschr. BSK + BSP aufgrund v. Planungsänderungen</t>
        </is>
      </c>
      <c r="C669" s="4" t="inlineStr">
        <is>
          <t>Pauschale</t>
        </is>
      </c>
      <c r="D669" s="10" t="inlineStr">
        <is>
          <t>⚠ Manual erforderlich</t>
        </is>
      </c>
      <c r="E669" s="11" t="inlineStr"/>
      <c r="F669" s="11" t="n">
        <v>0</v>
      </c>
      <c r="G669" s="11">
        <f>E669-F669</f>
        <v/>
      </c>
      <c r="H669" s="11" t="n">
        <v>0</v>
      </c>
      <c r="I669" s="11" t="n">
        <v>0</v>
      </c>
      <c r="J669" s="11" t="n">
        <v>0</v>
      </c>
      <c r="K669" s="4" t="inlineStr">
        <is>
          <t>Stundensätze eingeben</t>
        </is>
      </c>
    </row>
    <row r="670">
      <c r="A670" s="4" t="inlineStr">
        <is>
          <t>4017.06 BSK-Lorscher-Straße-80-Frankfurt-Dehner</t>
        </is>
      </c>
      <c r="B670" s="4" t="inlineStr">
        <is>
          <t>● (aN) Pos.2 Baubegl. BTB + Qualitätsüberwachung</t>
        </is>
      </c>
      <c r="C670" s="4" t="inlineStr">
        <is>
          <t>Nachweis</t>
        </is>
      </c>
      <c r="D670" s="10" t="inlineStr">
        <is>
          <t>⚠ Manual erforderlich</t>
        </is>
      </c>
      <c r="E670" s="11" t="inlineStr"/>
      <c r="F670" s="11" t="n">
        <v>0</v>
      </c>
      <c r="G670" s="11">
        <f>E670-F670</f>
        <v/>
      </c>
      <c r="H670" s="11" t="n">
        <v/>
      </c>
      <c r="I670" s="11" t="n">
        <v/>
      </c>
      <c r="J670" s="11" t="n">
        <v/>
      </c>
      <c r="K670" s="4" t="inlineStr">
        <is>
          <t>Stundensätze eingeben</t>
        </is>
      </c>
    </row>
    <row r="671">
      <c r="A671" s="4" t="inlineStr">
        <is>
          <t>4098 Fraport-RV-Revitalisierung-Geb251/252</t>
        </is>
      </c>
      <c r="B671" s="4" t="inlineStr">
        <is>
          <t>● 3000-Entwurfsplanung</t>
        </is>
      </c>
      <c r="C671" s="9" t="inlineStr">
        <is>
          <t>Unbekannt</t>
        </is>
      </c>
      <c r="D671" s="10" t="inlineStr">
        <is>
          <t>⚠ Manual erforderlich</t>
        </is>
      </c>
      <c r="E671" s="11" t="inlineStr"/>
      <c r="F671" s="11" t="n">
        <v>0</v>
      </c>
      <c r="G671" s="11">
        <f>E671-F671</f>
        <v/>
      </c>
      <c r="H671" s="11" t="n">
        <v/>
      </c>
      <c r="I671" s="11" t="n">
        <v/>
      </c>
      <c r="J671" s="11" t="n">
        <v/>
      </c>
      <c r="K671" s="4" t="inlineStr">
        <is>
          <t>Abrechnungsart wählen; Stundensätze eingeben</t>
        </is>
      </c>
    </row>
    <row r="672">
      <c r="A672" s="4" t="inlineStr">
        <is>
          <t>4098 Fraport-RV-Revitalisierung-Geb251/252</t>
        </is>
      </c>
      <c r="B672" s="4" t="inlineStr">
        <is>
          <t>● 4000-Genehmigungsplanung</t>
        </is>
      </c>
      <c r="C672" s="9" t="inlineStr">
        <is>
          <t>Unbekannt</t>
        </is>
      </c>
      <c r="D672" s="10" t="inlineStr">
        <is>
          <t>⚠ Manual erforderlich</t>
        </is>
      </c>
      <c r="E672" s="11" t="inlineStr"/>
      <c r="F672" s="11" t="n">
        <v>0</v>
      </c>
      <c r="G672" s="11">
        <f>E672-F672</f>
        <v/>
      </c>
      <c r="H672" s="11" t="n">
        <v/>
      </c>
      <c r="I672" s="11" t="n">
        <v/>
      </c>
      <c r="J672" s="11" t="n">
        <v/>
      </c>
      <c r="K672" s="4" t="inlineStr">
        <is>
          <t>Abrechnungsart wählen; Stundensätze eingeben</t>
        </is>
      </c>
    </row>
    <row r="673">
      <c r="A673" s="4" t="inlineStr">
        <is>
          <t>4098 Fraport-RV-Revitalisierung-Geb251/252</t>
        </is>
      </c>
      <c r="B673" s="4" t="inlineStr">
        <is>
          <t>● 5000-Ausführungsplanung</t>
        </is>
      </c>
      <c r="C673" s="9" t="inlineStr">
        <is>
          <t>Unbekannt</t>
        </is>
      </c>
      <c r="D673" s="10" t="inlineStr">
        <is>
          <t>⚠ Manual erforderlich</t>
        </is>
      </c>
      <c r="E673" s="11" t="inlineStr"/>
      <c r="F673" s="11" t="n">
        <v>0</v>
      </c>
      <c r="G673" s="11">
        <f>E673-F673</f>
        <v/>
      </c>
      <c r="H673" s="11" t="n">
        <v/>
      </c>
      <c r="I673" s="11" t="n">
        <v/>
      </c>
      <c r="J673" s="11" t="n">
        <v/>
      </c>
      <c r="K673" s="4" t="inlineStr">
        <is>
          <t>Abrechnungsart wählen; Stundensätze eingeben</t>
        </is>
      </c>
    </row>
    <row r="674">
      <c r="A674" s="4" t="inlineStr">
        <is>
          <t>4098 Fraport-RV-Revitalisierung-Geb251/252</t>
        </is>
      </c>
      <c r="B674" s="4" t="inlineStr">
        <is>
          <t>● 6000-Vorbereiten der Vergabe</t>
        </is>
      </c>
      <c r="C674" s="9" t="inlineStr">
        <is>
          <t>Unbekannt</t>
        </is>
      </c>
      <c r="D674" s="10" t="inlineStr">
        <is>
          <t>⚠ Manual erforderlich</t>
        </is>
      </c>
      <c r="E674" s="11" t="inlineStr"/>
      <c r="F674" s="11" t="n">
        <v>0</v>
      </c>
      <c r="G674" s="11">
        <f>E674-F674</f>
        <v/>
      </c>
      <c r="H674" s="11" t="n">
        <v/>
      </c>
      <c r="I674" s="11" t="n">
        <v/>
      </c>
      <c r="J674" s="11" t="n">
        <v/>
      </c>
      <c r="K674" s="4" t="inlineStr">
        <is>
          <t>Abrechnungsart wählen; Stundensätze eingeben</t>
        </is>
      </c>
    </row>
    <row r="675">
      <c r="A675" s="4" t="inlineStr">
        <is>
          <t>4098 Fraport-RV-Revitalisierung-Geb251/252</t>
        </is>
      </c>
      <c r="B675" s="4" t="inlineStr">
        <is>
          <t>● 7000-Mitwirkung bei der Vergabe</t>
        </is>
      </c>
      <c r="C675" s="9" t="inlineStr">
        <is>
          <t>Unbekannt</t>
        </is>
      </c>
      <c r="D675" s="10" t="inlineStr">
        <is>
          <t>⚠ Manual erforderlich</t>
        </is>
      </c>
      <c r="E675" s="11" t="inlineStr"/>
      <c r="F675" s="11" t="n">
        <v>0</v>
      </c>
      <c r="G675" s="11">
        <f>E675-F675</f>
        <v/>
      </c>
      <c r="H675" s="11" t="n">
        <v/>
      </c>
      <c r="I675" s="11" t="n">
        <v/>
      </c>
      <c r="J675" s="11" t="n">
        <v/>
      </c>
      <c r="K675" s="4" t="inlineStr">
        <is>
          <t>Abrechnungsart wählen; Stundensätze eingeben</t>
        </is>
      </c>
    </row>
    <row r="676">
      <c r="A676" s="4" t="inlineStr">
        <is>
          <t>4098 Fraport-RV-Revitalisierung-Geb251/252</t>
        </is>
      </c>
      <c r="B676" s="4" t="inlineStr">
        <is>
          <t>● 8000-Objektüberwachung</t>
        </is>
      </c>
      <c r="C676" s="9" t="inlineStr">
        <is>
          <t>Unbekannt</t>
        </is>
      </c>
      <c r="D676" s="10" t="inlineStr">
        <is>
          <t>⚠ Manual erforderlich</t>
        </is>
      </c>
      <c r="E676" s="11" t="inlineStr"/>
      <c r="F676" s="11" t="n">
        <v>0</v>
      </c>
      <c r="G676" s="11">
        <f>E676-F676</f>
        <v/>
      </c>
      <c r="H676" s="11" t="n">
        <v/>
      </c>
      <c r="I676" s="11" t="n">
        <v/>
      </c>
      <c r="J676" s="11" t="n">
        <v/>
      </c>
      <c r="K676" s="4" t="inlineStr">
        <is>
          <t>Abrechnungsart wählen; Stundensätze eingeben</t>
        </is>
      </c>
    </row>
    <row r="677">
      <c r="A677" s="4" t="inlineStr">
        <is>
          <t>4114.02 RV-BTB-Haus-2-Dag-Hammarskjöld-Weg-1-5-Eschborn</t>
        </is>
      </c>
      <c r="B677" s="4" t="inlineStr">
        <is>
          <t>● 2000-Vorplanung</t>
        </is>
      </c>
      <c r="C677" s="9" t="inlineStr">
        <is>
          <t>Unbekannt</t>
        </is>
      </c>
      <c r="D677" s="10" t="inlineStr">
        <is>
          <t>⚠ Manual erforderlich</t>
        </is>
      </c>
      <c r="E677" s="11" t="inlineStr"/>
      <c r="F677" s="11" t="n">
        <v>0</v>
      </c>
      <c r="G677" s="11">
        <f>E677-F677</f>
        <v/>
      </c>
      <c r="H677" s="11" t="n">
        <v/>
      </c>
      <c r="I677" s="11" t="n">
        <v/>
      </c>
      <c r="J677" s="11" t="n">
        <v/>
      </c>
      <c r="K677" s="4" t="inlineStr">
        <is>
          <t>Abrechnungsart wählen; Stundensätze eingeben</t>
        </is>
      </c>
    </row>
    <row r="678">
      <c r="A678" s="4" t="inlineStr">
        <is>
          <t>4114.03 RV-BTB-Haus-2-Dag-Hammarskjöld-Weg-1-5-Eschborn</t>
        </is>
      </c>
      <c r="B678" s="4" t="inlineStr">
        <is>
          <t>● (a.N.) Beratung</t>
        </is>
      </c>
      <c r="C678" s="4" t="inlineStr">
        <is>
          <t>Nachweis</t>
        </is>
      </c>
      <c r="D678" s="10" t="inlineStr">
        <is>
          <t>⚠ Manual erforderlich</t>
        </is>
      </c>
      <c r="E678" s="11" t="inlineStr"/>
      <c r="F678" s="11" t="n">
        <v>0</v>
      </c>
      <c r="G678" s="11">
        <f>E678-F678</f>
        <v/>
      </c>
      <c r="H678" s="11" t="n">
        <v/>
      </c>
      <c r="I678" s="11" t="n">
        <v/>
      </c>
      <c r="J678" s="11" t="n">
        <v/>
      </c>
      <c r="K678" s="4" t="inlineStr">
        <is>
          <t>Stundensätze eingeben</t>
        </is>
      </c>
    </row>
    <row r="679">
      <c r="A679" s="4" t="inlineStr">
        <is>
          <t>4123 Vogel ./. WEG Zobelstraße 12 a, Aschaffenburg - Gerichtsgutachten</t>
        </is>
      </c>
      <c r="B679" s="4" t="inlineStr">
        <is>
          <t>● 0001-Sonstiges</t>
        </is>
      </c>
      <c r="C679" s="9" t="inlineStr">
        <is>
          <t>Unbekannt</t>
        </is>
      </c>
      <c r="D679" s="10" t="inlineStr">
        <is>
          <t>⚠ Manual erforderlich</t>
        </is>
      </c>
      <c r="E679" s="11" t="inlineStr"/>
      <c r="F679" s="11" t="n">
        <v>0</v>
      </c>
      <c r="G679" s="11">
        <f>E679-F679</f>
        <v/>
      </c>
      <c r="H679" s="11" t="n">
        <v/>
      </c>
      <c r="I679" s="11" t="n">
        <v/>
      </c>
      <c r="J679" s="11" t="n">
        <v/>
      </c>
      <c r="K679" s="4" t="inlineStr">
        <is>
          <t>Abrechnungsart wählen; Stundensätze eingeben</t>
        </is>
      </c>
    </row>
    <row r="680">
      <c r="A680" s="4" t="inlineStr">
        <is>
          <t>4124 Sürther-Straße-Köln-Rodenkirchen-IGS - Gerichtsgutachten</t>
        </is>
      </c>
      <c r="B680" s="4" t="inlineStr">
        <is>
          <t>● 0001-Sonstiges</t>
        </is>
      </c>
      <c r="C680" s="9" t="inlineStr">
        <is>
          <t>Unbekannt</t>
        </is>
      </c>
      <c r="D680" s="10" t="inlineStr">
        <is>
          <t>⚠ Manual erforderlich</t>
        </is>
      </c>
      <c r="E680" s="11" t="inlineStr"/>
      <c r="F680" s="11" t="n">
        <v>0</v>
      </c>
      <c r="G680" s="11">
        <f>E680-F680</f>
        <v/>
      </c>
      <c r="H680" s="11" t="n">
        <v/>
      </c>
      <c r="I680" s="11" t="n">
        <v/>
      </c>
      <c r="J680" s="11" t="n">
        <v/>
      </c>
      <c r="K680" s="4" t="inlineStr">
        <is>
          <t>Abrechnungsart wählen; Stundensätze eingeben</t>
        </is>
      </c>
    </row>
    <row r="681">
      <c r="A681" s="4" t="inlineStr">
        <is>
          <t>4126 BA2-Klinikum-am-Gesundbrunnen-Heilbronn</t>
        </is>
      </c>
      <c r="B681" s="4" t="inlineStr">
        <is>
          <t>● 0001-Sonstiges</t>
        </is>
      </c>
      <c r="C681" s="9" t="inlineStr">
        <is>
          <t>Unbekannt</t>
        </is>
      </c>
      <c r="D681" s="10" t="inlineStr">
        <is>
          <t>⚠ Manual erforderlich</t>
        </is>
      </c>
      <c r="E681" s="11" t="inlineStr"/>
      <c r="F681" s="11" t="n">
        <v>0</v>
      </c>
      <c r="G681" s="11">
        <f>E681-F681</f>
        <v/>
      </c>
      <c r="H681" s="11" t="n">
        <v/>
      </c>
      <c r="I681" s="11" t="n">
        <v/>
      </c>
      <c r="J681" s="11" t="n">
        <v/>
      </c>
      <c r="K681" s="4" t="inlineStr">
        <is>
          <t>Abrechnungsart wählen; Stundensätze eingeben</t>
        </is>
      </c>
    </row>
    <row r="682">
      <c r="A682" s="4" t="inlineStr">
        <is>
          <t>4126 BA2-Klinikum-am-Gesundbrunnen-Heilbronn</t>
        </is>
      </c>
      <c r="B682" s="4" t="inlineStr">
        <is>
          <t>● 1000-Grundlagenermittlung</t>
        </is>
      </c>
      <c r="C682" s="9" t="inlineStr">
        <is>
          <t>Unbekannt</t>
        </is>
      </c>
      <c r="D682" s="10" t="inlineStr">
        <is>
          <t>⚠ Manual erforderlich</t>
        </is>
      </c>
      <c r="E682" s="11" t="inlineStr"/>
      <c r="F682" s="11" t="n">
        <v>0</v>
      </c>
      <c r="G682" s="11">
        <f>E682-F682</f>
        <v/>
      </c>
      <c r="H682" s="11" t="n">
        <v/>
      </c>
      <c r="I682" s="11" t="n">
        <v/>
      </c>
      <c r="J682" s="11" t="n">
        <v/>
      </c>
      <c r="K682" s="4" t="inlineStr">
        <is>
          <t>Abrechnungsart wählen; Stundensätze eingeben</t>
        </is>
      </c>
    </row>
    <row r="683">
      <c r="A683" s="4" t="inlineStr">
        <is>
          <t>4126 BA2-Klinikum-am-Gesundbrunnen-Heilbronn</t>
        </is>
      </c>
      <c r="B683" s="4" t="inlineStr">
        <is>
          <t>● 2000-Vorplanung</t>
        </is>
      </c>
      <c r="C683" s="9" t="inlineStr">
        <is>
          <t>Unbekannt</t>
        </is>
      </c>
      <c r="D683" s="10" t="inlineStr">
        <is>
          <t>⚠ Manual erforderlich</t>
        </is>
      </c>
      <c r="E683" s="11" t="inlineStr"/>
      <c r="F683" s="11" t="n">
        <v>0</v>
      </c>
      <c r="G683" s="11">
        <f>E683-F683</f>
        <v/>
      </c>
      <c r="H683" s="11" t="n">
        <v/>
      </c>
      <c r="I683" s="11" t="n">
        <v/>
      </c>
      <c r="J683" s="11" t="n">
        <v/>
      </c>
      <c r="K683" s="4" t="inlineStr">
        <is>
          <t>Abrechnungsart wählen; Stundensätze eingeben</t>
        </is>
      </c>
    </row>
    <row r="684">
      <c r="A684" s="4" t="inlineStr">
        <is>
          <t>4126 BA2-Klinikum-am-Gesundbrunnen-Heilbronn</t>
        </is>
      </c>
      <c r="B684" s="4" t="inlineStr">
        <is>
          <t>● 3000-Entwurfsplanung</t>
        </is>
      </c>
      <c r="C684" s="9" t="inlineStr">
        <is>
          <t>Unbekannt</t>
        </is>
      </c>
      <c r="D684" s="10" t="inlineStr">
        <is>
          <t>⚠ Manual erforderlich</t>
        </is>
      </c>
      <c r="E684" s="11" t="inlineStr"/>
      <c r="F684" s="11" t="n">
        <v>0</v>
      </c>
      <c r="G684" s="11">
        <f>E684-F684</f>
        <v/>
      </c>
      <c r="H684" s="11" t="n">
        <v/>
      </c>
      <c r="I684" s="11" t="n">
        <v/>
      </c>
      <c r="J684" s="11" t="n">
        <v/>
      </c>
      <c r="K684" s="4" t="inlineStr">
        <is>
          <t>Abrechnungsart wählen; Stundensätze eingeben</t>
        </is>
      </c>
    </row>
    <row r="685">
      <c r="A685" s="4" t="inlineStr">
        <is>
          <t>4126 BA2-Klinikum-am-Gesundbrunnen-Heilbronn</t>
        </is>
      </c>
      <c r="B685" s="4" t="inlineStr">
        <is>
          <t>● 4000-Genehmigungsplanung</t>
        </is>
      </c>
      <c r="C685" s="9" t="inlineStr">
        <is>
          <t>Unbekannt</t>
        </is>
      </c>
      <c r="D685" s="10" t="inlineStr">
        <is>
          <t>⚠ Manual erforderlich</t>
        </is>
      </c>
      <c r="E685" s="11" t="inlineStr"/>
      <c r="F685" s="11" t="n">
        <v>0</v>
      </c>
      <c r="G685" s="11">
        <f>E685-F685</f>
        <v/>
      </c>
      <c r="H685" s="11" t="n">
        <v/>
      </c>
      <c r="I685" s="11" t="n">
        <v/>
      </c>
      <c r="J685" s="11" t="n">
        <v/>
      </c>
      <c r="K685" s="4" t="inlineStr">
        <is>
          <t>Abrechnungsart wählen; Stundensätze eingeben</t>
        </is>
      </c>
    </row>
    <row r="686">
      <c r="A686" s="4" t="inlineStr">
        <is>
          <t>4126 BA2-Klinikum-am-Gesundbrunnen-Heilbronn</t>
        </is>
      </c>
      <c r="B686" s="4" t="inlineStr">
        <is>
          <t>● 5000-Ausführungsplanung</t>
        </is>
      </c>
      <c r="C686" s="9" t="inlineStr">
        <is>
          <t>Unbekannt</t>
        </is>
      </c>
      <c r="D686" s="10" t="inlineStr">
        <is>
          <t>⚠ Manual erforderlich</t>
        </is>
      </c>
      <c r="E686" s="11" t="inlineStr"/>
      <c r="F686" s="11" t="n">
        <v>0</v>
      </c>
      <c r="G686" s="11">
        <f>E686-F686</f>
        <v/>
      </c>
      <c r="H686" s="11" t="n">
        <v/>
      </c>
      <c r="I686" s="11" t="n">
        <v/>
      </c>
      <c r="J686" s="11" t="n">
        <v/>
      </c>
      <c r="K686" s="4" t="inlineStr">
        <is>
          <t>Abrechnungsart wählen; Stundensätze eingeben</t>
        </is>
      </c>
    </row>
    <row r="687">
      <c r="A687" s="4" t="inlineStr">
        <is>
          <t>4126 BA2-Klinikum-am-Gesundbrunnen-Heilbronn</t>
        </is>
      </c>
      <c r="B687" s="4" t="inlineStr">
        <is>
          <t>● 6000-Vorbereiten der Vergabe</t>
        </is>
      </c>
      <c r="C687" s="9" t="inlineStr">
        <is>
          <t>Unbekannt</t>
        </is>
      </c>
      <c r="D687" s="10" t="inlineStr">
        <is>
          <t>⚠ Manual erforderlich</t>
        </is>
      </c>
      <c r="E687" s="11" t="inlineStr"/>
      <c r="F687" s="11" t="n">
        <v>0</v>
      </c>
      <c r="G687" s="11">
        <f>E687-F687</f>
        <v/>
      </c>
      <c r="H687" s="11" t="n">
        <v/>
      </c>
      <c r="I687" s="11" t="n">
        <v/>
      </c>
      <c r="J687" s="11" t="n">
        <v/>
      </c>
      <c r="K687" s="4" t="inlineStr">
        <is>
          <t>Abrechnungsart wählen; Stundensätze eingeben</t>
        </is>
      </c>
    </row>
    <row r="688">
      <c r="A688" s="4" t="inlineStr">
        <is>
          <t>4126 BA2-Klinikum-am-Gesundbrunnen-Heilbronn</t>
        </is>
      </c>
      <c r="B688" s="4" t="inlineStr">
        <is>
          <t>● 7000-Mitwirkung bei der Vergabe</t>
        </is>
      </c>
      <c r="C688" s="9" t="inlineStr">
        <is>
          <t>Unbekannt</t>
        </is>
      </c>
      <c r="D688" s="10" t="inlineStr">
        <is>
          <t>⚠ Manual erforderlich</t>
        </is>
      </c>
      <c r="E688" s="11" t="inlineStr"/>
      <c r="F688" s="11" t="n">
        <v>0</v>
      </c>
      <c r="G688" s="11">
        <f>E688-F688</f>
        <v/>
      </c>
      <c r="H688" s="11" t="n">
        <v/>
      </c>
      <c r="I688" s="11" t="n">
        <v/>
      </c>
      <c r="J688" s="11" t="n">
        <v/>
      </c>
      <c r="K688" s="4" t="inlineStr">
        <is>
          <t>Abrechnungsart wählen; Stundensätze eingeben</t>
        </is>
      </c>
    </row>
    <row r="689">
      <c r="A689" s="4" t="inlineStr">
        <is>
          <t>4126 BA2-Klinikum-am-Gesundbrunnen-Heilbronn</t>
        </is>
      </c>
      <c r="B689" s="4" t="inlineStr">
        <is>
          <t>● 8000-Objektüberwachung</t>
        </is>
      </c>
      <c r="C689" s="9" t="inlineStr">
        <is>
          <t>Unbekannt</t>
        </is>
      </c>
      <c r="D689" s="10" t="inlineStr">
        <is>
          <t>⚠ Manual erforderlich</t>
        </is>
      </c>
      <c r="E689" s="11" t="inlineStr"/>
      <c r="F689" s="11" t="n">
        <v>0</v>
      </c>
      <c r="G689" s="11">
        <f>E689-F689</f>
        <v/>
      </c>
      <c r="H689" s="11" t="n">
        <v/>
      </c>
      <c r="I689" s="11" t="n">
        <v/>
      </c>
      <c r="J689" s="11" t="n">
        <v/>
      </c>
      <c r="K689" s="4" t="inlineStr">
        <is>
          <t>Abrechnungsart wählen; Stundensätze eingeben</t>
        </is>
      </c>
    </row>
    <row r="690">
      <c r="A690" s="4" t="inlineStr">
        <is>
          <t>4126 BA2-Klinikum-am-Gesundbrunnen-Heilbronn</t>
        </is>
      </c>
      <c r="B690" s="4" t="inlineStr">
        <is>
          <t>● 9000-Objektbetreuung und Dokumentation</t>
        </is>
      </c>
      <c r="C690" s="9" t="inlineStr">
        <is>
          <t>Unbekannt</t>
        </is>
      </c>
      <c r="D690" s="10" t="inlineStr">
        <is>
          <t>⚠ Manual erforderlich</t>
        </is>
      </c>
      <c r="E690" s="11" t="inlineStr"/>
      <c r="F690" s="11" t="n">
        <v>0</v>
      </c>
      <c r="G690" s="11">
        <f>E690-F690</f>
        <v/>
      </c>
      <c r="H690" s="11" t="n">
        <v/>
      </c>
      <c r="I690" s="11" t="n">
        <v/>
      </c>
      <c r="J690" s="11" t="n">
        <v/>
      </c>
      <c r="K690" s="4" t="inlineStr">
        <is>
          <t>Abrechnungsart wählen; Stundensätze eingeben</t>
        </is>
      </c>
    </row>
    <row r="691">
      <c r="A691" s="4" t="inlineStr">
        <is>
          <t>4126.03 LP5-BA2-Klinikum-am-Gesundbrunnen-Heilbronn</t>
        </is>
      </c>
      <c r="B691" s="4" t="inlineStr">
        <is>
          <t>● 5000-Ausführungsplanung</t>
        </is>
      </c>
      <c r="C691" s="9" t="inlineStr">
        <is>
          <t>Unbekannt</t>
        </is>
      </c>
      <c r="D691" s="10" t="inlineStr">
        <is>
          <t>⚠ Manual erforderlich</t>
        </is>
      </c>
      <c r="E691" s="11" t="inlineStr"/>
      <c r="F691" s="11" t="n">
        <v>0</v>
      </c>
      <c r="G691" s="11">
        <f>E691-F691</f>
        <v/>
      </c>
      <c r="H691" s="11" t="n">
        <v/>
      </c>
      <c r="I691" s="11" t="n">
        <v/>
      </c>
      <c r="J691" s="11" t="n">
        <v/>
      </c>
      <c r="K691" s="4" t="inlineStr">
        <is>
          <t>Abrechnungsart wählen; Stundensätze eingeben</t>
        </is>
      </c>
    </row>
    <row r="692">
      <c r="A692" s="4" t="inlineStr">
        <is>
          <t>4126.04 LP8-BA2-Klinikum-am-Gesundbrunnen-Heilbronn</t>
        </is>
      </c>
      <c r="B692" s="4" t="inlineStr">
        <is>
          <t>● 8000-Objektüberwachung</t>
        </is>
      </c>
      <c r="C692" s="9" t="inlineStr">
        <is>
          <t>Unbekannt</t>
        </is>
      </c>
      <c r="D692" s="10" t="inlineStr">
        <is>
          <t>⚠ Manual erforderlich</t>
        </is>
      </c>
      <c r="E692" s="11" t="inlineStr"/>
      <c r="F692" s="11" t="n">
        <v>0</v>
      </c>
      <c r="G692" s="11">
        <f>E692-F692</f>
        <v/>
      </c>
      <c r="H692" s="11" t="n">
        <v/>
      </c>
      <c r="I692" s="11" t="n">
        <v/>
      </c>
      <c r="J692" s="11" t="n">
        <v/>
      </c>
      <c r="K692" s="4" t="inlineStr">
        <is>
          <t>Abrechnungsart wählen; Stundensätze eingeben</t>
        </is>
      </c>
    </row>
    <row r="693">
      <c r="A693" s="4" t="inlineStr">
        <is>
          <t>4126.041 Telluride-LP8-Bauzeitverlängerung-BA2-Klinikum-am-Gesundbrunnen-Heilbronn</t>
        </is>
      </c>
      <c r="B693" s="4" t="inlineStr">
        <is>
          <t>● 8000-Objektüberwachung</t>
        </is>
      </c>
      <c r="C693" s="9" t="inlineStr">
        <is>
          <t>Unbekannt</t>
        </is>
      </c>
      <c r="D693" s="10" t="inlineStr">
        <is>
          <t>⚠ Manual erforderlich</t>
        </is>
      </c>
      <c r="E693" s="11" t="inlineStr"/>
      <c r="F693" s="11" t="n">
        <v>0</v>
      </c>
      <c r="G693" s="11">
        <f>E693-F693</f>
        <v/>
      </c>
      <c r="H693" s="11" t="n">
        <v/>
      </c>
      <c r="I693" s="11" t="n">
        <v/>
      </c>
      <c r="J693" s="11" t="n">
        <v/>
      </c>
      <c r="K693" s="4" t="inlineStr">
        <is>
          <t>Abrechnungsart wählen; Stundensätze eingeben</t>
        </is>
      </c>
    </row>
    <row r="694">
      <c r="A694" s="4" t="inlineStr">
        <is>
          <t>4126.07 FWP-2.BA-Am-Gesundbrunnen20-26-Heilbronn-SLK</t>
        </is>
      </c>
      <c r="B694" s="4" t="inlineStr">
        <is>
          <t>● FW-Pläne (pauschal)</t>
        </is>
      </c>
      <c r="C694" s="9" t="inlineStr">
        <is>
          <t>Unbekannt</t>
        </is>
      </c>
      <c r="D694" s="10" t="inlineStr">
        <is>
          <t>⚠ Manual erforderlich</t>
        </is>
      </c>
      <c r="E694" s="11" t="inlineStr"/>
      <c r="F694" s="11" t="n">
        <v>0</v>
      </c>
      <c r="G694" s="11">
        <f>E694-F694</f>
        <v/>
      </c>
      <c r="H694" s="11" t="n">
        <v/>
      </c>
      <c r="I694" s="11" t="n">
        <v/>
      </c>
      <c r="J694" s="11" t="n">
        <v/>
      </c>
      <c r="K694" s="4" t="inlineStr">
        <is>
          <t>Abrechnungsart wählen; Stundensätze eingeben</t>
        </is>
      </c>
    </row>
    <row r="695">
      <c r="A695" s="4" t="inlineStr">
        <is>
          <t>4126.07 FWP-2.BA-Am-Gesundbrunnen20-26-Heilbronn-SLK</t>
        </is>
      </c>
      <c r="B695" s="4" t="inlineStr">
        <is>
          <t>● NAT FWP</t>
        </is>
      </c>
      <c r="C695" s="9" t="inlineStr">
        <is>
          <t>Unbekannt</t>
        </is>
      </c>
      <c r="D695" s="10" t="inlineStr">
        <is>
          <t>⚠ Manual erforderlich</t>
        </is>
      </c>
      <c r="E695" s="11" t="inlineStr"/>
      <c r="F695" s="11" t="n">
        <v>0</v>
      </c>
      <c r="G695" s="11">
        <f>E695-F695</f>
        <v/>
      </c>
      <c r="H695" s="11" t="n">
        <v/>
      </c>
      <c r="I695" s="11" t="n">
        <v/>
      </c>
      <c r="J695" s="11" t="n">
        <v/>
      </c>
      <c r="K695" s="4" t="inlineStr">
        <is>
          <t>Abrechnungsart wählen; Stundensätze eingeben</t>
        </is>
      </c>
    </row>
    <row r="696">
      <c r="A696" s="4" t="inlineStr">
        <is>
          <t>4126.08 Fortschreibung-BSK-2BA-SLK</t>
        </is>
      </c>
      <c r="B696" s="4" t="inlineStr">
        <is>
          <t>● (a.N.) Fortscheibung BSK</t>
        </is>
      </c>
      <c r="C696" s="4" t="inlineStr">
        <is>
          <t>Nachweis</t>
        </is>
      </c>
      <c r="D696" s="10" t="inlineStr">
        <is>
          <t>⚠ Manual erforderlich</t>
        </is>
      </c>
      <c r="E696" s="11" t="inlineStr"/>
      <c r="F696" s="11" t="n">
        <v>0</v>
      </c>
      <c r="G696" s="11">
        <f>E696-F696</f>
        <v/>
      </c>
      <c r="H696" s="11" t="n">
        <v/>
      </c>
      <c r="I696" s="11" t="n">
        <v/>
      </c>
      <c r="J696" s="11" t="n">
        <v/>
      </c>
      <c r="K696" s="4" t="inlineStr">
        <is>
          <t>Stundensätze eingeben</t>
        </is>
      </c>
    </row>
    <row r="697">
      <c r="A697" s="4" t="inlineStr">
        <is>
          <t>4126.09 SLK-Räumungskonzept-Neubau-1+2BA</t>
        </is>
      </c>
      <c r="B697" s="4" t="inlineStr">
        <is>
          <t>● (p) Pos.1 Erstellung Räumungskonzept</t>
        </is>
      </c>
      <c r="C697" s="4" t="inlineStr">
        <is>
          <t>Pauschale</t>
        </is>
      </c>
      <c r="D697" s="10" t="inlineStr">
        <is>
          <t>⚠ Manual erforderlich</t>
        </is>
      </c>
      <c r="E697" s="11" t="inlineStr"/>
      <c r="F697" s="11" t="n">
        <v>0</v>
      </c>
      <c r="G697" s="11">
        <f>E697-F697</f>
        <v/>
      </c>
      <c r="H697" s="11" t="n">
        <v>0</v>
      </c>
      <c r="I697" s="11" t="n">
        <v>0</v>
      </c>
      <c r="J697" s="11" t="n">
        <v>0</v>
      </c>
      <c r="K697" s="4" t="inlineStr">
        <is>
          <t>Stundensätze eingeben</t>
        </is>
      </c>
    </row>
    <row r="698">
      <c r="A698" s="4" t="inlineStr">
        <is>
          <t>4126.09 SLK-Räumungskonzept-Neubau-1+2BA</t>
        </is>
      </c>
      <c r="B698" s="4" t="inlineStr">
        <is>
          <t>● (a.N.) Pos.2 Räumungskonzeptpläne - Abrechnung erfolgt je Räumungskonzeptplan 560€/St. x 12St.</t>
        </is>
      </c>
      <c r="C698" s="4" t="inlineStr">
        <is>
          <t>Nachweis</t>
        </is>
      </c>
      <c r="D698" s="10" t="inlineStr">
        <is>
          <t>⚠ Manual erforderlich</t>
        </is>
      </c>
      <c r="E698" s="11" t="inlineStr"/>
      <c r="F698" s="11" t="n">
        <v>0</v>
      </c>
      <c r="G698" s="11">
        <f>E698-F698</f>
        <v/>
      </c>
      <c r="H698" s="11" t="n">
        <v/>
      </c>
      <c r="I698" s="11" t="n">
        <v/>
      </c>
      <c r="J698" s="11" t="n">
        <v/>
      </c>
      <c r="K698" s="4" t="inlineStr">
        <is>
          <t>Stundensätze eingeben</t>
        </is>
      </c>
    </row>
    <row r="699">
      <c r="A699" s="4" t="inlineStr">
        <is>
          <t>4126.09 SLK-Räumungskonzept-Neubau-1+2BA</t>
        </is>
      </c>
      <c r="B699" s="4" t="inlineStr">
        <is>
          <t>● (a.N.) Pos.3 Räumungsbereichsplan - Abrechnung erfolgt je Plan 150€/St. x 85St.</t>
        </is>
      </c>
      <c r="C699" s="4" t="inlineStr">
        <is>
          <t>Nachweis</t>
        </is>
      </c>
      <c r="D699" s="10" t="inlineStr">
        <is>
          <t>⚠ Manual erforderlich</t>
        </is>
      </c>
      <c r="E699" s="11" t="inlineStr"/>
      <c r="F699" s="11" t="n">
        <v>0</v>
      </c>
      <c r="G699" s="11">
        <f>E699-F699</f>
        <v/>
      </c>
      <c r="H699" s="11" t="n">
        <v/>
      </c>
      <c r="I699" s="11" t="n">
        <v/>
      </c>
      <c r="J699" s="11" t="n">
        <v/>
      </c>
      <c r="K699" s="4" t="inlineStr">
        <is>
          <t>Stundensätze eingeben</t>
        </is>
      </c>
    </row>
    <row r="700">
      <c r="A700" s="4" t="inlineStr">
        <is>
          <t>4126.09 SLK-Räumungskonzept-Neubau-1+2BA</t>
        </is>
      </c>
      <c r="B700" s="4" t="inlineStr">
        <is>
          <t>● (a.N.) Pos.4 Räumungsübersichtspläne - Abrechnung erfolgt je Plan 75€/St. x 85St.</t>
        </is>
      </c>
      <c r="C700" s="4" t="inlineStr">
        <is>
          <t>Nachweis</t>
        </is>
      </c>
      <c r="D700" s="10" t="inlineStr">
        <is>
          <t>⚠ Manual erforderlich</t>
        </is>
      </c>
      <c r="E700" s="11" t="inlineStr"/>
      <c r="F700" s="11" t="n">
        <v>0</v>
      </c>
      <c r="G700" s="11">
        <f>E700-F700</f>
        <v/>
      </c>
      <c r="H700" s="11" t="n">
        <v/>
      </c>
      <c r="I700" s="11" t="n">
        <v/>
      </c>
      <c r="J700" s="11" t="n">
        <v/>
      </c>
      <c r="K700" s="4" t="inlineStr">
        <is>
          <t>Stundensätze eingeben</t>
        </is>
      </c>
    </row>
    <row r="701">
      <c r="A701" s="4" t="inlineStr">
        <is>
          <t>4126.09 SLK-Räumungskonzept-Neubau-1+2BA</t>
        </is>
      </c>
      <c r="B701" s="4" t="inlineStr">
        <is>
          <t>● (aN) Pos. 6 Zusätzliche Beratungsleistung Räumung</t>
        </is>
      </c>
      <c r="C701" s="4" t="inlineStr">
        <is>
          <t>Nachweis</t>
        </is>
      </c>
      <c r="D701" s="10" t="inlineStr">
        <is>
          <t>⚠ Manual erforderlich</t>
        </is>
      </c>
      <c r="E701" s="11" t="inlineStr"/>
      <c r="F701" s="11" t="n">
        <v>0</v>
      </c>
      <c r="G701" s="11">
        <f>E701-F701</f>
        <v/>
      </c>
      <c r="H701" s="11" t="n">
        <v/>
      </c>
      <c r="I701" s="11" t="n">
        <v/>
      </c>
      <c r="J701" s="11" t="n">
        <v/>
      </c>
      <c r="K701" s="4" t="inlineStr">
        <is>
          <t>Stundensätze eingeben</t>
        </is>
      </c>
    </row>
    <row r="702">
      <c r="A702" s="4" t="inlineStr">
        <is>
          <t>4126.10 FWP-SLK-Erweiterung-Meldergruppe-501</t>
        </is>
      </c>
      <c r="B702" s="4" t="inlineStr">
        <is>
          <t>● (a.N.) Pos.1 erw. FWP auf die im Bestand vorh. Meldergruppe 501</t>
        </is>
      </c>
      <c r="C702" s="4" t="inlineStr">
        <is>
          <t>Nachweis</t>
        </is>
      </c>
      <c r="D702" s="10" t="inlineStr">
        <is>
          <t>⚠ Manual erforderlich</t>
        </is>
      </c>
      <c r="E702" s="11" t="inlineStr"/>
      <c r="F702" s="11" t="n">
        <v>0</v>
      </c>
      <c r="G702" s="11">
        <f>E702-F702</f>
        <v/>
      </c>
      <c r="H702" s="11" t="n">
        <v/>
      </c>
      <c r="I702" s="11" t="n">
        <v/>
      </c>
      <c r="J702" s="11" t="n">
        <v/>
      </c>
      <c r="K702" s="4" t="inlineStr">
        <is>
          <t>Stundensätze eingeben</t>
        </is>
      </c>
    </row>
    <row r="703">
      <c r="A703" s="4" t="inlineStr">
        <is>
          <t>4126.10 FWP-SLK-Erweiterung-Meldergruppe-501</t>
        </is>
      </c>
      <c r="B703" s="4" t="inlineStr">
        <is>
          <t>● (a.N.) Pos.2 Erw. der Rauchableitungspläne i.Verbd. mit FWP gem. Pos.1</t>
        </is>
      </c>
      <c r="C703" s="4" t="inlineStr">
        <is>
          <t>Nachweis</t>
        </is>
      </c>
      <c r="D703" s="10" t="inlineStr">
        <is>
          <t>⚠ Manual erforderlich</t>
        </is>
      </c>
      <c r="E703" s="11" t="inlineStr"/>
      <c r="F703" s="11" t="n">
        <v>0</v>
      </c>
      <c r="G703" s="11">
        <f>E703-F703</f>
        <v/>
      </c>
      <c r="H703" s="11" t="n">
        <v/>
      </c>
      <c r="I703" s="11" t="n">
        <v/>
      </c>
      <c r="J703" s="11" t="n">
        <v/>
      </c>
      <c r="K703" s="4" t="inlineStr">
        <is>
          <t>Stundensätze eingeben</t>
        </is>
      </c>
    </row>
    <row r="704">
      <c r="A704" s="4" t="inlineStr">
        <is>
          <t>4131.01 BAB-Am-Freiheitsplatz-4-Hanau-Polizeidirektion</t>
        </is>
      </c>
      <c r="B704" s="4" t="inlineStr">
        <is>
          <t>● (aN) Pos.1 BAB und Qualitätsüberwachung</t>
        </is>
      </c>
      <c r="C704" s="4" t="inlineStr">
        <is>
          <t>Nachweis</t>
        </is>
      </c>
      <c r="D704" s="10" t="inlineStr">
        <is>
          <t>⚠ Manual erforderlich</t>
        </is>
      </c>
      <c r="E704" s="11" t="inlineStr"/>
      <c r="F704" s="11" t="n">
        <v>0</v>
      </c>
      <c r="G704" s="11">
        <f>E704-F704</f>
        <v/>
      </c>
      <c r="H704" s="11" t="n">
        <v/>
      </c>
      <c r="I704" s="11" t="n">
        <v/>
      </c>
      <c r="J704" s="11" t="n">
        <v/>
      </c>
      <c r="K704" s="4" t="inlineStr">
        <is>
          <t>Stundensätze eingeben</t>
        </is>
      </c>
    </row>
    <row r="705">
      <c r="A705" s="4" t="inlineStr">
        <is>
          <t>4131.01 BAB-Am-Freiheitsplatz-4-Hanau-Polizeidirektion</t>
        </is>
      </c>
      <c r="B705" s="4" t="inlineStr">
        <is>
          <t>● (aN) Pos.2 BTB - Bew. d. Führung von Gasleitungen im notwendigen Treppenraum</t>
        </is>
      </c>
      <c r="C705" s="4" t="inlineStr">
        <is>
          <t>Nachweis</t>
        </is>
      </c>
      <c r="D705" s="10" t="inlineStr">
        <is>
          <t>⚠ Manual erforderlich</t>
        </is>
      </c>
      <c r="E705" s="11" t="inlineStr"/>
      <c r="F705" s="11" t="n">
        <v>0</v>
      </c>
      <c r="G705" s="11">
        <f>E705-F705</f>
        <v/>
      </c>
      <c r="H705" s="11" t="n">
        <v/>
      </c>
      <c r="I705" s="11" t="n">
        <v/>
      </c>
      <c r="J705" s="11" t="n">
        <v/>
      </c>
      <c r="K705" s="4" t="inlineStr">
        <is>
          <t>Stundensätze eingeben</t>
        </is>
      </c>
    </row>
    <row r="706">
      <c r="A706" s="4" t="inlineStr">
        <is>
          <t>4131.02 BSK-Am-Freiheitsplatz-4-Hanau-Polizeidirektion</t>
        </is>
      </c>
      <c r="B706" s="4" t="inlineStr">
        <is>
          <t>● (p) Pos.1 Fortschreibung BSK aufgrund v. Änderungen während der Bauausführung</t>
        </is>
      </c>
      <c r="C706" s="4" t="inlineStr">
        <is>
          <t>Pauschale</t>
        </is>
      </c>
      <c r="D706" s="10" t="inlineStr">
        <is>
          <t>⚠ Manual erforderlich</t>
        </is>
      </c>
      <c r="E706" s="11" t="inlineStr"/>
      <c r="F706" s="11" t="n">
        <v>0</v>
      </c>
      <c r="G706" s="11">
        <f>E706-F706</f>
        <v/>
      </c>
      <c r="H706" s="11" t="n">
        <v>0</v>
      </c>
      <c r="I706" s="11" t="n">
        <v>0</v>
      </c>
      <c r="J706" s="11" t="n">
        <v>0</v>
      </c>
      <c r="K706" s="4" t="inlineStr">
        <is>
          <t>Stundensätze eingeben</t>
        </is>
      </c>
    </row>
    <row r="707">
      <c r="A707" s="4" t="inlineStr">
        <is>
          <t>4146.15 BTB-Kleyerstraße-19-Frankfurt-Galluspark-II-Adlerwerke</t>
        </is>
      </c>
      <c r="B707" s="4" t="inlineStr">
        <is>
          <t>● (a.N.) BTB</t>
        </is>
      </c>
      <c r="C707" s="4" t="inlineStr">
        <is>
          <t>Nachweis</t>
        </is>
      </c>
      <c r="D707" s="10" t="inlineStr">
        <is>
          <t>⚠ Manual erforderlich</t>
        </is>
      </c>
      <c r="E707" s="11" t="inlineStr"/>
      <c r="F707" s="11" t="n">
        <v>0</v>
      </c>
      <c r="G707" s="11">
        <f>E707-F707</f>
        <v/>
      </c>
      <c r="H707" s="11" t="n">
        <v/>
      </c>
      <c r="I707" s="11" t="n">
        <v/>
      </c>
      <c r="J707" s="11" t="n">
        <v/>
      </c>
      <c r="K707" s="4" t="inlineStr">
        <is>
          <t>Stundensätze eingeben</t>
        </is>
      </c>
    </row>
    <row r="708">
      <c r="A708" s="4" t="inlineStr">
        <is>
          <t>4146.15 BTB-Kleyerstraße-19-Frankfurt-Galluspark-II-Adlerwerke</t>
        </is>
      </c>
      <c r="B708" s="4" t="inlineStr">
        <is>
          <t>● (aN) Pos.1 BTB (09/2025)</t>
        </is>
      </c>
      <c r="C708" s="4" t="inlineStr">
        <is>
          <t>Nachweis</t>
        </is>
      </c>
      <c r="D708" s="10" t="inlineStr">
        <is>
          <t>⚠ Manual erforderlich</t>
        </is>
      </c>
      <c r="E708" s="11" t="inlineStr"/>
      <c r="F708" s="11" t="n">
        <v>0</v>
      </c>
      <c r="G708" s="11">
        <f>E708-F708</f>
        <v/>
      </c>
      <c r="H708" s="11" t="n">
        <v/>
      </c>
      <c r="I708" s="11" t="n">
        <v/>
      </c>
      <c r="J708" s="11" t="n">
        <v/>
      </c>
      <c r="K708" s="4" t="inlineStr">
        <is>
          <t>Stundensätze eingeben</t>
        </is>
      </c>
    </row>
    <row r="709">
      <c r="A709" s="4" t="inlineStr">
        <is>
          <t>4146.16 BTB-Kleyerstraße-19-Frankfurt-Galluspark-II-Adlerwerke</t>
        </is>
      </c>
      <c r="B709" s="4" t="inlineStr">
        <is>
          <t>● (a.N.) BTB 2022</t>
        </is>
      </c>
      <c r="C709" s="4" t="inlineStr">
        <is>
          <t>Nachweis</t>
        </is>
      </c>
      <c r="D709" s="10" t="inlineStr">
        <is>
          <t>⚠ Manual erforderlich</t>
        </is>
      </c>
      <c r="E709" s="11" t="inlineStr"/>
      <c r="F709" s="11" t="n">
        <v>0</v>
      </c>
      <c r="G709" s="11">
        <f>E709-F709</f>
        <v/>
      </c>
      <c r="H709" s="11" t="n">
        <v/>
      </c>
      <c r="I709" s="11" t="n">
        <v/>
      </c>
      <c r="J709" s="11" t="n">
        <v/>
      </c>
      <c r="K709" s="4" t="inlineStr">
        <is>
          <t>Stundensätze eingeben</t>
        </is>
      </c>
    </row>
    <row r="710">
      <c r="A710" s="4" t="inlineStr">
        <is>
          <t>4146.16 BTB-Kleyerstraße-19-Frankfurt-Galluspark-II-Adlerwerke</t>
        </is>
      </c>
      <c r="B710" s="4" t="inlineStr">
        <is>
          <t>● (a.N.) BTB 2023</t>
        </is>
      </c>
      <c r="C710" s="4" t="inlineStr">
        <is>
          <t>Nachweis</t>
        </is>
      </c>
      <c r="D710" s="10" t="inlineStr">
        <is>
          <t>⚠ Manual erforderlich</t>
        </is>
      </c>
      <c r="E710" s="11" t="inlineStr"/>
      <c r="F710" s="11" t="n">
        <v>0</v>
      </c>
      <c r="G710" s="11">
        <f>E710-F710</f>
        <v/>
      </c>
      <c r="H710" s="11" t="n">
        <v/>
      </c>
      <c r="I710" s="11" t="n">
        <v/>
      </c>
      <c r="J710" s="11" t="n">
        <v/>
      </c>
      <c r="K710" s="4" t="inlineStr">
        <is>
          <t>Stundensätze eingeben</t>
        </is>
      </c>
    </row>
    <row r="711">
      <c r="A711" s="4" t="inlineStr">
        <is>
          <t>4146.161 NT05-BTB-Kleyerstraße-19-Frankfurt-Galluspark-II-Adlerwerke-Geb-D</t>
        </is>
      </c>
      <c r="B711" s="4" t="inlineStr">
        <is>
          <t>● (a.N.) BTB 2023 NAT 5 Geb.D (DB-Pos.00200)</t>
        </is>
      </c>
      <c r="C711" s="4" t="inlineStr">
        <is>
          <t>Nachweis</t>
        </is>
      </c>
      <c r="D711" s="10" t="inlineStr">
        <is>
          <t>⚠ Manual erforderlich</t>
        </is>
      </c>
      <c r="E711" s="11" t="inlineStr"/>
      <c r="F711" s="11" t="n">
        <v>0</v>
      </c>
      <c r="G711" s="11">
        <f>E711-F711</f>
        <v/>
      </c>
      <c r="H711" s="11" t="n">
        <v/>
      </c>
      <c r="I711" s="11" t="n">
        <v/>
      </c>
      <c r="J711" s="11" t="n">
        <v/>
      </c>
      <c r="K711" s="4" t="inlineStr">
        <is>
          <t>Stundensätze eingeben</t>
        </is>
      </c>
    </row>
    <row r="712">
      <c r="A712" s="4" t="inlineStr">
        <is>
          <t>4146.162 NT01-BTB-Kleyerstraße-19-Frankfurt-Galluspark-II-Adlerwerke-Geb-E</t>
        </is>
      </c>
      <c r="B712" s="4" t="inlineStr">
        <is>
          <t>● (a.N.) BTB 2023 Geb.E (DB-Pos.00140)</t>
        </is>
      </c>
      <c r="C712" s="4" t="inlineStr">
        <is>
          <t>Nachweis</t>
        </is>
      </c>
      <c r="D712" s="10" t="inlineStr">
        <is>
          <t>⚠ Manual erforderlich</t>
        </is>
      </c>
      <c r="E712" s="11" t="inlineStr"/>
      <c r="F712" s="11" t="n">
        <v>0</v>
      </c>
      <c r="G712" s="11">
        <f>E712-F712</f>
        <v/>
      </c>
      <c r="H712" s="11" t="n">
        <v/>
      </c>
      <c r="I712" s="11" t="n">
        <v/>
      </c>
      <c r="J712" s="11" t="n">
        <v/>
      </c>
      <c r="K712" s="4" t="inlineStr">
        <is>
          <t>Stundensätze eingeben</t>
        </is>
      </c>
    </row>
    <row r="713">
      <c r="A713" s="4" t="inlineStr">
        <is>
          <t>4146.163 NT01-BTB-Kleyerstraße-19-Frankfurt-Galluspark-II-Adlerwerke-Geb-F</t>
        </is>
      </c>
      <c r="B713" s="4" t="inlineStr">
        <is>
          <t>● (a.N.) BTB 2023 Geb.F (DB-Pos.00120)</t>
        </is>
      </c>
      <c r="C713" s="4" t="inlineStr">
        <is>
          <t>Nachweis</t>
        </is>
      </c>
      <c r="D713" s="10" t="inlineStr">
        <is>
          <t>⚠ Manual erforderlich</t>
        </is>
      </c>
      <c r="E713" s="11" t="inlineStr"/>
      <c r="F713" s="11" t="n">
        <v>0</v>
      </c>
      <c r="G713" s="11">
        <f>E713-F713</f>
        <v/>
      </c>
      <c r="H713" s="11" t="n">
        <v/>
      </c>
      <c r="I713" s="11" t="n">
        <v/>
      </c>
      <c r="J713" s="11" t="n">
        <v/>
      </c>
      <c r="K713" s="4" t="inlineStr">
        <is>
          <t>Stundensätze eingeben</t>
        </is>
      </c>
    </row>
    <row r="714">
      <c r="A714" s="4" t="inlineStr">
        <is>
          <t>4146.164 NT01-BTB-Kleyerstraße-19-Frankfurt-Galluspark-II-Adlerwerke-Geb-G</t>
        </is>
      </c>
      <c r="B714" s="4" t="inlineStr">
        <is>
          <t>● (a.N.) BTB 2023 Geb.G (DB-Pos.00160)</t>
        </is>
      </c>
      <c r="C714" s="4" t="inlineStr">
        <is>
          <t>Nachweis</t>
        </is>
      </c>
      <c r="D714" s="10" t="inlineStr">
        <is>
          <t>⚠ Manual erforderlich</t>
        </is>
      </c>
      <c r="E714" s="11" t="inlineStr"/>
      <c r="F714" s="11" t="n">
        <v>0</v>
      </c>
      <c r="G714" s="11">
        <f>E714-F714</f>
        <v/>
      </c>
      <c r="H714" s="11" t="n">
        <v/>
      </c>
      <c r="I714" s="11" t="n">
        <v/>
      </c>
      <c r="J714" s="11" t="n">
        <v/>
      </c>
      <c r="K714" s="4" t="inlineStr">
        <is>
          <t>Stundensätze eingeben</t>
        </is>
      </c>
    </row>
    <row r="715">
      <c r="A715" s="4" t="inlineStr">
        <is>
          <t>4146.165 NT01-BTB-Kleyerstraße-19-Frankfurt-Galluspark-II-Adlerwerke-Geb-H</t>
        </is>
      </c>
      <c r="B715" s="4" t="inlineStr">
        <is>
          <t>● (a.N.) BTB 2023 Geb.H (DB-Pos.00180)</t>
        </is>
      </c>
      <c r="C715" s="4" t="inlineStr">
        <is>
          <t>Nachweis</t>
        </is>
      </c>
      <c r="D715" s="10" t="inlineStr">
        <is>
          <t>⚠ Manual erforderlich</t>
        </is>
      </c>
      <c r="E715" s="11" t="inlineStr"/>
      <c r="F715" s="11" t="n">
        <v>0</v>
      </c>
      <c r="G715" s="11">
        <f>E715-F715</f>
        <v/>
      </c>
      <c r="H715" s="11" t="n">
        <v/>
      </c>
      <c r="I715" s="11" t="n">
        <v/>
      </c>
      <c r="J715" s="11" t="n">
        <v/>
      </c>
      <c r="K715" s="4" t="inlineStr">
        <is>
          <t>Stundensätze eingeben</t>
        </is>
      </c>
    </row>
    <row r="716">
      <c r="A716" s="4" t="inlineStr">
        <is>
          <t>4146.22 BSK-Kleyerstraße-Frankfurt-Adlerwerke-Kälteanlagen</t>
        </is>
      </c>
      <c r="B716" s="4" t="inlineStr">
        <is>
          <t>● (p) Pos.1  BSK Kälteanlagen Dachflächen</t>
        </is>
      </c>
      <c r="C716" s="4" t="inlineStr">
        <is>
          <t>Pauschale</t>
        </is>
      </c>
      <c r="D716" s="10" t="inlineStr">
        <is>
          <t>⚠ Manual erforderlich</t>
        </is>
      </c>
      <c r="E716" s="11" t="inlineStr"/>
      <c r="F716" s="11" t="n">
        <v>0</v>
      </c>
      <c r="G716" s="11">
        <f>E716-F716</f>
        <v/>
      </c>
      <c r="H716" s="11" t="n">
        <v>0</v>
      </c>
      <c r="I716" s="11" t="n">
        <v>0</v>
      </c>
      <c r="J716" s="11" t="n">
        <v>0</v>
      </c>
      <c r="K716" s="4" t="inlineStr">
        <is>
          <t>Stundensätze eingeben</t>
        </is>
      </c>
    </row>
    <row r="717">
      <c r="A717" s="4" t="inlineStr">
        <is>
          <t>4146.22 BSK-Kleyerstraße-Frankfurt-Adlerwerke-Kälteanlagen</t>
        </is>
      </c>
      <c r="B717" s="4" t="inlineStr">
        <is>
          <t>● (aN) Pos.2 Objektüberwachung</t>
        </is>
      </c>
      <c r="C717" s="4" t="inlineStr">
        <is>
          <t>Nachweis</t>
        </is>
      </c>
      <c r="D717" s="10" t="inlineStr">
        <is>
          <t>⚠ Manual erforderlich</t>
        </is>
      </c>
      <c r="E717" s="11" t="inlineStr"/>
      <c r="F717" s="11" t="n">
        <v>0</v>
      </c>
      <c r="G717" s="11">
        <f>E717-F717</f>
        <v/>
      </c>
      <c r="H717" s="11" t="n">
        <v/>
      </c>
      <c r="I717" s="11" t="n">
        <v/>
      </c>
      <c r="J717" s="11" t="n">
        <v/>
      </c>
      <c r="K717" s="4" t="inlineStr">
        <is>
          <t>Stundensätze eingeben</t>
        </is>
      </c>
    </row>
    <row r="718">
      <c r="A718" s="4" t="inlineStr">
        <is>
          <t>4146.25 NAT-xx-FRP-Kleyerstraße-21+25-Adlerwerke-Umbauten-DB-Energie</t>
        </is>
      </c>
      <c r="B718" s="4" t="inlineStr">
        <is>
          <t>● (p) Pos.1 Aktualisierung FRP Geb. E&amp;F</t>
        </is>
      </c>
      <c r="C718" s="4" t="inlineStr">
        <is>
          <t>Pauschale</t>
        </is>
      </c>
      <c r="D718" s="10" t="inlineStr">
        <is>
          <t>⚠ Manual erforderlich</t>
        </is>
      </c>
      <c r="E718" s="11" t="inlineStr"/>
      <c r="F718" s="11" t="n">
        <v>0</v>
      </c>
      <c r="G718" s="11">
        <f>E718-F718</f>
        <v/>
      </c>
      <c r="H718" s="11" t="n">
        <v>0</v>
      </c>
      <c r="I718" s="11" t="n">
        <v>0</v>
      </c>
      <c r="J718" s="11" t="n">
        <v>0</v>
      </c>
      <c r="K718" s="4" t="inlineStr">
        <is>
          <t>Stundensätze eingeben</t>
        </is>
      </c>
    </row>
    <row r="719">
      <c r="A719" s="4" t="inlineStr">
        <is>
          <t>4146.28 FRP-Kleyerstraße 15,17+19-Frankfurt</t>
        </is>
      </c>
      <c r="B719" s="4" t="inlineStr">
        <is>
          <t>● (p) Pos.1 FRP Geb. D</t>
        </is>
      </c>
      <c r="C719" s="4" t="inlineStr">
        <is>
          <t>Pauschale</t>
        </is>
      </c>
      <c r="D719" s="10" t="inlineStr">
        <is>
          <t>⚠ Manual erforderlich</t>
        </is>
      </c>
      <c r="E719" s="11" t="inlineStr"/>
      <c r="F719" s="11" t="n">
        <v>0</v>
      </c>
      <c r="G719" s="11">
        <f>E719-F719</f>
        <v/>
      </c>
      <c r="H719" s="11" t="n">
        <v>0</v>
      </c>
      <c r="I719" s="11" t="n">
        <v>0</v>
      </c>
      <c r="J719" s="11" t="n">
        <v>0</v>
      </c>
      <c r="K719" s="4" t="inlineStr">
        <is>
          <t>Stundensätze eingeben</t>
        </is>
      </c>
    </row>
    <row r="720">
      <c r="A720" s="4" t="inlineStr">
        <is>
          <t>4146.28 FRP-Kleyerstraße 15,17+19-Frankfurt</t>
        </is>
      </c>
      <c r="B720" s="4" t="inlineStr">
        <is>
          <t>● (p) Pos.2 FRP Geb. F</t>
        </is>
      </c>
      <c r="C720" s="4" t="inlineStr">
        <is>
          <t>Pauschale</t>
        </is>
      </c>
      <c r="D720" s="10" t="inlineStr">
        <is>
          <t>⚠ Manual erforderlich</t>
        </is>
      </c>
      <c r="E720" s="11" t="inlineStr"/>
      <c r="F720" s="11" t="n">
        <v>0</v>
      </c>
      <c r="G720" s="11">
        <f>E720-F720</f>
        <v/>
      </c>
      <c r="H720" s="11" t="n">
        <v>0</v>
      </c>
      <c r="I720" s="11" t="n">
        <v>0</v>
      </c>
      <c r="J720" s="11" t="n">
        <v>0</v>
      </c>
      <c r="K720" s="4" t="inlineStr">
        <is>
          <t>Stundensätze eingeben</t>
        </is>
      </c>
    </row>
    <row r="721">
      <c r="A721" s="4" t="inlineStr">
        <is>
          <t>4146.28 FRP-Kleyerstraße 15,17+19-Frankfurt</t>
        </is>
      </c>
      <c r="B721" s="4" t="inlineStr">
        <is>
          <t>● (p) Pos.3 FRP Geb. G</t>
        </is>
      </c>
      <c r="C721" s="4" t="inlineStr">
        <is>
          <t>Pauschale</t>
        </is>
      </c>
      <c r="D721" s="10" t="inlineStr">
        <is>
          <t>⚠ Manual erforderlich</t>
        </is>
      </c>
      <c r="E721" s="11" t="inlineStr"/>
      <c r="F721" s="11" t="n">
        <v>0</v>
      </c>
      <c r="G721" s="11">
        <f>E721-F721</f>
        <v/>
      </c>
      <c r="H721" s="11" t="n">
        <v>0</v>
      </c>
      <c r="I721" s="11" t="n">
        <v>0</v>
      </c>
      <c r="J721" s="11" t="n">
        <v>0</v>
      </c>
      <c r="K721" s="4" t="inlineStr">
        <is>
          <t>Stundensätze eingeben</t>
        </is>
      </c>
    </row>
    <row r="722">
      <c r="A722" s="4" t="inlineStr">
        <is>
          <t>4146.28 FRP-Kleyerstraße 15,17+19-Frankfurt</t>
        </is>
      </c>
      <c r="B722" s="4" t="inlineStr">
        <is>
          <t>● (p) Pos.4 FRP Gallus Theater</t>
        </is>
      </c>
      <c r="C722" s="4" t="inlineStr">
        <is>
          <t>Pauschale</t>
        </is>
      </c>
      <c r="D722" s="10" t="inlineStr">
        <is>
          <t>⚠ Manual erforderlich</t>
        </is>
      </c>
      <c r="E722" s="11" t="inlineStr"/>
      <c r="F722" s="11" t="n">
        <v>0</v>
      </c>
      <c r="G722" s="11">
        <f>E722-F722</f>
        <v/>
      </c>
      <c r="H722" s="11" t="n">
        <v>0</v>
      </c>
      <c r="I722" s="11" t="n">
        <v>0</v>
      </c>
      <c r="J722" s="11" t="n">
        <v>0</v>
      </c>
      <c r="K722" s="4" t="inlineStr">
        <is>
          <t>Stundensätze eingeben</t>
        </is>
      </c>
    </row>
    <row r="723">
      <c r="A723" s="4" t="inlineStr">
        <is>
          <t>4146.28 FRP-Kleyerstraße 15,17+19-Frankfurt</t>
        </is>
      </c>
      <c r="B723" s="4" t="inlineStr">
        <is>
          <t>● (p) Pos.5 FRP Geb. H</t>
        </is>
      </c>
      <c r="C723" s="4" t="inlineStr">
        <is>
          <t>Pauschale</t>
        </is>
      </c>
      <c r="D723" s="10" t="inlineStr">
        <is>
          <t>⚠ Manual erforderlich</t>
        </is>
      </c>
      <c r="E723" s="11" t="inlineStr"/>
      <c r="F723" s="11" t="n">
        <v>0</v>
      </c>
      <c r="G723" s="11">
        <f>E723-F723</f>
        <v/>
      </c>
      <c r="H723" s="11" t="n">
        <v>0</v>
      </c>
      <c r="I723" s="11" t="n">
        <v>0</v>
      </c>
      <c r="J723" s="11" t="n">
        <v>0</v>
      </c>
      <c r="K723" s="4" t="inlineStr">
        <is>
          <t>Stundensätze eingeben</t>
        </is>
      </c>
    </row>
    <row r="724">
      <c r="A724" s="4" t="inlineStr">
        <is>
          <t>4146.28 FRP-Kleyerstraße 15,17+19-Frankfurt</t>
        </is>
      </c>
      <c r="B724" s="4" t="inlineStr">
        <is>
          <t>● (p) Pos.6 FRP TG</t>
        </is>
      </c>
      <c r="C724" s="4" t="inlineStr">
        <is>
          <t>Pauschale</t>
        </is>
      </c>
      <c r="D724" s="10" t="inlineStr">
        <is>
          <t>⚠ Manual erforderlich</t>
        </is>
      </c>
      <c r="E724" s="11" t="inlineStr"/>
      <c r="F724" s="11" t="n">
        <v>0</v>
      </c>
      <c r="G724" s="11">
        <f>E724-F724</f>
        <v/>
      </c>
      <c r="H724" s="11" t="n">
        <v>0</v>
      </c>
      <c r="I724" s="11" t="n">
        <v>0</v>
      </c>
      <c r="J724" s="11" t="n">
        <v>0</v>
      </c>
      <c r="K724" s="4" t="inlineStr">
        <is>
          <t>Stundensätze eingeben</t>
        </is>
      </c>
    </row>
    <row r="725">
      <c r="A725" s="4" t="inlineStr">
        <is>
          <t>4146.28 FRP-Kleyerstraße 15,17+19-Frankfurt</t>
        </is>
      </c>
      <c r="B725" s="4" t="inlineStr">
        <is>
          <t>● (aN) Pos.7 Bestandserfassung vor Ort für alle Geb.</t>
        </is>
      </c>
      <c r="C725" s="4" t="inlineStr">
        <is>
          <t>Nachweis</t>
        </is>
      </c>
      <c r="D725" s="10" t="inlineStr">
        <is>
          <t>⚠ Manual erforderlich</t>
        </is>
      </c>
      <c r="E725" s="11" t="inlineStr"/>
      <c r="F725" s="11" t="n">
        <v>0</v>
      </c>
      <c r="G725" s="11">
        <f>E725-F725</f>
        <v/>
      </c>
      <c r="H725" s="11" t="n">
        <v/>
      </c>
      <c r="I725" s="11" t="n">
        <v/>
      </c>
      <c r="J725" s="11" t="n">
        <v/>
      </c>
      <c r="K725" s="4" t="inlineStr">
        <is>
          <t>Stundensätze eingeben</t>
        </is>
      </c>
    </row>
    <row r="726">
      <c r="A726" s="4" t="inlineStr">
        <is>
          <t>4146.29 BTB-Kleyerstraße-15,17+19-Frankfurt- Bestandsgebäude</t>
        </is>
      </c>
      <c r="B726" s="4" t="inlineStr">
        <is>
          <t>● (aN) Pos.1 BTB Kleyerstr. 15</t>
        </is>
      </c>
      <c r="C726" s="4" t="inlineStr">
        <is>
          <t>Nachweis</t>
        </is>
      </c>
      <c r="D726" s="10" t="inlineStr">
        <is>
          <t>⚠ Manual erforderlich</t>
        </is>
      </c>
      <c r="E726" s="11" t="inlineStr"/>
      <c r="F726" s="11" t="n">
        <v>0</v>
      </c>
      <c r="G726" s="11">
        <f>E726-F726</f>
        <v/>
      </c>
      <c r="H726" s="11" t="n">
        <v/>
      </c>
      <c r="I726" s="11" t="n">
        <v/>
      </c>
      <c r="J726" s="11" t="n">
        <v/>
      </c>
      <c r="K726" s="4" t="inlineStr">
        <is>
          <t>Stundensätze eingeben</t>
        </is>
      </c>
    </row>
    <row r="727">
      <c r="A727" s="4" t="inlineStr">
        <is>
          <t>4146.29 BTB-Kleyerstraße-15,17+19-Frankfurt- Bestandsgebäude</t>
        </is>
      </c>
      <c r="B727" s="4" t="inlineStr">
        <is>
          <t>● (aN) Pos.2 BTB Kleyerstr. 17</t>
        </is>
      </c>
      <c r="C727" s="4" t="inlineStr">
        <is>
          <t>Nachweis</t>
        </is>
      </c>
      <c r="D727" s="10" t="inlineStr">
        <is>
          <t>⚠ Manual erforderlich</t>
        </is>
      </c>
      <c r="E727" s="11" t="inlineStr"/>
      <c r="F727" s="11" t="n">
        <v>0</v>
      </c>
      <c r="G727" s="11">
        <f>E727-F727</f>
        <v/>
      </c>
      <c r="H727" s="11" t="n">
        <v/>
      </c>
      <c r="I727" s="11" t="n">
        <v/>
      </c>
      <c r="J727" s="11" t="n">
        <v/>
      </c>
      <c r="K727" s="4" t="inlineStr">
        <is>
          <t>Stundensätze eingeben</t>
        </is>
      </c>
    </row>
    <row r="728">
      <c r="A728" s="4" t="inlineStr">
        <is>
          <t>4146.29 BTB-Kleyerstraße-15,17+19-Frankfurt- Bestandsgebäude</t>
        </is>
      </c>
      <c r="B728" s="4" t="inlineStr">
        <is>
          <t>● (aN) Pos.3 BTB Kleyerstr. 19</t>
        </is>
      </c>
      <c r="C728" s="4" t="inlineStr">
        <is>
          <t>Nachweis</t>
        </is>
      </c>
      <c r="D728" s="10" t="inlineStr">
        <is>
          <t>⚠ Manual erforderlich</t>
        </is>
      </c>
      <c r="E728" s="11" t="inlineStr"/>
      <c r="F728" s="11" t="n">
        <v>0</v>
      </c>
      <c r="G728" s="11">
        <f>E728-F728</f>
        <v/>
      </c>
      <c r="H728" s="11" t="n">
        <v/>
      </c>
      <c r="I728" s="11" t="n">
        <v/>
      </c>
      <c r="J728" s="11" t="n">
        <v/>
      </c>
      <c r="K728" s="4" t="inlineStr">
        <is>
          <t>Stundensätze eingeben</t>
        </is>
      </c>
    </row>
    <row r="729">
      <c r="A729" s="4" t="inlineStr">
        <is>
          <t>4146.30 FWP-Kleyerstraße-15,17+19-Frankfurt- Adlerwerke</t>
        </is>
      </c>
      <c r="B729" s="4" t="inlineStr">
        <is>
          <t>● (p) Pos.1 Aktualisierung FWP</t>
        </is>
      </c>
      <c r="C729" s="4" t="inlineStr">
        <is>
          <t>Pauschale</t>
        </is>
      </c>
      <c r="D729" s="10" t="inlineStr">
        <is>
          <t>⚠ Manual erforderlich</t>
        </is>
      </c>
      <c r="E729" s="11" t="inlineStr"/>
      <c r="F729" s="11" t="n">
        <v>0</v>
      </c>
      <c r="G729" s="11">
        <f>E729-F729</f>
        <v/>
      </c>
      <c r="H729" s="11" t="n">
        <v>0</v>
      </c>
      <c r="I729" s="11" t="n">
        <v>0</v>
      </c>
      <c r="J729" s="11" t="n">
        <v>0</v>
      </c>
      <c r="K729" s="4" t="inlineStr">
        <is>
          <t>Stundensätze eingeben</t>
        </is>
      </c>
    </row>
    <row r="730">
      <c r="A730" s="4" t="inlineStr">
        <is>
          <t>4147 HSK-Helios-Wiesbaden</t>
        </is>
      </c>
      <c r="B730" s="4" t="inlineStr">
        <is>
          <t>● 0001-Sonstiges</t>
        </is>
      </c>
      <c r="C730" s="9" t="inlineStr">
        <is>
          <t>Unbekannt</t>
        </is>
      </c>
      <c r="D730" s="10" t="inlineStr">
        <is>
          <t>⚠ Manual erforderlich</t>
        </is>
      </c>
      <c r="E730" s="11" t="inlineStr"/>
      <c r="F730" s="11" t="n">
        <v>0</v>
      </c>
      <c r="G730" s="11">
        <f>E730-F730</f>
        <v/>
      </c>
      <c r="H730" s="11" t="n">
        <v/>
      </c>
      <c r="I730" s="11" t="n">
        <v/>
      </c>
      <c r="J730" s="11" t="n">
        <v/>
      </c>
      <c r="K730" s="4" t="inlineStr">
        <is>
          <t>Abrechnungsart wählen; Stundensätze eingeben</t>
        </is>
      </c>
    </row>
    <row r="731">
      <c r="A731" s="4" t="inlineStr">
        <is>
          <t>4147 HSK-Helios-Wiesbaden</t>
        </is>
      </c>
      <c r="B731" s="4" t="inlineStr">
        <is>
          <t>● 1000-Grundlagenermittlung</t>
        </is>
      </c>
      <c r="C731" s="9" t="inlineStr">
        <is>
          <t>Unbekannt</t>
        </is>
      </c>
      <c r="D731" s="10" t="inlineStr">
        <is>
          <t>⚠ Manual erforderlich</t>
        </is>
      </c>
      <c r="E731" s="11" t="inlineStr"/>
      <c r="F731" s="11" t="n">
        <v>0</v>
      </c>
      <c r="G731" s="11">
        <f>E731-F731</f>
        <v/>
      </c>
      <c r="H731" s="11" t="n">
        <v/>
      </c>
      <c r="I731" s="11" t="n">
        <v/>
      </c>
      <c r="J731" s="11" t="n">
        <v/>
      </c>
      <c r="K731" s="4" t="inlineStr">
        <is>
          <t>Abrechnungsart wählen; Stundensätze eingeben</t>
        </is>
      </c>
    </row>
    <row r="732">
      <c r="A732" s="4" t="inlineStr">
        <is>
          <t>4147 HSK-Helios-Wiesbaden</t>
        </is>
      </c>
      <c r="B732" s="4" t="inlineStr">
        <is>
          <t>● 2000-Vorplanung</t>
        </is>
      </c>
      <c r="C732" s="9" t="inlineStr">
        <is>
          <t>Unbekannt</t>
        </is>
      </c>
      <c r="D732" s="10" t="inlineStr">
        <is>
          <t>⚠ Manual erforderlich</t>
        </is>
      </c>
      <c r="E732" s="11" t="inlineStr"/>
      <c r="F732" s="11" t="n">
        <v>0</v>
      </c>
      <c r="G732" s="11">
        <f>E732-F732</f>
        <v/>
      </c>
      <c r="H732" s="11" t="n">
        <v/>
      </c>
      <c r="I732" s="11" t="n">
        <v/>
      </c>
      <c r="J732" s="11" t="n">
        <v/>
      </c>
      <c r="K732" s="4" t="inlineStr">
        <is>
          <t>Abrechnungsart wählen; Stundensätze eingeben</t>
        </is>
      </c>
    </row>
    <row r="733">
      <c r="A733" s="4" t="inlineStr">
        <is>
          <t>4147 HSK-Helios-Wiesbaden</t>
        </is>
      </c>
      <c r="B733" s="4" t="inlineStr">
        <is>
          <t>● 3000-Entwurfsplanung</t>
        </is>
      </c>
      <c r="C733" s="9" t="inlineStr">
        <is>
          <t>Unbekannt</t>
        </is>
      </c>
      <c r="D733" s="10" t="inlineStr">
        <is>
          <t>⚠ Manual erforderlich</t>
        </is>
      </c>
      <c r="E733" s="11" t="inlineStr"/>
      <c r="F733" s="11" t="n">
        <v>0</v>
      </c>
      <c r="G733" s="11">
        <f>E733-F733</f>
        <v/>
      </c>
      <c r="H733" s="11" t="n">
        <v/>
      </c>
      <c r="I733" s="11" t="n">
        <v/>
      </c>
      <c r="J733" s="11" t="n">
        <v/>
      </c>
      <c r="K733" s="4" t="inlineStr">
        <is>
          <t>Abrechnungsart wählen; Stundensätze eingeben</t>
        </is>
      </c>
    </row>
    <row r="734">
      <c r="A734" s="4" t="inlineStr">
        <is>
          <t>4147 HSK-Helios-Wiesbaden</t>
        </is>
      </c>
      <c r="B734" s="4" t="inlineStr">
        <is>
          <t>● 4000-Genehmigungsplanung</t>
        </is>
      </c>
      <c r="C734" s="9" t="inlineStr">
        <is>
          <t>Unbekannt</t>
        </is>
      </c>
      <c r="D734" s="10" t="inlineStr">
        <is>
          <t>⚠ Manual erforderlich</t>
        </is>
      </c>
      <c r="E734" s="11" t="inlineStr"/>
      <c r="F734" s="11" t="n">
        <v>0</v>
      </c>
      <c r="G734" s="11">
        <f>E734-F734</f>
        <v/>
      </c>
      <c r="H734" s="11" t="n">
        <v/>
      </c>
      <c r="I734" s="11" t="n">
        <v/>
      </c>
      <c r="J734" s="11" t="n">
        <v/>
      </c>
      <c r="K734" s="4" t="inlineStr">
        <is>
          <t>Abrechnungsart wählen; Stundensätze eingeben</t>
        </is>
      </c>
    </row>
    <row r="735">
      <c r="A735" s="4" t="inlineStr">
        <is>
          <t>4147 HSK-Helios-Wiesbaden</t>
        </is>
      </c>
      <c r="B735" s="4" t="inlineStr">
        <is>
          <t>● 5000-Ausführungsplanung</t>
        </is>
      </c>
      <c r="C735" s="9" t="inlineStr">
        <is>
          <t>Unbekannt</t>
        </is>
      </c>
      <c r="D735" s="10" t="inlineStr">
        <is>
          <t>⚠ Manual erforderlich</t>
        </is>
      </c>
      <c r="E735" s="11" t="inlineStr"/>
      <c r="F735" s="11" t="n">
        <v>0</v>
      </c>
      <c r="G735" s="11">
        <f>E735-F735</f>
        <v/>
      </c>
      <c r="H735" s="11" t="n">
        <v/>
      </c>
      <c r="I735" s="11" t="n">
        <v/>
      </c>
      <c r="J735" s="11" t="n">
        <v/>
      </c>
      <c r="K735" s="4" t="inlineStr">
        <is>
          <t>Abrechnungsart wählen; Stundensätze eingeben</t>
        </is>
      </c>
    </row>
    <row r="736">
      <c r="A736" s="4" t="inlineStr">
        <is>
          <t>4147 HSK-Helios-Wiesbaden</t>
        </is>
      </c>
      <c r="B736" s="4" t="inlineStr">
        <is>
          <t>● 6000-Vorbereiten der Vergabe</t>
        </is>
      </c>
      <c r="C736" s="9" t="inlineStr">
        <is>
          <t>Unbekannt</t>
        </is>
      </c>
      <c r="D736" s="10" t="inlineStr">
        <is>
          <t>⚠ Manual erforderlich</t>
        </is>
      </c>
      <c r="E736" s="11" t="inlineStr"/>
      <c r="F736" s="11" t="n">
        <v>0</v>
      </c>
      <c r="G736" s="11">
        <f>E736-F736</f>
        <v/>
      </c>
      <c r="H736" s="11" t="n">
        <v/>
      </c>
      <c r="I736" s="11" t="n">
        <v/>
      </c>
      <c r="J736" s="11" t="n">
        <v/>
      </c>
      <c r="K736" s="4" t="inlineStr">
        <is>
          <t>Abrechnungsart wählen; Stundensätze eingeben</t>
        </is>
      </c>
    </row>
    <row r="737">
      <c r="A737" s="4" t="inlineStr">
        <is>
          <t>4147 HSK-Helios-Wiesbaden</t>
        </is>
      </c>
      <c r="B737" s="4" t="inlineStr">
        <is>
          <t>● 7000-Mitwirkung bei der Vergabe</t>
        </is>
      </c>
      <c r="C737" s="9" t="inlineStr">
        <is>
          <t>Unbekannt</t>
        </is>
      </c>
      <c r="D737" s="10" t="inlineStr">
        <is>
          <t>⚠ Manual erforderlich</t>
        </is>
      </c>
      <c r="E737" s="11" t="inlineStr"/>
      <c r="F737" s="11" t="n">
        <v>0</v>
      </c>
      <c r="G737" s="11">
        <f>E737-F737</f>
        <v/>
      </c>
      <c r="H737" s="11" t="n">
        <v/>
      </c>
      <c r="I737" s="11" t="n">
        <v/>
      </c>
      <c r="J737" s="11" t="n">
        <v/>
      </c>
      <c r="K737" s="4" t="inlineStr">
        <is>
          <t>Abrechnungsart wählen; Stundensätze eingeben</t>
        </is>
      </c>
    </row>
    <row r="738">
      <c r="A738" s="4" t="inlineStr">
        <is>
          <t>4147 HSK-Helios-Wiesbaden</t>
        </is>
      </c>
      <c r="B738" s="4" t="inlineStr">
        <is>
          <t>● 8000-Objektüberwachung</t>
        </is>
      </c>
      <c r="C738" s="9" t="inlineStr">
        <is>
          <t>Unbekannt</t>
        </is>
      </c>
      <c r="D738" s="10" t="inlineStr">
        <is>
          <t>⚠ Manual erforderlich</t>
        </is>
      </c>
      <c r="E738" s="11" t="inlineStr"/>
      <c r="F738" s="11" t="n">
        <v>0</v>
      </c>
      <c r="G738" s="11">
        <f>E738-F738</f>
        <v/>
      </c>
      <c r="H738" s="11" t="n">
        <v/>
      </c>
      <c r="I738" s="11" t="n">
        <v/>
      </c>
      <c r="J738" s="11" t="n">
        <v/>
      </c>
      <c r="K738" s="4" t="inlineStr">
        <is>
          <t>Abrechnungsart wählen; Stundensätze eingeben</t>
        </is>
      </c>
    </row>
    <row r="739">
      <c r="A739" s="4" t="inlineStr">
        <is>
          <t>4147.06 Fortschr-BSP-HSK-Tektur-Helios-Wiesbaden</t>
        </is>
      </c>
      <c r="B739" s="4" t="inlineStr">
        <is>
          <t>● 9000-Objektbetreuung und Dokumentation</t>
        </is>
      </c>
      <c r="C739" s="9" t="inlineStr">
        <is>
          <t>Unbekannt</t>
        </is>
      </c>
      <c r="D739" s="10" t="inlineStr">
        <is>
          <t>⚠ Manual erforderlich</t>
        </is>
      </c>
      <c r="E739" s="11" t="inlineStr"/>
      <c r="F739" s="11" t="n">
        <v>0</v>
      </c>
      <c r="G739" s="11">
        <f>E739-F739</f>
        <v/>
      </c>
      <c r="H739" s="11" t="n">
        <v/>
      </c>
      <c r="I739" s="11" t="n">
        <v/>
      </c>
      <c r="J739" s="11" t="n">
        <v/>
      </c>
      <c r="K739" s="4" t="inlineStr">
        <is>
          <t>Abrechnungsart wählen; Stundensätze eingeben</t>
        </is>
      </c>
    </row>
    <row r="740">
      <c r="A740" s="4" t="inlineStr">
        <is>
          <t>4147.09 FWP-FRP-HSK-Helios-Wiesbaden</t>
        </is>
      </c>
      <c r="B740" s="4" t="inlineStr">
        <is>
          <t>● Erstellen FWP (pauschal)</t>
        </is>
      </c>
      <c r="C740" s="9" t="inlineStr">
        <is>
          <t>Unbekannt</t>
        </is>
      </c>
      <c r="D740" s="10" t="inlineStr">
        <is>
          <t>⚠ Manual erforderlich</t>
        </is>
      </c>
      <c r="E740" s="11" t="inlineStr"/>
      <c r="F740" s="11" t="n">
        <v>0</v>
      </c>
      <c r="G740" s="11">
        <f>E740-F740</f>
        <v/>
      </c>
      <c r="H740" s="11" t="n">
        <v/>
      </c>
      <c r="I740" s="11" t="n">
        <v/>
      </c>
      <c r="J740" s="11" t="n">
        <v/>
      </c>
      <c r="K740" s="4" t="inlineStr">
        <is>
          <t>Abrechnungsart wählen; Stundensätze eingeben</t>
        </is>
      </c>
    </row>
    <row r="741">
      <c r="A741" s="4" t="inlineStr">
        <is>
          <t>4147.09 FWP-FRP-HSK-Helios-Wiesbaden</t>
        </is>
      </c>
      <c r="B741" s="4" t="inlineStr">
        <is>
          <t>● Erstellen FRP (pauschal)</t>
        </is>
      </c>
      <c r="C741" s="9" t="inlineStr">
        <is>
          <t>Unbekannt</t>
        </is>
      </c>
      <c r="D741" s="10" t="inlineStr">
        <is>
          <t>⚠ Manual erforderlich</t>
        </is>
      </c>
      <c r="E741" s="11" t="inlineStr"/>
      <c r="F741" s="11" t="n">
        <v>0</v>
      </c>
      <c r="G741" s="11">
        <f>E741-F741</f>
        <v/>
      </c>
      <c r="H741" s="11" t="n">
        <v/>
      </c>
      <c r="I741" s="11" t="n">
        <v/>
      </c>
      <c r="J741" s="11" t="n">
        <v/>
      </c>
      <c r="K741" s="4" t="inlineStr">
        <is>
          <t>Abrechnungsart wählen; Stundensätze eingeben</t>
        </is>
      </c>
    </row>
    <row r="742">
      <c r="A742" s="4" t="inlineStr">
        <is>
          <t>4147.10 RGS-Helios-HSK-Wiesbaden</t>
        </is>
      </c>
      <c r="B742" s="4" t="inlineStr">
        <is>
          <t>● (p) RGS - Ermittlung Rauchgastemperaturen Realbrand Zwischendeckenbereich</t>
        </is>
      </c>
      <c r="C742" s="4" t="inlineStr">
        <is>
          <t>Pauschale</t>
        </is>
      </c>
      <c r="D742" s="10" t="inlineStr">
        <is>
          <t>⚠ Manual erforderlich</t>
        </is>
      </c>
      <c r="E742" s="11" t="inlineStr"/>
      <c r="F742" s="11" t="n">
        <v>0</v>
      </c>
      <c r="G742" s="11">
        <f>E742-F742</f>
        <v/>
      </c>
      <c r="H742" s="11" t="n">
        <v>0</v>
      </c>
      <c r="I742" s="11" t="n">
        <v>0</v>
      </c>
      <c r="J742" s="11" t="n">
        <v>0</v>
      </c>
      <c r="K742" s="4" t="inlineStr">
        <is>
          <t>Stundensätze eingeben</t>
        </is>
      </c>
    </row>
    <row r="743">
      <c r="A743" s="4" t="inlineStr">
        <is>
          <t>4147.10 RGS-Helios-HSK-Wiesbaden</t>
        </is>
      </c>
      <c r="B743" s="4" t="inlineStr">
        <is>
          <t>● (p) Pos.1 NAT RGS-Ermittl. Rauchgastemp. Realbrand Zwischendeckenbereich</t>
        </is>
      </c>
      <c r="C743" s="4" t="inlineStr">
        <is>
          <t>Pauschale</t>
        </is>
      </c>
      <c r="D743" s="10" t="inlineStr">
        <is>
          <t>⚠ Manual erforderlich</t>
        </is>
      </c>
      <c r="E743" s="11" t="inlineStr"/>
      <c r="F743" s="11" t="n">
        <v>0</v>
      </c>
      <c r="G743" s="11">
        <f>E743-F743</f>
        <v/>
      </c>
      <c r="H743" s="11" t="n">
        <v>0</v>
      </c>
      <c r="I743" s="11" t="n">
        <v>0</v>
      </c>
      <c r="J743" s="11" t="n">
        <v>0</v>
      </c>
      <c r="K743" s="4" t="inlineStr">
        <is>
          <t>Stundensätze eingeben</t>
        </is>
      </c>
    </row>
    <row r="744">
      <c r="A744" s="4" t="inlineStr">
        <is>
          <t>4147.11 NAT-12-BAB-FWP-HSK-Helios-Wiesbaden</t>
        </is>
      </c>
      <c r="B744" s="4" t="inlineStr">
        <is>
          <t>● (a.N.) NAT-BAB-Pos.1  Objektüberwachung LP 8 (Stufe 2) für 2 Monate (01+02/2024)</t>
        </is>
      </c>
      <c r="C744" s="4" t="inlineStr">
        <is>
          <t>Nachweis</t>
        </is>
      </c>
      <c r="D744" s="10" t="inlineStr">
        <is>
          <t>⚠ Manual erforderlich</t>
        </is>
      </c>
      <c r="E744" s="11" t="inlineStr"/>
      <c r="F744" s="11" t="n">
        <v>0</v>
      </c>
      <c r="G744" s="11">
        <f>E744-F744</f>
        <v/>
      </c>
      <c r="H744" s="11" t="n">
        <v/>
      </c>
      <c r="I744" s="11" t="n">
        <v/>
      </c>
      <c r="J744" s="11" t="n">
        <v/>
      </c>
      <c r="K744" s="4" t="inlineStr">
        <is>
          <t>Stundensätze eingeben</t>
        </is>
      </c>
    </row>
    <row r="745">
      <c r="A745" s="4" t="inlineStr">
        <is>
          <t>4147.11 NAT-12-BAB-FWP-HSK-Helios-Wiesbaden</t>
        </is>
      </c>
      <c r="B745" s="4" t="inlineStr">
        <is>
          <t>● (p) Pos. 2 Mehraufwand Erstellung FWP</t>
        </is>
      </c>
      <c r="C745" s="4" t="inlineStr">
        <is>
          <t>Pauschale</t>
        </is>
      </c>
      <c r="D745" s="10" t="inlineStr">
        <is>
          <t>⚠ Manual erforderlich</t>
        </is>
      </c>
      <c r="E745" s="11" t="inlineStr"/>
      <c r="F745" s="11" t="n">
        <v>0</v>
      </c>
      <c r="G745" s="11">
        <f>E745-F745</f>
        <v/>
      </c>
      <c r="H745" s="11" t="n">
        <v>0</v>
      </c>
      <c r="I745" s="11" t="n">
        <v>0</v>
      </c>
      <c r="J745" s="11" t="n">
        <v>0</v>
      </c>
      <c r="K745" s="4" t="inlineStr">
        <is>
          <t>Stundensätze eingeben</t>
        </is>
      </c>
    </row>
    <row r="746">
      <c r="A746" s="4" t="inlineStr">
        <is>
          <t>4147.11 NAT-12-BAB-FWP-HSK-Helios-Wiesbaden</t>
        </is>
      </c>
      <c r="B746" s="4" t="inlineStr">
        <is>
          <t>● (a.N.) NAT14-BAB-Pos.1 Objektüberwachung LP 8 (Stufe 2) für 4 Monate ab 01.03.2024</t>
        </is>
      </c>
      <c r="C746" s="4" t="inlineStr">
        <is>
          <t>Nachweis</t>
        </is>
      </c>
      <c r="D746" s="10" t="inlineStr">
        <is>
          <t>⚠ Manual erforderlich</t>
        </is>
      </c>
      <c r="E746" s="11" t="inlineStr"/>
      <c r="F746" s="11" t="n">
        <v>0</v>
      </c>
      <c r="G746" s="11">
        <f>E746-F746</f>
        <v/>
      </c>
      <c r="H746" s="11" t="n">
        <v/>
      </c>
      <c r="I746" s="11" t="n">
        <v/>
      </c>
      <c r="J746" s="11" t="n">
        <v/>
      </c>
      <c r="K746" s="4" t="inlineStr">
        <is>
          <t>Stundensätze eingeben</t>
        </is>
      </c>
    </row>
    <row r="747">
      <c r="A747" s="4" t="inlineStr">
        <is>
          <t>4164.13 BSB-07/24-06/25-Kleyerstraße-75-87-Telehouse</t>
        </is>
      </c>
      <c r="B747" s="4" t="inlineStr">
        <is>
          <t>● (a.N.) Pos.1 Verlängerung Verpflichtungsvertrag BSB 07/2023-06/2024</t>
        </is>
      </c>
      <c r="C747" s="4" t="inlineStr">
        <is>
          <t>Nachweis</t>
        </is>
      </c>
      <c r="D747" s="10" t="inlineStr">
        <is>
          <t>⚠ Manual erforderlich</t>
        </is>
      </c>
      <c r="E747" s="11" t="inlineStr"/>
      <c r="F747" s="11" t="n">
        <v>0</v>
      </c>
      <c r="G747" s="11">
        <f>E747-F747</f>
        <v/>
      </c>
      <c r="H747" s="11" t="n">
        <v/>
      </c>
      <c r="I747" s="11" t="n">
        <v/>
      </c>
      <c r="J747" s="11" t="n">
        <v/>
      </c>
      <c r="K747" s="4" t="inlineStr">
        <is>
          <t>Stundensätze eingeben</t>
        </is>
      </c>
    </row>
    <row r="748">
      <c r="A748" s="4" t="inlineStr">
        <is>
          <t>4164.14 BSB-07/25-06/26-Kleyerstraße-75-87-Telehouse</t>
        </is>
      </c>
      <c r="B748" s="4" t="inlineStr">
        <is>
          <t>● (a.N.) Pos.1 Verlängerung Verpflichtungsvertrag BSB 07/2025-06/2026</t>
        </is>
      </c>
      <c r="C748" s="4" t="inlineStr">
        <is>
          <t>Nachweis</t>
        </is>
      </c>
      <c r="D748" s="10" t="inlineStr">
        <is>
          <t>⚠ Manual erforderlich</t>
        </is>
      </c>
      <c r="E748" s="11" t="inlineStr"/>
      <c r="F748" s="11" t="n">
        <v>0</v>
      </c>
      <c r="G748" s="11">
        <f>E748-F748</f>
        <v/>
      </c>
      <c r="H748" s="11" t="n">
        <v/>
      </c>
      <c r="I748" s="11" t="n">
        <v/>
      </c>
      <c r="J748" s="11" t="n">
        <v/>
      </c>
      <c r="K748" s="4" t="inlineStr">
        <is>
          <t>Stundensätze eingeben</t>
        </is>
      </c>
    </row>
    <row r="749">
      <c r="A749" s="4" t="inlineStr">
        <is>
          <t>4167.02 Neptune-Rheinhafen-Speyer-Cluster-2</t>
        </is>
      </c>
      <c r="B749" s="4" t="inlineStr">
        <is>
          <t>● Fortschr. BSK (pauschal)</t>
        </is>
      </c>
      <c r="C749" s="9" t="inlineStr">
        <is>
          <t>Unbekannt</t>
        </is>
      </c>
      <c r="D749" s="10" t="inlineStr">
        <is>
          <t>⚠ Manual erforderlich</t>
        </is>
      </c>
      <c r="E749" s="11" t="inlineStr"/>
      <c r="F749" s="11" t="n">
        <v>0</v>
      </c>
      <c r="G749" s="11">
        <f>E749-F749</f>
        <v/>
      </c>
      <c r="H749" s="11" t="n">
        <v/>
      </c>
      <c r="I749" s="11" t="n">
        <v/>
      </c>
      <c r="J749" s="11" t="n">
        <v/>
      </c>
      <c r="K749" s="4" t="inlineStr">
        <is>
          <t>Abrechnungsart wählen; Stundensätze eingeben</t>
        </is>
      </c>
    </row>
    <row r="750">
      <c r="A750" s="4" t="inlineStr">
        <is>
          <t>4167.02 Neptune-Rheinhafen-Speyer-Cluster-2</t>
        </is>
      </c>
      <c r="B750" s="4" t="inlineStr">
        <is>
          <t>● Beratung LP5 (auf Nachweis)</t>
        </is>
      </c>
      <c r="C750" s="9" t="inlineStr">
        <is>
          <t>Unbekannt</t>
        </is>
      </c>
      <c r="D750" s="10" t="inlineStr">
        <is>
          <t>⚠ Manual erforderlich</t>
        </is>
      </c>
      <c r="E750" s="11" t="inlineStr"/>
      <c r="F750" s="11" t="n">
        <v>0</v>
      </c>
      <c r="G750" s="11">
        <f>E750-F750</f>
        <v/>
      </c>
      <c r="H750" s="11" t="n">
        <v/>
      </c>
      <c r="I750" s="11" t="n">
        <v/>
      </c>
      <c r="J750" s="11" t="n">
        <v/>
      </c>
      <c r="K750" s="4" t="inlineStr">
        <is>
          <t>Abrechnungsart wählen; Stundensätze eingeben</t>
        </is>
      </c>
    </row>
    <row r="751">
      <c r="A751" s="4" t="inlineStr">
        <is>
          <t>4167.02 Neptune-Rheinhafen-Speyer-Cluster-2</t>
        </is>
      </c>
      <c r="B751" s="4" t="inlineStr">
        <is>
          <t>● Baubegleitung (auf Nachweis)</t>
        </is>
      </c>
      <c r="C751" s="9" t="inlineStr">
        <is>
          <t>Unbekannt</t>
        </is>
      </c>
      <c r="D751" s="10" t="inlineStr">
        <is>
          <t>⚠ Manual erforderlich</t>
        </is>
      </c>
      <c r="E751" s="11" t="inlineStr"/>
      <c r="F751" s="11" t="n">
        <v>0</v>
      </c>
      <c r="G751" s="11">
        <f>E751-F751</f>
        <v/>
      </c>
      <c r="H751" s="11" t="n">
        <v/>
      </c>
      <c r="I751" s="11" t="n">
        <v/>
      </c>
      <c r="J751" s="11" t="n">
        <v/>
      </c>
      <c r="K751" s="4" t="inlineStr">
        <is>
          <t>Abrechnungsart wählen; Stundensätze eingeben</t>
        </is>
      </c>
    </row>
    <row r="752">
      <c r="A752" s="4" t="inlineStr">
        <is>
          <t>4176.01 BAB-Kirdorfer-Straße-10-Bad-Homburg</t>
        </is>
      </c>
      <c r="B752" s="4" t="inlineStr">
        <is>
          <t>● 7000-Mitwirkung bei der Vergabe</t>
        </is>
      </c>
      <c r="C752" s="9" t="inlineStr">
        <is>
          <t>Unbekannt</t>
        </is>
      </c>
      <c r="D752" s="10" t="inlineStr">
        <is>
          <t>⚠ Manual erforderlich</t>
        </is>
      </c>
      <c r="E752" s="11" t="inlineStr"/>
      <c r="F752" s="11" t="n">
        <v>0</v>
      </c>
      <c r="G752" s="11">
        <f>E752-F752</f>
        <v/>
      </c>
      <c r="H752" s="11" t="n">
        <v/>
      </c>
      <c r="I752" s="11" t="n">
        <v/>
      </c>
      <c r="J752" s="11" t="n">
        <v/>
      </c>
      <c r="K752" s="4" t="inlineStr">
        <is>
          <t>Abrechnungsart wählen; Stundensätze eingeben</t>
        </is>
      </c>
    </row>
    <row r="753">
      <c r="A753" s="4" t="inlineStr">
        <is>
          <t>4176.01 BAB-Kirdorfer-Straße-10-Bad-Homburg</t>
        </is>
      </c>
      <c r="B753" s="4" t="inlineStr">
        <is>
          <t>● 8000-Objektüberwachung</t>
        </is>
      </c>
      <c r="C753" s="9" t="inlineStr">
        <is>
          <t>Unbekannt</t>
        </is>
      </c>
      <c r="D753" s="10" t="inlineStr">
        <is>
          <t>⚠ Manual erforderlich</t>
        </is>
      </c>
      <c r="E753" s="11" t="inlineStr"/>
      <c r="F753" s="11" t="n">
        <v>0</v>
      </c>
      <c r="G753" s="11">
        <f>E753-F753</f>
        <v/>
      </c>
      <c r="H753" s="11" t="n">
        <v/>
      </c>
      <c r="I753" s="11" t="n">
        <v/>
      </c>
      <c r="J753" s="11" t="n">
        <v/>
      </c>
      <c r="K753" s="4" t="inlineStr">
        <is>
          <t>Abrechnungsart wählen; Stundensätze eingeben</t>
        </is>
      </c>
    </row>
    <row r="754">
      <c r="A754" s="4" t="inlineStr">
        <is>
          <t>4183 Kleyerstraße 75-87 - Telehouse - übergeordnetes BSK</t>
        </is>
      </c>
      <c r="B754" s="4" t="inlineStr">
        <is>
          <t>● 1000-Grundlagenermittlung</t>
        </is>
      </c>
      <c r="C754" s="9" t="inlineStr">
        <is>
          <t>Unbekannt</t>
        </is>
      </c>
      <c r="D754" s="10" t="inlineStr">
        <is>
          <t>⚠ Manual erforderlich</t>
        </is>
      </c>
      <c r="E754" s="11" t="inlineStr"/>
      <c r="F754" s="11" t="n">
        <v>0</v>
      </c>
      <c r="G754" s="11">
        <f>E754-F754</f>
        <v/>
      </c>
      <c r="H754" s="11" t="n">
        <v/>
      </c>
      <c r="I754" s="11" t="n">
        <v/>
      </c>
      <c r="J754" s="11" t="n">
        <v/>
      </c>
      <c r="K754" s="4" t="inlineStr">
        <is>
          <t>Abrechnungsart wählen; Stundensätze eingeben</t>
        </is>
      </c>
    </row>
    <row r="755">
      <c r="A755" s="4" t="inlineStr">
        <is>
          <t>4183 Kleyerstraße 75-87 - Telehouse - übergeordnetes BSK</t>
        </is>
      </c>
      <c r="B755" s="4" t="inlineStr">
        <is>
          <t>● 2000-Vorplanung</t>
        </is>
      </c>
      <c r="C755" s="9" t="inlineStr">
        <is>
          <t>Unbekannt</t>
        </is>
      </c>
      <c r="D755" s="10" t="inlineStr">
        <is>
          <t>⚠ Manual erforderlich</t>
        </is>
      </c>
      <c r="E755" s="11" t="inlineStr"/>
      <c r="F755" s="11" t="n">
        <v>0</v>
      </c>
      <c r="G755" s="11">
        <f>E755-F755</f>
        <v/>
      </c>
      <c r="H755" s="11" t="n">
        <v/>
      </c>
      <c r="I755" s="11" t="n">
        <v/>
      </c>
      <c r="J755" s="11" t="n">
        <v/>
      </c>
      <c r="K755" s="4" t="inlineStr">
        <is>
          <t>Abrechnungsart wählen; Stundensätze eingeben</t>
        </is>
      </c>
    </row>
    <row r="756">
      <c r="A756" s="4" t="inlineStr">
        <is>
          <t>4183 Kleyerstraße 75-87 - Telehouse - übergeordnetes BSK</t>
        </is>
      </c>
      <c r="B756" s="4" t="inlineStr">
        <is>
          <t>● 3000-Entwurfsplanung</t>
        </is>
      </c>
      <c r="C756" s="9" t="inlineStr">
        <is>
          <t>Unbekannt</t>
        </is>
      </c>
      <c r="D756" s="10" t="inlineStr">
        <is>
          <t>⚠ Manual erforderlich</t>
        </is>
      </c>
      <c r="E756" s="11" t="inlineStr"/>
      <c r="F756" s="11" t="n">
        <v>0</v>
      </c>
      <c r="G756" s="11">
        <f>E756-F756</f>
        <v/>
      </c>
      <c r="H756" s="11" t="n">
        <v/>
      </c>
      <c r="I756" s="11" t="n">
        <v/>
      </c>
      <c r="J756" s="11" t="n">
        <v/>
      </c>
      <c r="K756" s="4" t="inlineStr">
        <is>
          <t>Abrechnungsart wählen; Stundensätze eingeben</t>
        </is>
      </c>
    </row>
    <row r="757">
      <c r="A757" s="4" t="inlineStr">
        <is>
          <t>4183 Kleyerstraße 75-87 - Telehouse - übergeordnetes BSK</t>
        </is>
      </c>
      <c r="B757" s="4" t="inlineStr">
        <is>
          <t>● 4000-Genehmigungsplanung</t>
        </is>
      </c>
      <c r="C757" s="9" t="inlineStr">
        <is>
          <t>Unbekannt</t>
        </is>
      </c>
      <c r="D757" s="10" t="inlineStr">
        <is>
          <t>⚠ Manual erforderlich</t>
        </is>
      </c>
      <c r="E757" s="11" t="inlineStr"/>
      <c r="F757" s="11" t="n">
        <v>0</v>
      </c>
      <c r="G757" s="11">
        <f>E757-F757</f>
        <v/>
      </c>
      <c r="H757" s="11" t="n">
        <v/>
      </c>
      <c r="I757" s="11" t="n">
        <v/>
      </c>
      <c r="J757" s="11" t="n">
        <v/>
      </c>
      <c r="K757" s="4" t="inlineStr">
        <is>
          <t>Abrechnungsart wählen; Stundensätze eingeben</t>
        </is>
      </c>
    </row>
    <row r="758">
      <c r="A758" s="4" t="inlineStr">
        <is>
          <t>4231.01 Fraport-RV-BSK-Fortführung-Kabelkanal</t>
        </is>
      </c>
      <c r="B758" s="4" t="inlineStr">
        <is>
          <t>● (aN) Pos. 1 Erstellung eines Brandschutzkonzeptes zum Bauantrag</t>
        </is>
      </c>
      <c r="C758" s="4" t="inlineStr">
        <is>
          <t>Nachweis</t>
        </is>
      </c>
      <c r="D758" s="10" t="inlineStr">
        <is>
          <t>⚠ Manual erforderlich</t>
        </is>
      </c>
      <c r="E758" s="11" t="inlineStr"/>
      <c r="F758" s="11" t="n">
        <v>0</v>
      </c>
      <c r="G758" s="11">
        <f>E758-F758</f>
        <v/>
      </c>
      <c r="H758" s="11" t="n">
        <v/>
      </c>
      <c r="I758" s="11" t="n">
        <v/>
      </c>
      <c r="J758" s="11" t="n">
        <v/>
      </c>
      <c r="K758" s="4" t="inlineStr">
        <is>
          <t>Stundensätze eingeben</t>
        </is>
      </c>
    </row>
    <row r="759">
      <c r="A759" s="4" t="inlineStr">
        <is>
          <t>4231.01 Fraport-RV-BSK-Fortführung-Kabelkanal</t>
        </is>
      </c>
      <c r="B759" s="4" t="inlineStr">
        <is>
          <t>● (aN) Pos. 2 Baubegleitende Brandschutzberatung und Qualitätsüberwachung für die Durchführung der Baumaßnahme für o.g. Bauvorhaben/Objekt</t>
        </is>
      </c>
      <c r="C759" s="4" t="inlineStr">
        <is>
          <t>Nachweis</t>
        </is>
      </c>
      <c r="D759" s="10" t="inlineStr">
        <is>
          <t>⚠ Manual erforderlich</t>
        </is>
      </c>
      <c r="E759" s="11" t="inlineStr"/>
      <c r="F759" s="11" t="n">
        <v>0</v>
      </c>
      <c r="G759" s="11">
        <f>E759-F759</f>
        <v/>
      </c>
      <c r="H759" s="11" t="n">
        <v/>
      </c>
      <c r="I759" s="11" t="n">
        <v/>
      </c>
      <c r="J759" s="11" t="n">
        <v/>
      </c>
      <c r="K759" s="4" t="inlineStr">
        <is>
          <t>Stundensätze eingeben</t>
        </is>
      </c>
    </row>
    <row r="760">
      <c r="A760" s="4" t="inlineStr">
        <is>
          <t>4237.03 Fraport-RV-QBS-BMK-Geb453</t>
        </is>
      </c>
      <c r="B760" s="4" t="inlineStr">
        <is>
          <t>● Brandmelde- u. Alarmierungskonzept (auf Nachweis)</t>
        </is>
      </c>
      <c r="C760" s="9" t="inlineStr">
        <is>
          <t>Unbekannt</t>
        </is>
      </c>
      <c r="D760" s="10" t="inlineStr">
        <is>
          <t>⚠ Manual erforderlich</t>
        </is>
      </c>
      <c r="E760" s="11" t="inlineStr"/>
      <c r="F760" s="11" t="n">
        <v>0</v>
      </c>
      <c r="G760" s="11">
        <f>E760-F760</f>
        <v/>
      </c>
      <c r="H760" s="11" t="n">
        <v/>
      </c>
      <c r="I760" s="11" t="n">
        <v/>
      </c>
      <c r="J760" s="11" t="n">
        <v/>
      </c>
      <c r="K760" s="4" t="inlineStr">
        <is>
          <t>Abrechnungsart wählen; Stundensätze eingeben</t>
        </is>
      </c>
    </row>
    <row r="761">
      <c r="A761" s="4" t="inlineStr">
        <is>
          <t>4237.03 Fraport-RV-QBS-BMK-Geb453</t>
        </is>
      </c>
      <c r="B761" s="4" t="inlineStr">
        <is>
          <t>● Brandfallsteuermatrix (auf Nachweis)</t>
        </is>
      </c>
      <c r="C761" s="9" t="inlineStr">
        <is>
          <t>Unbekannt</t>
        </is>
      </c>
      <c r="D761" s="10" t="inlineStr">
        <is>
          <t>⚠ Manual erforderlich</t>
        </is>
      </c>
      <c r="E761" s="11" t="inlineStr"/>
      <c r="F761" s="11" t="n">
        <v>0</v>
      </c>
      <c r="G761" s="11">
        <f>E761-F761</f>
        <v/>
      </c>
      <c r="H761" s="11" t="n">
        <v/>
      </c>
      <c r="I761" s="11" t="n">
        <v/>
      </c>
      <c r="J761" s="11" t="n">
        <v/>
      </c>
      <c r="K761" s="4" t="inlineStr">
        <is>
          <t>Abrechnungsart wählen; Stundensätze eingeben</t>
        </is>
      </c>
    </row>
    <row r="762">
      <c r="A762" s="4" t="inlineStr">
        <is>
          <t>4237.05 Fraport-RV-NAT001-BAB-Geb453</t>
        </is>
      </c>
      <c r="B762" s="4" t="inlineStr">
        <is>
          <t>● (aN) BAB</t>
        </is>
      </c>
      <c r="C762" s="4" t="inlineStr">
        <is>
          <t>Nachweis</t>
        </is>
      </c>
      <c r="D762" s="10" t="inlineStr">
        <is>
          <t>⚠ Manual erforderlich</t>
        </is>
      </c>
      <c r="E762" s="11" t="inlineStr"/>
      <c r="F762" s="11" t="n">
        <v>0</v>
      </c>
      <c r="G762" s="11">
        <f>E762-F762</f>
        <v/>
      </c>
      <c r="H762" s="11" t="n">
        <v/>
      </c>
      <c r="I762" s="11" t="n">
        <v/>
      </c>
      <c r="J762" s="11" t="n">
        <v/>
      </c>
      <c r="K762" s="4" t="inlineStr">
        <is>
          <t>Stundensätze eingeben</t>
        </is>
      </c>
    </row>
    <row r="763">
      <c r="A763" s="4" t="inlineStr">
        <is>
          <t>4237.05 Fraport-RV-NAT001-BAB-Geb453</t>
        </is>
      </c>
      <c r="B763" s="4" t="inlineStr">
        <is>
          <t>● (aN) FWP</t>
        </is>
      </c>
      <c r="C763" s="4" t="inlineStr">
        <is>
          <t>Nachweis</t>
        </is>
      </c>
      <c r="D763" s="10" t="inlineStr">
        <is>
          <t>⚠ Manual erforderlich</t>
        </is>
      </c>
      <c r="E763" s="11" t="inlineStr"/>
      <c r="F763" s="11" t="n">
        <v>0</v>
      </c>
      <c r="G763" s="11">
        <f>E763-F763</f>
        <v/>
      </c>
      <c r="H763" s="11" t="n">
        <v/>
      </c>
      <c r="I763" s="11" t="n">
        <v/>
      </c>
      <c r="J763" s="11" t="n">
        <v/>
      </c>
      <c r="K763" s="4" t="inlineStr">
        <is>
          <t>Stundensätze eingeben</t>
        </is>
      </c>
    </row>
    <row r="764">
      <c r="A764" s="4" t="inlineStr">
        <is>
          <t>4237.05 Fraport-RV-NAT001-BAB-Geb453</t>
        </is>
      </c>
      <c r="B764" s="4" t="inlineStr">
        <is>
          <t>● (aN) FRP</t>
        </is>
      </c>
      <c r="C764" s="4" t="inlineStr">
        <is>
          <t>Nachweis</t>
        </is>
      </c>
      <c r="D764" s="10" t="inlineStr">
        <is>
          <t>⚠ Manual erforderlich</t>
        </is>
      </c>
      <c r="E764" s="11" t="inlineStr"/>
      <c r="F764" s="11" t="n">
        <v>0</v>
      </c>
      <c r="G764" s="11">
        <f>E764-F764</f>
        <v/>
      </c>
      <c r="H764" s="11" t="n">
        <v/>
      </c>
      <c r="I764" s="11" t="n">
        <v/>
      </c>
      <c r="J764" s="11" t="n">
        <v/>
      </c>
      <c r="K764" s="4" t="inlineStr">
        <is>
          <t>Stundensätze eingeben</t>
        </is>
      </c>
    </row>
    <row r="765">
      <c r="A765" s="4" t="inlineStr">
        <is>
          <t>4237.06 Fraport-RV-BSK-Bauphase-Geb453</t>
        </is>
      </c>
      <c r="B765" s="4" t="inlineStr">
        <is>
          <t>● (p/aN?) Brandschutzkonzept Bauphase</t>
        </is>
      </c>
      <c r="C765" s="9" t="inlineStr">
        <is>
          <t>Unbekannt</t>
        </is>
      </c>
      <c r="D765" s="10" t="inlineStr">
        <is>
          <t>⚠ Manual erforderlich</t>
        </is>
      </c>
      <c r="E765" s="11" t="inlineStr"/>
      <c r="F765" s="11" t="n">
        <v>0</v>
      </c>
      <c r="G765" s="11">
        <f>E765-F765</f>
        <v/>
      </c>
      <c r="H765" s="11" t="n">
        <v/>
      </c>
      <c r="I765" s="11" t="n">
        <v/>
      </c>
      <c r="J765" s="11" t="n">
        <v/>
      </c>
      <c r="K765" s="4" t="inlineStr">
        <is>
          <t>Abrechnungsart wählen; Stundensätze eingeben</t>
        </is>
      </c>
    </row>
    <row r="766">
      <c r="A766" s="4" t="inlineStr">
        <is>
          <t>4237.07 BAB-DHL-NB-Geb-457-FFM</t>
        </is>
      </c>
      <c r="B766" s="4" t="inlineStr">
        <is>
          <t>● (p) Pos. 1 Erstellung BSN</t>
        </is>
      </c>
      <c r="C766" s="4" t="inlineStr">
        <is>
          <t>Pauschale</t>
        </is>
      </c>
      <c r="D766" s="10" t="inlineStr">
        <is>
          <t>⚠ Manual erforderlich</t>
        </is>
      </c>
      <c r="E766" s="11" t="inlineStr"/>
      <c r="F766" s="11" t="n">
        <v>0</v>
      </c>
      <c r="G766" s="11">
        <f>E766-F766</f>
        <v/>
      </c>
      <c r="H766" s="11" t="n">
        <v>0</v>
      </c>
      <c r="I766" s="11" t="n">
        <v>0</v>
      </c>
      <c r="J766" s="11" t="n">
        <v>0</v>
      </c>
      <c r="K766" s="4" t="inlineStr">
        <is>
          <t>Stundensätze eingeben</t>
        </is>
      </c>
    </row>
    <row r="767">
      <c r="A767" s="4" t="inlineStr">
        <is>
          <t>4237.07 BAB-DHL-NB-Geb-457-FFM</t>
        </is>
      </c>
      <c r="B767" s="4" t="inlineStr">
        <is>
          <t>● (aN) BAB + KOF</t>
        </is>
      </c>
      <c r="C767" s="4" t="inlineStr">
        <is>
          <t>Nachweis</t>
        </is>
      </c>
      <c r="D767" s="10" t="inlineStr">
        <is>
          <t>⚠ Manual erforderlich</t>
        </is>
      </c>
      <c r="E767" s="11" t="inlineStr"/>
      <c r="F767" s="11" t="n">
        <v>0</v>
      </c>
      <c r="G767" s="11">
        <f>E767-F767</f>
        <v/>
      </c>
      <c r="H767" s="11" t="n">
        <v/>
      </c>
      <c r="I767" s="11" t="n">
        <v/>
      </c>
      <c r="J767" s="11" t="n">
        <v/>
      </c>
      <c r="K767" s="4" t="inlineStr">
        <is>
          <t>Stundensätze eingeben</t>
        </is>
      </c>
    </row>
    <row r="768">
      <c r="A768" s="4" t="inlineStr">
        <is>
          <t>4237.07 BAB-DHL-NB-Geb-457-FFM</t>
        </is>
      </c>
      <c r="B768" s="4" t="inlineStr">
        <is>
          <t>● (p) Flucht- und Rettungspläne</t>
        </is>
      </c>
      <c r="C768" s="4" t="inlineStr">
        <is>
          <t>Pauschale</t>
        </is>
      </c>
      <c r="D768" s="10" t="inlineStr">
        <is>
          <t>⚠ Manual erforderlich</t>
        </is>
      </c>
      <c r="E768" s="11" t="inlineStr"/>
      <c r="F768" s="11" t="n">
        <v>0</v>
      </c>
      <c r="G768" s="11">
        <f>E768-F768</f>
        <v/>
      </c>
      <c r="H768" s="11" t="n">
        <v/>
      </c>
      <c r="I768" s="11" t="n">
        <v/>
      </c>
      <c r="J768" s="11" t="n">
        <v/>
      </c>
      <c r="K768" s="4" t="inlineStr">
        <is>
          <t>Stundensätze eingeben</t>
        </is>
      </c>
    </row>
    <row r="769">
      <c r="A769" s="4" t="inlineStr">
        <is>
          <t>4238 Max-Planck-Institut-für-Rechtswissenschaften - Gerichtsgutachten</t>
        </is>
      </c>
      <c r="B769" s="4" t="inlineStr">
        <is>
          <t>● 0000-Aquise</t>
        </is>
      </c>
      <c r="C769" s="9" t="inlineStr">
        <is>
          <t>Unbekannt</t>
        </is>
      </c>
      <c r="D769" s="10" t="inlineStr">
        <is>
          <t>⚠ Manual erforderlich</t>
        </is>
      </c>
      <c r="E769" s="11" t="inlineStr"/>
      <c r="F769" s="11" t="n">
        <v>0</v>
      </c>
      <c r="G769" s="11">
        <f>E769-F769</f>
        <v/>
      </c>
      <c r="H769" s="11" t="n">
        <v/>
      </c>
      <c r="I769" s="11" t="n">
        <v/>
      </c>
      <c r="J769" s="11" t="n">
        <v/>
      </c>
      <c r="K769" s="4" t="inlineStr">
        <is>
          <t>Abrechnungsart wählen; Stundensätze eingeben</t>
        </is>
      </c>
    </row>
    <row r="770">
      <c r="A770" s="4" t="inlineStr">
        <is>
          <t>4238 Max-Planck-Institut-für-Rechtswissenschaften - Gerichtsgutachten</t>
        </is>
      </c>
      <c r="B770" s="4" t="inlineStr">
        <is>
          <t>● 0001-Sonstiges</t>
        </is>
      </c>
      <c r="C770" s="9" t="inlineStr">
        <is>
          <t>Unbekannt</t>
        </is>
      </c>
      <c r="D770" s="10" t="inlineStr">
        <is>
          <t>⚠ Manual erforderlich</t>
        </is>
      </c>
      <c r="E770" s="11" t="inlineStr"/>
      <c r="F770" s="11" t="n">
        <v>0</v>
      </c>
      <c r="G770" s="11">
        <f>E770-F770</f>
        <v/>
      </c>
      <c r="H770" s="11" t="n">
        <v/>
      </c>
      <c r="I770" s="11" t="n">
        <v/>
      </c>
      <c r="J770" s="11" t="n">
        <v/>
      </c>
      <c r="K770" s="4" t="inlineStr">
        <is>
          <t>Abrechnungsart wählen; Stundensätze eingeben</t>
        </is>
      </c>
    </row>
    <row r="771">
      <c r="A771" s="4" t="inlineStr">
        <is>
          <t>4249.03 Mängel-div-Geb-Am-Keltenwald-Ehningen-IBM</t>
        </is>
      </c>
      <c r="B771" s="4" t="inlineStr">
        <is>
          <t>● 5000-Ausführungsplanung</t>
        </is>
      </c>
      <c r="C771" s="9" t="inlineStr">
        <is>
          <t>Unbekannt</t>
        </is>
      </c>
      <c r="D771" s="10" t="inlineStr">
        <is>
          <t>⚠ Manual erforderlich</t>
        </is>
      </c>
      <c r="E771" s="11" t="inlineStr"/>
      <c r="F771" s="11" t="n">
        <v>0</v>
      </c>
      <c r="G771" s="11">
        <f>E771-F771</f>
        <v/>
      </c>
      <c r="H771" s="11" t="n">
        <v/>
      </c>
      <c r="I771" s="11" t="n">
        <v/>
      </c>
      <c r="J771" s="11" t="n">
        <v/>
      </c>
      <c r="K771" s="4" t="inlineStr">
        <is>
          <t>Abrechnungsart wählen; Stundensätze eingeben</t>
        </is>
      </c>
    </row>
    <row r="772">
      <c r="A772" s="4" t="inlineStr">
        <is>
          <t>4249.03 Mängel-div-Geb-Am-Keltenwald-Ehningen-IBM</t>
        </is>
      </c>
      <c r="B772" s="4" t="inlineStr">
        <is>
          <t>● 8000-Objektüberwachung</t>
        </is>
      </c>
      <c r="C772" s="9" t="inlineStr">
        <is>
          <t>Unbekannt</t>
        </is>
      </c>
      <c r="D772" s="10" t="inlineStr">
        <is>
          <t>⚠ Manual erforderlich</t>
        </is>
      </c>
      <c r="E772" s="11" t="inlineStr"/>
      <c r="F772" s="11" t="n">
        <v>0</v>
      </c>
      <c r="G772" s="11">
        <f>E772-F772</f>
        <v/>
      </c>
      <c r="H772" s="11" t="n">
        <v/>
      </c>
      <c r="I772" s="11" t="n">
        <v/>
      </c>
      <c r="J772" s="11" t="n">
        <v/>
      </c>
      <c r="K772" s="4" t="inlineStr">
        <is>
          <t>Abrechnungsart wählen; Stundensätze eingeben</t>
        </is>
      </c>
    </row>
    <row r="773">
      <c r="A773" s="4" t="inlineStr">
        <is>
          <t>4249.09 Apleona-Fortschr04-BSK-Geb10+11-IBMAllee1-Ehningen</t>
        </is>
      </c>
      <c r="B773" s="4" t="inlineStr">
        <is>
          <t>● (p) Pos. 1 Fortschreibung Brandschutzkonzepte Geb. 10 + 11</t>
        </is>
      </c>
      <c r="C773" s="4" t="inlineStr">
        <is>
          <t>Pauschale</t>
        </is>
      </c>
      <c r="D773" s="10" t="inlineStr">
        <is>
          <t>⚠ Manual erforderlich</t>
        </is>
      </c>
      <c r="E773" s="11" t="inlineStr"/>
      <c r="F773" s="11" t="n">
        <v>0</v>
      </c>
      <c r="G773" s="11">
        <f>E773-F773</f>
        <v/>
      </c>
      <c r="H773" s="11" t="n">
        <v>0</v>
      </c>
      <c r="I773" s="11" t="n">
        <v>0</v>
      </c>
      <c r="J773" s="11" t="n">
        <v>0</v>
      </c>
      <c r="K773" s="4" t="inlineStr">
        <is>
          <t>Stundensätze eingeben</t>
        </is>
      </c>
    </row>
    <row r="774">
      <c r="A774" s="4" t="inlineStr">
        <is>
          <t>4249.09 Apleona-Fortschr04-BSK-Geb10+11-IBMAllee1-Ehningen</t>
        </is>
      </c>
      <c r="B774" s="4" t="inlineStr">
        <is>
          <t>● (aN) Pos. 2 Brandschutztechnische Beratung</t>
        </is>
      </c>
      <c r="C774" s="4" t="inlineStr">
        <is>
          <t>Nachweis</t>
        </is>
      </c>
      <c r="D774" s="10" t="inlineStr">
        <is>
          <t>⚠ Manual erforderlich</t>
        </is>
      </c>
      <c r="E774" s="11" t="inlineStr"/>
      <c r="F774" s="11" t="n">
        <v>0</v>
      </c>
      <c r="G774" s="11">
        <f>E774-F774</f>
        <v/>
      </c>
      <c r="H774" s="11" t="n">
        <v/>
      </c>
      <c r="I774" s="11" t="n">
        <v/>
      </c>
      <c r="J774" s="11" t="n">
        <v/>
      </c>
      <c r="K774" s="4" t="inlineStr">
        <is>
          <t>Stundensätze eingeben</t>
        </is>
      </c>
    </row>
    <row r="775">
      <c r="A775" s="4" t="inlineStr">
        <is>
          <t>4249.101 Apleona-BST-Grundstückstrennung-IBM-Am-Keltenwald-Ehningen</t>
        </is>
      </c>
      <c r="B775" s="4" t="inlineStr">
        <is>
          <t>● (aN) Pos. 1 Zusätzl. Beratungsleistungen</t>
        </is>
      </c>
      <c r="C775" s="4" t="inlineStr">
        <is>
          <t>Nachweis</t>
        </is>
      </c>
      <c r="D775" s="10" t="inlineStr">
        <is>
          <t>⚠ Manual erforderlich</t>
        </is>
      </c>
      <c r="E775" s="11" t="inlineStr"/>
      <c r="F775" s="11" t="n">
        <v>0</v>
      </c>
      <c r="G775" s="11">
        <f>E775-F775</f>
        <v/>
      </c>
      <c r="H775" s="11" t="n">
        <v/>
      </c>
      <c r="I775" s="11" t="n">
        <v/>
      </c>
      <c r="J775" s="11" t="n">
        <v/>
      </c>
      <c r="K775" s="4" t="inlineStr">
        <is>
          <t>Stundensätze eingeben</t>
        </is>
      </c>
    </row>
    <row r="776">
      <c r="A776" s="4" t="inlineStr">
        <is>
          <t>4249.11 Apleona-Fortschr-BSK-Geb15-IBMAllee1-Ehningen</t>
        </is>
      </c>
      <c r="B776" s="4" t="inlineStr">
        <is>
          <t>● (p) Pos. 1 BTB Geb. 15</t>
        </is>
      </c>
      <c r="C776" s="4" t="inlineStr">
        <is>
          <t>Pauschale</t>
        </is>
      </c>
      <c r="D776" s="10" t="inlineStr">
        <is>
          <t>⚠ Manual erforderlich</t>
        </is>
      </c>
      <c r="E776" s="11" t="inlineStr"/>
      <c r="F776" s="11" t="n">
        <v>0</v>
      </c>
      <c r="G776" s="11">
        <f>E776-F776</f>
        <v/>
      </c>
      <c r="H776" s="11" t="n">
        <v>0</v>
      </c>
      <c r="I776" s="11" t="n">
        <v>0</v>
      </c>
      <c r="J776" s="11" t="n">
        <v>0</v>
      </c>
      <c r="K776" s="4" t="inlineStr">
        <is>
          <t>Stundensätze eingeben</t>
        </is>
      </c>
    </row>
    <row r="777">
      <c r="A777" s="4" t="inlineStr">
        <is>
          <t>4249.11 Apleona-Fortschr-BSK-Geb15-IBMAllee1-Ehningen</t>
        </is>
      </c>
      <c r="B777" s="4" t="inlineStr">
        <is>
          <t>● (aN) Pos. 2 Fortschr. BSK</t>
        </is>
      </c>
      <c r="C777" s="4" t="inlineStr">
        <is>
          <t>Nachweis</t>
        </is>
      </c>
      <c r="D777" s="10" t="inlineStr">
        <is>
          <t>⚠ Manual erforderlich</t>
        </is>
      </c>
      <c r="E777" s="11" t="inlineStr"/>
      <c r="F777" s="11" t="n">
        <v>0</v>
      </c>
      <c r="G777" s="11">
        <f>E777-F777</f>
        <v/>
      </c>
      <c r="H777" s="11" t="n">
        <v/>
      </c>
      <c r="I777" s="11" t="n">
        <v/>
      </c>
      <c r="J777" s="11" t="n">
        <v/>
      </c>
      <c r="K777" s="4" t="inlineStr">
        <is>
          <t>Stundensätze eingeben</t>
        </is>
      </c>
    </row>
    <row r="778">
      <c r="A778" s="4" t="inlineStr">
        <is>
          <t>4249.12 Apleona-BSK-Geb10+11-Am-Keltenwald-Ehningen</t>
        </is>
      </c>
      <c r="B778" s="4" t="inlineStr">
        <is>
          <t>● (p) Pos. 1 BTB Fortschr. BSK</t>
        </is>
      </c>
      <c r="C778" s="4" t="inlineStr">
        <is>
          <t>Pauschale</t>
        </is>
      </c>
      <c r="D778" s="10" t="inlineStr">
        <is>
          <t>⚠ Manual erforderlich</t>
        </is>
      </c>
      <c r="E778" s="11" t="inlineStr"/>
      <c r="F778" s="11" t="n">
        <v>0</v>
      </c>
      <c r="G778" s="11">
        <f>E778-F778</f>
        <v/>
      </c>
      <c r="H778" s="11" t="n">
        <v>0</v>
      </c>
      <c r="I778" s="11" t="n">
        <v>0</v>
      </c>
      <c r="J778" s="11" t="n">
        <v>0</v>
      </c>
      <c r="K778" s="4" t="inlineStr">
        <is>
          <t>Stundensätze eingeben</t>
        </is>
      </c>
    </row>
    <row r="779">
      <c r="A779" s="4" t="inlineStr">
        <is>
          <t>4265.01 Beratung-Rathausplatz-1-Bad-Homburg-Rathaus</t>
        </is>
      </c>
      <c r="B779" s="4" t="inlineStr">
        <is>
          <t>● 1000-Grundlagenermittlung</t>
        </is>
      </c>
      <c r="C779" s="9" t="inlineStr">
        <is>
          <t>Unbekannt</t>
        </is>
      </c>
      <c r="D779" s="10" t="inlineStr">
        <is>
          <t>⚠ Manual erforderlich</t>
        </is>
      </c>
      <c r="E779" s="11" t="inlineStr"/>
      <c r="F779" s="11" t="n">
        <v>0</v>
      </c>
      <c r="G779" s="11">
        <f>E779-F779</f>
        <v/>
      </c>
      <c r="H779" s="11" t="n">
        <v/>
      </c>
      <c r="I779" s="11" t="n">
        <v/>
      </c>
      <c r="J779" s="11" t="n">
        <v/>
      </c>
      <c r="K779" s="4" t="inlineStr">
        <is>
          <t>Abrechnungsart wählen; Stundensätze eingeben</t>
        </is>
      </c>
    </row>
    <row r="780">
      <c r="A780" s="4" t="inlineStr">
        <is>
          <t>4265.01 Beratung-Rathausplatz-1-Bad-Homburg-Rathaus</t>
        </is>
      </c>
      <c r="B780" s="4" t="inlineStr">
        <is>
          <t>● 2000-Vorplanung</t>
        </is>
      </c>
      <c r="C780" s="9" t="inlineStr">
        <is>
          <t>Unbekannt</t>
        </is>
      </c>
      <c r="D780" s="10" t="inlineStr">
        <is>
          <t>⚠ Manual erforderlich</t>
        </is>
      </c>
      <c r="E780" s="11" t="inlineStr"/>
      <c r="F780" s="11" t="n">
        <v>0</v>
      </c>
      <c r="G780" s="11">
        <f>E780-F780</f>
        <v/>
      </c>
      <c r="H780" s="11" t="n">
        <v/>
      </c>
      <c r="I780" s="11" t="n">
        <v/>
      </c>
      <c r="J780" s="11" t="n">
        <v/>
      </c>
      <c r="K780" s="4" t="inlineStr">
        <is>
          <t>Abrechnungsart wählen; Stundensätze eingeben</t>
        </is>
      </c>
    </row>
    <row r="781">
      <c r="A781" s="4" t="inlineStr">
        <is>
          <t>4265.06 BSB-2024/2025-Rathausplatz-1-Bad Homburg</t>
        </is>
      </c>
      <c r="B781" s="4" t="inlineStr">
        <is>
          <t>● (a.N.) BSB 10/2024-09/2025 (3. Jahr)</t>
        </is>
      </c>
      <c r="C781" s="4" t="inlineStr">
        <is>
          <t>Nachweis</t>
        </is>
      </c>
      <c r="D781" s="10" t="inlineStr">
        <is>
          <t>⚠ Manual erforderlich</t>
        </is>
      </c>
      <c r="E781" s="11" t="inlineStr"/>
      <c r="F781" s="11" t="n">
        <v>0</v>
      </c>
      <c r="G781" s="11">
        <f>E781-F781</f>
        <v/>
      </c>
      <c r="H781" s="11" t="n">
        <v/>
      </c>
      <c r="I781" s="11" t="n">
        <v/>
      </c>
      <c r="J781" s="11" t="n">
        <v/>
      </c>
      <c r="K781" s="4" t="inlineStr">
        <is>
          <t>Stundensätze eingeben</t>
        </is>
      </c>
    </row>
    <row r="782">
      <c r="A782" s="4" t="inlineStr">
        <is>
          <t>4265.07 BTB-Rathausplatz1-Bad Homburg-2.OG</t>
        </is>
      </c>
      <c r="B782" s="4" t="inlineStr">
        <is>
          <t>● (aN) Pos.1 BTB + Anp. ganzheitl. BSK BM „Umbau im Erschließungsbereich am Kern 2 im 2. OG'</t>
        </is>
      </c>
      <c r="C782" s="4" t="inlineStr">
        <is>
          <t>Nachweis</t>
        </is>
      </c>
      <c r="D782" s="10" t="inlineStr">
        <is>
          <t>⚠ Manual erforderlich</t>
        </is>
      </c>
      <c r="E782" s="11" t="inlineStr"/>
      <c r="F782" s="11" t="n">
        <v>0</v>
      </c>
      <c r="G782" s="11">
        <f>E782-F782</f>
        <v/>
      </c>
      <c r="H782" s="11" t="n">
        <v/>
      </c>
      <c r="I782" s="11" t="n">
        <v/>
      </c>
      <c r="J782" s="11" t="n">
        <v/>
      </c>
      <c r="K782" s="4" t="inlineStr">
        <is>
          <t>Stundensätze eingeben</t>
        </is>
      </c>
    </row>
    <row r="783">
      <c r="A783" s="4" t="inlineStr">
        <is>
          <t>4265.08 BSB-2025/2026-Rathausplatz-1-Bad Homburg</t>
        </is>
      </c>
      <c r="B783" s="4" t="inlineStr">
        <is>
          <t>● (a.N.) BSB 10/2025-09/2026 (4. Jahr)</t>
        </is>
      </c>
      <c r="C783" s="4" t="inlineStr">
        <is>
          <t>Nachweis</t>
        </is>
      </c>
      <c r="D783" s="10" t="inlineStr">
        <is>
          <t>⚠ Manual erforderlich</t>
        </is>
      </c>
      <c r="E783" s="11" t="inlineStr"/>
      <c r="F783" s="11" t="n">
        <v>0</v>
      </c>
      <c r="G783" s="11">
        <f>E783-F783</f>
        <v/>
      </c>
      <c r="H783" s="11" t="n">
        <v/>
      </c>
      <c r="I783" s="11" t="n">
        <v/>
      </c>
      <c r="J783" s="11" t="n">
        <v/>
      </c>
      <c r="K783" s="4" t="inlineStr">
        <is>
          <t>Stundensätze eingeben</t>
        </is>
      </c>
    </row>
    <row r="784">
      <c r="A784" s="4" t="inlineStr">
        <is>
          <t>4278.01 Fraport-RV-LP5+8-Geb394</t>
        </is>
      </c>
      <c r="B784" s="4" t="inlineStr">
        <is>
          <t>● 5000-Ausführungsplanung</t>
        </is>
      </c>
      <c r="C784" s="9" t="inlineStr">
        <is>
          <t>Unbekannt</t>
        </is>
      </c>
      <c r="D784" s="10" t="inlineStr">
        <is>
          <t>⚠ Manual erforderlich</t>
        </is>
      </c>
      <c r="E784" s="11" t="inlineStr"/>
      <c r="F784" s="11" t="n">
        <v>0</v>
      </c>
      <c r="G784" s="11">
        <f>E784-F784</f>
        <v/>
      </c>
      <c r="H784" s="11" t="n">
        <v/>
      </c>
      <c r="I784" s="11" t="n">
        <v/>
      </c>
      <c r="J784" s="11" t="n">
        <v/>
      </c>
      <c r="K784" s="4" t="inlineStr">
        <is>
          <t>Abrechnungsart wählen; Stundensätze eingeben</t>
        </is>
      </c>
    </row>
    <row r="785">
      <c r="A785" s="4" t="inlineStr">
        <is>
          <t>4278.01 Fraport-RV-LP5+8-Geb394</t>
        </is>
      </c>
      <c r="B785" s="4" t="inlineStr">
        <is>
          <t>● 8000-Objektüberwachung</t>
        </is>
      </c>
      <c r="C785" s="9" t="inlineStr">
        <is>
          <t>Unbekannt</t>
        </is>
      </c>
      <c r="D785" s="10" t="inlineStr">
        <is>
          <t>⚠ Manual erforderlich</t>
        </is>
      </c>
      <c r="E785" s="11" t="inlineStr"/>
      <c r="F785" s="11" t="n">
        <v>0</v>
      </c>
      <c r="G785" s="11">
        <f>E785-F785</f>
        <v/>
      </c>
      <c r="H785" s="11" t="n">
        <v/>
      </c>
      <c r="I785" s="11" t="n">
        <v/>
      </c>
      <c r="J785" s="11" t="n">
        <v/>
      </c>
      <c r="K785" s="4" t="inlineStr">
        <is>
          <t>Abrechnungsart wählen; Stundensätze eingeben</t>
        </is>
      </c>
    </row>
    <row r="786">
      <c r="A786" s="4" t="inlineStr">
        <is>
          <t>4278.02 Fraport-RV-NAT2-Brandmeldekonzept-FWP-FuR-Geb394</t>
        </is>
      </c>
      <c r="B786" s="4" t="inlineStr">
        <is>
          <t>● • (a.N.) Erstellung Brandmeldeanlagenkonzeptes / Brandfallsteuermatrix</t>
        </is>
      </c>
      <c r="C786" s="4" t="inlineStr">
        <is>
          <t>Nachweis</t>
        </is>
      </c>
      <c r="D786" s="10" t="inlineStr">
        <is>
          <t>⚠ Manual erforderlich</t>
        </is>
      </c>
      <c r="E786" s="11" t="inlineStr"/>
      <c r="F786" s="11" t="n">
        <v>0</v>
      </c>
      <c r="G786" s="11">
        <f>E786-F786</f>
        <v/>
      </c>
      <c r="H786" s="11" t="n">
        <v/>
      </c>
      <c r="I786" s="11" t="n">
        <v/>
      </c>
      <c r="J786" s="11" t="n">
        <v/>
      </c>
      <c r="K786" s="4" t="inlineStr">
        <is>
          <t>Stundensätze eingeben</t>
        </is>
      </c>
    </row>
    <row r="787">
      <c r="A787" s="4" t="inlineStr">
        <is>
          <t>4278.02 Fraport-RV-NAT2-Brandmeldekonzept-FWP-FuR-Geb394</t>
        </is>
      </c>
      <c r="B787" s="4" t="inlineStr">
        <is>
          <t>● • (p.) FWP (NK entf.)</t>
        </is>
      </c>
      <c r="C787" s="9" t="inlineStr">
        <is>
          <t>Unbekannt</t>
        </is>
      </c>
      <c r="D787" s="10" t="inlineStr">
        <is>
          <t>⚠ Manual erforderlich</t>
        </is>
      </c>
      <c r="E787" s="11" t="inlineStr"/>
      <c r="F787" s="11" t="n">
        <v>0</v>
      </c>
      <c r="G787" s="11">
        <f>E787-F787</f>
        <v/>
      </c>
      <c r="H787" s="11" t="n">
        <v/>
      </c>
      <c r="I787" s="11" t="n">
        <v/>
      </c>
      <c r="J787" s="11" t="n">
        <v/>
      </c>
      <c r="K787" s="4" t="inlineStr">
        <is>
          <t>Abrechnungsart wählen; Stundensätze eingeben</t>
        </is>
      </c>
    </row>
    <row r="788">
      <c r="A788" s="4" t="inlineStr">
        <is>
          <t>4278.02 Fraport-RV-NAT2-Brandmeldekonzept-FWP-FuR-Geb394</t>
        </is>
      </c>
      <c r="B788" s="4" t="inlineStr">
        <is>
          <t>● • (p.) FuR (NK entf.)</t>
        </is>
      </c>
      <c r="C788" s="9" t="inlineStr">
        <is>
          <t>Unbekannt</t>
        </is>
      </c>
      <c r="D788" s="10" t="inlineStr">
        <is>
          <t>⚠ Manual erforderlich</t>
        </is>
      </c>
      <c r="E788" s="11" t="inlineStr"/>
      <c r="F788" s="11" t="n">
        <v>0</v>
      </c>
      <c r="G788" s="11">
        <f>E788-F788</f>
        <v/>
      </c>
      <c r="H788" s="11" t="n">
        <v/>
      </c>
      <c r="I788" s="11" t="n">
        <v/>
      </c>
      <c r="J788" s="11" t="n">
        <v/>
      </c>
      <c r="K788" s="4" t="inlineStr">
        <is>
          <t>Abrechnungsart wählen; Stundensätze eingeben</t>
        </is>
      </c>
    </row>
    <row r="789">
      <c r="A789" s="4" t="inlineStr">
        <is>
          <t>4278.03 Fraport-RV-NAT3-Fort.BSK-Geb394</t>
        </is>
      </c>
      <c r="B789" s="4" t="inlineStr">
        <is>
          <t>● (p) Pos. 1 Fortschreibung eines Brandschutzkonzeptes</t>
        </is>
      </c>
      <c r="C789" s="4" t="inlineStr">
        <is>
          <t>Pauschale</t>
        </is>
      </c>
      <c r="D789" s="10" t="inlineStr">
        <is>
          <t>⚠ Manual erforderlich</t>
        </is>
      </c>
      <c r="E789" s="11" t="inlineStr"/>
      <c r="F789" s="11" t="n">
        <v>0</v>
      </c>
      <c r="G789" s="11">
        <f>E789-F789</f>
        <v/>
      </c>
      <c r="H789" s="11" t="n">
        <v>0</v>
      </c>
      <c r="I789" s="11" t="n">
        <v>0</v>
      </c>
      <c r="J789" s="11" t="n">
        <v>0</v>
      </c>
      <c r="K789" s="4" t="inlineStr">
        <is>
          <t>Stundensätze eingeben</t>
        </is>
      </c>
    </row>
    <row r="790">
      <c r="A790" s="4" t="inlineStr">
        <is>
          <t>4296.04 Anp.BSK-Ben-Gurion-Ring-110a-Frankfurt-Flüchtlingswohnheim</t>
        </is>
      </c>
      <c r="B790" s="4" t="inlineStr">
        <is>
          <t>● (p) Pos.1 - Anpassung Brandschutzkonzept</t>
        </is>
      </c>
      <c r="C790" s="4" t="inlineStr">
        <is>
          <t>Pauschale</t>
        </is>
      </c>
      <c r="D790" s="10" t="inlineStr">
        <is>
          <t>⚠ Manual erforderlich</t>
        </is>
      </c>
      <c r="E790" s="11" t="inlineStr"/>
      <c r="F790" s="11" t="n">
        <v>0</v>
      </c>
      <c r="G790" s="11">
        <f>E790-F790</f>
        <v/>
      </c>
      <c r="H790" s="11" t="n">
        <v>0</v>
      </c>
      <c r="I790" s="11" t="n">
        <v>0</v>
      </c>
      <c r="J790" s="11" t="n">
        <v>0</v>
      </c>
      <c r="K790" s="4" t="inlineStr">
        <is>
          <t>Stundensätze eingeben</t>
        </is>
      </c>
    </row>
    <row r="791">
      <c r="A791" s="4" t="inlineStr">
        <is>
          <t>4296.04 Anp.BSK-Ben-Gurion-Ring-110a-Frankfurt-Flüchtlingswohnheim</t>
        </is>
      </c>
      <c r="B791" s="4" t="inlineStr">
        <is>
          <t>● (a.N.) Pos.2 - Baubegl. Brandschutzberatung + Qualitätsüberwachung f.d. Durchführung d. BM</t>
        </is>
      </c>
      <c r="C791" s="4" t="inlineStr">
        <is>
          <t>Nachweis</t>
        </is>
      </c>
      <c r="D791" s="10" t="inlineStr">
        <is>
          <t>⚠ Manual erforderlich</t>
        </is>
      </c>
      <c r="E791" s="11" t="inlineStr"/>
      <c r="F791" s="11" t="n">
        <v>0</v>
      </c>
      <c r="G791" s="11">
        <f>E791-F791</f>
        <v/>
      </c>
      <c r="H791" s="11" t="n">
        <v/>
      </c>
      <c r="I791" s="11" t="n">
        <v/>
      </c>
      <c r="J791" s="11" t="n">
        <v/>
      </c>
      <c r="K791" s="4" t="inlineStr">
        <is>
          <t>Stundensätze eingeben</t>
        </is>
      </c>
    </row>
    <row r="792">
      <c r="A792" s="4" t="inlineStr">
        <is>
          <t>4303.01 BTB-Alexanderstr-63-65-Niddagaustr-54-Ffm</t>
        </is>
      </c>
      <c r="B792" s="4" t="inlineStr">
        <is>
          <t>● (aN) Pos.1 BTB- Prüfung + Begutachtung d. aktuellen Zustands d. Brandschutzanstrichs</t>
        </is>
      </c>
      <c r="C792" s="4" t="inlineStr">
        <is>
          <t>Nachweis</t>
        </is>
      </c>
      <c r="D792" s="10" t="inlineStr">
        <is>
          <t>⚠ Manual erforderlich</t>
        </is>
      </c>
      <c r="E792" s="11" t="inlineStr"/>
      <c r="F792" s="11" t="n">
        <v>0</v>
      </c>
      <c r="G792" s="11">
        <f>E792-F792</f>
        <v/>
      </c>
      <c r="H792" s="11" t="n">
        <v/>
      </c>
      <c r="I792" s="11" t="n">
        <v/>
      </c>
      <c r="J792" s="11" t="n">
        <v/>
      </c>
      <c r="K792" s="4" t="inlineStr">
        <is>
          <t>Stundensätze eingeben</t>
        </is>
      </c>
    </row>
    <row r="793">
      <c r="A793" s="4" t="inlineStr">
        <is>
          <t>4303.01 BTB-Alexanderstr-63-65-Niddagaustr-54-Ffm</t>
        </is>
      </c>
      <c r="B793" s="4" t="inlineStr">
        <is>
          <t>● (aN) Pos.2 BTB</t>
        </is>
      </c>
      <c r="C793" s="4" t="inlineStr">
        <is>
          <t>Nachweis</t>
        </is>
      </c>
      <c r="D793" s="10" t="inlineStr">
        <is>
          <t>⚠ Manual erforderlich</t>
        </is>
      </c>
      <c r="E793" s="11" t="inlineStr"/>
      <c r="F793" s="11" t="n">
        <v>0</v>
      </c>
      <c r="G793" s="11">
        <f>E793-F793</f>
        <v/>
      </c>
      <c r="H793" s="11" t="n">
        <v/>
      </c>
      <c r="I793" s="11" t="n">
        <v/>
      </c>
      <c r="J793" s="11" t="n">
        <v/>
      </c>
      <c r="K793" s="4" t="inlineStr">
        <is>
          <t>Stundensätze eingeben</t>
        </is>
      </c>
    </row>
    <row r="794">
      <c r="A794" s="4" t="inlineStr">
        <is>
          <t>4306.03 Feuer&amp;Rauch2023;</t>
        </is>
      </c>
      <c r="B794" s="4" t="inlineStr">
        <is>
          <t>● 0001-Sonstiges</t>
        </is>
      </c>
      <c r="C794" s="9" t="inlineStr">
        <is>
          <t>Unbekannt</t>
        </is>
      </c>
      <c r="D794" s="10" t="inlineStr">
        <is>
          <t>⚠ Manual erforderlich</t>
        </is>
      </c>
      <c r="E794" s="11" t="inlineStr"/>
      <c r="F794" s="11" t="n">
        <v>0</v>
      </c>
      <c r="G794" s="11">
        <f>E794-F794</f>
        <v/>
      </c>
      <c r="H794" s="11" t="n">
        <v/>
      </c>
      <c r="I794" s="11" t="n">
        <v/>
      </c>
      <c r="J794" s="11" t="n">
        <v/>
      </c>
      <c r="K794" s="4" t="inlineStr">
        <is>
          <t>Abrechnungsart wählen; Stundensätze eingeben</t>
        </is>
      </c>
    </row>
    <row r="795">
      <c r="A795" s="4" t="inlineStr">
        <is>
          <t>4306.04 Feuer&amp;Rauch; 2024</t>
        </is>
      </c>
      <c r="B795" s="4" t="inlineStr">
        <is>
          <t>● 0001-Sonstiges</t>
        </is>
      </c>
      <c r="C795" s="9" t="inlineStr">
        <is>
          <t>Unbekannt</t>
        </is>
      </c>
      <c r="D795" s="10" t="inlineStr">
        <is>
          <t>⚠ Manual erforderlich</t>
        </is>
      </c>
      <c r="E795" s="11" t="inlineStr"/>
      <c r="F795" s="11" t="n">
        <v>0</v>
      </c>
      <c r="G795" s="11">
        <f>E795-F795</f>
        <v/>
      </c>
      <c r="H795" s="11" t="n">
        <v/>
      </c>
      <c r="I795" s="11" t="n">
        <v/>
      </c>
      <c r="J795" s="11" t="n">
        <v/>
      </c>
      <c r="K795" s="4" t="inlineStr">
        <is>
          <t>Abrechnungsart wählen; Stundensätze eingeben</t>
        </is>
      </c>
    </row>
    <row r="796">
      <c r="A796" s="4" t="inlineStr">
        <is>
          <t>4320.06 LP5-9+4+8-Ludwig-Erhard-Anlage-2-8-Frankfurt</t>
        </is>
      </c>
      <c r="B796" s="4" t="inlineStr">
        <is>
          <t>● 5000-Ausführungsplanung</t>
        </is>
      </c>
      <c r="C796" s="9" t="inlineStr">
        <is>
          <t>Unbekannt</t>
        </is>
      </c>
      <c r="D796" s="10" t="inlineStr">
        <is>
          <t>⚠ Manual erforderlich</t>
        </is>
      </c>
      <c r="E796" s="11" t="inlineStr"/>
      <c r="F796" s="11" t="n">
        <v>0</v>
      </c>
      <c r="G796" s="11">
        <f>E796-F796</f>
        <v/>
      </c>
      <c r="H796" s="11" t="n">
        <v/>
      </c>
      <c r="I796" s="11" t="n">
        <v/>
      </c>
      <c r="J796" s="11" t="n">
        <v/>
      </c>
      <c r="K796" s="4" t="inlineStr">
        <is>
          <t>Abrechnungsart wählen; Stundensätze eingeben</t>
        </is>
      </c>
    </row>
    <row r="797">
      <c r="A797" s="4" t="inlineStr">
        <is>
          <t>4320.06 LP5-9+4+8-Ludwig-Erhard-Anlage-2-8-Frankfurt</t>
        </is>
      </c>
      <c r="B797" s="4" t="inlineStr">
        <is>
          <t>● 6000-Vorbereiten der Vergabe</t>
        </is>
      </c>
      <c r="C797" s="9" t="inlineStr">
        <is>
          <t>Unbekannt</t>
        </is>
      </c>
      <c r="D797" s="10" t="inlineStr">
        <is>
          <t>⚠ Manual erforderlich</t>
        </is>
      </c>
      <c r="E797" s="11" t="inlineStr"/>
      <c r="F797" s="11" t="n">
        <v>0</v>
      </c>
      <c r="G797" s="11">
        <f>E797-F797</f>
        <v/>
      </c>
      <c r="H797" s="11" t="n">
        <v/>
      </c>
      <c r="I797" s="11" t="n">
        <v/>
      </c>
      <c r="J797" s="11" t="n">
        <v/>
      </c>
      <c r="K797" s="4" t="inlineStr">
        <is>
          <t>Abrechnungsart wählen; Stundensätze eingeben</t>
        </is>
      </c>
    </row>
    <row r="798">
      <c r="A798" s="4" t="inlineStr">
        <is>
          <t>4320.06 LP5-9+4+8-Ludwig-Erhard-Anlage-2-8-Frankfurt</t>
        </is>
      </c>
      <c r="B798" s="4" t="inlineStr">
        <is>
          <t>● 8000-Objektüberwachung</t>
        </is>
      </c>
      <c r="C798" s="9" t="inlineStr">
        <is>
          <t>Unbekannt</t>
        </is>
      </c>
      <c r="D798" s="10" t="inlineStr">
        <is>
          <t>⚠ Manual erforderlich</t>
        </is>
      </c>
      <c r="E798" s="11" t="inlineStr"/>
      <c r="F798" s="11" t="n">
        <v>0</v>
      </c>
      <c r="G798" s="11">
        <f>E798-F798</f>
        <v/>
      </c>
      <c r="H798" s="11" t="n">
        <v/>
      </c>
      <c r="I798" s="11" t="n">
        <v/>
      </c>
      <c r="J798" s="11" t="n">
        <v/>
      </c>
      <c r="K798" s="4" t="inlineStr">
        <is>
          <t>Abrechnungsart wählen; Stundensätze eingeben</t>
        </is>
      </c>
    </row>
    <row r="799">
      <c r="A799" s="4" t="inlineStr">
        <is>
          <t>4320.06 LP5-9+4+8-Ludwig-Erhard-Anlage-2-8-Frankfurt</t>
        </is>
      </c>
      <c r="B799" s="4" t="inlineStr">
        <is>
          <t>● 9000-Objektbetreuung und Dokumentation</t>
        </is>
      </c>
      <c r="C799" s="9" t="inlineStr">
        <is>
          <t>Unbekannt</t>
        </is>
      </c>
      <c r="D799" s="10" t="inlineStr">
        <is>
          <t>⚠ Manual erforderlich</t>
        </is>
      </c>
      <c r="E799" s="11" t="inlineStr"/>
      <c r="F799" s="11" t="n">
        <v>0</v>
      </c>
      <c r="G799" s="11">
        <f>E799-F799</f>
        <v/>
      </c>
      <c r="H799" s="11" t="n">
        <v/>
      </c>
      <c r="I799" s="11" t="n">
        <v/>
      </c>
      <c r="J799" s="11" t="n">
        <v/>
      </c>
      <c r="K799" s="4" t="inlineStr">
        <is>
          <t>Abrechnungsart wählen; Stundensätze eingeben</t>
        </is>
      </c>
    </row>
    <row r="800">
      <c r="A800" s="4" t="inlineStr">
        <is>
          <t>4320.06 LP5-9+4+8-Ludwig-Erhard-Anlage-2-8-Frankfurt</t>
        </is>
      </c>
      <c r="B800" s="4" t="inlineStr">
        <is>
          <t>● LP 4 Fortschreibung BSK/Pläne (a.N)</t>
        </is>
      </c>
      <c r="C800" s="9" t="inlineStr">
        <is>
          <t>Unbekannt</t>
        </is>
      </c>
      <c r="D800" s="10" t="inlineStr">
        <is>
          <t>⚠ Manual erforderlich</t>
        </is>
      </c>
      <c r="E800" s="11" t="inlineStr"/>
      <c r="F800" s="11" t="n">
        <v>0</v>
      </c>
      <c r="G800" s="11">
        <f>E800-F800</f>
        <v/>
      </c>
      <c r="H800" s="11" t="n">
        <v/>
      </c>
      <c r="I800" s="11" t="n">
        <v/>
      </c>
      <c r="J800" s="11" t="n">
        <v/>
      </c>
      <c r="K800" s="4" t="inlineStr">
        <is>
          <t>Abrechnungsart wählen; Stundensätze eingeben</t>
        </is>
      </c>
    </row>
    <row r="801">
      <c r="A801" s="4" t="inlineStr">
        <is>
          <t>4320.09 LEA-NAT11-BAB-LP8-AHO-BT-ABC-FFM</t>
        </is>
      </c>
      <c r="B801" s="4" t="inlineStr">
        <is>
          <t>● (aN) NAT 011 / Pos. 1 LPH 8 Objektüberwachung BL Nivau 2 d. AHO BT A+B+C</t>
        </is>
      </c>
      <c r="C801" s="4" t="inlineStr">
        <is>
          <t>Nachweis</t>
        </is>
      </c>
      <c r="D801" s="10" t="inlineStr">
        <is>
          <t>⚠ Manual erforderlich</t>
        </is>
      </c>
      <c r="E801" s="11" t="inlineStr"/>
      <c r="F801" s="11" t="n">
        <v>0</v>
      </c>
      <c r="G801" s="11">
        <f>E801-F801</f>
        <v/>
      </c>
      <c r="H801" s="11" t="n">
        <v/>
      </c>
      <c r="I801" s="11" t="n">
        <v/>
      </c>
      <c r="J801" s="11" t="n">
        <v/>
      </c>
      <c r="K801" s="4" t="inlineStr">
        <is>
          <t>Stundensätze eingeben</t>
        </is>
      </c>
    </row>
    <row r="802">
      <c r="A802" s="4" t="inlineStr">
        <is>
          <t>4340.07 FWP-DLZ1-Mainzer-Landstraße-151-Frankfurt</t>
        </is>
      </c>
      <c r="B802" s="4" t="inlineStr">
        <is>
          <t>● (p) Pos.1 Aktualisierung FWP DLZ 1</t>
        </is>
      </c>
      <c r="C802" s="4" t="inlineStr">
        <is>
          <t>Pauschale</t>
        </is>
      </c>
      <c r="D802" s="10" t="inlineStr">
        <is>
          <t>⚠ Manual erforderlich</t>
        </is>
      </c>
      <c r="E802" s="11" t="inlineStr"/>
      <c r="F802" s="11" t="n">
        <v>0</v>
      </c>
      <c r="G802" s="11">
        <f>E802-F802</f>
        <v/>
      </c>
      <c r="H802" s="11" t="n">
        <v>0</v>
      </c>
      <c r="I802" s="11" t="n">
        <v>0</v>
      </c>
      <c r="J802" s="11" t="n">
        <v>0</v>
      </c>
      <c r="K802" s="4" t="inlineStr">
        <is>
          <t>Stundensätze eingeben</t>
        </is>
      </c>
    </row>
    <row r="803">
      <c r="A803" s="4" t="inlineStr">
        <is>
          <t>4340.07 FWP-DLZ1-Mainzer-Landstraße-151-Frankfurt</t>
        </is>
      </c>
      <c r="B803" s="4" t="inlineStr">
        <is>
          <t>● (p) Pos.2 Übersendung d. Plandateoien im PDF+DWG-Format</t>
        </is>
      </c>
      <c r="C803" s="4" t="inlineStr">
        <is>
          <t>Pauschale</t>
        </is>
      </c>
      <c r="D803" s="10" t="inlineStr">
        <is>
          <t>⚠ Manual erforderlich</t>
        </is>
      </c>
      <c r="E803" s="11" t="inlineStr"/>
      <c r="F803" s="11" t="n">
        <v>0</v>
      </c>
      <c r="G803" s="11">
        <f>E803-F803</f>
        <v/>
      </c>
      <c r="H803" s="11" t="n">
        <v>0</v>
      </c>
      <c r="I803" s="11" t="n">
        <v>0</v>
      </c>
      <c r="J803" s="11" t="n">
        <v>0</v>
      </c>
      <c r="K803" s="4" t="inlineStr">
        <is>
          <t>Stundensätze eingeben</t>
        </is>
      </c>
    </row>
    <row r="804">
      <c r="A804" s="4" t="inlineStr">
        <is>
          <t>4346.01 BTB-BMA-Bahnhof-Hbf-Heidelberg</t>
        </is>
      </c>
      <c r="B804" s="4" t="inlineStr">
        <is>
          <t>● 2000-Vorplanung</t>
        </is>
      </c>
      <c r="C804" s="9" t="inlineStr">
        <is>
          <t>Unbekannt</t>
        </is>
      </c>
      <c r="D804" s="10" t="inlineStr">
        <is>
          <t>⚠ Manual erforderlich</t>
        </is>
      </c>
      <c r="E804" s="11" t="inlineStr"/>
      <c r="F804" s="11" t="n">
        <v>0</v>
      </c>
      <c r="G804" s="11">
        <f>E804-F804</f>
        <v/>
      </c>
      <c r="H804" s="11" t="n">
        <v/>
      </c>
      <c r="I804" s="11" t="n">
        <v/>
      </c>
      <c r="J804" s="11" t="n">
        <v/>
      </c>
      <c r="K804" s="4" t="inlineStr">
        <is>
          <t>Abrechnungsart wählen; Stundensätze eingeben</t>
        </is>
      </c>
    </row>
    <row r="805">
      <c r="A805" s="4" t="inlineStr">
        <is>
          <t>4346.05 BST-BMA+Anp-BSK-Bahnhof-Hbf-Heidelberg</t>
        </is>
      </c>
      <c r="B805" s="4" t="inlineStr">
        <is>
          <t>● BST BMA (pauschal)</t>
        </is>
      </c>
      <c r="C805" s="9" t="inlineStr">
        <is>
          <t>Unbekannt</t>
        </is>
      </c>
      <c r="D805" s="10" t="inlineStr">
        <is>
          <t>⚠ Manual erforderlich</t>
        </is>
      </c>
      <c r="E805" s="11" t="inlineStr"/>
      <c r="F805" s="11" t="n">
        <v>0</v>
      </c>
      <c r="G805" s="11">
        <f>E805-F805</f>
        <v/>
      </c>
      <c r="H805" s="11" t="n">
        <v/>
      </c>
      <c r="I805" s="11" t="n">
        <v/>
      </c>
      <c r="J805" s="11" t="n">
        <v/>
      </c>
      <c r="K805" s="4" t="inlineStr">
        <is>
          <t>Abrechnungsart wählen; Stundensätze eingeben</t>
        </is>
      </c>
    </row>
    <row r="806">
      <c r="A806" s="4" t="inlineStr">
        <is>
          <t>4346.05 BST-BMA+Anp-BSK-Bahnhof-Hbf-Heidelberg</t>
        </is>
      </c>
      <c r="B806" s="4" t="inlineStr">
        <is>
          <t>● Ergänzung ganzheitl. BSK (pauschal)</t>
        </is>
      </c>
      <c r="C806" s="9" t="inlineStr">
        <is>
          <t>Unbekannt</t>
        </is>
      </c>
      <c r="D806" s="10" t="inlineStr">
        <is>
          <t>⚠ Manual erforderlich</t>
        </is>
      </c>
      <c r="E806" s="11" t="inlineStr"/>
      <c r="F806" s="11" t="n">
        <v>0</v>
      </c>
      <c r="G806" s="11">
        <f>E806-F806</f>
        <v/>
      </c>
      <c r="H806" s="11" t="n">
        <v/>
      </c>
      <c r="I806" s="11" t="n">
        <v/>
      </c>
      <c r="J806" s="11" t="n">
        <v/>
      </c>
      <c r="K806" s="4" t="inlineStr">
        <is>
          <t>Abrechnungsart wählen; Stundensätze eingeben</t>
        </is>
      </c>
    </row>
    <row r="807">
      <c r="A807" s="4" t="inlineStr">
        <is>
          <t>4348 Wingertstraße-21-23-Frankfurt</t>
        </is>
      </c>
      <c r="B807" s="4" t="inlineStr">
        <is>
          <t>● 1000-Grundlagenermittlung</t>
        </is>
      </c>
      <c r="C807" s="9" t="inlineStr">
        <is>
          <t>Unbekannt</t>
        </is>
      </c>
      <c r="D807" s="10" t="inlineStr">
        <is>
          <t>⚠ Manual erforderlich</t>
        </is>
      </c>
      <c r="E807" s="11" t="inlineStr"/>
      <c r="F807" s="11" t="n">
        <v>0</v>
      </c>
      <c r="G807" s="11">
        <f>E807-F807</f>
        <v/>
      </c>
      <c r="H807" s="11" t="n">
        <v/>
      </c>
      <c r="I807" s="11" t="n">
        <v/>
      </c>
      <c r="J807" s="11" t="n">
        <v/>
      </c>
      <c r="K807" s="4" t="inlineStr">
        <is>
          <t>Abrechnungsart wählen; Stundensätze eingeben</t>
        </is>
      </c>
    </row>
    <row r="808">
      <c r="A808" s="4" t="inlineStr">
        <is>
          <t>4348 Wingertstraße-21-23-Frankfurt</t>
        </is>
      </c>
      <c r="B808" s="4" t="inlineStr">
        <is>
          <t>● 2000-Vorplanung</t>
        </is>
      </c>
      <c r="C808" s="9" t="inlineStr">
        <is>
          <t>Unbekannt</t>
        </is>
      </c>
      <c r="D808" s="10" t="inlineStr">
        <is>
          <t>⚠ Manual erforderlich</t>
        </is>
      </c>
      <c r="E808" s="11" t="inlineStr"/>
      <c r="F808" s="11" t="n">
        <v>0</v>
      </c>
      <c r="G808" s="11">
        <f>E808-F808</f>
        <v/>
      </c>
      <c r="H808" s="11" t="n">
        <v/>
      </c>
      <c r="I808" s="11" t="n">
        <v/>
      </c>
      <c r="J808" s="11" t="n">
        <v/>
      </c>
      <c r="K808" s="4" t="inlineStr">
        <is>
          <t>Abrechnungsart wählen; Stundensätze eingeben</t>
        </is>
      </c>
    </row>
    <row r="809">
      <c r="A809" s="4" t="inlineStr">
        <is>
          <t>4348 Wingertstraße-21-23-Frankfurt</t>
        </is>
      </c>
      <c r="B809" s="4" t="inlineStr">
        <is>
          <t>● 3000-Entwurfsplanung</t>
        </is>
      </c>
      <c r="C809" s="9" t="inlineStr">
        <is>
          <t>Unbekannt</t>
        </is>
      </c>
      <c r="D809" s="10" t="inlineStr">
        <is>
          <t>⚠ Manual erforderlich</t>
        </is>
      </c>
      <c r="E809" s="11" t="inlineStr"/>
      <c r="F809" s="11" t="n">
        <v>0</v>
      </c>
      <c r="G809" s="11">
        <f>E809-F809</f>
        <v/>
      </c>
      <c r="H809" s="11" t="n">
        <v/>
      </c>
      <c r="I809" s="11" t="n">
        <v/>
      </c>
      <c r="J809" s="11" t="n">
        <v/>
      </c>
      <c r="K809" s="4" t="inlineStr">
        <is>
          <t>Abrechnungsart wählen; Stundensätze eingeben</t>
        </is>
      </c>
    </row>
    <row r="810">
      <c r="A810" s="4" t="inlineStr">
        <is>
          <t>4348 Wingertstraße-21-23-Frankfurt</t>
        </is>
      </c>
      <c r="B810" s="4" t="inlineStr">
        <is>
          <t>● 4000-Genehmigungsplanung</t>
        </is>
      </c>
      <c r="C810" s="9" t="inlineStr">
        <is>
          <t>Unbekannt</t>
        </is>
      </c>
      <c r="D810" s="10" t="inlineStr">
        <is>
          <t>⚠ Manual erforderlich</t>
        </is>
      </c>
      <c r="E810" s="11" t="inlineStr"/>
      <c r="F810" s="11" t="n">
        <v>0</v>
      </c>
      <c r="G810" s="11">
        <f>E810-F810</f>
        <v/>
      </c>
      <c r="H810" s="11" t="n">
        <v/>
      </c>
      <c r="I810" s="11" t="n">
        <v/>
      </c>
      <c r="J810" s="11" t="n">
        <v/>
      </c>
      <c r="K810" s="4" t="inlineStr">
        <is>
          <t>Abrechnungsart wählen; Stundensätze eingeben</t>
        </is>
      </c>
    </row>
    <row r="811">
      <c r="A811" s="4" t="inlineStr">
        <is>
          <t>4348 Wingertstraße-21-23-Frankfurt</t>
        </is>
      </c>
      <c r="B811" s="4" t="inlineStr">
        <is>
          <t>● 7000-Mitwirkung bei der Vergabe</t>
        </is>
      </c>
      <c r="C811" s="9" t="inlineStr">
        <is>
          <t>Unbekannt</t>
        </is>
      </c>
      <c r="D811" s="10" t="inlineStr">
        <is>
          <t>⚠ Manual erforderlich</t>
        </is>
      </c>
      <c r="E811" s="11" t="inlineStr"/>
      <c r="F811" s="11" t="n">
        <v>0</v>
      </c>
      <c r="G811" s="11">
        <f>E811-F811</f>
        <v/>
      </c>
      <c r="H811" s="11" t="n">
        <v/>
      </c>
      <c r="I811" s="11" t="n">
        <v/>
      </c>
      <c r="J811" s="11" t="n">
        <v/>
      </c>
      <c r="K811" s="4" t="inlineStr">
        <is>
          <t>Abrechnungsart wählen; Stundensätze eingeben</t>
        </is>
      </c>
    </row>
    <row r="812">
      <c r="A812" s="4" t="inlineStr">
        <is>
          <t>4348 Wingertstraße-21-23-Frankfurt</t>
        </is>
      </c>
      <c r="B812" s="4" t="inlineStr">
        <is>
          <t>● 8000-Objektüberwachung</t>
        </is>
      </c>
      <c r="C812" s="9" t="inlineStr">
        <is>
          <t>Unbekannt</t>
        </is>
      </c>
      <c r="D812" s="10" t="inlineStr">
        <is>
          <t>⚠ Manual erforderlich</t>
        </is>
      </c>
      <c r="E812" s="11" t="inlineStr"/>
      <c r="F812" s="11" t="n">
        <v>0</v>
      </c>
      <c r="G812" s="11">
        <f>E812-F812</f>
        <v/>
      </c>
      <c r="H812" s="11" t="n">
        <v/>
      </c>
      <c r="I812" s="11" t="n">
        <v/>
      </c>
      <c r="J812" s="11" t="n">
        <v/>
      </c>
      <c r="K812" s="4" t="inlineStr">
        <is>
          <t>Abrechnungsart wählen; Stundensätze eingeben</t>
        </is>
      </c>
    </row>
    <row r="813">
      <c r="A813" s="4" t="inlineStr">
        <is>
          <t>4350 Opernplatz-1-Frankfurt-Alte-Oper</t>
        </is>
      </c>
      <c r="B813" s="4" t="inlineStr">
        <is>
          <t>● 1000-Grundlagenermittlung</t>
        </is>
      </c>
      <c r="C813" s="9" t="inlineStr">
        <is>
          <t>Unbekannt</t>
        </is>
      </c>
      <c r="D813" s="10" t="inlineStr">
        <is>
          <t>⚠ Manual erforderlich</t>
        </is>
      </c>
      <c r="E813" s="11" t="inlineStr"/>
      <c r="F813" s="11" t="n">
        <v>0</v>
      </c>
      <c r="G813" s="11">
        <f>E813-F813</f>
        <v/>
      </c>
      <c r="H813" s="11" t="n">
        <v/>
      </c>
      <c r="I813" s="11" t="n">
        <v/>
      </c>
      <c r="J813" s="11" t="n">
        <v/>
      </c>
      <c r="K813" s="4" t="inlineStr">
        <is>
          <t>Abrechnungsart wählen; Stundensätze eingeben</t>
        </is>
      </c>
    </row>
    <row r="814">
      <c r="A814" s="4" t="inlineStr">
        <is>
          <t>4350 Opernplatz-1-Frankfurt-Alte-Oper</t>
        </is>
      </c>
      <c r="B814" s="4" t="inlineStr">
        <is>
          <t>● 2000-Vorplanung</t>
        </is>
      </c>
      <c r="C814" s="9" t="inlineStr">
        <is>
          <t>Unbekannt</t>
        </is>
      </c>
      <c r="D814" s="10" t="inlineStr">
        <is>
          <t>⚠ Manual erforderlich</t>
        </is>
      </c>
      <c r="E814" s="11" t="inlineStr"/>
      <c r="F814" s="11" t="n">
        <v>0</v>
      </c>
      <c r="G814" s="11">
        <f>E814-F814</f>
        <v/>
      </c>
      <c r="H814" s="11" t="n">
        <v/>
      </c>
      <c r="I814" s="11" t="n">
        <v/>
      </c>
      <c r="J814" s="11" t="n">
        <v/>
      </c>
      <c r="K814" s="4" t="inlineStr">
        <is>
          <t>Abrechnungsart wählen; Stundensätze eingeben</t>
        </is>
      </c>
    </row>
    <row r="815">
      <c r="A815" s="4" t="inlineStr">
        <is>
          <t>4350 Opernplatz-1-Frankfurt-Alte-Oper</t>
        </is>
      </c>
      <c r="B815" s="4" t="inlineStr">
        <is>
          <t>● 3000-Entwurfsplanung</t>
        </is>
      </c>
      <c r="C815" s="9" t="inlineStr">
        <is>
          <t>Unbekannt</t>
        </is>
      </c>
      <c r="D815" s="10" t="inlineStr">
        <is>
          <t>⚠ Manual erforderlich</t>
        </is>
      </c>
      <c r="E815" s="11" t="inlineStr"/>
      <c r="F815" s="11" t="n">
        <v>0</v>
      </c>
      <c r="G815" s="11">
        <f>E815-F815</f>
        <v/>
      </c>
      <c r="H815" s="11" t="n">
        <v/>
      </c>
      <c r="I815" s="11" t="n">
        <v/>
      </c>
      <c r="J815" s="11" t="n">
        <v/>
      </c>
      <c r="K815" s="4" t="inlineStr">
        <is>
          <t>Abrechnungsart wählen; Stundensätze eingeben</t>
        </is>
      </c>
    </row>
    <row r="816">
      <c r="A816" s="4" t="inlineStr">
        <is>
          <t>4350 Opernplatz-1-Frankfurt-Alte-Oper</t>
        </is>
      </c>
      <c r="B816" s="4" t="inlineStr">
        <is>
          <t>● 4000-Genehmigungsplanung</t>
        </is>
      </c>
      <c r="C816" s="9" t="inlineStr">
        <is>
          <t>Unbekannt</t>
        </is>
      </c>
      <c r="D816" s="10" t="inlineStr">
        <is>
          <t>⚠ Manual erforderlich</t>
        </is>
      </c>
      <c r="E816" s="11" t="inlineStr"/>
      <c r="F816" s="11" t="n">
        <v>0</v>
      </c>
      <c r="G816" s="11">
        <f>E816-F816</f>
        <v/>
      </c>
      <c r="H816" s="11" t="n">
        <v/>
      </c>
      <c r="I816" s="11" t="n">
        <v/>
      </c>
      <c r="J816" s="11" t="n">
        <v/>
      </c>
      <c r="K816" s="4" t="inlineStr">
        <is>
          <t>Abrechnungsart wählen; Stundensätze eingeben</t>
        </is>
      </c>
    </row>
    <row r="817">
      <c r="A817" s="4" t="inlineStr">
        <is>
          <t>4350 Opernplatz-1-Frankfurt-Alte-Oper</t>
        </is>
      </c>
      <c r="B817" s="4" t="inlineStr">
        <is>
          <t>● 5000-Ausführungsplanung</t>
        </is>
      </c>
      <c r="C817" s="9" t="inlineStr">
        <is>
          <t>Unbekannt</t>
        </is>
      </c>
      <c r="D817" s="10" t="inlineStr">
        <is>
          <t>⚠ Manual erforderlich</t>
        </is>
      </c>
      <c r="E817" s="11" t="inlineStr"/>
      <c r="F817" s="11" t="n">
        <v>0</v>
      </c>
      <c r="G817" s="11">
        <f>E817-F817</f>
        <v/>
      </c>
      <c r="H817" s="11" t="n">
        <v/>
      </c>
      <c r="I817" s="11" t="n">
        <v/>
      </c>
      <c r="J817" s="11" t="n">
        <v/>
      </c>
      <c r="K817" s="4" t="inlineStr">
        <is>
          <t>Abrechnungsart wählen; Stundensätze eingeben</t>
        </is>
      </c>
    </row>
    <row r="818">
      <c r="A818" s="4" t="inlineStr">
        <is>
          <t>4350 Opernplatz-1-Frankfurt-Alte-Oper</t>
        </is>
      </c>
      <c r="B818" s="4" t="inlineStr">
        <is>
          <t>● 6000-Vorbereiten der Vergabe</t>
        </is>
      </c>
      <c r="C818" s="9" t="inlineStr">
        <is>
          <t>Unbekannt</t>
        </is>
      </c>
      <c r="D818" s="10" t="inlineStr">
        <is>
          <t>⚠ Manual erforderlich</t>
        </is>
      </c>
      <c r="E818" s="11" t="inlineStr"/>
      <c r="F818" s="11" t="n">
        <v>0</v>
      </c>
      <c r="G818" s="11">
        <f>E818-F818</f>
        <v/>
      </c>
      <c r="H818" s="11" t="n">
        <v/>
      </c>
      <c r="I818" s="11" t="n">
        <v/>
      </c>
      <c r="J818" s="11" t="n">
        <v/>
      </c>
      <c r="K818" s="4" t="inlineStr">
        <is>
          <t>Abrechnungsart wählen; Stundensätze eingeben</t>
        </is>
      </c>
    </row>
    <row r="819">
      <c r="A819" s="4" t="inlineStr">
        <is>
          <t>4350 Opernplatz-1-Frankfurt-Alte-Oper</t>
        </is>
      </c>
      <c r="B819" s="4" t="inlineStr">
        <is>
          <t>● 7000-Mitwirkung bei der Vergabe</t>
        </is>
      </c>
      <c r="C819" s="9" t="inlineStr">
        <is>
          <t>Unbekannt</t>
        </is>
      </c>
      <c r="D819" s="10" t="inlineStr">
        <is>
          <t>⚠ Manual erforderlich</t>
        </is>
      </c>
      <c r="E819" s="11" t="inlineStr"/>
      <c r="F819" s="11" t="n">
        <v>0</v>
      </c>
      <c r="G819" s="11">
        <f>E819-F819</f>
        <v/>
      </c>
      <c r="H819" s="11" t="n">
        <v/>
      </c>
      <c r="I819" s="11" t="n">
        <v/>
      </c>
      <c r="J819" s="11" t="n">
        <v/>
      </c>
      <c r="K819" s="4" t="inlineStr">
        <is>
          <t>Abrechnungsart wählen; Stundensätze eingeben</t>
        </is>
      </c>
    </row>
    <row r="820">
      <c r="A820" s="4" t="inlineStr">
        <is>
          <t>4350 Opernplatz-1-Frankfurt-Alte-Oper</t>
        </is>
      </c>
      <c r="B820" s="4" t="inlineStr">
        <is>
          <t>● 8000-Objektüberwachung</t>
        </is>
      </c>
      <c r="C820" s="9" t="inlineStr">
        <is>
          <t>Unbekannt</t>
        </is>
      </c>
      <c r="D820" s="10" t="inlineStr">
        <is>
          <t>⚠ Manual erforderlich</t>
        </is>
      </c>
      <c r="E820" s="11" t="inlineStr"/>
      <c r="F820" s="11" t="n">
        <v>0</v>
      </c>
      <c r="G820" s="11">
        <f>E820-F820</f>
        <v/>
      </c>
      <c r="H820" s="11" t="n">
        <v/>
      </c>
      <c r="I820" s="11" t="n">
        <v/>
      </c>
      <c r="J820" s="11" t="n">
        <v/>
      </c>
      <c r="K820" s="4" t="inlineStr">
        <is>
          <t>Abrechnungsart wählen; Stundensätze eingeben</t>
        </is>
      </c>
    </row>
    <row r="821">
      <c r="A821" s="4" t="inlineStr">
        <is>
          <t>4350 Opernplatz-1-Frankfurt-Alte-Oper</t>
        </is>
      </c>
      <c r="B821" s="4" t="inlineStr">
        <is>
          <t>● 9000-Objektbetreuung und Dokumentation</t>
        </is>
      </c>
      <c r="C821" s="9" t="inlineStr">
        <is>
          <t>Unbekannt</t>
        </is>
      </c>
      <c r="D821" s="10" t="inlineStr">
        <is>
          <t>⚠ Manual erforderlich</t>
        </is>
      </c>
      <c r="E821" s="11" t="inlineStr"/>
      <c r="F821" s="11" t="n">
        <v>0</v>
      </c>
      <c r="G821" s="11">
        <f>E821-F821</f>
        <v/>
      </c>
      <c r="H821" s="11" t="n">
        <v/>
      </c>
      <c r="I821" s="11" t="n">
        <v/>
      </c>
      <c r="J821" s="11" t="n">
        <v/>
      </c>
      <c r="K821" s="4" t="inlineStr">
        <is>
          <t>Abrechnungsart wählen; Stundensätze eingeben</t>
        </is>
      </c>
    </row>
    <row r="822">
      <c r="A822" s="4" t="inlineStr">
        <is>
          <t>4350.06 QBS-Opernplatz-1-Frankfurt-Alte-Oper</t>
        </is>
      </c>
      <c r="B822" s="4" t="inlineStr">
        <is>
          <t>● 4000-Genehmigungsplanung</t>
        </is>
      </c>
      <c r="C822" s="9" t="inlineStr">
        <is>
          <t>Unbekannt</t>
        </is>
      </c>
      <c r="D822" s="10" t="inlineStr">
        <is>
          <t>⚠ Manual erforderlich</t>
        </is>
      </c>
      <c r="E822" s="11" t="inlineStr"/>
      <c r="F822" s="11" t="n">
        <v>0</v>
      </c>
      <c r="G822" s="11">
        <f>E822-F822</f>
        <v/>
      </c>
      <c r="H822" s="11" t="n">
        <v/>
      </c>
      <c r="I822" s="11" t="n">
        <v/>
      </c>
      <c r="J822" s="11" t="n">
        <v/>
      </c>
      <c r="K822" s="4" t="inlineStr">
        <is>
          <t>Abrechnungsart wählen; Stundensätze eingeben</t>
        </is>
      </c>
    </row>
    <row r="823">
      <c r="A823" s="4" t="inlineStr">
        <is>
          <t>4350.06 QBS-Opernplatz-1-Frankfurt-Alte-Oper</t>
        </is>
      </c>
      <c r="B823" s="4" t="inlineStr">
        <is>
          <t>● 5000-Ausführungsplanung</t>
        </is>
      </c>
      <c r="C823" s="9" t="inlineStr">
        <is>
          <t>Unbekannt</t>
        </is>
      </c>
      <c r="D823" s="10" t="inlineStr">
        <is>
          <t>⚠ Manual erforderlich</t>
        </is>
      </c>
      <c r="E823" s="11" t="inlineStr"/>
      <c r="F823" s="11" t="n">
        <v>0</v>
      </c>
      <c r="G823" s="11">
        <f>E823-F823</f>
        <v/>
      </c>
      <c r="H823" s="11" t="n">
        <v/>
      </c>
      <c r="I823" s="11" t="n">
        <v/>
      </c>
      <c r="J823" s="11" t="n">
        <v/>
      </c>
      <c r="K823" s="4" t="inlineStr">
        <is>
          <t>Abrechnungsart wählen; Stundensätze eingeben</t>
        </is>
      </c>
    </row>
    <row r="824">
      <c r="A824" s="4" t="inlineStr">
        <is>
          <t>4350.06 QBS-Opernplatz-1-Frankfurt-Alte-Oper</t>
        </is>
      </c>
      <c r="B824" s="4" t="inlineStr">
        <is>
          <t>● 8000-Objektüberwachung</t>
        </is>
      </c>
      <c r="C824" s="9" t="inlineStr">
        <is>
          <t>Unbekannt</t>
        </is>
      </c>
      <c r="D824" s="10" t="inlineStr">
        <is>
          <t>⚠ Manual erforderlich</t>
        </is>
      </c>
      <c r="E824" s="11" t="inlineStr"/>
      <c r="F824" s="11" t="n">
        <v>0</v>
      </c>
      <c r="G824" s="11">
        <f>E824-F824</f>
        <v/>
      </c>
      <c r="H824" s="11" t="n">
        <v/>
      </c>
      <c r="I824" s="11" t="n">
        <v/>
      </c>
      <c r="J824" s="11" t="n">
        <v/>
      </c>
      <c r="K824" s="4" t="inlineStr">
        <is>
          <t>Abrechnungsart wählen; Stundensätze eingeben</t>
        </is>
      </c>
    </row>
    <row r="825">
      <c r="A825" s="4" t="inlineStr">
        <is>
          <t>4350.11 BSK-Bauphase-BA1-Opernplatz-1-Frankfurt-Alte-Oper</t>
        </is>
      </c>
      <c r="B825" s="4" t="inlineStr">
        <is>
          <t>● 4000-Genehmigungsplanung</t>
        </is>
      </c>
      <c r="C825" s="9" t="inlineStr">
        <is>
          <t>Unbekannt</t>
        </is>
      </c>
      <c r="D825" s="10" t="inlineStr">
        <is>
          <t>⚠ Manual erforderlich</t>
        </is>
      </c>
      <c r="E825" s="11" t="inlineStr"/>
      <c r="F825" s="11" t="n">
        <v>0</v>
      </c>
      <c r="G825" s="11">
        <f>E825-F825</f>
        <v/>
      </c>
      <c r="H825" s="11" t="n">
        <v/>
      </c>
      <c r="I825" s="11" t="n">
        <v/>
      </c>
      <c r="J825" s="11" t="n">
        <v/>
      </c>
      <c r="K825" s="4" t="inlineStr">
        <is>
          <t>Abrechnungsart wählen; Stundensätze eingeben</t>
        </is>
      </c>
    </row>
    <row r="826">
      <c r="A826" s="4" t="inlineStr">
        <is>
          <t>4350.16 Pläne-Opernplatz-1-Frankfurt-Alte-Oper</t>
        </is>
      </c>
      <c r="B826" s="4" t="inlineStr">
        <is>
          <t>● FW-Pläne (pauschal)</t>
        </is>
      </c>
      <c r="C826" s="9" t="inlineStr">
        <is>
          <t>Unbekannt</t>
        </is>
      </c>
      <c r="D826" s="10" t="inlineStr">
        <is>
          <t>⚠ Manual erforderlich</t>
        </is>
      </c>
      <c r="E826" s="11" t="inlineStr"/>
      <c r="F826" s="11" t="n">
        <v>0</v>
      </c>
      <c r="G826" s="11">
        <f>E826-F826</f>
        <v/>
      </c>
      <c r="H826" s="11" t="n">
        <v/>
      </c>
      <c r="I826" s="11" t="n">
        <v/>
      </c>
      <c r="J826" s="11" t="n">
        <v/>
      </c>
      <c r="K826" s="4" t="inlineStr">
        <is>
          <t>Abrechnungsart wählen; Stundensätze eingeben</t>
        </is>
      </c>
    </row>
    <row r="827">
      <c r="A827" s="4" t="inlineStr">
        <is>
          <t>4350.16 Pläne-Opernplatz-1-Frankfurt-Alte-Oper</t>
        </is>
      </c>
      <c r="B827" s="4" t="inlineStr">
        <is>
          <t>● FuR-Pläne (pauschal)</t>
        </is>
      </c>
      <c r="C827" s="9" t="inlineStr">
        <is>
          <t>Unbekannt</t>
        </is>
      </c>
      <c r="D827" s="10" t="inlineStr">
        <is>
          <t>⚠ Manual erforderlich</t>
        </is>
      </c>
      <c r="E827" s="11" t="inlineStr"/>
      <c r="F827" s="11" t="n">
        <v>0</v>
      </c>
      <c r="G827" s="11">
        <f>E827-F827</f>
        <v/>
      </c>
      <c r="H827" s="11" t="n">
        <v/>
      </c>
      <c r="I827" s="11" t="n">
        <v/>
      </c>
      <c r="J827" s="11" t="n">
        <v/>
      </c>
      <c r="K827" s="4" t="inlineStr">
        <is>
          <t>Abrechnungsart wählen; Stundensätze eingeben</t>
        </is>
      </c>
    </row>
    <row r="828">
      <c r="A828" s="4" t="inlineStr">
        <is>
          <t>4350.16 Pläne-Opernplatz-1-Frankfurt-Alte-Oper</t>
        </is>
      </c>
      <c r="B828" s="4" t="inlineStr">
        <is>
          <t>● (p) Pos.1, 2.Absatz Plananpassung inkl. Abstimmung+Ausdruck  150 €/Plan</t>
        </is>
      </c>
      <c r="C828" s="4" t="inlineStr">
        <is>
          <t>Pauschale</t>
        </is>
      </c>
      <c r="D828" s="10" t="inlineStr">
        <is>
          <t>⚠ Manual erforderlich</t>
        </is>
      </c>
      <c r="E828" s="11" t="inlineStr"/>
      <c r="F828" s="11" t="n">
        <v>0</v>
      </c>
      <c r="G828" s="11">
        <f>E828-F828</f>
        <v/>
      </c>
      <c r="H828" s="11" t="n">
        <v/>
      </c>
      <c r="I828" s="11" t="n">
        <v/>
      </c>
      <c r="J828" s="11" t="n">
        <v/>
      </c>
      <c r="K828" s="4" t="inlineStr">
        <is>
          <t>Stundensätze eingeben</t>
        </is>
      </c>
    </row>
    <row r="829">
      <c r="A829" s="4" t="inlineStr">
        <is>
          <t>4350.16 Pläne-Opernplatz-1-Frankfurt-Alte-Oper</t>
        </is>
      </c>
      <c r="B829" s="4" t="inlineStr">
        <is>
          <t>● (p) Pos.2, 2. Absatz FRP Anpassung pro Geschoss inkl. Abstimmung  500 €/Plan</t>
        </is>
      </c>
      <c r="C829" s="4" t="inlineStr">
        <is>
          <t>Pauschale</t>
        </is>
      </c>
      <c r="D829" s="10" t="inlineStr">
        <is>
          <t>⚠ Manual erforderlich</t>
        </is>
      </c>
      <c r="E829" s="11" t="inlineStr"/>
      <c r="F829" s="11" t="n">
        <v>0</v>
      </c>
      <c r="G829" s="11">
        <f>E829-F829</f>
        <v/>
      </c>
      <c r="H829" s="11" t="n">
        <v/>
      </c>
      <c r="I829" s="11" t="n">
        <v/>
      </c>
      <c r="J829" s="11" t="n">
        <v/>
      </c>
      <c r="K829" s="4" t="inlineStr">
        <is>
          <t>Stundensätze eingeben</t>
        </is>
      </c>
    </row>
    <row r="830">
      <c r="A830" s="4" t="inlineStr">
        <is>
          <t>4350.17 BTB-Opernplatz-1-Frankfurt-Alte-Oper</t>
        </is>
      </c>
      <c r="B830" s="4" t="inlineStr">
        <is>
          <t>● Beratung Bestuhlungs-+Möblierungspläne (auf Nachweis)</t>
        </is>
      </c>
      <c r="C830" s="9" t="inlineStr">
        <is>
          <t>Unbekannt</t>
        </is>
      </c>
      <c r="D830" s="10" t="inlineStr">
        <is>
          <t>⚠ Manual erforderlich</t>
        </is>
      </c>
      <c r="E830" s="11" t="inlineStr"/>
      <c r="F830" s="11" t="n">
        <v>0</v>
      </c>
      <c r="G830" s="11">
        <f>E830-F830</f>
        <v/>
      </c>
      <c r="H830" s="11" t="n">
        <v/>
      </c>
      <c r="I830" s="11" t="n">
        <v/>
      </c>
      <c r="J830" s="11" t="n">
        <v/>
      </c>
      <c r="K830" s="4" t="inlineStr">
        <is>
          <t>Abrechnungsart wählen; Stundensätze eingeben</t>
        </is>
      </c>
    </row>
    <row r="831">
      <c r="A831" s="4" t="inlineStr">
        <is>
          <t>4350.17 BTB-Opernplatz-1-Frankfurt-Alte-Oper</t>
        </is>
      </c>
      <c r="B831" s="4" t="inlineStr">
        <is>
          <t>● Erstellen Bestuhlungspläne (auf Nachweis)</t>
        </is>
      </c>
      <c r="C831" s="9" t="inlineStr">
        <is>
          <t>Unbekannt</t>
        </is>
      </c>
      <c r="D831" s="10" t="inlineStr">
        <is>
          <t>⚠ Manual erforderlich</t>
        </is>
      </c>
      <c r="E831" s="11" t="inlineStr"/>
      <c r="F831" s="11" t="n">
        <v>0</v>
      </c>
      <c r="G831" s="11">
        <f>E831-F831</f>
        <v/>
      </c>
      <c r="H831" s="11" t="n">
        <v/>
      </c>
      <c r="I831" s="11" t="n">
        <v/>
      </c>
      <c r="J831" s="11" t="n">
        <v/>
      </c>
      <c r="K831" s="4" t="inlineStr">
        <is>
          <t>Abrechnungsart wählen; Stundensätze eingeben</t>
        </is>
      </c>
    </row>
    <row r="832">
      <c r="A832" s="4" t="inlineStr">
        <is>
          <t>4368.05 BTB-Betrieb-Wilhelm-Epstein-Straße-14-Frankfurt-Bundesbank-Haupthaus</t>
        </is>
      </c>
      <c r="B832" s="4" t="inlineStr">
        <is>
          <t>● 5000-Ausführungsplanung</t>
        </is>
      </c>
      <c r="C832" s="9" t="inlineStr">
        <is>
          <t>Unbekannt</t>
        </is>
      </c>
      <c r="D832" s="10" t="inlineStr">
        <is>
          <t>⚠ Manual erforderlich</t>
        </is>
      </c>
      <c r="E832" s="11" t="inlineStr"/>
      <c r="F832" s="11" t="n">
        <v>0</v>
      </c>
      <c r="G832" s="11">
        <f>E832-F832</f>
        <v/>
      </c>
      <c r="H832" s="11" t="n">
        <v/>
      </c>
      <c r="I832" s="11" t="n">
        <v/>
      </c>
      <c r="J832" s="11" t="n">
        <v/>
      </c>
      <c r="K832" s="4" t="inlineStr">
        <is>
          <t>Abrechnungsart wählen; Stundensätze eingeben</t>
        </is>
      </c>
    </row>
    <row r="833">
      <c r="A833" s="4" t="inlineStr">
        <is>
          <t>4368.07 BTB-Instandhaltung-Wilhelm-Epstein-Straße-14-Frankfurt-Bundesbank-Haupthaus</t>
        </is>
      </c>
      <c r="B833" s="4" t="inlineStr">
        <is>
          <t>● 2000-Vorplanung</t>
        </is>
      </c>
      <c r="C833" s="9" t="inlineStr">
        <is>
          <t>Unbekannt</t>
        </is>
      </c>
      <c r="D833" s="10" t="inlineStr">
        <is>
          <t>⚠ Manual erforderlich</t>
        </is>
      </c>
      <c r="E833" s="11" t="inlineStr"/>
      <c r="F833" s="11" t="n">
        <v>0</v>
      </c>
      <c r="G833" s="11">
        <f>E833-F833</f>
        <v/>
      </c>
      <c r="H833" s="11" t="n">
        <v/>
      </c>
      <c r="I833" s="11" t="n">
        <v/>
      </c>
      <c r="J833" s="11" t="n">
        <v/>
      </c>
      <c r="K833" s="4" t="inlineStr">
        <is>
          <t>Abrechnungsart wählen; Stundensätze eingeben</t>
        </is>
      </c>
    </row>
    <row r="834">
      <c r="A834" s="4" t="inlineStr">
        <is>
          <t>4368.07 BTB-Instandhaltung-Wilhelm-Epstein-Straße-14-Frankfurt-Bundesbank-Haupthaus</t>
        </is>
      </c>
      <c r="B834" s="4" t="inlineStr">
        <is>
          <t>● 3000-Entwurfsplanung</t>
        </is>
      </c>
      <c r="C834" s="9" t="inlineStr">
        <is>
          <t>Unbekannt</t>
        </is>
      </c>
      <c r="D834" s="10" t="inlineStr">
        <is>
          <t>⚠ Manual erforderlich</t>
        </is>
      </c>
      <c r="E834" s="11" t="inlineStr"/>
      <c r="F834" s="11" t="n">
        <v>0</v>
      </c>
      <c r="G834" s="11">
        <f>E834-F834</f>
        <v/>
      </c>
      <c r="H834" s="11" t="n">
        <v/>
      </c>
      <c r="I834" s="11" t="n">
        <v/>
      </c>
      <c r="J834" s="11" t="n">
        <v/>
      </c>
      <c r="K834" s="4" t="inlineStr">
        <is>
          <t>Abrechnungsart wählen; Stundensätze eingeben</t>
        </is>
      </c>
    </row>
    <row r="835">
      <c r="A835" s="4" t="inlineStr">
        <is>
          <t>4368.07 BTB-Instandhaltung-Wilhelm-Epstein-Straße-14-Frankfurt-Bundesbank-Haupthaus</t>
        </is>
      </c>
      <c r="B835" s="4" t="inlineStr">
        <is>
          <t>● 5000-Ausführungsplanung</t>
        </is>
      </c>
      <c r="C835" s="9" t="inlineStr">
        <is>
          <t>Unbekannt</t>
        </is>
      </c>
      <c r="D835" s="10" t="inlineStr">
        <is>
          <t>⚠ Manual erforderlich</t>
        </is>
      </c>
      <c r="E835" s="11" t="inlineStr"/>
      <c r="F835" s="11" t="n">
        <v>0</v>
      </c>
      <c r="G835" s="11">
        <f>E835-F835</f>
        <v/>
      </c>
      <c r="H835" s="11" t="n">
        <v/>
      </c>
      <c r="I835" s="11" t="n">
        <v/>
      </c>
      <c r="J835" s="11" t="n">
        <v/>
      </c>
      <c r="K835" s="4" t="inlineStr">
        <is>
          <t>Abrechnungsart wählen; Stundensätze eingeben</t>
        </is>
      </c>
    </row>
    <row r="836">
      <c r="A836" s="4" t="inlineStr">
        <is>
          <t>4368.07 BTB-Instandhaltung-Wilhelm-Epstein-Straße-14-Frankfurt-Bundesbank-Haupthaus</t>
        </is>
      </c>
      <c r="B836" s="4" t="inlineStr">
        <is>
          <t>● 8000-Objektüberwachung</t>
        </is>
      </c>
      <c r="C836" s="9" t="inlineStr">
        <is>
          <t>Unbekannt</t>
        </is>
      </c>
      <c r="D836" s="10" t="inlineStr">
        <is>
          <t>⚠ Manual erforderlich</t>
        </is>
      </c>
      <c r="E836" s="11" t="inlineStr"/>
      <c r="F836" s="11" t="n">
        <v>0</v>
      </c>
      <c r="G836" s="11">
        <f>E836-F836</f>
        <v/>
      </c>
      <c r="H836" s="11" t="n">
        <v/>
      </c>
      <c r="I836" s="11" t="n">
        <v/>
      </c>
      <c r="J836" s="11" t="n">
        <v/>
      </c>
      <c r="K836" s="4" t="inlineStr">
        <is>
          <t>Abrechnungsart wählen; Stundensätze eingeben</t>
        </is>
      </c>
    </row>
    <row r="837">
      <c r="A837" s="4" t="inlineStr">
        <is>
          <t>4368.09 BTB-Deutsche-Bundesbank-Wilhelm-Epstein-Straße-14-Frankfurt</t>
        </is>
      </c>
      <c r="B837" s="4" t="inlineStr">
        <is>
          <t>● (a.N.) BTB</t>
        </is>
      </c>
      <c r="C837" s="4" t="inlineStr">
        <is>
          <t>Nachweis</t>
        </is>
      </c>
      <c r="D837" s="10" t="inlineStr">
        <is>
          <t>⚠ Manual erforderlich</t>
        </is>
      </c>
      <c r="E837" s="11" t="inlineStr"/>
      <c r="F837" s="11" t="n">
        <v>0</v>
      </c>
      <c r="G837" s="11">
        <f>E837-F837</f>
        <v/>
      </c>
      <c r="H837" s="11" t="n">
        <v/>
      </c>
      <c r="I837" s="11" t="n">
        <v/>
      </c>
      <c r="J837" s="11" t="n">
        <v/>
      </c>
      <c r="K837" s="4" t="inlineStr">
        <is>
          <t>Stundensätze eingeben</t>
        </is>
      </c>
    </row>
    <row r="838">
      <c r="A838" s="4" t="inlineStr">
        <is>
          <t>4368.10 DtBundesbank-BTB-Wilhelm-Epstein-Str14-Frankfurt</t>
        </is>
      </c>
      <c r="B838" s="4" t="inlineStr">
        <is>
          <t>● (aN) Pos. 1 Beratungsleistung Sprinkleranlage</t>
        </is>
      </c>
      <c r="C838" s="4" t="inlineStr">
        <is>
          <t>Nachweis</t>
        </is>
      </c>
      <c r="D838" s="10" t="inlineStr">
        <is>
          <t>⚠ Manual erforderlich</t>
        </is>
      </c>
      <c r="E838" s="11" t="inlineStr"/>
      <c r="F838" s="11" t="n">
        <v>0</v>
      </c>
      <c r="G838" s="11">
        <f>E838-F838</f>
        <v/>
      </c>
      <c r="H838" s="11" t="n">
        <v/>
      </c>
      <c r="I838" s="11" t="n">
        <v/>
      </c>
      <c r="J838" s="11" t="n">
        <v/>
      </c>
      <c r="K838" s="4" t="inlineStr">
        <is>
          <t>Stundensätze eingeben</t>
        </is>
      </c>
    </row>
    <row r="839">
      <c r="A839" s="4" t="inlineStr">
        <is>
          <t>4374.04 CB-tec-Revision-BSO-FRP-FWP-Gutenbergstr12-Ungerhausen</t>
        </is>
      </c>
      <c r="B839" s="4" t="inlineStr">
        <is>
          <t>● (aN) Pos. 1 Ortstermin und Sichtung der vorhandenen Unterlagen</t>
        </is>
      </c>
      <c r="C839" s="4" t="inlineStr">
        <is>
          <t>Nachweis</t>
        </is>
      </c>
      <c r="D839" s="10" t="inlineStr">
        <is>
          <t>⚠ Manual erforderlich</t>
        </is>
      </c>
      <c r="E839" s="11" t="inlineStr"/>
      <c r="F839" s="11" t="n">
        <v>0</v>
      </c>
      <c r="G839" s="11">
        <f>E839-F839</f>
        <v/>
      </c>
      <c r="H839" s="11" t="n">
        <v/>
      </c>
      <c r="I839" s="11" t="n">
        <v/>
      </c>
      <c r="J839" s="11" t="n">
        <v/>
      </c>
      <c r="K839" s="4" t="inlineStr">
        <is>
          <t>Stundensätze eingeben</t>
        </is>
      </c>
    </row>
    <row r="840">
      <c r="A840" s="4" t="inlineStr">
        <is>
          <t>4374.04 CB-tec-Revision-BSO-FRP-FWP-Gutenbergstr12-Ungerhausen</t>
        </is>
      </c>
      <c r="B840" s="4" t="inlineStr">
        <is>
          <t>● (aN) Pos. 2 Revision der Feuerwehrpläne</t>
        </is>
      </c>
      <c r="C840" s="4" t="inlineStr">
        <is>
          <t>Nachweis</t>
        </is>
      </c>
      <c r="D840" s="10" t="inlineStr">
        <is>
          <t>⚠ Manual erforderlich</t>
        </is>
      </c>
      <c r="E840" s="11" t="inlineStr"/>
      <c r="F840" s="11" t="n">
        <v>0</v>
      </c>
      <c r="G840" s="11">
        <f>E840-F840</f>
        <v/>
      </c>
      <c r="H840" s="11" t="n">
        <v/>
      </c>
      <c r="I840" s="11" t="n">
        <v/>
      </c>
      <c r="J840" s="11" t="n">
        <v/>
      </c>
      <c r="K840" s="4" t="inlineStr">
        <is>
          <t>Stundensätze eingeben</t>
        </is>
      </c>
    </row>
    <row r="841">
      <c r="A841" s="4" t="inlineStr">
        <is>
          <t>4374.04 CB-tec-Revision-BSO-FRP-FWP-Gutenbergstr12-Ungerhausen</t>
        </is>
      </c>
      <c r="B841" s="4" t="inlineStr">
        <is>
          <t>● (aN) Pos. 3 Revision der Flucht- und Rettungspläne</t>
        </is>
      </c>
      <c r="C841" s="4" t="inlineStr">
        <is>
          <t>Nachweis</t>
        </is>
      </c>
      <c r="D841" s="10" t="inlineStr">
        <is>
          <t>⚠ Manual erforderlich</t>
        </is>
      </c>
      <c r="E841" s="11" t="inlineStr"/>
      <c r="F841" s="11" t="n">
        <v>0</v>
      </c>
      <c r="G841" s="11">
        <f>E841-F841</f>
        <v/>
      </c>
      <c r="H841" s="11" t="n">
        <v/>
      </c>
      <c r="I841" s="11" t="n">
        <v/>
      </c>
      <c r="J841" s="11" t="n">
        <v/>
      </c>
      <c r="K841" s="4" t="inlineStr">
        <is>
          <t>Stundensätze eingeben</t>
        </is>
      </c>
    </row>
    <row r="842">
      <c r="A842" s="4" t="inlineStr">
        <is>
          <t>4374.04 CB-tec-Revision-BSO-FRP-FWP-Gutenbergstr12-Ungerhausen</t>
        </is>
      </c>
      <c r="B842" s="4" t="inlineStr">
        <is>
          <t>● (aN) Pos. 4 Revision der Brandschutzordnung</t>
        </is>
      </c>
      <c r="C842" s="4" t="inlineStr">
        <is>
          <t>Nachweis</t>
        </is>
      </c>
      <c r="D842" s="10" t="inlineStr">
        <is>
          <t>⚠ Manual erforderlich</t>
        </is>
      </c>
      <c r="E842" s="11" t="inlineStr"/>
      <c r="F842" s="11" t="n">
        <v>0</v>
      </c>
      <c r="G842" s="11">
        <f>E842-F842</f>
        <v/>
      </c>
      <c r="H842" s="11" t="n">
        <v/>
      </c>
      <c r="I842" s="11" t="n">
        <v/>
      </c>
      <c r="J842" s="11" t="n">
        <v/>
      </c>
      <c r="K842" s="4" t="inlineStr">
        <is>
          <t>Stundensätze eingeben</t>
        </is>
      </c>
    </row>
    <row r="843">
      <c r="A843" s="4" t="inlineStr">
        <is>
          <t>4374.04 CB-tec-Revision-BSO-FRP-FWP-Gutenbergstr12-Ungerhausen</t>
        </is>
      </c>
      <c r="B843" s="4" t="inlineStr">
        <is>
          <t>● (aN) Pos. 5 Optional: Zusätzliche Beratungsleistungen auf Nachweis</t>
        </is>
      </c>
      <c r="C843" s="4" t="inlineStr">
        <is>
          <t>Nachweis</t>
        </is>
      </c>
      <c r="D843" s="10" t="inlineStr">
        <is>
          <t>⚠ Manual erforderlich</t>
        </is>
      </c>
      <c r="E843" s="11" t="inlineStr"/>
      <c r="F843" s="11" t="n">
        <v>0</v>
      </c>
      <c r="G843" s="11">
        <f>E843-F843</f>
        <v/>
      </c>
      <c r="H843" s="11" t="n">
        <v/>
      </c>
      <c r="I843" s="11" t="n">
        <v/>
      </c>
      <c r="J843" s="11" t="n">
        <v/>
      </c>
      <c r="K843" s="4" t="inlineStr">
        <is>
          <t>Stundensätze eingeben</t>
        </is>
      </c>
    </row>
    <row r="844">
      <c r="A844" s="4" t="inlineStr">
        <is>
          <t>4378.01 Brandfallmatrix-Schwannstraße-10-Düsseldorf</t>
        </is>
      </c>
      <c r="B844" s="4" t="inlineStr">
        <is>
          <t>● 5000-Ausführungsplanung</t>
        </is>
      </c>
      <c r="C844" s="9" t="inlineStr">
        <is>
          <t>Unbekannt</t>
        </is>
      </c>
      <c r="D844" s="10" t="inlineStr">
        <is>
          <t>⚠ Manual erforderlich</t>
        </is>
      </c>
      <c r="E844" s="11" t="inlineStr"/>
      <c r="F844" s="11" t="n">
        <v>0</v>
      </c>
      <c r="G844" s="11">
        <f>E844-F844</f>
        <v/>
      </c>
      <c r="H844" s="11" t="n">
        <v/>
      </c>
      <c r="I844" s="11" t="n">
        <v/>
      </c>
      <c r="J844" s="11" t="n">
        <v/>
      </c>
      <c r="K844" s="4" t="inlineStr">
        <is>
          <t>Abrechnungsart wählen; Stundensätze eingeben</t>
        </is>
      </c>
    </row>
    <row r="845">
      <c r="A845" s="4" t="inlineStr">
        <is>
          <t>4386.06 BA1-BSK-Krankenhausstraße-70-Pfaffenhofen-Ilmtalklinik</t>
        </is>
      </c>
      <c r="B845" s="4" t="inlineStr">
        <is>
          <t>● 1000-Grundlagenermittlung</t>
        </is>
      </c>
      <c r="C845" s="9" t="inlineStr">
        <is>
          <t>Unbekannt</t>
        </is>
      </c>
      <c r="D845" s="10" t="inlineStr">
        <is>
          <t>⚠ Manual erforderlich</t>
        </is>
      </c>
      <c r="E845" s="11" t="inlineStr"/>
      <c r="F845" s="11" t="n">
        <v>0</v>
      </c>
      <c r="G845" s="11">
        <f>E845-F845</f>
        <v/>
      </c>
      <c r="H845" s="11" t="n">
        <v/>
      </c>
      <c r="I845" s="11" t="n">
        <v/>
      </c>
      <c r="J845" s="11" t="n">
        <v/>
      </c>
      <c r="K845" s="4" t="inlineStr">
        <is>
          <t>Abrechnungsart wählen; Stundensätze eingeben</t>
        </is>
      </c>
    </row>
    <row r="846">
      <c r="A846" s="4" t="inlineStr">
        <is>
          <t>4386.06 BA1-BSK-Krankenhausstraße-70-Pfaffenhofen-Ilmtalklinik</t>
        </is>
      </c>
      <c r="B846" s="4" t="inlineStr">
        <is>
          <t>● 2000-Vorplanung</t>
        </is>
      </c>
      <c r="C846" s="9" t="inlineStr">
        <is>
          <t>Unbekannt</t>
        </is>
      </c>
      <c r="D846" s="10" t="inlineStr">
        <is>
          <t>⚠ Manual erforderlich</t>
        </is>
      </c>
      <c r="E846" s="11" t="inlineStr"/>
      <c r="F846" s="11" t="n">
        <v>0</v>
      </c>
      <c r="G846" s="11">
        <f>E846-F846</f>
        <v/>
      </c>
      <c r="H846" s="11" t="n">
        <v/>
      </c>
      <c r="I846" s="11" t="n">
        <v/>
      </c>
      <c r="J846" s="11" t="n">
        <v/>
      </c>
      <c r="K846" s="4" t="inlineStr">
        <is>
          <t>Abrechnungsart wählen; Stundensätze eingeben</t>
        </is>
      </c>
    </row>
    <row r="847">
      <c r="A847" s="4" t="inlineStr">
        <is>
          <t>4386.06 BA1-BSK-Krankenhausstraße-70-Pfaffenhofen-Ilmtalklinik</t>
        </is>
      </c>
      <c r="B847" s="4" t="inlineStr">
        <is>
          <t>● 3000-Entwurfsplanung</t>
        </is>
      </c>
      <c r="C847" s="9" t="inlineStr">
        <is>
          <t>Unbekannt</t>
        </is>
      </c>
      <c r="D847" s="10" t="inlineStr">
        <is>
          <t>⚠ Manual erforderlich</t>
        </is>
      </c>
      <c r="E847" s="11" t="inlineStr"/>
      <c r="F847" s="11" t="n">
        <v>0</v>
      </c>
      <c r="G847" s="11">
        <f>E847-F847</f>
        <v/>
      </c>
      <c r="H847" s="11" t="n">
        <v/>
      </c>
      <c r="I847" s="11" t="n">
        <v/>
      </c>
      <c r="J847" s="11" t="n">
        <v/>
      </c>
      <c r="K847" s="4" t="inlineStr">
        <is>
          <t>Abrechnungsart wählen; Stundensätze eingeben</t>
        </is>
      </c>
    </row>
    <row r="848">
      <c r="A848" s="4" t="inlineStr">
        <is>
          <t>4386.06 BA1-BSK-Krankenhausstraße-70-Pfaffenhofen-Ilmtalklinik</t>
        </is>
      </c>
      <c r="B848" s="4" t="inlineStr">
        <is>
          <t>● 4000-Genehmigungsplanung</t>
        </is>
      </c>
      <c r="C848" s="9" t="inlineStr">
        <is>
          <t>Unbekannt</t>
        </is>
      </c>
      <c r="D848" s="10" t="inlineStr">
        <is>
          <t>⚠ Manual erforderlich</t>
        </is>
      </c>
      <c r="E848" s="11" t="inlineStr"/>
      <c r="F848" s="11" t="n">
        <v>0</v>
      </c>
      <c r="G848" s="11">
        <f>E848-F848</f>
        <v/>
      </c>
      <c r="H848" s="11" t="n">
        <v/>
      </c>
      <c r="I848" s="11" t="n">
        <v/>
      </c>
      <c r="J848" s="11" t="n">
        <v/>
      </c>
      <c r="K848" s="4" t="inlineStr">
        <is>
          <t>Abrechnungsart wählen; Stundensätze eingeben</t>
        </is>
      </c>
    </row>
    <row r="849">
      <c r="A849" s="4" t="inlineStr">
        <is>
          <t>4386.06 BA1-BSK-Krankenhausstraße-70-Pfaffenhofen-Ilmtalklinik</t>
        </is>
      </c>
      <c r="B849" s="4" t="inlineStr">
        <is>
          <t>● 5000-Ausführungsplanung</t>
        </is>
      </c>
      <c r="C849" s="9" t="inlineStr">
        <is>
          <t>Unbekannt</t>
        </is>
      </c>
      <c r="D849" s="10" t="inlineStr">
        <is>
          <t>⚠ Manual erforderlich</t>
        </is>
      </c>
      <c r="E849" s="11" t="inlineStr"/>
      <c r="F849" s="11" t="n">
        <v>0</v>
      </c>
      <c r="G849" s="11">
        <f>E849-F849</f>
        <v/>
      </c>
      <c r="H849" s="11" t="n">
        <v/>
      </c>
      <c r="I849" s="11" t="n">
        <v/>
      </c>
      <c r="J849" s="11" t="n">
        <v/>
      </c>
      <c r="K849" s="4" t="inlineStr">
        <is>
          <t>Abrechnungsart wählen; Stundensätze eingeben</t>
        </is>
      </c>
    </row>
    <row r="850">
      <c r="A850" s="4" t="inlineStr">
        <is>
          <t>4386.06 BA1-BSK-Krankenhausstraße-70-Pfaffenhofen-Ilmtalklinik</t>
        </is>
      </c>
      <c r="B850" s="4" t="inlineStr">
        <is>
          <t>● (aN) Pos.3 - Beratungsleistung über Meilenstein 8000: 20 h SV á 95€</t>
        </is>
      </c>
      <c r="C850" s="4" t="inlineStr">
        <is>
          <t>Nachweis</t>
        </is>
      </c>
      <c r="D850" s="10" t="inlineStr">
        <is>
          <t>⚠ Manual erforderlich</t>
        </is>
      </c>
      <c r="E850" s="11" t="inlineStr"/>
      <c r="F850" s="11" t="n">
        <v>0</v>
      </c>
      <c r="G850" s="11">
        <f>E850-F850</f>
        <v/>
      </c>
      <c r="H850" s="11" t="n">
        <v/>
      </c>
      <c r="I850" s="11" t="n">
        <v/>
      </c>
      <c r="J850" s="11" t="n">
        <v/>
      </c>
      <c r="K850" s="4" t="inlineStr">
        <is>
          <t>Stundensätze eingeben</t>
        </is>
      </c>
    </row>
    <row r="851">
      <c r="A851" s="4" t="inlineStr">
        <is>
          <t>4386.06 BA1-BSK-Krankenhausstraße-70-Pfaffenhofen-Ilmtalklinik</t>
        </is>
      </c>
      <c r="B851" s="4" t="inlineStr">
        <is>
          <t>● (aN) Pos.3 -Zeichenleistungen über Meilenstein 8000:  5 h CAD á 70€</t>
        </is>
      </c>
      <c r="C851" s="4" t="inlineStr">
        <is>
          <t>Nachweis</t>
        </is>
      </c>
      <c r="D851" s="10" t="inlineStr">
        <is>
          <t>⚠ Manual erforderlich</t>
        </is>
      </c>
      <c r="E851" s="11" t="inlineStr"/>
      <c r="F851" s="11" t="n">
        <v>0</v>
      </c>
      <c r="G851" s="11">
        <f>E851-F851</f>
        <v/>
      </c>
      <c r="H851" s="11" t="n">
        <v/>
      </c>
      <c r="I851" s="11" t="n">
        <v/>
      </c>
      <c r="J851" s="11" t="n">
        <v/>
      </c>
      <c r="K851" s="4" t="inlineStr">
        <is>
          <t>Stundensätze eingeben</t>
        </is>
      </c>
    </row>
    <row r="852">
      <c r="A852" s="4" t="inlineStr">
        <is>
          <t>4386.07 BA2-5-BSK-Krankenhausstraße-70-Pfaffenhofen-Ilmtalklinik</t>
        </is>
      </c>
      <c r="B852" s="4" t="inlineStr">
        <is>
          <t>● 1000-Grundlagenermittlung</t>
        </is>
      </c>
      <c r="C852" s="9" t="inlineStr">
        <is>
          <t>Unbekannt</t>
        </is>
      </c>
      <c r="D852" s="10" t="inlineStr">
        <is>
          <t>⚠ Manual erforderlich</t>
        </is>
      </c>
      <c r="E852" s="11" t="inlineStr"/>
      <c r="F852" s="11" t="n">
        <v>0</v>
      </c>
      <c r="G852" s="11">
        <f>E852-F852</f>
        <v/>
      </c>
      <c r="H852" s="11" t="n">
        <v/>
      </c>
      <c r="I852" s="11" t="n">
        <v/>
      </c>
      <c r="J852" s="11" t="n">
        <v/>
      </c>
      <c r="K852" s="4" t="inlineStr">
        <is>
          <t>Abrechnungsart wählen; Stundensätze eingeben</t>
        </is>
      </c>
    </row>
    <row r="853">
      <c r="A853" s="4" t="inlineStr">
        <is>
          <t>4386.07 BA2-5-BSK-Krankenhausstraße-70-Pfaffenhofen-Ilmtalklinik</t>
        </is>
      </c>
      <c r="B853" s="4" t="inlineStr">
        <is>
          <t>● 2000-Vorplanung</t>
        </is>
      </c>
      <c r="C853" s="9" t="inlineStr">
        <is>
          <t>Unbekannt</t>
        </is>
      </c>
      <c r="D853" s="10" t="inlineStr">
        <is>
          <t>⚠ Manual erforderlich</t>
        </is>
      </c>
      <c r="E853" s="11" t="inlineStr"/>
      <c r="F853" s="11" t="n">
        <v>0</v>
      </c>
      <c r="G853" s="11">
        <f>E853-F853</f>
        <v/>
      </c>
      <c r="H853" s="11" t="n">
        <v/>
      </c>
      <c r="I853" s="11" t="n">
        <v/>
      </c>
      <c r="J853" s="11" t="n">
        <v/>
      </c>
      <c r="K853" s="4" t="inlineStr">
        <is>
          <t>Abrechnungsart wählen; Stundensätze eingeben</t>
        </is>
      </c>
    </row>
    <row r="854">
      <c r="A854" s="4" t="inlineStr">
        <is>
          <t>4386.07 BA2-5-BSK-Krankenhausstraße-70-Pfaffenhofen-Ilmtalklinik</t>
        </is>
      </c>
      <c r="B854" s="4" t="inlineStr">
        <is>
          <t>● 3000-Entwurfsplanung</t>
        </is>
      </c>
      <c r="C854" s="9" t="inlineStr">
        <is>
          <t>Unbekannt</t>
        </is>
      </c>
      <c r="D854" s="10" t="inlineStr">
        <is>
          <t>⚠ Manual erforderlich</t>
        </is>
      </c>
      <c r="E854" s="11" t="inlineStr"/>
      <c r="F854" s="11" t="n">
        <v>0</v>
      </c>
      <c r="G854" s="11">
        <f>E854-F854</f>
        <v/>
      </c>
      <c r="H854" s="11" t="n">
        <v/>
      </c>
      <c r="I854" s="11" t="n">
        <v/>
      </c>
      <c r="J854" s="11" t="n">
        <v/>
      </c>
      <c r="K854" s="4" t="inlineStr">
        <is>
          <t>Abrechnungsart wählen; Stundensätze eingeben</t>
        </is>
      </c>
    </row>
    <row r="855">
      <c r="A855" s="4" t="inlineStr">
        <is>
          <t>4386.07 BA2-5-BSK-Krankenhausstraße-70-Pfaffenhofen-Ilmtalklinik</t>
        </is>
      </c>
      <c r="B855" s="4" t="inlineStr">
        <is>
          <t>● 4000-Genehmigungsplanung</t>
        </is>
      </c>
      <c r="C855" s="9" t="inlineStr">
        <is>
          <t>Unbekannt</t>
        </is>
      </c>
      <c r="D855" s="10" t="inlineStr">
        <is>
          <t>⚠ Manual erforderlich</t>
        </is>
      </c>
      <c r="E855" s="11" t="inlineStr"/>
      <c r="F855" s="11" t="n">
        <v>0</v>
      </c>
      <c r="G855" s="11">
        <f>E855-F855</f>
        <v/>
      </c>
      <c r="H855" s="11" t="n">
        <v/>
      </c>
      <c r="I855" s="11" t="n">
        <v/>
      </c>
      <c r="J855" s="11" t="n">
        <v/>
      </c>
      <c r="K855" s="4" t="inlineStr">
        <is>
          <t>Abrechnungsart wählen; Stundensätze eingeben</t>
        </is>
      </c>
    </row>
    <row r="856">
      <c r="A856" s="4" t="inlineStr">
        <is>
          <t>4386.07 BA2-5-BSK-Krankenhausstraße-70-Pfaffenhofen-Ilmtalklinik</t>
        </is>
      </c>
      <c r="B856" s="4" t="inlineStr">
        <is>
          <t>● (aN) Pos.3 - Beratungsleistung über Meilenstein 8000</t>
        </is>
      </c>
      <c r="C856" s="4" t="inlineStr">
        <is>
          <t>Nachweis</t>
        </is>
      </c>
      <c r="D856" s="10" t="inlineStr">
        <is>
          <t>⚠ Manual erforderlich</t>
        </is>
      </c>
      <c r="E856" s="11" t="inlineStr"/>
      <c r="F856" s="11" t="n">
        <v>0</v>
      </c>
      <c r="G856" s="11">
        <f>E856-F856</f>
        <v/>
      </c>
      <c r="H856" s="11" t="n">
        <v/>
      </c>
      <c r="I856" s="11" t="n">
        <v/>
      </c>
      <c r="J856" s="11" t="n">
        <v/>
      </c>
      <c r="K856" s="4" t="inlineStr">
        <is>
          <t>Stundensätze eingeben</t>
        </is>
      </c>
    </row>
    <row r="857">
      <c r="A857" s="4" t="inlineStr">
        <is>
          <t>4386.07 BA2-5-BSK-Krankenhausstraße-70-Pfaffenhofen-Ilmtalklinik</t>
        </is>
      </c>
      <c r="B857" s="4" t="inlineStr">
        <is>
          <t>● (aN) Pos.3 - Zeichenleistungen über Meilenstein 8000</t>
        </is>
      </c>
      <c r="C857" s="4" t="inlineStr">
        <is>
          <t>Nachweis</t>
        </is>
      </c>
      <c r="D857" s="10" t="inlineStr">
        <is>
          <t>⚠ Manual erforderlich</t>
        </is>
      </c>
      <c r="E857" s="11" t="inlineStr"/>
      <c r="F857" s="11" t="n">
        <v>0</v>
      </c>
      <c r="G857" s="11">
        <f>E857-F857</f>
        <v/>
      </c>
      <c r="H857" s="11" t="n">
        <v/>
      </c>
      <c r="I857" s="11" t="n">
        <v/>
      </c>
      <c r="J857" s="11" t="n">
        <v/>
      </c>
      <c r="K857" s="4" t="inlineStr">
        <is>
          <t>Stundensätze eingeben</t>
        </is>
      </c>
    </row>
    <row r="858">
      <c r="A858" s="4" t="inlineStr">
        <is>
          <t>4386.08 OrgBSK-Krankenhausstraße-70-Pfaffenhofen-Ilmtalklinik</t>
        </is>
      </c>
      <c r="B858" s="4" t="inlineStr">
        <is>
          <t>● 2000-Vorplanung</t>
        </is>
      </c>
      <c r="C858" s="9" t="inlineStr">
        <is>
          <t>Unbekannt</t>
        </is>
      </c>
      <c r="D858" s="10" t="inlineStr">
        <is>
          <t>⚠ Manual erforderlich</t>
        </is>
      </c>
      <c r="E858" s="11" t="inlineStr"/>
      <c r="F858" s="11" t="n">
        <v>0</v>
      </c>
      <c r="G858" s="11">
        <f>E858-F858</f>
        <v/>
      </c>
      <c r="H858" s="11" t="n">
        <v/>
      </c>
      <c r="I858" s="11" t="n">
        <v/>
      </c>
      <c r="J858" s="11" t="n">
        <v/>
      </c>
      <c r="K858" s="4" t="inlineStr">
        <is>
          <t>Abrechnungsart wählen; Stundensätze eingeben</t>
        </is>
      </c>
    </row>
    <row r="859">
      <c r="A859" s="4" t="inlineStr">
        <is>
          <t>4386.08 OrgBSK-Krankenhausstraße-70-Pfaffenhofen-Ilmtalklinik</t>
        </is>
      </c>
      <c r="B859" s="4" t="inlineStr">
        <is>
          <t>● 3000-Entwurfsplanung</t>
        </is>
      </c>
      <c r="C859" s="9" t="inlineStr">
        <is>
          <t>Unbekannt</t>
        </is>
      </c>
      <c r="D859" s="10" t="inlineStr">
        <is>
          <t>⚠ Manual erforderlich</t>
        </is>
      </c>
      <c r="E859" s="11" t="inlineStr"/>
      <c r="F859" s="11" t="n">
        <v>0</v>
      </c>
      <c r="G859" s="11">
        <f>E859-F859</f>
        <v/>
      </c>
      <c r="H859" s="11" t="n">
        <v/>
      </c>
      <c r="I859" s="11" t="n">
        <v/>
      </c>
      <c r="J859" s="11" t="n">
        <v/>
      </c>
      <c r="K859" s="4" t="inlineStr">
        <is>
          <t>Abrechnungsart wählen; Stundensätze eingeben</t>
        </is>
      </c>
    </row>
    <row r="860">
      <c r="A860" s="4" t="inlineStr">
        <is>
          <t>4386.08 OrgBSK-Krankenhausstraße-70-Pfaffenhofen-Ilmtalklinik</t>
        </is>
      </c>
      <c r="B860" s="4" t="inlineStr">
        <is>
          <t>● 5000-Ausführungsplanung</t>
        </is>
      </c>
      <c r="C860" s="9" t="inlineStr">
        <is>
          <t>Unbekannt</t>
        </is>
      </c>
      <c r="D860" s="10" t="inlineStr">
        <is>
          <t>⚠ Manual erforderlich</t>
        </is>
      </c>
      <c r="E860" s="11" t="inlineStr"/>
      <c r="F860" s="11" t="n">
        <v>0</v>
      </c>
      <c r="G860" s="11">
        <f>E860-F860</f>
        <v/>
      </c>
      <c r="H860" s="11" t="n">
        <v/>
      </c>
      <c r="I860" s="11" t="n">
        <v/>
      </c>
      <c r="J860" s="11" t="n">
        <v/>
      </c>
      <c r="K860" s="4" t="inlineStr">
        <is>
          <t>Abrechnungsart wählen; Stundensätze eingeben</t>
        </is>
      </c>
    </row>
    <row r="861">
      <c r="A861" s="4" t="inlineStr">
        <is>
          <t>4386.08 OrgBSK-Krankenhausstraße-70-Pfaffenhofen-Ilmtalklinik</t>
        </is>
      </c>
      <c r="B861" s="4" t="inlineStr">
        <is>
          <t>● (aN) NAT 01</t>
        </is>
      </c>
      <c r="C861" s="4" t="inlineStr">
        <is>
          <t>Nachweis</t>
        </is>
      </c>
      <c r="D861" s="10" t="inlineStr">
        <is>
          <t>⚠ Manual erforderlich</t>
        </is>
      </c>
      <c r="E861" s="11" t="inlineStr"/>
      <c r="F861" s="11" t="n">
        <v>0</v>
      </c>
      <c r="G861" s="11">
        <f>E861-F861</f>
        <v/>
      </c>
      <c r="H861" s="11" t="n">
        <v/>
      </c>
      <c r="I861" s="11" t="n">
        <v/>
      </c>
      <c r="J861" s="11" t="n">
        <v/>
      </c>
      <c r="K861" s="4" t="inlineStr">
        <is>
          <t>Stundensätze eingeben</t>
        </is>
      </c>
    </row>
    <row r="862">
      <c r="A862" s="4" t="inlineStr">
        <is>
          <t>4399.01 Hugo-Boss-AHO-NeubauH2-Dieselstr12-Metzingen</t>
        </is>
      </c>
      <c r="B862" s="4" t="inlineStr">
        <is>
          <t>● Stufe I</t>
        </is>
      </c>
      <c r="C862" s="9" t="inlineStr">
        <is>
          <t>Unbekannt</t>
        </is>
      </c>
      <c r="D862" s="10" t="inlineStr">
        <is>
          <t>⚠ Manual erforderlich</t>
        </is>
      </c>
      <c r="E862" s="11" t="inlineStr"/>
      <c r="F862" s="11" t="n">
        <v>0</v>
      </c>
      <c r="G862" s="11">
        <f>E862-F862</f>
        <v/>
      </c>
      <c r="H862" s="11" t="n">
        <v/>
      </c>
      <c r="I862" s="11" t="n">
        <v/>
      </c>
      <c r="J862" s="11" t="n">
        <v/>
      </c>
      <c r="K862" s="4" t="inlineStr">
        <is>
          <t>Abrechnungsart wählen; Stundensätze eingeben</t>
        </is>
      </c>
    </row>
    <row r="863">
      <c r="A863" s="4" t="inlineStr">
        <is>
          <t>4399.01 Hugo-Boss-AHO-NeubauH2-Dieselstr12-Metzingen</t>
        </is>
      </c>
      <c r="B863" s="4" t="inlineStr">
        <is>
          <t>● Stufe II</t>
        </is>
      </c>
      <c r="C863" s="9" t="inlineStr">
        <is>
          <t>Unbekannt</t>
        </is>
      </c>
      <c r="D863" s="10" t="inlineStr">
        <is>
          <t>⚠ Manual erforderlich</t>
        </is>
      </c>
      <c r="E863" s="11" t="inlineStr"/>
      <c r="F863" s="11" t="n">
        <v>0</v>
      </c>
      <c r="G863" s="11">
        <f>E863-F863</f>
        <v/>
      </c>
      <c r="H863" s="11" t="n">
        <v/>
      </c>
      <c r="I863" s="11" t="n">
        <v/>
      </c>
      <c r="J863" s="11" t="n">
        <v/>
      </c>
      <c r="K863" s="4" t="inlineStr">
        <is>
          <t>Abrechnungsart wählen; Stundensätze eingeben</t>
        </is>
      </c>
    </row>
    <row r="864">
      <c r="A864" s="4" t="inlineStr">
        <is>
          <t>4399.02 blocher-FortschrBSK-Hugo-Boss-H2-NB-Verwaltungsgeb-Dieselstr12-Metzingen</t>
        </is>
      </c>
      <c r="B864" s="4" t="inlineStr">
        <is>
          <t>● (aN) Pos. 1 Fortschreibung Brandschutzkonzept</t>
        </is>
      </c>
      <c r="C864" s="4" t="inlineStr">
        <is>
          <t>Nachweis</t>
        </is>
      </c>
      <c r="D864" s="10" t="inlineStr">
        <is>
          <t>⚠ Manual erforderlich</t>
        </is>
      </c>
      <c r="E864" s="11" t="inlineStr"/>
      <c r="F864" s="11" t="n">
        <v>0</v>
      </c>
      <c r="G864" s="11">
        <f>E864-F864</f>
        <v/>
      </c>
      <c r="H864" s="11" t="n">
        <v/>
      </c>
      <c r="I864" s="11" t="n">
        <v/>
      </c>
      <c r="J864" s="11" t="n">
        <v/>
      </c>
      <c r="K864" s="4" t="inlineStr">
        <is>
          <t>Stundensätze eingeben</t>
        </is>
      </c>
    </row>
    <row r="865">
      <c r="A865" s="4" t="inlineStr">
        <is>
          <t>4399.03 blocher-QBS-Hugo-Boss-Dieselstr12-Metzingen</t>
        </is>
      </c>
      <c r="B865" s="4" t="inlineStr">
        <is>
          <t>● (p)Pos. 1 Qualitative Brandfallsteuermatrix</t>
        </is>
      </c>
      <c r="C865" s="4" t="inlineStr">
        <is>
          <t>Pauschale</t>
        </is>
      </c>
      <c r="D865" s="10" t="inlineStr">
        <is>
          <t>⚠ Manual erforderlich</t>
        </is>
      </c>
      <c r="E865" s="11" t="inlineStr"/>
      <c r="F865" s="11" t="n">
        <v>0</v>
      </c>
      <c r="G865" s="11">
        <f>E865-F865</f>
        <v/>
      </c>
      <c r="H865" s="11" t="n">
        <v>0</v>
      </c>
      <c r="I865" s="11" t="n">
        <v>0</v>
      </c>
      <c r="J865" s="11" t="n">
        <v>0</v>
      </c>
      <c r="K865" s="4" t="inlineStr">
        <is>
          <t>Stundensätze eingeben</t>
        </is>
      </c>
    </row>
    <row r="866">
      <c r="A866" s="4" t="inlineStr">
        <is>
          <t>4399.03 blocher-QBS-Hugo-Boss-Dieselstr12-Metzingen</t>
        </is>
      </c>
      <c r="B866" s="4" t="inlineStr">
        <is>
          <t>● (p) Pos. 2 Feuerlöscherberechnung (SV)</t>
        </is>
      </c>
      <c r="C866" s="4" t="inlineStr">
        <is>
          <t>Pauschale</t>
        </is>
      </c>
      <c r="D866" s="10" t="inlineStr">
        <is>
          <t>⚠ Manual erforderlich</t>
        </is>
      </c>
      <c r="E866" s="11" t="inlineStr"/>
      <c r="F866" s="11" t="n">
        <v>0</v>
      </c>
      <c r="G866" s="11">
        <f>E866-F866</f>
        <v/>
      </c>
      <c r="H866" s="11" t="n">
        <v/>
      </c>
      <c r="I866" s="11" t="n">
        <v/>
      </c>
      <c r="J866" s="11" t="n">
        <v/>
      </c>
      <c r="K866" s="4" t="inlineStr">
        <is>
          <t>Stundensätze eingeben</t>
        </is>
      </c>
    </row>
    <row r="867">
      <c r="A867" s="4" t="inlineStr">
        <is>
          <t>4420.01 BTB-Container-Uhlandshöhe-Stuttgart-Freie-Waldorfschule-Oberstufenneubau</t>
        </is>
      </c>
      <c r="B867" s="4" t="inlineStr">
        <is>
          <t>● 3000-Entwurfsplanung</t>
        </is>
      </c>
      <c r="C867" s="9" t="inlineStr">
        <is>
          <t>Unbekannt</t>
        </is>
      </c>
      <c r="D867" s="10" t="inlineStr">
        <is>
          <t>⚠ Manual erforderlich</t>
        </is>
      </c>
      <c r="E867" s="11" t="inlineStr"/>
      <c r="F867" s="11" t="n">
        <v>0</v>
      </c>
      <c r="G867" s="11">
        <f>E867-F867</f>
        <v/>
      </c>
      <c r="H867" s="11" t="n">
        <v/>
      </c>
      <c r="I867" s="11" t="n">
        <v/>
      </c>
      <c r="J867" s="11" t="n">
        <v/>
      </c>
      <c r="K867" s="4" t="inlineStr">
        <is>
          <t>Abrechnungsart wählen; Stundensätze eingeben</t>
        </is>
      </c>
    </row>
    <row r="868">
      <c r="A868" s="4" t="inlineStr">
        <is>
          <t>4420.02 BSO-Pläne-Uhlandshöhe-Stuttgart-Freie-Waldorfschule-Oberstufenneubau</t>
        </is>
      </c>
      <c r="B868" s="4" t="inlineStr">
        <is>
          <t>● 9000-Objektbetreuung und Dokumentation</t>
        </is>
      </c>
      <c r="C868" s="9" t="inlineStr">
        <is>
          <t>Unbekannt</t>
        </is>
      </c>
      <c r="D868" s="10" t="inlineStr">
        <is>
          <t>⚠ Manual erforderlich</t>
        </is>
      </c>
      <c r="E868" s="11" t="inlineStr"/>
      <c r="F868" s="11" t="n">
        <v>0</v>
      </c>
      <c r="G868" s="11">
        <f>E868-F868</f>
        <v/>
      </c>
      <c r="H868" s="11" t="n">
        <v/>
      </c>
      <c r="I868" s="11" t="n">
        <v/>
      </c>
      <c r="J868" s="11" t="n">
        <v/>
      </c>
      <c r="K868" s="4" t="inlineStr">
        <is>
          <t>Abrechnungsart wählen; Stundensätze eingeben</t>
        </is>
      </c>
    </row>
    <row r="869">
      <c r="A869" s="4" t="inlineStr">
        <is>
          <t>4420.05 VffSchlwesen-Waldorfschule-Uhlandshöhe-Haußmannstr44-Stuttgart-Mittagshaus</t>
        </is>
      </c>
      <c r="B869" s="4" t="inlineStr">
        <is>
          <t>● (p) Pos. 1 Erstellung Brandschutzkonzept</t>
        </is>
      </c>
      <c r="C869" s="4" t="inlineStr">
        <is>
          <t>Pauschale</t>
        </is>
      </c>
      <c r="D869" s="10" t="inlineStr">
        <is>
          <t>⚠ Manual erforderlich</t>
        </is>
      </c>
      <c r="E869" s="11" t="inlineStr"/>
      <c r="F869" s="11" t="n">
        <v>0</v>
      </c>
      <c r="G869" s="11">
        <f>E869-F869</f>
        <v/>
      </c>
      <c r="H869" s="11" t="n">
        <v>0</v>
      </c>
      <c r="I869" s="11" t="n">
        <v>0</v>
      </c>
      <c r="J869" s="11" t="n">
        <v>0</v>
      </c>
      <c r="K869" s="4" t="inlineStr">
        <is>
          <t>Stundensätze eingeben</t>
        </is>
      </c>
    </row>
    <row r="870">
      <c r="A870" s="4" t="inlineStr">
        <is>
          <t>4420.05 VffSchlwesen-Waldorfschule-Uhlandshöhe-Haußmannstr44-Stuttgart-Mittagshaus</t>
        </is>
      </c>
      <c r="B870" s="4" t="inlineStr">
        <is>
          <t>● (aN) Pos. 2 Abstimmungstermine mit den Genehmigungsbehörden</t>
        </is>
      </c>
      <c r="C870" s="4" t="inlineStr">
        <is>
          <t>Nachweis</t>
        </is>
      </c>
      <c r="D870" s="10" t="inlineStr">
        <is>
          <t>⚠ Manual erforderlich</t>
        </is>
      </c>
      <c r="E870" s="11" t="inlineStr"/>
      <c r="F870" s="11" t="n">
        <v>0</v>
      </c>
      <c r="G870" s="11">
        <f>E870-F870</f>
        <v/>
      </c>
      <c r="H870" s="11" t="n">
        <v/>
      </c>
      <c r="I870" s="11" t="n">
        <v/>
      </c>
      <c r="J870" s="11" t="n">
        <v/>
      </c>
      <c r="K870" s="4" t="inlineStr">
        <is>
          <t>Stundensätze eingeben</t>
        </is>
      </c>
    </row>
    <row r="871">
      <c r="A871" s="4" t="inlineStr">
        <is>
          <t>4420.05 VffSchlwesen-Waldorfschule-Uhlandshöhe-Haußmannstr44-Stuttgart-Mittagshaus</t>
        </is>
      </c>
      <c r="B871" s="4" t="inlineStr">
        <is>
          <t>● (p) Pos. 1 Nachtrag zur Erstellung der Brandschutzpläne (NAT 24-08-26)</t>
        </is>
      </c>
      <c r="C871" s="4" t="inlineStr">
        <is>
          <t>Pauschale</t>
        </is>
      </c>
      <c r="D871" s="10" t="inlineStr">
        <is>
          <t>⚠ Manual erforderlich</t>
        </is>
      </c>
      <c r="E871" s="11" t="inlineStr"/>
      <c r="F871" s="11" t="n">
        <v>0</v>
      </c>
      <c r="G871" s="11">
        <f>E871-F871</f>
        <v/>
      </c>
      <c r="H871" s="11" t="n">
        <v>0</v>
      </c>
      <c r="I871" s="11" t="n">
        <v>0</v>
      </c>
      <c r="J871" s="11" t="n">
        <v>0</v>
      </c>
      <c r="K871" s="4" t="inlineStr">
        <is>
          <t>Stundensätze eingeben</t>
        </is>
      </c>
    </row>
    <row r="872">
      <c r="A872" s="4" t="inlineStr">
        <is>
          <t>4427.051 BTB-NAT-01-Rahmenplan-Sana-Klinikum-Offenbach</t>
        </is>
      </c>
      <c r="B872" s="4" t="inlineStr">
        <is>
          <t>● (aN) Pos.1 NAT 01 BTB</t>
        </is>
      </c>
      <c r="C872" s="4" t="inlineStr">
        <is>
          <t>Nachweis</t>
        </is>
      </c>
      <c r="D872" s="10" t="inlineStr">
        <is>
          <t>⚠ Manual erforderlich</t>
        </is>
      </c>
      <c r="E872" s="11" t="inlineStr"/>
      <c r="F872" s="11" t="n">
        <v>0</v>
      </c>
      <c r="G872" s="11">
        <f>E872-F872</f>
        <v/>
      </c>
      <c r="H872" s="11" t="n">
        <v/>
      </c>
      <c r="I872" s="11" t="n">
        <v/>
      </c>
      <c r="J872" s="11" t="n">
        <v/>
      </c>
      <c r="K872" s="4" t="inlineStr">
        <is>
          <t>Stundensätze eingeben</t>
        </is>
      </c>
    </row>
    <row r="873">
      <c r="A873" s="4" t="inlineStr">
        <is>
          <t>4427.16 AHO-SOF-Psych</t>
        </is>
      </c>
      <c r="B873" s="4" t="inlineStr">
        <is>
          <t>● (p) LP 2 GL</t>
        </is>
      </c>
      <c r="C873" s="4" t="inlineStr">
        <is>
          <t>Pauschale</t>
        </is>
      </c>
      <c r="D873" s="10" t="inlineStr">
        <is>
          <t>⚠ Manual erforderlich</t>
        </is>
      </c>
      <c r="E873" s="11" t="inlineStr"/>
      <c r="F873" s="11" t="n">
        <v>0</v>
      </c>
      <c r="G873" s="11">
        <f>E873-F873</f>
        <v/>
      </c>
      <c r="H873" s="11" t="n">
        <v>0</v>
      </c>
      <c r="I873" s="11" t="n">
        <v>0</v>
      </c>
      <c r="J873" s="11" t="n">
        <v>0</v>
      </c>
      <c r="K873" s="4" t="inlineStr">
        <is>
          <t>Stundensätze eingeben</t>
        </is>
      </c>
    </row>
    <row r="874">
      <c r="A874" s="4" t="inlineStr">
        <is>
          <t>4427.16 AHO-SOF-Psych</t>
        </is>
      </c>
      <c r="B874" s="4" t="inlineStr">
        <is>
          <t>● (p) LP 3 GL</t>
        </is>
      </c>
      <c r="C874" s="4" t="inlineStr">
        <is>
          <t>Pauschale</t>
        </is>
      </c>
      <c r="D874" s="10" t="inlineStr">
        <is>
          <t>⚠ Manual erforderlich</t>
        </is>
      </c>
      <c r="E874" s="11" t="inlineStr"/>
      <c r="F874" s="11" t="n">
        <v>0</v>
      </c>
      <c r="G874" s="11">
        <f>E874-F874</f>
        <v/>
      </c>
      <c r="H874" s="11" t="n">
        <v>0</v>
      </c>
      <c r="I874" s="11" t="n">
        <v>0</v>
      </c>
      <c r="J874" s="11" t="n">
        <v>0</v>
      </c>
      <c r="K874" s="4" t="inlineStr">
        <is>
          <t>Stundensätze eingeben</t>
        </is>
      </c>
    </row>
    <row r="875">
      <c r="A875" s="4" t="inlineStr">
        <is>
          <t>4427.16 AHO-SOF-Psych</t>
        </is>
      </c>
      <c r="B875" s="4" t="inlineStr">
        <is>
          <t>● (p) LP 4 GL</t>
        </is>
      </c>
      <c r="C875" s="4" t="inlineStr">
        <is>
          <t>Pauschale</t>
        </is>
      </c>
      <c r="D875" s="10" t="inlineStr">
        <is>
          <t>⚠ Manual erforderlich</t>
        </is>
      </c>
      <c r="E875" s="11" t="inlineStr"/>
      <c r="F875" s="11" t="n">
        <v>0</v>
      </c>
      <c r="G875" s="11">
        <f>E875-F875</f>
        <v/>
      </c>
      <c r="H875" s="11" t="n">
        <v>0</v>
      </c>
      <c r="I875" s="11" t="n">
        <v>0</v>
      </c>
      <c r="J875" s="11" t="n">
        <v>0</v>
      </c>
      <c r="K875" s="4" t="inlineStr">
        <is>
          <t>Stundensätze eingeben</t>
        </is>
      </c>
    </row>
    <row r="876">
      <c r="A876" s="4" t="inlineStr">
        <is>
          <t>4427.16 AHO-SOF-Psych</t>
        </is>
      </c>
      <c r="B876" s="4" t="inlineStr">
        <is>
          <t>● (p) LP 5 GL</t>
        </is>
      </c>
      <c r="C876" s="4" t="inlineStr">
        <is>
          <t>Pauschale</t>
        </is>
      </c>
      <c r="D876" s="10" t="inlineStr">
        <is>
          <t>⚠ Manual erforderlich</t>
        </is>
      </c>
      <c r="E876" s="11" t="inlineStr"/>
      <c r="F876" s="11" t="n">
        <v>0</v>
      </c>
      <c r="G876" s="11">
        <f>E876-F876</f>
        <v/>
      </c>
      <c r="H876" s="11" t="n">
        <v>0</v>
      </c>
      <c r="I876" s="11" t="n">
        <v>0</v>
      </c>
      <c r="J876" s="11" t="n">
        <v>0</v>
      </c>
      <c r="K876" s="4" t="inlineStr">
        <is>
          <t>Stundensätze eingeben</t>
        </is>
      </c>
    </row>
    <row r="877">
      <c r="A877" s="4" t="inlineStr">
        <is>
          <t>4427.16 AHO-SOF-Psych</t>
        </is>
      </c>
      <c r="B877" s="4" t="inlineStr">
        <is>
          <t>● (p) LP 8 GL</t>
        </is>
      </c>
      <c r="C877" s="4" t="inlineStr">
        <is>
          <t>Pauschale</t>
        </is>
      </c>
      <c r="D877" s="10" t="inlineStr">
        <is>
          <t>⚠ Manual erforderlich</t>
        </is>
      </c>
      <c r="E877" s="11" t="inlineStr"/>
      <c r="F877" s="11" t="n">
        <v>0</v>
      </c>
      <c r="G877" s="11">
        <f>E877-F877</f>
        <v/>
      </c>
      <c r="H877" s="11" t="n">
        <v>0</v>
      </c>
      <c r="I877" s="11" t="n">
        <v>0</v>
      </c>
      <c r="J877" s="11" t="n">
        <v>0</v>
      </c>
      <c r="K877" s="4" t="inlineStr">
        <is>
          <t>Stundensätze eingeben</t>
        </is>
      </c>
    </row>
    <row r="878">
      <c r="A878" s="4" t="inlineStr">
        <is>
          <t>4427.16 AHO-SOF-Psych</t>
        </is>
      </c>
      <c r="B878" s="4" t="inlineStr">
        <is>
          <t>● (p) LP 9 BL</t>
        </is>
      </c>
      <c r="C878" s="4" t="inlineStr">
        <is>
          <t>Pauschale</t>
        </is>
      </c>
      <c r="D878" s="10" t="inlineStr">
        <is>
          <t>⚠ Manual erforderlich</t>
        </is>
      </c>
      <c r="E878" s="11" t="inlineStr"/>
      <c r="F878" s="11" t="n">
        <v>0</v>
      </c>
      <c r="G878" s="11">
        <f>E878-F878</f>
        <v/>
      </c>
      <c r="H878" s="11" t="n">
        <v>0</v>
      </c>
      <c r="I878" s="11" t="n">
        <v>0</v>
      </c>
      <c r="J878" s="11" t="n">
        <v>0</v>
      </c>
      <c r="K878" s="4" t="inlineStr">
        <is>
          <t>Stundensätze eingeben</t>
        </is>
      </c>
    </row>
    <row r="879">
      <c r="A879" s="4" t="inlineStr">
        <is>
          <t>4427.16 AHO-SOF-Psych</t>
        </is>
      </c>
      <c r="B879" s="4" t="inlineStr">
        <is>
          <t>● (p) NA7/LP5 Brandfallsteuermatrix</t>
        </is>
      </c>
      <c r="C879" s="4" t="inlineStr">
        <is>
          <t>Pauschale</t>
        </is>
      </c>
      <c r="D879" s="10" t="inlineStr">
        <is>
          <t>⚠ Manual erforderlich</t>
        </is>
      </c>
      <c r="E879" s="11" t="inlineStr"/>
      <c r="F879" s="11" t="n">
        <v>0</v>
      </c>
      <c r="G879" s="11">
        <f>E879-F879</f>
        <v/>
      </c>
      <c r="H879" s="11" t="n">
        <v>0</v>
      </c>
      <c r="I879" s="11" t="n">
        <v>0</v>
      </c>
      <c r="J879" s="11" t="n">
        <v>0</v>
      </c>
      <c r="K879" s="4" t="inlineStr">
        <is>
          <t>Stundensätze eingeben</t>
        </is>
      </c>
    </row>
    <row r="880">
      <c r="A880" s="4" t="inlineStr">
        <is>
          <t>4427.18 BTB-SOF-BMA+Alarmierung</t>
        </is>
      </c>
      <c r="B880" s="4" t="inlineStr">
        <is>
          <t>● (a.N.) Pos.1-Erst. brandschutztechn. Stellungn. Alarmierungsanlage</t>
        </is>
      </c>
      <c r="C880" s="4" t="inlineStr">
        <is>
          <t>Nachweis</t>
        </is>
      </c>
      <c r="D880" s="10" t="inlineStr">
        <is>
          <t>⚠ Manual erforderlich</t>
        </is>
      </c>
      <c r="E880" s="11" t="inlineStr"/>
      <c r="F880" s="11" t="n">
        <v>0</v>
      </c>
      <c r="G880" s="11">
        <f>E880-F880</f>
        <v/>
      </c>
      <c r="H880" s="11" t="n">
        <v/>
      </c>
      <c r="I880" s="11" t="n">
        <v/>
      </c>
      <c r="J880" s="11" t="n">
        <v/>
      </c>
      <c r="K880" s="4" t="inlineStr">
        <is>
          <t>Stundensätze eingeben</t>
        </is>
      </c>
    </row>
    <row r="881">
      <c r="A881" s="4" t="inlineStr">
        <is>
          <t>4427.18 BTB-SOF-BMA+Alarmierung</t>
        </is>
      </c>
      <c r="B881" s="4" t="inlineStr">
        <is>
          <t>● (a.N.) Pos.2-Erst. brandschutztechn. Stellungn. Brandmeldeanlage</t>
        </is>
      </c>
      <c r="C881" s="4" t="inlineStr">
        <is>
          <t>Nachweis</t>
        </is>
      </c>
      <c r="D881" s="10" t="inlineStr">
        <is>
          <t>⚠ Manual erforderlich</t>
        </is>
      </c>
      <c r="E881" s="11" t="inlineStr"/>
      <c r="F881" s="11" t="n">
        <v>0</v>
      </c>
      <c r="G881" s="11">
        <f>E881-F881</f>
        <v/>
      </c>
      <c r="H881" s="11" t="n">
        <v/>
      </c>
      <c r="I881" s="11" t="n">
        <v/>
      </c>
      <c r="J881" s="11" t="n">
        <v/>
      </c>
      <c r="K881" s="4" t="inlineStr">
        <is>
          <t>Stundensätze eingeben</t>
        </is>
      </c>
    </row>
    <row r="882">
      <c r="A882" s="4" t="inlineStr">
        <is>
          <t>4427.20 BTB-SOF-Interims-Rettungswache</t>
        </is>
      </c>
      <c r="B882" s="4" t="inlineStr">
        <is>
          <t>● (aN) Pos. 1 BTB und Fortschreibung BSN</t>
        </is>
      </c>
      <c r="C882" s="4" t="inlineStr">
        <is>
          <t>Nachweis</t>
        </is>
      </c>
      <c r="D882" s="10" t="inlineStr">
        <is>
          <t>⚠ Manual erforderlich</t>
        </is>
      </c>
      <c r="E882" s="11" t="inlineStr"/>
      <c r="F882" s="11" t="n">
        <v>0</v>
      </c>
      <c r="G882" s="11">
        <f>E882-F882</f>
        <v/>
      </c>
      <c r="H882" s="11" t="n">
        <v/>
      </c>
      <c r="I882" s="11" t="n">
        <v/>
      </c>
      <c r="J882" s="11" t="n">
        <v/>
      </c>
      <c r="K882" s="4" t="inlineStr">
        <is>
          <t>Stundensätze eingeben</t>
        </is>
      </c>
    </row>
    <row r="883">
      <c r="A883" s="4" t="inlineStr">
        <is>
          <t>4433.01 Geb.A-Hochschule-Ludwigshafen-LP5-8</t>
        </is>
      </c>
      <c r="B883" s="4" t="inlineStr">
        <is>
          <t>● 5000-Ausführungsplanung</t>
        </is>
      </c>
      <c r="C883" s="9" t="inlineStr">
        <is>
          <t>Unbekannt</t>
        </is>
      </c>
      <c r="D883" s="10" t="inlineStr">
        <is>
          <t>⚠ Manual erforderlich</t>
        </is>
      </c>
      <c r="E883" s="11" t="inlineStr"/>
      <c r="F883" s="11" t="n">
        <v>0</v>
      </c>
      <c r="G883" s="11">
        <f>E883-F883</f>
        <v/>
      </c>
      <c r="H883" s="11" t="n">
        <v/>
      </c>
      <c r="I883" s="11" t="n">
        <v/>
      </c>
      <c r="J883" s="11" t="n">
        <v/>
      </c>
      <c r="K883" s="4" t="inlineStr">
        <is>
          <t>Abrechnungsart wählen; Stundensätze eingeben</t>
        </is>
      </c>
    </row>
    <row r="884">
      <c r="A884" s="4" t="inlineStr">
        <is>
          <t>4433.01 Geb.A-Hochschule-Ludwigshafen-LP5-8</t>
        </is>
      </c>
      <c r="B884" s="4" t="inlineStr">
        <is>
          <t>● 6000-Vorbereiten der Vergabe</t>
        </is>
      </c>
      <c r="C884" s="9" t="inlineStr">
        <is>
          <t>Unbekannt</t>
        </is>
      </c>
      <c r="D884" s="10" t="inlineStr">
        <is>
          <t>⚠ Manual erforderlich</t>
        </is>
      </c>
      <c r="E884" s="11" t="inlineStr"/>
      <c r="F884" s="11" t="n">
        <v>0</v>
      </c>
      <c r="G884" s="11">
        <f>E884-F884</f>
        <v/>
      </c>
      <c r="H884" s="11" t="n">
        <v/>
      </c>
      <c r="I884" s="11" t="n">
        <v/>
      </c>
      <c r="J884" s="11" t="n">
        <v/>
      </c>
      <c r="K884" s="4" t="inlineStr">
        <is>
          <t>Abrechnungsart wählen; Stundensätze eingeben</t>
        </is>
      </c>
    </row>
    <row r="885">
      <c r="A885" s="4" t="inlineStr">
        <is>
          <t>4433.01 Geb.A-Hochschule-Ludwigshafen-LP5-8</t>
        </is>
      </c>
      <c r="B885" s="4" t="inlineStr">
        <is>
          <t>● 7000-Mitwirkung bei der Vergabe</t>
        </is>
      </c>
      <c r="C885" s="9" t="inlineStr">
        <is>
          <t>Unbekannt</t>
        </is>
      </c>
      <c r="D885" s="10" t="inlineStr">
        <is>
          <t>⚠ Manual erforderlich</t>
        </is>
      </c>
      <c r="E885" s="11" t="inlineStr"/>
      <c r="F885" s="11" t="n">
        <v>0</v>
      </c>
      <c r="G885" s="11">
        <f>E885-F885</f>
        <v/>
      </c>
      <c r="H885" s="11" t="n">
        <v/>
      </c>
      <c r="I885" s="11" t="n">
        <v/>
      </c>
      <c r="J885" s="11" t="n">
        <v/>
      </c>
      <c r="K885" s="4" t="inlineStr">
        <is>
          <t>Abrechnungsart wählen; Stundensätze eingeben</t>
        </is>
      </c>
    </row>
    <row r="886">
      <c r="A886" s="4" t="inlineStr">
        <is>
          <t>4433.01 Geb.A-Hochschule-Ludwigshafen-LP5-8</t>
        </is>
      </c>
      <c r="B886" s="4" t="inlineStr">
        <is>
          <t>● 8000-Objektüberwachung</t>
        </is>
      </c>
      <c r="C886" s="9" t="inlineStr">
        <is>
          <t>Unbekannt</t>
        </is>
      </c>
      <c r="D886" s="10" t="inlineStr">
        <is>
          <t>⚠ Manual erforderlich</t>
        </is>
      </c>
      <c r="E886" s="11" t="inlineStr"/>
      <c r="F886" s="11" t="n">
        <v>0</v>
      </c>
      <c r="G886" s="11">
        <f>E886-F886</f>
        <v/>
      </c>
      <c r="H886" s="11" t="n">
        <v/>
      </c>
      <c r="I886" s="11" t="n">
        <v/>
      </c>
      <c r="J886" s="11" t="n">
        <v/>
      </c>
      <c r="K886" s="4" t="inlineStr">
        <is>
          <t>Abrechnungsart wählen; Stundensätze eingeben</t>
        </is>
      </c>
    </row>
    <row r="887">
      <c r="A887" s="4" t="inlineStr">
        <is>
          <t>4436.04 BTB Krankenhaus-Bergstraße-Viernheimer-Straße-2-Heppenheim</t>
        </is>
      </c>
      <c r="B887" s="4" t="inlineStr">
        <is>
          <t>● AHO Grundleistungen LP 1</t>
        </is>
      </c>
      <c r="C887" s="9" t="inlineStr">
        <is>
          <t>Unbekannt</t>
        </is>
      </c>
      <c r="D887" s="10" t="inlineStr">
        <is>
          <t>⚠ Manual erforderlich</t>
        </is>
      </c>
      <c r="E887" s="11" t="inlineStr"/>
      <c r="F887" s="11" t="n">
        <v>0</v>
      </c>
      <c r="G887" s="11">
        <f>E887-F887</f>
        <v/>
      </c>
      <c r="H887" s="11" t="n">
        <v/>
      </c>
      <c r="I887" s="11" t="n">
        <v/>
      </c>
      <c r="J887" s="11" t="n">
        <v/>
      </c>
      <c r="K887" s="4" t="inlineStr">
        <is>
          <t>Abrechnungsart wählen; Stundensätze eingeben</t>
        </is>
      </c>
    </row>
    <row r="888">
      <c r="A888" s="4" t="inlineStr">
        <is>
          <t>4436.04 BTB Krankenhaus-Bergstraße-Viernheimer-Straße-2-Heppenheim</t>
        </is>
      </c>
      <c r="B888" s="4" t="inlineStr">
        <is>
          <t>● AHO Grundleistungen LP 2</t>
        </is>
      </c>
      <c r="C888" s="9" t="inlineStr">
        <is>
          <t>Unbekannt</t>
        </is>
      </c>
      <c r="D888" s="10" t="inlineStr">
        <is>
          <t>⚠ Manual erforderlich</t>
        </is>
      </c>
      <c r="E888" s="11" t="inlineStr"/>
      <c r="F888" s="11" t="n">
        <v>0</v>
      </c>
      <c r="G888" s="11">
        <f>E888-F888</f>
        <v/>
      </c>
      <c r="H888" s="11" t="n">
        <v/>
      </c>
      <c r="I888" s="11" t="n">
        <v/>
      </c>
      <c r="J888" s="11" t="n">
        <v/>
      </c>
      <c r="K888" s="4" t="inlineStr">
        <is>
          <t>Abrechnungsart wählen; Stundensätze eingeben</t>
        </is>
      </c>
    </row>
    <row r="889">
      <c r="A889" s="4" t="inlineStr">
        <is>
          <t>4436.04 BTB Krankenhaus-Bergstraße-Viernheimer-Straße-2-Heppenheim</t>
        </is>
      </c>
      <c r="B889" s="4" t="inlineStr">
        <is>
          <t>● AHO Grundleistungen LP 3</t>
        </is>
      </c>
      <c r="C889" s="9" t="inlineStr">
        <is>
          <t>Unbekannt</t>
        </is>
      </c>
      <c r="D889" s="10" t="inlineStr">
        <is>
          <t>⚠ Manual erforderlich</t>
        </is>
      </c>
      <c r="E889" s="11" t="inlineStr"/>
      <c r="F889" s="11" t="n">
        <v>0</v>
      </c>
      <c r="G889" s="11">
        <f>E889-F889</f>
        <v/>
      </c>
      <c r="H889" s="11" t="n">
        <v/>
      </c>
      <c r="I889" s="11" t="n">
        <v/>
      </c>
      <c r="J889" s="11" t="n">
        <v/>
      </c>
      <c r="K889" s="4" t="inlineStr">
        <is>
          <t>Abrechnungsart wählen; Stundensätze eingeben</t>
        </is>
      </c>
    </row>
    <row r="890">
      <c r="A890" s="4" t="inlineStr">
        <is>
          <t>4436.04 BTB Krankenhaus-Bergstraße-Viernheimer-Straße-2-Heppenheim</t>
        </is>
      </c>
      <c r="B890" s="4" t="inlineStr">
        <is>
          <t>● AHO Grundleistungen LP 4</t>
        </is>
      </c>
      <c r="C890" s="9" t="inlineStr">
        <is>
          <t>Unbekannt</t>
        </is>
      </c>
      <c r="D890" s="10" t="inlineStr">
        <is>
          <t>⚠ Manual erforderlich</t>
        </is>
      </c>
      <c r="E890" s="11" t="inlineStr"/>
      <c r="F890" s="11" t="n">
        <v>0</v>
      </c>
      <c r="G890" s="11">
        <f>E890-F890</f>
        <v/>
      </c>
      <c r="H890" s="11" t="n">
        <v/>
      </c>
      <c r="I890" s="11" t="n">
        <v/>
      </c>
      <c r="J890" s="11" t="n">
        <v/>
      </c>
      <c r="K890" s="4" t="inlineStr">
        <is>
          <t>Abrechnungsart wählen; Stundensätze eingeben</t>
        </is>
      </c>
    </row>
    <row r="891">
      <c r="A891" s="4" t="inlineStr">
        <is>
          <t>4436.04 BTB Krankenhaus-Bergstraße-Viernheimer-Straße-2-Heppenheim</t>
        </is>
      </c>
      <c r="B891" s="4" t="inlineStr">
        <is>
          <t>● AHO Grundleistungen LP 5</t>
        </is>
      </c>
      <c r="C891" s="9" t="inlineStr">
        <is>
          <t>Unbekannt</t>
        </is>
      </c>
      <c r="D891" s="10" t="inlineStr">
        <is>
          <t>⚠ Manual erforderlich</t>
        </is>
      </c>
      <c r="E891" s="11" t="inlineStr"/>
      <c r="F891" s="11" t="n">
        <v>0</v>
      </c>
      <c r="G891" s="11">
        <f>E891-F891</f>
        <v/>
      </c>
      <c r="H891" s="11" t="n">
        <v/>
      </c>
      <c r="I891" s="11" t="n">
        <v/>
      </c>
      <c r="J891" s="11" t="n">
        <v/>
      </c>
      <c r="K891" s="4" t="inlineStr">
        <is>
          <t>Abrechnungsart wählen; Stundensätze eingeben</t>
        </is>
      </c>
    </row>
    <row r="892">
      <c r="A892" s="4" t="inlineStr">
        <is>
          <t>4436.04 BTB Krankenhaus-Bergstraße-Viernheimer-Straße-2-Heppenheim</t>
        </is>
      </c>
      <c r="B892" s="4" t="inlineStr">
        <is>
          <t>● AHO besondere Lstg. LP 5</t>
        </is>
      </c>
      <c r="C892" s="9" t="inlineStr">
        <is>
          <t>Unbekannt</t>
        </is>
      </c>
      <c r="D892" s="10" t="inlineStr">
        <is>
          <t>⚠ Manual erforderlich</t>
        </is>
      </c>
      <c r="E892" s="11" t="inlineStr"/>
      <c r="F892" s="11" t="n">
        <v>0</v>
      </c>
      <c r="G892" s="11">
        <f>E892-F892</f>
        <v/>
      </c>
      <c r="H892" s="11" t="n">
        <v/>
      </c>
      <c r="I892" s="11" t="n">
        <v/>
      </c>
      <c r="J892" s="11" t="n">
        <v/>
      </c>
      <c r="K892" s="4" t="inlineStr">
        <is>
          <t>Abrechnungsart wählen; Stundensätze eingeben</t>
        </is>
      </c>
    </row>
    <row r="893">
      <c r="A893" s="4" t="inlineStr">
        <is>
          <t>4436.04 BTB Krankenhaus-Bergstraße-Viernheimer-Straße-2-Heppenheim</t>
        </is>
      </c>
      <c r="B893" s="4" t="inlineStr">
        <is>
          <t>● AHO Grundleistungen LP 8</t>
        </is>
      </c>
      <c r="C893" s="9" t="inlineStr">
        <is>
          <t>Unbekannt</t>
        </is>
      </c>
      <c r="D893" s="10" t="inlineStr">
        <is>
          <t>⚠ Manual erforderlich</t>
        </is>
      </c>
      <c r="E893" s="11" t="inlineStr"/>
      <c r="F893" s="11" t="n">
        <v>0</v>
      </c>
      <c r="G893" s="11">
        <f>E893-F893</f>
        <v/>
      </c>
      <c r="H893" s="11" t="n">
        <v/>
      </c>
      <c r="I893" s="11" t="n">
        <v/>
      </c>
      <c r="J893" s="11" t="n">
        <v/>
      </c>
      <c r="K893" s="4" t="inlineStr">
        <is>
          <t>Abrechnungsart wählen; Stundensätze eingeben</t>
        </is>
      </c>
    </row>
    <row r="894">
      <c r="A894" s="4" t="inlineStr">
        <is>
          <t>4436.041 BTB-NAT-02-KKH-Bergstraße-Viernheimer-Straße-2-Heppenheim-Bauphase</t>
        </is>
      </c>
      <c r="B894" s="4" t="inlineStr">
        <is>
          <t>● (p) Pos.1 Erst. BAB für Bauphase für Bauteil G</t>
        </is>
      </c>
      <c r="C894" s="4" t="inlineStr">
        <is>
          <t>Pauschale</t>
        </is>
      </c>
      <c r="D894" s="10" t="inlineStr">
        <is>
          <t>⚠ Manual erforderlich</t>
        </is>
      </c>
      <c r="E894" s="11" t="inlineStr"/>
      <c r="F894" s="11" t="n">
        <v>0</v>
      </c>
      <c r="G894" s="11">
        <f>E894-F894</f>
        <v/>
      </c>
      <c r="H894" s="11" t="n">
        <v>0</v>
      </c>
      <c r="I894" s="11" t="n">
        <v>0</v>
      </c>
      <c r="J894" s="11" t="n">
        <v>0</v>
      </c>
      <c r="K894" s="4" t="inlineStr">
        <is>
          <t>Stundensätze eingeben</t>
        </is>
      </c>
    </row>
    <row r="895">
      <c r="A895" s="4" t="inlineStr">
        <is>
          <t>4436.041 BTB-NAT-02-KKH-Bergstraße-Viernheimer-Straße-2-Heppenheim-Bauphase</t>
        </is>
      </c>
      <c r="B895" s="4" t="inlineStr">
        <is>
          <t>● (p) Pos.2 Erst. BSK für Bauphase für Bauteil J</t>
        </is>
      </c>
      <c r="C895" s="4" t="inlineStr">
        <is>
          <t>Pauschale</t>
        </is>
      </c>
      <c r="D895" s="10" t="inlineStr">
        <is>
          <t>⚠ Manual erforderlich</t>
        </is>
      </c>
      <c r="E895" s="11" t="inlineStr"/>
      <c r="F895" s="11" t="n">
        <v>0</v>
      </c>
      <c r="G895" s="11">
        <f>E895-F895</f>
        <v/>
      </c>
      <c r="H895" s="11" t="n">
        <v>0</v>
      </c>
      <c r="I895" s="11" t="n">
        <v>0</v>
      </c>
      <c r="J895" s="11" t="n">
        <v>0</v>
      </c>
      <c r="K895" s="4" t="inlineStr">
        <is>
          <t>Stundensätze eingeben</t>
        </is>
      </c>
    </row>
    <row r="896">
      <c r="A896" s="4" t="inlineStr">
        <is>
          <t>4436.041 BTB-NAT-02-KKH-Bergstraße-Viernheimer-Straße-2-Heppenheim-Bauphase</t>
        </is>
      </c>
      <c r="B896" s="4" t="inlineStr">
        <is>
          <t>● (aN) Pos.3 BTB + Abstimmung mit Behörden zu Brandschutzmaßnahmen i.d. Bauphase Bautei G+J</t>
        </is>
      </c>
      <c r="C896" s="4" t="inlineStr">
        <is>
          <t>Nachweis</t>
        </is>
      </c>
      <c r="D896" s="10" t="inlineStr">
        <is>
          <t>⚠ Manual erforderlich</t>
        </is>
      </c>
      <c r="E896" s="11" t="inlineStr"/>
      <c r="F896" s="11" t="n">
        <v>0</v>
      </c>
      <c r="G896" s="11">
        <f>E896-F896</f>
        <v/>
      </c>
      <c r="H896" s="11" t="n">
        <v/>
      </c>
      <c r="I896" s="11" t="n">
        <v/>
      </c>
      <c r="J896" s="11" t="n">
        <v/>
      </c>
      <c r="K896" s="4" t="inlineStr">
        <is>
          <t>Stundensätze eingeben</t>
        </is>
      </c>
    </row>
    <row r="897">
      <c r="A897" s="4" t="inlineStr">
        <is>
          <t>4436.042 NA001-BSP-Krankenhaus-Bergstraße-Viernheimer-Straße-2-Heppenheim</t>
        </is>
      </c>
      <c r="B897" s="4" t="inlineStr">
        <is>
          <t>● (p) Pos.1 Brandschutzpläne für die Bauphase</t>
        </is>
      </c>
      <c r="C897" s="4" t="inlineStr">
        <is>
          <t>Pauschale</t>
        </is>
      </c>
      <c r="D897" s="10" t="inlineStr">
        <is>
          <t>⚠ Manual erforderlich</t>
        </is>
      </c>
      <c r="E897" s="11" t="inlineStr"/>
      <c r="F897" s="11" t="n">
        <v>0</v>
      </c>
      <c r="G897" s="11">
        <f>E897-F897</f>
        <v/>
      </c>
      <c r="H897" s="11" t="n">
        <v>0</v>
      </c>
      <c r="I897" s="11" t="n">
        <v>0</v>
      </c>
      <c r="J897" s="11" t="n">
        <v>0</v>
      </c>
      <c r="K897" s="4" t="inlineStr">
        <is>
          <t>Stundensätze eingeben</t>
        </is>
      </c>
    </row>
    <row r="898">
      <c r="A898" s="4" t="inlineStr">
        <is>
          <t>4436.043 FWP-NA003-KKH-Bergstraße-Viernheimer-Straße-2-Heppenheim-Bauphase+NB-BauteilG</t>
        </is>
      </c>
      <c r="B898" s="4" t="inlineStr">
        <is>
          <t>● (p) Pos.1 FWP für Baustelle während der Abbrucharbeiten</t>
        </is>
      </c>
      <c r="C898" s="4" t="inlineStr">
        <is>
          <t>Pauschale</t>
        </is>
      </c>
      <c r="D898" s="10" t="inlineStr">
        <is>
          <t>⚠ Manual erforderlich</t>
        </is>
      </c>
      <c r="E898" s="11" t="inlineStr"/>
      <c r="F898" s="11" t="n">
        <v>0</v>
      </c>
      <c r="G898" s="11">
        <f>E898-F898</f>
        <v/>
      </c>
      <c r="H898" s="11" t="n">
        <v>0</v>
      </c>
      <c r="I898" s="11" t="n">
        <v>0</v>
      </c>
      <c r="J898" s="11" t="n">
        <v>0</v>
      </c>
      <c r="K898" s="4" t="inlineStr">
        <is>
          <t>Stundensätze eingeben</t>
        </is>
      </c>
    </row>
    <row r="899">
      <c r="A899" s="4" t="inlineStr">
        <is>
          <t>4436.043 FWP-NA003-KKH-Bergstraße-Viernheimer-Straße-2-Heppenheim-Bauphase+NB-BauteilG</t>
        </is>
      </c>
      <c r="B899" s="4" t="inlineStr">
        <is>
          <t>● (p) Pos.2 FWP für Baustelle während der Neubauarbeiten Bauteil G</t>
        </is>
      </c>
      <c r="C899" s="4" t="inlineStr">
        <is>
          <t>Pauschale</t>
        </is>
      </c>
      <c r="D899" s="10" t="inlineStr">
        <is>
          <t>⚠ Manual erforderlich</t>
        </is>
      </c>
      <c r="E899" s="11" t="inlineStr"/>
      <c r="F899" s="11" t="n">
        <v>0</v>
      </c>
      <c r="G899" s="11">
        <f>E899-F899</f>
        <v/>
      </c>
      <c r="H899" s="11" t="n">
        <v>0</v>
      </c>
      <c r="I899" s="11" t="n">
        <v>0</v>
      </c>
      <c r="J899" s="11" t="n">
        <v>0</v>
      </c>
      <c r="K899" s="4" t="inlineStr">
        <is>
          <t>Stundensätze eingeben</t>
        </is>
      </c>
    </row>
    <row r="900">
      <c r="A900" s="4" t="inlineStr">
        <is>
          <t>4436.043 FWP-NA003-KKH-Bergstraße-Viernheimer-Straße-2-Heppenheim-Bauphase+NB-BauteilG</t>
        </is>
      </c>
      <c r="B900" s="4" t="inlineStr">
        <is>
          <t>● (p) Pos.3 FWP für den finalen Stand</t>
        </is>
      </c>
      <c r="C900" s="4" t="inlineStr">
        <is>
          <t>Pauschale</t>
        </is>
      </c>
      <c r="D900" s="10" t="inlineStr">
        <is>
          <t>⚠ Manual erforderlich</t>
        </is>
      </c>
      <c r="E900" s="11" t="inlineStr"/>
      <c r="F900" s="11" t="n">
        <v>0</v>
      </c>
      <c r="G900" s="11">
        <f>E900-F900</f>
        <v/>
      </c>
      <c r="H900" s="11" t="n">
        <v>0</v>
      </c>
      <c r="I900" s="11" t="n">
        <v>0</v>
      </c>
      <c r="J900" s="11" t="n">
        <v>0</v>
      </c>
      <c r="K900" s="4" t="inlineStr">
        <is>
          <t>Stundensätze eingeben</t>
        </is>
      </c>
    </row>
    <row r="901">
      <c r="A901" s="4" t="inlineStr">
        <is>
          <t>4436.043 FWP-NA003-KKH-Bergstraße-Viernheimer-Straße-2-Heppenheim-Bauphase+NB-BauteilG</t>
        </is>
      </c>
      <c r="B901" s="4" t="inlineStr">
        <is>
          <t>● (aN) Pos.4 Begehung mit Bestandsaufnahme</t>
        </is>
      </c>
      <c r="C901" s="4" t="inlineStr">
        <is>
          <t>Nachweis</t>
        </is>
      </c>
      <c r="D901" s="10" t="inlineStr">
        <is>
          <t>⚠ Manual erforderlich</t>
        </is>
      </c>
      <c r="E901" s="11" t="inlineStr"/>
      <c r="F901" s="11" t="n">
        <v>0</v>
      </c>
      <c r="G901" s="11">
        <f>E901-F901</f>
        <v/>
      </c>
      <c r="H901" s="11" t="n">
        <v/>
      </c>
      <c r="I901" s="11" t="n">
        <v/>
      </c>
      <c r="J901" s="11" t="n">
        <v/>
      </c>
      <c r="K901" s="4" t="inlineStr">
        <is>
          <t>Stundensätze eingeben</t>
        </is>
      </c>
    </row>
    <row r="902">
      <c r="A902" s="4" t="inlineStr">
        <is>
          <t>4436.044 NAT-04-RMK-KKH-Bergstraße-Viernheimer-Straße-2-Heppenheim</t>
        </is>
      </c>
      <c r="B902" s="4" t="inlineStr">
        <is>
          <t>● (aN) Pos.1 Erstellung RMK</t>
        </is>
      </c>
      <c r="C902" s="4" t="inlineStr">
        <is>
          <t>Nachweis</t>
        </is>
      </c>
      <c r="D902" s="10" t="inlineStr">
        <is>
          <t>⚠ Manual erforderlich</t>
        </is>
      </c>
      <c r="E902" s="11" t="inlineStr"/>
      <c r="F902" s="11" t="n">
        <v>0</v>
      </c>
      <c r="G902" s="11">
        <f>E902-F902</f>
        <v/>
      </c>
      <c r="H902" s="11" t="n">
        <v/>
      </c>
      <c r="I902" s="11" t="n">
        <v/>
      </c>
      <c r="J902" s="11" t="n">
        <v/>
      </c>
      <c r="K902" s="4" t="inlineStr">
        <is>
          <t>Stundensätze eingeben</t>
        </is>
      </c>
    </row>
    <row r="903">
      <c r="A903" s="4" t="inlineStr">
        <is>
          <t>4443.06 BTB-Kaiser-Wilhelms-Bad-Bad-Homburg-Leitungsverlegung</t>
        </is>
      </c>
      <c r="B903" s="4" t="inlineStr">
        <is>
          <t>● (aN) Pos.1 BTB - Thematik Bewertung der Leitungsverlegung innerhalb von Rettungswegen</t>
        </is>
      </c>
      <c r="C903" s="4" t="inlineStr">
        <is>
          <t>Nachweis</t>
        </is>
      </c>
      <c r="D903" s="10" t="inlineStr">
        <is>
          <t>⚠ Manual erforderlich</t>
        </is>
      </c>
      <c r="E903" s="11" t="inlineStr"/>
      <c r="F903" s="11" t="n">
        <v>0</v>
      </c>
      <c r="G903" s="11">
        <f>E903-F903</f>
        <v/>
      </c>
      <c r="H903" s="11" t="n">
        <v/>
      </c>
      <c r="I903" s="11" t="n">
        <v/>
      </c>
      <c r="J903" s="11" t="n">
        <v/>
      </c>
      <c r="K903" s="4" t="inlineStr">
        <is>
          <t>Stundensätze eingeben</t>
        </is>
      </c>
    </row>
    <row r="904">
      <c r="A904" s="4" t="inlineStr">
        <is>
          <t>4444 2015-SWM-U-Bahnhof-Sendlinger-Tor</t>
        </is>
      </c>
      <c r="B904" s="4" t="inlineStr">
        <is>
          <t>● 2000-Vorplanung</t>
        </is>
      </c>
      <c r="C904" s="9" t="inlineStr">
        <is>
          <t>Unbekannt</t>
        </is>
      </c>
      <c r="D904" s="10" t="inlineStr">
        <is>
          <t>⚠ Manual erforderlich</t>
        </is>
      </c>
      <c r="E904" s="11" t="inlineStr"/>
      <c r="F904" s="11" t="n">
        <v>0</v>
      </c>
      <c r="G904" s="11">
        <f>E904-F904</f>
        <v/>
      </c>
      <c r="H904" s="11" t="n">
        <v/>
      </c>
      <c r="I904" s="11" t="n">
        <v/>
      </c>
      <c r="J904" s="11" t="n">
        <v/>
      </c>
      <c r="K904" s="4" t="inlineStr">
        <is>
          <t>Abrechnungsart wählen; Stundensätze eingeben</t>
        </is>
      </c>
    </row>
    <row r="905">
      <c r="A905" s="4" t="inlineStr">
        <is>
          <t>4444 2015-SWM-U-Bahnhof-Sendlinger-Tor</t>
        </is>
      </c>
      <c r="B905" s="4" t="inlineStr">
        <is>
          <t>● 3000-Entwurfsplanung</t>
        </is>
      </c>
      <c r="C905" s="9" t="inlineStr">
        <is>
          <t>Unbekannt</t>
        </is>
      </c>
      <c r="D905" s="10" t="inlineStr">
        <is>
          <t>⚠ Manual erforderlich</t>
        </is>
      </c>
      <c r="E905" s="11" t="inlineStr"/>
      <c r="F905" s="11" t="n">
        <v>0</v>
      </c>
      <c r="G905" s="11">
        <f>E905-F905</f>
        <v/>
      </c>
      <c r="H905" s="11" t="n">
        <v/>
      </c>
      <c r="I905" s="11" t="n">
        <v/>
      </c>
      <c r="J905" s="11" t="n">
        <v/>
      </c>
      <c r="K905" s="4" t="inlineStr">
        <is>
          <t>Abrechnungsart wählen; Stundensätze eingeben</t>
        </is>
      </c>
    </row>
    <row r="906">
      <c r="A906" s="4" t="inlineStr">
        <is>
          <t>4444 2015-SWM-U-Bahnhof-Sendlinger-Tor</t>
        </is>
      </c>
      <c r="B906" s="4" t="inlineStr">
        <is>
          <t>● 4000-Genehmigungsplanung</t>
        </is>
      </c>
      <c r="C906" s="9" t="inlineStr">
        <is>
          <t>Unbekannt</t>
        </is>
      </c>
      <c r="D906" s="10" t="inlineStr">
        <is>
          <t>⚠ Manual erforderlich</t>
        </is>
      </c>
      <c r="E906" s="11" t="inlineStr"/>
      <c r="F906" s="11" t="n">
        <v>0</v>
      </c>
      <c r="G906" s="11">
        <f>E906-F906</f>
        <v/>
      </c>
      <c r="H906" s="11" t="n">
        <v/>
      </c>
      <c r="I906" s="11" t="n">
        <v/>
      </c>
      <c r="J906" s="11" t="n">
        <v/>
      </c>
      <c r="K906" s="4" t="inlineStr">
        <is>
          <t>Abrechnungsart wählen; Stundensätze eingeben</t>
        </is>
      </c>
    </row>
    <row r="907">
      <c r="A907" s="4" t="inlineStr">
        <is>
          <t>4444 2015-SWM-U-Bahnhof-Sendlinger-Tor</t>
        </is>
      </c>
      <c r="B907" s="4" t="inlineStr">
        <is>
          <t>● 5000-Ausführungsplanung</t>
        </is>
      </c>
      <c r="C907" s="9" t="inlineStr">
        <is>
          <t>Unbekannt</t>
        </is>
      </c>
      <c r="D907" s="10" t="inlineStr">
        <is>
          <t>⚠ Manual erforderlich</t>
        </is>
      </c>
      <c r="E907" s="11" t="inlineStr"/>
      <c r="F907" s="11" t="n">
        <v>0</v>
      </c>
      <c r="G907" s="11">
        <f>E907-F907</f>
        <v/>
      </c>
      <c r="H907" s="11" t="n">
        <v/>
      </c>
      <c r="I907" s="11" t="n">
        <v/>
      </c>
      <c r="J907" s="11" t="n">
        <v/>
      </c>
      <c r="K907" s="4" t="inlineStr">
        <is>
          <t>Abrechnungsart wählen; Stundensätze eingeben</t>
        </is>
      </c>
    </row>
    <row r="908">
      <c r="A908" s="4" t="inlineStr">
        <is>
          <t>4444 2015-SWM-U-Bahnhof-Sendlinger-Tor</t>
        </is>
      </c>
      <c r="B908" s="4" t="inlineStr">
        <is>
          <t>● 8000-Objektüberwachung</t>
        </is>
      </c>
      <c r="C908" s="9" t="inlineStr">
        <is>
          <t>Unbekannt</t>
        </is>
      </c>
      <c r="D908" s="10" t="inlineStr">
        <is>
          <t>⚠ Manual erforderlich</t>
        </is>
      </c>
      <c r="E908" s="11" t="inlineStr"/>
      <c r="F908" s="11" t="n">
        <v>0</v>
      </c>
      <c r="G908" s="11">
        <f>E908-F908</f>
        <v/>
      </c>
      <c r="H908" s="11" t="n">
        <v/>
      </c>
      <c r="I908" s="11" t="n">
        <v/>
      </c>
      <c r="J908" s="11" t="n">
        <v/>
      </c>
      <c r="K908" s="4" t="inlineStr">
        <is>
          <t>Abrechnungsart wählen; Stundensätze eingeben</t>
        </is>
      </c>
    </row>
    <row r="909">
      <c r="A909" s="4" t="inlineStr">
        <is>
          <t>4444 2015-SWM-U-Bahnhof-Sendlinger-Tor</t>
        </is>
      </c>
      <c r="B909" s="4" t="inlineStr">
        <is>
          <t>● 9000-Objektbetreuung und Dokumentation</t>
        </is>
      </c>
      <c r="C909" s="9" t="inlineStr">
        <is>
          <t>Unbekannt</t>
        </is>
      </c>
      <c r="D909" s="10" t="inlineStr">
        <is>
          <t>⚠ Manual erforderlich</t>
        </is>
      </c>
      <c r="E909" s="11" t="inlineStr"/>
      <c r="F909" s="11" t="n">
        <v>0</v>
      </c>
      <c r="G909" s="11">
        <f>E909-F909</f>
        <v/>
      </c>
      <c r="H909" s="11" t="n">
        <v/>
      </c>
      <c r="I909" s="11" t="n">
        <v/>
      </c>
      <c r="J909" s="11" t="n">
        <v/>
      </c>
      <c r="K909" s="4" t="inlineStr">
        <is>
          <t>Abrechnungsart wählen; Stundensätze eingeben</t>
        </is>
      </c>
    </row>
    <row r="910">
      <c r="A910" s="4" t="inlineStr">
        <is>
          <t>4444 2015-SWM-U-Bahnhof-Sendlinger-Tor</t>
        </is>
      </c>
      <c r="B910" s="4" t="inlineStr">
        <is>
          <t>● Brandschutzakte</t>
        </is>
      </c>
      <c r="C910" s="9" t="inlineStr">
        <is>
          <t>Unbekannt</t>
        </is>
      </c>
      <c r="D910" s="10" t="inlineStr">
        <is>
          <t>⚠ Manual erforderlich</t>
        </is>
      </c>
      <c r="E910" s="11" t="inlineStr"/>
      <c r="F910" s="11" t="n">
        <v>0</v>
      </c>
      <c r="G910" s="11">
        <f>E910-F910</f>
        <v/>
      </c>
      <c r="H910" s="11" t="n">
        <v/>
      </c>
      <c r="I910" s="11" t="n">
        <v/>
      </c>
      <c r="J910" s="11" t="n">
        <v/>
      </c>
      <c r="K910" s="4" t="inlineStr">
        <is>
          <t>Abrechnungsart wählen; Stundensätze eingeben</t>
        </is>
      </c>
    </row>
    <row r="911">
      <c r="A911" s="4" t="inlineStr">
        <is>
          <t>4444.02 SWM-NAT-BTB-UBhf-Sendlinger-Tor-München</t>
        </is>
      </c>
      <c r="B911" s="4" t="inlineStr">
        <is>
          <t>● (aN) BTB + Objektüberwachung (Pos. 1)</t>
        </is>
      </c>
      <c r="C911" s="4" t="inlineStr">
        <is>
          <t>Nachweis</t>
        </is>
      </c>
      <c r="D911" s="10" t="inlineStr">
        <is>
          <t>⚠ Manual erforderlich</t>
        </is>
      </c>
      <c r="E911" s="11" t="inlineStr"/>
      <c r="F911" s="11" t="n">
        <v>0</v>
      </c>
      <c r="G911" s="11">
        <f>E911-F911</f>
        <v/>
      </c>
      <c r="H911" s="11" t="n">
        <v/>
      </c>
      <c r="I911" s="11" t="n">
        <v/>
      </c>
      <c r="J911" s="11" t="n">
        <v/>
      </c>
      <c r="K911" s="4" t="inlineStr">
        <is>
          <t>Stundensätze eingeben</t>
        </is>
      </c>
    </row>
    <row r="912">
      <c r="A912" s="4" t="inlineStr">
        <is>
          <t>4444.02 SWM-NAT-BTB-UBhf-Sendlinger-Tor-München</t>
        </is>
      </c>
      <c r="B912" s="4" t="inlineStr">
        <is>
          <t>● (p) BST (Pos. 2)</t>
        </is>
      </c>
      <c r="C912" s="4" t="inlineStr">
        <is>
          <t>Pauschale</t>
        </is>
      </c>
      <c r="D912" s="10" t="inlineStr">
        <is>
          <t>⚠ Manual erforderlich</t>
        </is>
      </c>
      <c r="E912" s="11" t="inlineStr"/>
      <c r="F912" s="11" t="n">
        <v>0</v>
      </c>
      <c r="G912" s="11">
        <f>E912-F912</f>
        <v/>
      </c>
      <c r="H912" s="11" t="n">
        <v>0</v>
      </c>
      <c r="I912" s="11" t="n">
        <v>0</v>
      </c>
      <c r="J912" s="11" t="n">
        <v>0</v>
      </c>
      <c r="K912" s="4" t="inlineStr">
        <is>
          <t>Stundensätze eingeben</t>
        </is>
      </c>
    </row>
    <row r="913">
      <c r="A913" s="4" t="inlineStr">
        <is>
          <t>4444.02 SWM-NAT-BTB-UBhf-Sendlinger-Tor-München</t>
        </is>
      </c>
      <c r="B913" s="4" t="inlineStr">
        <is>
          <t>● (p) Fortschr. BSK (Pos. 3)</t>
        </is>
      </c>
      <c r="C913" s="4" t="inlineStr">
        <is>
          <t>Pauschale</t>
        </is>
      </c>
      <c r="D913" s="10" t="inlineStr">
        <is>
          <t>⚠ Manual erforderlich</t>
        </is>
      </c>
      <c r="E913" s="11" t="inlineStr"/>
      <c r="F913" s="11" t="n">
        <v>0</v>
      </c>
      <c r="G913" s="11">
        <f>E913-F913</f>
        <v/>
      </c>
      <c r="H913" s="11" t="n">
        <v>0</v>
      </c>
      <c r="I913" s="11" t="n">
        <v>0</v>
      </c>
      <c r="J913" s="11" t="n">
        <v>0</v>
      </c>
      <c r="K913" s="4" t="inlineStr">
        <is>
          <t>Stundensätze eingeben</t>
        </is>
      </c>
    </row>
    <row r="914">
      <c r="A914" s="4" t="inlineStr">
        <is>
          <t>4444.02 SWM-NAT-BTB-UBhf-Sendlinger-Tor-München</t>
        </is>
      </c>
      <c r="B914" s="4" t="inlineStr">
        <is>
          <t>● (p) Anpassung Pläne (Pos. 4)</t>
        </is>
      </c>
      <c r="C914" s="4" t="inlineStr">
        <is>
          <t>Pauschale</t>
        </is>
      </c>
      <c r="D914" s="10" t="inlineStr">
        <is>
          <t>⚠ Manual erforderlich</t>
        </is>
      </c>
      <c r="E914" s="11" t="inlineStr"/>
      <c r="F914" s="11" t="n">
        <v>0</v>
      </c>
      <c r="G914" s="11">
        <f>E914-F914</f>
        <v/>
      </c>
      <c r="H914" s="11" t="n">
        <v>0</v>
      </c>
      <c r="I914" s="11" t="n">
        <v>0</v>
      </c>
      <c r="J914" s="11" t="n">
        <v>0</v>
      </c>
      <c r="K914" s="4" t="inlineStr">
        <is>
          <t>Stundensätze eingeben</t>
        </is>
      </c>
    </row>
    <row r="915">
      <c r="A915" s="4" t="inlineStr">
        <is>
          <t>4444.02 SWM-NAT-BTB-UBhf-Sendlinger-Tor-München</t>
        </is>
      </c>
      <c r="B915" s="4" t="inlineStr">
        <is>
          <t>● (aN) NAT 02 - Nachtarbeit frü Teile der Objektüberwachung</t>
        </is>
      </c>
      <c r="C915" s="4" t="inlineStr">
        <is>
          <t>Nachweis</t>
        </is>
      </c>
      <c r="D915" s="10" t="inlineStr">
        <is>
          <t>⚠ Manual erforderlich</t>
        </is>
      </c>
      <c r="E915" s="11" t="inlineStr"/>
      <c r="F915" s="11" t="n">
        <v>0</v>
      </c>
      <c r="G915" s="11">
        <f>E915-F915</f>
        <v/>
      </c>
      <c r="H915" s="11" t="n">
        <v/>
      </c>
      <c r="I915" s="11" t="n">
        <v/>
      </c>
      <c r="J915" s="11" t="n">
        <v/>
      </c>
      <c r="K915" s="4" t="inlineStr">
        <is>
          <t>Stundensätze eingeben</t>
        </is>
      </c>
    </row>
    <row r="916">
      <c r="A916" s="4" t="inlineStr">
        <is>
          <t>4453 Kreisklinik-Groß-Umstadt-Neubau-Bettenhaus</t>
        </is>
      </c>
      <c r="B916" s="4" t="inlineStr">
        <is>
          <t>● (aN) 1000-Grundlagenermittlung</t>
        </is>
      </c>
      <c r="C916" s="4" t="inlineStr">
        <is>
          <t>Nachweis</t>
        </is>
      </c>
      <c r="D916" s="10" t="inlineStr">
        <is>
          <t>⚠ Manual erforderlich</t>
        </is>
      </c>
      <c r="E916" s="11" t="inlineStr"/>
      <c r="F916" s="11" t="n">
        <v>0</v>
      </c>
      <c r="G916" s="11">
        <f>E916-F916</f>
        <v/>
      </c>
      <c r="H916" s="11" t="n">
        <v/>
      </c>
      <c r="I916" s="11" t="n">
        <v/>
      </c>
      <c r="J916" s="11" t="n">
        <v/>
      </c>
      <c r="K916" s="4" t="inlineStr">
        <is>
          <t>Stundensätze eingeben</t>
        </is>
      </c>
    </row>
    <row r="917">
      <c r="A917" s="4" t="inlineStr">
        <is>
          <t>4453 Kreisklinik-Groß-Umstadt-Neubau-Bettenhaus</t>
        </is>
      </c>
      <c r="B917" s="4" t="inlineStr">
        <is>
          <t>● (aN)  2000-Vorplanung</t>
        </is>
      </c>
      <c r="C917" s="4" t="inlineStr">
        <is>
          <t>Nachweis</t>
        </is>
      </c>
      <c r="D917" s="10" t="inlineStr">
        <is>
          <t>⚠ Manual erforderlich</t>
        </is>
      </c>
      <c r="E917" s="11" t="inlineStr"/>
      <c r="F917" s="11" t="n">
        <v>0</v>
      </c>
      <c r="G917" s="11">
        <f>E917-F917</f>
        <v/>
      </c>
      <c r="H917" s="11" t="n">
        <v/>
      </c>
      <c r="I917" s="11" t="n">
        <v/>
      </c>
      <c r="J917" s="11" t="n">
        <v/>
      </c>
      <c r="K917" s="4" t="inlineStr">
        <is>
          <t>Stundensätze eingeben</t>
        </is>
      </c>
    </row>
    <row r="918">
      <c r="A918" s="4" t="inlineStr">
        <is>
          <t>4453 Kreisklinik-Groß-Umstadt-Neubau-Bettenhaus</t>
        </is>
      </c>
      <c r="B918" s="4" t="inlineStr">
        <is>
          <t>● (aN)  3000-Entwurfsplanung</t>
        </is>
      </c>
      <c r="C918" s="4" t="inlineStr">
        <is>
          <t>Nachweis</t>
        </is>
      </c>
      <c r="D918" s="10" t="inlineStr">
        <is>
          <t>⚠ Manual erforderlich</t>
        </is>
      </c>
      <c r="E918" s="11" t="inlineStr"/>
      <c r="F918" s="11" t="n">
        <v>0</v>
      </c>
      <c r="G918" s="11">
        <f>E918-F918</f>
        <v/>
      </c>
      <c r="H918" s="11" t="n">
        <v/>
      </c>
      <c r="I918" s="11" t="n">
        <v/>
      </c>
      <c r="J918" s="11" t="n">
        <v/>
      </c>
      <c r="K918" s="4" t="inlineStr">
        <is>
          <t>Stundensätze eingeben</t>
        </is>
      </c>
    </row>
    <row r="919">
      <c r="A919" s="4" t="inlineStr">
        <is>
          <t>4453 Kreisklinik-Groß-Umstadt-Neubau-Bettenhaus</t>
        </is>
      </c>
      <c r="B919" s="4" t="inlineStr">
        <is>
          <t>● (aN)  4000-Genehmigungsplanung</t>
        </is>
      </c>
      <c r="C919" s="4" t="inlineStr">
        <is>
          <t>Nachweis</t>
        </is>
      </c>
      <c r="D919" s="10" t="inlineStr">
        <is>
          <t>⚠ Manual erforderlich</t>
        </is>
      </c>
      <c r="E919" s="11" t="inlineStr"/>
      <c r="F919" s="11" t="n">
        <v>0</v>
      </c>
      <c r="G919" s="11">
        <f>E919-F919</f>
        <v/>
      </c>
      <c r="H919" s="11" t="n">
        <v/>
      </c>
      <c r="I919" s="11" t="n">
        <v/>
      </c>
      <c r="J919" s="11" t="n">
        <v/>
      </c>
      <c r="K919" s="4" t="inlineStr">
        <is>
          <t>Stundensätze eingeben</t>
        </is>
      </c>
    </row>
    <row r="920">
      <c r="A920" s="4" t="inlineStr">
        <is>
          <t>4453 Kreisklinik-Groß-Umstadt-Neubau-Bettenhaus</t>
        </is>
      </c>
      <c r="B920" s="4" t="inlineStr">
        <is>
          <t>● (aN)  5000-Ausführungsplanung</t>
        </is>
      </c>
      <c r="C920" s="4" t="inlineStr">
        <is>
          <t>Nachweis</t>
        </is>
      </c>
      <c r="D920" s="10" t="inlineStr">
        <is>
          <t>⚠ Manual erforderlich</t>
        </is>
      </c>
      <c r="E920" s="11" t="inlineStr"/>
      <c r="F920" s="11" t="n">
        <v>0</v>
      </c>
      <c r="G920" s="11">
        <f>E920-F920</f>
        <v/>
      </c>
      <c r="H920" s="11" t="n">
        <v/>
      </c>
      <c r="I920" s="11" t="n">
        <v/>
      </c>
      <c r="J920" s="11" t="n">
        <v/>
      </c>
      <c r="K920" s="4" t="inlineStr">
        <is>
          <t>Stundensätze eingeben</t>
        </is>
      </c>
    </row>
    <row r="921">
      <c r="A921" s="4" t="inlineStr">
        <is>
          <t>4453 Kreisklinik-Groß-Umstadt-Neubau-Bettenhaus</t>
        </is>
      </c>
      <c r="B921" s="4" t="inlineStr">
        <is>
          <t>● (aN)  8000-Objektüberwachung</t>
        </is>
      </c>
      <c r="C921" s="4" t="inlineStr">
        <is>
          <t>Nachweis</t>
        </is>
      </c>
      <c r="D921" s="10" t="inlineStr">
        <is>
          <t>⚠ Manual erforderlich</t>
        </is>
      </c>
      <c r="E921" s="11" t="inlineStr"/>
      <c r="F921" s="11" t="n">
        <v>0</v>
      </c>
      <c r="G921" s="11">
        <f>E921-F921</f>
        <v/>
      </c>
      <c r="H921" s="11" t="n">
        <v/>
      </c>
      <c r="I921" s="11" t="n">
        <v/>
      </c>
      <c r="J921" s="11" t="n">
        <v/>
      </c>
      <c r="K921" s="4" t="inlineStr">
        <is>
          <t>Stundensätze eingeben</t>
        </is>
      </c>
    </row>
    <row r="922">
      <c r="A922" s="4" t="inlineStr">
        <is>
          <t>4453.001 Kreisklinik-Groß-Umstadt-Erw-LP8-Neubau-Bettenhaus</t>
        </is>
      </c>
      <c r="B922" s="4" t="inlineStr">
        <is>
          <t>● Beauftragung offen: (aN) Erw. LP 8 GUKK Bauzeitverlängerung</t>
        </is>
      </c>
      <c r="C922" s="4" t="inlineStr">
        <is>
          <t>Nachweis</t>
        </is>
      </c>
      <c r="D922" s="10" t="inlineStr">
        <is>
          <t>⚠ Manual erforderlich</t>
        </is>
      </c>
      <c r="E922" s="11" t="inlineStr"/>
      <c r="F922" s="11" t="n">
        <v>0</v>
      </c>
      <c r="G922" s="11">
        <f>E922-F922</f>
        <v/>
      </c>
      <c r="H922" s="11" t="n">
        <v/>
      </c>
      <c r="I922" s="11" t="n">
        <v/>
      </c>
      <c r="J922" s="11" t="n">
        <v/>
      </c>
      <c r="K922" s="4" t="inlineStr">
        <is>
          <t>Stundensätze eingeben</t>
        </is>
      </c>
    </row>
    <row r="923">
      <c r="A923" s="4" t="inlineStr">
        <is>
          <t>4453.12 GUKK-Matrix-Kreisklinik-Groß-Umstadt-Altbestand</t>
        </is>
      </c>
      <c r="B923" s="4" t="inlineStr">
        <is>
          <t>● (a.N.) Brandfallsteuermatrix Altbestand</t>
        </is>
      </c>
      <c r="C923" s="4" t="inlineStr">
        <is>
          <t>Nachweis</t>
        </is>
      </c>
      <c r="D923" s="10" t="inlineStr">
        <is>
          <t>⚠ Manual erforderlich</t>
        </is>
      </c>
      <c r="E923" s="11" t="inlineStr"/>
      <c r="F923" s="11" t="n">
        <v>0</v>
      </c>
      <c r="G923" s="11">
        <f>E923-F923</f>
        <v/>
      </c>
      <c r="H923" s="11" t="n">
        <v/>
      </c>
      <c r="I923" s="11" t="n">
        <v/>
      </c>
      <c r="J923" s="11" t="n">
        <v/>
      </c>
      <c r="K923" s="4" t="inlineStr">
        <is>
          <t>Stundensätze eingeben</t>
        </is>
      </c>
    </row>
    <row r="924">
      <c r="A924" s="4" t="inlineStr">
        <is>
          <t>4453.13 NAT-16-FWP-Bettenhaus-Kreisklinik-Groß-Umstadt</t>
        </is>
      </c>
      <c r="B924" s="4" t="inlineStr">
        <is>
          <t>● (p) Pos.1 - FWP Neubau Bettenhaus</t>
        </is>
      </c>
      <c r="C924" s="4" t="inlineStr">
        <is>
          <t>Pauschale</t>
        </is>
      </c>
      <c r="D924" s="10" t="inlineStr">
        <is>
          <t>⚠ Manual erforderlich</t>
        </is>
      </c>
      <c r="E924" s="11" t="inlineStr"/>
      <c r="F924" s="11" t="n">
        <v>0</v>
      </c>
      <c r="G924" s="11">
        <f>E924-F924</f>
        <v/>
      </c>
      <c r="H924" s="11" t="n">
        <v>0</v>
      </c>
      <c r="I924" s="11" t="n">
        <v>0</v>
      </c>
      <c r="J924" s="11" t="n">
        <v>0</v>
      </c>
      <c r="K924" s="4" t="inlineStr">
        <is>
          <t>Stundensätze eingeben</t>
        </is>
      </c>
    </row>
    <row r="925">
      <c r="A925" s="4" t="inlineStr">
        <is>
          <t>4453.13 NAT-16-FWP-Bettenhaus-Kreisklinik-Groß-Umstadt</t>
        </is>
      </c>
      <c r="B925" s="4" t="inlineStr">
        <is>
          <t>● (a.N.) Pos.2 - Anpassung FWP Bestand</t>
        </is>
      </c>
      <c r="C925" s="4" t="inlineStr">
        <is>
          <t>Nachweis</t>
        </is>
      </c>
      <c r="D925" s="10" t="inlineStr">
        <is>
          <t>⚠ Manual erforderlich</t>
        </is>
      </c>
      <c r="E925" s="11" t="inlineStr"/>
      <c r="F925" s="11" t="n">
        <v>0</v>
      </c>
      <c r="G925" s="11">
        <f>E925-F925</f>
        <v/>
      </c>
      <c r="H925" s="11" t="n">
        <v/>
      </c>
      <c r="I925" s="11" t="n">
        <v/>
      </c>
      <c r="J925" s="11" t="n">
        <v/>
      </c>
      <c r="K925" s="4" t="inlineStr">
        <is>
          <t>Stundensätze eingeben</t>
        </is>
      </c>
    </row>
    <row r="926">
      <c r="A926" s="4" t="inlineStr">
        <is>
          <t>4453.13 NAT-16-FWP-Bettenhaus-Kreisklinik-Groß-Umstadt</t>
        </is>
      </c>
      <c r="B926" s="4" t="inlineStr">
        <is>
          <t>● (p) Pos.3 - FRP Neubau Bettenhaus</t>
        </is>
      </c>
      <c r="C926" s="4" t="inlineStr">
        <is>
          <t>Pauschale</t>
        </is>
      </c>
      <c r="D926" s="10" t="inlineStr">
        <is>
          <t>⚠ Manual erforderlich</t>
        </is>
      </c>
      <c r="E926" s="11" t="inlineStr"/>
      <c r="F926" s="11" t="n">
        <v>0</v>
      </c>
      <c r="G926" s="11">
        <f>E926-F926</f>
        <v/>
      </c>
      <c r="H926" s="11" t="n">
        <v>0</v>
      </c>
      <c r="I926" s="11" t="n">
        <v>0</v>
      </c>
      <c r="J926" s="11" t="n">
        <v>0</v>
      </c>
      <c r="K926" s="4" t="inlineStr">
        <is>
          <t>Stundensätze eingeben</t>
        </is>
      </c>
    </row>
    <row r="927">
      <c r="A927" s="4" t="inlineStr">
        <is>
          <t>4453.13 NAT-16-FWP-Bettenhaus-Kreisklinik-Groß-Umstadt</t>
        </is>
      </c>
      <c r="B927" s="4" t="inlineStr">
        <is>
          <t>● (a.N.) Pos.4 - Anpassung Übersichtspläne Bestand</t>
        </is>
      </c>
      <c r="C927" s="4" t="inlineStr">
        <is>
          <t>Nachweis</t>
        </is>
      </c>
      <c r="D927" s="10" t="inlineStr">
        <is>
          <t>⚠ Manual erforderlich</t>
        </is>
      </c>
      <c r="E927" s="11" t="inlineStr"/>
      <c r="F927" s="11" t="n">
        <v>0</v>
      </c>
      <c r="G927" s="11">
        <f>E927-F927</f>
        <v/>
      </c>
      <c r="H927" s="11" t="n">
        <v/>
      </c>
      <c r="I927" s="11" t="n">
        <v/>
      </c>
      <c r="J927" s="11" t="n">
        <v/>
      </c>
      <c r="K927" s="4" t="inlineStr">
        <is>
          <t>Stundensätze eingeben</t>
        </is>
      </c>
    </row>
    <row r="928">
      <c r="A928" s="4" t="inlineStr">
        <is>
          <t>4453.14 BTB-GUKK-HKL-Bauteil-B-Kreisklinik-Groß-Umstadt</t>
        </is>
      </c>
      <c r="B928" s="4" t="inlineStr">
        <is>
          <t>● (a.N.) Pos.1 Erstellung brandschutztechn. Stellungnahme</t>
        </is>
      </c>
      <c r="C928" s="4" t="inlineStr">
        <is>
          <t>Nachweis</t>
        </is>
      </c>
      <c r="D928" s="10" t="inlineStr">
        <is>
          <t>⚠ Manual erforderlich</t>
        </is>
      </c>
      <c r="E928" s="11" t="inlineStr"/>
      <c r="F928" s="11" t="n">
        <v>0</v>
      </c>
      <c r="G928" s="11">
        <f>E928-F928</f>
        <v/>
      </c>
      <c r="H928" s="11" t="n">
        <v/>
      </c>
      <c r="I928" s="11" t="n">
        <v/>
      </c>
      <c r="J928" s="11" t="n">
        <v/>
      </c>
      <c r="K928" s="4" t="inlineStr">
        <is>
          <t>Stundensätze eingeben</t>
        </is>
      </c>
    </row>
    <row r="929">
      <c r="A929" s="4" t="inlineStr">
        <is>
          <t>4453.14 BTB-GUKK-HKL-Bauteil-B-Kreisklinik-Groß-Umstadt</t>
        </is>
      </c>
      <c r="B929" s="4" t="inlineStr">
        <is>
          <t>● (aN) Pos.2 (NAT) BTB während der Ausführungsphase</t>
        </is>
      </c>
      <c r="C929" s="4" t="inlineStr">
        <is>
          <t>Nachweis</t>
        </is>
      </c>
      <c r="D929" s="10" t="inlineStr">
        <is>
          <t>⚠ Manual erforderlich</t>
        </is>
      </c>
      <c r="E929" s="11" t="inlineStr"/>
      <c r="F929" s="11" t="n">
        <v>0</v>
      </c>
      <c r="G929" s="11">
        <f>E929-F929</f>
        <v/>
      </c>
      <c r="H929" s="11" t="n">
        <v/>
      </c>
      <c r="I929" s="11" t="n">
        <v/>
      </c>
      <c r="J929" s="11" t="n">
        <v/>
      </c>
      <c r="K929" s="4" t="inlineStr">
        <is>
          <t>Stundensätze eingeben</t>
        </is>
      </c>
    </row>
    <row r="930">
      <c r="A930" s="4" t="inlineStr">
        <is>
          <t>4477.01 Geb-B-Hochschule-Ludwigshafen-LP5-8</t>
        </is>
      </c>
      <c r="B930" s="4" t="inlineStr">
        <is>
          <t>● 5000-Ausführungsplanung</t>
        </is>
      </c>
      <c r="C930" s="9" t="inlineStr">
        <is>
          <t>Unbekannt</t>
        </is>
      </c>
      <c r="D930" s="10" t="inlineStr">
        <is>
          <t>⚠ Manual erforderlich</t>
        </is>
      </c>
      <c r="E930" s="11" t="inlineStr"/>
      <c r="F930" s="11" t="n">
        <v>0</v>
      </c>
      <c r="G930" s="11">
        <f>E930-F930</f>
        <v/>
      </c>
      <c r="H930" s="11" t="n">
        <v/>
      </c>
      <c r="I930" s="11" t="n">
        <v/>
      </c>
      <c r="J930" s="11" t="n">
        <v/>
      </c>
      <c r="K930" s="4" t="inlineStr">
        <is>
          <t>Abrechnungsart wählen; Stundensätze eingeben</t>
        </is>
      </c>
    </row>
    <row r="931">
      <c r="A931" s="4" t="inlineStr">
        <is>
          <t>4477.01 Geb-B-Hochschule-Ludwigshafen-LP5-8</t>
        </is>
      </c>
      <c r="B931" s="4" t="inlineStr">
        <is>
          <t>● 6000-Vorbereiten der Vergabe</t>
        </is>
      </c>
      <c r="C931" s="9" t="inlineStr">
        <is>
          <t>Unbekannt</t>
        </is>
      </c>
      <c r="D931" s="10" t="inlineStr">
        <is>
          <t>⚠ Manual erforderlich</t>
        </is>
      </c>
      <c r="E931" s="11" t="inlineStr"/>
      <c r="F931" s="11" t="n">
        <v>0</v>
      </c>
      <c r="G931" s="11">
        <f>E931-F931</f>
        <v/>
      </c>
      <c r="H931" s="11" t="n">
        <v/>
      </c>
      <c r="I931" s="11" t="n">
        <v/>
      </c>
      <c r="J931" s="11" t="n">
        <v/>
      </c>
      <c r="K931" s="4" t="inlineStr">
        <is>
          <t>Abrechnungsart wählen; Stundensätze eingeben</t>
        </is>
      </c>
    </row>
    <row r="932">
      <c r="A932" s="4" t="inlineStr">
        <is>
          <t>4477.01 Geb-B-Hochschule-Ludwigshafen-LP5-8</t>
        </is>
      </c>
      <c r="B932" s="4" t="inlineStr">
        <is>
          <t>● 7000-Mitwirkung bei der Vergabe</t>
        </is>
      </c>
      <c r="C932" s="9" t="inlineStr">
        <is>
          <t>Unbekannt</t>
        </is>
      </c>
      <c r="D932" s="10" t="inlineStr">
        <is>
          <t>⚠ Manual erforderlich</t>
        </is>
      </c>
      <c r="E932" s="11" t="inlineStr"/>
      <c r="F932" s="11" t="n">
        <v>0</v>
      </c>
      <c r="G932" s="11">
        <f>E932-F932</f>
        <v/>
      </c>
      <c r="H932" s="11" t="n">
        <v/>
      </c>
      <c r="I932" s="11" t="n">
        <v/>
      </c>
      <c r="J932" s="11" t="n">
        <v/>
      </c>
      <c r="K932" s="4" t="inlineStr">
        <is>
          <t>Abrechnungsart wählen; Stundensätze eingeben</t>
        </is>
      </c>
    </row>
    <row r="933">
      <c r="A933" s="4" t="inlineStr">
        <is>
          <t>4477.01 Geb-B-Hochschule-Ludwigshafen-LP5-8</t>
        </is>
      </c>
      <c r="B933" s="4" t="inlineStr">
        <is>
          <t>● 8000-Objektüberwachung</t>
        </is>
      </c>
      <c r="C933" s="9" t="inlineStr">
        <is>
          <t>Unbekannt</t>
        </is>
      </c>
      <c r="D933" s="10" t="inlineStr">
        <is>
          <t>⚠ Manual erforderlich</t>
        </is>
      </c>
      <c r="E933" s="11" t="inlineStr"/>
      <c r="F933" s="11" t="n">
        <v>0</v>
      </c>
      <c r="G933" s="11">
        <f>E933-F933</f>
        <v/>
      </c>
      <c r="H933" s="11" t="n">
        <v/>
      </c>
      <c r="I933" s="11" t="n">
        <v/>
      </c>
      <c r="J933" s="11" t="n">
        <v/>
      </c>
      <c r="K933" s="4" t="inlineStr">
        <is>
          <t>Abrechnungsart wählen; Stundensätze eingeben</t>
        </is>
      </c>
    </row>
    <row r="934">
      <c r="A934" s="4" t="inlineStr">
        <is>
          <t>4478.01 Geb-C-Hochschule-Ludwigshafen-LP5-8</t>
        </is>
      </c>
      <c r="B934" s="4" t="inlineStr">
        <is>
          <t>● 5000-Ausführungsplanung</t>
        </is>
      </c>
      <c r="C934" s="9" t="inlineStr">
        <is>
          <t>Unbekannt</t>
        </is>
      </c>
      <c r="D934" s="10" t="inlineStr">
        <is>
          <t>⚠ Manual erforderlich</t>
        </is>
      </c>
      <c r="E934" s="11" t="inlineStr"/>
      <c r="F934" s="11" t="n">
        <v>0</v>
      </c>
      <c r="G934" s="11">
        <f>E934-F934</f>
        <v/>
      </c>
      <c r="H934" s="11" t="n">
        <v/>
      </c>
      <c r="I934" s="11" t="n">
        <v/>
      </c>
      <c r="J934" s="11" t="n">
        <v/>
      </c>
      <c r="K934" s="4" t="inlineStr">
        <is>
          <t>Abrechnungsart wählen; Stundensätze eingeben</t>
        </is>
      </c>
    </row>
    <row r="935">
      <c r="A935" s="4" t="inlineStr">
        <is>
          <t>4478.01 Geb-C-Hochschule-Ludwigshafen-LP5-8</t>
        </is>
      </c>
      <c r="B935" s="4" t="inlineStr">
        <is>
          <t>● 6000-Vorbereiten der Vergabe</t>
        </is>
      </c>
      <c r="C935" s="9" t="inlineStr">
        <is>
          <t>Unbekannt</t>
        </is>
      </c>
      <c r="D935" s="10" t="inlineStr">
        <is>
          <t>⚠ Manual erforderlich</t>
        </is>
      </c>
      <c r="E935" s="11" t="inlineStr"/>
      <c r="F935" s="11" t="n">
        <v>0</v>
      </c>
      <c r="G935" s="11">
        <f>E935-F935</f>
        <v/>
      </c>
      <c r="H935" s="11" t="n">
        <v/>
      </c>
      <c r="I935" s="11" t="n">
        <v/>
      </c>
      <c r="J935" s="11" t="n">
        <v/>
      </c>
      <c r="K935" s="4" t="inlineStr">
        <is>
          <t>Abrechnungsart wählen; Stundensätze eingeben</t>
        </is>
      </c>
    </row>
    <row r="936">
      <c r="A936" s="4" t="inlineStr">
        <is>
          <t>4478.01 Geb-C-Hochschule-Ludwigshafen-LP5-8</t>
        </is>
      </c>
      <c r="B936" s="4" t="inlineStr">
        <is>
          <t>● 7000-Mitwirkung bei der Vergabe</t>
        </is>
      </c>
      <c r="C936" s="9" t="inlineStr">
        <is>
          <t>Unbekannt</t>
        </is>
      </c>
      <c r="D936" s="10" t="inlineStr">
        <is>
          <t>⚠ Manual erforderlich</t>
        </is>
      </c>
      <c r="E936" s="11" t="inlineStr"/>
      <c r="F936" s="11" t="n">
        <v>0</v>
      </c>
      <c r="G936" s="11">
        <f>E936-F936</f>
        <v/>
      </c>
      <c r="H936" s="11" t="n">
        <v/>
      </c>
      <c r="I936" s="11" t="n">
        <v/>
      </c>
      <c r="J936" s="11" t="n">
        <v/>
      </c>
      <c r="K936" s="4" t="inlineStr">
        <is>
          <t>Abrechnungsart wählen; Stundensätze eingeben</t>
        </is>
      </c>
    </row>
    <row r="937">
      <c r="A937" s="4" t="inlineStr">
        <is>
          <t>4478.01 Geb-C-Hochschule-Ludwigshafen-LP5-8</t>
        </is>
      </c>
      <c r="B937" s="4" t="inlineStr">
        <is>
          <t>● 8000-Objektüberwachung</t>
        </is>
      </c>
      <c r="C937" s="9" t="inlineStr">
        <is>
          <t>Unbekannt</t>
        </is>
      </c>
      <c r="D937" s="10" t="inlineStr">
        <is>
          <t>⚠ Manual erforderlich</t>
        </is>
      </c>
      <c r="E937" s="11" t="inlineStr"/>
      <c r="F937" s="11" t="n">
        <v>0</v>
      </c>
      <c r="G937" s="11">
        <f>E937-F937</f>
        <v/>
      </c>
      <c r="H937" s="11" t="n">
        <v/>
      </c>
      <c r="I937" s="11" t="n">
        <v/>
      </c>
      <c r="J937" s="11" t="n">
        <v/>
      </c>
      <c r="K937" s="4" t="inlineStr">
        <is>
          <t>Abrechnungsart wählen; Stundensätze eingeben</t>
        </is>
      </c>
    </row>
    <row r="938">
      <c r="A938" s="4" t="inlineStr">
        <is>
          <t>4478.01 Geb-C-Hochschule-Ludwigshafen-LP5-8</t>
        </is>
      </c>
      <c r="B938" s="4" t="inlineStr">
        <is>
          <t>● (aN) Begehungen zusätzlich</t>
        </is>
      </c>
      <c r="C938" s="4" t="inlineStr">
        <is>
          <t>Nachweis</t>
        </is>
      </c>
      <c r="D938" s="10" t="inlineStr">
        <is>
          <t>⚠ Manual erforderlich</t>
        </is>
      </c>
      <c r="E938" s="11" t="inlineStr"/>
      <c r="F938" s="11" t="n">
        <v>0</v>
      </c>
      <c r="G938" s="11">
        <f>E938-F938</f>
        <v/>
      </c>
      <c r="H938" s="11" t="n">
        <v/>
      </c>
      <c r="I938" s="11" t="n">
        <v/>
      </c>
      <c r="J938" s="11" t="n">
        <v/>
      </c>
      <c r="K938" s="4" t="inlineStr">
        <is>
          <t>Stundensätze eingeben</t>
        </is>
      </c>
    </row>
    <row r="939">
      <c r="A939" s="4" t="inlineStr">
        <is>
          <t>4478.02 LBB-GebC-LP9-FRP-FWP-Hochschule-Ludwigshafen</t>
        </is>
      </c>
      <c r="B939" s="4" t="inlineStr">
        <is>
          <t>● LP 9 Objektbetreuung und Dokumentation</t>
        </is>
      </c>
      <c r="C939" s="9" t="inlineStr">
        <is>
          <t>Unbekannt</t>
        </is>
      </c>
      <c r="D939" s="10" t="inlineStr">
        <is>
          <t>⚠ Manual erforderlich</t>
        </is>
      </c>
      <c r="E939" s="11" t="inlineStr"/>
      <c r="F939" s="11" t="n">
        <v>0</v>
      </c>
      <c r="G939" s="11">
        <f>E939-F939</f>
        <v/>
      </c>
      <c r="H939" s="11" t="n">
        <v/>
      </c>
      <c r="I939" s="11" t="n">
        <v/>
      </c>
      <c r="J939" s="11" t="n">
        <v/>
      </c>
      <c r="K939" s="4" t="inlineStr">
        <is>
          <t>Abrechnungsart wählen; Stundensätze eingeben</t>
        </is>
      </c>
    </row>
    <row r="940">
      <c r="A940" s="4" t="inlineStr">
        <is>
          <t>4546.06 Mössnang-BSK-ACS-Gruma-FriedbergDerching</t>
        </is>
      </c>
      <c r="B940" s="4" t="inlineStr">
        <is>
          <t>● (p) Pos. 1 Erstellung Fortschr. BSK</t>
        </is>
      </c>
      <c r="C940" s="4" t="inlineStr">
        <is>
          <t>Pauschale</t>
        </is>
      </c>
      <c r="D940" s="10" t="inlineStr">
        <is>
          <t>⚠ Manual erforderlich</t>
        </is>
      </c>
      <c r="E940" s="11" t="inlineStr"/>
      <c r="F940" s="11" t="n">
        <v>0</v>
      </c>
      <c r="G940" s="11">
        <f>E940-F940</f>
        <v/>
      </c>
      <c r="H940" s="11" t="n">
        <v>0</v>
      </c>
      <c r="I940" s="11" t="n">
        <v>0</v>
      </c>
      <c r="J940" s="11" t="n">
        <v>0</v>
      </c>
      <c r="K940" s="4" t="inlineStr">
        <is>
          <t>Stundensätze eingeben</t>
        </is>
      </c>
    </row>
    <row r="941">
      <c r="A941" s="4" t="inlineStr">
        <is>
          <t>4546.06 Mössnang-BSK-ACS-Gruma-FriedbergDerching</t>
        </is>
      </c>
      <c r="B941" s="4" t="inlineStr">
        <is>
          <t>● (aN) Pos. 2 BAB und QÜ f.d. Durchführung d. Baumaßnahme</t>
        </is>
      </c>
      <c r="C941" s="4" t="inlineStr">
        <is>
          <t>Nachweis</t>
        </is>
      </c>
      <c r="D941" s="10" t="inlineStr">
        <is>
          <t>⚠ Manual erforderlich</t>
        </is>
      </c>
      <c r="E941" s="11" t="inlineStr"/>
      <c r="F941" s="11" t="n">
        <v>0</v>
      </c>
      <c r="G941" s="11">
        <f>E941-F941</f>
        <v/>
      </c>
      <c r="H941" s="11" t="n">
        <v/>
      </c>
      <c r="I941" s="11" t="n">
        <v/>
      </c>
      <c r="J941" s="11" t="n">
        <v/>
      </c>
      <c r="K941" s="4" t="inlineStr">
        <is>
          <t>Stundensätze eingeben</t>
        </is>
      </c>
    </row>
    <row r="942">
      <c r="A942" s="4" t="inlineStr">
        <is>
          <t>4547.04 KIT-BSK-EnergyLab-Bau668-Hermann von Helmholtz-Platz1-Eggenstein-Leopoldshafen</t>
        </is>
      </c>
      <c r="B942" s="4" t="inlineStr">
        <is>
          <t>● (p) Pos. 1 Anpassung eines Brandschutzkonzeptes</t>
        </is>
      </c>
      <c r="C942" s="4" t="inlineStr">
        <is>
          <t>Pauschale</t>
        </is>
      </c>
      <c r="D942" s="10" t="inlineStr">
        <is>
          <t>⚠ Manual erforderlich</t>
        </is>
      </c>
      <c r="E942" s="11" t="inlineStr"/>
      <c r="F942" s="11" t="n">
        <v>0</v>
      </c>
      <c r="G942" s="11">
        <f>E942-F942</f>
        <v/>
      </c>
      <c r="H942" s="11" t="n">
        <v>0</v>
      </c>
      <c r="I942" s="11" t="n">
        <v>0</v>
      </c>
      <c r="J942" s="11" t="n">
        <v>0</v>
      </c>
      <c r="K942" s="4" t="inlineStr">
        <is>
          <t>Stundensätze eingeben</t>
        </is>
      </c>
    </row>
    <row r="943">
      <c r="A943" s="4" t="inlineStr">
        <is>
          <t>4547.04 KIT-BSK-EnergyLab-Bau668-Hermann von Helmholtz-Platz1-Eggenstein-Leopoldshafen</t>
        </is>
      </c>
      <c r="B943" s="4" t="inlineStr">
        <is>
          <t>● Pos. 2 Optional: Anpassung der Flucht-und Rettungswegepläne</t>
        </is>
      </c>
      <c r="C943" s="9" t="inlineStr">
        <is>
          <t>Unbekannt</t>
        </is>
      </c>
      <c r="D943" s="10" t="inlineStr">
        <is>
          <t>⚠ Manual erforderlich</t>
        </is>
      </c>
      <c r="E943" s="11" t="inlineStr"/>
      <c r="F943" s="11" t="n">
        <v>0</v>
      </c>
      <c r="G943" s="11">
        <f>E943-F943</f>
        <v/>
      </c>
      <c r="H943" s="11" t="n">
        <v/>
      </c>
      <c r="I943" s="11" t="n">
        <v/>
      </c>
      <c r="J943" s="11" t="n">
        <v/>
      </c>
      <c r="K943" s="4" t="inlineStr">
        <is>
          <t>Abrechnungsart wählen; Stundensätze eingeben</t>
        </is>
      </c>
    </row>
    <row r="944">
      <c r="A944" s="4" t="inlineStr">
        <is>
          <t>4555 NWZ-Frankfurt-Hanselmann./.Nordtrakt</t>
        </is>
      </c>
      <c r="B944" s="4" t="inlineStr">
        <is>
          <t>● 0000-Aquise</t>
        </is>
      </c>
      <c r="C944" s="9" t="inlineStr">
        <is>
          <t>Unbekannt</t>
        </is>
      </c>
      <c r="D944" s="10" t="inlineStr">
        <is>
          <t>⚠ Manual erforderlich</t>
        </is>
      </c>
      <c r="E944" s="11" t="inlineStr"/>
      <c r="F944" s="11" t="n">
        <v>0</v>
      </c>
      <c r="G944" s="11">
        <f>E944-F944</f>
        <v/>
      </c>
      <c r="H944" s="11" t="n">
        <v/>
      </c>
      <c r="I944" s="11" t="n">
        <v/>
      </c>
      <c r="J944" s="11" t="n">
        <v/>
      </c>
      <c r="K944" s="4" t="inlineStr">
        <is>
          <t>Abrechnungsart wählen; Stundensätze eingeben</t>
        </is>
      </c>
    </row>
    <row r="945">
      <c r="A945" s="4" t="inlineStr">
        <is>
          <t>4555 NWZ-Frankfurt-Hanselmann./.Nordtrakt</t>
        </is>
      </c>
      <c r="B945" s="4" t="inlineStr">
        <is>
          <t>● 0001-Sonstiges</t>
        </is>
      </c>
      <c r="C945" s="9" t="inlineStr">
        <is>
          <t>Unbekannt</t>
        </is>
      </c>
      <c r="D945" s="10" t="inlineStr">
        <is>
          <t>⚠ Manual erforderlich</t>
        </is>
      </c>
      <c r="E945" s="11" t="inlineStr"/>
      <c r="F945" s="11" t="n">
        <v>0</v>
      </c>
      <c r="G945" s="11">
        <f>E945-F945</f>
        <v/>
      </c>
      <c r="H945" s="11" t="n">
        <v/>
      </c>
      <c r="I945" s="11" t="n">
        <v/>
      </c>
      <c r="J945" s="11" t="n">
        <v/>
      </c>
      <c r="K945" s="4" t="inlineStr">
        <is>
          <t>Abrechnungsart wählen; Stundensätze eingeben</t>
        </is>
      </c>
    </row>
    <row r="946">
      <c r="A946" s="4" t="inlineStr">
        <is>
          <t>4563.04 GemLinsengericht-FRP-Thalstr-Bürgersaal-Eidengesäß</t>
        </is>
      </c>
      <c r="B946" s="4" t="inlineStr">
        <is>
          <t>● (p) Pos. 1 Aktualisierung Feuerwehrpläne</t>
        </is>
      </c>
      <c r="C946" s="4" t="inlineStr">
        <is>
          <t>Pauschale</t>
        </is>
      </c>
      <c r="D946" s="10" t="inlineStr">
        <is>
          <t>⚠ Manual erforderlich</t>
        </is>
      </c>
      <c r="E946" s="11" t="inlineStr"/>
      <c r="F946" s="11" t="n">
        <v>0</v>
      </c>
      <c r="G946" s="11">
        <f>E946-F946</f>
        <v/>
      </c>
      <c r="H946" s="11" t="n">
        <v>0</v>
      </c>
      <c r="I946" s="11" t="n">
        <v>0</v>
      </c>
      <c r="J946" s="11" t="n">
        <v>0</v>
      </c>
      <c r="K946" s="4" t="inlineStr">
        <is>
          <t>Stundensätze eingeben</t>
        </is>
      </c>
    </row>
    <row r="947">
      <c r="A947" s="4" t="inlineStr">
        <is>
          <t>4563.04 GemLinsengericht-FRP-Thalstr-Bürgersaal-Eidengesäß</t>
        </is>
      </c>
      <c r="B947" s="4" t="inlineStr">
        <is>
          <t>● (p) Pos. 2 Erstellung der Flucht- und Rettungspläne</t>
        </is>
      </c>
      <c r="C947" s="4" t="inlineStr">
        <is>
          <t>Pauschale</t>
        </is>
      </c>
      <c r="D947" s="10" t="inlineStr">
        <is>
          <t>⚠ Manual erforderlich</t>
        </is>
      </c>
      <c r="E947" s="11" t="inlineStr"/>
      <c r="F947" s="11" t="n">
        <v>0</v>
      </c>
      <c r="G947" s="11">
        <f>E947-F947</f>
        <v/>
      </c>
      <c r="H947" s="11" t="n">
        <v>0</v>
      </c>
      <c r="I947" s="11" t="n">
        <v>0</v>
      </c>
      <c r="J947" s="11" t="n">
        <v>0</v>
      </c>
      <c r="K947" s="4" t="inlineStr">
        <is>
          <t>Stundensätze eingeben</t>
        </is>
      </c>
    </row>
    <row r="948">
      <c r="A948" s="4" t="inlineStr">
        <is>
          <t>4566.12 BSK-Ostring-23-Mainhausen</t>
        </is>
      </c>
      <c r="B948" s="4" t="inlineStr">
        <is>
          <t>● (p) Pos.1 Erstellung BSK</t>
        </is>
      </c>
      <c r="C948" s="4" t="inlineStr">
        <is>
          <t>Pauschale</t>
        </is>
      </c>
      <c r="D948" s="10" t="inlineStr">
        <is>
          <t>⚠ Manual erforderlich</t>
        </is>
      </c>
      <c r="E948" s="11" t="inlineStr"/>
      <c r="F948" s="11" t="n">
        <v>0</v>
      </c>
      <c r="G948" s="11">
        <f>E948-F948</f>
        <v/>
      </c>
      <c r="H948" s="11" t="n">
        <v>0</v>
      </c>
      <c r="I948" s="11" t="n">
        <v>0</v>
      </c>
      <c r="J948" s="11" t="n">
        <v>0</v>
      </c>
      <c r="K948" s="4" t="inlineStr">
        <is>
          <t>Stundensätze eingeben</t>
        </is>
      </c>
    </row>
    <row r="949">
      <c r="A949" s="4" t="inlineStr">
        <is>
          <t>4566.12 BSK-Ostring-23-Mainhausen</t>
        </is>
      </c>
      <c r="B949" s="4" t="inlineStr">
        <is>
          <t>● (aN) Pos.2 BAB+Qualitätsüberwachung</t>
        </is>
      </c>
      <c r="C949" s="4" t="inlineStr">
        <is>
          <t>Nachweis</t>
        </is>
      </c>
      <c r="D949" s="10" t="inlineStr">
        <is>
          <t>⚠ Manual erforderlich</t>
        </is>
      </c>
      <c r="E949" s="11" t="inlineStr"/>
      <c r="F949" s="11" t="n">
        <v>0</v>
      </c>
      <c r="G949" s="11">
        <f>E949-F949</f>
        <v/>
      </c>
      <c r="H949" s="11" t="n">
        <v/>
      </c>
      <c r="I949" s="11" t="n">
        <v/>
      </c>
      <c r="J949" s="11" t="n">
        <v/>
      </c>
      <c r="K949" s="4" t="inlineStr">
        <is>
          <t>Stundensätze eingeben</t>
        </is>
      </c>
    </row>
    <row r="950">
      <c r="A950" s="4" t="inlineStr">
        <is>
          <t>4566.13 BSK-Fortschr1-Ostring-23-Mainhausen</t>
        </is>
      </c>
      <c r="B950" s="4" t="inlineStr">
        <is>
          <t>● (p) Pos.1 1. Fortschreibung BSK (2 Termine digital)</t>
        </is>
      </c>
      <c r="C950" s="4" t="inlineStr">
        <is>
          <t>Pauschale</t>
        </is>
      </c>
      <c r="D950" s="10" t="inlineStr">
        <is>
          <t>⚠ Manual erforderlich</t>
        </is>
      </c>
      <c r="E950" s="11" t="inlineStr"/>
      <c r="F950" s="11" t="n">
        <v>0</v>
      </c>
      <c r="G950" s="11">
        <f>E950-F950</f>
        <v/>
      </c>
      <c r="H950" s="11" t="n">
        <v>0</v>
      </c>
      <c r="I950" s="11" t="n">
        <v>0</v>
      </c>
      <c r="J950" s="11" t="n">
        <v>0</v>
      </c>
      <c r="K950" s="4" t="inlineStr">
        <is>
          <t>Stundensätze eingeben</t>
        </is>
      </c>
    </row>
    <row r="951">
      <c r="A951" s="4" t="inlineStr">
        <is>
          <t>4570 PÜZ-Akquise</t>
        </is>
      </c>
      <c r="B951" s="4" t="inlineStr">
        <is>
          <t>● 0000-Aquise</t>
        </is>
      </c>
      <c r="C951" s="9" t="inlineStr">
        <is>
          <t>Unbekannt</t>
        </is>
      </c>
      <c r="D951" s="10" t="inlineStr">
        <is>
          <t>⚠ Manual erforderlich</t>
        </is>
      </c>
      <c r="E951" s="11" t="inlineStr"/>
      <c r="F951" s="11" t="n">
        <v>0</v>
      </c>
      <c r="G951" s="11">
        <f>E951-F951</f>
        <v/>
      </c>
      <c r="H951" s="11" t="n">
        <v/>
      </c>
      <c r="I951" s="11" t="n">
        <v/>
      </c>
      <c r="J951" s="11" t="n">
        <v/>
      </c>
      <c r="K951" s="4" t="inlineStr">
        <is>
          <t>Abrechnungsart wählen; Stundensätze eingeben</t>
        </is>
      </c>
    </row>
    <row r="952">
      <c r="A952" s="4" t="inlineStr">
        <is>
          <t>4576.03 FWP-Jean-Weipert-Str-3-Offenbach</t>
        </is>
      </c>
      <c r="B952" s="4" t="inlineStr">
        <is>
          <t>● (p) Pos. 1 Erstellung FWP (62h CAD / 2h Sonstige)</t>
        </is>
      </c>
      <c r="C952" s="4" t="inlineStr">
        <is>
          <t>Pauschale</t>
        </is>
      </c>
      <c r="D952" s="10" t="inlineStr">
        <is>
          <t>⚠ Manual erforderlich</t>
        </is>
      </c>
      <c r="E952" s="11" t="inlineStr"/>
      <c r="F952" s="11" t="n">
        <v>0</v>
      </c>
      <c r="G952" s="11">
        <f>E952-F952</f>
        <v/>
      </c>
      <c r="H952" s="11" t="n">
        <v>0</v>
      </c>
      <c r="I952" s="11" t="n">
        <v>0</v>
      </c>
      <c r="J952" s="11" t="n">
        <v>0</v>
      </c>
      <c r="K952" s="4" t="inlineStr">
        <is>
          <t>Stundensätze eingeben</t>
        </is>
      </c>
    </row>
    <row r="953">
      <c r="A953" s="4" t="inlineStr">
        <is>
          <t>4578 T3-FLA-LP5-LP6-LP7-ab 04/2019</t>
        </is>
      </c>
      <c r="B953" s="4" t="inlineStr">
        <is>
          <t>● 5000-Ausführungsplanung</t>
        </is>
      </c>
      <c r="C953" s="9" t="inlineStr">
        <is>
          <t>Unbekannt</t>
        </is>
      </c>
      <c r="D953" s="10" t="inlineStr">
        <is>
          <t>⚠ Manual erforderlich</t>
        </is>
      </c>
      <c r="E953" s="11" t="inlineStr"/>
      <c r="F953" s="11" t="n">
        <v>0</v>
      </c>
      <c r="G953" s="11">
        <f>E953-F953</f>
        <v/>
      </c>
      <c r="H953" s="11" t="n">
        <v/>
      </c>
      <c r="I953" s="11" t="n">
        <v/>
      </c>
      <c r="J953" s="11" t="n">
        <v/>
      </c>
      <c r="K953" s="4" t="inlineStr">
        <is>
          <t>Abrechnungsart wählen; Stundensätze eingeben</t>
        </is>
      </c>
    </row>
    <row r="954">
      <c r="A954" s="4" t="inlineStr">
        <is>
          <t>4578 T3-FLA-LP5-LP6-LP7-ab 04/2019</t>
        </is>
      </c>
      <c r="B954" s="4" t="inlineStr">
        <is>
          <t>● 6000-Vorbereiten der Vergabe</t>
        </is>
      </c>
      <c r="C954" s="9" t="inlineStr">
        <is>
          <t>Unbekannt</t>
        </is>
      </c>
      <c r="D954" s="10" t="inlineStr">
        <is>
          <t>⚠ Manual erforderlich</t>
        </is>
      </c>
      <c r="E954" s="11" t="inlineStr"/>
      <c r="F954" s="11" t="n">
        <v>0</v>
      </c>
      <c r="G954" s="11">
        <f>E954-F954</f>
        <v/>
      </c>
      <c r="H954" s="11" t="n">
        <v/>
      </c>
      <c r="I954" s="11" t="n">
        <v/>
      </c>
      <c r="J954" s="11" t="n">
        <v/>
      </c>
      <c r="K954" s="4" t="inlineStr">
        <is>
          <t>Abrechnungsart wählen; Stundensätze eingeben</t>
        </is>
      </c>
    </row>
    <row r="955">
      <c r="A955" s="4" t="inlineStr">
        <is>
          <t>4578 T3-FLA-LP5-LP6-LP7-ab 04/2019</t>
        </is>
      </c>
      <c r="B955" s="4" t="inlineStr">
        <is>
          <t>● 7000-Mitwirkung bei der Vergabe</t>
        </is>
      </c>
      <c r="C955" s="9" t="inlineStr">
        <is>
          <t>Unbekannt</t>
        </is>
      </c>
      <c r="D955" s="10" t="inlineStr">
        <is>
          <t>⚠ Manual erforderlich</t>
        </is>
      </c>
      <c r="E955" s="11" t="inlineStr"/>
      <c r="F955" s="11" t="n">
        <v>0</v>
      </c>
      <c r="G955" s="11">
        <f>E955-F955</f>
        <v/>
      </c>
      <c r="H955" s="11" t="n">
        <v/>
      </c>
      <c r="I955" s="11" t="n">
        <v/>
      </c>
      <c r="J955" s="11" t="n">
        <v/>
      </c>
      <c r="K955" s="4" t="inlineStr">
        <is>
          <t>Abrechnungsart wählen; Stundensätze eingeben</t>
        </is>
      </c>
    </row>
    <row r="956">
      <c r="A956" s="4" t="inlineStr">
        <is>
          <t>4578 T3-FLA-LP5-LP6-LP7-ab 04/2019</t>
        </is>
      </c>
      <c r="B956" s="4" t="inlineStr">
        <is>
          <t>● Wiederholung für 2. Änderungs-VU</t>
        </is>
      </c>
      <c r="C956" s="9" t="inlineStr">
        <is>
          <t>Unbekannt</t>
        </is>
      </c>
      <c r="D956" s="10" t="inlineStr">
        <is>
          <t>⚠ Manual erforderlich</t>
        </is>
      </c>
      <c r="E956" s="11" t="inlineStr"/>
      <c r="F956" s="11" t="n">
        <v>0</v>
      </c>
      <c r="G956" s="11">
        <f>E956-F956</f>
        <v/>
      </c>
      <c r="H956" s="11" t="n">
        <v/>
      </c>
      <c r="I956" s="11" t="n">
        <v/>
      </c>
      <c r="J956" s="11" t="n">
        <v/>
      </c>
      <c r="K956" s="4" t="inlineStr">
        <is>
          <t>Abrechnungsart wählen; Stundensätze eingeben</t>
        </is>
      </c>
    </row>
    <row r="957">
      <c r="A957" s="4" t="inlineStr">
        <is>
          <t>4578.01 T3-FLA-Leistungen-außerhalb-LP5-8-Fraport-T3</t>
        </is>
      </c>
      <c r="B957" s="4" t="inlineStr">
        <is>
          <t>● 5000-Ausführungsplanung</t>
        </is>
      </c>
      <c r="C957" s="9" t="inlineStr">
        <is>
          <t>Unbekannt</t>
        </is>
      </c>
      <c r="D957" s="10" t="inlineStr">
        <is>
          <t>⚠ Manual erforderlich</t>
        </is>
      </c>
      <c r="E957" s="11" t="inlineStr"/>
      <c r="F957" s="11" t="n">
        <v>0</v>
      </c>
      <c r="G957" s="11">
        <f>E957-F957</f>
        <v/>
      </c>
      <c r="H957" s="11" t="n">
        <v/>
      </c>
      <c r="I957" s="11" t="n">
        <v/>
      </c>
      <c r="J957" s="11" t="n">
        <v/>
      </c>
      <c r="K957" s="4" t="inlineStr">
        <is>
          <t>Abrechnungsart wählen; Stundensätze eingeben</t>
        </is>
      </c>
    </row>
    <row r="958">
      <c r="A958" s="4" t="inlineStr">
        <is>
          <t>4578.03 T3-FLA-LP5</t>
        </is>
      </c>
      <c r="B958" s="4" t="inlineStr">
        <is>
          <t>● 5000-Ausführungsplanung</t>
        </is>
      </c>
      <c r="C958" s="9" t="inlineStr">
        <is>
          <t>Unbekannt</t>
        </is>
      </c>
      <c r="D958" s="10" t="inlineStr">
        <is>
          <t>⚠ Manual erforderlich</t>
        </is>
      </c>
      <c r="E958" s="11" t="inlineStr"/>
      <c r="F958" s="11" t="n">
        <v>0</v>
      </c>
      <c r="G958" s="11">
        <f>E958-F958</f>
        <v/>
      </c>
      <c r="H958" s="11" t="n">
        <v/>
      </c>
      <c r="I958" s="11" t="n">
        <v/>
      </c>
      <c r="J958" s="11" t="n">
        <v/>
      </c>
      <c r="K958" s="4" t="inlineStr">
        <is>
          <t>Abrechnungsart wählen; Stundensätze eingeben</t>
        </is>
      </c>
    </row>
    <row r="959">
      <c r="A959" s="4" t="inlineStr">
        <is>
          <t>4578.100 T3-FLA-Mieterausbau</t>
        </is>
      </c>
      <c r="B959" s="4" t="inlineStr">
        <is>
          <t>● • Miko_0002 Trennwände Airline Lounges</t>
        </is>
      </c>
      <c r="C959" s="9" t="inlineStr">
        <is>
          <t>Unbekannt</t>
        </is>
      </c>
      <c r="D959" s="10" t="inlineStr">
        <is>
          <t>⚠ Manual erforderlich</t>
        </is>
      </c>
      <c r="E959" s="11" t="inlineStr"/>
      <c r="F959" s="11" t="n">
        <v>0</v>
      </c>
      <c r="G959" s="11">
        <f>E959-F959</f>
        <v/>
      </c>
      <c r="H959" s="11" t="n">
        <v/>
      </c>
      <c r="I959" s="11" t="n">
        <v/>
      </c>
      <c r="J959" s="11" t="n">
        <v/>
      </c>
      <c r="K959" s="4" t="inlineStr">
        <is>
          <t>Abrechnungsart wählen; Stundensätze eingeben</t>
        </is>
      </c>
    </row>
    <row r="960">
      <c r="A960" s="4" t="inlineStr">
        <is>
          <t>4578.100 T3-FLA-Mieterausbau</t>
        </is>
      </c>
      <c r="B960" s="4" t="inlineStr">
        <is>
          <t>● • Miko_0016 Mieterwunsch zur Umsetzung der gewünschten Position Humidor</t>
        </is>
      </c>
      <c r="C960" s="9" t="inlineStr">
        <is>
          <t>Unbekannt</t>
        </is>
      </c>
      <c r="D960" s="10" t="inlineStr">
        <is>
          <t>⚠ Manual erforderlich</t>
        </is>
      </c>
      <c r="E960" s="11" t="inlineStr"/>
      <c r="F960" s="11" t="n">
        <v>0</v>
      </c>
      <c r="G960" s="11">
        <f>E960-F960</f>
        <v/>
      </c>
      <c r="H960" s="11" t="n">
        <v/>
      </c>
      <c r="I960" s="11" t="n">
        <v/>
      </c>
      <c r="J960" s="11" t="n">
        <v/>
      </c>
      <c r="K960" s="4" t="inlineStr">
        <is>
          <t>Abrechnungsart wählen; Stundensätze eingeben</t>
        </is>
      </c>
    </row>
    <row r="961">
      <c r="A961" s="4" t="inlineStr">
        <is>
          <t>4578.100 T3-FLA-Mieterausbau</t>
        </is>
      </c>
      <c r="B961" s="4" t="inlineStr">
        <is>
          <t>● • Miko_0035.1 Konsolidierte Deckenspiegelplanung</t>
        </is>
      </c>
      <c r="C961" s="9" t="inlineStr">
        <is>
          <t>Unbekannt</t>
        </is>
      </c>
      <c r="D961" s="10" t="inlineStr">
        <is>
          <t>⚠ Manual erforderlich</t>
        </is>
      </c>
      <c r="E961" s="11" t="inlineStr"/>
      <c r="F961" s="11" t="n">
        <v>0</v>
      </c>
      <c r="G961" s="11">
        <f>E961-F961</f>
        <v/>
      </c>
      <c r="H961" s="11" t="n">
        <v/>
      </c>
      <c r="I961" s="11" t="n">
        <v/>
      </c>
      <c r="J961" s="11" t="n">
        <v/>
      </c>
      <c r="K961" s="4" t="inlineStr">
        <is>
          <t>Abrechnungsart wählen; Stundensätze eingeben</t>
        </is>
      </c>
    </row>
    <row r="962">
      <c r="A962" s="4" t="inlineStr">
        <is>
          <t>4578.100 T3-FLA-Mieterausbau</t>
        </is>
      </c>
      <c r="B962" s="4" t="inlineStr">
        <is>
          <t>● • Miko_0035.2_DSP_12Flächen</t>
        </is>
      </c>
      <c r="C962" s="9" t="inlineStr">
        <is>
          <t>Unbekannt</t>
        </is>
      </c>
      <c r="D962" s="10" t="inlineStr">
        <is>
          <t>⚠ Manual erforderlich</t>
        </is>
      </c>
      <c r="E962" s="11" t="inlineStr"/>
      <c r="F962" s="11" t="n">
        <v>0</v>
      </c>
      <c r="G962" s="11">
        <f>E962-F962</f>
        <v/>
      </c>
      <c r="H962" s="11" t="n">
        <v/>
      </c>
      <c r="I962" s="11" t="n">
        <v/>
      </c>
      <c r="J962" s="11" t="n">
        <v/>
      </c>
      <c r="K962" s="4" t="inlineStr">
        <is>
          <t>Abrechnungsart wählen; Stundensätze eingeben</t>
        </is>
      </c>
    </row>
    <row r="963">
      <c r="A963" s="4" t="inlineStr">
        <is>
          <t>4578.100 T3-FLA-Mieterausbau</t>
        </is>
      </c>
      <c r="B963" s="4" t="inlineStr">
        <is>
          <t>● • Miko_0035.2_DSP_42Flächen</t>
        </is>
      </c>
      <c r="C963" s="9" t="inlineStr">
        <is>
          <t>Unbekannt</t>
        </is>
      </c>
      <c r="D963" s="10" t="inlineStr">
        <is>
          <t>⚠ Manual erforderlich</t>
        </is>
      </c>
      <c r="E963" s="11" t="inlineStr"/>
      <c r="F963" s="11" t="n">
        <v>0</v>
      </c>
      <c r="G963" s="11">
        <f>E963-F963</f>
        <v/>
      </c>
      <c r="H963" s="11" t="n">
        <v/>
      </c>
      <c r="I963" s="11" t="n">
        <v/>
      </c>
      <c r="J963" s="11" t="n">
        <v/>
      </c>
      <c r="K963" s="4" t="inlineStr">
        <is>
          <t>Abrechnungsart wählen; Stundensätze eingeben</t>
        </is>
      </c>
    </row>
    <row r="964">
      <c r="A964" s="4" t="inlineStr">
        <is>
          <t>4578.200 T3-FLA-Mieterausbau-Objektüberwachung-Sprinkleranpassungen</t>
        </is>
      </c>
      <c r="B964" s="4" t="inlineStr">
        <is>
          <t>● • (aN) Pos. 1 Objektüberwachung Mieterausbau Sprinkleranpassungen</t>
        </is>
      </c>
      <c r="C964" s="4" t="inlineStr">
        <is>
          <t>Nachweis</t>
        </is>
      </c>
      <c r="D964" s="10" t="inlineStr">
        <is>
          <t>⚠ Manual erforderlich</t>
        </is>
      </c>
      <c r="E964" s="11" t="inlineStr"/>
      <c r="F964" s="11" t="n">
        <v>0</v>
      </c>
      <c r="G964" s="11">
        <f>E964-F964</f>
        <v/>
      </c>
      <c r="H964" s="11" t="n">
        <v/>
      </c>
      <c r="I964" s="11" t="n">
        <v/>
      </c>
      <c r="J964" s="11" t="n">
        <v/>
      </c>
      <c r="K964" s="4" t="inlineStr">
        <is>
          <t>Stundensätze eingeben</t>
        </is>
      </c>
    </row>
    <row r="965">
      <c r="A965" s="4" t="inlineStr">
        <is>
          <t>4582.02 BSO+Pläne-IC-L-MAN-Nürnberg-Prüfstandsgebäude-A100</t>
        </is>
      </c>
      <c r="B965" s="4" t="inlineStr">
        <is>
          <t>● 9000-Objektbetreuung und Dokumentation</t>
        </is>
      </c>
      <c r="C965" s="9" t="inlineStr">
        <is>
          <t>Unbekannt</t>
        </is>
      </c>
      <c r="D965" s="10" t="inlineStr">
        <is>
          <t>⚠ Manual erforderlich</t>
        </is>
      </c>
      <c r="E965" s="11" t="inlineStr"/>
      <c r="F965" s="11" t="n">
        <v>0</v>
      </c>
      <c r="G965" s="11">
        <f>E965-F965</f>
        <v/>
      </c>
      <c r="H965" s="11" t="n">
        <v/>
      </c>
      <c r="I965" s="11" t="n">
        <v/>
      </c>
      <c r="J965" s="11" t="n">
        <v/>
      </c>
      <c r="K965" s="4" t="inlineStr">
        <is>
          <t>Abrechnungsart wählen; Stundensätze eingeben</t>
        </is>
      </c>
    </row>
    <row r="966">
      <c r="A966" s="4" t="inlineStr">
        <is>
          <t>4634.02 FWP-Deutschherrnufer-43+44-Ffm-KiTa</t>
        </is>
      </c>
      <c r="B966" s="4" t="inlineStr">
        <is>
          <t>● (p) Pos.1 Erstellung FWP inkl. Objektbegehung</t>
        </is>
      </c>
      <c r="C966" s="4" t="inlineStr">
        <is>
          <t>Pauschale</t>
        </is>
      </c>
      <c r="D966" s="10" t="inlineStr">
        <is>
          <t>⚠ Manual erforderlich</t>
        </is>
      </c>
      <c r="E966" s="11" t="inlineStr"/>
      <c r="F966" s="11" t="n">
        <v>0</v>
      </c>
      <c r="G966" s="11">
        <f>E966-F966</f>
        <v/>
      </c>
      <c r="H966" s="11" t="n">
        <v>0</v>
      </c>
      <c r="I966" s="11" t="n">
        <v>0</v>
      </c>
      <c r="J966" s="11" t="n">
        <v>0</v>
      </c>
      <c r="K966" s="4" t="inlineStr">
        <is>
          <t>Stundensätze eingeben</t>
        </is>
      </c>
    </row>
    <row r="967">
      <c r="A967" s="4" t="inlineStr">
        <is>
          <t>4634.02 FWP-Deutschherrnufer-43+44-Ffm-KiTa</t>
        </is>
      </c>
      <c r="B967" s="4" t="inlineStr">
        <is>
          <t>● (p) Pos.1 digitalisierung v. Planunterlagen DWG-Pläne</t>
        </is>
      </c>
      <c r="C967" s="4" t="inlineStr">
        <is>
          <t>Pauschale</t>
        </is>
      </c>
      <c r="D967" s="10" t="inlineStr">
        <is>
          <t>⚠ Manual erforderlich</t>
        </is>
      </c>
      <c r="E967" s="11" t="inlineStr"/>
      <c r="F967" s="11" t="n">
        <v>0</v>
      </c>
      <c r="G967" s="11">
        <f>E967-F967</f>
        <v/>
      </c>
      <c r="H967" s="11" t="n">
        <v>0</v>
      </c>
      <c r="I967" s="11" t="n">
        <v>0</v>
      </c>
      <c r="J967" s="11" t="n">
        <v>0</v>
      </c>
      <c r="K967" s="4" t="inlineStr">
        <is>
          <t>Stundensätze eingeben</t>
        </is>
      </c>
    </row>
    <row r="968">
      <c r="A968" s="4" t="inlineStr">
        <is>
          <t>4642.01 BTB-An-der-Stadtmauer-6-Kronberg</t>
        </is>
      </c>
      <c r="B968" s="4" t="inlineStr">
        <is>
          <t>● 5000-Ausführungsplanung</t>
        </is>
      </c>
      <c r="C968" s="9" t="inlineStr">
        <is>
          <t>Unbekannt</t>
        </is>
      </c>
      <c r="D968" s="10" t="inlineStr">
        <is>
          <t>⚠ Manual erforderlich</t>
        </is>
      </c>
      <c r="E968" s="11" t="inlineStr"/>
      <c r="F968" s="11" t="n">
        <v>0</v>
      </c>
      <c r="G968" s="11">
        <f>E968-F968</f>
        <v/>
      </c>
      <c r="H968" s="11" t="n">
        <v/>
      </c>
      <c r="I968" s="11" t="n">
        <v/>
      </c>
      <c r="J968" s="11" t="n">
        <v/>
      </c>
      <c r="K968" s="4" t="inlineStr">
        <is>
          <t>Abrechnungsart wählen; Stundensätze eingeben</t>
        </is>
      </c>
    </row>
    <row r="969">
      <c r="A969" s="4" t="inlineStr">
        <is>
          <t>4642.01 BTB-An-der-Stadtmauer-6-Kronberg</t>
        </is>
      </c>
      <c r="B969" s="4" t="inlineStr">
        <is>
          <t>● 8000-Objektüberwachung</t>
        </is>
      </c>
      <c r="C969" s="9" t="inlineStr">
        <is>
          <t>Unbekannt</t>
        </is>
      </c>
      <c r="D969" s="10" t="inlineStr">
        <is>
          <t>⚠ Manual erforderlich</t>
        </is>
      </c>
      <c r="E969" s="11" t="inlineStr"/>
      <c r="F969" s="11" t="n">
        <v>0</v>
      </c>
      <c r="G969" s="11">
        <f>E969-F969</f>
        <v/>
      </c>
      <c r="H969" s="11" t="n">
        <v/>
      </c>
      <c r="I969" s="11" t="n">
        <v/>
      </c>
      <c r="J969" s="11" t="n">
        <v/>
      </c>
      <c r="K969" s="4" t="inlineStr">
        <is>
          <t>Abrechnungsart wählen; Stundensätze eingeben</t>
        </is>
      </c>
    </row>
    <row r="970">
      <c r="A970" s="4" t="inlineStr">
        <is>
          <t>4651.04 Fraport-RV-BST-Geb117</t>
        </is>
      </c>
      <c r="B970" s="4" t="inlineStr">
        <is>
          <t>●  (aN) Pos. 1 Erstellung einer Brandschutztechnischen Stellungnahme</t>
        </is>
      </c>
      <c r="C970" s="4" t="inlineStr">
        <is>
          <t>Nachweis</t>
        </is>
      </c>
      <c r="D970" s="10" t="inlineStr">
        <is>
          <t>⚠ Manual erforderlich</t>
        </is>
      </c>
      <c r="E970" s="11" t="inlineStr"/>
      <c r="F970" s="11" t="n">
        <v>0</v>
      </c>
      <c r="G970" s="11">
        <f>E970-F970</f>
        <v/>
      </c>
      <c r="H970" s="11" t="n">
        <v/>
      </c>
      <c r="I970" s="11" t="n">
        <v/>
      </c>
      <c r="J970" s="11" t="n">
        <v/>
      </c>
      <c r="K970" s="4" t="inlineStr">
        <is>
          <t>Stundensätze eingeben</t>
        </is>
      </c>
    </row>
    <row r="971">
      <c r="A971" s="4" t="inlineStr">
        <is>
          <t>4652.02 Fraport-RV-Feuerwache2-LP8</t>
        </is>
      </c>
      <c r="B971" s="4" t="inlineStr">
        <is>
          <t>● (aN) LP8 BAB + Qualitätsüberwachung f.d. Durchführung d. Baumaßnahme</t>
        </is>
      </c>
      <c r="C971" s="4" t="inlineStr">
        <is>
          <t>Nachweis</t>
        </is>
      </c>
      <c r="D971" s="10" t="inlineStr">
        <is>
          <t>⚠ Manual erforderlich</t>
        </is>
      </c>
      <c r="E971" s="11" t="inlineStr"/>
      <c r="F971" s="11" t="n">
        <v>0</v>
      </c>
      <c r="G971" s="11">
        <f>E971-F971</f>
        <v/>
      </c>
      <c r="H971" s="11" t="n">
        <v/>
      </c>
      <c r="I971" s="11" t="n">
        <v/>
      </c>
      <c r="J971" s="11" t="n">
        <v/>
      </c>
      <c r="K971" s="4" t="inlineStr">
        <is>
          <t>Stundensätze eingeben</t>
        </is>
      </c>
    </row>
    <row r="972">
      <c r="A972" s="4" t="inlineStr">
        <is>
          <t>4657.08 BSK-Umspannanlage-Lyoner-Straße-22-ADAC-Frankfurt</t>
        </is>
      </c>
      <c r="B972" s="4" t="inlineStr">
        <is>
          <t>● (p.) BSK</t>
        </is>
      </c>
      <c r="C972" s="9" t="inlineStr">
        <is>
          <t>Unbekannt</t>
        </is>
      </c>
      <c r="D972" s="10" t="inlineStr">
        <is>
          <t>⚠ Manual erforderlich</t>
        </is>
      </c>
      <c r="E972" s="11" t="inlineStr"/>
      <c r="F972" s="11" t="n">
        <v>0</v>
      </c>
      <c r="G972" s="11">
        <f>E972-F972</f>
        <v/>
      </c>
      <c r="H972" s="11" t="n">
        <v/>
      </c>
      <c r="I972" s="11" t="n">
        <v/>
      </c>
      <c r="J972" s="11" t="n">
        <v/>
      </c>
      <c r="K972" s="4" t="inlineStr">
        <is>
          <t>Abrechnungsart wählen; Stundensätze eingeben</t>
        </is>
      </c>
    </row>
    <row r="973">
      <c r="A973" s="4" t="inlineStr">
        <is>
          <t>4657.08 BSK-Umspannanlage-Lyoner-Straße-22-ADAC-Frankfurt</t>
        </is>
      </c>
      <c r="B973" s="4" t="inlineStr">
        <is>
          <t>● (a.N.) BAB</t>
        </is>
      </c>
      <c r="C973" s="4" t="inlineStr">
        <is>
          <t>Nachweis</t>
        </is>
      </c>
      <c r="D973" s="10" t="inlineStr">
        <is>
          <t>⚠ Manual erforderlich</t>
        </is>
      </c>
      <c r="E973" s="11" t="inlineStr"/>
      <c r="F973" s="11" t="n">
        <v>0</v>
      </c>
      <c r="G973" s="11">
        <f>E973-F973</f>
        <v/>
      </c>
      <c r="H973" s="11" t="n">
        <v/>
      </c>
      <c r="I973" s="11" t="n">
        <v/>
      </c>
      <c r="J973" s="11" t="n">
        <v/>
      </c>
      <c r="K973" s="4" t="inlineStr">
        <is>
          <t>Stundensätze eingeben</t>
        </is>
      </c>
    </row>
    <row r="974">
      <c r="A974" s="4" t="inlineStr">
        <is>
          <t>4657.09 ADAC-FWP-Fahrsicherheitszentrum-Gründau+LyonerStr-22-Frankfurt</t>
        </is>
      </c>
      <c r="B974" s="4" t="inlineStr">
        <is>
          <t>● (aN) Pos. 1 Prüfung Feuerwehrpläne Lyoner Str. 22</t>
        </is>
      </c>
      <c r="C974" s="4" t="inlineStr">
        <is>
          <t>Nachweis</t>
        </is>
      </c>
      <c r="D974" s="10" t="inlineStr">
        <is>
          <t>⚠ Manual erforderlich</t>
        </is>
      </c>
      <c r="E974" s="11" t="inlineStr"/>
      <c r="F974" s="11" t="n">
        <v>0</v>
      </c>
      <c r="G974" s="11">
        <f>E974-F974</f>
        <v/>
      </c>
      <c r="H974" s="11" t="n">
        <v/>
      </c>
      <c r="I974" s="11" t="n">
        <v/>
      </c>
      <c r="J974" s="11" t="n">
        <v/>
      </c>
      <c r="K974" s="4" t="inlineStr">
        <is>
          <t>Stundensätze eingeben</t>
        </is>
      </c>
    </row>
    <row r="975">
      <c r="A975" s="4" t="inlineStr">
        <is>
          <t>4657.09 ADAC-FWP-Fahrsicherheitszentrum-Gründau+LyonerStr-22-Frankfurt</t>
        </is>
      </c>
      <c r="B975" s="4" t="inlineStr">
        <is>
          <t>● (aN) Pos. 2 Prüfung Feuerwehrpläne Fahrsicherheitszentrum RheinMain (Gründau)</t>
        </is>
      </c>
      <c r="C975" s="4" t="inlineStr">
        <is>
          <t>Nachweis</t>
        </is>
      </c>
      <c r="D975" s="10" t="inlineStr">
        <is>
          <t>⚠ Manual erforderlich</t>
        </is>
      </c>
      <c r="E975" s="11" t="inlineStr"/>
      <c r="F975" s="11" t="n">
        <v>0</v>
      </c>
      <c r="G975" s="11">
        <f>E975-F975</f>
        <v/>
      </c>
      <c r="H975" s="11" t="n">
        <v/>
      </c>
      <c r="I975" s="11" t="n">
        <v/>
      </c>
      <c r="J975" s="11" t="n">
        <v/>
      </c>
      <c r="K975" s="4" t="inlineStr">
        <is>
          <t>Stundensätze eingeben</t>
        </is>
      </c>
    </row>
    <row r="976">
      <c r="A976" s="4" t="inlineStr">
        <is>
          <t>4657.09 ADAC-FWP-Fahrsicherheitszentrum-Gründau+LyonerStr-22-Frankfurt</t>
        </is>
      </c>
      <c r="B976" s="4" t="inlineStr">
        <is>
          <t>● (aN) Erstellen od. Prüfen FWP (ANG per eMail 24-12-03)</t>
        </is>
      </c>
      <c r="C976" s="4" t="inlineStr">
        <is>
          <t>Nachweis</t>
        </is>
      </c>
      <c r="D976" s="10" t="inlineStr">
        <is>
          <t>⚠ Manual erforderlich</t>
        </is>
      </c>
      <c r="E976" s="11" t="inlineStr"/>
      <c r="F976" s="11" t="n">
        <v>0</v>
      </c>
      <c r="G976" s="11">
        <f>E976-F976</f>
        <v/>
      </c>
      <c r="H976" s="11" t="n">
        <v/>
      </c>
      <c r="I976" s="11" t="n">
        <v/>
      </c>
      <c r="J976" s="11" t="n">
        <v/>
      </c>
      <c r="K976" s="4" t="inlineStr">
        <is>
          <t>Stundensätze eingeben</t>
        </is>
      </c>
    </row>
    <row r="977">
      <c r="A977" s="4" t="inlineStr">
        <is>
          <t>4657.09 ADAC-FWP-Fahrsicherheitszentrum-Gründau+LyonerStr-22-Frankfurt</t>
        </is>
      </c>
      <c r="B977" s="4" t="inlineStr">
        <is>
          <t>● (aN) Erstellen od. Prüfen FRP (ANG per eMail 24-12-03)</t>
        </is>
      </c>
      <c r="C977" s="4" t="inlineStr">
        <is>
          <t>Nachweis</t>
        </is>
      </c>
      <c r="D977" s="10" t="inlineStr">
        <is>
          <t>⚠ Manual erforderlich</t>
        </is>
      </c>
      <c r="E977" s="11" t="inlineStr"/>
      <c r="F977" s="11" t="n">
        <v>0</v>
      </c>
      <c r="G977" s="11">
        <f>E977-F977</f>
        <v/>
      </c>
      <c r="H977" s="11" t="n">
        <v/>
      </c>
      <c r="I977" s="11" t="n">
        <v/>
      </c>
      <c r="J977" s="11" t="n">
        <v/>
      </c>
      <c r="K977" s="4" t="inlineStr">
        <is>
          <t>Stundensätze eingeben</t>
        </is>
      </c>
    </row>
    <row r="978">
      <c r="A978" s="4" t="inlineStr">
        <is>
          <t>4677 Paul-Ehrlich-Straße-29-Langen-Umweltbundesamt-1.OG-Südflügel</t>
        </is>
      </c>
      <c r="B978" s="4" t="inlineStr">
        <is>
          <t>● 1000-Grundlagenermittlung</t>
        </is>
      </c>
      <c r="C978" s="9" t="inlineStr">
        <is>
          <t>Unbekannt</t>
        </is>
      </c>
      <c r="D978" s="10" t="inlineStr">
        <is>
          <t>⚠ Manual erforderlich</t>
        </is>
      </c>
      <c r="E978" s="11" t="inlineStr"/>
      <c r="F978" s="11" t="n">
        <v>0</v>
      </c>
      <c r="G978" s="11">
        <f>E978-F978</f>
        <v/>
      </c>
      <c r="H978" s="11" t="n">
        <v/>
      </c>
      <c r="I978" s="11" t="n">
        <v/>
      </c>
      <c r="J978" s="11" t="n">
        <v/>
      </c>
      <c r="K978" s="4" t="inlineStr">
        <is>
          <t>Abrechnungsart wählen; Stundensätze eingeben</t>
        </is>
      </c>
    </row>
    <row r="979">
      <c r="A979" s="4" t="inlineStr">
        <is>
          <t>4677 Paul-Ehrlich-Straße-29-Langen-Umweltbundesamt-1.OG-Südflügel</t>
        </is>
      </c>
      <c r="B979" s="4" t="inlineStr">
        <is>
          <t>● 2000-Vorplanung</t>
        </is>
      </c>
      <c r="C979" s="9" t="inlineStr">
        <is>
          <t>Unbekannt</t>
        </is>
      </c>
      <c r="D979" s="10" t="inlineStr">
        <is>
          <t>⚠ Manual erforderlich</t>
        </is>
      </c>
      <c r="E979" s="11" t="inlineStr"/>
      <c r="F979" s="11" t="n">
        <v>0</v>
      </c>
      <c r="G979" s="11">
        <f>E979-F979</f>
        <v/>
      </c>
      <c r="H979" s="11" t="n">
        <v/>
      </c>
      <c r="I979" s="11" t="n">
        <v/>
      </c>
      <c r="J979" s="11" t="n">
        <v/>
      </c>
      <c r="K979" s="4" t="inlineStr">
        <is>
          <t>Abrechnungsart wählen; Stundensätze eingeben</t>
        </is>
      </c>
    </row>
    <row r="980">
      <c r="A980" s="4" t="inlineStr">
        <is>
          <t>4677 Paul-Ehrlich-Straße-29-Langen-Umweltbundesamt-1.OG-Südflügel</t>
        </is>
      </c>
      <c r="B980" s="4" t="inlineStr">
        <is>
          <t>● 3000-Entwurfsplanung</t>
        </is>
      </c>
      <c r="C980" s="9" t="inlineStr">
        <is>
          <t>Unbekannt</t>
        </is>
      </c>
      <c r="D980" s="10" t="inlineStr">
        <is>
          <t>⚠ Manual erforderlich</t>
        </is>
      </c>
      <c r="E980" s="11" t="inlineStr"/>
      <c r="F980" s="11" t="n">
        <v>0</v>
      </c>
      <c r="G980" s="11">
        <f>E980-F980</f>
        <v/>
      </c>
      <c r="H980" s="11" t="n">
        <v/>
      </c>
      <c r="I980" s="11" t="n">
        <v/>
      </c>
      <c r="J980" s="11" t="n">
        <v/>
      </c>
      <c r="K980" s="4" t="inlineStr">
        <is>
          <t>Abrechnungsart wählen; Stundensätze eingeben</t>
        </is>
      </c>
    </row>
    <row r="981">
      <c r="A981" s="4" t="inlineStr">
        <is>
          <t>4677 Paul-Ehrlich-Straße-29-Langen-Umweltbundesamt-1.OG-Südflügel</t>
        </is>
      </c>
      <c r="B981" s="4" t="inlineStr">
        <is>
          <t>● 5000-Ausführungsplanung</t>
        </is>
      </c>
      <c r="C981" s="9" t="inlineStr">
        <is>
          <t>Unbekannt</t>
        </is>
      </c>
      <c r="D981" s="10" t="inlineStr">
        <is>
          <t>⚠ Manual erforderlich</t>
        </is>
      </c>
      <c r="E981" s="11" t="inlineStr"/>
      <c r="F981" s="11" t="n">
        <v>0</v>
      </c>
      <c r="G981" s="11">
        <f>E981-F981</f>
        <v/>
      </c>
      <c r="H981" s="11" t="n">
        <v/>
      </c>
      <c r="I981" s="11" t="n">
        <v/>
      </c>
      <c r="J981" s="11" t="n">
        <v/>
      </c>
      <c r="K981" s="4" t="inlineStr">
        <is>
          <t>Abrechnungsart wählen; Stundensätze eingeben</t>
        </is>
      </c>
    </row>
    <row r="982">
      <c r="A982" s="4" t="inlineStr">
        <is>
          <t>4677 Paul-Ehrlich-Straße-29-Langen-Umweltbundesamt-1.OG-Südflügel</t>
        </is>
      </c>
      <c r="B982" s="4" t="inlineStr">
        <is>
          <t>● 8000-Objektüberwachung</t>
        </is>
      </c>
      <c r="C982" s="9" t="inlineStr">
        <is>
          <t>Unbekannt</t>
        </is>
      </c>
      <c r="D982" s="10" t="inlineStr">
        <is>
          <t>⚠ Manual erforderlich</t>
        </is>
      </c>
      <c r="E982" s="11" t="inlineStr"/>
      <c r="F982" s="11" t="n">
        <v>0</v>
      </c>
      <c r="G982" s="11">
        <f>E982-F982</f>
        <v/>
      </c>
      <c r="H982" s="11" t="n">
        <v/>
      </c>
      <c r="I982" s="11" t="n">
        <v/>
      </c>
      <c r="J982" s="11" t="n">
        <v/>
      </c>
      <c r="K982" s="4" t="inlineStr">
        <is>
          <t>Abrechnungsart wählen; Stundensätze eingeben</t>
        </is>
      </c>
    </row>
    <row r="983">
      <c r="A983" s="4" t="inlineStr">
        <is>
          <t>4677 Paul-Ehrlich-Straße-29-Langen-Umweltbundesamt-1.OG-Südflügel</t>
        </is>
      </c>
      <c r="B983" s="4" t="inlineStr">
        <is>
          <t>● BST+Maßnahmenliste gesamt</t>
        </is>
      </c>
      <c r="C983" s="9" t="inlineStr">
        <is>
          <t>Unbekannt</t>
        </is>
      </c>
      <c r="D983" s="10" t="inlineStr">
        <is>
          <t>⚠ Manual erforderlich</t>
        </is>
      </c>
      <c r="E983" s="11" t="inlineStr"/>
      <c r="F983" s="11" t="n">
        <v>0</v>
      </c>
      <c r="G983" s="11">
        <f>E983-F983</f>
        <v/>
      </c>
      <c r="H983" s="11" t="n">
        <v/>
      </c>
      <c r="I983" s="11" t="n">
        <v/>
      </c>
      <c r="J983" s="11" t="n">
        <v/>
      </c>
      <c r="K983" s="4" t="inlineStr">
        <is>
          <t>Abrechnungsart wählen; Stundensätze eingeben</t>
        </is>
      </c>
    </row>
    <row r="984">
      <c r="A984" s="4" t="inlineStr">
        <is>
          <t>4677.04 FWP-Paul-Ehrlich-Straße-29-Langen-Umweltbundesamt</t>
        </is>
      </c>
      <c r="B984" s="4" t="inlineStr">
        <is>
          <t>● (p) Pos.1 Revision FWP Umweltbundesamt, Langen</t>
        </is>
      </c>
      <c r="C984" s="4" t="inlineStr">
        <is>
          <t>Pauschale</t>
        </is>
      </c>
      <c r="D984" s="10" t="inlineStr">
        <is>
          <t>⚠ Manual erforderlich</t>
        </is>
      </c>
      <c r="E984" s="11" t="inlineStr"/>
      <c r="F984" s="11" t="n">
        <v>0</v>
      </c>
      <c r="G984" s="11">
        <f>E984-F984</f>
        <v/>
      </c>
      <c r="H984" s="11" t="n">
        <v>0</v>
      </c>
      <c r="I984" s="11" t="n">
        <v>0</v>
      </c>
      <c r="J984" s="11" t="n">
        <v>0</v>
      </c>
      <c r="K984" s="4" t="inlineStr">
        <is>
          <t>Stundensätze eingeben</t>
        </is>
      </c>
    </row>
    <row r="985">
      <c r="A985" s="4" t="inlineStr">
        <is>
          <t>4698.11 Geb-A-Medienkanal-Kleyerstraße-88-90-Frankfurt-Equinix</t>
        </is>
      </c>
      <c r="B985" s="4" t="inlineStr">
        <is>
          <t>● 5000-Ausführungsplanung</t>
        </is>
      </c>
      <c r="C985" s="9" t="inlineStr">
        <is>
          <t>Unbekannt</t>
        </is>
      </c>
      <c r="D985" s="10" t="inlineStr">
        <is>
          <t>⚠ Manual erforderlich</t>
        </is>
      </c>
      <c r="E985" s="11" t="inlineStr"/>
      <c r="F985" s="11" t="n">
        <v>0</v>
      </c>
      <c r="G985" s="11">
        <f>E985-F985</f>
        <v/>
      </c>
      <c r="H985" s="11" t="n">
        <v/>
      </c>
      <c r="I985" s="11" t="n">
        <v/>
      </c>
      <c r="J985" s="11" t="n">
        <v/>
      </c>
      <c r="K985" s="4" t="inlineStr">
        <is>
          <t>Abrechnungsart wählen; Stundensätze eingeben</t>
        </is>
      </c>
    </row>
    <row r="986">
      <c r="A986" s="4" t="inlineStr">
        <is>
          <t>4698.11 Geb-A-Medienkanal-Kleyerstraße-88-90-Frankfurt-Equinix</t>
        </is>
      </c>
      <c r="B986" s="4" t="inlineStr">
        <is>
          <t>● 8000-Objektüberwachung</t>
        </is>
      </c>
      <c r="C986" s="9" t="inlineStr">
        <is>
          <t>Unbekannt</t>
        </is>
      </c>
      <c r="D986" s="10" t="inlineStr">
        <is>
          <t>⚠ Manual erforderlich</t>
        </is>
      </c>
      <c r="E986" s="11" t="inlineStr"/>
      <c r="F986" s="11" t="n">
        <v>0</v>
      </c>
      <c r="G986" s="11">
        <f>E986-F986</f>
        <v/>
      </c>
      <c r="H986" s="11" t="n">
        <v/>
      </c>
      <c r="I986" s="11" t="n">
        <v/>
      </c>
      <c r="J986" s="11" t="n">
        <v/>
      </c>
      <c r="K986" s="4" t="inlineStr">
        <is>
          <t>Abrechnungsart wählen; Stundensätze eingeben</t>
        </is>
      </c>
    </row>
    <row r="987">
      <c r="A987" s="4" t="inlineStr">
        <is>
          <t>4698.177 BTB-Rebstöckerstr-25-31-Kleyerstr-88-90-Frankfurt-ITENOS-FRA1-Geb-B-UG</t>
        </is>
      </c>
      <c r="B987" s="4" t="inlineStr">
        <is>
          <t>● (a.N.) Pos.1 BTB Geb. B Untergeschoss</t>
        </is>
      </c>
      <c r="C987" s="4" t="inlineStr">
        <is>
          <t>Nachweis</t>
        </is>
      </c>
      <c r="D987" s="10" t="inlineStr">
        <is>
          <t>⚠ Manual erforderlich</t>
        </is>
      </c>
      <c r="E987" s="11" t="inlineStr"/>
      <c r="F987" s="11" t="n">
        <v>0</v>
      </c>
      <c r="G987" s="11">
        <f>E987-F987</f>
        <v/>
      </c>
      <c r="H987" s="11" t="n">
        <v/>
      </c>
      <c r="I987" s="11" t="n">
        <v/>
      </c>
      <c r="J987" s="11" t="n">
        <v/>
      </c>
      <c r="K987" s="4" t="inlineStr">
        <is>
          <t>Stundensätze eingeben</t>
        </is>
      </c>
    </row>
    <row r="988">
      <c r="A988" s="4" t="inlineStr">
        <is>
          <t>4698.20 IBX-Bereiche-FR-5-Kleyerstraße-88-90-Frankfurt-Equinix</t>
        </is>
      </c>
      <c r="B988" s="4" t="inlineStr">
        <is>
          <t>● 5000-Ausführungsplanung</t>
        </is>
      </c>
      <c r="C988" s="9" t="inlineStr">
        <is>
          <t>Unbekannt</t>
        </is>
      </c>
      <c r="D988" s="10" t="inlineStr">
        <is>
          <t>⚠ Manual erforderlich</t>
        </is>
      </c>
      <c r="E988" s="11" t="inlineStr"/>
      <c r="F988" s="11" t="n">
        <v>0</v>
      </c>
      <c r="G988" s="11">
        <f>E988-F988</f>
        <v/>
      </c>
      <c r="H988" s="11" t="n">
        <v/>
      </c>
      <c r="I988" s="11" t="n">
        <v/>
      </c>
      <c r="J988" s="11" t="n">
        <v/>
      </c>
      <c r="K988" s="4" t="inlineStr">
        <is>
          <t>Abrechnungsart wählen; Stundensätze eingeben</t>
        </is>
      </c>
    </row>
    <row r="989">
      <c r="A989" s="4" t="inlineStr">
        <is>
          <t>4698.20 IBX-Bereiche-FR-5-Kleyerstraße-88-90-Frankfurt-Equinix</t>
        </is>
      </c>
      <c r="B989" s="4" t="inlineStr">
        <is>
          <t>● 8000-Objektüberwachung</t>
        </is>
      </c>
      <c r="C989" s="9" t="inlineStr">
        <is>
          <t>Unbekannt</t>
        </is>
      </c>
      <c r="D989" s="10" t="inlineStr">
        <is>
          <t>⚠ Manual erforderlich</t>
        </is>
      </c>
      <c r="E989" s="11" t="inlineStr"/>
      <c r="F989" s="11" t="n">
        <v>0</v>
      </c>
      <c r="G989" s="11">
        <f>E989-F989</f>
        <v/>
      </c>
      <c r="H989" s="11" t="n">
        <v/>
      </c>
      <c r="I989" s="11" t="n">
        <v/>
      </c>
      <c r="J989" s="11" t="n">
        <v/>
      </c>
      <c r="K989" s="4" t="inlineStr">
        <is>
          <t>Abrechnungsart wählen; Stundensätze eingeben</t>
        </is>
      </c>
    </row>
    <row r="990">
      <c r="A990" s="4" t="inlineStr">
        <is>
          <t>4698.31 QBS-FR-5-Kleyerstraße-88-90-Frankfurt-Equinix</t>
        </is>
      </c>
      <c r="B990" s="4" t="inlineStr">
        <is>
          <t>● Brandfallsteuermatrix (auf Nachweis)</t>
        </is>
      </c>
      <c r="C990" s="9" t="inlineStr">
        <is>
          <t>Unbekannt</t>
        </is>
      </c>
      <c r="D990" s="10" t="inlineStr">
        <is>
          <t>⚠ Manual erforderlich</t>
        </is>
      </c>
      <c r="E990" s="11" t="inlineStr"/>
      <c r="F990" s="11" t="n">
        <v>0</v>
      </c>
      <c r="G990" s="11">
        <f>E990-F990</f>
        <v/>
      </c>
      <c r="H990" s="11" t="n">
        <v/>
      </c>
      <c r="I990" s="11" t="n">
        <v/>
      </c>
      <c r="J990" s="11" t="n">
        <v/>
      </c>
      <c r="K990" s="4" t="inlineStr">
        <is>
          <t>Abrechnungsart wählen; Stundensätze eingeben</t>
        </is>
      </c>
    </row>
    <row r="991">
      <c r="A991" s="4" t="inlineStr">
        <is>
          <t>4698.37 Main-Works-FR-5-5-Kleyerstraße-88-90-Frankfurt-Equinix</t>
        </is>
      </c>
      <c r="B991" s="4" t="inlineStr">
        <is>
          <t>● Beratung + Baubegleitung (auf Nachweis)</t>
        </is>
      </c>
      <c r="C991" s="9" t="inlineStr">
        <is>
          <t>Unbekannt</t>
        </is>
      </c>
      <c r="D991" s="10" t="inlineStr">
        <is>
          <t>⚠ Manual erforderlich</t>
        </is>
      </c>
      <c r="E991" s="11" t="inlineStr"/>
      <c r="F991" s="11" t="n">
        <v>0</v>
      </c>
      <c r="G991" s="11">
        <f>E991-F991</f>
        <v/>
      </c>
      <c r="H991" s="11" t="n">
        <v/>
      </c>
      <c r="I991" s="11" t="n">
        <v/>
      </c>
      <c r="J991" s="11" t="n">
        <v/>
      </c>
      <c r="K991" s="4" t="inlineStr">
        <is>
          <t>Abrechnungsart wählen; Stundensätze eingeben</t>
        </is>
      </c>
    </row>
    <row r="992">
      <c r="A992" s="4" t="inlineStr">
        <is>
          <t>4698.37 Main-Works-FR-5-5-Kleyerstraße-88-90-Frankfurt-Equinix</t>
        </is>
      </c>
      <c r="B992" s="4" t="inlineStr">
        <is>
          <t>● Anpassung BSK (pauschal)</t>
        </is>
      </c>
      <c r="C992" s="9" t="inlineStr">
        <is>
          <t>Unbekannt</t>
        </is>
      </c>
      <c r="D992" s="10" t="inlineStr">
        <is>
          <t>⚠ Manual erforderlich</t>
        </is>
      </c>
      <c r="E992" s="11" t="inlineStr"/>
      <c r="F992" s="11" t="n">
        <v>0</v>
      </c>
      <c r="G992" s="11">
        <f>E992-F992</f>
        <v/>
      </c>
      <c r="H992" s="11" t="n">
        <v/>
      </c>
      <c r="I992" s="11" t="n">
        <v/>
      </c>
      <c r="J992" s="11" t="n">
        <v/>
      </c>
      <c r="K992" s="4" t="inlineStr">
        <is>
          <t>Abrechnungsart wählen; Stundensätze eingeben</t>
        </is>
      </c>
    </row>
    <row r="993">
      <c r="A993" s="4" t="inlineStr">
        <is>
          <t>4698.37 Main-Works-FR-5-5-Kleyerstraße-88-90-Frankfurt-Equinix</t>
        </is>
      </c>
      <c r="B993" s="4" t="inlineStr">
        <is>
          <t>● Pläne + Ausstattung Feuerlöscher (pauschal)</t>
        </is>
      </c>
      <c r="C993" s="9" t="inlineStr">
        <is>
          <t>Unbekannt</t>
        </is>
      </c>
      <c r="D993" s="10" t="inlineStr">
        <is>
          <t>⚠ Manual erforderlich</t>
        </is>
      </c>
      <c r="E993" s="11" t="inlineStr"/>
      <c r="F993" s="11" t="n">
        <v>0</v>
      </c>
      <c r="G993" s="11">
        <f>E993-F993</f>
        <v/>
      </c>
      <c r="H993" s="11" t="n">
        <v/>
      </c>
      <c r="I993" s="11" t="n">
        <v/>
      </c>
      <c r="J993" s="11" t="n">
        <v/>
      </c>
      <c r="K993" s="4" t="inlineStr">
        <is>
          <t>Abrechnungsart wählen; Stundensätze eingeben</t>
        </is>
      </c>
    </row>
    <row r="994">
      <c r="A994" s="4" t="inlineStr">
        <is>
          <t>4698.41 KOF-Kleyerstraße-88-90-Frankfurt-Equinix-FR5-Mülleinhausungen</t>
        </is>
      </c>
      <c r="B994" s="4" t="inlineStr">
        <is>
          <t>● (p) Pos.1 Erstellung Konformitätsbescheinigung FR5 Mülleinhausung</t>
        </is>
      </c>
      <c r="C994" s="4" t="inlineStr">
        <is>
          <t>Pauschale</t>
        </is>
      </c>
      <c r="D994" s="10" t="inlineStr">
        <is>
          <t>⚠ Manual erforderlich</t>
        </is>
      </c>
      <c r="E994" s="11" t="inlineStr"/>
      <c r="F994" s="11" t="n">
        <v>0</v>
      </c>
      <c r="G994" s="11">
        <f>E994-F994</f>
        <v/>
      </c>
      <c r="H994" s="11" t="n">
        <v>0</v>
      </c>
      <c r="I994" s="11" t="n">
        <v>0</v>
      </c>
      <c r="J994" s="11" t="n">
        <v>0</v>
      </c>
      <c r="K994" s="4" t="inlineStr">
        <is>
          <t>Stundensätze eingeben</t>
        </is>
      </c>
    </row>
    <row r="995">
      <c r="A995" s="4" t="inlineStr">
        <is>
          <t>4698.43 BTB-Kleyerstraße-Frankfurt-FR5.6</t>
        </is>
      </c>
      <c r="B995" s="4" t="inlineStr">
        <is>
          <t>● (p) Pos.1 BTB FR 5.6 Gebäude 4. &amp; 5. OG, MIB RIBA 2</t>
        </is>
      </c>
      <c r="C995" s="4" t="inlineStr">
        <is>
          <t>Pauschale</t>
        </is>
      </c>
      <c r="D995" s="10" t="inlineStr">
        <is>
          <t>⚠ Manual erforderlich</t>
        </is>
      </c>
      <c r="E995" s="11" t="inlineStr"/>
      <c r="F995" s="11" t="n">
        <v>0</v>
      </c>
      <c r="G995" s="11">
        <f>E995-F995</f>
        <v/>
      </c>
      <c r="H995" s="11" t="n">
        <v>0</v>
      </c>
      <c r="I995" s="11" t="n">
        <v>0</v>
      </c>
      <c r="J995" s="11" t="n">
        <v>0</v>
      </c>
      <c r="K995" s="4" t="inlineStr">
        <is>
          <t>Stundensätze eingeben</t>
        </is>
      </c>
    </row>
    <row r="996">
      <c r="A996" s="4" t="inlineStr">
        <is>
          <t>4698.43 BTB-Kleyerstraße-Frankfurt-FR5.6</t>
        </is>
      </c>
      <c r="B996" s="4" t="inlineStr">
        <is>
          <t>● (p) Pos.2 Erstellung BSK FR5.6</t>
        </is>
      </c>
      <c r="C996" s="4" t="inlineStr">
        <is>
          <t>Pauschale</t>
        </is>
      </c>
      <c r="D996" s="10" t="inlineStr">
        <is>
          <t>⚠ Manual erforderlich</t>
        </is>
      </c>
      <c r="E996" s="11" t="inlineStr"/>
      <c r="F996" s="11" t="n">
        <v>0</v>
      </c>
      <c r="G996" s="11">
        <f>E996-F996</f>
        <v/>
      </c>
      <c r="H996" s="11" t="n">
        <v>0</v>
      </c>
      <c r="I996" s="11" t="n">
        <v>0</v>
      </c>
      <c r="J996" s="11" t="n">
        <v>0</v>
      </c>
      <c r="K996" s="4" t="inlineStr">
        <is>
          <t>Stundensätze eingeben</t>
        </is>
      </c>
    </row>
    <row r="997">
      <c r="A997" s="4" t="inlineStr">
        <is>
          <t>4698.44 BSK-Kleyerstraße-88-90-Frankfurt-Equinix-Fortschreibung-BSK</t>
        </is>
      </c>
      <c r="B997" s="4" t="inlineStr">
        <is>
          <t>● (p) Pos.1 Fortschreibung BSK für Gebäude FR5 A, B + C + TG</t>
        </is>
      </c>
      <c r="C997" s="4" t="inlineStr">
        <is>
          <t>Pauschale</t>
        </is>
      </c>
      <c r="D997" s="10" t="inlineStr">
        <is>
          <t>⚠ Manual erforderlich</t>
        </is>
      </c>
      <c r="E997" s="11" t="inlineStr"/>
      <c r="F997" s="11" t="n">
        <v>0</v>
      </c>
      <c r="G997" s="11">
        <f>E997-F997</f>
        <v/>
      </c>
      <c r="H997" s="11" t="n">
        <v/>
      </c>
      <c r="I997" s="11" t="n">
        <v/>
      </c>
      <c r="J997" s="11" t="n">
        <v/>
      </c>
      <c r="K997" s="4" t="inlineStr">
        <is>
          <t>Stundensätze eingeben</t>
        </is>
      </c>
    </row>
    <row r="998">
      <c r="A998" s="4" t="inlineStr">
        <is>
          <t>4698.44 BSK-Kleyerstraße-88-90-Frankfurt-Equinix-Fortschreibung-BSK</t>
        </is>
      </c>
      <c r="B998" s="4" t="inlineStr">
        <is>
          <t>● (aN) Pos.2 Beratungslstg. in Planungsphase</t>
        </is>
      </c>
      <c r="C998" s="4" t="inlineStr">
        <is>
          <t>Nachweis</t>
        </is>
      </c>
      <c r="D998" s="10" t="inlineStr">
        <is>
          <t>⚠ Manual erforderlich</t>
        </is>
      </c>
      <c r="E998" s="11" t="inlineStr"/>
      <c r="F998" s="11" t="n">
        <v>0</v>
      </c>
      <c r="G998" s="11">
        <f>E998-F998</f>
        <v/>
      </c>
      <c r="H998" s="11" t="n">
        <v/>
      </c>
      <c r="I998" s="11" t="n">
        <v/>
      </c>
      <c r="J998" s="11" t="n">
        <v/>
      </c>
      <c r="K998" s="4" t="inlineStr">
        <is>
          <t>Stundensätze eingeben</t>
        </is>
      </c>
    </row>
    <row r="999">
      <c r="A999" s="4" t="inlineStr">
        <is>
          <t>4698.44 BSK-Kleyerstraße-88-90-Frankfurt-Equinix-Fortschreibung-BSK</t>
        </is>
      </c>
      <c r="B999" s="4" t="inlineStr">
        <is>
          <t>● (aN) Pos.1 BTB im Jahr 2025</t>
        </is>
      </c>
      <c r="C999" s="4" t="inlineStr">
        <is>
          <t>Nachweis</t>
        </is>
      </c>
      <c r="D999" s="10" t="inlineStr">
        <is>
          <t>⚠ Manual erforderlich</t>
        </is>
      </c>
      <c r="E999" s="11" t="inlineStr"/>
      <c r="F999" s="11" t="n">
        <v>0</v>
      </c>
      <c r="G999" s="11">
        <f>E999-F999</f>
        <v/>
      </c>
      <c r="H999" s="11" t="n">
        <v/>
      </c>
      <c r="I999" s="11" t="n">
        <v/>
      </c>
      <c r="J999" s="11" t="n">
        <v/>
      </c>
      <c r="K999" s="4" t="inlineStr">
        <is>
          <t>Stundensätze eingeben</t>
        </is>
      </c>
    </row>
    <row r="1000">
      <c r="A1000" s="4" t="inlineStr">
        <is>
          <t>4698.44 BSK-Kleyerstraße-88-90-Frankfurt-Equinix-Fortschreibung-BSK</t>
        </is>
      </c>
      <c r="B1000" s="4" t="inlineStr">
        <is>
          <t>● (p) Pos.2 FR 5 Fire protection concept</t>
        </is>
      </c>
      <c r="C1000" s="4" t="inlineStr">
        <is>
          <t>Pauschale</t>
        </is>
      </c>
      <c r="D1000" s="10" t="inlineStr">
        <is>
          <t>⚠ Manual erforderlich</t>
        </is>
      </c>
      <c r="E1000" s="11" t="inlineStr"/>
      <c r="F1000" s="11" t="n">
        <v>0</v>
      </c>
      <c r="G1000" s="11">
        <f>E1000-F1000</f>
        <v/>
      </c>
      <c r="H1000" s="11" t="n">
        <v>0</v>
      </c>
      <c r="I1000" s="11" t="n">
        <v>0</v>
      </c>
      <c r="J1000" s="11" t="n">
        <v>0</v>
      </c>
      <c r="K1000" s="4" t="inlineStr">
        <is>
          <t>Stundensätze eingeben</t>
        </is>
      </c>
    </row>
    <row r="1001">
      <c r="A1001" s="4" t="inlineStr">
        <is>
          <t>4698.44 BSK-Kleyerstraße-88-90-Frankfurt-Equinix-Fortschreibung-BSK</t>
        </is>
      </c>
      <c r="B1001" s="4" t="inlineStr">
        <is>
          <t>● (p) Pos.3 Brandschutzdienstleistungen (Lstg. wurde bereits erbracht (R25-02-19-10-213))</t>
        </is>
      </c>
      <c r="C1001" s="4" t="inlineStr">
        <is>
          <t>Pauschale</t>
        </is>
      </c>
      <c r="D1001" s="10" t="inlineStr">
        <is>
          <t>⚠ Manual erforderlich</t>
        </is>
      </c>
      <c r="E1001" s="11" t="inlineStr"/>
      <c r="F1001" s="11" t="n">
        <v>0</v>
      </c>
      <c r="G1001" s="11">
        <f>E1001-F1001</f>
        <v/>
      </c>
      <c r="H1001" s="11" t="n">
        <v>0</v>
      </c>
      <c r="I1001" s="11" t="n">
        <v>0</v>
      </c>
      <c r="J1001" s="11" t="n">
        <v>0</v>
      </c>
      <c r="K1001" s="4" t="inlineStr">
        <is>
          <t>Stundensätze eingeben</t>
        </is>
      </c>
    </row>
    <row r="1002">
      <c r="A1002" s="4" t="inlineStr">
        <is>
          <t>4698.44 BSK-Kleyerstraße-88-90-Frankfurt-Equinix-Fortschreibung-BSK</t>
        </is>
      </c>
      <c r="B1002" s="4" t="inlineStr">
        <is>
          <t>● (p) Pos.4 Fortschreibung BSK für d.Geb. FR5 A, B + C TG</t>
        </is>
      </c>
      <c r="C1002" s="4" t="inlineStr">
        <is>
          <t>Pauschale</t>
        </is>
      </c>
      <c r="D1002" s="10" t="inlineStr">
        <is>
          <t>⚠ Manual erforderlich</t>
        </is>
      </c>
      <c r="E1002" s="11" t="inlineStr"/>
      <c r="F1002" s="11" t="n">
        <v>0</v>
      </c>
      <c r="G1002" s="11">
        <f>E1002-F1002</f>
        <v/>
      </c>
      <c r="H1002" s="11" t="n">
        <v>0</v>
      </c>
      <c r="I1002" s="11" t="n">
        <v>0</v>
      </c>
      <c r="J1002" s="11" t="n">
        <v>0</v>
      </c>
      <c r="K1002" s="4" t="inlineStr">
        <is>
          <t>Stundensätze eingeben</t>
        </is>
      </c>
    </row>
    <row r="1003">
      <c r="A1003" s="4" t="inlineStr">
        <is>
          <t>4698.44 BSK-Kleyerstraße-88-90-Frankfurt-Equinix-Fortschreibung-BSK</t>
        </is>
      </c>
      <c r="B1003" s="4" t="inlineStr">
        <is>
          <t>● (aN) Pos.5 Beratungsleistung in der Planungsphase</t>
        </is>
      </c>
      <c r="C1003" s="4" t="inlineStr">
        <is>
          <t>Nachweis</t>
        </is>
      </c>
      <c r="D1003" s="10" t="inlineStr">
        <is>
          <t>⚠ Manual erforderlich</t>
        </is>
      </c>
      <c r="E1003" s="11" t="inlineStr"/>
      <c r="F1003" s="11" t="n">
        <v>0</v>
      </c>
      <c r="G1003" s="11">
        <f>E1003-F1003</f>
        <v/>
      </c>
      <c r="H1003" s="11" t="n">
        <v/>
      </c>
      <c r="I1003" s="11" t="n">
        <v/>
      </c>
      <c r="J1003" s="11" t="n">
        <v/>
      </c>
      <c r="K1003" s="4" t="inlineStr">
        <is>
          <t>Stundensätze eingeben</t>
        </is>
      </c>
    </row>
    <row r="1004">
      <c r="A1004" s="4" t="inlineStr">
        <is>
          <t>4698.44 BSK-Kleyerstraße-88-90-Frankfurt-Equinix-Fortschreibung-BSK</t>
        </is>
      </c>
      <c r="B1004" s="4" t="inlineStr">
        <is>
          <t>● (aN) Pos.6 Schlussbescheinigung FR5.5 3.OG ELT Raum</t>
        </is>
      </c>
      <c r="C1004" s="4" t="inlineStr">
        <is>
          <t>Nachweis</t>
        </is>
      </c>
      <c r="D1004" s="10" t="inlineStr">
        <is>
          <t>⚠ Manual erforderlich</t>
        </is>
      </c>
      <c r="E1004" s="11" t="inlineStr"/>
      <c r="F1004" s="11" t="n">
        <v>0</v>
      </c>
      <c r="G1004" s="11">
        <f>E1004-F1004</f>
        <v/>
      </c>
      <c r="H1004" s="11" t="n">
        <v/>
      </c>
      <c r="I1004" s="11" t="n">
        <v/>
      </c>
      <c r="J1004" s="11" t="n">
        <v/>
      </c>
      <c r="K1004" s="4" t="inlineStr">
        <is>
          <t>Stundensätze eingeben</t>
        </is>
      </c>
    </row>
    <row r="1005">
      <c r="A1005" s="4" t="inlineStr">
        <is>
          <t>4698.45 Deerns-BST-Kleyerstraße-88-90Frankfurt-FR5.6</t>
        </is>
      </c>
      <c r="B1005" s="4" t="inlineStr">
        <is>
          <t>● (aN) Pos.1 BTB FR 5.6</t>
        </is>
      </c>
      <c r="C1005" s="4" t="inlineStr">
        <is>
          <t>Nachweis</t>
        </is>
      </c>
      <c r="D1005" s="10" t="inlineStr">
        <is>
          <t>⚠ Manual erforderlich</t>
        </is>
      </c>
      <c r="E1005" s="11" t="inlineStr"/>
      <c r="F1005" s="11" t="n">
        <v>0</v>
      </c>
      <c r="G1005" s="11">
        <f>E1005-F1005</f>
        <v/>
      </c>
      <c r="H1005" s="11" t="n">
        <v/>
      </c>
      <c r="I1005" s="11" t="n">
        <v/>
      </c>
      <c r="J1005" s="11" t="n">
        <v/>
      </c>
      <c r="K1005" s="4" t="inlineStr">
        <is>
          <t>Stundensätze eingeben</t>
        </is>
      </c>
    </row>
    <row r="1006">
      <c r="A1006" s="4" t="inlineStr">
        <is>
          <t>4698.45 Deerns-BST-Kleyerstraße-88-90Frankfurt-FR5.6</t>
        </is>
      </c>
      <c r="B1006" s="4" t="inlineStr">
        <is>
          <t>● (p) Pos.2 Erstellung eines Brandschutzkonzeptes FR5.6</t>
        </is>
      </c>
      <c r="C1006" s="4" t="inlineStr">
        <is>
          <t>Pauschale</t>
        </is>
      </c>
      <c r="D1006" s="10" t="inlineStr">
        <is>
          <t>⚠ Manual erforderlich</t>
        </is>
      </c>
      <c r="E1006" s="11" t="inlineStr"/>
      <c r="F1006" s="11" t="n">
        <v>0</v>
      </c>
      <c r="G1006" s="11">
        <f>E1006-F1006</f>
        <v/>
      </c>
      <c r="H1006" s="11" t="n">
        <v>0</v>
      </c>
      <c r="I1006" s="11" t="n">
        <v>0</v>
      </c>
      <c r="J1006" s="11" t="n">
        <v>0</v>
      </c>
      <c r="K1006" s="4" t="inlineStr">
        <is>
          <t>Stundensätze eingeben</t>
        </is>
      </c>
    </row>
    <row r="1007">
      <c r="A1007" s="4" t="inlineStr">
        <is>
          <t>4698.45 Deerns-BST-Kleyerstraße-88-90Frankfurt-FR5.6</t>
        </is>
      </c>
      <c r="B1007" s="4" t="inlineStr">
        <is>
          <t>● (p) Pos.3 Erstellen einer Simulation für die Ventilatoren im KG</t>
        </is>
      </c>
      <c r="C1007" s="4" t="inlineStr">
        <is>
          <t>Pauschale</t>
        </is>
      </c>
      <c r="D1007" s="10" t="inlineStr">
        <is>
          <t>⚠ Manual erforderlich</t>
        </is>
      </c>
      <c r="E1007" s="11" t="inlineStr"/>
      <c r="F1007" s="11" t="n">
        <v>0</v>
      </c>
      <c r="G1007" s="11">
        <f>E1007-F1007</f>
        <v/>
      </c>
      <c r="H1007" s="11" t="n">
        <v>0</v>
      </c>
      <c r="I1007" s="11" t="n">
        <v>0</v>
      </c>
      <c r="J1007" s="11" t="n">
        <v>0</v>
      </c>
      <c r="K1007" s="4" t="inlineStr">
        <is>
          <t>Stundensätze eingeben</t>
        </is>
      </c>
    </row>
    <row r="1008">
      <c r="A1008" s="4" t="inlineStr">
        <is>
          <t>4698.46 Deerns-BSK-Kleyerstraße-88-90-Frankfurt-DZ-Equinix+DZ-Equinix-4.OG+5.OG</t>
        </is>
      </c>
      <c r="B1008" s="4" t="inlineStr">
        <is>
          <t>● (p) Pos.1 Erstellen BSK für Datenzentrum Equinix</t>
        </is>
      </c>
      <c r="C1008" s="4" t="inlineStr">
        <is>
          <t>Pauschale</t>
        </is>
      </c>
      <c r="D1008" s="10" t="inlineStr">
        <is>
          <t>⚠ Manual erforderlich</t>
        </is>
      </c>
      <c r="E1008" s="11" t="inlineStr"/>
      <c r="F1008" s="11" t="n">
        <v>0</v>
      </c>
      <c r="G1008" s="11">
        <f>E1008-F1008</f>
        <v/>
      </c>
      <c r="H1008" s="11" t="n">
        <v>0</v>
      </c>
      <c r="I1008" s="11" t="n">
        <v>0</v>
      </c>
      <c r="J1008" s="11" t="n">
        <v>0</v>
      </c>
      <c r="K1008" s="4" t="inlineStr">
        <is>
          <t>Stundensätze eingeben</t>
        </is>
      </c>
    </row>
    <row r="1009">
      <c r="A1009" s="4" t="inlineStr">
        <is>
          <t>4698.46 Deerns-BSK-Kleyerstraße-88-90-Frankfurt-DZ-Equinix+DZ-Equinix-4.OG+5.OG</t>
        </is>
      </c>
      <c r="B1009" s="4" t="inlineStr">
        <is>
          <t>● (p) Pos.1 Fortschr. BSK DZ Equinix für 4.OG + 5. OG</t>
        </is>
      </c>
      <c r="C1009" s="4" t="inlineStr">
        <is>
          <t>Pauschale</t>
        </is>
      </c>
      <c r="D1009" s="10" t="inlineStr">
        <is>
          <t>⚠ Manual erforderlich</t>
        </is>
      </c>
      <c r="E1009" s="11" t="inlineStr"/>
      <c r="F1009" s="11" t="n">
        <v>0</v>
      </c>
      <c r="G1009" s="11">
        <f>E1009-F1009</f>
        <v/>
      </c>
      <c r="H1009" s="11" t="n">
        <v>0</v>
      </c>
      <c r="I1009" s="11" t="n">
        <v>0</v>
      </c>
      <c r="J1009" s="11" t="n">
        <v>0</v>
      </c>
      <c r="K1009" s="4" t="inlineStr">
        <is>
          <t>Stundensätze eingeben</t>
        </is>
      </c>
    </row>
    <row r="1010">
      <c r="A1010" s="4" t="inlineStr">
        <is>
          <t>4739 öcotronic-GmbH./.Alban-Technische-Anlagen-GmbH</t>
        </is>
      </c>
      <c r="B1010" s="4" t="inlineStr">
        <is>
          <t>● 0000-Aquise</t>
        </is>
      </c>
      <c r="C1010" s="9" t="inlineStr">
        <is>
          <t>Unbekannt</t>
        </is>
      </c>
      <c r="D1010" s="10" t="inlineStr">
        <is>
          <t>⚠ Manual erforderlich</t>
        </is>
      </c>
      <c r="E1010" s="11" t="inlineStr"/>
      <c r="F1010" s="11" t="n">
        <v>0</v>
      </c>
      <c r="G1010" s="11">
        <f>E1010-F1010</f>
        <v/>
      </c>
      <c r="H1010" s="11" t="n">
        <v/>
      </c>
      <c r="I1010" s="11" t="n">
        <v/>
      </c>
      <c r="J1010" s="11" t="n">
        <v/>
      </c>
      <c r="K1010" s="4" t="inlineStr">
        <is>
          <t>Abrechnungsart wählen; Stundensätze eingeben</t>
        </is>
      </c>
    </row>
    <row r="1011">
      <c r="A1011" s="4" t="inlineStr">
        <is>
          <t>4739 öcotronic-GmbH./.Alban-Technische-Anlagen-GmbH</t>
        </is>
      </c>
      <c r="B1011" s="4" t="inlineStr">
        <is>
          <t>● 0001-Sonstiges</t>
        </is>
      </c>
      <c r="C1011" s="9" t="inlineStr">
        <is>
          <t>Unbekannt</t>
        </is>
      </c>
      <c r="D1011" s="10" t="inlineStr">
        <is>
          <t>⚠ Manual erforderlich</t>
        </is>
      </c>
      <c r="E1011" s="11" t="inlineStr"/>
      <c r="F1011" s="11" t="n">
        <v>0</v>
      </c>
      <c r="G1011" s="11">
        <f>E1011-F1011</f>
        <v/>
      </c>
      <c r="H1011" s="11" t="n">
        <v/>
      </c>
      <c r="I1011" s="11" t="n">
        <v/>
      </c>
      <c r="J1011" s="11" t="n">
        <v/>
      </c>
      <c r="K1011" s="4" t="inlineStr">
        <is>
          <t>Abrechnungsart wählen; Stundensätze eingeben</t>
        </is>
      </c>
    </row>
    <row r="1012">
      <c r="A1012" s="4" t="inlineStr">
        <is>
          <t>4748.04 NAT-FRP-Ferdinandsplatz-Bad-Homburg-Englische-Kirche</t>
        </is>
      </c>
      <c r="B1012" s="4" t="inlineStr">
        <is>
          <t>● (p) Pos.1 Aktualisierung FRP</t>
        </is>
      </c>
      <c r="C1012" s="4" t="inlineStr">
        <is>
          <t>Pauschale</t>
        </is>
      </c>
      <c r="D1012" s="10" t="inlineStr">
        <is>
          <t>⚠ Manual erforderlich</t>
        </is>
      </c>
      <c r="E1012" s="11" t="inlineStr"/>
      <c r="F1012" s="11" t="n">
        <v>0</v>
      </c>
      <c r="G1012" s="11">
        <f>E1012-F1012</f>
        <v/>
      </c>
      <c r="H1012" s="11" t="n">
        <v>0</v>
      </c>
      <c r="I1012" s="11" t="n">
        <v>0</v>
      </c>
      <c r="J1012" s="11" t="n">
        <v>0</v>
      </c>
      <c r="K1012" s="4" t="inlineStr">
        <is>
          <t>Stundensätze eingeben</t>
        </is>
      </c>
    </row>
    <row r="1013">
      <c r="A1013" s="4" t="inlineStr">
        <is>
          <t>4754 Aumühlenstraße-1b-Oberursel</t>
        </is>
      </c>
      <c r="B1013" s="4" t="inlineStr">
        <is>
          <t>● 0000-Aquise</t>
        </is>
      </c>
      <c r="C1013" s="9" t="inlineStr">
        <is>
          <t>Unbekannt</t>
        </is>
      </c>
      <c r="D1013" s="10" t="inlineStr">
        <is>
          <t>⚠ Manual erforderlich</t>
        </is>
      </c>
      <c r="E1013" s="11" t="inlineStr"/>
      <c r="F1013" s="11" t="n">
        <v>0</v>
      </c>
      <c r="G1013" s="11">
        <f>E1013-F1013</f>
        <v/>
      </c>
      <c r="H1013" s="11" t="n">
        <v/>
      </c>
      <c r="I1013" s="11" t="n">
        <v/>
      </c>
      <c r="J1013" s="11" t="n">
        <v/>
      </c>
      <c r="K1013" s="4" t="inlineStr">
        <is>
          <t>Abrechnungsart wählen; Stundensätze eingeben</t>
        </is>
      </c>
    </row>
    <row r="1014">
      <c r="A1014" s="4" t="inlineStr">
        <is>
          <t>4754 Aumühlenstraße-1b-Oberursel</t>
        </is>
      </c>
      <c r="B1014" s="4" t="inlineStr">
        <is>
          <t>● 1000-Grundlagenermittlung</t>
        </is>
      </c>
      <c r="C1014" s="9" t="inlineStr">
        <is>
          <t>Unbekannt</t>
        </is>
      </c>
      <c r="D1014" s="10" t="inlineStr">
        <is>
          <t>⚠ Manual erforderlich</t>
        </is>
      </c>
      <c r="E1014" s="11" t="inlineStr"/>
      <c r="F1014" s="11" t="n">
        <v>0</v>
      </c>
      <c r="G1014" s="11">
        <f>E1014-F1014</f>
        <v/>
      </c>
      <c r="H1014" s="11" t="n">
        <v/>
      </c>
      <c r="I1014" s="11" t="n">
        <v/>
      </c>
      <c r="J1014" s="11" t="n">
        <v/>
      </c>
      <c r="K1014" s="4" t="inlineStr">
        <is>
          <t>Abrechnungsart wählen; Stundensätze eingeben</t>
        </is>
      </c>
    </row>
    <row r="1015">
      <c r="A1015" s="4" t="inlineStr">
        <is>
          <t>4754 Aumühlenstraße-1b-Oberursel</t>
        </is>
      </c>
      <c r="B1015" s="4" t="inlineStr">
        <is>
          <t>● 2000-Vorplanung</t>
        </is>
      </c>
      <c r="C1015" s="9" t="inlineStr">
        <is>
          <t>Unbekannt</t>
        </is>
      </c>
      <c r="D1015" s="10" t="inlineStr">
        <is>
          <t>⚠ Manual erforderlich</t>
        </is>
      </c>
      <c r="E1015" s="11" t="inlineStr"/>
      <c r="F1015" s="11" t="n">
        <v>0</v>
      </c>
      <c r="G1015" s="11">
        <f>E1015-F1015</f>
        <v/>
      </c>
      <c r="H1015" s="11" t="n">
        <v/>
      </c>
      <c r="I1015" s="11" t="n">
        <v/>
      </c>
      <c r="J1015" s="11" t="n">
        <v/>
      </c>
      <c r="K1015" s="4" t="inlineStr">
        <is>
          <t>Abrechnungsart wählen; Stundensätze eingeben</t>
        </is>
      </c>
    </row>
    <row r="1016">
      <c r="A1016" s="4" t="inlineStr">
        <is>
          <t>4754 Aumühlenstraße-1b-Oberursel</t>
        </is>
      </c>
      <c r="B1016" s="4" t="inlineStr">
        <is>
          <t>● 3000-Entwurfsplanung</t>
        </is>
      </c>
      <c r="C1016" s="9" t="inlineStr">
        <is>
          <t>Unbekannt</t>
        </is>
      </c>
      <c r="D1016" s="10" t="inlineStr">
        <is>
          <t>⚠ Manual erforderlich</t>
        </is>
      </c>
      <c r="E1016" s="11" t="inlineStr"/>
      <c r="F1016" s="11" t="n">
        <v>0</v>
      </c>
      <c r="G1016" s="11">
        <f>E1016-F1016</f>
        <v/>
      </c>
      <c r="H1016" s="11" t="n">
        <v/>
      </c>
      <c r="I1016" s="11" t="n">
        <v/>
      </c>
      <c r="J1016" s="11" t="n">
        <v/>
      </c>
      <c r="K1016" s="4" t="inlineStr">
        <is>
          <t>Abrechnungsart wählen; Stundensätze eingeben</t>
        </is>
      </c>
    </row>
    <row r="1017">
      <c r="A1017" s="4" t="inlineStr">
        <is>
          <t>4762.02 BTB-Hauptstraße-11-Winterrieden-Turn-Festhalle</t>
        </is>
      </c>
      <c r="B1017" s="4" t="inlineStr">
        <is>
          <t>● Beratung Ausführungsphase (auf Nachweis)</t>
        </is>
      </c>
      <c r="C1017" s="9" t="inlineStr">
        <is>
          <t>Unbekannt</t>
        </is>
      </c>
      <c r="D1017" s="10" t="inlineStr">
        <is>
          <t>⚠ Manual erforderlich</t>
        </is>
      </c>
      <c r="E1017" s="11" t="inlineStr"/>
      <c r="F1017" s="11" t="n">
        <v>0</v>
      </c>
      <c r="G1017" s="11">
        <f>E1017-F1017</f>
        <v/>
      </c>
      <c r="H1017" s="11" t="n">
        <v/>
      </c>
      <c r="I1017" s="11" t="n">
        <v/>
      </c>
      <c r="J1017" s="11" t="n">
        <v/>
      </c>
      <c r="K1017" s="4" t="inlineStr">
        <is>
          <t>Abrechnungsart wählen; Stundensätze eingeben</t>
        </is>
      </c>
    </row>
    <row r="1018">
      <c r="A1018" s="4" t="inlineStr">
        <is>
          <t>4762.03 GemWinterrieden-Turnhalle-HauptStr11a-Winterrieden</t>
        </is>
      </c>
      <c r="B1018" s="4" t="inlineStr">
        <is>
          <t>● (aN) Pos. 1 Erstellung einer BST zur vorzeitigen Inbetriebnahme</t>
        </is>
      </c>
      <c r="C1018" s="4" t="inlineStr">
        <is>
          <t>Nachweis</t>
        </is>
      </c>
      <c r="D1018" s="10" t="inlineStr">
        <is>
          <t>⚠ Manual erforderlich</t>
        </is>
      </c>
      <c r="E1018" s="11" t="inlineStr"/>
      <c r="F1018" s="11" t="n">
        <v>0</v>
      </c>
      <c r="G1018" s="11">
        <f>E1018-F1018</f>
        <v/>
      </c>
      <c r="H1018" s="11" t="n">
        <v/>
      </c>
      <c r="I1018" s="11" t="n">
        <v/>
      </c>
      <c r="J1018" s="11" t="n">
        <v/>
      </c>
      <c r="K1018" s="4" t="inlineStr">
        <is>
          <t>Stundensätze eingeben</t>
        </is>
      </c>
    </row>
    <row r="1019">
      <c r="A1019" s="4" t="inlineStr">
        <is>
          <t>4762.03 GemWinterrieden-Turnhalle-HauptStr11a-Winterrieden</t>
        </is>
      </c>
      <c r="B1019" s="4" t="inlineStr">
        <is>
          <t>● (aN) Pos. 2 Anpassung bzw. Erstellung Brandschutzpläne</t>
        </is>
      </c>
      <c r="C1019" s="4" t="inlineStr">
        <is>
          <t>Nachweis</t>
        </is>
      </c>
      <c r="D1019" s="10" t="inlineStr">
        <is>
          <t>⚠ Manual erforderlich</t>
        </is>
      </c>
      <c r="E1019" s="11" t="inlineStr"/>
      <c r="F1019" s="11" t="n">
        <v>0</v>
      </c>
      <c r="G1019" s="11">
        <f>E1019-F1019</f>
        <v/>
      </c>
      <c r="H1019" s="11" t="n">
        <v/>
      </c>
      <c r="I1019" s="11" t="n">
        <v/>
      </c>
      <c r="J1019" s="11" t="n">
        <v/>
      </c>
      <c r="K1019" s="4" t="inlineStr">
        <is>
          <t>Stundensätze eingeben</t>
        </is>
      </c>
    </row>
    <row r="1020">
      <c r="A1020" s="4" t="inlineStr">
        <is>
          <t>4762.03 GemWinterrieden-Turnhalle-HauptStr11a-Winterrieden</t>
        </is>
      </c>
      <c r="B1020" s="4" t="inlineStr">
        <is>
          <t>● (aN) Pos. 3 BTB + baubegl. Qualitätsüberw. f. d. Durchführung d. Baumaßnahme</t>
        </is>
      </c>
      <c r="C1020" s="4" t="inlineStr">
        <is>
          <t>Nachweis</t>
        </is>
      </c>
      <c r="D1020" s="10" t="inlineStr">
        <is>
          <t>⚠ Manual erforderlich</t>
        </is>
      </c>
      <c r="E1020" s="11" t="inlineStr"/>
      <c r="F1020" s="11" t="n">
        <v>0</v>
      </c>
      <c r="G1020" s="11">
        <f>E1020-F1020</f>
        <v/>
      </c>
      <c r="H1020" s="11" t="n">
        <v/>
      </c>
      <c r="I1020" s="11" t="n">
        <v/>
      </c>
      <c r="J1020" s="11" t="n">
        <v/>
      </c>
      <c r="K1020" s="4" t="inlineStr">
        <is>
          <t>Stundensätze eingeben</t>
        </is>
      </c>
    </row>
    <row r="1021">
      <c r="A1021" s="4" t="inlineStr">
        <is>
          <t>4768 U-Bahn-Tunnel-Ludwigshafen</t>
        </is>
      </c>
      <c r="B1021" s="4" t="inlineStr">
        <is>
          <t>● 0001-Sonstiges</t>
        </is>
      </c>
      <c r="C1021" s="9" t="inlineStr">
        <is>
          <t>Unbekannt</t>
        </is>
      </c>
      <c r="D1021" s="10" t="inlineStr">
        <is>
          <t>⚠ Manual erforderlich</t>
        </is>
      </c>
      <c r="E1021" s="11" t="inlineStr"/>
      <c r="F1021" s="11" t="n">
        <v>0</v>
      </c>
      <c r="G1021" s="11">
        <f>E1021-F1021</f>
        <v/>
      </c>
      <c r="H1021" s="11" t="n">
        <v/>
      </c>
      <c r="I1021" s="11" t="n">
        <v/>
      </c>
      <c r="J1021" s="11" t="n">
        <v/>
      </c>
      <c r="K1021" s="4" t="inlineStr">
        <is>
          <t>Abrechnungsart wählen; Stundensätze eingeben</t>
        </is>
      </c>
    </row>
    <row r="1022">
      <c r="A1022" s="4" t="inlineStr">
        <is>
          <t>4768 U-Bahn-Tunnel-Ludwigshafen</t>
        </is>
      </c>
      <c r="B1022" s="4" t="inlineStr">
        <is>
          <t>● 1000-Grundlagenermittlung</t>
        </is>
      </c>
      <c r="C1022" s="9" t="inlineStr">
        <is>
          <t>Unbekannt</t>
        </is>
      </c>
      <c r="D1022" s="10" t="inlineStr">
        <is>
          <t>⚠ Manual erforderlich</t>
        </is>
      </c>
      <c r="E1022" s="11" t="inlineStr"/>
      <c r="F1022" s="11" t="n">
        <v>0</v>
      </c>
      <c r="G1022" s="11">
        <f>E1022-F1022</f>
        <v/>
      </c>
      <c r="H1022" s="11" t="n">
        <v/>
      </c>
      <c r="I1022" s="11" t="n">
        <v/>
      </c>
      <c r="J1022" s="11" t="n">
        <v/>
      </c>
      <c r="K1022" s="4" t="inlineStr">
        <is>
          <t>Abrechnungsart wählen; Stundensätze eingeben</t>
        </is>
      </c>
    </row>
    <row r="1023">
      <c r="A1023" s="4" t="inlineStr">
        <is>
          <t>4768 U-Bahn-Tunnel-Ludwigshafen</t>
        </is>
      </c>
      <c r="B1023" s="4" t="inlineStr">
        <is>
          <t>● 2000-Vorplanung</t>
        </is>
      </c>
      <c r="C1023" s="9" t="inlineStr">
        <is>
          <t>Unbekannt</t>
        </is>
      </c>
      <c r="D1023" s="10" t="inlineStr">
        <is>
          <t>⚠ Manual erforderlich</t>
        </is>
      </c>
      <c r="E1023" s="11" t="inlineStr"/>
      <c r="F1023" s="11" t="n">
        <v>0</v>
      </c>
      <c r="G1023" s="11">
        <f>E1023-F1023</f>
        <v/>
      </c>
      <c r="H1023" s="11" t="n">
        <v/>
      </c>
      <c r="I1023" s="11" t="n">
        <v/>
      </c>
      <c r="J1023" s="11" t="n">
        <v/>
      </c>
      <c r="K1023" s="4" t="inlineStr">
        <is>
          <t>Abrechnungsart wählen; Stundensätze eingeben</t>
        </is>
      </c>
    </row>
    <row r="1024">
      <c r="A1024" s="4" t="inlineStr">
        <is>
          <t>4768 U-Bahn-Tunnel-Ludwigshafen</t>
        </is>
      </c>
      <c r="B1024" s="4" t="inlineStr">
        <is>
          <t>● 3000-Entwurfsplanung</t>
        </is>
      </c>
      <c r="C1024" s="9" t="inlineStr">
        <is>
          <t>Unbekannt</t>
        </is>
      </c>
      <c r="D1024" s="10" t="inlineStr">
        <is>
          <t>⚠ Manual erforderlich</t>
        </is>
      </c>
      <c r="E1024" s="11" t="inlineStr"/>
      <c r="F1024" s="11" t="n">
        <v>0</v>
      </c>
      <c r="G1024" s="11">
        <f>E1024-F1024</f>
        <v/>
      </c>
      <c r="H1024" s="11" t="n">
        <v/>
      </c>
      <c r="I1024" s="11" t="n">
        <v/>
      </c>
      <c r="J1024" s="11" t="n">
        <v/>
      </c>
      <c r="K1024" s="4" t="inlineStr">
        <is>
          <t>Abrechnungsart wählen; Stundensätze eingeben</t>
        </is>
      </c>
    </row>
    <row r="1025">
      <c r="A1025" s="4" t="inlineStr">
        <is>
          <t>4768 U-Bahn-Tunnel-Ludwigshafen</t>
        </is>
      </c>
      <c r="B1025" s="4" t="inlineStr">
        <is>
          <t>● 4000-Genehmigungsplanung</t>
        </is>
      </c>
      <c r="C1025" s="9" t="inlineStr">
        <is>
          <t>Unbekannt</t>
        </is>
      </c>
      <c r="D1025" s="10" t="inlineStr">
        <is>
          <t>⚠ Manual erforderlich</t>
        </is>
      </c>
      <c r="E1025" s="11" t="inlineStr"/>
      <c r="F1025" s="11" t="n">
        <v>0</v>
      </c>
      <c r="G1025" s="11">
        <f>E1025-F1025</f>
        <v/>
      </c>
      <c r="H1025" s="11" t="n">
        <v/>
      </c>
      <c r="I1025" s="11" t="n">
        <v/>
      </c>
      <c r="J1025" s="11" t="n">
        <v/>
      </c>
      <c r="K1025" s="4" t="inlineStr">
        <is>
          <t>Abrechnungsart wählen; Stundensätze eingeben</t>
        </is>
      </c>
    </row>
    <row r="1026">
      <c r="A1026" s="4" t="inlineStr">
        <is>
          <t>4768.01 Brandschutzdienstleistungen-U-Bahn-Tunnel-Ludwigshafen</t>
        </is>
      </c>
      <c r="B1026" s="4" t="inlineStr">
        <is>
          <t>●  (a.N.) Teilnahme Abstimmungstermine + Besprechungstermine</t>
        </is>
      </c>
      <c r="C1026" s="4" t="inlineStr">
        <is>
          <t>Nachweis</t>
        </is>
      </c>
      <c r="D1026" s="10" t="inlineStr">
        <is>
          <t>⚠ Manual erforderlich</t>
        </is>
      </c>
      <c r="E1026" s="11" t="inlineStr"/>
      <c r="F1026" s="11" t="n">
        <v>0</v>
      </c>
      <c r="G1026" s="11">
        <f>E1026-F1026</f>
        <v/>
      </c>
      <c r="H1026" s="11" t="n">
        <v/>
      </c>
      <c r="I1026" s="11" t="n">
        <v/>
      </c>
      <c r="J1026" s="11" t="n">
        <v/>
      </c>
      <c r="K1026" s="4" t="inlineStr">
        <is>
          <t>Stundensätze eingeben</t>
        </is>
      </c>
    </row>
    <row r="1027">
      <c r="A1027" s="4" t="inlineStr">
        <is>
          <t>4768.01 Brandschutzdienstleistungen-U-Bahn-Tunnel-Ludwigshafen</t>
        </is>
      </c>
      <c r="B1027" s="4" t="inlineStr">
        <is>
          <t>● (p.) Evakuierungskonzept</t>
        </is>
      </c>
      <c r="C1027" s="9" t="inlineStr">
        <is>
          <t>Unbekannt</t>
        </is>
      </c>
      <c r="D1027" s="10" t="inlineStr">
        <is>
          <t>⚠ Manual erforderlich</t>
        </is>
      </c>
      <c r="E1027" s="11" t="inlineStr"/>
      <c r="F1027" s="11" t="n">
        <v>0</v>
      </c>
      <c r="G1027" s="11">
        <f>E1027-F1027</f>
        <v/>
      </c>
      <c r="H1027" s="11" t="n">
        <v/>
      </c>
      <c r="I1027" s="11" t="n">
        <v/>
      </c>
      <c r="J1027" s="11" t="n">
        <v/>
      </c>
      <c r="K1027" s="4" t="inlineStr">
        <is>
          <t>Abrechnungsart wählen; Stundensätze eingeben</t>
        </is>
      </c>
    </row>
    <row r="1028">
      <c r="A1028" s="4" t="inlineStr">
        <is>
          <t>4768.01 Brandschutzdienstleistungen-U-Bahn-Tunnel-Ludwigshafen</t>
        </is>
      </c>
      <c r="B1028" s="4" t="inlineStr">
        <is>
          <t>● (p.) BSO</t>
        </is>
      </c>
      <c r="C1028" s="9" t="inlineStr">
        <is>
          <t>Unbekannt</t>
        </is>
      </c>
      <c r="D1028" s="10" t="inlineStr">
        <is>
          <t>⚠ Manual erforderlich</t>
        </is>
      </c>
      <c r="E1028" s="11" t="inlineStr"/>
      <c r="F1028" s="11" t="n">
        <v>0</v>
      </c>
      <c r="G1028" s="11">
        <f>E1028-F1028</f>
        <v/>
      </c>
      <c r="H1028" s="11" t="n">
        <v/>
      </c>
      <c r="I1028" s="11" t="n">
        <v/>
      </c>
      <c r="J1028" s="11" t="n">
        <v/>
      </c>
      <c r="K1028" s="4" t="inlineStr">
        <is>
          <t>Abrechnungsart wählen; Stundensätze eingeben</t>
        </is>
      </c>
    </row>
    <row r="1029">
      <c r="A1029" s="4" t="inlineStr">
        <is>
          <t>4768.01 Brandschutzdienstleistungen-U-Bahn-Tunnel-Ludwigshafen</t>
        </is>
      </c>
      <c r="B1029" s="4" t="inlineStr">
        <is>
          <t>● (p.) FWP</t>
        </is>
      </c>
      <c r="C1029" s="9" t="inlineStr">
        <is>
          <t>Unbekannt</t>
        </is>
      </c>
      <c r="D1029" s="10" t="inlineStr">
        <is>
          <t>⚠ Manual erforderlich</t>
        </is>
      </c>
      <c r="E1029" s="11" t="inlineStr"/>
      <c r="F1029" s="11" t="n">
        <v>0</v>
      </c>
      <c r="G1029" s="11">
        <f>E1029-F1029</f>
        <v/>
      </c>
      <c r="H1029" s="11" t="n">
        <v/>
      </c>
      <c r="I1029" s="11" t="n">
        <v/>
      </c>
      <c r="J1029" s="11" t="n">
        <v/>
      </c>
      <c r="K1029" s="4" t="inlineStr">
        <is>
          <t>Abrechnungsart wählen; Stundensätze eingeben</t>
        </is>
      </c>
    </row>
    <row r="1030">
      <c r="A1030" s="4" t="inlineStr">
        <is>
          <t>4777.01 BSK-Bruchwiesenstraße 30-32-Ludwigshafen</t>
        </is>
      </c>
      <c r="B1030" s="4" t="inlineStr">
        <is>
          <t>● 1000-Grundlagenermittlung</t>
        </is>
      </c>
      <c r="C1030" s="9" t="inlineStr">
        <is>
          <t>Unbekannt</t>
        </is>
      </c>
      <c r="D1030" s="10" t="inlineStr">
        <is>
          <t>⚠ Manual erforderlich</t>
        </is>
      </c>
      <c r="E1030" s="11" t="inlineStr"/>
      <c r="F1030" s="11" t="n">
        <v>0</v>
      </c>
      <c r="G1030" s="11">
        <f>E1030-F1030</f>
        <v/>
      </c>
      <c r="H1030" s="11" t="n">
        <v/>
      </c>
      <c r="I1030" s="11" t="n">
        <v/>
      </c>
      <c r="J1030" s="11" t="n">
        <v/>
      </c>
      <c r="K1030" s="4" t="inlineStr">
        <is>
          <t>Abrechnungsart wählen; Stundensätze eingeben</t>
        </is>
      </c>
    </row>
    <row r="1031">
      <c r="A1031" s="4" t="inlineStr">
        <is>
          <t>4777.01 BSK-Bruchwiesenstraße 30-32-Ludwigshafen</t>
        </is>
      </c>
      <c r="B1031" s="4" t="inlineStr">
        <is>
          <t>● 2000-Vorplanung</t>
        </is>
      </c>
      <c r="C1031" s="9" t="inlineStr">
        <is>
          <t>Unbekannt</t>
        </is>
      </c>
      <c r="D1031" s="10" t="inlineStr">
        <is>
          <t>⚠ Manual erforderlich</t>
        </is>
      </c>
      <c r="E1031" s="11" t="inlineStr"/>
      <c r="F1031" s="11" t="n">
        <v>0</v>
      </c>
      <c r="G1031" s="11">
        <f>E1031-F1031</f>
        <v/>
      </c>
      <c r="H1031" s="11" t="n">
        <v/>
      </c>
      <c r="I1031" s="11" t="n">
        <v/>
      </c>
      <c r="J1031" s="11" t="n">
        <v/>
      </c>
      <c r="K1031" s="4" t="inlineStr">
        <is>
          <t>Abrechnungsart wählen; Stundensätze eingeben</t>
        </is>
      </c>
    </row>
    <row r="1032">
      <c r="A1032" s="4" t="inlineStr">
        <is>
          <t>4777.01 BSK-Bruchwiesenstraße 30-32-Ludwigshafen</t>
        </is>
      </c>
      <c r="B1032" s="4" t="inlineStr">
        <is>
          <t>● 3000-Entwurfsplanung</t>
        </is>
      </c>
      <c r="C1032" s="9" t="inlineStr">
        <is>
          <t>Unbekannt</t>
        </is>
      </c>
      <c r="D1032" s="10" t="inlineStr">
        <is>
          <t>⚠ Manual erforderlich</t>
        </is>
      </c>
      <c r="E1032" s="11" t="inlineStr"/>
      <c r="F1032" s="11" t="n">
        <v>0</v>
      </c>
      <c r="G1032" s="11">
        <f>E1032-F1032</f>
        <v/>
      </c>
      <c r="H1032" s="11" t="n">
        <v/>
      </c>
      <c r="I1032" s="11" t="n">
        <v/>
      </c>
      <c r="J1032" s="11" t="n">
        <v/>
      </c>
      <c r="K1032" s="4" t="inlineStr">
        <is>
          <t>Abrechnungsart wählen; Stundensätze eingeben</t>
        </is>
      </c>
    </row>
    <row r="1033">
      <c r="A1033" s="4" t="inlineStr">
        <is>
          <t>4777.01 BSK-Bruchwiesenstraße 30-32-Ludwigshafen</t>
        </is>
      </c>
      <c r="B1033" s="4" t="inlineStr">
        <is>
          <t>● 4000-Genehmigungsplanung</t>
        </is>
      </c>
      <c r="C1033" s="9" t="inlineStr">
        <is>
          <t>Unbekannt</t>
        </is>
      </c>
      <c r="D1033" s="10" t="inlineStr">
        <is>
          <t>⚠ Manual erforderlich</t>
        </is>
      </c>
      <c r="E1033" s="11" t="inlineStr"/>
      <c r="F1033" s="11" t="n">
        <v>0</v>
      </c>
      <c r="G1033" s="11">
        <f>E1033-F1033</f>
        <v/>
      </c>
      <c r="H1033" s="11" t="n">
        <v/>
      </c>
      <c r="I1033" s="11" t="n">
        <v/>
      </c>
      <c r="J1033" s="11" t="n">
        <v/>
      </c>
      <c r="K1033" s="4" t="inlineStr">
        <is>
          <t>Abrechnungsart wählen; Stundensätze eingeben</t>
        </is>
      </c>
    </row>
    <row r="1034">
      <c r="A1034" s="4" t="inlineStr">
        <is>
          <t>4786.01 Fraport-RV-FWP-Geb147</t>
        </is>
      </c>
      <c r="B1034" s="4" t="inlineStr">
        <is>
          <t>● FW-Pläne (pauschal)</t>
        </is>
      </c>
      <c r="C1034" s="9" t="inlineStr">
        <is>
          <t>Unbekannt</t>
        </is>
      </c>
      <c r="D1034" s="10" t="inlineStr">
        <is>
          <t>⚠ Manual erforderlich</t>
        </is>
      </c>
      <c r="E1034" s="11" t="inlineStr"/>
      <c r="F1034" s="11" t="n">
        <v>0</v>
      </c>
      <c r="G1034" s="11">
        <f>E1034-F1034</f>
        <v/>
      </c>
      <c r="H1034" s="11" t="n">
        <v/>
      </c>
      <c r="I1034" s="11" t="n">
        <v/>
      </c>
      <c r="J1034" s="11" t="n">
        <v/>
      </c>
      <c r="K1034" s="4" t="inlineStr">
        <is>
          <t>Abrechnungsart wählen; Stundensätze eingeben</t>
        </is>
      </c>
    </row>
    <row r="1035">
      <c r="A1035" s="4" t="inlineStr">
        <is>
          <t>4786.02 Fraport-RV-LP5+8-GK4-Geb147</t>
        </is>
      </c>
      <c r="B1035" s="4" t="inlineStr">
        <is>
          <t>● (a.N) LP 5 Ausführungsplanung</t>
        </is>
      </c>
      <c r="C1035" s="9" t="inlineStr">
        <is>
          <t>Unbekannt</t>
        </is>
      </c>
      <c r="D1035" s="10" t="inlineStr">
        <is>
          <t>⚠ Manual erforderlich</t>
        </is>
      </c>
      <c r="E1035" s="11" t="inlineStr"/>
      <c r="F1035" s="11" t="n">
        <v>0</v>
      </c>
      <c r="G1035" s="11">
        <f>E1035-F1035</f>
        <v/>
      </c>
      <c r="H1035" s="11" t="n">
        <v/>
      </c>
      <c r="I1035" s="11" t="n">
        <v/>
      </c>
      <c r="J1035" s="11" t="n">
        <v/>
      </c>
      <c r="K1035" s="4" t="inlineStr">
        <is>
          <t>Abrechnungsart wählen; Stundensätze eingeben</t>
        </is>
      </c>
    </row>
    <row r="1036">
      <c r="A1036" s="4" t="inlineStr">
        <is>
          <t>4786.02 Fraport-RV-LP5+8-GK4-Geb147</t>
        </is>
      </c>
      <c r="B1036" s="4" t="inlineStr">
        <is>
          <t>● (a.N) LP 8 Objektüberwachung</t>
        </is>
      </c>
      <c r="C1036" s="9" t="inlineStr">
        <is>
          <t>Unbekannt</t>
        </is>
      </c>
      <c r="D1036" s="10" t="inlineStr">
        <is>
          <t>⚠ Manual erforderlich</t>
        </is>
      </c>
      <c r="E1036" s="11" t="inlineStr"/>
      <c r="F1036" s="11" t="n">
        <v>0</v>
      </c>
      <c r="G1036" s="11">
        <f>E1036-F1036</f>
        <v/>
      </c>
      <c r="H1036" s="11" t="n">
        <v/>
      </c>
      <c r="I1036" s="11" t="n">
        <v/>
      </c>
      <c r="J1036" s="11" t="n">
        <v/>
      </c>
      <c r="K1036" s="4" t="inlineStr">
        <is>
          <t>Abrechnungsart wählen; Stundensätze eingeben</t>
        </is>
      </c>
    </row>
    <row r="1037">
      <c r="A1037" s="4" t="inlineStr">
        <is>
          <t>4786.03 Fraport-RV-BSK-Bauphase-Geb147</t>
        </is>
      </c>
      <c r="B1037" s="4" t="inlineStr">
        <is>
          <t>● (aN) Pos. 1 Erstellung Brandschutzkonzept für die Bauphase</t>
        </is>
      </c>
      <c r="C1037" s="4" t="inlineStr">
        <is>
          <t>Nachweis</t>
        </is>
      </c>
      <c r="D1037" s="10" t="inlineStr">
        <is>
          <t>⚠ Manual erforderlich</t>
        </is>
      </c>
      <c r="E1037" s="11" t="inlineStr"/>
      <c r="F1037" s="11" t="n">
        <v>0</v>
      </c>
      <c r="G1037" s="11">
        <f>E1037-F1037</f>
        <v/>
      </c>
      <c r="H1037" s="11" t="n">
        <v/>
      </c>
      <c r="I1037" s="11" t="n">
        <v/>
      </c>
      <c r="J1037" s="11" t="n">
        <v/>
      </c>
      <c r="K1037" s="4" t="inlineStr">
        <is>
          <t>Stundensätze eingeben</t>
        </is>
      </c>
    </row>
    <row r="1038">
      <c r="A1038" s="4" t="inlineStr">
        <is>
          <t>4786.03 Fraport-RV-BSK-Bauphase-Geb147</t>
        </is>
      </c>
      <c r="B1038" s="4" t="inlineStr">
        <is>
          <t>● (aN) Pos. 2 Erstellung Baustelleneinsatzpläne</t>
        </is>
      </c>
      <c r="C1038" s="4" t="inlineStr">
        <is>
          <t>Nachweis</t>
        </is>
      </c>
      <c r="D1038" s="10" t="inlineStr">
        <is>
          <t>⚠ Manual erforderlich</t>
        </is>
      </c>
      <c r="E1038" s="11" t="inlineStr"/>
      <c r="F1038" s="11" t="n">
        <v>0</v>
      </c>
      <c r="G1038" s="11">
        <f>E1038-F1038</f>
        <v/>
      </c>
      <c r="H1038" s="11" t="n">
        <v/>
      </c>
      <c r="I1038" s="11" t="n">
        <v/>
      </c>
      <c r="J1038" s="11" t="n">
        <v/>
      </c>
      <c r="K1038" s="4" t="inlineStr">
        <is>
          <t>Stundensätze eingeben</t>
        </is>
      </c>
    </row>
    <row r="1039">
      <c r="A1039" s="4" t="inlineStr">
        <is>
          <t>4787 Hallenmanagement-Langen-GmbH./.Ed.Züblin-AG</t>
        </is>
      </c>
      <c r="B1039" s="4" t="inlineStr">
        <is>
          <t>● 0000-Aquise</t>
        </is>
      </c>
      <c r="C1039" s="9" t="inlineStr">
        <is>
          <t>Unbekannt</t>
        </is>
      </c>
      <c r="D1039" s="10" t="inlineStr">
        <is>
          <t>⚠ Manual erforderlich</t>
        </is>
      </c>
      <c r="E1039" s="11" t="inlineStr"/>
      <c r="F1039" s="11" t="n">
        <v>0</v>
      </c>
      <c r="G1039" s="11">
        <f>E1039-F1039</f>
        <v/>
      </c>
      <c r="H1039" s="11" t="n">
        <v/>
      </c>
      <c r="I1039" s="11" t="n">
        <v/>
      </c>
      <c r="J1039" s="11" t="n">
        <v/>
      </c>
      <c r="K1039" s="4" t="inlineStr">
        <is>
          <t>Abrechnungsart wählen; Stundensätze eingeben</t>
        </is>
      </c>
    </row>
    <row r="1040">
      <c r="A1040" s="4" t="inlineStr">
        <is>
          <t>4787 Hallenmanagement-Langen-GmbH./.Ed.Züblin-AG</t>
        </is>
      </c>
      <c r="B1040" s="4" t="inlineStr">
        <is>
          <t>● 0001-Sonstiges</t>
        </is>
      </c>
      <c r="C1040" s="9" t="inlineStr">
        <is>
          <t>Unbekannt</t>
        </is>
      </c>
      <c r="D1040" s="10" t="inlineStr">
        <is>
          <t>⚠ Manual erforderlich</t>
        </is>
      </c>
      <c r="E1040" s="11" t="inlineStr"/>
      <c r="F1040" s="11" t="n">
        <v>0</v>
      </c>
      <c r="G1040" s="11">
        <f>E1040-F1040</f>
        <v/>
      </c>
      <c r="H1040" s="11" t="n">
        <v/>
      </c>
      <c r="I1040" s="11" t="n">
        <v/>
      </c>
      <c r="J1040" s="11" t="n">
        <v/>
      </c>
      <c r="K1040" s="4" t="inlineStr">
        <is>
          <t>Abrechnungsart wählen; Stundensätze eingeben</t>
        </is>
      </c>
    </row>
    <row r="1041">
      <c r="A1041" s="4" t="inlineStr">
        <is>
          <t>4808 Abschnitt-II+III-Mainzer-Straße-29-Wiesbaden-HZD</t>
        </is>
      </c>
      <c r="B1041" s="4" t="inlineStr">
        <is>
          <t>● 5000-Ausführungsplanung</t>
        </is>
      </c>
      <c r="C1041" s="9" t="inlineStr">
        <is>
          <t>Unbekannt</t>
        </is>
      </c>
      <c r="D1041" s="10" t="inlineStr">
        <is>
          <t>⚠ Manual erforderlich</t>
        </is>
      </c>
      <c r="E1041" s="11" t="inlineStr"/>
      <c r="F1041" s="11" t="n">
        <v>0</v>
      </c>
      <c r="G1041" s="11">
        <f>E1041-F1041</f>
        <v/>
      </c>
      <c r="H1041" s="11" t="n">
        <v/>
      </c>
      <c r="I1041" s="11" t="n">
        <v/>
      </c>
      <c r="J1041" s="11" t="n">
        <v/>
      </c>
      <c r="K1041" s="4" t="inlineStr">
        <is>
          <t>Abrechnungsart wählen; Stundensätze eingeben</t>
        </is>
      </c>
    </row>
    <row r="1042">
      <c r="A1042" s="4" t="inlineStr">
        <is>
          <t>4808 Abschnitt-II+III-Mainzer-Straße-29-Wiesbaden-HZD</t>
        </is>
      </c>
      <c r="B1042" s="4" t="inlineStr">
        <is>
          <t>● 8000-Objektüberwachung</t>
        </is>
      </c>
      <c r="C1042" s="9" t="inlineStr">
        <is>
          <t>Unbekannt</t>
        </is>
      </c>
      <c r="D1042" s="10" t="inlineStr">
        <is>
          <t>⚠ Manual erforderlich</t>
        </is>
      </c>
      <c r="E1042" s="11" t="inlineStr"/>
      <c r="F1042" s="11" t="n">
        <v>0</v>
      </c>
      <c r="G1042" s="11">
        <f>E1042-F1042</f>
        <v/>
      </c>
      <c r="H1042" s="11" t="n">
        <v/>
      </c>
      <c r="I1042" s="11" t="n">
        <v/>
      </c>
      <c r="J1042" s="11" t="n">
        <v/>
      </c>
      <c r="K1042" s="4" t="inlineStr">
        <is>
          <t>Abrechnungsart wählen; Stundensätze eingeben</t>
        </is>
      </c>
    </row>
    <row r="1043">
      <c r="A1043" s="4" t="inlineStr">
        <is>
          <t>4808.01 Abschnitt-I-Mainzer-Straße-29-Wiesbaden-HZD</t>
        </is>
      </c>
      <c r="B1043" s="4" t="inlineStr">
        <is>
          <t>● 5000-Ausführungsplanung</t>
        </is>
      </c>
      <c r="C1043" s="9" t="inlineStr">
        <is>
          <t>Unbekannt</t>
        </is>
      </c>
      <c r="D1043" s="10" t="inlineStr">
        <is>
          <t>⚠ Manual erforderlich</t>
        </is>
      </c>
      <c r="E1043" s="11" t="inlineStr"/>
      <c r="F1043" s="11" t="n">
        <v>0</v>
      </c>
      <c r="G1043" s="11">
        <f>E1043-F1043</f>
        <v/>
      </c>
      <c r="H1043" s="11" t="n">
        <v/>
      </c>
      <c r="I1043" s="11" t="n">
        <v/>
      </c>
      <c r="J1043" s="11" t="n">
        <v/>
      </c>
      <c r="K1043" s="4" t="inlineStr">
        <is>
          <t>Abrechnungsart wählen; Stundensätze eingeben</t>
        </is>
      </c>
    </row>
    <row r="1044">
      <c r="A1044" s="4" t="inlineStr">
        <is>
          <t>4808.01 Abschnitt-I-Mainzer-Straße-29-Wiesbaden-HZD</t>
        </is>
      </c>
      <c r="B1044" s="4" t="inlineStr">
        <is>
          <t>● 8000-Objektüberwachung</t>
        </is>
      </c>
      <c r="C1044" s="9" t="inlineStr">
        <is>
          <t>Unbekannt</t>
        </is>
      </c>
      <c r="D1044" s="10" t="inlineStr">
        <is>
          <t>⚠ Manual erforderlich</t>
        </is>
      </c>
      <c r="E1044" s="11" t="inlineStr"/>
      <c r="F1044" s="11" t="n">
        <v>0</v>
      </c>
      <c r="G1044" s="11">
        <f>E1044-F1044</f>
        <v/>
      </c>
      <c r="H1044" s="11" t="n">
        <v/>
      </c>
      <c r="I1044" s="11" t="n">
        <v/>
      </c>
      <c r="J1044" s="11" t="n">
        <v/>
      </c>
      <c r="K1044" s="4" t="inlineStr">
        <is>
          <t>Abrechnungsart wählen; Stundensätze eingeben</t>
        </is>
      </c>
    </row>
    <row r="1045">
      <c r="A1045" s="4" t="inlineStr">
        <is>
          <t>4808.01 Abschnitt-I-Mainzer-Straße-29-Wiesbaden-HZD</t>
        </is>
      </c>
      <c r="B1045" s="4" t="inlineStr">
        <is>
          <t>● Tekturthemen</t>
        </is>
      </c>
      <c r="C1045" s="9" t="inlineStr">
        <is>
          <t>Unbekannt</t>
        </is>
      </c>
      <c r="D1045" s="10" t="inlineStr">
        <is>
          <t>⚠ Manual erforderlich</t>
        </is>
      </c>
      <c r="E1045" s="11" t="inlineStr"/>
      <c r="F1045" s="11" t="n">
        <v>0</v>
      </c>
      <c r="G1045" s="11">
        <f>E1045-F1045</f>
        <v/>
      </c>
      <c r="H1045" s="11" t="n">
        <v/>
      </c>
      <c r="I1045" s="11" t="n">
        <v/>
      </c>
      <c r="J1045" s="11" t="n">
        <v/>
      </c>
      <c r="K1045" s="4" t="inlineStr">
        <is>
          <t>Abrechnungsart wählen; Stundensätze eingeben</t>
        </is>
      </c>
    </row>
    <row r="1046">
      <c r="A1046" s="4" t="inlineStr">
        <is>
          <t>4808.06 LP5-BL-Abschnitt-I-Mainzer-Straße-29-Wiesbaden-HZD</t>
        </is>
      </c>
      <c r="B1046" s="4" t="inlineStr">
        <is>
          <t>● 5000-Ausführungsplanung</t>
        </is>
      </c>
      <c r="C1046" s="9" t="inlineStr">
        <is>
          <t>Unbekannt</t>
        </is>
      </c>
      <c r="D1046" s="10" t="inlineStr">
        <is>
          <t>⚠ Manual erforderlich</t>
        </is>
      </c>
      <c r="E1046" s="11" t="inlineStr"/>
      <c r="F1046" s="11" t="n">
        <v>0</v>
      </c>
      <c r="G1046" s="11">
        <f>E1046-F1046</f>
        <v/>
      </c>
      <c r="H1046" s="11" t="n">
        <v/>
      </c>
      <c r="I1046" s="11" t="n">
        <v/>
      </c>
      <c r="J1046" s="11" t="n">
        <v/>
      </c>
      <c r="K1046" s="4" t="inlineStr">
        <is>
          <t>Abrechnungsart wählen; Stundensätze eingeben</t>
        </is>
      </c>
    </row>
    <row r="1047">
      <c r="A1047" s="4" t="inlineStr">
        <is>
          <t>4808.13 Erweiterung-LP5+8-Abschnitt-II+III-Mainzer-Straße-29-Wiesbaden-HZD</t>
        </is>
      </c>
      <c r="B1047" s="4" t="inlineStr">
        <is>
          <t>● 2.1.1 weiterführende Ausführungsplanung LP5 Abschnitt II (pauschal)</t>
        </is>
      </c>
      <c r="C1047" s="9" t="inlineStr">
        <is>
          <t>Unbekannt</t>
        </is>
      </c>
      <c r="D1047" s="10" t="inlineStr">
        <is>
          <t>⚠ Manual erforderlich</t>
        </is>
      </c>
      <c r="E1047" s="11" t="inlineStr"/>
      <c r="F1047" s="11" t="n">
        <v>0</v>
      </c>
      <c r="G1047" s="11">
        <f>E1047-F1047</f>
        <v/>
      </c>
      <c r="H1047" s="11" t="n">
        <v/>
      </c>
      <c r="I1047" s="11" t="n">
        <v/>
      </c>
      <c r="J1047" s="11" t="n">
        <v/>
      </c>
      <c r="K1047" s="4" t="inlineStr">
        <is>
          <t>Abrechnungsart wählen; Stundensätze eingeben</t>
        </is>
      </c>
    </row>
    <row r="1048">
      <c r="A1048" s="4" t="inlineStr">
        <is>
          <t>4808.13 Erweiterung-LP5+8-Abschnitt-II+III-Mainzer-Straße-29-Wiesbaden-HZD</t>
        </is>
      </c>
      <c r="B1048" s="4" t="inlineStr">
        <is>
          <t>● 2.1.2 zusätzl. Leistungen LP5 Abschnitt II+III (auf Nachweis)</t>
        </is>
      </c>
      <c r="C1048" s="9" t="inlineStr">
        <is>
          <t>Unbekannt</t>
        </is>
      </c>
      <c r="D1048" s="10" t="inlineStr">
        <is>
          <t>⚠ Manual erforderlich</t>
        </is>
      </c>
      <c r="E1048" s="11" t="inlineStr"/>
      <c r="F1048" s="11" t="n">
        <v>0</v>
      </c>
      <c r="G1048" s="11">
        <f>E1048-F1048</f>
        <v/>
      </c>
      <c r="H1048" s="11" t="n">
        <v/>
      </c>
      <c r="I1048" s="11" t="n">
        <v/>
      </c>
      <c r="J1048" s="11" t="n">
        <v/>
      </c>
      <c r="K1048" s="4" t="inlineStr">
        <is>
          <t>Abrechnungsart wählen; Stundensätze eingeben</t>
        </is>
      </c>
    </row>
    <row r="1049">
      <c r="A1049" s="4" t="inlineStr">
        <is>
          <t>4808.13 Erweiterung-LP5+8-Abschnitt-II+III-Mainzer-Straße-29-Wiesbaden-HZD</t>
        </is>
      </c>
      <c r="B1049" s="4" t="inlineStr">
        <is>
          <t>● 2.1.3 besondere Leistungen in LP5 Abschnitt II+III (auf Nachweis)</t>
        </is>
      </c>
      <c r="C1049" s="9" t="inlineStr">
        <is>
          <t>Unbekannt</t>
        </is>
      </c>
      <c r="D1049" s="10" t="inlineStr">
        <is>
          <t>⚠ Manual erforderlich</t>
        </is>
      </c>
      <c r="E1049" s="11" t="inlineStr"/>
      <c r="F1049" s="11" t="n">
        <v>0</v>
      </c>
      <c r="G1049" s="11">
        <f>E1049-F1049</f>
        <v/>
      </c>
      <c r="H1049" s="11" t="n">
        <v/>
      </c>
      <c r="I1049" s="11" t="n">
        <v/>
      </c>
      <c r="J1049" s="11" t="n">
        <v/>
      </c>
      <c r="K1049" s="4" t="inlineStr">
        <is>
          <t>Abrechnungsart wählen; Stundensätze eingeben</t>
        </is>
      </c>
    </row>
    <row r="1050">
      <c r="A1050" s="4" t="inlineStr">
        <is>
          <t>4808.13 Erweiterung-LP5+8-Abschnitt-II+III-Mainzer-Straße-29-Wiesbaden-HZD</t>
        </is>
      </c>
      <c r="B1050" s="4" t="inlineStr">
        <is>
          <t>● 2.1.4 Sammlung Tekturthemen Abschnitt II+III (auf Nachweis)</t>
        </is>
      </c>
      <c r="C1050" s="9" t="inlineStr">
        <is>
          <t>Unbekannt</t>
        </is>
      </c>
      <c r="D1050" s="10" t="inlineStr">
        <is>
          <t>⚠ Manual erforderlich</t>
        </is>
      </c>
      <c r="E1050" s="11" t="inlineStr"/>
      <c r="F1050" s="11" t="n">
        <v>0</v>
      </c>
      <c r="G1050" s="11">
        <f>E1050-F1050</f>
        <v/>
      </c>
      <c r="H1050" s="11" t="n">
        <v/>
      </c>
      <c r="I1050" s="11" t="n">
        <v/>
      </c>
      <c r="J1050" s="11" t="n">
        <v/>
      </c>
      <c r="K1050" s="4" t="inlineStr">
        <is>
          <t>Abrechnungsart wählen; Stundensätze eingeben</t>
        </is>
      </c>
    </row>
    <row r="1051">
      <c r="A1051" s="4" t="inlineStr">
        <is>
          <t>4808.14 BST-Mainzer-Straße-29-Wiesbaden-HZD</t>
        </is>
      </c>
      <c r="B1051" s="4" t="inlineStr">
        <is>
          <t>● (aN) Pos.1 BTB f. Sofortmaßnahmen II aus BSK</t>
        </is>
      </c>
      <c r="C1051" s="4" t="inlineStr">
        <is>
          <t>Nachweis</t>
        </is>
      </c>
      <c r="D1051" s="10" t="inlineStr">
        <is>
          <t>⚠ Manual erforderlich</t>
        </is>
      </c>
      <c r="E1051" s="11" t="inlineStr"/>
      <c r="F1051" s="11" t="n">
        <v>0</v>
      </c>
      <c r="G1051" s="11">
        <f>E1051-F1051</f>
        <v/>
      </c>
      <c r="H1051" s="11" t="n">
        <v/>
      </c>
      <c r="I1051" s="11" t="n">
        <v/>
      </c>
      <c r="J1051" s="11" t="n">
        <v/>
      </c>
      <c r="K1051" s="4" t="inlineStr">
        <is>
          <t>Stundensätze eingeben</t>
        </is>
      </c>
    </row>
    <row r="1052">
      <c r="A1052" s="4" t="inlineStr">
        <is>
          <t>4808.14 BST-Mainzer-Straße-29-Wiesbaden-HZD</t>
        </is>
      </c>
      <c r="B1052" s="4" t="inlineStr">
        <is>
          <t>● (p) Pos.2 BST f. Sofortmaßnahmen II aus BSK</t>
        </is>
      </c>
      <c r="C1052" s="4" t="inlineStr">
        <is>
          <t>Pauschale</t>
        </is>
      </c>
      <c r="D1052" s="10" t="inlineStr">
        <is>
          <t>⚠ Manual erforderlich</t>
        </is>
      </c>
      <c r="E1052" s="11" t="inlineStr"/>
      <c r="F1052" s="11" t="n">
        <v>0</v>
      </c>
      <c r="G1052" s="11">
        <f>E1052-F1052</f>
        <v/>
      </c>
      <c r="H1052" s="11" t="n">
        <v>0</v>
      </c>
      <c r="I1052" s="11" t="n">
        <v>0</v>
      </c>
      <c r="J1052" s="11" t="n">
        <v>0</v>
      </c>
      <c r="K1052" s="4" t="inlineStr">
        <is>
          <t>Stundensätze eingeben</t>
        </is>
      </c>
    </row>
    <row r="1053">
      <c r="A1053" s="4" t="inlineStr">
        <is>
          <t>4809.03 Beos-BTB-HöchsterStr70-98-Liederbach</t>
        </is>
      </c>
      <c r="B1053" s="4" t="inlineStr">
        <is>
          <t>● (aN) Pos. 1 Brandschutztechnische Beratungsleistungen</t>
        </is>
      </c>
      <c r="C1053" s="4" t="inlineStr">
        <is>
          <t>Nachweis</t>
        </is>
      </c>
      <c r="D1053" s="10" t="inlineStr">
        <is>
          <t>⚠ Manual erforderlich</t>
        </is>
      </c>
      <c r="E1053" s="11" t="inlineStr"/>
      <c r="F1053" s="11" t="n">
        <v>0</v>
      </c>
      <c r="G1053" s="11">
        <f>E1053-F1053</f>
        <v/>
      </c>
      <c r="H1053" s="11" t="n">
        <v/>
      </c>
      <c r="I1053" s="11" t="n">
        <v/>
      </c>
      <c r="J1053" s="11" t="n">
        <v/>
      </c>
      <c r="K1053" s="4" t="inlineStr">
        <is>
          <t>Stundensätze eingeben</t>
        </is>
      </c>
    </row>
    <row r="1054">
      <c r="A1054" s="4" t="inlineStr">
        <is>
          <t>4809.04 LMG-BSK-HöchsterStr70-98-Liederbach-HalleA</t>
        </is>
      </c>
      <c r="B1054" s="4" t="inlineStr">
        <is>
          <t>● (p) Brandschutzkonzept</t>
        </is>
      </c>
      <c r="C1054" s="4" t="inlineStr">
        <is>
          <t>Pauschale</t>
        </is>
      </c>
      <c r="D1054" s="10" t="inlineStr">
        <is>
          <t>⚠ Manual erforderlich</t>
        </is>
      </c>
      <c r="E1054" s="11" t="inlineStr"/>
      <c r="F1054" s="11" t="n">
        <v>0</v>
      </c>
      <c r="G1054" s="11">
        <f>E1054-F1054</f>
        <v/>
      </c>
      <c r="H1054" s="11" t="n">
        <v>0</v>
      </c>
      <c r="I1054" s="11" t="n">
        <v>0</v>
      </c>
      <c r="J1054" s="11" t="n">
        <v>0</v>
      </c>
      <c r="K1054" s="4" t="inlineStr">
        <is>
          <t>Stundensätze eingeben</t>
        </is>
      </c>
    </row>
    <row r="1055">
      <c r="A1055" s="4" t="inlineStr">
        <is>
          <t>4809.04 LMG-BSK-HöchsterStr70-98-Liederbach-HalleA</t>
        </is>
      </c>
      <c r="B1055" s="4" t="inlineStr">
        <is>
          <t>● (aN) Pos. 2 Brandschutztechnische Beratungsleistungen</t>
        </is>
      </c>
      <c r="C1055" s="4" t="inlineStr">
        <is>
          <t>Nachweis</t>
        </is>
      </c>
      <c r="D1055" s="10" t="inlineStr">
        <is>
          <t>⚠ Manual erforderlich</t>
        </is>
      </c>
      <c r="E1055" s="11" t="inlineStr"/>
      <c r="F1055" s="11" t="n">
        <v>0</v>
      </c>
      <c r="G1055" s="11">
        <f>E1055-F1055</f>
        <v/>
      </c>
      <c r="H1055" s="11" t="n">
        <v/>
      </c>
      <c r="I1055" s="11" t="n">
        <v/>
      </c>
      <c r="J1055" s="11" t="n">
        <v/>
      </c>
      <c r="K1055" s="4" t="inlineStr">
        <is>
          <t>Stundensätze eingeben</t>
        </is>
      </c>
    </row>
    <row r="1056">
      <c r="A1056" s="4" t="inlineStr">
        <is>
          <t>4823.02 LP5+8-Maibachstraße-Dillenburg-Umnutzung</t>
        </is>
      </c>
      <c r="B1056" s="4" t="inlineStr">
        <is>
          <t>● 5000-Ausführungsplanung</t>
        </is>
      </c>
      <c r="C1056" s="9" t="inlineStr">
        <is>
          <t>Unbekannt</t>
        </is>
      </c>
      <c r="D1056" s="10" t="inlineStr">
        <is>
          <t>⚠ Manual erforderlich</t>
        </is>
      </c>
      <c r="E1056" s="11" t="inlineStr"/>
      <c r="F1056" s="11" t="n">
        <v>0</v>
      </c>
      <c r="G1056" s="11">
        <f>E1056-F1056</f>
        <v/>
      </c>
      <c r="H1056" s="11" t="n">
        <v/>
      </c>
      <c r="I1056" s="11" t="n">
        <v/>
      </c>
      <c r="J1056" s="11" t="n">
        <v/>
      </c>
      <c r="K1056" s="4" t="inlineStr">
        <is>
          <t>Abrechnungsart wählen; Stundensätze eingeben</t>
        </is>
      </c>
    </row>
    <row r="1057">
      <c r="A1057" s="4" t="inlineStr">
        <is>
          <t>4823.02 LP5+8-Maibachstraße-Dillenburg-Umnutzung</t>
        </is>
      </c>
      <c r="B1057" s="4" t="inlineStr">
        <is>
          <t>● 8000-Objektüberwachung</t>
        </is>
      </c>
      <c r="C1057" s="9" t="inlineStr">
        <is>
          <t>Unbekannt</t>
        </is>
      </c>
      <c r="D1057" s="10" t="inlineStr">
        <is>
          <t>⚠ Manual erforderlich</t>
        </is>
      </c>
      <c r="E1057" s="11" t="inlineStr"/>
      <c r="F1057" s="11" t="n">
        <v>0</v>
      </c>
      <c r="G1057" s="11">
        <f>E1057-F1057</f>
        <v/>
      </c>
      <c r="H1057" s="11" t="n">
        <v/>
      </c>
      <c r="I1057" s="11" t="n">
        <v/>
      </c>
      <c r="J1057" s="11" t="n">
        <v/>
      </c>
      <c r="K1057" s="4" t="inlineStr">
        <is>
          <t>Abrechnungsart wählen; Stundensätze eingeben</t>
        </is>
      </c>
    </row>
    <row r="1058">
      <c r="A1058" s="4" t="inlineStr">
        <is>
          <t>4823.07 Fortschr-BSK-KiTa-OG2-Maibachstraße-Dillenburg-Umnutzung</t>
        </is>
      </c>
      <c r="B1058" s="4" t="inlineStr">
        <is>
          <t>● Brandschutztechn. Beratung und Objektüberwachung (auf Nachweis)</t>
        </is>
      </c>
      <c r="C1058" s="9" t="inlineStr">
        <is>
          <t>Unbekannt</t>
        </is>
      </c>
      <c r="D1058" s="10" t="inlineStr">
        <is>
          <t>⚠ Manual erforderlich</t>
        </is>
      </c>
      <c r="E1058" s="11" t="inlineStr"/>
      <c r="F1058" s="11" t="n">
        <v>0</v>
      </c>
      <c r="G1058" s="11">
        <f>E1058-F1058</f>
        <v/>
      </c>
      <c r="H1058" s="11" t="n">
        <v/>
      </c>
      <c r="I1058" s="11" t="n">
        <v/>
      </c>
      <c r="J1058" s="11" t="n">
        <v/>
      </c>
      <c r="K1058" s="4" t="inlineStr">
        <is>
          <t>Abrechnungsart wählen; Stundensätze eingeben</t>
        </is>
      </c>
    </row>
    <row r="1059">
      <c r="A1059" s="4" t="inlineStr">
        <is>
          <t>4823.07 Fortschr-BSK-KiTa-OG2-Maibachstraße-Dillenburg-Umnutzung</t>
        </is>
      </c>
      <c r="B1059" s="4" t="inlineStr">
        <is>
          <t>● Fortschr. BSK KiTa OG2 (pauschal)</t>
        </is>
      </c>
      <c r="C1059" s="9" t="inlineStr">
        <is>
          <t>Unbekannt</t>
        </is>
      </c>
      <c r="D1059" s="10" t="inlineStr">
        <is>
          <t>⚠ Manual erforderlich</t>
        </is>
      </c>
      <c r="E1059" s="11" t="inlineStr"/>
      <c r="F1059" s="11" t="n">
        <v>0</v>
      </c>
      <c r="G1059" s="11">
        <f>E1059-F1059</f>
        <v/>
      </c>
      <c r="H1059" s="11" t="n">
        <v/>
      </c>
      <c r="I1059" s="11" t="n">
        <v/>
      </c>
      <c r="J1059" s="11" t="n">
        <v/>
      </c>
      <c r="K1059" s="4" t="inlineStr">
        <is>
          <t>Abrechnungsart wählen; Stundensätze eingeben</t>
        </is>
      </c>
    </row>
    <row r="1060">
      <c r="A1060" s="4" t="inlineStr">
        <is>
          <t>4833.04 VDE-FWP-FRP-Merianstr28-Offenbach-Geb-F2+T+R+N</t>
        </is>
      </c>
      <c r="B1060" s="4" t="inlineStr">
        <is>
          <t>● (p) Pos.1 Anpassung FWP f. Geb. F2</t>
        </is>
      </c>
      <c r="C1060" s="4" t="inlineStr">
        <is>
          <t>Pauschale</t>
        </is>
      </c>
      <c r="D1060" s="10" t="inlineStr">
        <is>
          <t>⚠ Manual erforderlich</t>
        </is>
      </c>
      <c r="E1060" s="11" t="inlineStr"/>
      <c r="F1060" s="11" t="n">
        <v>0</v>
      </c>
      <c r="G1060" s="11">
        <f>E1060-F1060</f>
        <v/>
      </c>
      <c r="H1060" s="11" t="n">
        <v>0</v>
      </c>
      <c r="I1060" s="11" t="n">
        <v>0</v>
      </c>
      <c r="J1060" s="11" t="n">
        <v>0</v>
      </c>
      <c r="K1060" s="4" t="inlineStr">
        <is>
          <t>Stundensätze eingeben</t>
        </is>
      </c>
    </row>
    <row r="1061">
      <c r="A1061" s="4" t="inlineStr">
        <is>
          <t>4833.04 VDE-FWP-FRP-Merianstr28-Offenbach-Geb-F2+T+R+N</t>
        </is>
      </c>
      <c r="B1061" s="4" t="inlineStr">
        <is>
          <t>● (p) Pos.2 Erstellung FRP f. Geb. T, R +N</t>
        </is>
      </c>
      <c r="C1061" s="4" t="inlineStr">
        <is>
          <t>Pauschale</t>
        </is>
      </c>
      <c r="D1061" s="10" t="inlineStr">
        <is>
          <t>⚠ Manual erforderlich</t>
        </is>
      </c>
      <c r="E1061" s="11" t="inlineStr"/>
      <c r="F1061" s="11" t="n">
        <v>0</v>
      </c>
      <c r="G1061" s="11">
        <f>E1061-F1061</f>
        <v/>
      </c>
      <c r="H1061" s="11" t="n">
        <v>0</v>
      </c>
      <c r="I1061" s="11" t="n">
        <v>0</v>
      </c>
      <c r="J1061" s="11" t="n">
        <v>0</v>
      </c>
      <c r="K1061" s="4" t="inlineStr">
        <is>
          <t>Stundensätze eingeben</t>
        </is>
      </c>
    </row>
    <row r="1062">
      <c r="A1062" s="4" t="inlineStr">
        <is>
          <t>4841 Hostatoschule-Frankfurt-Umbau</t>
        </is>
      </c>
      <c r="B1062" s="4" t="inlineStr">
        <is>
          <t>● 0000-Aquise</t>
        </is>
      </c>
      <c r="C1062" s="9" t="inlineStr">
        <is>
          <t>Unbekannt</t>
        </is>
      </c>
      <c r="D1062" s="10" t="inlineStr">
        <is>
          <t>⚠ Manual erforderlich</t>
        </is>
      </c>
      <c r="E1062" s="11" t="inlineStr"/>
      <c r="F1062" s="11" t="n">
        <v>0</v>
      </c>
      <c r="G1062" s="11">
        <f>E1062-F1062</f>
        <v/>
      </c>
      <c r="H1062" s="11" t="n">
        <v/>
      </c>
      <c r="I1062" s="11" t="n">
        <v/>
      </c>
      <c r="J1062" s="11" t="n">
        <v/>
      </c>
      <c r="K1062" s="4" t="inlineStr">
        <is>
          <t>Abrechnungsart wählen; Stundensätze eingeben</t>
        </is>
      </c>
    </row>
    <row r="1063">
      <c r="A1063" s="4" t="inlineStr">
        <is>
          <t>4841 Hostatoschule-Frankfurt-Umbau</t>
        </is>
      </c>
      <c r="B1063" s="4" t="inlineStr">
        <is>
          <t>● 1000-Grundlagenermittlung</t>
        </is>
      </c>
      <c r="C1063" s="9" t="inlineStr">
        <is>
          <t>Unbekannt</t>
        </is>
      </c>
      <c r="D1063" s="10" t="inlineStr">
        <is>
          <t>⚠ Manual erforderlich</t>
        </is>
      </c>
      <c r="E1063" s="11" t="inlineStr"/>
      <c r="F1063" s="11" t="n">
        <v>0</v>
      </c>
      <c r="G1063" s="11">
        <f>E1063-F1063</f>
        <v/>
      </c>
      <c r="H1063" s="11" t="n">
        <v/>
      </c>
      <c r="I1063" s="11" t="n">
        <v/>
      </c>
      <c r="J1063" s="11" t="n">
        <v/>
      </c>
      <c r="K1063" s="4" t="inlineStr">
        <is>
          <t>Abrechnungsart wählen; Stundensätze eingeben</t>
        </is>
      </c>
    </row>
    <row r="1064">
      <c r="A1064" s="4" t="inlineStr">
        <is>
          <t>4841 Hostatoschule-Frankfurt-Umbau</t>
        </is>
      </c>
      <c r="B1064" s="4" t="inlineStr">
        <is>
          <t>● 2000-Vorplanung</t>
        </is>
      </c>
      <c r="C1064" s="9" t="inlineStr">
        <is>
          <t>Unbekannt</t>
        </is>
      </c>
      <c r="D1064" s="10" t="inlineStr">
        <is>
          <t>⚠ Manual erforderlich</t>
        </is>
      </c>
      <c r="E1064" s="11" t="inlineStr"/>
      <c r="F1064" s="11" t="n">
        <v>0</v>
      </c>
      <c r="G1064" s="11">
        <f>E1064-F1064</f>
        <v/>
      </c>
      <c r="H1064" s="11" t="n">
        <v/>
      </c>
      <c r="I1064" s="11" t="n">
        <v/>
      </c>
      <c r="J1064" s="11" t="n">
        <v/>
      </c>
      <c r="K1064" s="4" t="inlineStr">
        <is>
          <t>Abrechnungsart wählen; Stundensätze eingeben</t>
        </is>
      </c>
    </row>
    <row r="1065">
      <c r="A1065" s="4" t="inlineStr">
        <is>
          <t>4841 Hostatoschule-Frankfurt-Umbau</t>
        </is>
      </c>
      <c r="B1065" s="4" t="inlineStr">
        <is>
          <t>● 3000-Entwurfsplanung</t>
        </is>
      </c>
      <c r="C1065" s="9" t="inlineStr">
        <is>
          <t>Unbekannt</t>
        </is>
      </c>
      <c r="D1065" s="10" t="inlineStr">
        <is>
          <t>⚠ Manual erforderlich</t>
        </is>
      </c>
      <c r="E1065" s="11" t="inlineStr"/>
      <c r="F1065" s="11" t="n">
        <v>0</v>
      </c>
      <c r="G1065" s="11">
        <f>E1065-F1065</f>
        <v/>
      </c>
      <c r="H1065" s="11" t="n">
        <v/>
      </c>
      <c r="I1065" s="11" t="n">
        <v/>
      </c>
      <c r="J1065" s="11" t="n">
        <v/>
      </c>
      <c r="K1065" s="4" t="inlineStr">
        <is>
          <t>Abrechnungsart wählen; Stundensätze eingeben</t>
        </is>
      </c>
    </row>
    <row r="1066">
      <c r="A1066" s="4" t="inlineStr">
        <is>
          <t>4841 Hostatoschule-Frankfurt-Umbau</t>
        </is>
      </c>
      <c r="B1066" s="4" t="inlineStr">
        <is>
          <t>● 4000-Genehmigungsplanung</t>
        </is>
      </c>
      <c r="C1066" s="9" t="inlineStr">
        <is>
          <t>Unbekannt</t>
        </is>
      </c>
      <c r="D1066" s="10" t="inlineStr">
        <is>
          <t>⚠ Manual erforderlich</t>
        </is>
      </c>
      <c r="E1066" s="11" t="inlineStr"/>
      <c r="F1066" s="11" t="n">
        <v>0</v>
      </c>
      <c r="G1066" s="11">
        <f>E1066-F1066</f>
        <v/>
      </c>
      <c r="H1066" s="11" t="n">
        <v/>
      </c>
      <c r="I1066" s="11" t="n">
        <v/>
      </c>
      <c r="J1066" s="11" t="n">
        <v/>
      </c>
      <c r="K1066" s="4" t="inlineStr">
        <is>
          <t>Abrechnungsart wählen; Stundensätze eingeben</t>
        </is>
      </c>
    </row>
    <row r="1067">
      <c r="A1067" s="4" t="inlineStr">
        <is>
          <t>4841 Hostatoschule-Frankfurt-Umbau</t>
        </is>
      </c>
      <c r="B1067" s="4" t="inlineStr">
        <is>
          <t>● 5000-Ausführungsplanung</t>
        </is>
      </c>
      <c r="C1067" s="9" t="inlineStr">
        <is>
          <t>Unbekannt</t>
        </is>
      </c>
      <c r="D1067" s="10" t="inlineStr">
        <is>
          <t>⚠ Manual erforderlich</t>
        </is>
      </c>
      <c r="E1067" s="11" t="inlineStr"/>
      <c r="F1067" s="11" t="n">
        <v>0</v>
      </c>
      <c r="G1067" s="11">
        <f>E1067-F1067</f>
        <v/>
      </c>
      <c r="H1067" s="11" t="n">
        <v/>
      </c>
      <c r="I1067" s="11" t="n">
        <v/>
      </c>
      <c r="J1067" s="11" t="n">
        <v/>
      </c>
      <c r="K1067" s="4" t="inlineStr">
        <is>
          <t>Abrechnungsart wählen; Stundensätze eingeben</t>
        </is>
      </c>
    </row>
    <row r="1068">
      <c r="A1068" s="4" t="inlineStr">
        <is>
          <t>4841 Hostatoschule-Frankfurt-Umbau</t>
        </is>
      </c>
      <c r="B1068" s="4" t="inlineStr">
        <is>
          <t>● 8000-Objektüberwachung</t>
        </is>
      </c>
      <c r="C1068" s="9" t="inlineStr">
        <is>
          <t>Unbekannt</t>
        </is>
      </c>
      <c r="D1068" s="10" t="inlineStr">
        <is>
          <t>⚠ Manual erforderlich</t>
        </is>
      </c>
      <c r="E1068" s="11" t="inlineStr"/>
      <c r="F1068" s="11" t="n">
        <v>0</v>
      </c>
      <c r="G1068" s="11">
        <f>E1068-F1068</f>
        <v/>
      </c>
      <c r="H1068" s="11" t="n">
        <v/>
      </c>
      <c r="I1068" s="11" t="n">
        <v/>
      </c>
      <c r="J1068" s="11" t="n">
        <v/>
      </c>
      <c r="K1068" s="4" t="inlineStr">
        <is>
          <t>Abrechnungsart wählen; Stundensätze eingeben</t>
        </is>
      </c>
    </row>
    <row r="1069">
      <c r="A1069" s="4" t="inlineStr">
        <is>
          <t>4841.03 Pläne+BSO-Hostatoschule-Frankfurt-Umbau</t>
        </is>
      </c>
      <c r="B1069" s="4" t="inlineStr">
        <is>
          <t>● 1000-Grundlagenermittlung</t>
        </is>
      </c>
      <c r="C1069" s="9" t="inlineStr">
        <is>
          <t>Unbekannt</t>
        </is>
      </c>
      <c r="D1069" s="10" t="inlineStr">
        <is>
          <t>⚠ Manual erforderlich</t>
        </is>
      </c>
      <c r="E1069" s="11" t="inlineStr"/>
      <c r="F1069" s="11" t="n">
        <v>0</v>
      </c>
      <c r="G1069" s="11">
        <f>E1069-F1069</f>
        <v/>
      </c>
      <c r="H1069" s="11" t="n">
        <v/>
      </c>
      <c r="I1069" s="11" t="n">
        <v/>
      </c>
      <c r="J1069" s="11" t="n">
        <v/>
      </c>
      <c r="K1069" s="4" t="inlineStr">
        <is>
          <t>Abrechnungsart wählen; Stundensätze eingeben</t>
        </is>
      </c>
    </row>
    <row r="1070">
      <c r="A1070" s="4" t="inlineStr">
        <is>
          <t>4841.03 Pläne+BSO-Hostatoschule-Frankfurt-Umbau</t>
        </is>
      </c>
      <c r="B1070" s="4" t="inlineStr">
        <is>
          <t>● 8000-Objektüberwachung</t>
        </is>
      </c>
      <c r="C1070" s="9" t="inlineStr">
        <is>
          <t>Unbekannt</t>
        </is>
      </c>
      <c r="D1070" s="10" t="inlineStr">
        <is>
          <t>⚠ Manual erforderlich</t>
        </is>
      </c>
      <c r="E1070" s="11" t="inlineStr"/>
      <c r="F1070" s="11" t="n">
        <v>0</v>
      </c>
      <c r="G1070" s="11">
        <f>E1070-F1070</f>
        <v/>
      </c>
      <c r="H1070" s="11" t="n">
        <v/>
      </c>
      <c r="I1070" s="11" t="n">
        <v/>
      </c>
      <c r="J1070" s="11" t="n">
        <v/>
      </c>
      <c r="K1070" s="4" t="inlineStr">
        <is>
          <t>Abrechnungsart wählen; Stundensätze eingeben</t>
        </is>
      </c>
    </row>
    <row r="1071">
      <c r="A1071" s="4" t="inlineStr">
        <is>
          <t>4841.03 Pläne+BSO-Hostatoschule-Frankfurt-Umbau</t>
        </is>
      </c>
      <c r="B1071" s="4" t="inlineStr">
        <is>
          <t>● 9000-Objektbetreuung und Dokumentation</t>
        </is>
      </c>
      <c r="C1071" s="9" t="inlineStr">
        <is>
          <t>Unbekannt</t>
        </is>
      </c>
      <c r="D1071" s="10" t="inlineStr">
        <is>
          <t>⚠ Manual erforderlich</t>
        </is>
      </c>
      <c r="E1071" s="11" t="inlineStr"/>
      <c r="F1071" s="11" t="n">
        <v>0</v>
      </c>
      <c r="G1071" s="11">
        <f>E1071-F1071</f>
        <v/>
      </c>
      <c r="H1071" s="11" t="n">
        <v/>
      </c>
      <c r="I1071" s="11" t="n">
        <v/>
      </c>
      <c r="J1071" s="11" t="n">
        <v/>
      </c>
      <c r="K1071" s="4" t="inlineStr">
        <is>
          <t>Abrechnungsart wählen; Stundensätze eingeben</t>
        </is>
      </c>
    </row>
    <row r="1072">
      <c r="A1072" s="4" t="inlineStr">
        <is>
          <t>4841.05 BSK-Bestandsgeb-Hostatoschule-Frankfurt</t>
        </is>
      </c>
      <c r="B1072" s="4" t="inlineStr">
        <is>
          <t>● 3000-Entwurfsplanung</t>
        </is>
      </c>
      <c r="C1072" s="9" t="inlineStr">
        <is>
          <t>Unbekannt</t>
        </is>
      </c>
      <c r="D1072" s="10" t="inlineStr">
        <is>
          <t>⚠ Manual erforderlich</t>
        </is>
      </c>
      <c r="E1072" s="11" t="inlineStr"/>
      <c r="F1072" s="11" t="n">
        <v>0</v>
      </c>
      <c r="G1072" s="11">
        <f>E1072-F1072</f>
        <v/>
      </c>
      <c r="H1072" s="11" t="n">
        <v/>
      </c>
      <c r="I1072" s="11" t="n">
        <v/>
      </c>
      <c r="J1072" s="11" t="n">
        <v/>
      </c>
      <c r="K1072" s="4" t="inlineStr">
        <is>
          <t>Abrechnungsart wählen; Stundensätze eingeben</t>
        </is>
      </c>
    </row>
    <row r="1073">
      <c r="A1073" s="4" t="inlineStr">
        <is>
          <t>4841.05 BSK-Bestandsgeb-Hostatoschule-Frankfurt</t>
        </is>
      </c>
      <c r="B1073" s="4" t="inlineStr">
        <is>
          <t>● 4000-Genehmigungsplanung</t>
        </is>
      </c>
      <c r="C1073" s="9" t="inlineStr">
        <is>
          <t>Unbekannt</t>
        </is>
      </c>
      <c r="D1073" s="10" t="inlineStr">
        <is>
          <t>⚠ Manual erforderlich</t>
        </is>
      </c>
      <c r="E1073" s="11" t="inlineStr"/>
      <c r="F1073" s="11" t="n">
        <v>0</v>
      </c>
      <c r="G1073" s="11">
        <f>E1073-F1073</f>
        <v/>
      </c>
      <c r="H1073" s="11" t="n">
        <v/>
      </c>
      <c r="I1073" s="11" t="n">
        <v/>
      </c>
      <c r="J1073" s="11" t="n">
        <v/>
      </c>
      <c r="K1073" s="4" t="inlineStr">
        <is>
          <t>Abrechnungsart wählen; Stundensätze eingeben</t>
        </is>
      </c>
    </row>
    <row r="1074">
      <c r="A1074" s="4" t="inlineStr">
        <is>
          <t>4899.04 FLA-Erbachstraße-18-Ludwigshafen-Berkel</t>
        </is>
      </c>
      <c r="B1074" s="4" t="inlineStr">
        <is>
          <t>● Planung + Beratung Rohrnetzsanierung (auf Nachweis)</t>
        </is>
      </c>
      <c r="C1074" s="9" t="inlineStr">
        <is>
          <t>Unbekannt</t>
        </is>
      </c>
      <c r="D1074" s="10" t="inlineStr">
        <is>
          <t>⚠ Manual erforderlich</t>
        </is>
      </c>
      <c r="E1074" s="11" t="inlineStr"/>
      <c r="F1074" s="11" t="n">
        <v>0</v>
      </c>
      <c r="G1074" s="11">
        <f>E1074-F1074</f>
        <v/>
      </c>
      <c r="H1074" s="11" t="n">
        <v/>
      </c>
      <c r="I1074" s="11" t="n">
        <v/>
      </c>
      <c r="J1074" s="11" t="n">
        <v/>
      </c>
      <c r="K1074" s="4" t="inlineStr">
        <is>
          <t>Abrechnungsart wählen; Stundensätze eingeben</t>
        </is>
      </c>
    </row>
    <row r="1075">
      <c r="A1075" s="4" t="inlineStr">
        <is>
          <t>4899.061 Berkel-Anp-BST-Erbachstr18-Labor-Büro-Ludwigshafen</t>
        </is>
      </c>
      <c r="B1075" s="4" t="inlineStr">
        <is>
          <t>● (p) Fortschreibung BST</t>
        </is>
      </c>
      <c r="C1075" s="4" t="inlineStr">
        <is>
          <t>Pauschale</t>
        </is>
      </c>
      <c r="D1075" s="10" t="inlineStr">
        <is>
          <t>⚠ Manual erforderlich</t>
        </is>
      </c>
      <c r="E1075" s="11" t="inlineStr"/>
      <c r="F1075" s="11" t="n">
        <v>0</v>
      </c>
      <c r="G1075" s="11">
        <f>E1075-F1075</f>
        <v/>
      </c>
      <c r="H1075" s="11" t="n">
        <v>0</v>
      </c>
      <c r="I1075" s="11" t="n">
        <v>0</v>
      </c>
      <c r="J1075" s="11" t="n">
        <v>0</v>
      </c>
      <c r="K1075" s="4" t="inlineStr">
        <is>
          <t>Stundensätze eingeben</t>
        </is>
      </c>
    </row>
    <row r="1076">
      <c r="A1076" s="4" t="inlineStr">
        <is>
          <t>4899.07 Berkel-FLA-Anpassung-LAK-Erbachstr18-Ludwigshafen</t>
        </is>
      </c>
      <c r="B1076" s="4" t="inlineStr">
        <is>
          <t>● (aN) Pos. 1 Anpassung Löschanlagenkonzept</t>
        </is>
      </c>
      <c r="C1076" s="4" t="inlineStr">
        <is>
          <t>Nachweis</t>
        </is>
      </c>
      <c r="D1076" s="10" t="inlineStr">
        <is>
          <t>⚠ Manual erforderlich</t>
        </is>
      </c>
      <c r="E1076" s="11" t="inlineStr"/>
      <c r="F1076" s="11" t="n">
        <v>0</v>
      </c>
      <c r="G1076" s="11">
        <f>E1076-F1076</f>
        <v/>
      </c>
      <c r="H1076" s="11" t="n">
        <v/>
      </c>
      <c r="I1076" s="11" t="n">
        <v/>
      </c>
      <c r="J1076" s="11" t="n">
        <v/>
      </c>
      <c r="K1076" s="4" t="inlineStr">
        <is>
          <t>Stundensätze eingeben</t>
        </is>
      </c>
    </row>
    <row r="1077">
      <c r="A1077" s="4" t="inlineStr">
        <is>
          <t>4899.07 Berkel-FLA-Anpassung-LAK-Erbachstr18-Ludwigshafen</t>
        </is>
      </c>
      <c r="B1077" s="4" t="inlineStr">
        <is>
          <t>● (aN) Erhöhung Pos. 1 (SV)</t>
        </is>
      </c>
      <c r="C1077" s="4" t="inlineStr">
        <is>
          <t>Nachweis</t>
        </is>
      </c>
      <c r="D1077" s="10" t="inlineStr">
        <is>
          <t>⚠ Manual erforderlich</t>
        </is>
      </c>
      <c r="E1077" s="11" t="inlineStr"/>
      <c r="F1077" s="11" t="n">
        <v>0</v>
      </c>
      <c r="G1077" s="11">
        <f>E1077-F1077</f>
        <v/>
      </c>
      <c r="H1077" s="11" t="n">
        <v/>
      </c>
      <c r="I1077" s="11" t="n">
        <v/>
      </c>
      <c r="J1077" s="11" t="n">
        <v/>
      </c>
      <c r="K1077" s="4" t="inlineStr">
        <is>
          <t>Stundensätze eingeben</t>
        </is>
      </c>
    </row>
    <row r="1078">
      <c r="A1078" s="4" t="inlineStr">
        <is>
          <t>4899.07 Berkel-FLA-Anpassung-LAK-Erbachstr18-Ludwigshafen</t>
        </is>
      </c>
      <c r="B1078" s="4" t="inlineStr">
        <is>
          <t>● (aN) Pos. 2 Anpassung der Ausführungspläne</t>
        </is>
      </c>
      <c r="C1078" s="4" t="inlineStr">
        <is>
          <t>Nachweis</t>
        </is>
      </c>
      <c r="D1078" s="10" t="inlineStr">
        <is>
          <t>⚠ Manual erforderlich</t>
        </is>
      </c>
      <c r="E1078" s="11" t="inlineStr"/>
      <c r="F1078" s="11" t="n">
        <v>0</v>
      </c>
      <c r="G1078" s="11">
        <f>E1078-F1078</f>
        <v/>
      </c>
      <c r="H1078" s="11" t="n">
        <v/>
      </c>
      <c r="I1078" s="11" t="n">
        <v/>
      </c>
      <c r="J1078" s="11" t="n">
        <v/>
      </c>
      <c r="K1078" s="4" t="inlineStr">
        <is>
          <t>Stundensätze eingeben</t>
        </is>
      </c>
    </row>
    <row r="1079">
      <c r="A1079" s="4" t="inlineStr">
        <is>
          <t>4899.07 Berkel-FLA-Anpassung-LAK-Erbachstr18-Ludwigshafen</t>
        </is>
      </c>
      <c r="B1079" s="4" t="inlineStr">
        <is>
          <t>● (aN) Erhöhung Pos. 2 (CAD)</t>
        </is>
      </c>
      <c r="C1079" s="4" t="inlineStr">
        <is>
          <t>Nachweis</t>
        </is>
      </c>
      <c r="D1079" s="10" t="inlineStr">
        <is>
          <t>⚠ Manual erforderlich</t>
        </is>
      </c>
      <c r="E1079" s="11" t="inlineStr"/>
      <c r="F1079" s="11" t="n">
        <v>0</v>
      </c>
      <c r="G1079" s="11">
        <f>E1079-F1079</f>
        <v/>
      </c>
      <c r="H1079" s="11" t="n">
        <v/>
      </c>
      <c r="I1079" s="11" t="n">
        <v/>
      </c>
      <c r="J1079" s="11" t="n">
        <v/>
      </c>
      <c r="K1079" s="4" t="inlineStr">
        <is>
          <t>Stundensätze eingeben</t>
        </is>
      </c>
    </row>
    <row r="1080">
      <c r="A1080" s="4" t="inlineStr">
        <is>
          <t>4899.07 Berkel-FLA-Anpassung-LAK-Erbachstr18-Ludwigshafen</t>
        </is>
      </c>
      <c r="B1080" s="4" t="inlineStr">
        <is>
          <t>● (p) Pos. 3 Auftragsbearbeitung</t>
        </is>
      </c>
      <c r="C1080" s="4" t="inlineStr">
        <is>
          <t>Pauschale</t>
        </is>
      </c>
      <c r="D1080" s="10" t="inlineStr">
        <is>
          <t>⚠ Manual erforderlich</t>
        </is>
      </c>
      <c r="E1080" s="11" t="inlineStr"/>
      <c r="F1080" s="11" t="n">
        <v>0</v>
      </c>
      <c r="G1080" s="11">
        <f>E1080-F1080</f>
        <v/>
      </c>
      <c r="H1080" s="11" t="n">
        <v>0</v>
      </c>
      <c r="I1080" s="11" t="n">
        <v>0</v>
      </c>
      <c r="J1080" s="11" t="n">
        <v>0</v>
      </c>
      <c r="K1080" s="4" t="inlineStr">
        <is>
          <t>Stundensätze eingeben</t>
        </is>
      </c>
    </row>
    <row r="1081">
      <c r="A1081" s="4" t="inlineStr">
        <is>
          <t>4899.08 Berkel-BAB-Erbachstr18-Labor-Büro-Ludwigshafen-Berkel</t>
        </is>
      </c>
      <c r="B1081" s="4" t="inlineStr">
        <is>
          <t>● (p) Pos. 1 KOF</t>
        </is>
      </c>
      <c r="C1081" s="4" t="inlineStr">
        <is>
          <t>Pauschale</t>
        </is>
      </c>
      <c r="D1081" s="10" t="inlineStr">
        <is>
          <t>⚠ Manual erforderlich</t>
        </is>
      </c>
      <c r="E1081" s="11" t="inlineStr"/>
      <c r="F1081" s="11" t="n">
        <v>0</v>
      </c>
      <c r="G1081" s="11">
        <f>E1081-F1081</f>
        <v/>
      </c>
      <c r="H1081" s="11" t="n">
        <v>0</v>
      </c>
      <c r="I1081" s="11" t="n">
        <v>0</v>
      </c>
      <c r="J1081" s="11" t="n">
        <v>0</v>
      </c>
      <c r="K1081" s="4" t="inlineStr">
        <is>
          <t>Stundensätze eingeben</t>
        </is>
      </c>
    </row>
    <row r="1082">
      <c r="A1082" s="4" t="inlineStr">
        <is>
          <t>4899.09 Berkel-FWP-Erbachstraße-18-Ludwigshafen</t>
        </is>
      </c>
      <c r="B1082" s="4" t="inlineStr">
        <is>
          <t>● (p) Pos. 1 Aktualisierung der Feuerwehrpläne</t>
        </is>
      </c>
      <c r="C1082" s="4" t="inlineStr">
        <is>
          <t>Pauschale</t>
        </is>
      </c>
      <c r="D1082" s="10" t="inlineStr">
        <is>
          <t>⚠ Manual erforderlich</t>
        </is>
      </c>
      <c r="E1082" s="11" t="inlineStr"/>
      <c r="F1082" s="11" t="n">
        <v>0</v>
      </c>
      <c r="G1082" s="11">
        <f>E1082-F1082</f>
        <v/>
      </c>
      <c r="H1082" s="11" t="n">
        <v>0</v>
      </c>
      <c r="I1082" s="11" t="n">
        <v>0</v>
      </c>
      <c r="J1082" s="11" t="n">
        <v>0</v>
      </c>
      <c r="K1082" s="4" t="inlineStr">
        <is>
          <t>Stundensätze eingeben</t>
        </is>
      </c>
    </row>
    <row r="1083">
      <c r="A1083" s="4" t="inlineStr">
        <is>
          <t>4899.09 Berkel-FWP-Erbachstraße-18-Ludwigshafen</t>
        </is>
      </c>
      <c r="B1083" s="4" t="inlineStr">
        <is>
          <t>● NAT-FRP-001-2025-04-15</t>
        </is>
      </c>
      <c r="C1083" s="9" t="inlineStr">
        <is>
          <t>Unbekannt</t>
        </is>
      </c>
      <c r="D1083" s="10" t="inlineStr">
        <is>
          <t>⚠ Manual erforderlich</t>
        </is>
      </c>
      <c r="E1083" s="11" t="inlineStr"/>
      <c r="F1083" s="11" t="n">
        <v>0</v>
      </c>
      <c r="G1083" s="11">
        <f>E1083-F1083</f>
        <v/>
      </c>
      <c r="H1083" s="11" t="n">
        <v/>
      </c>
      <c r="I1083" s="11" t="n">
        <v/>
      </c>
      <c r="J1083" s="11" t="n">
        <v/>
      </c>
      <c r="K1083" s="4" t="inlineStr">
        <is>
          <t>Abrechnungsart wählen; Stundensätze eingeben</t>
        </is>
      </c>
    </row>
    <row r="1084">
      <c r="A1084" s="4" t="inlineStr">
        <is>
          <t>4903.02 Marktplatz-2018-2-uPva-Los-1-Offenbach</t>
        </is>
      </c>
      <c r="B1084" s="4" t="inlineStr">
        <is>
          <t>● uPva</t>
        </is>
      </c>
      <c r="C1084" s="9" t="inlineStr">
        <is>
          <t>Unbekannt</t>
        </is>
      </c>
      <c r="D1084" s="10" t="inlineStr">
        <is>
          <t>⚠ Manual erforderlich</t>
        </is>
      </c>
      <c r="E1084" s="11" t="inlineStr"/>
      <c r="F1084" s="11" t="n">
        <v>0</v>
      </c>
      <c r="G1084" s="11">
        <f>E1084-F1084</f>
        <v/>
      </c>
      <c r="H1084" s="11" t="n">
        <v/>
      </c>
      <c r="I1084" s="11" t="n">
        <v/>
      </c>
      <c r="J1084" s="11" t="n">
        <v/>
      </c>
      <c r="K1084" s="4" t="inlineStr">
        <is>
          <t>Abrechnungsart wählen; Stundensätze eingeben</t>
        </is>
      </c>
    </row>
    <row r="1085">
      <c r="A1085" s="4" t="inlineStr">
        <is>
          <t>4903.02 Marktplatz-2018-2-uPva-Los-1-Offenbach</t>
        </is>
      </c>
      <c r="B1085" s="4" t="inlineStr">
        <is>
          <t>● Simulationen</t>
        </is>
      </c>
      <c r="C1085" s="9" t="inlineStr">
        <is>
          <t>Unbekannt</t>
        </is>
      </c>
      <c r="D1085" s="10" t="inlineStr">
        <is>
          <t>⚠ Manual erforderlich</t>
        </is>
      </c>
      <c r="E1085" s="11" t="inlineStr"/>
      <c r="F1085" s="11" t="n">
        <v>0</v>
      </c>
      <c r="G1085" s="11">
        <f>E1085-F1085</f>
        <v/>
      </c>
      <c r="H1085" s="11" t="n">
        <v/>
      </c>
      <c r="I1085" s="11" t="n">
        <v/>
      </c>
      <c r="J1085" s="11" t="n">
        <v/>
      </c>
      <c r="K1085" s="4" t="inlineStr">
        <is>
          <t>Abrechnungsart wählen; Stundensätze eingeben</t>
        </is>
      </c>
    </row>
    <row r="1086">
      <c r="A1086" s="4" t="inlineStr">
        <is>
          <t>4903.03 Marktplatz-2019-uPva-Los-1-Offenbach</t>
        </is>
      </c>
      <c r="B1086" s="4" t="inlineStr">
        <is>
          <t>● uPva</t>
        </is>
      </c>
      <c r="C1086" s="9" t="inlineStr">
        <is>
          <t>Unbekannt</t>
        </is>
      </c>
      <c r="D1086" s="10" t="inlineStr">
        <is>
          <t>⚠ Manual erforderlich</t>
        </is>
      </c>
      <c r="E1086" s="11" t="inlineStr"/>
      <c r="F1086" s="11" t="n">
        <v>0</v>
      </c>
      <c r="G1086" s="11">
        <f>E1086-F1086</f>
        <v/>
      </c>
      <c r="H1086" s="11" t="n">
        <v/>
      </c>
      <c r="I1086" s="11" t="n">
        <v/>
      </c>
      <c r="J1086" s="11" t="n">
        <v/>
      </c>
      <c r="K1086" s="4" t="inlineStr">
        <is>
          <t>Abrechnungsart wählen; Stundensätze eingeben</t>
        </is>
      </c>
    </row>
    <row r="1087">
      <c r="A1087" s="4" t="inlineStr">
        <is>
          <t>4903.04 RGS-Marktplatz-uPva-Los-1-Offenbach</t>
        </is>
      </c>
      <c r="B1087" s="4" t="inlineStr">
        <is>
          <t>● Rauchgassimulation 4 Szenarien (pauschal)</t>
        </is>
      </c>
      <c r="C1087" s="9" t="inlineStr">
        <is>
          <t>Unbekannt</t>
        </is>
      </c>
      <c r="D1087" s="10" t="inlineStr">
        <is>
          <t>⚠ Manual erforderlich</t>
        </is>
      </c>
      <c r="E1087" s="11" t="inlineStr"/>
      <c r="F1087" s="11" t="n">
        <v>0</v>
      </c>
      <c r="G1087" s="11">
        <f>E1087-F1087</f>
        <v/>
      </c>
      <c r="H1087" s="11" t="n">
        <v/>
      </c>
      <c r="I1087" s="11" t="n">
        <v/>
      </c>
      <c r="J1087" s="11" t="n">
        <v/>
      </c>
      <c r="K1087" s="4" t="inlineStr">
        <is>
          <t>Abrechnungsart wählen; Stundensätze eingeben</t>
        </is>
      </c>
    </row>
    <row r="1088">
      <c r="A1088" s="4" t="inlineStr">
        <is>
          <t>4903.04 RGS-Marktplatz-uPva-Los-1-Offenbach</t>
        </is>
      </c>
      <c r="B1088" s="4" t="inlineStr">
        <is>
          <t>● Abstimmungen/Besprechungstermine (pauschal)</t>
        </is>
      </c>
      <c r="C1088" s="9" t="inlineStr">
        <is>
          <t>Unbekannt</t>
        </is>
      </c>
      <c r="D1088" s="10" t="inlineStr">
        <is>
          <t>⚠ Manual erforderlich</t>
        </is>
      </c>
      <c r="E1088" s="11" t="inlineStr"/>
      <c r="F1088" s="11" t="n">
        <v>0</v>
      </c>
      <c r="G1088" s="11">
        <f>E1088-F1088</f>
        <v/>
      </c>
      <c r="H1088" s="11" t="n">
        <v/>
      </c>
      <c r="I1088" s="11" t="n">
        <v/>
      </c>
      <c r="J1088" s="11" t="n">
        <v/>
      </c>
      <c r="K1088" s="4" t="inlineStr">
        <is>
          <t>Abrechnungsart wählen; Stundensätze eingeben</t>
        </is>
      </c>
    </row>
    <row r="1089">
      <c r="A1089" s="4" t="inlineStr">
        <is>
          <t>4903.06 Fortschr-BSK-Marktplatz-2022-2023-uPva-Los-1+3-Offenbach</t>
        </is>
      </c>
      <c r="B1089" s="4" t="inlineStr">
        <is>
          <t>● Fortschr. BSK (pauschal)</t>
        </is>
      </c>
      <c r="C1089" s="9" t="inlineStr">
        <is>
          <t>Unbekannt</t>
        </is>
      </c>
      <c r="D1089" s="10" t="inlineStr">
        <is>
          <t>⚠ Manual erforderlich</t>
        </is>
      </c>
      <c r="E1089" s="11" t="inlineStr"/>
      <c r="F1089" s="11" t="n">
        <v>0</v>
      </c>
      <c r="G1089" s="11">
        <f>E1089-F1089</f>
        <v/>
      </c>
      <c r="H1089" s="11" t="n">
        <v/>
      </c>
      <c r="I1089" s="11" t="n">
        <v/>
      </c>
      <c r="J1089" s="11" t="n">
        <v/>
      </c>
      <c r="K1089" s="4" t="inlineStr">
        <is>
          <t>Abrechnungsart wählen; Stundensätze eingeben</t>
        </is>
      </c>
    </row>
    <row r="1090">
      <c r="A1090" s="4" t="inlineStr">
        <is>
          <t>4903.09 NAT-06-BSK-uPVA-Baustelle-OKL-OLM-OMP</t>
        </is>
      </c>
      <c r="B1090" s="4" t="inlineStr">
        <is>
          <t>● (p) Bauzeitliches Brandschutzkonzept</t>
        </is>
      </c>
      <c r="C1090" s="4" t="inlineStr">
        <is>
          <t>Pauschale</t>
        </is>
      </c>
      <c r="D1090" s="10" t="inlineStr">
        <is>
          <t>⚠ Manual erforderlich</t>
        </is>
      </c>
      <c r="E1090" s="11" t="inlineStr"/>
      <c r="F1090" s="11" t="n">
        <v>0</v>
      </c>
      <c r="G1090" s="11">
        <f>E1090-F1090</f>
        <v/>
      </c>
      <c r="H1090" s="11" t="n">
        <v>0</v>
      </c>
      <c r="I1090" s="11" t="n">
        <v>0</v>
      </c>
      <c r="J1090" s="11" t="n">
        <v>0</v>
      </c>
      <c r="K1090" s="4" t="inlineStr">
        <is>
          <t>Stundensätze eingeben</t>
        </is>
      </c>
    </row>
    <row r="1091">
      <c r="A1091" s="4" t="inlineStr">
        <is>
          <t>4903.11 BSK-2024-2025-Marktplatz-uPva-Los-1+3</t>
        </is>
      </c>
      <c r="B1091" s="4" t="inlineStr">
        <is>
          <t>● (p) Erstellung, Fortschreibung von BSK</t>
        </is>
      </c>
      <c r="C1091" s="4" t="inlineStr">
        <is>
          <t>Pauschale</t>
        </is>
      </c>
      <c r="D1091" s="10" t="inlineStr">
        <is>
          <t>⚠ Manual erforderlich</t>
        </is>
      </c>
      <c r="E1091" s="11" t="inlineStr"/>
      <c r="F1091" s="11" t="n">
        <v>0</v>
      </c>
      <c r="G1091" s="11">
        <f>E1091-F1091</f>
        <v/>
      </c>
      <c r="H1091" s="11" t="n">
        <v>0</v>
      </c>
      <c r="I1091" s="11" t="n">
        <v>0</v>
      </c>
      <c r="J1091" s="11" t="n">
        <v>0</v>
      </c>
      <c r="K1091" s="4" t="inlineStr">
        <is>
          <t>Stundensätze eingeben</t>
        </is>
      </c>
    </row>
    <row r="1092">
      <c r="A1092" s="4" t="inlineStr">
        <is>
          <t>4903.11 BSK-2024-2025-Marktplatz-uPva-Los-1+3</t>
        </is>
      </c>
      <c r="B1092" s="4" t="inlineStr">
        <is>
          <t>● (p) Erarbeitung Rettungswegekonzeptes</t>
        </is>
      </c>
      <c r="C1092" s="4" t="inlineStr">
        <is>
          <t>Pauschale</t>
        </is>
      </c>
      <c r="D1092" s="10" t="inlineStr">
        <is>
          <t>⚠ Manual erforderlich</t>
        </is>
      </c>
      <c r="E1092" s="11" t="inlineStr"/>
      <c r="F1092" s="11" t="n">
        <v>0</v>
      </c>
      <c r="G1092" s="11">
        <f>E1092-F1092</f>
        <v/>
      </c>
      <c r="H1092" s="11" t="n">
        <v>0</v>
      </c>
      <c r="I1092" s="11" t="n">
        <v>0</v>
      </c>
      <c r="J1092" s="11" t="n">
        <v>0</v>
      </c>
      <c r="K1092" s="4" t="inlineStr">
        <is>
          <t>Stundensätze eingeben</t>
        </is>
      </c>
    </row>
    <row r="1093">
      <c r="A1093" s="4" t="inlineStr">
        <is>
          <t>4903.11 BSK-2024-2025-Marktplatz-uPva-Los-1+3</t>
        </is>
      </c>
      <c r="B1093" s="4" t="inlineStr">
        <is>
          <t>● (p) LP5 (zusätzl. f. 50Hz, HLSK in allen Stationen)</t>
        </is>
      </c>
      <c r="C1093" s="4" t="inlineStr">
        <is>
          <t>Pauschale</t>
        </is>
      </c>
      <c r="D1093" s="10" t="inlineStr">
        <is>
          <t>⚠ Manual erforderlich</t>
        </is>
      </c>
      <c r="E1093" s="11" t="inlineStr"/>
      <c r="F1093" s="11" t="n">
        <v>0</v>
      </c>
      <c r="G1093" s="11">
        <f>E1093-F1093</f>
        <v/>
      </c>
      <c r="H1093" s="11" t="n">
        <v>0</v>
      </c>
      <c r="I1093" s="11" t="n">
        <v>0</v>
      </c>
      <c r="J1093" s="11" t="n">
        <v>0</v>
      </c>
      <c r="K1093" s="4" t="inlineStr">
        <is>
          <t>Stundensätze eingeben</t>
        </is>
      </c>
    </row>
    <row r="1094">
      <c r="A1094" s="4" t="inlineStr">
        <is>
          <t>4903.11 BSK-2024-2025-Marktplatz-uPva-Los-1+3</t>
        </is>
      </c>
      <c r="B1094" s="4" t="inlineStr">
        <is>
          <t>● (p) LP8 Fachtechn. Bauüberwachung, Fachbauleitung BS</t>
        </is>
      </c>
      <c r="C1094" s="4" t="inlineStr">
        <is>
          <t>Pauschale</t>
        </is>
      </c>
      <c r="D1094" s="10" t="inlineStr">
        <is>
          <t>⚠ Manual erforderlich</t>
        </is>
      </c>
      <c r="E1094" s="11" t="inlineStr"/>
      <c r="F1094" s="11" t="n">
        <v>0</v>
      </c>
      <c r="G1094" s="11">
        <f>E1094-F1094</f>
        <v/>
      </c>
      <c r="H1094" s="11" t="n">
        <v>0</v>
      </c>
      <c r="I1094" s="11" t="n">
        <v>0</v>
      </c>
      <c r="J1094" s="11" t="n">
        <v>0</v>
      </c>
      <c r="K1094" s="4" t="inlineStr">
        <is>
          <t>Stundensätze eingeben</t>
        </is>
      </c>
    </row>
    <row r="1095">
      <c r="A1095" s="4" t="inlineStr">
        <is>
          <t>4903.12 NAT-17-BSK-uPvas-Fortschr-mit-HDWNA-OMP</t>
        </is>
      </c>
      <c r="B1095" s="4" t="inlineStr">
        <is>
          <t>● (p) Pos. 1 Neuerstellung BSK  mit Hochdruckwassernebelanlage (HDWNA) statt Treppeneinhausung</t>
        </is>
      </c>
      <c r="C1095" s="4" t="inlineStr">
        <is>
          <t>Pauschale</t>
        </is>
      </c>
      <c r="D1095" s="10" t="inlineStr">
        <is>
          <t>⚠ Manual erforderlich</t>
        </is>
      </c>
      <c r="E1095" s="11" t="inlineStr"/>
      <c r="F1095" s="11" t="n">
        <v>0</v>
      </c>
      <c r="G1095" s="11">
        <f>E1095-F1095</f>
        <v/>
      </c>
      <c r="H1095" s="11" t="n">
        <v>0</v>
      </c>
      <c r="I1095" s="11" t="n">
        <v>0</v>
      </c>
      <c r="J1095" s="11" t="n">
        <v>0</v>
      </c>
      <c r="K1095" s="4" t="inlineStr">
        <is>
          <t>Stundensätze eingeben</t>
        </is>
      </c>
    </row>
    <row r="1096">
      <c r="A1096" s="4" t="inlineStr">
        <is>
          <t>4903.12 NAT-17-BSK-uPvas-Fortschr-mit-HDWNA-OMP</t>
        </is>
      </c>
      <c r="B1096" s="4" t="inlineStr">
        <is>
          <t>● (p) Pos.4 (anteilig) Mitwirken Genehmigungsverfahren ZiE, UiG, CSM-Verfahren</t>
        </is>
      </c>
      <c r="C1096" s="4" t="inlineStr">
        <is>
          <t>Pauschale</t>
        </is>
      </c>
      <c r="D1096" s="10" t="inlineStr">
        <is>
          <t>⚠ Manual erforderlich</t>
        </is>
      </c>
      <c r="E1096" s="11" t="inlineStr"/>
      <c r="F1096" s="11" t="n">
        <v>0</v>
      </c>
      <c r="G1096" s="11">
        <f>E1096-F1096</f>
        <v/>
      </c>
      <c r="H1096" s="11" t="n">
        <v>0</v>
      </c>
      <c r="I1096" s="11" t="n">
        <v>0</v>
      </c>
      <c r="J1096" s="11" t="n">
        <v>0</v>
      </c>
      <c r="K1096" s="4" t="inlineStr">
        <is>
          <t>Stundensätze eingeben</t>
        </is>
      </c>
    </row>
    <row r="1097">
      <c r="A1097" s="4" t="inlineStr">
        <is>
          <t>4903.14 NAT-13-BSK-uPva-BSK-Baustelle-OF</t>
        </is>
      </c>
      <c r="B1097" s="4" t="inlineStr">
        <is>
          <t>● (p) Pos.1 Bauzeitl. BSK Offenbacher Stationen-OMP (1/3 v. KAL)</t>
        </is>
      </c>
      <c r="C1097" s="4" t="inlineStr">
        <is>
          <t>Pauschale</t>
        </is>
      </c>
      <c r="D1097" s="10" t="inlineStr">
        <is>
          <t>⚠ Manual erforderlich</t>
        </is>
      </c>
      <c r="E1097" s="11" t="inlineStr"/>
      <c r="F1097" s="11" t="n">
        <v>0</v>
      </c>
      <c r="G1097" s="11">
        <f>E1097-F1097</f>
        <v/>
      </c>
      <c r="H1097" s="11" t="n">
        <v>0</v>
      </c>
      <c r="I1097" s="11" t="n">
        <v>0</v>
      </c>
      <c r="J1097" s="11" t="n">
        <v>0</v>
      </c>
      <c r="K1097" s="4" t="inlineStr">
        <is>
          <t>Stundensätze eingeben</t>
        </is>
      </c>
    </row>
    <row r="1098">
      <c r="A1098" s="4" t="inlineStr">
        <is>
          <t>4903.14 NAT-13-BSK-uPva-BSK-Baustelle-OF</t>
        </is>
      </c>
      <c r="B1098" s="4" t="inlineStr">
        <is>
          <t>● (p) Pos.3 Baustellenkonzept Pläne (1/4 v. KAL)</t>
        </is>
      </c>
      <c r="C1098" s="4" t="inlineStr">
        <is>
          <t>Pauschale</t>
        </is>
      </c>
      <c r="D1098" s="10" t="inlineStr">
        <is>
          <t>⚠ Manual erforderlich</t>
        </is>
      </c>
      <c r="E1098" s="11" t="inlineStr"/>
      <c r="F1098" s="11" t="n">
        <v>0</v>
      </c>
      <c r="G1098" s="11">
        <f>E1098-F1098</f>
        <v/>
      </c>
      <c r="H1098" s="11" t="n">
        <v>0</v>
      </c>
      <c r="I1098" s="11" t="n">
        <v>0</v>
      </c>
      <c r="J1098" s="11" t="n">
        <v>0</v>
      </c>
      <c r="K1098" s="4" t="inlineStr">
        <is>
          <t>Stundensätze eingeben</t>
        </is>
      </c>
    </row>
    <row r="1099">
      <c r="A1099" s="4" t="inlineStr">
        <is>
          <t>4903.16  NAT-18-BST-uPva-OF-RES-Zählung</t>
        </is>
      </c>
      <c r="B1099" s="4" t="inlineStr">
        <is>
          <t>● (p) Pos.1 BST Personenzählungen OF Marktplatz</t>
        </is>
      </c>
      <c r="C1099" s="4" t="inlineStr">
        <is>
          <t>Pauschale</t>
        </is>
      </c>
      <c r="D1099" s="10" t="inlineStr">
        <is>
          <t>⚠ Manual erforderlich</t>
        </is>
      </c>
      <c r="E1099" s="11" t="inlineStr"/>
      <c r="F1099" s="11" t="n">
        <v>0</v>
      </c>
      <c r="G1099" s="11">
        <f>E1099-F1099</f>
        <v/>
      </c>
      <c r="H1099" s="11" t="n">
        <v>0</v>
      </c>
      <c r="I1099" s="11" t="n">
        <v>0</v>
      </c>
      <c r="J1099" s="11" t="n">
        <v>0</v>
      </c>
      <c r="K1099" s="4" t="inlineStr">
        <is>
          <t>Stundensätze eingeben</t>
        </is>
      </c>
    </row>
    <row r="1100">
      <c r="A1100" s="4" t="inlineStr">
        <is>
          <t>4904.02 Ledermuseum-2018-2-uPva-Los-1-Offenbach</t>
        </is>
      </c>
      <c r="B1100" s="4" t="inlineStr">
        <is>
          <t>● uPva</t>
        </is>
      </c>
      <c r="C1100" s="9" t="inlineStr">
        <is>
          <t>Unbekannt</t>
        </is>
      </c>
      <c r="D1100" s="10" t="inlineStr">
        <is>
          <t>⚠ Manual erforderlich</t>
        </is>
      </c>
      <c r="E1100" s="11" t="inlineStr"/>
      <c r="F1100" s="11" t="n">
        <v>0</v>
      </c>
      <c r="G1100" s="11">
        <f>E1100-F1100</f>
        <v/>
      </c>
      <c r="H1100" s="11" t="n">
        <v/>
      </c>
      <c r="I1100" s="11" t="n">
        <v/>
      </c>
      <c r="J1100" s="11" t="n">
        <v/>
      </c>
      <c r="K1100" s="4" t="inlineStr">
        <is>
          <t>Abrechnungsart wählen; Stundensätze eingeben</t>
        </is>
      </c>
    </row>
    <row r="1101">
      <c r="A1101" s="4" t="inlineStr">
        <is>
          <t>4904.02 Ledermuseum-2018-2-uPva-Los-1-Offenbach</t>
        </is>
      </c>
      <c r="B1101" s="4" t="inlineStr">
        <is>
          <t>● Simulationen</t>
        </is>
      </c>
      <c r="C1101" s="9" t="inlineStr">
        <is>
          <t>Unbekannt</t>
        </is>
      </c>
      <c r="D1101" s="10" t="inlineStr">
        <is>
          <t>⚠ Manual erforderlich</t>
        </is>
      </c>
      <c r="E1101" s="11" t="inlineStr"/>
      <c r="F1101" s="11" t="n">
        <v>0</v>
      </c>
      <c r="G1101" s="11">
        <f>E1101-F1101</f>
        <v/>
      </c>
      <c r="H1101" s="11" t="n">
        <v/>
      </c>
      <c r="I1101" s="11" t="n">
        <v/>
      </c>
      <c r="J1101" s="11" t="n">
        <v/>
      </c>
      <c r="K1101" s="4" t="inlineStr">
        <is>
          <t>Abrechnungsart wählen; Stundensätze eingeben</t>
        </is>
      </c>
    </row>
    <row r="1102">
      <c r="A1102" s="4" t="inlineStr">
        <is>
          <t>4904.03 Ledermuseum-2019-uPva-Los-1-Offenbach</t>
        </is>
      </c>
      <c r="B1102" s="4" t="inlineStr">
        <is>
          <t>● uPva</t>
        </is>
      </c>
      <c r="C1102" s="9" t="inlineStr">
        <is>
          <t>Unbekannt</t>
        </is>
      </c>
      <c r="D1102" s="10" t="inlineStr">
        <is>
          <t>⚠ Manual erforderlich</t>
        </is>
      </c>
      <c r="E1102" s="11" t="inlineStr"/>
      <c r="F1102" s="11" t="n">
        <v>0</v>
      </c>
      <c r="G1102" s="11">
        <f>E1102-F1102</f>
        <v/>
      </c>
      <c r="H1102" s="11" t="n">
        <v/>
      </c>
      <c r="I1102" s="11" t="n">
        <v/>
      </c>
      <c r="J1102" s="11" t="n">
        <v/>
      </c>
      <c r="K1102" s="4" t="inlineStr">
        <is>
          <t>Abrechnungsart wählen; Stundensätze eingeben</t>
        </is>
      </c>
    </row>
    <row r="1103">
      <c r="A1103" s="4" t="inlineStr">
        <is>
          <t>4904.05 Fortschr-BSK-2022-2023-Ledermuseum-uPva-Los-1+3-Offenbach</t>
        </is>
      </c>
      <c r="B1103" s="4" t="inlineStr">
        <is>
          <t>● Fortschr. BSK (pauschal)</t>
        </is>
      </c>
      <c r="C1103" s="9" t="inlineStr">
        <is>
          <t>Unbekannt</t>
        </is>
      </c>
      <c r="D1103" s="10" t="inlineStr">
        <is>
          <t>⚠ Manual erforderlich</t>
        </is>
      </c>
      <c r="E1103" s="11" t="inlineStr"/>
      <c r="F1103" s="11" t="n">
        <v>0</v>
      </c>
      <c r="G1103" s="11">
        <f>E1103-F1103</f>
        <v/>
      </c>
      <c r="H1103" s="11" t="n">
        <v/>
      </c>
      <c r="I1103" s="11" t="n">
        <v/>
      </c>
      <c r="J1103" s="11" t="n">
        <v/>
      </c>
      <c r="K1103" s="4" t="inlineStr">
        <is>
          <t>Abrechnungsart wählen; Stundensätze eingeben</t>
        </is>
      </c>
    </row>
    <row r="1104">
      <c r="A1104" s="4" t="inlineStr">
        <is>
          <t>4904.07 BSK-2024-2025-Ledermuseum-uPva-Los-1+3</t>
        </is>
      </c>
      <c r="B1104" s="4" t="inlineStr">
        <is>
          <t>● (p) Erstellung, Fortschreibung von BSK</t>
        </is>
      </c>
      <c r="C1104" s="4" t="inlineStr">
        <is>
          <t>Pauschale</t>
        </is>
      </c>
      <c r="D1104" s="10" t="inlineStr">
        <is>
          <t>⚠ Manual erforderlich</t>
        </is>
      </c>
      <c r="E1104" s="11" t="inlineStr"/>
      <c r="F1104" s="11" t="n">
        <v>0</v>
      </c>
      <c r="G1104" s="11">
        <f>E1104-F1104</f>
        <v/>
      </c>
      <c r="H1104" s="11" t="n">
        <v>0</v>
      </c>
      <c r="I1104" s="11" t="n">
        <v>0</v>
      </c>
      <c r="J1104" s="11" t="n">
        <v>0</v>
      </c>
      <c r="K1104" s="4" t="inlineStr">
        <is>
          <t>Stundensätze eingeben</t>
        </is>
      </c>
    </row>
    <row r="1105">
      <c r="A1105" s="4" t="inlineStr">
        <is>
          <t>4904.07 BSK-2024-2025-Ledermuseum-uPva-Los-1+3</t>
        </is>
      </c>
      <c r="B1105" s="4" t="inlineStr">
        <is>
          <t>● (p) Erarbeitung Rettungswegekonzeptes</t>
        </is>
      </c>
      <c r="C1105" s="4" t="inlineStr">
        <is>
          <t>Pauschale</t>
        </is>
      </c>
      <c r="D1105" s="10" t="inlineStr">
        <is>
          <t>⚠ Manual erforderlich</t>
        </is>
      </c>
      <c r="E1105" s="11" t="inlineStr"/>
      <c r="F1105" s="11" t="n">
        <v>0</v>
      </c>
      <c r="G1105" s="11">
        <f>E1105-F1105</f>
        <v/>
      </c>
      <c r="H1105" s="11" t="n">
        <v>0</v>
      </c>
      <c r="I1105" s="11" t="n">
        <v>0</v>
      </c>
      <c r="J1105" s="11" t="n">
        <v>0</v>
      </c>
      <c r="K1105" s="4" t="inlineStr">
        <is>
          <t>Stundensätze eingeben</t>
        </is>
      </c>
    </row>
    <row r="1106">
      <c r="A1106" s="4" t="inlineStr">
        <is>
          <t>4904.07 BSK-2024-2025-Ledermuseum-uPva-Los-1+3</t>
        </is>
      </c>
      <c r="B1106" s="4" t="inlineStr">
        <is>
          <t>● (p) LP5 (zusätzl. f. 50Hz, HLSK in allen Stationen)</t>
        </is>
      </c>
      <c r="C1106" s="4" t="inlineStr">
        <is>
          <t>Pauschale</t>
        </is>
      </c>
      <c r="D1106" s="10" t="inlineStr">
        <is>
          <t>⚠ Manual erforderlich</t>
        </is>
      </c>
      <c r="E1106" s="11" t="inlineStr"/>
      <c r="F1106" s="11" t="n">
        <v>0</v>
      </c>
      <c r="G1106" s="11">
        <f>E1106-F1106</f>
        <v/>
      </c>
      <c r="H1106" s="11" t="n">
        <v>0</v>
      </c>
      <c r="I1106" s="11" t="n">
        <v>0</v>
      </c>
      <c r="J1106" s="11" t="n">
        <v>0</v>
      </c>
      <c r="K1106" s="4" t="inlineStr">
        <is>
          <t>Stundensätze eingeben</t>
        </is>
      </c>
    </row>
    <row r="1107">
      <c r="A1107" s="4" t="inlineStr">
        <is>
          <t>4904.07 BSK-2024-2025-Ledermuseum-uPva-Los-1+3</t>
        </is>
      </c>
      <c r="B1107" s="4" t="inlineStr">
        <is>
          <t>● (p) LP8 Fachtechn. Bauüberwachung, Fachbauleitung BS</t>
        </is>
      </c>
      <c r="C1107" s="4" t="inlineStr">
        <is>
          <t>Pauschale</t>
        </is>
      </c>
      <c r="D1107" s="10" t="inlineStr">
        <is>
          <t>⚠ Manual erforderlich</t>
        </is>
      </c>
      <c r="E1107" s="11" t="inlineStr"/>
      <c r="F1107" s="11" t="n">
        <v>0</v>
      </c>
      <c r="G1107" s="11">
        <f>E1107-F1107</f>
        <v/>
      </c>
      <c r="H1107" s="11" t="n">
        <v>0</v>
      </c>
      <c r="I1107" s="11" t="n">
        <v>0</v>
      </c>
      <c r="J1107" s="11" t="n">
        <v>0</v>
      </c>
      <c r="K1107" s="4" t="inlineStr">
        <is>
          <t>Stundensätze eingeben</t>
        </is>
      </c>
    </row>
    <row r="1108">
      <c r="A1108" s="4" t="inlineStr">
        <is>
          <t>4904.08 NAT-17-BSK-Ledermuseum-uPva-OF-Fortschreibung-mit-HDWNA</t>
        </is>
      </c>
      <c r="B1108" s="4" t="inlineStr">
        <is>
          <t>● (p) Pos.2 Neuerstellung BSK mit Hochdruckwassernebelanlage (HDWNA)</t>
        </is>
      </c>
      <c r="C1108" s="4" t="inlineStr">
        <is>
          <t>Pauschale</t>
        </is>
      </c>
      <c r="D1108" s="10" t="inlineStr">
        <is>
          <t>⚠ Manual erforderlich</t>
        </is>
      </c>
      <c r="E1108" s="11" t="inlineStr"/>
      <c r="F1108" s="11" t="n">
        <v>0</v>
      </c>
      <c r="G1108" s="11">
        <f>E1108-F1108</f>
        <v/>
      </c>
      <c r="H1108" s="11" t="n">
        <v>0</v>
      </c>
      <c r="I1108" s="11" t="n">
        <v>0</v>
      </c>
      <c r="J1108" s="11" t="n">
        <v>0</v>
      </c>
      <c r="K1108" s="4" t="inlineStr">
        <is>
          <t>Stundensätze eingeben</t>
        </is>
      </c>
    </row>
    <row r="1109">
      <c r="A1109" s="4" t="inlineStr">
        <is>
          <t>4904.08 NAT-17-BSK-Ledermuseum-uPva-OF-Fortschreibung-mit-HDWNA</t>
        </is>
      </c>
      <c r="B1109" s="4" t="inlineStr">
        <is>
          <t>● (p) Pos.4 (anteilig) Mitwirken Genehmigungsverfahren ZiE, UiG, CSM-Verfahren</t>
        </is>
      </c>
      <c r="C1109" s="4" t="inlineStr">
        <is>
          <t>Pauschale</t>
        </is>
      </c>
      <c r="D1109" s="10" t="inlineStr">
        <is>
          <t>⚠ Manual erforderlich</t>
        </is>
      </c>
      <c r="E1109" s="11" t="inlineStr"/>
      <c r="F1109" s="11" t="n">
        <v>0</v>
      </c>
      <c r="G1109" s="11">
        <f>E1109-F1109</f>
        <v/>
      </c>
      <c r="H1109" s="11" t="n">
        <v>0</v>
      </c>
      <c r="I1109" s="11" t="n">
        <v>0</v>
      </c>
      <c r="J1109" s="11" t="n">
        <v>0</v>
      </c>
      <c r="K1109" s="4" t="inlineStr">
        <is>
          <t>Stundensätze eingeben</t>
        </is>
      </c>
    </row>
    <row r="1110">
      <c r="A1110" s="4" t="inlineStr">
        <is>
          <t>4904.10 NAT-13-BSK-uPva-BSK-Baustelle-OF</t>
        </is>
      </c>
      <c r="B1110" s="4" t="inlineStr">
        <is>
          <t>● (p) Pos.1 Bauzeitl. BSK Offenbacher Stationen-LM (1/3 v. KAL)</t>
        </is>
      </c>
      <c r="C1110" s="4" t="inlineStr">
        <is>
          <t>Pauschale</t>
        </is>
      </c>
      <c r="D1110" s="10" t="inlineStr">
        <is>
          <t>⚠ Manual erforderlich</t>
        </is>
      </c>
      <c r="E1110" s="11" t="inlineStr"/>
      <c r="F1110" s="11" t="n">
        <v>0</v>
      </c>
      <c r="G1110" s="11">
        <f>E1110-F1110</f>
        <v/>
      </c>
      <c r="H1110" s="11" t="n">
        <v>0</v>
      </c>
      <c r="I1110" s="11" t="n">
        <v>0</v>
      </c>
      <c r="J1110" s="11" t="n">
        <v>0</v>
      </c>
      <c r="K1110" s="4" t="inlineStr">
        <is>
          <t>Stundensätze eingeben</t>
        </is>
      </c>
    </row>
    <row r="1111">
      <c r="A1111" s="4" t="inlineStr">
        <is>
          <t>4904.10 NAT-13-BSK-uPva-BSK-Baustelle-OF</t>
        </is>
      </c>
      <c r="B1111" s="4" t="inlineStr">
        <is>
          <t>● (p) Pos.3 Baustellenkonzept Pläne (1/4 v. KAL)</t>
        </is>
      </c>
      <c r="C1111" s="4" t="inlineStr">
        <is>
          <t>Pauschale</t>
        </is>
      </c>
      <c r="D1111" s="10" t="inlineStr">
        <is>
          <t>⚠ Manual erforderlich</t>
        </is>
      </c>
      <c r="E1111" s="11" t="inlineStr"/>
      <c r="F1111" s="11" t="n">
        <v>0</v>
      </c>
      <c r="G1111" s="11">
        <f>E1111-F1111</f>
        <v/>
      </c>
      <c r="H1111" s="11" t="n">
        <v>0</v>
      </c>
      <c r="I1111" s="11" t="n">
        <v>0</v>
      </c>
      <c r="J1111" s="11" t="n">
        <v>0</v>
      </c>
      <c r="K1111" s="4" t="inlineStr">
        <is>
          <t>Stundensätze eingeben</t>
        </is>
      </c>
    </row>
    <row r="1112">
      <c r="A1112" s="4" t="inlineStr">
        <is>
          <t>4904.14 NAT-15-BTB-uPva-EBA-Anweisung-OLM</t>
        </is>
      </c>
      <c r="B1112" s="4" t="inlineStr">
        <is>
          <t>● (p) Pos.1 BTB CSM-Verfahren</t>
        </is>
      </c>
      <c r="C1112" s="4" t="inlineStr">
        <is>
          <t>Pauschale</t>
        </is>
      </c>
      <c r="D1112" s="10" t="inlineStr">
        <is>
          <t>⚠ Manual erforderlich</t>
        </is>
      </c>
      <c r="E1112" s="11" t="inlineStr"/>
      <c r="F1112" s="11" t="n">
        <v>0</v>
      </c>
      <c r="G1112" s="11">
        <f>E1112-F1112</f>
        <v/>
      </c>
      <c r="H1112" s="11" t="n">
        <v>0</v>
      </c>
      <c r="I1112" s="11" t="n">
        <v>0</v>
      </c>
      <c r="J1112" s="11" t="n">
        <v>0</v>
      </c>
      <c r="K1112" s="4" t="inlineStr">
        <is>
          <t>Stundensätze eingeben</t>
        </is>
      </c>
    </row>
    <row r="1113">
      <c r="A1113" s="4" t="inlineStr">
        <is>
          <t>4904.14 NAT-15-BTB-uPva-EBA-Anweisung-OLM</t>
        </is>
      </c>
      <c r="B1113" s="4" t="inlineStr">
        <is>
          <t>● (p) Pos.2 BST Abbruch Schottungswände Kabeltröge</t>
        </is>
      </c>
      <c r="C1113" s="4" t="inlineStr">
        <is>
          <t>Pauschale</t>
        </is>
      </c>
      <c r="D1113" s="10" t="inlineStr">
        <is>
          <t>⚠ Manual erforderlich</t>
        </is>
      </c>
      <c r="E1113" s="11" t="inlineStr"/>
      <c r="F1113" s="11" t="n">
        <v>0</v>
      </c>
      <c r="G1113" s="11">
        <f>E1113-F1113</f>
        <v/>
      </c>
      <c r="H1113" s="11" t="n">
        <v>0</v>
      </c>
      <c r="I1113" s="11" t="n">
        <v>0</v>
      </c>
      <c r="J1113" s="11" t="n">
        <v>0</v>
      </c>
      <c r="K1113" s="4" t="inlineStr">
        <is>
          <t>Stundensätze eingeben</t>
        </is>
      </c>
    </row>
    <row r="1114">
      <c r="A1114" s="4" t="inlineStr">
        <is>
          <t>4905.02 Kaiserlei-2018-2-uPva-Los-1-Offenbach</t>
        </is>
      </c>
      <c r="B1114" s="4" t="inlineStr">
        <is>
          <t>● uPva</t>
        </is>
      </c>
      <c r="C1114" s="9" t="inlineStr">
        <is>
          <t>Unbekannt</t>
        </is>
      </c>
      <c r="D1114" s="10" t="inlineStr">
        <is>
          <t>⚠ Manual erforderlich</t>
        </is>
      </c>
      <c r="E1114" s="11" t="inlineStr"/>
      <c r="F1114" s="11" t="n">
        <v>0</v>
      </c>
      <c r="G1114" s="11">
        <f>E1114-F1114</f>
        <v/>
      </c>
      <c r="H1114" s="11" t="n">
        <v/>
      </c>
      <c r="I1114" s="11" t="n">
        <v/>
      </c>
      <c r="J1114" s="11" t="n">
        <v/>
      </c>
      <c r="K1114" s="4" t="inlineStr">
        <is>
          <t>Abrechnungsart wählen; Stundensätze eingeben</t>
        </is>
      </c>
    </row>
    <row r="1115">
      <c r="A1115" s="4" t="inlineStr">
        <is>
          <t>4905.02 Kaiserlei-2018-2-uPva-Los-1-Offenbach</t>
        </is>
      </c>
      <c r="B1115" s="4" t="inlineStr">
        <is>
          <t>● Simulationen</t>
        </is>
      </c>
      <c r="C1115" s="9" t="inlineStr">
        <is>
          <t>Unbekannt</t>
        </is>
      </c>
      <c r="D1115" s="10" t="inlineStr">
        <is>
          <t>⚠ Manual erforderlich</t>
        </is>
      </c>
      <c r="E1115" s="11" t="inlineStr"/>
      <c r="F1115" s="11" t="n">
        <v>0</v>
      </c>
      <c r="G1115" s="11">
        <f>E1115-F1115</f>
        <v/>
      </c>
      <c r="H1115" s="11" t="n">
        <v/>
      </c>
      <c r="I1115" s="11" t="n">
        <v/>
      </c>
      <c r="J1115" s="11" t="n">
        <v/>
      </c>
      <c r="K1115" s="4" t="inlineStr">
        <is>
          <t>Abrechnungsart wählen; Stundensätze eingeben</t>
        </is>
      </c>
    </row>
    <row r="1116">
      <c r="A1116" s="4" t="inlineStr">
        <is>
          <t>4905.03 Kaiserlei-2019-uPva-Los-1-Offenbach</t>
        </is>
      </c>
      <c r="B1116" s="4" t="inlineStr">
        <is>
          <t>● uPva</t>
        </is>
      </c>
      <c r="C1116" s="9" t="inlineStr">
        <is>
          <t>Unbekannt</t>
        </is>
      </c>
      <c r="D1116" s="10" t="inlineStr">
        <is>
          <t>⚠ Manual erforderlich</t>
        </is>
      </c>
      <c r="E1116" s="11" t="inlineStr"/>
      <c r="F1116" s="11" t="n">
        <v>0</v>
      </c>
      <c r="G1116" s="11">
        <f>E1116-F1116</f>
        <v/>
      </c>
      <c r="H1116" s="11" t="n">
        <v/>
      </c>
      <c r="I1116" s="11" t="n">
        <v/>
      </c>
      <c r="J1116" s="11" t="n">
        <v/>
      </c>
      <c r="K1116" s="4" t="inlineStr">
        <is>
          <t>Abrechnungsart wählen; Stundensätze eingeben</t>
        </is>
      </c>
    </row>
    <row r="1117">
      <c r="A1117" s="4" t="inlineStr">
        <is>
          <t>4905.06 Fortschr-BSK-Kaiserlei-2022-2023-uPva-Los-1-Offenbach</t>
        </is>
      </c>
      <c r="B1117" s="4" t="inlineStr">
        <is>
          <t>● Fortschr. BSK (pauschal)</t>
        </is>
      </c>
      <c r="C1117" s="9" t="inlineStr">
        <is>
          <t>Unbekannt</t>
        </is>
      </c>
      <c r="D1117" s="10" t="inlineStr">
        <is>
          <t>⚠ Manual erforderlich</t>
        </is>
      </c>
      <c r="E1117" s="11" t="inlineStr"/>
      <c r="F1117" s="11" t="n">
        <v>0</v>
      </c>
      <c r="G1117" s="11">
        <f>E1117-F1117</f>
        <v/>
      </c>
      <c r="H1117" s="11" t="n">
        <v/>
      </c>
      <c r="I1117" s="11" t="n">
        <v/>
      </c>
      <c r="J1117" s="11" t="n">
        <v/>
      </c>
      <c r="K1117" s="4" t="inlineStr">
        <is>
          <t>Abrechnungsart wählen; Stundensätze eingeben</t>
        </is>
      </c>
    </row>
    <row r="1118">
      <c r="A1118" s="4" t="inlineStr">
        <is>
          <t>4905.07  NAT-09-BSK-Kaiserlei-2022-2023-uPva-OKL-BSK-INTERIM</t>
        </is>
      </c>
      <c r="B1118" s="4" t="inlineStr">
        <is>
          <t>● (p) Interimskonzept uPva Marktplatz</t>
        </is>
      </c>
      <c r="C1118" s="4" t="inlineStr">
        <is>
          <t>Pauschale</t>
        </is>
      </c>
      <c r="D1118" s="10" t="inlineStr">
        <is>
          <t>⚠ Manual erforderlich</t>
        </is>
      </c>
      <c r="E1118" s="11" t="inlineStr"/>
      <c r="F1118" s="11" t="n">
        <v>0</v>
      </c>
      <c r="G1118" s="11">
        <f>E1118-F1118</f>
        <v/>
      </c>
      <c r="H1118" s="11" t="n">
        <v>0</v>
      </c>
      <c r="I1118" s="11" t="n">
        <v>0</v>
      </c>
      <c r="J1118" s="11" t="n">
        <v>0</v>
      </c>
      <c r="K1118" s="4" t="inlineStr">
        <is>
          <t>Stundensätze eingeben</t>
        </is>
      </c>
    </row>
    <row r="1119">
      <c r="A1119" s="4" t="inlineStr">
        <is>
          <t>4905.07  NAT-09-BSK-Kaiserlei-2022-2023-uPva-OKL-BSK-INTERIM</t>
        </is>
      </c>
      <c r="B1119" s="4" t="inlineStr">
        <is>
          <t>● (p) NAT RGS und EVS</t>
        </is>
      </c>
      <c r="C1119" s="4" t="inlineStr">
        <is>
          <t>Pauschale</t>
        </is>
      </c>
      <c r="D1119" s="10" t="inlineStr">
        <is>
          <t>⚠ Manual erforderlich</t>
        </is>
      </c>
      <c r="E1119" s="11" t="inlineStr"/>
      <c r="F1119" s="11" t="n">
        <v>0</v>
      </c>
      <c r="G1119" s="11">
        <f>E1119-F1119</f>
        <v/>
      </c>
      <c r="H1119" s="11" t="n">
        <v>0</v>
      </c>
      <c r="I1119" s="11" t="n">
        <v>0</v>
      </c>
      <c r="J1119" s="11" t="n">
        <v>0</v>
      </c>
      <c r="K1119" s="4" t="inlineStr">
        <is>
          <t>Stundensätze eingeben</t>
        </is>
      </c>
    </row>
    <row r="1120">
      <c r="A1120" s="4" t="inlineStr">
        <is>
          <t>4905.08  BSK-2024-2025-Kaiserlei-uPva-Los-1+3</t>
        </is>
      </c>
      <c r="B1120" s="4" t="inlineStr">
        <is>
          <t>● (p) Erstellung, Fortschreibung von BSK</t>
        </is>
      </c>
      <c r="C1120" s="4" t="inlineStr">
        <is>
          <t>Pauschale</t>
        </is>
      </c>
      <c r="D1120" s="10" t="inlineStr">
        <is>
          <t>⚠ Manual erforderlich</t>
        </is>
      </c>
      <c r="E1120" s="11" t="inlineStr"/>
      <c r="F1120" s="11" t="n">
        <v>0</v>
      </c>
      <c r="G1120" s="11">
        <f>E1120-F1120</f>
        <v/>
      </c>
      <c r="H1120" s="11" t="n">
        <v>0</v>
      </c>
      <c r="I1120" s="11" t="n">
        <v>0</v>
      </c>
      <c r="J1120" s="11" t="n">
        <v>0</v>
      </c>
      <c r="K1120" s="4" t="inlineStr">
        <is>
          <t>Stundensätze eingeben</t>
        </is>
      </c>
    </row>
    <row r="1121">
      <c r="A1121" s="4" t="inlineStr">
        <is>
          <t>4905.08  BSK-2024-2025-Kaiserlei-uPva-Los-1+3</t>
        </is>
      </c>
      <c r="B1121" s="4" t="inlineStr">
        <is>
          <t>● (p) Erarbeitung Rettungswegekonzeptes</t>
        </is>
      </c>
      <c r="C1121" s="4" t="inlineStr">
        <is>
          <t>Pauschale</t>
        </is>
      </c>
      <c r="D1121" s="10" t="inlineStr">
        <is>
          <t>⚠ Manual erforderlich</t>
        </is>
      </c>
      <c r="E1121" s="11" t="inlineStr"/>
      <c r="F1121" s="11" t="n">
        <v>0</v>
      </c>
      <c r="G1121" s="11">
        <f>E1121-F1121</f>
        <v/>
      </c>
      <c r="H1121" s="11" t="n">
        <v>0</v>
      </c>
      <c r="I1121" s="11" t="n">
        <v>0</v>
      </c>
      <c r="J1121" s="11" t="n">
        <v>0</v>
      </c>
      <c r="K1121" s="4" t="inlineStr">
        <is>
          <t>Stundensätze eingeben</t>
        </is>
      </c>
    </row>
    <row r="1122">
      <c r="A1122" s="4" t="inlineStr">
        <is>
          <t>4905.08  BSK-2024-2025-Kaiserlei-uPva-Los-1+3</t>
        </is>
      </c>
      <c r="B1122" s="4" t="inlineStr">
        <is>
          <t>● (p) LP5 (zusätzl. f. 50Hz, HLSK in allen Stationen)</t>
        </is>
      </c>
      <c r="C1122" s="4" t="inlineStr">
        <is>
          <t>Pauschale</t>
        </is>
      </c>
      <c r="D1122" s="10" t="inlineStr">
        <is>
          <t>⚠ Manual erforderlich</t>
        </is>
      </c>
      <c r="E1122" s="11" t="inlineStr"/>
      <c r="F1122" s="11" t="n">
        <v>0</v>
      </c>
      <c r="G1122" s="11">
        <f>E1122-F1122</f>
        <v/>
      </c>
      <c r="H1122" s="11" t="n">
        <v>0</v>
      </c>
      <c r="I1122" s="11" t="n">
        <v>0</v>
      </c>
      <c r="J1122" s="11" t="n">
        <v>0</v>
      </c>
      <c r="K1122" s="4" t="inlineStr">
        <is>
          <t>Stundensätze eingeben</t>
        </is>
      </c>
    </row>
    <row r="1123">
      <c r="A1123" s="4" t="inlineStr">
        <is>
          <t>4905.08  BSK-2024-2025-Kaiserlei-uPva-Los-1+3</t>
        </is>
      </c>
      <c r="B1123" s="4" t="inlineStr">
        <is>
          <t>● (p) LP8 Fachtechn. Bauüberwachung, Fachbauleitung BS</t>
        </is>
      </c>
      <c r="C1123" s="4" t="inlineStr">
        <is>
          <t>Pauschale</t>
        </is>
      </c>
      <c r="D1123" s="10" t="inlineStr">
        <is>
          <t>⚠ Manual erforderlich</t>
        </is>
      </c>
      <c r="E1123" s="11" t="inlineStr"/>
      <c r="F1123" s="11" t="n">
        <v>0</v>
      </c>
      <c r="G1123" s="11">
        <f>E1123-F1123</f>
        <v/>
      </c>
      <c r="H1123" s="11" t="n">
        <v>0</v>
      </c>
      <c r="I1123" s="11" t="n">
        <v>0</v>
      </c>
      <c r="J1123" s="11" t="n">
        <v>0</v>
      </c>
      <c r="K1123" s="4" t="inlineStr">
        <is>
          <t>Stundensätze eingeben</t>
        </is>
      </c>
    </row>
    <row r="1124">
      <c r="A1124" s="4" t="inlineStr">
        <is>
          <t>4905.09 NAT-17-BSK-uPvas-Fortschr-mit-HDWNA-OKL</t>
        </is>
      </c>
      <c r="B1124" s="4" t="inlineStr">
        <is>
          <t>● (p) Pos. 3 Neuerstellung BSK Kaiserlei</t>
        </is>
      </c>
      <c r="C1124" s="4" t="inlineStr">
        <is>
          <t>Pauschale</t>
        </is>
      </c>
      <c r="D1124" s="10" t="inlineStr">
        <is>
          <t>⚠ Manual erforderlich</t>
        </is>
      </c>
      <c r="E1124" s="11" t="inlineStr"/>
      <c r="F1124" s="11" t="n">
        <v>0</v>
      </c>
      <c r="G1124" s="11">
        <f>E1124-F1124</f>
        <v/>
      </c>
      <c r="H1124" s="11" t="n">
        <v>0</v>
      </c>
      <c r="I1124" s="11" t="n">
        <v>0</v>
      </c>
      <c r="J1124" s="11" t="n">
        <v>0</v>
      </c>
      <c r="K1124" s="4" t="inlineStr">
        <is>
          <t>Stundensätze eingeben</t>
        </is>
      </c>
    </row>
    <row r="1125">
      <c r="A1125" s="4" t="inlineStr">
        <is>
          <t>4905.09 NAT-17-BSK-uPvas-Fortschr-mit-HDWNA-OKL</t>
        </is>
      </c>
      <c r="B1125" s="4" t="inlineStr">
        <is>
          <t>● (p) Pos.4 (anteilig) Mitwirken Genehmigungsverfahren ZiE, UiG, CSM-Verfahren</t>
        </is>
      </c>
      <c r="C1125" s="4" t="inlineStr">
        <is>
          <t>Pauschale</t>
        </is>
      </c>
      <c r="D1125" s="10" t="inlineStr">
        <is>
          <t>⚠ Manual erforderlich</t>
        </is>
      </c>
      <c r="E1125" s="11" t="inlineStr"/>
      <c r="F1125" s="11" t="n">
        <v>0</v>
      </c>
      <c r="G1125" s="11">
        <f>E1125-F1125</f>
        <v/>
      </c>
      <c r="H1125" s="11" t="n">
        <v>0</v>
      </c>
      <c r="I1125" s="11" t="n">
        <v>0</v>
      </c>
      <c r="J1125" s="11" t="n">
        <v>0</v>
      </c>
      <c r="K1125" s="4" t="inlineStr">
        <is>
          <t>Stundensätze eingeben</t>
        </is>
      </c>
    </row>
    <row r="1126">
      <c r="A1126" s="4" t="inlineStr">
        <is>
          <t>4905.11 NAT-13-BSK-uPva-BSK-Baustelle-OF</t>
        </is>
      </c>
      <c r="B1126" s="4" t="inlineStr">
        <is>
          <t>● (p) Pos.1 Bauzeitl. BSK Offenbacher Stationen-Kaiserlei</t>
        </is>
      </c>
      <c r="C1126" s="4" t="inlineStr">
        <is>
          <t>Pauschale</t>
        </is>
      </c>
      <c r="D1126" s="10" t="inlineStr">
        <is>
          <t>⚠ Manual erforderlich</t>
        </is>
      </c>
      <c r="E1126" s="11" t="inlineStr"/>
      <c r="F1126" s="11" t="n">
        <v>0</v>
      </c>
      <c r="G1126" s="11">
        <f>E1126-F1126</f>
        <v/>
      </c>
      <c r="H1126" s="11" t="n">
        <v>0</v>
      </c>
      <c r="I1126" s="11" t="n">
        <v>0</v>
      </c>
      <c r="J1126" s="11" t="n">
        <v>0</v>
      </c>
      <c r="K1126" s="4" t="inlineStr">
        <is>
          <t>Stundensätze eingeben</t>
        </is>
      </c>
    </row>
    <row r="1127">
      <c r="A1127" s="4" t="inlineStr">
        <is>
          <t>4905.11 NAT-13-BSK-uPva-BSK-Baustelle-OF</t>
        </is>
      </c>
      <c r="B1127" s="4" t="inlineStr">
        <is>
          <t>● (p) Pos.3 Baustellenkonzept Pläne - Kaiserlei</t>
        </is>
      </c>
      <c r="C1127" s="4" t="inlineStr">
        <is>
          <t>Pauschale</t>
        </is>
      </c>
      <c r="D1127" s="10" t="inlineStr">
        <is>
          <t>⚠ Manual erforderlich</t>
        </is>
      </c>
      <c r="E1127" s="11" t="inlineStr"/>
      <c r="F1127" s="11" t="n">
        <v>0</v>
      </c>
      <c r="G1127" s="11">
        <f>E1127-F1127</f>
        <v/>
      </c>
      <c r="H1127" s="11" t="n">
        <v>0</v>
      </c>
      <c r="I1127" s="11" t="n">
        <v>0</v>
      </c>
      <c r="J1127" s="11" t="n">
        <v>0</v>
      </c>
      <c r="K1127" s="4" t="inlineStr">
        <is>
          <t>Stundensätze eingeben</t>
        </is>
      </c>
    </row>
    <row r="1128">
      <c r="A1128" s="4" t="inlineStr">
        <is>
          <t>4906.02 Mühlberg-2018-2-uPva-Los-3-Frankfurt</t>
        </is>
      </c>
      <c r="B1128" s="4" t="inlineStr">
        <is>
          <t>● uPva</t>
        </is>
      </c>
      <c r="C1128" s="9" t="inlineStr">
        <is>
          <t>Unbekannt</t>
        </is>
      </c>
      <c r="D1128" s="10" t="inlineStr">
        <is>
          <t>⚠ Manual erforderlich</t>
        </is>
      </c>
      <c r="E1128" s="11" t="inlineStr"/>
      <c r="F1128" s="11" t="n">
        <v>0</v>
      </c>
      <c r="G1128" s="11">
        <f>E1128-F1128</f>
        <v/>
      </c>
      <c r="H1128" s="11" t="n">
        <v/>
      </c>
      <c r="I1128" s="11" t="n">
        <v/>
      </c>
      <c r="J1128" s="11" t="n">
        <v/>
      </c>
      <c r="K1128" s="4" t="inlineStr">
        <is>
          <t>Abrechnungsart wählen; Stundensätze eingeben</t>
        </is>
      </c>
    </row>
    <row r="1129">
      <c r="A1129" s="4" t="inlineStr">
        <is>
          <t>4906.02 Mühlberg-2018-2-uPva-Los-3-Frankfurt</t>
        </is>
      </c>
      <c r="B1129" s="4" t="inlineStr">
        <is>
          <t>● Simulationen</t>
        </is>
      </c>
      <c r="C1129" s="9" t="inlineStr">
        <is>
          <t>Unbekannt</t>
        </is>
      </c>
      <c r="D1129" s="10" t="inlineStr">
        <is>
          <t>⚠ Manual erforderlich</t>
        </is>
      </c>
      <c r="E1129" s="11" t="inlineStr"/>
      <c r="F1129" s="11" t="n">
        <v>0</v>
      </c>
      <c r="G1129" s="11">
        <f>E1129-F1129</f>
        <v/>
      </c>
      <c r="H1129" s="11" t="n">
        <v/>
      </c>
      <c r="I1129" s="11" t="n">
        <v/>
      </c>
      <c r="J1129" s="11" t="n">
        <v/>
      </c>
      <c r="K1129" s="4" t="inlineStr">
        <is>
          <t>Abrechnungsart wählen; Stundensätze eingeben</t>
        </is>
      </c>
    </row>
    <row r="1130">
      <c r="A1130" s="4" t="inlineStr">
        <is>
          <t>4906.03 Mühlberg-2019-uPva-Los-3-Frankfurt</t>
        </is>
      </c>
      <c r="B1130" s="4" t="inlineStr">
        <is>
          <t>● uPva</t>
        </is>
      </c>
      <c r="C1130" s="9" t="inlineStr">
        <is>
          <t>Unbekannt</t>
        </is>
      </c>
      <c r="D1130" s="10" t="inlineStr">
        <is>
          <t>⚠ Manual erforderlich</t>
        </is>
      </c>
      <c r="E1130" s="11" t="inlineStr"/>
      <c r="F1130" s="11" t="n">
        <v>0</v>
      </c>
      <c r="G1130" s="11">
        <f>E1130-F1130</f>
        <v/>
      </c>
      <c r="H1130" s="11" t="n">
        <v/>
      </c>
      <c r="I1130" s="11" t="n">
        <v/>
      </c>
      <c r="J1130" s="11" t="n">
        <v/>
      </c>
      <c r="K1130" s="4" t="inlineStr">
        <is>
          <t>Abrechnungsart wählen; Stundensätze eingeben</t>
        </is>
      </c>
    </row>
    <row r="1131">
      <c r="A1131" s="4" t="inlineStr">
        <is>
          <t>4906.04 RGS-Mühlberg-uPva-Los-3-Frankfurt</t>
        </is>
      </c>
      <c r="B1131" s="4" t="inlineStr">
        <is>
          <t>● Rauchgassimulation 4 Szenarien (pauschal)</t>
        </is>
      </c>
      <c r="C1131" s="9" t="inlineStr">
        <is>
          <t>Unbekannt</t>
        </is>
      </c>
      <c r="D1131" s="10" t="inlineStr">
        <is>
          <t>⚠ Manual erforderlich</t>
        </is>
      </c>
      <c r="E1131" s="11" t="inlineStr"/>
      <c r="F1131" s="11" t="n">
        <v>0</v>
      </c>
      <c r="G1131" s="11">
        <f>E1131-F1131</f>
        <v/>
      </c>
      <c r="H1131" s="11" t="n">
        <v/>
      </c>
      <c r="I1131" s="11" t="n">
        <v/>
      </c>
      <c r="J1131" s="11" t="n">
        <v/>
      </c>
      <c r="K1131" s="4" t="inlineStr">
        <is>
          <t>Abrechnungsart wählen; Stundensätze eingeben</t>
        </is>
      </c>
    </row>
    <row r="1132">
      <c r="A1132" s="4" t="inlineStr">
        <is>
          <t>4906.04 RGS-Mühlberg-uPva-Los-3-Frankfurt</t>
        </is>
      </c>
      <c r="B1132" s="4" t="inlineStr">
        <is>
          <t>● Abstimmungen/Besprechungstermine (pauschal)</t>
        </is>
      </c>
      <c r="C1132" s="9" t="inlineStr">
        <is>
          <t>Unbekannt</t>
        </is>
      </c>
      <c r="D1132" s="10" t="inlineStr">
        <is>
          <t>⚠ Manual erforderlich</t>
        </is>
      </c>
      <c r="E1132" s="11" t="inlineStr"/>
      <c r="F1132" s="11" t="n">
        <v>0</v>
      </c>
      <c r="G1132" s="11">
        <f>E1132-F1132</f>
        <v/>
      </c>
      <c r="H1132" s="11" t="n">
        <v/>
      </c>
      <c r="I1132" s="11" t="n">
        <v/>
      </c>
      <c r="J1132" s="11" t="n">
        <v/>
      </c>
      <c r="K1132" s="4" t="inlineStr">
        <is>
          <t>Abrechnungsart wählen; Stundensätze eingeben</t>
        </is>
      </c>
    </row>
    <row r="1133">
      <c r="A1133" s="4" t="inlineStr">
        <is>
          <t>4906.05 Fortschr-BSK-Mühlberg-2022-2023-uPva-Los-3-Frankfurt</t>
        </is>
      </c>
      <c r="B1133" s="4" t="inlineStr">
        <is>
          <t>● Fortschr. BSK (pauschal)</t>
        </is>
      </c>
      <c r="C1133" s="9" t="inlineStr">
        <is>
          <t>Unbekannt</t>
        </is>
      </c>
      <c r="D1133" s="10" t="inlineStr">
        <is>
          <t>⚠ Manual erforderlich</t>
        </is>
      </c>
      <c r="E1133" s="11" t="inlineStr"/>
      <c r="F1133" s="11" t="n">
        <v>0</v>
      </c>
      <c r="G1133" s="11">
        <f>E1133-F1133</f>
        <v/>
      </c>
      <c r="H1133" s="11" t="n">
        <v/>
      </c>
      <c r="I1133" s="11" t="n">
        <v/>
      </c>
      <c r="J1133" s="11" t="n">
        <v/>
      </c>
      <c r="K1133" s="4" t="inlineStr">
        <is>
          <t>Abrechnungsart wählen; Stundensätze eingeben</t>
        </is>
      </c>
    </row>
    <row r="1134">
      <c r="A1134" s="4" t="inlineStr">
        <is>
          <t>4906.07 BSK-2024-2025-Mühlberg-uPva-Los-1+3</t>
        </is>
      </c>
      <c r="B1134" s="4" t="inlineStr">
        <is>
          <t>● (p) Erstellung, Fortschreibung von BSK</t>
        </is>
      </c>
      <c r="C1134" s="4" t="inlineStr">
        <is>
          <t>Pauschale</t>
        </is>
      </c>
      <c r="D1134" s="10" t="inlineStr">
        <is>
          <t>⚠ Manual erforderlich</t>
        </is>
      </c>
      <c r="E1134" s="11" t="inlineStr"/>
      <c r="F1134" s="11" t="n">
        <v>0</v>
      </c>
      <c r="G1134" s="11">
        <f>E1134-F1134</f>
        <v/>
      </c>
      <c r="H1134" s="11" t="n">
        <v>0</v>
      </c>
      <c r="I1134" s="11" t="n">
        <v>0</v>
      </c>
      <c r="J1134" s="11" t="n">
        <v>0</v>
      </c>
      <c r="K1134" s="4" t="inlineStr">
        <is>
          <t>Stundensätze eingeben</t>
        </is>
      </c>
    </row>
    <row r="1135">
      <c r="A1135" s="4" t="inlineStr">
        <is>
          <t>4906.07 BSK-2024-2025-Mühlberg-uPva-Los-1+3</t>
        </is>
      </c>
      <c r="B1135" s="4" t="inlineStr">
        <is>
          <t>● (p) Erarbeitung Rettungswegekonzeptes</t>
        </is>
      </c>
      <c r="C1135" s="4" t="inlineStr">
        <is>
          <t>Pauschale</t>
        </is>
      </c>
      <c r="D1135" s="10" t="inlineStr">
        <is>
          <t>⚠ Manual erforderlich</t>
        </is>
      </c>
      <c r="E1135" s="11" t="inlineStr"/>
      <c r="F1135" s="11" t="n">
        <v>0</v>
      </c>
      <c r="G1135" s="11">
        <f>E1135-F1135</f>
        <v/>
      </c>
      <c r="H1135" s="11" t="n">
        <v>0</v>
      </c>
      <c r="I1135" s="11" t="n">
        <v>0</v>
      </c>
      <c r="J1135" s="11" t="n">
        <v>0</v>
      </c>
      <c r="K1135" s="4" t="inlineStr">
        <is>
          <t>Stundensätze eingeben</t>
        </is>
      </c>
    </row>
    <row r="1136">
      <c r="A1136" s="4" t="inlineStr">
        <is>
          <t>4906.07 BSK-2024-2025-Mühlberg-uPva-Los-1+3</t>
        </is>
      </c>
      <c r="B1136" s="4" t="inlineStr">
        <is>
          <t>● (p) LP5 (zusätzl. f. 50Hz, HLSK in allen Stationen)</t>
        </is>
      </c>
      <c r="C1136" s="4" t="inlineStr">
        <is>
          <t>Pauschale</t>
        </is>
      </c>
      <c r="D1136" s="10" t="inlineStr">
        <is>
          <t>⚠ Manual erforderlich</t>
        </is>
      </c>
      <c r="E1136" s="11" t="inlineStr"/>
      <c r="F1136" s="11" t="n">
        <v>0</v>
      </c>
      <c r="G1136" s="11">
        <f>E1136-F1136</f>
        <v/>
      </c>
      <c r="H1136" s="11" t="n">
        <v>0</v>
      </c>
      <c r="I1136" s="11" t="n">
        <v>0</v>
      </c>
      <c r="J1136" s="11" t="n">
        <v>0</v>
      </c>
      <c r="K1136" s="4" t="inlineStr">
        <is>
          <t>Stundensätze eingeben</t>
        </is>
      </c>
    </row>
    <row r="1137">
      <c r="A1137" s="4" t="inlineStr">
        <is>
          <t>4906.07 BSK-2024-2025-Mühlberg-uPva-Los-1+3</t>
        </is>
      </c>
      <c r="B1137" s="4" t="inlineStr">
        <is>
          <t>● (p) LP8 Fachtechn. Bauüberwachung, Fachbauleitung BS</t>
        </is>
      </c>
      <c r="C1137" s="4" t="inlineStr">
        <is>
          <t>Pauschale</t>
        </is>
      </c>
      <c r="D1137" s="10" t="inlineStr">
        <is>
          <t>⚠ Manual erforderlich</t>
        </is>
      </c>
      <c r="E1137" s="11" t="inlineStr"/>
      <c r="F1137" s="11" t="n">
        <v>0</v>
      </c>
      <c r="G1137" s="11">
        <f>E1137-F1137</f>
        <v/>
      </c>
      <c r="H1137" s="11" t="n">
        <v>0</v>
      </c>
      <c r="I1137" s="11" t="n">
        <v>0</v>
      </c>
      <c r="J1137" s="11" t="n">
        <v>0</v>
      </c>
      <c r="K1137" s="4" t="inlineStr">
        <is>
          <t>Stundensätze eingeben</t>
        </is>
      </c>
    </row>
    <row r="1138">
      <c r="A1138" s="4" t="inlineStr">
        <is>
          <t>4907.02 Ostendstraße-2018-2-uPva-Los-3-Frankfurt</t>
        </is>
      </c>
      <c r="B1138" s="4" t="inlineStr">
        <is>
          <t>● uPva</t>
        </is>
      </c>
      <c r="C1138" s="9" t="inlineStr">
        <is>
          <t>Unbekannt</t>
        </is>
      </c>
      <c r="D1138" s="10" t="inlineStr">
        <is>
          <t>⚠ Manual erforderlich</t>
        </is>
      </c>
      <c r="E1138" s="11" t="inlineStr"/>
      <c r="F1138" s="11" t="n">
        <v>0</v>
      </c>
      <c r="G1138" s="11">
        <f>E1138-F1138</f>
        <v/>
      </c>
      <c r="H1138" s="11" t="n">
        <v/>
      </c>
      <c r="I1138" s="11" t="n">
        <v/>
      </c>
      <c r="J1138" s="11" t="n">
        <v/>
      </c>
      <c r="K1138" s="4" t="inlineStr">
        <is>
          <t>Abrechnungsart wählen; Stundensätze eingeben</t>
        </is>
      </c>
    </row>
    <row r="1139">
      <c r="A1139" s="4" t="inlineStr">
        <is>
          <t>4907.02 Ostendstraße-2018-2-uPva-Los-3-Frankfurt</t>
        </is>
      </c>
      <c r="B1139" s="4" t="inlineStr">
        <is>
          <t>● Simulationen</t>
        </is>
      </c>
      <c r="C1139" s="9" t="inlineStr">
        <is>
          <t>Unbekannt</t>
        </is>
      </c>
      <c r="D1139" s="10" t="inlineStr">
        <is>
          <t>⚠ Manual erforderlich</t>
        </is>
      </c>
      <c r="E1139" s="11" t="inlineStr"/>
      <c r="F1139" s="11" t="n">
        <v>0</v>
      </c>
      <c r="G1139" s="11">
        <f>E1139-F1139</f>
        <v/>
      </c>
      <c r="H1139" s="11" t="n">
        <v/>
      </c>
      <c r="I1139" s="11" t="n">
        <v/>
      </c>
      <c r="J1139" s="11" t="n">
        <v/>
      </c>
      <c r="K1139" s="4" t="inlineStr">
        <is>
          <t>Abrechnungsart wählen; Stundensätze eingeben</t>
        </is>
      </c>
    </row>
    <row r="1140">
      <c r="A1140" s="4" t="inlineStr">
        <is>
          <t>4907.03 Ostendstraße-2019-uPva-Los-3-Frankfurt</t>
        </is>
      </c>
      <c r="B1140" s="4" t="inlineStr">
        <is>
          <t>● uPva</t>
        </is>
      </c>
      <c r="C1140" s="9" t="inlineStr">
        <is>
          <t>Unbekannt</t>
        </is>
      </c>
      <c r="D1140" s="10" t="inlineStr">
        <is>
          <t>⚠ Manual erforderlich</t>
        </is>
      </c>
      <c r="E1140" s="11" t="inlineStr"/>
      <c r="F1140" s="11" t="n">
        <v>0</v>
      </c>
      <c r="G1140" s="11">
        <f>E1140-F1140</f>
        <v/>
      </c>
      <c r="H1140" s="11" t="n">
        <v/>
      </c>
      <c r="I1140" s="11" t="n">
        <v/>
      </c>
      <c r="J1140" s="11" t="n">
        <v/>
      </c>
      <c r="K1140" s="4" t="inlineStr">
        <is>
          <t>Abrechnungsart wählen; Stundensätze eingeben</t>
        </is>
      </c>
    </row>
    <row r="1141">
      <c r="A1141" s="4" t="inlineStr">
        <is>
          <t>4907.04 RGS-Ostendstraße-uPva-Los-3-Frankfurt</t>
        </is>
      </c>
      <c r="B1141" s="4" t="inlineStr">
        <is>
          <t>● Feuer- und Rauchgassimulation Tunnelentrauchung pauschal</t>
        </is>
      </c>
      <c r="C1141" s="9" t="inlineStr">
        <is>
          <t>Unbekannt</t>
        </is>
      </c>
      <c r="D1141" s="10" t="inlineStr">
        <is>
          <t>⚠ Manual erforderlich</t>
        </is>
      </c>
      <c r="E1141" s="11" t="inlineStr"/>
      <c r="F1141" s="11" t="n">
        <v>0</v>
      </c>
      <c r="G1141" s="11">
        <f>E1141-F1141</f>
        <v/>
      </c>
      <c r="H1141" s="11" t="n">
        <v/>
      </c>
      <c r="I1141" s="11" t="n">
        <v/>
      </c>
      <c r="J1141" s="11" t="n">
        <v/>
      </c>
      <c r="K1141" s="4" t="inlineStr">
        <is>
          <t>Abrechnungsart wählen; Stundensätze eingeben</t>
        </is>
      </c>
    </row>
    <row r="1142">
      <c r="A1142" s="4" t="inlineStr">
        <is>
          <t>4907.05 Fortschr. BSK-Ostendstraße-2022-2023-uPva-Los-1+3-Frankfurt</t>
        </is>
      </c>
      <c r="B1142" s="4" t="inlineStr">
        <is>
          <t>● Fortschreibung BSK 2022-2023 (pauschal)</t>
        </is>
      </c>
      <c r="C1142" s="9" t="inlineStr">
        <is>
          <t>Unbekannt</t>
        </is>
      </c>
      <c r="D1142" s="10" t="inlineStr">
        <is>
          <t>⚠ Manual erforderlich</t>
        </is>
      </c>
      <c r="E1142" s="11" t="inlineStr"/>
      <c r="F1142" s="11" t="n">
        <v>0</v>
      </c>
      <c r="G1142" s="11">
        <f>E1142-F1142</f>
        <v/>
      </c>
      <c r="H1142" s="11" t="n">
        <v/>
      </c>
      <c r="I1142" s="11" t="n">
        <v/>
      </c>
      <c r="J1142" s="11" t="n">
        <v/>
      </c>
      <c r="K1142" s="4" t="inlineStr">
        <is>
          <t>Abrechnungsart wählen; Stundensätze eingeben</t>
        </is>
      </c>
    </row>
    <row r="1143">
      <c r="A1143" s="4" t="inlineStr">
        <is>
          <t>4907.07 BSK-2024-2025-Ostendstraße-uPva-Los-1+3</t>
        </is>
      </c>
      <c r="B1143" s="4" t="inlineStr">
        <is>
          <t>● (p) Erstellung, Fortschreibung von BSK</t>
        </is>
      </c>
      <c r="C1143" s="4" t="inlineStr">
        <is>
          <t>Pauschale</t>
        </is>
      </c>
      <c r="D1143" s="10" t="inlineStr">
        <is>
          <t>⚠ Manual erforderlich</t>
        </is>
      </c>
      <c r="E1143" s="11" t="inlineStr"/>
      <c r="F1143" s="11" t="n">
        <v>0</v>
      </c>
      <c r="G1143" s="11">
        <f>E1143-F1143</f>
        <v/>
      </c>
      <c r="H1143" s="11" t="n">
        <v>0</v>
      </c>
      <c r="I1143" s="11" t="n">
        <v>0</v>
      </c>
      <c r="J1143" s="11" t="n">
        <v>0</v>
      </c>
      <c r="K1143" s="4" t="inlineStr">
        <is>
          <t>Stundensätze eingeben</t>
        </is>
      </c>
    </row>
    <row r="1144">
      <c r="A1144" s="4" t="inlineStr">
        <is>
          <t>4907.07 BSK-2024-2025-Ostendstraße-uPva-Los-1+3</t>
        </is>
      </c>
      <c r="B1144" s="4" t="inlineStr">
        <is>
          <t>● (p) Erarbeitung Rettungswegekonzeptes</t>
        </is>
      </c>
      <c r="C1144" s="4" t="inlineStr">
        <is>
          <t>Pauschale</t>
        </is>
      </c>
      <c r="D1144" s="10" t="inlineStr">
        <is>
          <t>⚠ Manual erforderlich</t>
        </is>
      </c>
      <c r="E1144" s="11" t="inlineStr"/>
      <c r="F1144" s="11" t="n">
        <v>0</v>
      </c>
      <c r="G1144" s="11">
        <f>E1144-F1144</f>
        <v/>
      </c>
      <c r="H1144" s="11" t="n">
        <v>0</v>
      </c>
      <c r="I1144" s="11" t="n">
        <v>0</v>
      </c>
      <c r="J1144" s="11" t="n">
        <v>0</v>
      </c>
      <c r="K1144" s="4" t="inlineStr">
        <is>
          <t>Stundensätze eingeben</t>
        </is>
      </c>
    </row>
    <row r="1145">
      <c r="A1145" s="4" t="inlineStr">
        <is>
          <t>4907.07 BSK-2024-2025-Ostendstraße-uPva-Los-1+3</t>
        </is>
      </c>
      <c r="B1145" s="4" t="inlineStr">
        <is>
          <t>● (p) LP5 (zusätzl. f. 50Hz, HLSK in allen Stationen)</t>
        </is>
      </c>
      <c r="C1145" s="4" t="inlineStr">
        <is>
          <t>Pauschale</t>
        </is>
      </c>
      <c r="D1145" s="10" t="inlineStr">
        <is>
          <t>⚠ Manual erforderlich</t>
        </is>
      </c>
      <c r="E1145" s="11" t="inlineStr"/>
      <c r="F1145" s="11" t="n">
        <v>0</v>
      </c>
      <c r="G1145" s="11">
        <f>E1145-F1145</f>
        <v/>
      </c>
      <c r="H1145" s="11" t="n">
        <v>0</v>
      </c>
      <c r="I1145" s="11" t="n">
        <v>0</v>
      </c>
      <c r="J1145" s="11" t="n">
        <v>0</v>
      </c>
      <c r="K1145" s="4" t="inlineStr">
        <is>
          <t>Stundensätze eingeben</t>
        </is>
      </c>
    </row>
    <row r="1146">
      <c r="A1146" s="4" t="inlineStr">
        <is>
          <t>4907.07 BSK-2024-2025-Ostendstraße-uPva-Los-1+3</t>
        </is>
      </c>
      <c r="B1146" s="4" t="inlineStr">
        <is>
          <t>● (p) LP8 Fachtechn. Bauüberwachung, Fachbauleitung BS</t>
        </is>
      </c>
      <c r="C1146" s="4" t="inlineStr">
        <is>
          <t>Pauschale</t>
        </is>
      </c>
      <c r="D1146" s="10" t="inlineStr">
        <is>
          <t>⚠ Manual erforderlich</t>
        </is>
      </c>
      <c r="E1146" s="11" t="inlineStr"/>
      <c r="F1146" s="11" t="n">
        <v>0</v>
      </c>
      <c r="G1146" s="11">
        <f>E1146-F1146</f>
        <v/>
      </c>
      <c r="H1146" s="11" t="n">
        <v>0</v>
      </c>
      <c r="I1146" s="11" t="n">
        <v>0</v>
      </c>
      <c r="J1146" s="11" t="n">
        <v>0</v>
      </c>
      <c r="K1146" s="4" t="inlineStr">
        <is>
          <t>Stundensätze eingeben</t>
        </is>
      </c>
    </row>
    <row r="1147">
      <c r="A1147" s="4" t="inlineStr">
        <is>
          <t>4907.08 BST-Lokalbahnhof+Ostendstraße-uPva-TK-Raum-Video</t>
        </is>
      </c>
      <c r="B1147" s="4" t="inlineStr">
        <is>
          <t>● (p) RV 01.02.04. Begehung (40h SV mit akad. Grad)</t>
        </is>
      </c>
      <c r="C1147" s="4" t="inlineStr">
        <is>
          <t>Pauschale</t>
        </is>
      </c>
      <c r="D1147" s="10" t="inlineStr">
        <is>
          <t>⚠ Manual erforderlich</t>
        </is>
      </c>
      <c r="E1147" s="11" t="inlineStr"/>
      <c r="F1147" s="11" t="n">
        <v>0</v>
      </c>
      <c r="G1147" s="11">
        <f>E1147-F1147</f>
        <v/>
      </c>
      <c r="H1147" s="11" t="n">
        <v>0</v>
      </c>
      <c r="I1147" s="11" t="n">
        <v>0</v>
      </c>
      <c r="J1147" s="11" t="n">
        <v>0</v>
      </c>
      <c r="K1147" s="4" t="inlineStr">
        <is>
          <t>Stundensätze eingeben</t>
        </is>
      </c>
    </row>
    <row r="1148">
      <c r="A1148" s="4" t="inlineStr">
        <is>
          <t>4907.08 BST-Lokalbahnhof+Ostendstraße-uPva-TK-Raum-Video</t>
        </is>
      </c>
      <c r="B1148" s="4" t="inlineStr">
        <is>
          <t>● (p) RV 01.04.01 BST BGF&lt;1.600m³  Lokalbahnhof</t>
        </is>
      </c>
      <c r="C1148" s="4" t="inlineStr">
        <is>
          <t>Pauschale</t>
        </is>
      </c>
      <c r="D1148" s="10" t="inlineStr">
        <is>
          <t>⚠ Manual erforderlich</t>
        </is>
      </c>
      <c r="E1148" s="11" t="inlineStr"/>
      <c r="F1148" s="11" t="n">
        <v>0</v>
      </c>
      <c r="G1148" s="11">
        <f>E1148-F1148</f>
        <v/>
      </c>
      <c r="H1148" s="11" t="n">
        <v>0</v>
      </c>
      <c r="I1148" s="11" t="n">
        <v>0</v>
      </c>
      <c r="J1148" s="11" t="n">
        <v>0</v>
      </c>
      <c r="K1148" s="4" t="inlineStr">
        <is>
          <t>Stundensätze eingeben</t>
        </is>
      </c>
    </row>
    <row r="1149">
      <c r="A1149" s="4" t="inlineStr">
        <is>
          <t>4907.08 BST-Lokalbahnhof+Ostendstraße-uPva-TK-Raum-Video</t>
        </is>
      </c>
      <c r="B1149" s="4" t="inlineStr">
        <is>
          <t>● (p) RV 01.04.01 BST BGF&lt;1.600m³  Ostendstraße</t>
        </is>
      </c>
      <c r="C1149" s="4" t="inlineStr">
        <is>
          <t>Pauschale</t>
        </is>
      </c>
      <c r="D1149" s="10" t="inlineStr">
        <is>
          <t>⚠ Manual erforderlich</t>
        </is>
      </c>
      <c r="E1149" s="11" t="inlineStr"/>
      <c r="F1149" s="11" t="n">
        <v>0</v>
      </c>
      <c r="G1149" s="11">
        <f>E1149-F1149</f>
        <v/>
      </c>
      <c r="H1149" s="11" t="n">
        <v>0</v>
      </c>
      <c r="I1149" s="11" t="n">
        <v>0</v>
      </c>
      <c r="J1149" s="11" t="n">
        <v>0</v>
      </c>
      <c r="K1149" s="4" t="inlineStr">
        <is>
          <t>Stundensätze eingeben</t>
        </is>
      </c>
    </row>
    <row r="1150">
      <c r="A1150" s="4" t="inlineStr">
        <is>
          <t>4908.02 Lokalbahnhof-2018-2-uPva-Los-3-Frankfurt</t>
        </is>
      </c>
      <c r="B1150" s="4" t="inlineStr">
        <is>
          <t>● uPva</t>
        </is>
      </c>
      <c r="C1150" s="9" t="inlineStr">
        <is>
          <t>Unbekannt</t>
        </is>
      </c>
      <c r="D1150" s="10" t="inlineStr">
        <is>
          <t>⚠ Manual erforderlich</t>
        </is>
      </c>
      <c r="E1150" s="11" t="inlineStr"/>
      <c r="F1150" s="11" t="n">
        <v>0</v>
      </c>
      <c r="G1150" s="11">
        <f>E1150-F1150</f>
        <v/>
      </c>
      <c r="H1150" s="11" t="n">
        <v/>
      </c>
      <c r="I1150" s="11" t="n">
        <v/>
      </c>
      <c r="J1150" s="11" t="n">
        <v/>
      </c>
      <c r="K1150" s="4" t="inlineStr">
        <is>
          <t>Abrechnungsart wählen; Stundensätze eingeben</t>
        </is>
      </c>
    </row>
    <row r="1151">
      <c r="A1151" s="4" t="inlineStr">
        <is>
          <t>4908.02 Lokalbahnhof-2018-2-uPva-Los-3-Frankfurt</t>
        </is>
      </c>
      <c r="B1151" s="4" t="inlineStr">
        <is>
          <t>● Simulationen</t>
        </is>
      </c>
      <c r="C1151" s="9" t="inlineStr">
        <is>
          <t>Unbekannt</t>
        </is>
      </c>
      <c r="D1151" s="10" t="inlineStr">
        <is>
          <t>⚠ Manual erforderlich</t>
        </is>
      </c>
      <c r="E1151" s="11" t="inlineStr"/>
      <c r="F1151" s="11" t="n">
        <v>0</v>
      </c>
      <c r="G1151" s="11">
        <f>E1151-F1151</f>
        <v/>
      </c>
      <c r="H1151" s="11" t="n">
        <v/>
      </c>
      <c r="I1151" s="11" t="n">
        <v/>
      </c>
      <c r="J1151" s="11" t="n">
        <v/>
      </c>
      <c r="K1151" s="4" t="inlineStr">
        <is>
          <t>Abrechnungsart wählen; Stundensätze eingeben</t>
        </is>
      </c>
    </row>
    <row r="1152">
      <c r="A1152" s="4" t="inlineStr">
        <is>
          <t>4908.03 Lokalbahnhof-2019-uPva-Los-3-Frankfurt</t>
        </is>
      </c>
      <c r="B1152" s="4" t="inlineStr">
        <is>
          <t>● uPva</t>
        </is>
      </c>
      <c r="C1152" s="9" t="inlineStr">
        <is>
          <t>Unbekannt</t>
        </is>
      </c>
      <c r="D1152" s="10" t="inlineStr">
        <is>
          <t>⚠ Manual erforderlich</t>
        </is>
      </c>
      <c r="E1152" s="11" t="inlineStr"/>
      <c r="F1152" s="11" t="n">
        <v>0</v>
      </c>
      <c r="G1152" s="11">
        <f>E1152-F1152</f>
        <v/>
      </c>
      <c r="H1152" s="11" t="n">
        <v/>
      </c>
      <c r="I1152" s="11" t="n">
        <v/>
      </c>
      <c r="J1152" s="11" t="n">
        <v/>
      </c>
      <c r="K1152" s="4" t="inlineStr">
        <is>
          <t>Abrechnungsart wählen; Stundensätze eingeben</t>
        </is>
      </c>
    </row>
    <row r="1153">
      <c r="A1153" s="4" t="inlineStr">
        <is>
          <t>4908.05 Fortschr. BSK-Lokalbahnhof-2022-2023-uPva-Los-1+3-Frankfurt</t>
        </is>
      </c>
      <c r="B1153" s="4" t="inlineStr">
        <is>
          <t>● Fortschr. BSK-2022-2023 (pauschal)</t>
        </is>
      </c>
      <c r="C1153" s="9" t="inlineStr">
        <is>
          <t>Unbekannt</t>
        </is>
      </c>
      <c r="D1153" s="10" t="inlineStr">
        <is>
          <t>⚠ Manual erforderlich</t>
        </is>
      </c>
      <c r="E1153" s="11" t="inlineStr"/>
      <c r="F1153" s="11" t="n">
        <v>0</v>
      </c>
      <c r="G1153" s="11">
        <f>E1153-F1153</f>
        <v/>
      </c>
      <c r="H1153" s="11" t="n">
        <v/>
      </c>
      <c r="I1153" s="11" t="n">
        <v/>
      </c>
      <c r="J1153" s="11" t="n">
        <v/>
      </c>
      <c r="K1153" s="4" t="inlineStr">
        <is>
          <t>Abrechnungsart wählen; Stundensätze eingeben</t>
        </is>
      </c>
    </row>
    <row r="1154">
      <c r="A1154" s="4" t="inlineStr">
        <is>
          <t>4908.07 BSK-2024-2025-Lokalbahnhof-uPva-Los-1+3</t>
        </is>
      </c>
      <c r="B1154" s="4" t="inlineStr">
        <is>
          <t>● (p) Erstellung, Fortschreibung von BSK</t>
        </is>
      </c>
      <c r="C1154" s="4" t="inlineStr">
        <is>
          <t>Pauschale</t>
        </is>
      </c>
      <c r="D1154" s="10" t="inlineStr">
        <is>
          <t>⚠ Manual erforderlich</t>
        </is>
      </c>
      <c r="E1154" s="11" t="inlineStr"/>
      <c r="F1154" s="11" t="n">
        <v>0</v>
      </c>
      <c r="G1154" s="11">
        <f>E1154-F1154</f>
        <v/>
      </c>
      <c r="H1154" s="11" t="n">
        <v>0</v>
      </c>
      <c r="I1154" s="11" t="n">
        <v>0</v>
      </c>
      <c r="J1154" s="11" t="n">
        <v>0</v>
      </c>
      <c r="K1154" s="4" t="inlineStr">
        <is>
          <t>Stundensätze eingeben</t>
        </is>
      </c>
    </row>
    <row r="1155">
      <c r="A1155" s="4" t="inlineStr">
        <is>
          <t>4908.07 BSK-2024-2025-Lokalbahnhof-uPva-Los-1+3</t>
        </is>
      </c>
      <c r="B1155" s="4" t="inlineStr">
        <is>
          <t>● (p) Erarbeitung Rettungswegekonzeptes</t>
        </is>
      </c>
      <c r="C1155" s="4" t="inlineStr">
        <is>
          <t>Pauschale</t>
        </is>
      </c>
      <c r="D1155" s="10" t="inlineStr">
        <is>
          <t>⚠ Manual erforderlich</t>
        </is>
      </c>
      <c r="E1155" s="11" t="inlineStr"/>
      <c r="F1155" s="11" t="n">
        <v>0</v>
      </c>
      <c r="G1155" s="11">
        <f>E1155-F1155</f>
        <v/>
      </c>
      <c r="H1155" s="11" t="n">
        <v>0</v>
      </c>
      <c r="I1155" s="11" t="n">
        <v>0</v>
      </c>
      <c r="J1155" s="11" t="n">
        <v>0</v>
      </c>
      <c r="K1155" s="4" t="inlineStr">
        <is>
          <t>Stundensätze eingeben</t>
        </is>
      </c>
    </row>
    <row r="1156">
      <c r="A1156" s="4" t="inlineStr">
        <is>
          <t>4908.07 BSK-2024-2025-Lokalbahnhof-uPva-Los-1+3</t>
        </is>
      </c>
      <c r="B1156" s="4" t="inlineStr">
        <is>
          <t>● (p) LP5 (zusätzl. f. 50Hz, HLSK in allen Stationen)</t>
        </is>
      </c>
      <c r="C1156" s="4" t="inlineStr">
        <is>
          <t>Pauschale</t>
        </is>
      </c>
      <c r="D1156" s="10" t="inlineStr">
        <is>
          <t>⚠ Manual erforderlich</t>
        </is>
      </c>
      <c r="E1156" s="11" t="inlineStr"/>
      <c r="F1156" s="11" t="n">
        <v>0</v>
      </c>
      <c r="G1156" s="11">
        <f>E1156-F1156</f>
        <v/>
      </c>
      <c r="H1156" s="11" t="n">
        <v>0</v>
      </c>
      <c r="I1156" s="11" t="n">
        <v>0</v>
      </c>
      <c r="J1156" s="11" t="n">
        <v>0</v>
      </c>
      <c r="K1156" s="4" t="inlineStr">
        <is>
          <t>Stundensätze eingeben</t>
        </is>
      </c>
    </row>
    <row r="1157">
      <c r="A1157" s="4" t="inlineStr">
        <is>
          <t>4908.07 BSK-2024-2025-Lokalbahnhof-uPva-Los-1+3</t>
        </is>
      </c>
      <c r="B1157" s="4" t="inlineStr">
        <is>
          <t>● (p) LP8 Fachtechn. Bauüberwachung, Fachbauleitung BS</t>
        </is>
      </c>
      <c r="C1157" s="4" t="inlineStr">
        <is>
          <t>Pauschale</t>
        </is>
      </c>
      <c r="D1157" s="10" t="inlineStr">
        <is>
          <t>⚠ Manual erforderlich</t>
        </is>
      </c>
      <c r="E1157" s="11" t="inlineStr"/>
      <c r="F1157" s="11" t="n">
        <v>0</v>
      </c>
      <c r="G1157" s="11">
        <f>E1157-F1157</f>
        <v/>
      </c>
      <c r="H1157" s="11" t="n">
        <v>0</v>
      </c>
      <c r="I1157" s="11" t="n">
        <v>0</v>
      </c>
      <c r="J1157" s="11" t="n">
        <v>0</v>
      </c>
      <c r="K1157" s="4" t="inlineStr">
        <is>
          <t>Stundensätze eingeben</t>
        </is>
      </c>
    </row>
    <row r="1158">
      <c r="A1158" s="4" t="inlineStr">
        <is>
          <t>4908.08 NAT-16-BSK-uPva-Lokalbahnhof-Technikgebäude-Los3</t>
        </is>
      </c>
      <c r="B1158" s="4" t="inlineStr">
        <is>
          <t>● (p) Pos.1 Erstellen BSK Technikgebäude-Los3</t>
        </is>
      </c>
      <c r="C1158" s="4" t="inlineStr">
        <is>
          <t>Pauschale</t>
        </is>
      </c>
      <c r="D1158" s="10" t="inlineStr">
        <is>
          <t>⚠ Manual erforderlich</t>
        </is>
      </c>
      <c r="E1158" s="11" t="inlineStr"/>
      <c r="F1158" s="11" t="n">
        <v>0</v>
      </c>
      <c r="G1158" s="11">
        <f>E1158-F1158</f>
        <v/>
      </c>
      <c r="H1158" s="11" t="n">
        <v>0</v>
      </c>
      <c r="I1158" s="11" t="n">
        <v>0</v>
      </c>
      <c r="J1158" s="11" t="n">
        <v>0</v>
      </c>
      <c r="K1158" s="4" t="inlineStr">
        <is>
          <t>Stundensätze eingeben</t>
        </is>
      </c>
    </row>
    <row r="1159">
      <c r="A1159" s="4" t="inlineStr">
        <is>
          <t>4909.03 Taunusanlage-2018-2-uPva-Los-3-Frankfurt</t>
        </is>
      </c>
      <c r="B1159" s="4" t="inlineStr">
        <is>
          <t>● uPva</t>
        </is>
      </c>
      <c r="C1159" s="9" t="inlineStr">
        <is>
          <t>Unbekannt</t>
        </is>
      </c>
      <c r="D1159" s="10" t="inlineStr">
        <is>
          <t>⚠ Manual erforderlich</t>
        </is>
      </c>
      <c r="E1159" s="11" t="inlineStr"/>
      <c r="F1159" s="11" t="n">
        <v>0</v>
      </c>
      <c r="G1159" s="11">
        <f>E1159-F1159</f>
        <v/>
      </c>
      <c r="H1159" s="11" t="n">
        <v/>
      </c>
      <c r="I1159" s="11" t="n">
        <v/>
      </c>
      <c r="J1159" s="11" t="n">
        <v/>
      </c>
      <c r="K1159" s="4" t="inlineStr">
        <is>
          <t>Abrechnungsart wählen; Stundensätze eingeben</t>
        </is>
      </c>
    </row>
    <row r="1160">
      <c r="A1160" s="4" t="inlineStr">
        <is>
          <t>4909.03 Taunusanlage-2018-2-uPva-Los-3-Frankfurt</t>
        </is>
      </c>
      <c r="B1160" s="4" t="inlineStr">
        <is>
          <t>● Simulationen</t>
        </is>
      </c>
      <c r="C1160" s="9" t="inlineStr">
        <is>
          <t>Unbekannt</t>
        </is>
      </c>
      <c r="D1160" s="10" t="inlineStr">
        <is>
          <t>⚠ Manual erforderlich</t>
        </is>
      </c>
      <c r="E1160" s="11" t="inlineStr"/>
      <c r="F1160" s="11" t="n">
        <v>0</v>
      </c>
      <c r="G1160" s="11">
        <f>E1160-F1160</f>
        <v/>
      </c>
      <c r="H1160" s="11" t="n">
        <v/>
      </c>
      <c r="I1160" s="11" t="n">
        <v/>
      </c>
      <c r="J1160" s="11" t="n">
        <v/>
      </c>
      <c r="K1160" s="4" t="inlineStr">
        <is>
          <t>Abrechnungsart wählen; Stundensätze eingeben</t>
        </is>
      </c>
    </row>
    <row r="1161">
      <c r="A1161" s="4" t="inlineStr">
        <is>
          <t>4909.04 Taunusanlage-2019-uPva-Los-3-Frankfurt</t>
        </is>
      </c>
      <c r="B1161" s="4" t="inlineStr">
        <is>
          <t>● uPva</t>
        </is>
      </c>
      <c r="C1161" s="9" t="inlineStr">
        <is>
          <t>Unbekannt</t>
        </is>
      </c>
      <c r="D1161" s="10" t="inlineStr">
        <is>
          <t>⚠ Manual erforderlich</t>
        </is>
      </c>
      <c r="E1161" s="11" t="inlineStr"/>
      <c r="F1161" s="11" t="n">
        <v>0</v>
      </c>
      <c r="G1161" s="11">
        <f>E1161-F1161</f>
        <v/>
      </c>
      <c r="H1161" s="11" t="n">
        <v/>
      </c>
      <c r="I1161" s="11" t="n">
        <v/>
      </c>
      <c r="J1161" s="11" t="n">
        <v/>
      </c>
      <c r="K1161" s="4" t="inlineStr">
        <is>
          <t>Abrechnungsart wählen; Stundensätze eingeben</t>
        </is>
      </c>
    </row>
    <row r="1162">
      <c r="A1162" s="4" t="inlineStr">
        <is>
          <t>4909.05 Fortschr. BSK-Taunusanlage-2022-2023-uPva-Los-1+3-Frankfurt</t>
        </is>
      </c>
      <c r="B1162" s="4" t="inlineStr">
        <is>
          <t>● Fortschreibung BSK (pauschal)</t>
        </is>
      </c>
      <c r="C1162" s="9" t="inlineStr">
        <is>
          <t>Unbekannt</t>
        </is>
      </c>
      <c r="D1162" s="10" t="inlineStr">
        <is>
          <t>⚠ Manual erforderlich</t>
        </is>
      </c>
      <c r="E1162" s="11" t="inlineStr"/>
      <c r="F1162" s="11" t="n">
        <v>0</v>
      </c>
      <c r="G1162" s="11">
        <f>E1162-F1162</f>
        <v/>
      </c>
      <c r="H1162" s="11" t="n">
        <v/>
      </c>
      <c r="I1162" s="11" t="n">
        <v/>
      </c>
      <c r="J1162" s="11" t="n">
        <v/>
      </c>
      <c r="K1162" s="4" t="inlineStr">
        <is>
          <t>Abrechnungsart wählen; Stundensätze eingeben</t>
        </is>
      </c>
    </row>
    <row r="1163">
      <c r="A1163" s="4" t="inlineStr">
        <is>
          <t>4909.07 BSK-2024-2025-Taunusanlage-uPva-Los-1+3</t>
        </is>
      </c>
      <c r="B1163" s="4" t="inlineStr">
        <is>
          <t>● (p) Erstellung, Fortschreibung von BSK</t>
        </is>
      </c>
      <c r="C1163" s="4" t="inlineStr">
        <is>
          <t>Pauschale</t>
        </is>
      </c>
      <c r="D1163" s="10" t="inlineStr">
        <is>
          <t>⚠ Manual erforderlich</t>
        </is>
      </c>
      <c r="E1163" s="11" t="inlineStr"/>
      <c r="F1163" s="11" t="n">
        <v>0</v>
      </c>
      <c r="G1163" s="11">
        <f>E1163-F1163</f>
        <v/>
      </c>
      <c r="H1163" s="11" t="n">
        <v>0</v>
      </c>
      <c r="I1163" s="11" t="n">
        <v>0</v>
      </c>
      <c r="J1163" s="11" t="n">
        <v>0</v>
      </c>
      <c r="K1163" s="4" t="inlineStr">
        <is>
          <t>Stundensätze eingeben</t>
        </is>
      </c>
    </row>
    <row r="1164">
      <c r="A1164" s="4" t="inlineStr">
        <is>
          <t>4909.07 BSK-2024-2025-Taunusanlage-uPva-Los-1+3</t>
        </is>
      </c>
      <c r="B1164" s="4" t="inlineStr">
        <is>
          <t>● (p) Erarbeitung Rettungswegekonzeptes</t>
        </is>
      </c>
      <c r="C1164" s="4" t="inlineStr">
        <is>
          <t>Pauschale</t>
        </is>
      </c>
      <c r="D1164" s="10" t="inlineStr">
        <is>
          <t>⚠ Manual erforderlich</t>
        </is>
      </c>
      <c r="E1164" s="11" t="inlineStr"/>
      <c r="F1164" s="11" t="n">
        <v>0</v>
      </c>
      <c r="G1164" s="11">
        <f>E1164-F1164</f>
        <v/>
      </c>
      <c r="H1164" s="11" t="n">
        <v>0</v>
      </c>
      <c r="I1164" s="11" t="n">
        <v>0</v>
      </c>
      <c r="J1164" s="11" t="n">
        <v>0</v>
      </c>
      <c r="K1164" s="4" t="inlineStr">
        <is>
          <t>Stundensätze eingeben</t>
        </is>
      </c>
    </row>
    <row r="1165">
      <c r="A1165" s="4" t="inlineStr">
        <is>
          <t>4909.07 BSK-2024-2025-Taunusanlage-uPva-Los-1+3</t>
        </is>
      </c>
      <c r="B1165" s="4" t="inlineStr">
        <is>
          <t>● (p) LP5 (zusätzl. f. 50Hz, HLSK in allen Stationen)</t>
        </is>
      </c>
      <c r="C1165" s="4" t="inlineStr">
        <is>
          <t>Pauschale</t>
        </is>
      </c>
      <c r="D1165" s="10" t="inlineStr">
        <is>
          <t>⚠ Manual erforderlich</t>
        </is>
      </c>
      <c r="E1165" s="11" t="inlineStr"/>
      <c r="F1165" s="11" t="n">
        <v>0</v>
      </c>
      <c r="G1165" s="11">
        <f>E1165-F1165</f>
        <v/>
      </c>
      <c r="H1165" s="11" t="n">
        <v>0</v>
      </c>
      <c r="I1165" s="11" t="n">
        <v>0</v>
      </c>
      <c r="J1165" s="11" t="n">
        <v>0</v>
      </c>
      <c r="K1165" s="4" t="inlineStr">
        <is>
          <t>Stundensätze eingeben</t>
        </is>
      </c>
    </row>
    <row r="1166">
      <c r="A1166" s="4" t="inlineStr">
        <is>
          <t>4909.07 BSK-2024-2025-Taunusanlage-uPva-Los-1+3</t>
        </is>
      </c>
      <c r="B1166" s="4" t="inlineStr">
        <is>
          <t>● (p) LP8 Fachtechn. Bauüberwachung, Fachbauleitung BS</t>
        </is>
      </c>
      <c r="C1166" s="4" t="inlineStr">
        <is>
          <t>Pauschale</t>
        </is>
      </c>
      <c r="D1166" s="10" t="inlineStr">
        <is>
          <t>⚠ Manual erforderlich</t>
        </is>
      </c>
      <c r="E1166" s="11" t="inlineStr"/>
      <c r="F1166" s="11" t="n">
        <v>0</v>
      </c>
      <c r="G1166" s="11">
        <f>E1166-F1166</f>
        <v/>
      </c>
      <c r="H1166" s="11" t="n">
        <v>0</v>
      </c>
      <c r="I1166" s="11" t="n">
        <v>0</v>
      </c>
      <c r="J1166" s="11" t="n">
        <v>0</v>
      </c>
      <c r="K1166" s="4" t="inlineStr">
        <is>
          <t>Stundensätze eingeben</t>
        </is>
      </c>
    </row>
    <row r="1167">
      <c r="A1167" s="4" t="inlineStr">
        <is>
          <t>4914 BWZK-KO-BA1-Leistungsstufe1</t>
        </is>
      </c>
      <c r="B1167" s="4" t="inlineStr">
        <is>
          <t>● 0001-Sonstiges</t>
        </is>
      </c>
      <c r="C1167" s="9" t="inlineStr">
        <is>
          <t>Unbekannt</t>
        </is>
      </c>
      <c r="D1167" s="10" t="inlineStr">
        <is>
          <t>⚠ Manual erforderlich</t>
        </is>
      </c>
      <c r="E1167" s="11" t="inlineStr"/>
      <c r="F1167" s="11" t="n">
        <v>0</v>
      </c>
      <c r="G1167" s="11">
        <f>E1167-F1167</f>
        <v/>
      </c>
      <c r="H1167" s="11" t="n">
        <v/>
      </c>
      <c r="I1167" s="11" t="n">
        <v/>
      </c>
      <c r="J1167" s="11" t="n">
        <v/>
      </c>
      <c r="K1167" s="4" t="inlineStr">
        <is>
          <t>Abrechnungsart wählen; Stundensätze eingeben</t>
        </is>
      </c>
    </row>
    <row r="1168">
      <c r="A1168" s="4" t="inlineStr">
        <is>
          <t>4914 BWZK-KO-BA1-Leistungsstufe1</t>
        </is>
      </c>
      <c r="B1168" s="4" t="inlineStr">
        <is>
          <t>● 2000-Vorplanung</t>
        </is>
      </c>
      <c r="C1168" s="9" t="inlineStr">
        <is>
          <t>Unbekannt</t>
        </is>
      </c>
      <c r="D1168" s="10" t="inlineStr">
        <is>
          <t>⚠ Manual erforderlich</t>
        </is>
      </c>
      <c r="E1168" s="11" t="inlineStr"/>
      <c r="F1168" s="11" t="n">
        <v>0</v>
      </c>
      <c r="G1168" s="11">
        <f>E1168-F1168</f>
        <v/>
      </c>
      <c r="H1168" s="11" t="n">
        <v/>
      </c>
      <c r="I1168" s="11" t="n">
        <v/>
      </c>
      <c r="J1168" s="11" t="n">
        <v/>
      </c>
      <c r="K1168" s="4" t="inlineStr">
        <is>
          <t>Abrechnungsart wählen; Stundensätze eingeben</t>
        </is>
      </c>
    </row>
    <row r="1169">
      <c r="A1169" s="4" t="inlineStr">
        <is>
          <t>4914 BWZK-KO-BA1-Leistungsstufe1</t>
        </is>
      </c>
      <c r="B1169" s="4" t="inlineStr">
        <is>
          <t>● 3000-Entwurfsplanung</t>
        </is>
      </c>
      <c r="C1169" s="9" t="inlineStr">
        <is>
          <t>Unbekannt</t>
        </is>
      </c>
      <c r="D1169" s="10" t="inlineStr">
        <is>
          <t>⚠ Manual erforderlich</t>
        </is>
      </c>
      <c r="E1169" s="11" t="inlineStr"/>
      <c r="F1169" s="11" t="n">
        <v>0</v>
      </c>
      <c r="G1169" s="11">
        <f>E1169-F1169</f>
        <v/>
      </c>
      <c r="H1169" s="11" t="n">
        <v/>
      </c>
      <c r="I1169" s="11" t="n">
        <v/>
      </c>
      <c r="J1169" s="11" t="n">
        <v/>
      </c>
      <c r="K1169" s="4" t="inlineStr">
        <is>
          <t>Abrechnungsart wählen; Stundensätze eingeben</t>
        </is>
      </c>
    </row>
    <row r="1170">
      <c r="A1170" s="4" t="inlineStr">
        <is>
          <t>4914 BWZK-KO-BA1-Leistungsstufe1</t>
        </is>
      </c>
      <c r="B1170" s="4" t="inlineStr">
        <is>
          <t>● 4000-Genehmigungsplanung</t>
        </is>
      </c>
      <c r="C1170" s="9" t="inlineStr">
        <is>
          <t>Unbekannt</t>
        </is>
      </c>
      <c r="D1170" s="10" t="inlineStr">
        <is>
          <t>⚠ Manual erforderlich</t>
        </is>
      </c>
      <c r="E1170" s="11" t="inlineStr"/>
      <c r="F1170" s="11" t="n">
        <v>0</v>
      </c>
      <c r="G1170" s="11">
        <f>E1170-F1170</f>
        <v/>
      </c>
      <c r="H1170" s="11" t="n">
        <v/>
      </c>
      <c r="I1170" s="11" t="n">
        <v/>
      </c>
      <c r="J1170" s="11" t="n">
        <v/>
      </c>
      <c r="K1170" s="4" t="inlineStr">
        <is>
          <t>Abrechnungsart wählen; Stundensätze eingeben</t>
        </is>
      </c>
    </row>
    <row r="1171">
      <c r="A1171" s="4" t="inlineStr">
        <is>
          <t>4914.01 BWZK-KO-BA1-Leistungsstufe2+3</t>
        </is>
      </c>
      <c r="B1171" s="4" t="inlineStr">
        <is>
          <t>● 5000-Ausführungsplanung</t>
        </is>
      </c>
      <c r="C1171" s="9" t="inlineStr">
        <is>
          <t>Unbekannt</t>
        </is>
      </c>
      <c r="D1171" s="10" t="inlineStr">
        <is>
          <t>⚠ Manual erforderlich</t>
        </is>
      </c>
      <c r="E1171" s="11" t="inlineStr"/>
      <c r="F1171" s="11" t="n">
        <v>0</v>
      </c>
      <c r="G1171" s="11">
        <f>E1171-F1171</f>
        <v/>
      </c>
      <c r="H1171" s="11" t="n">
        <v/>
      </c>
      <c r="I1171" s="11" t="n">
        <v/>
      </c>
      <c r="J1171" s="11" t="n">
        <v/>
      </c>
      <c r="K1171" s="4" t="inlineStr">
        <is>
          <t>Abrechnungsart wählen; Stundensätze eingeben</t>
        </is>
      </c>
    </row>
    <row r="1172">
      <c r="A1172" s="4" t="inlineStr">
        <is>
          <t>4914.01 BWZK-KO-BA1-Leistungsstufe2+3</t>
        </is>
      </c>
      <c r="B1172" s="4" t="inlineStr">
        <is>
          <t>● 6000-Vorbereiten der Vergabe</t>
        </is>
      </c>
      <c r="C1172" s="9" t="inlineStr">
        <is>
          <t>Unbekannt</t>
        </is>
      </c>
      <c r="D1172" s="10" t="inlineStr">
        <is>
          <t>⚠ Manual erforderlich</t>
        </is>
      </c>
      <c r="E1172" s="11" t="inlineStr"/>
      <c r="F1172" s="11" t="n">
        <v>0</v>
      </c>
      <c r="G1172" s="11">
        <f>E1172-F1172</f>
        <v/>
      </c>
      <c r="H1172" s="11" t="n">
        <v/>
      </c>
      <c r="I1172" s="11" t="n">
        <v/>
      </c>
      <c r="J1172" s="11" t="n">
        <v/>
      </c>
      <c r="K1172" s="4" t="inlineStr">
        <is>
          <t>Abrechnungsart wählen; Stundensätze eingeben</t>
        </is>
      </c>
    </row>
    <row r="1173">
      <c r="A1173" s="4" t="inlineStr">
        <is>
          <t>4914.01 BWZK-KO-BA1-Leistungsstufe2+3</t>
        </is>
      </c>
      <c r="B1173" s="4" t="inlineStr">
        <is>
          <t>● 7000-Mitwirkung bei der Vergabe</t>
        </is>
      </c>
      <c r="C1173" s="9" t="inlineStr">
        <is>
          <t>Unbekannt</t>
        </is>
      </c>
      <c r="D1173" s="10" t="inlineStr">
        <is>
          <t>⚠ Manual erforderlich</t>
        </is>
      </c>
      <c r="E1173" s="11" t="inlineStr"/>
      <c r="F1173" s="11" t="n">
        <v>0</v>
      </c>
      <c r="G1173" s="11">
        <f>E1173-F1173</f>
        <v/>
      </c>
      <c r="H1173" s="11" t="n">
        <v/>
      </c>
      <c r="I1173" s="11" t="n">
        <v/>
      </c>
      <c r="J1173" s="11" t="n">
        <v/>
      </c>
      <c r="K1173" s="4" t="inlineStr">
        <is>
          <t>Abrechnungsart wählen; Stundensätze eingeben</t>
        </is>
      </c>
    </row>
    <row r="1174">
      <c r="A1174" s="4" t="inlineStr">
        <is>
          <t>4914.03 Fortschr-BSP-BWZK-KO-BA1-K1</t>
        </is>
      </c>
      <c r="B1174" s="4" t="inlineStr">
        <is>
          <t>● Fortschreibung BSK-Pläne (pauschal)</t>
        </is>
      </c>
      <c r="C1174" s="9" t="inlineStr">
        <is>
          <t>Unbekannt</t>
        </is>
      </c>
      <c r="D1174" s="10" t="inlineStr">
        <is>
          <t>⚠ Manual erforderlich</t>
        </is>
      </c>
      <c r="E1174" s="11" t="inlineStr"/>
      <c r="F1174" s="11" t="n">
        <v>0</v>
      </c>
      <c r="G1174" s="11">
        <f>E1174-F1174</f>
        <v/>
      </c>
      <c r="H1174" s="11" t="n">
        <v/>
      </c>
      <c r="I1174" s="11" t="n">
        <v/>
      </c>
      <c r="J1174" s="11" t="n">
        <v/>
      </c>
      <c r="K1174" s="4" t="inlineStr">
        <is>
          <t>Abrechnungsart wählen; Stundensätze eingeben</t>
        </is>
      </c>
    </row>
    <row r="1175">
      <c r="A1175" s="4" t="inlineStr">
        <is>
          <t>4914.04 BWZK-KO-BA1-Leistungsstufe4+5</t>
        </is>
      </c>
      <c r="B1175" s="4" t="inlineStr">
        <is>
          <t>● (p) Leistungsstufe 4 - LP 8 GL</t>
        </is>
      </c>
      <c r="C1175" s="4" t="inlineStr">
        <is>
          <t>Pauschale</t>
        </is>
      </c>
      <c r="D1175" s="10" t="inlineStr">
        <is>
          <t>⚠ Manual erforderlich</t>
        </is>
      </c>
      <c r="E1175" s="11" t="inlineStr"/>
      <c r="F1175" s="11" t="n">
        <v>0</v>
      </c>
      <c r="G1175" s="11">
        <f>E1175-F1175</f>
        <v/>
      </c>
      <c r="H1175" s="11" t="n">
        <v>0</v>
      </c>
      <c r="I1175" s="11" t="n">
        <v>0</v>
      </c>
      <c r="J1175" s="11" t="n">
        <v>0</v>
      </c>
      <c r="K1175" s="4" t="inlineStr">
        <is>
          <t>Stundensätze eingeben</t>
        </is>
      </c>
    </row>
    <row r="1176">
      <c r="A1176" s="4" t="inlineStr">
        <is>
          <t>4914.04 BWZK-KO-BA1-Leistungsstufe4+5</t>
        </is>
      </c>
      <c r="B1176" s="4" t="inlineStr">
        <is>
          <t>● (p) Leistungsstufe 4 - LP 4 BL</t>
        </is>
      </c>
      <c r="C1176" s="4" t="inlineStr">
        <is>
          <t>Pauschale</t>
        </is>
      </c>
      <c r="D1176" s="10" t="inlineStr">
        <is>
          <t>⚠ Manual erforderlich</t>
        </is>
      </c>
      <c r="E1176" s="11" t="inlineStr"/>
      <c r="F1176" s="11" t="n">
        <v>0</v>
      </c>
      <c r="G1176" s="11">
        <f>E1176-F1176</f>
        <v/>
      </c>
      <c r="H1176" s="11" t="n">
        <v>0</v>
      </c>
      <c r="I1176" s="11" t="n">
        <v>0</v>
      </c>
      <c r="J1176" s="11" t="n">
        <v>0</v>
      </c>
      <c r="K1176" s="4" t="inlineStr">
        <is>
          <t>Stundensätze eingeben</t>
        </is>
      </c>
    </row>
    <row r="1177">
      <c r="A1177" s="4" t="inlineStr">
        <is>
          <t>4914.04 BWZK-KO-BA1-Leistungsstufe4+5</t>
        </is>
      </c>
      <c r="B1177" s="4" t="inlineStr">
        <is>
          <t>● LP 5 BL</t>
        </is>
      </c>
      <c r="C1177" s="9" t="inlineStr">
        <is>
          <t>Unbekannt</t>
        </is>
      </c>
      <c r="D1177" s="10" t="inlineStr">
        <is>
          <t>⚠ Manual erforderlich</t>
        </is>
      </c>
      <c r="E1177" s="11" t="inlineStr"/>
      <c r="F1177" s="11" t="n">
        <v>0</v>
      </c>
      <c r="G1177" s="11">
        <f>E1177-F1177</f>
        <v/>
      </c>
      <c r="H1177" s="11" t="n">
        <v/>
      </c>
      <c r="I1177" s="11" t="n">
        <v/>
      </c>
      <c r="J1177" s="11" t="n">
        <v/>
      </c>
      <c r="K1177" s="4" t="inlineStr">
        <is>
          <t>Abrechnungsart wählen; Stundensätze eingeben</t>
        </is>
      </c>
    </row>
    <row r="1178">
      <c r="A1178" s="4" t="inlineStr">
        <is>
          <t>4914.10 BWZK-KO-BA2-Leistungsstufe1</t>
        </is>
      </c>
      <c r="B1178" s="4" t="inlineStr">
        <is>
          <t>● 2000-Vorplanung</t>
        </is>
      </c>
      <c r="C1178" s="9" t="inlineStr">
        <is>
          <t>Unbekannt</t>
        </is>
      </c>
      <c r="D1178" s="10" t="inlineStr">
        <is>
          <t>⚠ Manual erforderlich</t>
        </is>
      </c>
      <c r="E1178" s="11" t="inlineStr"/>
      <c r="F1178" s="11" t="n">
        <v>0</v>
      </c>
      <c r="G1178" s="11">
        <f>E1178-F1178</f>
        <v/>
      </c>
      <c r="H1178" s="11" t="n">
        <v/>
      </c>
      <c r="I1178" s="11" t="n">
        <v/>
      </c>
      <c r="J1178" s="11" t="n">
        <v/>
      </c>
      <c r="K1178" s="4" t="inlineStr">
        <is>
          <t>Abrechnungsart wählen; Stundensätze eingeben</t>
        </is>
      </c>
    </row>
    <row r="1179">
      <c r="A1179" s="4" t="inlineStr">
        <is>
          <t>4914.11 NAT-03-WPP-BWZK-KO-WPP</t>
        </is>
      </c>
      <c r="B1179" s="4" t="inlineStr">
        <is>
          <t>● (a.N.) Pos.1 Fortschr. + Detaillierung Brandfallsteuermatrix</t>
        </is>
      </c>
      <c r="C1179" s="4" t="inlineStr">
        <is>
          <t>Nachweis</t>
        </is>
      </c>
      <c r="D1179" s="10" t="inlineStr">
        <is>
          <t>⚠ Manual erforderlich</t>
        </is>
      </c>
      <c r="E1179" s="11" t="inlineStr"/>
      <c r="F1179" s="11" t="n">
        <v>0</v>
      </c>
      <c r="G1179" s="11">
        <f>E1179-F1179</f>
        <v/>
      </c>
      <c r="H1179" s="11" t="n">
        <v/>
      </c>
      <c r="I1179" s="11" t="n">
        <v/>
      </c>
      <c r="J1179" s="11" t="n">
        <v/>
      </c>
      <c r="K1179" s="4" t="inlineStr">
        <is>
          <t>Stundensätze eingeben</t>
        </is>
      </c>
    </row>
    <row r="1180">
      <c r="A1180" s="4" t="inlineStr">
        <is>
          <t>4914.11 NAT-03-WPP-BWZK-KO-WPP</t>
        </is>
      </c>
      <c r="B1180" s="4" t="inlineStr">
        <is>
          <t>● (p) Pos.2 Abstimmungstermine zur Brandfallsteuermatrix (8h SV)</t>
        </is>
      </c>
      <c r="C1180" s="4" t="inlineStr">
        <is>
          <t>Pauschale</t>
        </is>
      </c>
      <c r="D1180" s="10" t="inlineStr">
        <is>
          <t>⚠ Manual erforderlich</t>
        </is>
      </c>
      <c r="E1180" s="11" t="inlineStr"/>
      <c r="F1180" s="11" t="n">
        <v>0</v>
      </c>
      <c r="G1180" s="11">
        <f>E1180-F1180</f>
        <v/>
      </c>
      <c r="H1180" s="11" t="n">
        <v>0</v>
      </c>
      <c r="I1180" s="11" t="n">
        <v>0</v>
      </c>
      <c r="J1180" s="11" t="n">
        <v>0</v>
      </c>
      <c r="K1180" s="4" t="inlineStr">
        <is>
          <t>Stundensätze eingeben</t>
        </is>
      </c>
    </row>
    <row r="1181">
      <c r="A1181" s="4" t="inlineStr">
        <is>
          <t>4914.11 NAT-03-WPP-BWZK-KO-WPP</t>
        </is>
      </c>
      <c r="B1181" s="4" t="inlineStr">
        <is>
          <t>● (p) Pos.3 Erstellen v. Szenarienplänen</t>
        </is>
      </c>
      <c r="C1181" s="4" t="inlineStr">
        <is>
          <t>Pauschale</t>
        </is>
      </c>
      <c r="D1181" s="10" t="inlineStr">
        <is>
          <t>⚠ Manual erforderlich</t>
        </is>
      </c>
      <c r="E1181" s="11" t="inlineStr"/>
      <c r="F1181" s="11" t="n">
        <v>0</v>
      </c>
      <c r="G1181" s="11">
        <f>E1181-F1181</f>
        <v/>
      </c>
      <c r="H1181" s="11" t="n">
        <v>0</v>
      </c>
      <c r="I1181" s="11" t="n">
        <v>0</v>
      </c>
      <c r="J1181" s="11" t="n">
        <v>0</v>
      </c>
      <c r="K1181" s="4" t="inlineStr">
        <is>
          <t>Stundensätze eingeben</t>
        </is>
      </c>
    </row>
    <row r="1182">
      <c r="A1182" s="4" t="inlineStr">
        <is>
          <t>4914.11 NAT-03-WPP-BWZK-KO-WPP</t>
        </is>
      </c>
      <c r="B1182" s="4" t="inlineStr">
        <is>
          <t>● (p) Pos.4 Erstellen v. Prüfplänen</t>
        </is>
      </c>
      <c r="C1182" s="4" t="inlineStr">
        <is>
          <t>Pauschale</t>
        </is>
      </c>
      <c r="D1182" s="10" t="inlineStr">
        <is>
          <t>⚠ Manual erforderlich</t>
        </is>
      </c>
      <c r="E1182" s="11" t="inlineStr"/>
      <c r="F1182" s="11" t="n">
        <v>0</v>
      </c>
      <c r="G1182" s="11">
        <f>E1182-F1182</f>
        <v/>
      </c>
      <c r="H1182" s="11" t="n">
        <v>0</v>
      </c>
      <c r="I1182" s="11" t="n">
        <v>0</v>
      </c>
      <c r="J1182" s="11" t="n">
        <v>0</v>
      </c>
      <c r="K1182" s="4" t="inlineStr">
        <is>
          <t>Stundensätze eingeben</t>
        </is>
      </c>
    </row>
    <row r="1183">
      <c r="A1183" s="4" t="inlineStr">
        <is>
          <t>4930.02  BAB-Henschelplatz-1-Kassel-Mittelfeld-Halle-M45</t>
        </is>
      </c>
      <c r="B1183" s="4" t="inlineStr">
        <is>
          <t>● (a.N.) Pos.1-Begleitung in der Ausführungsplanung</t>
        </is>
      </c>
      <c r="C1183" s="4" t="inlineStr">
        <is>
          <t>Nachweis</t>
        </is>
      </c>
      <c r="D1183" s="10" t="inlineStr">
        <is>
          <t>⚠ Manual erforderlich</t>
        </is>
      </c>
      <c r="E1183" s="11" t="inlineStr"/>
      <c r="F1183" s="11" t="n">
        <v>0</v>
      </c>
      <c r="G1183" s="11">
        <f>E1183-F1183</f>
        <v/>
      </c>
      <c r="H1183" s="11" t="n">
        <v/>
      </c>
      <c r="I1183" s="11" t="n">
        <v/>
      </c>
      <c r="J1183" s="11" t="n">
        <v/>
      </c>
      <c r="K1183" s="4" t="inlineStr">
        <is>
          <t>Stundensätze eingeben</t>
        </is>
      </c>
    </row>
    <row r="1184">
      <c r="A1184" s="4" t="inlineStr">
        <is>
          <t>4930.02  BAB-Henschelplatz-1-Kassel-Mittelfeld-Halle-M45</t>
        </is>
      </c>
      <c r="B1184" s="4" t="inlineStr">
        <is>
          <t>● (a.N.) Pos.2-Objektüberwachung</t>
        </is>
      </c>
      <c r="C1184" s="4" t="inlineStr">
        <is>
          <t>Nachweis</t>
        </is>
      </c>
      <c r="D1184" s="10" t="inlineStr">
        <is>
          <t>⚠ Manual erforderlich</t>
        </is>
      </c>
      <c r="E1184" s="11" t="inlineStr"/>
      <c r="F1184" s="11" t="n">
        <v>0</v>
      </c>
      <c r="G1184" s="11">
        <f>E1184-F1184</f>
        <v/>
      </c>
      <c r="H1184" s="11" t="n">
        <v/>
      </c>
      <c r="I1184" s="11" t="n">
        <v/>
      </c>
      <c r="J1184" s="11" t="n">
        <v/>
      </c>
      <c r="K1184" s="4" t="inlineStr">
        <is>
          <t>Stundensätze eingeben</t>
        </is>
      </c>
    </row>
    <row r="1185">
      <c r="A1185" s="4" t="inlineStr">
        <is>
          <t>4930.02  BAB-Henschelplatz-1-Kassel-Mittelfeld-Halle-M45</t>
        </is>
      </c>
      <c r="B1185" s="4" t="inlineStr">
        <is>
          <t>● (p) Pos.3-Fortschr. Brandschutzkonzept</t>
        </is>
      </c>
      <c r="C1185" s="4" t="inlineStr">
        <is>
          <t>Pauschale</t>
        </is>
      </c>
      <c r="D1185" s="10" t="inlineStr">
        <is>
          <t>⚠ Manual erforderlich</t>
        </is>
      </c>
      <c r="E1185" s="11" t="inlineStr"/>
      <c r="F1185" s="11" t="n">
        <v>0</v>
      </c>
      <c r="G1185" s="11">
        <f>E1185-F1185</f>
        <v/>
      </c>
      <c r="H1185" s="11" t="n">
        <v>0</v>
      </c>
      <c r="I1185" s="11" t="n">
        <v>0</v>
      </c>
      <c r="J1185" s="11" t="n">
        <v>0</v>
      </c>
      <c r="K1185" s="4" t="inlineStr">
        <is>
          <t>Stundensätze eingeben</t>
        </is>
      </c>
    </row>
    <row r="1186">
      <c r="A1186" s="4" t="inlineStr">
        <is>
          <t>4930.02  BAB-Henschelplatz-1-Kassel-Mittelfeld-Halle-M45</t>
        </is>
      </c>
      <c r="B1186" s="4" t="inlineStr">
        <is>
          <t>● (a.N.) Pos.4-Aktual. Brandlastberechnung nach DIN 18230 i.V.m.IndBauRL</t>
        </is>
      </c>
      <c r="C1186" s="4" t="inlineStr">
        <is>
          <t>Nachweis</t>
        </is>
      </c>
      <c r="D1186" s="10" t="inlineStr">
        <is>
          <t>⚠ Manual erforderlich</t>
        </is>
      </c>
      <c r="E1186" s="11" t="inlineStr"/>
      <c r="F1186" s="11" t="n">
        <v>0</v>
      </c>
      <c r="G1186" s="11">
        <f>E1186-F1186</f>
        <v/>
      </c>
      <c r="H1186" s="11" t="n">
        <v/>
      </c>
      <c r="I1186" s="11" t="n">
        <v/>
      </c>
      <c r="J1186" s="11" t="n">
        <v/>
      </c>
      <c r="K1186" s="4" t="inlineStr">
        <is>
          <t>Stundensätze eingeben</t>
        </is>
      </c>
    </row>
    <row r="1187">
      <c r="A1187" s="4" t="inlineStr">
        <is>
          <t>4930.03 BSK-Industriepark-Henschelplatz-1-Kassel-Mittelfeld-Halle-M30</t>
        </is>
      </c>
      <c r="B1187" s="4" t="inlineStr">
        <is>
          <t>● (p) Pos.1 fortschr. BSK Halle M30</t>
        </is>
      </c>
      <c r="C1187" s="4" t="inlineStr">
        <is>
          <t>Pauschale</t>
        </is>
      </c>
      <c r="D1187" s="10" t="inlineStr">
        <is>
          <t>⚠ Manual erforderlich</t>
        </is>
      </c>
      <c r="E1187" s="11" t="inlineStr"/>
      <c r="F1187" s="11" t="n">
        <v>0</v>
      </c>
      <c r="G1187" s="11">
        <f>E1187-F1187</f>
        <v/>
      </c>
      <c r="H1187" s="11" t="n">
        <v>0</v>
      </c>
      <c r="I1187" s="11" t="n">
        <v>0</v>
      </c>
      <c r="J1187" s="11" t="n">
        <v>0</v>
      </c>
      <c r="K1187" s="4" t="inlineStr">
        <is>
          <t>Stundensätze eingeben</t>
        </is>
      </c>
    </row>
    <row r="1188">
      <c r="A1188" s="4" t="inlineStr">
        <is>
          <t>4954 ETW-Hafenpark-Quartier-Baufeld-Süd-Frankfurt</t>
        </is>
      </c>
      <c r="B1188" s="4" t="inlineStr">
        <is>
          <t>● 1000-Grundlagenermittlung</t>
        </is>
      </c>
      <c r="C1188" s="9" t="inlineStr">
        <is>
          <t>Unbekannt</t>
        </is>
      </c>
      <c r="D1188" s="10" t="inlineStr">
        <is>
          <t>⚠ Manual erforderlich</t>
        </is>
      </c>
      <c r="E1188" s="11" t="inlineStr"/>
      <c r="F1188" s="11" t="n">
        <v>0</v>
      </c>
      <c r="G1188" s="11">
        <f>E1188-F1188</f>
        <v/>
      </c>
      <c r="H1188" s="11" t="n">
        <v/>
      </c>
      <c r="I1188" s="11" t="n">
        <v/>
      </c>
      <c r="J1188" s="11" t="n">
        <v/>
      </c>
      <c r="K1188" s="4" t="inlineStr">
        <is>
          <t>Abrechnungsart wählen; Stundensätze eingeben</t>
        </is>
      </c>
    </row>
    <row r="1189">
      <c r="A1189" s="4" t="inlineStr">
        <is>
          <t>4954 ETW-Hafenpark-Quartier-Baufeld-Süd-Frankfurt</t>
        </is>
      </c>
      <c r="B1189" s="4" t="inlineStr">
        <is>
          <t>● 2000-Vorplanung</t>
        </is>
      </c>
      <c r="C1189" s="9" t="inlineStr">
        <is>
          <t>Unbekannt</t>
        </is>
      </c>
      <c r="D1189" s="10" t="inlineStr">
        <is>
          <t>⚠ Manual erforderlich</t>
        </is>
      </c>
      <c r="E1189" s="11" t="inlineStr"/>
      <c r="F1189" s="11" t="n">
        <v>0</v>
      </c>
      <c r="G1189" s="11">
        <f>E1189-F1189</f>
        <v/>
      </c>
      <c r="H1189" s="11" t="n">
        <v/>
      </c>
      <c r="I1189" s="11" t="n">
        <v/>
      </c>
      <c r="J1189" s="11" t="n">
        <v/>
      </c>
      <c r="K1189" s="4" t="inlineStr">
        <is>
          <t>Abrechnungsart wählen; Stundensätze eingeben</t>
        </is>
      </c>
    </row>
    <row r="1190">
      <c r="A1190" s="4" t="inlineStr">
        <is>
          <t>4954 ETW-Hafenpark-Quartier-Baufeld-Süd-Frankfurt</t>
        </is>
      </c>
      <c r="B1190" s="4" t="inlineStr">
        <is>
          <t>● 3000-Entwurfsplanung</t>
        </is>
      </c>
      <c r="C1190" s="9" t="inlineStr">
        <is>
          <t>Unbekannt</t>
        </is>
      </c>
      <c r="D1190" s="10" t="inlineStr">
        <is>
          <t>⚠ Manual erforderlich</t>
        </is>
      </c>
      <c r="E1190" s="11" t="inlineStr"/>
      <c r="F1190" s="11" t="n">
        <v>0</v>
      </c>
      <c r="G1190" s="11">
        <f>E1190-F1190</f>
        <v/>
      </c>
      <c r="H1190" s="11" t="n">
        <v/>
      </c>
      <c r="I1190" s="11" t="n">
        <v/>
      </c>
      <c r="J1190" s="11" t="n">
        <v/>
      </c>
      <c r="K1190" s="4" t="inlineStr">
        <is>
          <t>Abrechnungsart wählen; Stundensätze eingeben</t>
        </is>
      </c>
    </row>
    <row r="1191">
      <c r="A1191" s="4" t="inlineStr">
        <is>
          <t>4954 ETW-Hafenpark-Quartier-Baufeld-Süd-Frankfurt</t>
        </is>
      </c>
      <c r="B1191" s="4" t="inlineStr">
        <is>
          <t>● 4000-Genehmigungsplanung</t>
        </is>
      </c>
      <c r="C1191" s="9" t="inlineStr">
        <is>
          <t>Unbekannt</t>
        </is>
      </c>
      <c r="D1191" s="10" t="inlineStr">
        <is>
          <t>⚠ Manual erforderlich</t>
        </is>
      </c>
      <c r="E1191" s="11" t="inlineStr"/>
      <c r="F1191" s="11" t="n">
        <v>0</v>
      </c>
      <c r="G1191" s="11">
        <f>E1191-F1191</f>
        <v/>
      </c>
      <c r="H1191" s="11" t="n">
        <v/>
      </c>
      <c r="I1191" s="11" t="n">
        <v/>
      </c>
      <c r="J1191" s="11" t="n">
        <v/>
      </c>
      <c r="K1191" s="4" t="inlineStr">
        <is>
          <t>Abrechnungsart wählen; Stundensätze eingeben</t>
        </is>
      </c>
    </row>
    <row r="1192">
      <c r="A1192" s="4" t="inlineStr">
        <is>
          <t>4954 ETW-Hafenpark-Quartier-Baufeld-Süd-Frankfurt</t>
        </is>
      </c>
      <c r="B1192" s="4" t="inlineStr">
        <is>
          <t>● 5000-Ausführungsplanung</t>
        </is>
      </c>
      <c r="C1192" s="9" t="inlineStr">
        <is>
          <t>Unbekannt</t>
        </is>
      </c>
      <c r="D1192" s="10" t="inlineStr">
        <is>
          <t>⚠ Manual erforderlich</t>
        </is>
      </c>
      <c r="E1192" s="11" t="inlineStr"/>
      <c r="F1192" s="11" t="n">
        <v>0</v>
      </c>
      <c r="G1192" s="11">
        <f>E1192-F1192</f>
        <v/>
      </c>
      <c r="H1192" s="11" t="n">
        <v/>
      </c>
      <c r="I1192" s="11" t="n">
        <v/>
      </c>
      <c r="J1192" s="11" t="n">
        <v/>
      </c>
      <c r="K1192" s="4" t="inlineStr">
        <is>
          <t>Abrechnungsart wählen; Stundensätze eingeben</t>
        </is>
      </c>
    </row>
    <row r="1193">
      <c r="A1193" s="4" t="inlineStr">
        <is>
          <t>4954 ETW-Hafenpark-Quartier-Baufeld-Süd-Frankfurt</t>
        </is>
      </c>
      <c r="B1193" s="4" t="inlineStr">
        <is>
          <t>● 8000-Objektüberwachung</t>
        </is>
      </c>
      <c r="C1193" s="9" t="inlineStr">
        <is>
          <t>Unbekannt</t>
        </is>
      </c>
      <c r="D1193" s="10" t="inlineStr">
        <is>
          <t>⚠ Manual erforderlich</t>
        </is>
      </c>
      <c r="E1193" s="11" t="inlineStr"/>
      <c r="F1193" s="11" t="n">
        <v>0</v>
      </c>
      <c r="G1193" s="11">
        <f>E1193-F1193</f>
        <v/>
      </c>
      <c r="H1193" s="11" t="n">
        <v/>
      </c>
      <c r="I1193" s="11" t="n">
        <v/>
      </c>
      <c r="J1193" s="11" t="n">
        <v/>
      </c>
      <c r="K1193" s="4" t="inlineStr">
        <is>
          <t>Abrechnungsart wählen; Stundensätze eingeben</t>
        </is>
      </c>
    </row>
    <row r="1194">
      <c r="A1194" s="4" t="inlineStr">
        <is>
          <t>4954 ETW-Hafenpark-Quartier-Baufeld-Süd-Frankfurt</t>
        </is>
      </c>
      <c r="B1194" s="4" t="inlineStr">
        <is>
          <t>● NT2: Zusammenstellen Inhalte abweichend BSK (pauschal)</t>
        </is>
      </c>
      <c r="C1194" s="9" t="inlineStr">
        <is>
          <t>Unbekannt</t>
        </is>
      </c>
      <c r="D1194" s="10" t="inlineStr">
        <is>
          <t>⚠ Manual erforderlich</t>
        </is>
      </c>
      <c r="E1194" s="11" t="inlineStr"/>
      <c r="F1194" s="11" t="n">
        <v>0</v>
      </c>
      <c r="G1194" s="11">
        <f>E1194-F1194</f>
        <v/>
      </c>
      <c r="H1194" s="11" t="n">
        <v/>
      </c>
      <c r="I1194" s="11" t="n">
        <v/>
      </c>
      <c r="J1194" s="11" t="n">
        <v/>
      </c>
      <c r="K1194" s="4" t="inlineStr">
        <is>
          <t>Abrechnungsart wählen; Stundensätze eingeben</t>
        </is>
      </c>
    </row>
    <row r="1195">
      <c r="A1195" s="4" t="inlineStr">
        <is>
          <t>4954 ETW-Hafenpark-Quartier-Baufeld-Süd-Frankfurt</t>
        </is>
      </c>
      <c r="B1195" s="4" t="inlineStr">
        <is>
          <t>● NT2: Fortschreibung BSK (pauschal)</t>
        </is>
      </c>
      <c r="C1195" s="9" t="inlineStr">
        <is>
          <t>Unbekannt</t>
        </is>
      </c>
      <c r="D1195" s="10" t="inlineStr">
        <is>
          <t>⚠ Manual erforderlich</t>
        </is>
      </c>
      <c r="E1195" s="11" t="inlineStr"/>
      <c r="F1195" s="11" t="n">
        <v>0</v>
      </c>
      <c r="G1195" s="11">
        <f>E1195-F1195</f>
        <v/>
      </c>
      <c r="H1195" s="11" t="n">
        <v/>
      </c>
      <c r="I1195" s="11" t="n">
        <v/>
      </c>
      <c r="J1195" s="11" t="n">
        <v/>
      </c>
      <c r="K1195" s="4" t="inlineStr">
        <is>
          <t>Abrechnungsart wählen; Stundensätze eingeben</t>
        </is>
      </c>
    </row>
    <row r="1196">
      <c r="A1196" s="4" t="inlineStr">
        <is>
          <t>4954 ETW-Hafenpark-Quartier-Baufeld-Süd-Frankfurt</t>
        </is>
      </c>
      <c r="B1196" s="4" t="inlineStr">
        <is>
          <t>● NT2: FuR-Pläne (pauschal)</t>
        </is>
      </c>
      <c r="C1196" s="9" t="inlineStr">
        <is>
          <t>Unbekannt</t>
        </is>
      </c>
      <c r="D1196" s="10" t="inlineStr">
        <is>
          <t>⚠ Manual erforderlich</t>
        </is>
      </c>
      <c r="E1196" s="11" t="inlineStr"/>
      <c r="F1196" s="11" t="n">
        <v>0</v>
      </c>
      <c r="G1196" s="11">
        <f>E1196-F1196</f>
        <v/>
      </c>
      <c r="H1196" s="11" t="n">
        <v/>
      </c>
      <c r="I1196" s="11" t="n">
        <v/>
      </c>
      <c r="J1196" s="11" t="n">
        <v/>
      </c>
      <c r="K1196" s="4" t="inlineStr">
        <is>
          <t>Abrechnungsart wählen; Stundensätze eingeben</t>
        </is>
      </c>
    </row>
    <row r="1197">
      <c r="A1197" s="4" t="inlineStr">
        <is>
          <t>4954 ETW-Hafenpark-Quartier-Baufeld-Süd-Frankfurt</t>
        </is>
      </c>
      <c r="B1197" s="4" t="inlineStr">
        <is>
          <t>● NT2: FW-Pläne (pauschal)</t>
        </is>
      </c>
      <c r="C1197" s="9" t="inlineStr">
        <is>
          <t>Unbekannt</t>
        </is>
      </c>
      <c r="D1197" s="10" t="inlineStr">
        <is>
          <t>⚠ Manual erforderlich</t>
        </is>
      </c>
      <c r="E1197" s="11" t="inlineStr"/>
      <c r="F1197" s="11" t="n">
        <v>0</v>
      </c>
      <c r="G1197" s="11">
        <f>E1197-F1197</f>
        <v/>
      </c>
      <c r="H1197" s="11" t="n">
        <v/>
      </c>
      <c r="I1197" s="11" t="n">
        <v/>
      </c>
      <c r="J1197" s="11" t="n">
        <v/>
      </c>
      <c r="K1197" s="4" t="inlineStr">
        <is>
          <t>Abrechnungsart wählen; Stundensätze eingeben</t>
        </is>
      </c>
    </row>
    <row r="1198">
      <c r="A1198" s="4" t="inlineStr">
        <is>
          <t>4954 ETW-Hafenpark-Quartier-Baufeld-Süd-Frankfurt</t>
        </is>
      </c>
      <c r="B1198" s="4" t="inlineStr">
        <is>
          <t>● NT2: Erstellen BSO (pauschal)</t>
        </is>
      </c>
      <c r="C1198" s="9" t="inlineStr">
        <is>
          <t>Unbekannt</t>
        </is>
      </c>
      <c r="D1198" s="10" t="inlineStr">
        <is>
          <t>⚠ Manual erforderlich</t>
        </is>
      </c>
      <c r="E1198" s="11" t="inlineStr"/>
      <c r="F1198" s="11" t="n">
        <v>0</v>
      </c>
      <c r="G1198" s="11">
        <f>E1198-F1198</f>
        <v/>
      </c>
      <c r="H1198" s="11" t="n">
        <v/>
      </c>
      <c r="I1198" s="11" t="n">
        <v/>
      </c>
      <c r="J1198" s="11" t="n">
        <v/>
      </c>
      <c r="K1198" s="4" t="inlineStr">
        <is>
          <t>Abrechnungsart wählen; Stundensätze eingeben</t>
        </is>
      </c>
    </row>
    <row r="1199">
      <c r="A1199" s="4" t="inlineStr">
        <is>
          <t>4954 ETW-Hafenpark-Quartier-Baufeld-Süd-Frankfurt</t>
        </is>
      </c>
      <c r="B1199" s="4" t="inlineStr">
        <is>
          <t>● (a.N.) NT3 - Pos.1-Interims-BSK (Konzepterstellung)</t>
        </is>
      </c>
      <c r="C1199" s="4" t="inlineStr">
        <is>
          <t>Nachweis</t>
        </is>
      </c>
      <c r="D1199" s="10" t="inlineStr">
        <is>
          <t>⚠ Manual erforderlich</t>
        </is>
      </c>
      <c r="E1199" s="11" t="inlineStr"/>
      <c r="F1199" s="11" t="n">
        <v>0</v>
      </c>
      <c r="G1199" s="11">
        <f>E1199-F1199</f>
        <v/>
      </c>
      <c r="H1199" s="11" t="n">
        <v/>
      </c>
      <c r="I1199" s="11" t="n">
        <v/>
      </c>
      <c r="J1199" s="11" t="n">
        <v/>
      </c>
      <c r="K1199" s="4" t="inlineStr">
        <is>
          <t>Stundensätze eingeben</t>
        </is>
      </c>
    </row>
    <row r="1200">
      <c r="A1200" s="4" t="inlineStr">
        <is>
          <t>4954 ETW-Hafenpark-Quartier-Baufeld-Süd-Frankfurt</t>
        </is>
      </c>
      <c r="B1200" s="4" t="inlineStr">
        <is>
          <t>● (p) NT3-Pos.2-Konformitätserklärung zur vorzeitigen Inbetriebnahme</t>
        </is>
      </c>
      <c r="C1200" s="4" t="inlineStr">
        <is>
          <t>Pauschale</t>
        </is>
      </c>
      <c r="D1200" s="10" t="inlineStr">
        <is>
          <t>⚠ Manual erforderlich</t>
        </is>
      </c>
      <c r="E1200" s="11" t="inlineStr"/>
      <c r="F1200" s="11" t="n">
        <v>0</v>
      </c>
      <c r="G1200" s="11">
        <f>E1200-F1200</f>
        <v/>
      </c>
      <c r="H1200" s="11" t="n">
        <v>0</v>
      </c>
      <c r="I1200" s="11" t="n">
        <v>0</v>
      </c>
      <c r="J1200" s="11" t="n">
        <v>0</v>
      </c>
      <c r="K1200" s="4" t="inlineStr">
        <is>
          <t>Stundensätze eingeben</t>
        </is>
      </c>
    </row>
    <row r="1201">
      <c r="A1201" s="4" t="inlineStr">
        <is>
          <t>4954.03 NAT04-FWP-ETW-Hafenpark-Quartier-Baufeld-Süd-Frankfurt-B+L</t>
        </is>
      </c>
      <c r="B1201" s="4" t="inlineStr">
        <is>
          <t>● (a.N.) Pos.1-Erstellung von Grundlagenplänen-ETW 2. UG bis 16. OG plus Lageplan</t>
        </is>
      </c>
      <c r="C1201" s="4" t="inlineStr">
        <is>
          <t>Nachweis</t>
        </is>
      </c>
      <c r="D1201" s="10" t="inlineStr">
        <is>
          <t>⚠ Manual erforderlich</t>
        </is>
      </c>
      <c r="E1201" s="11" t="inlineStr"/>
      <c r="F1201" s="11" t="n">
        <v>0</v>
      </c>
      <c r="G1201" s="11">
        <f>E1201-F1201</f>
        <v/>
      </c>
      <c r="H1201" s="11" t="n">
        <v/>
      </c>
      <c r="I1201" s="11" t="n">
        <v/>
      </c>
      <c r="J1201" s="11" t="n">
        <v/>
      </c>
      <c r="K1201" s="4" t="inlineStr">
        <is>
          <t>Stundensätze eingeben</t>
        </is>
      </c>
    </row>
    <row r="1202">
      <c r="A1202" s="4" t="inlineStr">
        <is>
          <t>4958.03 BTB-Hotel-Hafenpark-Quartier-Baufeld-Süd-Frankfurt-Bauwens</t>
        </is>
      </c>
      <c r="B1202" s="4" t="inlineStr">
        <is>
          <t>● Brandschutztechn. Beratung (auf Nachweis)</t>
        </is>
      </c>
      <c r="C1202" s="9" t="inlineStr">
        <is>
          <t>Unbekannt</t>
        </is>
      </c>
      <c r="D1202" s="10" t="inlineStr">
        <is>
          <t>⚠ Manual erforderlich</t>
        </is>
      </c>
      <c r="E1202" s="11" t="inlineStr"/>
      <c r="F1202" s="11" t="n">
        <v>0</v>
      </c>
      <c r="G1202" s="11">
        <f>E1202-F1202</f>
        <v/>
      </c>
      <c r="H1202" s="11" t="n">
        <v/>
      </c>
      <c r="I1202" s="11" t="n">
        <v/>
      </c>
      <c r="J1202" s="11" t="n">
        <v/>
      </c>
      <c r="K1202" s="4" t="inlineStr">
        <is>
          <t>Abrechnungsart wählen; Stundensätze eingeben</t>
        </is>
      </c>
    </row>
    <row r="1203">
      <c r="A1203" s="4" t="inlineStr">
        <is>
          <t>4970 VGF-Station-Frankfurt-Südbahnhof</t>
        </is>
      </c>
      <c r="B1203" s="4" t="inlineStr">
        <is>
          <t>● 1000-Grundlagenermittlung</t>
        </is>
      </c>
      <c r="C1203" s="9" t="inlineStr">
        <is>
          <t>Unbekannt</t>
        </is>
      </c>
      <c r="D1203" s="10" t="inlineStr">
        <is>
          <t>⚠ Manual erforderlich</t>
        </is>
      </c>
      <c r="E1203" s="11" t="inlineStr"/>
      <c r="F1203" s="11" t="n">
        <v>0</v>
      </c>
      <c r="G1203" s="11">
        <f>E1203-F1203</f>
        <v/>
      </c>
      <c r="H1203" s="11" t="n">
        <v/>
      </c>
      <c r="I1203" s="11" t="n">
        <v/>
      </c>
      <c r="J1203" s="11" t="n">
        <v/>
      </c>
      <c r="K1203" s="4" t="inlineStr">
        <is>
          <t>Abrechnungsart wählen; Stundensätze eingeben</t>
        </is>
      </c>
    </row>
    <row r="1204">
      <c r="A1204" s="4" t="inlineStr">
        <is>
          <t>4970 VGF-Station-Frankfurt-Südbahnhof</t>
        </is>
      </c>
      <c r="B1204" s="4" t="inlineStr">
        <is>
          <t>● 2000-Vorplanung</t>
        </is>
      </c>
      <c r="C1204" s="9" t="inlineStr">
        <is>
          <t>Unbekannt</t>
        </is>
      </c>
      <c r="D1204" s="10" t="inlineStr">
        <is>
          <t>⚠ Manual erforderlich</t>
        </is>
      </c>
      <c r="E1204" s="11" t="inlineStr"/>
      <c r="F1204" s="11" t="n">
        <v>0</v>
      </c>
      <c r="G1204" s="11">
        <f>E1204-F1204</f>
        <v/>
      </c>
      <c r="H1204" s="11" t="n">
        <v/>
      </c>
      <c r="I1204" s="11" t="n">
        <v/>
      </c>
      <c r="J1204" s="11" t="n">
        <v/>
      </c>
      <c r="K1204" s="4" t="inlineStr">
        <is>
          <t>Abrechnungsart wählen; Stundensätze eingeben</t>
        </is>
      </c>
    </row>
    <row r="1205">
      <c r="A1205" s="4" t="inlineStr">
        <is>
          <t>4970 VGF-Station-Frankfurt-Südbahnhof</t>
        </is>
      </c>
      <c r="B1205" s="4" t="inlineStr">
        <is>
          <t>● 3000-Entwurfsplanung</t>
        </is>
      </c>
      <c r="C1205" s="9" t="inlineStr">
        <is>
          <t>Unbekannt</t>
        </is>
      </c>
      <c r="D1205" s="10" t="inlineStr">
        <is>
          <t>⚠ Manual erforderlich</t>
        </is>
      </c>
      <c r="E1205" s="11" t="inlineStr"/>
      <c r="F1205" s="11" t="n">
        <v>0</v>
      </c>
      <c r="G1205" s="11">
        <f>E1205-F1205</f>
        <v/>
      </c>
      <c r="H1205" s="11" t="n">
        <v/>
      </c>
      <c r="I1205" s="11" t="n">
        <v/>
      </c>
      <c r="J1205" s="11" t="n">
        <v/>
      </c>
      <c r="K1205" s="4" t="inlineStr">
        <is>
          <t>Abrechnungsart wählen; Stundensätze eingeben</t>
        </is>
      </c>
    </row>
    <row r="1206">
      <c r="A1206" s="4" t="inlineStr">
        <is>
          <t>4970.03 Fortschr-BSK-VGF-Station-Frankfurt-Südbahnhof</t>
        </is>
      </c>
      <c r="B1206" s="4" t="inlineStr">
        <is>
          <t>● 3000-Entwurfsplanung</t>
        </is>
      </c>
      <c r="C1206" s="9" t="inlineStr">
        <is>
          <t>Unbekannt</t>
        </is>
      </c>
      <c r="D1206" s="10" t="inlineStr">
        <is>
          <t>⚠ Manual erforderlich</t>
        </is>
      </c>
      <c r="E1206" s="11" t="inlineStr"/>
      <c r="F1206" s="11" t="n">
        <v>0</v>
      </c>
      <c r="G1206" s="11">
        <f>E1206-F1206</f>
        <v/>
      </c>
      <c r="H1206" s="11" t="n">
        <v/>
      </c>
      <c r="I1206" s="11" t="n">
        <v/>
      </c>
      <c r="J1206" s="11" t="n">
        <v/>
      </c>
      <c r="K1206" s="4" t="inlineStr">
        <is>
          <t>Abrechnungsart wählen; Stundensätze eingeben</t>
        </is>
      </c>
    </row>
    <row r="1207">
      <c r="A1207" s="4" t="inlineStr">
        <is>
          <t>4970.03 Fortschr-BSK-VGF-Station-Frankfurt-Südbahnhof</t>
        </is>
      </c>
      <c r="B1207" s="4" t="inlineStr">
        <is>
          <t>● 4000-Genehmigungsplanung</t>
        </is>
      </c>
      <c r="C1207" s="9" t="inlineStr">
        <is>
          <t>Unbekannt</t>
        </is>
      </c>
      <c r="D1207" s="10" t="inlineStr">
        <is>
          <t>⚠ Manual erforderlich</t>
        </is>
      </c>
      <c r="E1207" s="11" t="inlineStr"/>
      <c r="F1207" s="11" t="n">
        <v>0</v>
      </c>
      <c r="G1207" s="11">
        <f>E1207-F1207</f>
        <v/>
      </c>
      <c r="H1207" s="11" t="n">
        <v/>
      </c>
      <c r="I1207" s="11" t="n">
        <v/>
      </c>
      <c r="J1207" s="11" t="n">
        <v/>
      </c>
      <c r="K1207" s="4" t="inlineStr">
        <is>
          <t>Abrechnungsart wählen; Stundensätze eingeben</t>
        </is>
      </c>
    </row>
    <row r="1208">
      <c r="A1208" s="4" t="inlineStr">
        <is>
          <t>4970.03 Fortschr-BSK-VGF-Station-Frankfurt-Südbahnhof</t>
        </is>
      </c>
      <c r="B1208" s="4" t="inlineStr">
        <is>
          <t>● 5000-Ausführungsplanung</t>
        </is>
      </c>
      <c r="C1208" s="9" t="inlineStr">
        <is>
          <t>Unbekannt</t>
        </is>
      </c>
      <c r="D1208" s="10" t="inlineStr">
        <is>
          <t>⚠ Manual erforderlich</t>
        </is>
      </c>
      <c r="E1208" s="11" t="inlineStr"/>
      <c r="F1208" s="11" t="n">
        <v>0</v>
      </c>
      <c r="G1208" s="11">
        <f>E1208-F1208</f>
        <v/>
      </c>
      <c r="H1208" s="11" t="n">
        <v/>
      </c>
      <c r="I1208" s="11" t="n">
        <v/>
      </c>
      <c r="J1208" s="11" t="n">
        <v/>
      </c>
      <c r="K1208" s="4" t="inlineStr">
        <is>
          <t>Abrechnungsart wählen; Stundensätze eingeben</t>
        </is>
      </c>
    </row>
    <row r="1209">
      <c r="A1209" s="4" t="inlineStr">
        <is>
          <t>4970.03 Fortschr-BSK-VGF-Station-Frankfurt-Südbahnhof</t>
        </is>
      </c>
      <c r="B1209" s="4" t="inlineStr">
        <is>
          <t>● 8000-Objektüberwachung</t>
        </is>
      </c>
      <c r="C1209" s="9" t="inlineStr">
        <is>
          <t>Unbekannt</t>
        </is>
      </c>
      <c r="D1209" s="10" t="inlineStr">
        <is>
          <t>⚠ Manual erforderlich</t>
        </is>
      </c>
      <c r="E1209" s="11" t="inlineStr"/>
      <c r="F1209" s="11" t="n">
        <v>0</v>
      </c>
      <c r="G1209" s="11">
        <f>E1209-F1209</f>
        <v/>
      </c>
      <c r="H1209" s="11" t="n">
        <v/>
      </c>
      <c r="I1209" s="11" t="n">
        <v/>
      </c>
      <c r="J1209" s="11" t="n">
        <v/>
      </c>
      <c r="K1209" s="4" t="inlineStr">
        <is>
          <t>Abrechnungsart wählen; Stundensätze eingeben</t>
        </is>
      </c>
    </row>
    <row r="1210">
      <c r="A1210" s="4" t="inlineStr">
        <is>
          <t>4970.03 Fortschr-BSK-VGF-Station-Frankfurt-Südbahnhof</t>
        </is>
      </c>
      <c r="B1210" s="4" t="inlineStr">
        <is>
          <t>● 9000-Objektbetreuung und Dokumentation</t>
        </is>
      </c>
      <c r="C1210" s="9" t="inlineStr">
        <is>
          <t>Unbekannt</t>
        </is>
      </c>
      <c r="D1210" s="10" t="inlineStr">
        <is>
          <t>⚠ Manual erforderlich</t>
        </is>
      </c>
      <c r="E1210" s="11" t="inlineStr"/>
      <c r="F1210" s="11" t="n">
        <v>0</v>
      </c>
      <c r="G1210" s="11">
        <f>E1210-F1210</f>
        <v/>
      </c>
      <c r="H1210" s="11" t="n">
        <v/>
      </c>
      <c r="I1210" s="11" t="n">
        <v/>
      </c>
      <c r="J1210" s="11" t="n">
        <v/>
      </c>
      <c r="K1210" s="4" t="inlineStr">
        <is>
          <t>Abrechnungsart wählen; Stundensätze eingeben</t>
        </is>
      </c>
    </row>
    <row r="1211">
      <c r="A1211" s="4" t="inlineStr">
        <is>
          <t>4970.07 FWP-Frankfurt-Südbahnhof-VGF</t>
        </is>
      </c>
      <c r="B1211" s="4" t="inlineStr">
        <is>
          <t>● (p) Pos.1 Aktualisierung FWP</t>
        </is>
      </c>
      <c r="C1211" s="4" t="inlineStr">
        <is>
          <t>Pauschale</t>
        </is>
      </c>
      <c r="D1211" s="10" t="inlineStr">
        <is>
          <t>⚠ Manual erforderlich</t>
        </is>
      </c>
      <c r="E1211" s="11" t="inlineStr"/>
      <c r="F1211" s="11" t="n">
        <v>0</v>
      </c>
      <c r="G1211" s="11">
        <f>E1211-F1211</f>
        <v/>
      </c>
      <c r="H1211" s="11" t="n">
        <v>0</v>
      </c>
      <c r="I1211" s="11" t="n">
        <v>0</v>
      </c>
      <c r="J1211" s="11" t="n">
        <v>0</v>
      </c>
      <c r="K1211" s="4" t="inlineStr">
        <is>
          <t>Stundensätze eingeben</t>
        </is>
      </c>
    </row>
    <row r="1212">
      <c r="A1212" s="4" t="inlineStr">
        <is>
          <t>4970.08 FWP-Südbahnhof-Frankfurt-Revision</t>
        </is>
      </c>
      <c r="B1212" s="4" t="inlineStr">
        <is>
          <t>● (p) Pos.1 Aktualisierung FWP</t>
        </is>
      </c>
      <c r="C1212" s="4" t="inlineStr">
        <is>
          <t>Pauschale</t>
        </is>
      </c>
      <c r="D1212" s="10" t="inlineStr">
        <is>
          <t>⚠ Manual erforderlich</t>
        </is>
      </c>
      <c r="E1212" s="11" t="inlineStr"/>
      <c r="F1212" s="11" t="n">
        <v>0</v>
      </c>
      <c r="G1212" s="11">
        <f>E1212-F1212</f>
        <v/>
      </c>
      <c r="H1212" s="11" t="n">
        <v>0</v>
      </c>
      <c r="I1212" s="11" t="n">
        <v>0</v>
      </c>
      <c r="J1212" s="11" t="n">
        <v>0</v>
      </c>
      <c r="K1212" s="4" t="inlineStr">
        <is>
          <t>Stundensätze eingeben</t>
        </is>
      </c>
    </row>
    <row r="1213">
      <c r="A1213" s="4" t="inlineStr">
        <is>
          <t>4985.01 Anp-BST-Viscofan-Naturin-Weinheim-Geb-35</t>
        </is>
      </c>
      <c r="B1213" s="4" t="inlineStr">
        <is>
          <t>● 3000-Entwurfsplanung</t>
        </is>
      </c>
      <c r="C1213" s="9" t="inlineStr">
        <is>
          <t>Unbekannt</t>
        </is>
      </c>
      <c r="D1213" s="10" t="inlineStr">
        <is>
          <t>⚠ Manual erforderlich</t>
        </is>
      </c>
      <c r="E1213" s="11" t="inlineStr"/>
      <c r="F1213" s="11" t="n">
        <v>0</v>
      </c>
      <c r="G1213" s="11">
        <f>E1213-F1213</f>
        <v/>
      </c>
      <c r="H1213" s="11" t="n">
        <v/>
      </c>
      <c r="I1213" s="11" t="n">
        <v/>
      </c>
      <c r="J1213" s="11" t="n">
        <v/>
      </c>
      <c r="K1213" s="4" t="inlineStr">
        <is>
          <t>Abrechnungsart wählen; Stundensätze eingeben</t>
        </is>
      </c>
    </row>
    <row r="1214">
      <c r="A1214" s="4" t="inlineStr">
        <is>
          <t>5003 Tanklager-Bellheim</t>
        </is>
      </c>
      <c r="B1214" s="4" t="inlineStr">
        <is>
          <t>● 1000-Grundlagenermittlung</t>
        </is>
      </c>
      <c r="C1214" s="9" t="inlineStr">
        <is>
          <t>Unbekannt</t>
        </is>
      </c>
      <c r="D1214" s="10" t="inlineStr">
        <is>
          <t>⚠ Manual erforderlich</t>
        </is>
      </c>
      <c r="E1214" s="11" t="inlineStr"/>
      <c r="F1214" s="11" t="n">
        <v>0</v>
      </c>
      <c r="G1214" s="11">
        <f>E1214-F1214</f>
        <v/>
      </c>
      <c r="H1214" s="11" t="n">
        <v/>
      </c>
      <c r="I1214" s="11" t="n">
        <v/>
      </c>
      <c r="J1214" s="11" t="n">
        <v/>
      </c>
      <c r="K1214" s="4" t="inlineStr">
        <is>
          <t>Abrechnungsart wählen; Stundensätze eingeben</t>
        </is>
      </c>
    </row>
    <row r="1215">
      <c r="A1215" s="4" t="inlineStr">
        <is>
          <t>5003 Tanklager-Bellheim</t>
        </is>
      </c>
      <c r="B1215" s="4" t="inlineStr">
        <is>
          <t>● 2000-Vorplanung</t>
        </is>
      </c>
      <c r="C1215" s="9" t="inlineStr">
        <is>
          <t>Unbekannt</t>
        </is>
      </c>
      <c r="D1215" s="10" t="inlineStr">
        <is>
          <t>⚠ Manual erforderlich</t>
        </is>
      </c>
      <c r="E1215" s="11" t="inlineStr"/>
      <c r="F1215" s="11" t="n">
        <v>0</v>
      </c>
      <c r="G1215" s="11">
        <f>E1215-F1215</f>
        <v/>
      </c>
      <c r="H1215" s="11" t="n">
        <v/>
      </c>
      <c r="I1215" s="11" t="n">
        <v/>
      </c>
      <c r="J1215" s="11" t="n">
        <v/>
      </c>
      <c r="K1215" s="4" t="inlineStr">
        <is>
          <t>Abrechnungsart wählen; Stundensätze eingeben</t>
        </is>
      </c>
    </row>
    <row r="1216">
      <c r="A1216" s="4" t="inlineStr">
        <is>
          <t>5003 Tanklager-Bellheim</t>
        </is>
      </c>
      <c r="B1216" s="4" t="inlineStr">
        <is>
          <t>● 3000-Entwurfsplanung</t>
        </is>
      </c>
      <c r="C1216" s="9" t="inlineStr">
        <is>
          <t>Unbekannt</t>
        </is>
      </c>
      <c r="D1216" s="10" t="inlineStr">
        <is>
          <t>⚠ Manual erforderlich</t>
        </is>
      </c>
      <c r="E1216" s="11" t="inlineStr"/>
      <c r="F1216" s="11" t="n">
        <v>0</v>
      </c>
      <c r="G1216" s="11">
        <f>E1216-F1216</f>
        <v/>
      </c>
      <c r="H1216" s="11" t="n">
        <v/>
      </c>
      <c r="I1216" s="11" t="n">
        <v/>
      </c>
      <c r="J1216" s="11" t="n">
        <v/>
      </c>
      <c r="K1216" s="4" t="inlineStr">
        <is>
          <t>Abrechnungsart wählen; Stundensätze eingeben</t>
        </is>
      </c>
    </row>
    <row r="1217">
      <c r="A1217" s="4" t="inlineStr">
        <is>
          <t>5003 Tanklager-Bellheim</t>
        </is>
      </c>
      <c r="B1217" s="4" t="inlineStr">
        <is>
          <t>● 4000-Genehmigungsplanung</t>
        </is>
      </c>
      <c r="C1217" s="9" t="inlineStr">
        <is>
          <t>Unbekannt</t>
        </is>
      </c>
      <c r="D1217" s="10" t="inlineStr">
        <is>
          <t>⚠ Manual erforderlich</t>
        </is>
      </c>
      <c r="E1217" s="11" t="inlineStr"/>
      <c r="F1217" s="11" t="n">
        <v>0</v>
      </c>
      <c r="G1217" s="11">
        <f>E1217-F1217</f>
        <v/>
      </c>
      <c r="H1217" s="11" t="n">
        <v/>
      </c>
      <c r="I1217" s="11" t="n">
        <v/>
      </c>
      <c r="J1217" s="11" t="n">
        <v/>
      </c>
      <c r="K1217" s="4" t="inlineStr">
        <is>
          <t>Abrechnungsart wählen; Stundensätze eingeben</t>
        </is>
      </c>
    </row>
    <row r="1218">
      <c r="A1218" s="4" t="inlineStr">
        <is>
          <t>5003 Tanklager-Bellheim</t>
        </is>
      </c>
      <c r="B1218" s="4" t="inlineStr">
        <is>
          <t>● 8000-Objektüberwachung</t>
        </is>
      </c>
      <c r="C1218" s="9" t="inlineStr">
        <is>
          <t>Unbekannt</t>
        </is>
      </c>
      <c r="D1218" s="10" t="inlineStr">
        <is>
          <t>⚠ Manual erforderlich</t>
        </is>
      </c>
      <c r="E1218" s="11" t="inlineStr"/>
      <c r="F1218" s="11" t="n">
        <v>0</v>
      </c>
      <c r="G1218" s="11">
        <f>E1218-F1218</f>
        <v/>
      </c>
      <c r="H1218" s="11" t="n">
        <v/>
      </c>
      <c r="I1218" s="11" t="n">
        <v/>
      </c>
      <c r="J1218" s="11" t="n">
        <v/>
      </c>
      <c r="K1218" s="4" t="inlineStr">
        <is>
          <t>Abrechnungsart wählen; Stundensätze eingeben</t>
        </is>
      </c>
    </row>
    <row r="1219">
      <c r="A1219" s="4" t="inlineStr">
        <is>
          <t>5007.02 Aktualisierung-BSO-FWP-KiTa-Buntes-Haus-Römerstraße-17-Echzell</t>
        </is>
      </c>
      <c r="B1219" s="4" t="inlineStr">
        <is>
          <t>● (p) Pos.1 Aktualisierung BSO</t>
        </is>
      </c>
      <c r="C1219" s="4" t="inlineStr">
        <is>
          <t>Pauschale</t>
        </is>
      </c>
      <c r="D1219" s="10" t="inlineStr">
        <is>
          <t>⚠ Manual erforderlich</t>
        </is>
      </c>
      <c r="E1219" s="11" t="inlineStr"/>
      <c r="F1219" s="11" t="n">
        <v>0</v>
      </c>
      <c r="G1219" s="11">
        <f>E1219-F1219</f>
        <v/>
      </c>
      <c r="H1219" s="11" t="n">
        <v>0</v>
      </c>
      <c r="I1219" s="11" t="n">
        <v>0</v>
      </c>
      <c r="J1219" s="11" t="n">
        <v>0</v>
      </c>
      <c r="K1219" s="4" t="inlineStr">
        <is>
          <t>Stundensätze eingeben</t>
        </is>
      </c>
    </row>
    <row r="1220">
      <c r="A1220" s="4" t="inlineStr">
        <is>
          <t>5007.02 Aktualisierung-BSO-FWP-KiTa-Buntes-Haus-Römerstraße-17-Echzell</t>
        </is>
      </c>
      <c r="B1220" s="4" t="inlineStr">
        <is>
          <t>● (p) Pos.2 Aktualisierung FWP</t>
        </is>
      </c>
      <c r="C1220" s="4" t="inlineStr">
        <is>
          <t>Pauschale</t>
        </is>
      </c>
      <c r="D1220" s="10" t="inlineStr">
        <is>
          <t>⚠ Manual erforderlich</t>
        </is>
      </c>
      <c r="E1220" s="11" t="inlineStr"/>
      <c r="F1220" s="11" t="n">
        <v>0</v>
      </c>
      <c r="G1220" s="11">
        <f>E1220-F1220</f>
        <v/>
      </c>
      <c r="H1220" s="11" t="n">
        <v>0</v>
      </c>
      <c r="I1220" s="11" t="n">
        <v>0</v>
      </c>
      <c r="J1220" s="11" t="n">
        <v>0</v>
      </c>
      <c r="K1220" s="4" t="inlineStr">
        <is>
          <t>Stundensätze eingeben</t>
        </is>
      </c>
    </row>
    <row r="1221">
      <c r="A1221" s="4" t="inlineStr">
        <is>
          <t>5017 IGS-Riedberg-Frankfurt-LP1-4</t>
        </is>
      </c>
      <c r="B1221" s="4" t="inlineStr">
        <is>
          <t>● 1000-Grundlagenermittlung</t>
        </is>
      </c>
      <c r="C1221" s="9" t="inlineStr">
        <is>
          <t>Unbekannt</t>
        </is>
      </c>
      <c r="D1221" s="10" t="inlineStr">
        <is>
          <t>⚠ Manual erforderlich</t>
        </is>
      </c>
      <c r="E1221" s="11" t="inlineStr"/>
      <c r="F1221" s="11" t="n">
        <v>0</v>
      </c>
      <c r="G1221" s="11">
        <f>E1221-F1221</f>
        <v/>
      </c>
      <c r="H1221" s="11" t="n">
        <v/>
      </c>
      <c r="I1221" s="11" t="n">
        <v/>
      </c>
      <c r="J1221" s="11" t="n">
        <v/>
      </c>
      <c r="K1221" s="4" t="inlineStr">
        <is>
          <t>Abrechnungsart wählen; Stundensätze eingeben</t>
        </is>
      </c>
    </row>
    <row r="1222">
      <c r="A1222" s="4" t="inlineStr">
        <is>
          <t>5017 IGS-Riedberg-Frankfurt-LP1-4</t>
        </is>
      </c>
      <c r="B1222" s="4" t="inlineStr">
        <is>
          <t>● 2000-Vorplanung</t>
        </is>
      </c>
      <c r="C1222" s="9" t="inlineStr">
        <is>
          <t>Unbekannt</t>
        </is>
      </c>
      <c r="D1222" s="10" t="inlineStr">
        <is>
          <t>⚠ Manual erforderlich</t>
        </is>
      </c>
      <c r="E1222" s="11" t="inlineStr"/>
      <c r="F1222" s="11" t="n">
        <v>0</v>
      </c>
      <c r="G1222" s="11">
        <f>E1222-F1222</f>
        <v/>
      </c>
      <c r="H1222" s="11" t="n">
        <v/>
      </c>
      <c r="I1222" s="11" t="n">
        <v/>
      </c>
      <c r="J1222" s="11" t="n">
        <v/>
      </c>
      <c r="K1222" s="4" t="inlineStr">
        <is>
          <t>Abrechnungsart wählen; Stundensätze eingeben</t>
        </is>
      </c>
    </row>
    <row r="1223">
      <c r="A1223" s="4" t="inlineStr">
        <is>
          <t>5017 IGS-Riedberg-Frankfurt-LP1-4</t>
        </is>
      </c>
      <c r="B1223" s="4" t="inlineStr">
        <is>
          <t>● 3000-Entwurfsplanung</t>
        </is>
      </c>
      <c r="C1223" s="9" t="inlineStr">
        <is>
          <t>Unbekannt</t>
        </is>
      </c>
      <c r="D1223" s="10" t="inlineStr">
        <is>
          <t>⚠ Manual erforderlich</t>
        </is>
      </c>
      <c r="E1223" s="11" t="inlineStr"/>
      <c r="F1223" s="11" t="n">
        <v>0</v>
      </c>
      <c r="G1223" s="11">
        <f>E1223-F1223</f>
        <v/>
      </c>
      <c r="H1223" s="11" t="n">
        <v/>
      </c>
      <c r="I1223" s="11" t="n">
        <v/>
      </c>
      <c r="J1223" s="11" t="n">
        <v/>
      </c>
      <c r="K1223" s="4" t="inlineStr">
        <is>
          <t>Abrechnungsart wählen; Stundensätze eingeben</t>
        </is>
      </c>
    </row>
    <row r="1224">
      <c r="A1224" s="4" t="inlineStr">
        <is>
          <t>5017 IGS-Riedberg-Frankfurt-LP1-4</t>
        </is>
      </c>
      <c r="B1224" s="4" t="inlineStr">
        <is>
          <t>● 4000-Genehmigungsplanung</t>
        </is>
      </c>
      <c r="C1224" s="9" t="inlineStr">
        <is>
          <t>Unbekannt</t>
        </is>
      </c>
      <c r="D1224" s="10" t="inlineStr">
        <is>
          <t>⚠ Manual erforderlich</t>
        </is>
      </c>
      <c r="E1224" s="11" t="inlineStr"/>
      <c r="F1224" s="11" t="n">
        <v>0</v>
      </c>
      <c r="G1224" s="11">
        <f>E1224-F1224</f>
        <v/>
      </c>
      <c r="H1224" s="11" t="n">
        <v/>
      </c>
      <c r="I1224" s="11" t="n">
        <v/>
      </c>
      <c r="J1224" s="11" t="n">
        <v/>
      </c>
      <c r="K1224" s="4" t="inlineStr">
        <is>
          <t>Abrechnungsart wählen; Stundensätze eingeben</t>
        </is>
      </c>
    </row>
    <row r="1225">
      <c r="A1225" s="4" t="inlineStr">
        <is>
          <t>5017 IGS-Riedberg-Frankfurt-LP1-4</t>
        </is>
      </c>
      <c r="B1225" s="4" t="inlineStr">
        <is>
          <t>● 5000-Ausführungsplanung</t>
        </is>
      </c>
      <c r="C1225" s="9" t="inlineStr">
        <is>
          <t>Unbekannt</t>
        </is>
      </c>
      <c r="D1225" s="10" t="inlineStr">
        <is>
          <t>⚠ Manual erforderlich</t>
        </is>
      </c>
      <c r="E1225" s="11" t="inlineStr"/>
      <c r="F1225" s="11" t="n">
        <v>0</v>
      </c>
      <c r="G1225" s="11">
        <f>E1225-F1225</f>
        <v/>
      </c>
      <c r="H1225" s="11" t="n">
        <v/>
      </c>
      <c r="I1225" s="11" t="n">
        <v/>
      </c>
      <c r="J1225" s="11" t="n">
        <v/>
      </c>
      <c r="K1225" s="4" t="inlineStr">
        <is>
          <t>Abrechnungsart wählen; Stundensätze eingeben</t>
        </is>
      </c>
    </row>
    <row r="1226">
      <c r="A1226" s="4" t="inlineStr">
        <is>
          <t>5017 IGS-Riedberg-Frankfurt-LP1-4</t>
        </is>
      </c>
      <c r="B1226" s="4" t="inlineStr">
        <is>
          <t>● 6000-Vorbereiten der Vergabe</t>
        </is>
      </c>
      <c r="C1226" s="9" t="inlineStr">
        <is>
          <t>Unbekannt</t>
        </is>
      </c>
      <c r="D1226" s="10" t="inlineStr">
        <is>
          <t>⚠ Manual erforderlich</t>
        </is>
      </c>
      <c r="E1226" s="11" t="inlineStr"/>
      <c r="F1226" s="11" t="n">
        <v>0</v>
      </c>
      <c r="G1226" s="11">
        <f>E1226-F1226</f>
        <v/>
      </c>
      <c r="H1226" s="11" t="n">
        <v/>
      </c>
      <c r="I1226" s="11" t="n">
        <v/>
      </c>
      <c r="J1226" s="11" t="n">
        <v/>
      </c>
      <c r="K1226" s="4" t="inlineStr">
        <is>
          <t>Abrechnungsart wählen; Stundensätze eingeben</t>
        </is>
      </c>
    </row>
    <row r="1227">
      <c r="A1227" s="4" t="inlineStr">
        <is>
          <t>5017 IGS-Riedberg-Frankfurt-LP1-4</t>
        </is>
      </c>
      <c r="B1227" s="4" t="inlineStr">
        <is>
          <t>● 7000-Mitwirkung bei der Vergabe</t>
        </is>
      </c>
      <c r="C1227" s="9" t="inlineStr">
        <is>
          <t>Unbekannt</t>
        </is>
      </c>
      <c r="D1227" s="10" t="inlineStr">
        <is>
          <t>⚠ Manual erforderlich</t>
        </is>
      </c>
      <c r="E1227" s="11" t="inlineStr"/>
      <c r="F1227" s="11" t="n">
        <v>0</v>
      </c>
      <c r="G1227" s="11">
        <f>E1227-F1227</f>
        <v/>
      </c>
      <c r="H1227" s="11" t="n">
        <v/>
      </c>
      <c r="I1227" s="11" t="n">
        <v/>
      </c>
      <c r="J1227" s="11" t="n">
        <v/>
      </c>
      <c r="K1227" s="4" t="inlineStr">
        <is>
          <t>Abrechnungsart wählen; Stundensätze eingeben</t>
        </is>
      </c>
    </row>
    <row r="1228">
      <c r="A1228" s="4" t="inlineStr">
        <is>
          <t>5017 IGS-Riedberg-Frankfurt-LP1-4</t>
        </is>
      </c>
      <c r="B1228" s="4" t="inlineStr">
        <is>
          <t>● 8000-Objektüberwachung</t>
        </is>
      </c>
      <c r="C1228" s="9" t="inlineStr">
        <is>
          <t>Unbekannt</t>
        </is>
      </c>
      <c r="D1228" s="10" t="inlineStr">
        <is>
          <t>⚠ Manual erforderlich</t>
        </is>
      </c>
      <c r="E1228" s="11" t="inlineStr"/>
      <c r="F1228" s="11" t="n">
        <v>0</v>
      </c>
      <c r="G1228" s="11">
        <f>E1228-F1228</f>
        <v/>
      </c>
      <c r="H1228" s="11" t="n">
        <v/>
      </c>
      <c r="I1228" s="11" t="n">
        <v/>
      </c>
      <c r="J1228" s="11" t="n">
        <v/>
      </c>
      <c r="K1228" s="4" t="inlineStr">
        <is>
          <t>Abrechnungsart wählen; Stundensätze eingeben</t>
        </is>
      </c>
    </row>
    <row r="1229">
      <c r="A1229" s="4" t="inlineStr">
        <is>
          <t>5017 IGS-Riedberg-Frankfurt-LP1-4</t>
        </is>
      </c>
      <c r="B1229" s="4" t="inlineStr">
        <is>
          <t>● 9202-Mitwirken Erstellen BSO, Betriebshandb., Alarm- und Gefahrenabwehrplan...</t>
        </is>
      </c>
      <c r="C1229" s="9" t="inlineStr">
        <is>
          <t>Unbekannt</t>
        </is>
      </c>
      <c r="D1229" s="10" t="inlineStr">
        <is>
          <t>⚠ Manual erforderlich</t>
        </is>
      </c>
      <c r="E1229" s="11" t="inlineStr"/>
      <c r="F1229" s="11" t="n">
        <v>0</v>
      </c>
      <c r="G1229" s="11">
        <f>E1229-F1229</f>
        <v/>
      </c>
      <c r="H1229" s="11" t="n">
        <v/>
      </c>
      <c r="I1229" s="11" t="n">
        <v/>
      </c>
      <c r="J1229" s="11" t="n">
        <v/>
      </c>
      <c r="K1229" s="4" t="inlineStr">
        <is>
          <t>Abrechnungsart wählen; Stundensätze eingeben</t>
        </is>
      </c>
    </row>
    <row r="1230">
      <c r="A1230" s="4" t="inlineStr">
        <is>
          <t>5020.01 Fortschr-BSK-PA77-U5-West-München</t>
        </is>
      </c>
      <c r="B1230" s="4" t="inlineStr">
        <is>
          <t>● 0001-Sonstiges</t>
        </is>
      </c>
      <c r="C1230" s="9" t="inlineStr">
        <is>
          <t>Unbekannt</t>
        </is>
      </c>
      <c r="D1230" s="10" t="inlineStr">
        <is>
          <t>⚠ Manual erforderlich</t>
        </is>
      </c>
      <c r="E1230" s="11" t="inlineStr"/>
      <c r="F1230" s="11" t="n">
        <v>0</v>
      </c>
      <c r="G1230" s="11">
        <f>E1230-F1230</f>
        <v/>
      </c>
      <c r="H1230" s="11" t="n">
        <v/>
      </c>
      <c r="I1230" s="11" t="n">
        <v/>
      </c>
      <c r="J1230" s="11" t="n">
        <v/>
      </c>
      <c r="K1230" s="4" t="inlineStr">
        <is>
          <t>Abrechnungsart wählen; Stundensätze eingeben</t>
        </is>
      </c>
    </row>
    <row r="1231">
      <c r="A1231" s="4" t="inlineStr">
        <is>
          <t>5020.01 Fortschr-BSK-PA77-U5-West-München</t>
        </is>
      </c>
      <c r="B1231" s="4" t="inlineStr">
        <is>
          <t>● 1000-Grundlagenermittlung</t>
        </is>
      </c>
      <c r="C1231" s="9" t="inlineStr">
        <is>
          <t>Unbekannt</t>
        </is>
      </c>
      <c r="D1231" s="10" t="inlineStr">
        <is>
          <t>⚠ Manual erforderlich</t>
        </is>
      </c>
      <c r="E1231" s="11" t="inlineStr"/>
      <c r="F1231" s="11" t="n">
        <v>0</v>
      </c>
      <c r="G1231" s="11">
        <f>E1231-F1231</f>
        <v/>
      </c>
      <c r="H1231" s="11" t="n">
        <v/>
      </c>
      <c r="I1231" s="11" t="n">
        <v/>
      </c>
      <c r="J1231" s="11" t="n">
        <v/>
      </c>
      <c r="K1231" s="4" t="inlineStr">
        <is>
          <t>Abrechnungsart wählen; Stundensätze eingeben</t>
        </is>
      </c>
    </row>
    <row r="1232">
      <c r="A1232" s="4" t="inlineStr">
        <is>
          <t>5020.01 Fortschr-BSK-PA77-U5-West-München</t>
        </is>
      </c>
      <c r="B1232" s="4" t="inlineStr">
        <is>
          <t>● 2000-Vorplanung</t>
        </is>
      </c>
      <c r="C1232" s="9" t="inlineStr">
        <is>
          <t>Unbekannt</t>
        </is>
      </c>
      <c r="D1232" s="10" t="inlineStr">
        <is>
          <t>⚠ Manual erforderlich</t>
        </is>
      </c>
      <c r="E1232" s="11" t="inlineStr"/>
      <c r="F1232" s="11" t="n">
        <v>0</v>
      </c>
      <c r="G1232" s="11">
        <f>E1232-F1232</f>
        <v/>
      </c>
      <c r="H1232" s="11" t="n">
        <v/>
      </c>
      <c r="I1232" s="11" t="n">
        <v/>
      </c>
      <c r="J1232" s="11" t="n">
        <v/>
      </c>
      <c r="K1232" s="4" t="inlineStr">
        <is>
          <t>Abrechnungsart wählen; Stundensätze eingeben</t>
        </is>
      </c>
    </row>
    <row r="1233">
      <c r="A1233" s="4" t="inlineStr">
        <is>
          <t>5020.01 Fortschr-BSK-PA77-U5-West-München</t>
        </is>
      </c>
      <c r="B1233" s="4" t="inlineStr">
        <is>
          <t>● 3000-Entwurfsplanung</t>
        </is>
      </c>
      <c r="C1233" s="9" t="inlineStr">
        <is>
          <t>Unbekannt</t>
        </is>
      </c>
      <c r="D1233" s="10" t="inlineStr">
        <is>
          <t>⚠ Manual erforderlich</t>
        </is>
      </c>
      <c r="E1233" s="11" t="inlineStr"/>
      <c r="F1233" s="11" t="n">
        <v>0</v>
      </c>
      <c r="G1233" s="11">
        <f>E1233-F1233</f>
        <v/>
      </c>
      <c r="H1233" s="11" t="n">
        <v/>
      </c>
      <c r="I1233" s="11" t="n">
        <v/>
      </c>
      <c r="J1233" s="11" t="n">
        <v/>
      </c>
      <c r="K1233" s="4" t="inlineStr">
        <is>
          <t>Abrechnungsart wählen; Stundensätze eingeben</t>
        </is>
      </c>
    </row>
    <row r="1234">
      <c r="A1234" s="4" t="inlineStr">
        <is>
          <t>5020.01 Fortschr-BSK-PA77-U5-West-München</t>
        </is>
      </c>
      <c r="B1234" s="4" t="inlineStr">
        <is>
          <t>● 5000-Ausführungsplanung</t>
        </is>
      </c>
      <c r="C1234" s="9" t="inlineStr">
        <is>
          <t>Unbekannt</t>
        </is>
      </c>
      <c r="D1234" s="10" t="inlineStr">
        <is>
          <t>⚠ Manual erforderlich</t>
        </is>
      </c>
      <c r="E1234" s="11" t="inlineStr"/>
      <c r="F1234" s="11" t="n">
        <v>0</v>
      </c>
      <c r="G1234" s="11">
        <f>E1234-F1234</f>
        <v/>
      </c>
      <c r="H1234" s="11" t="n">
        <v/>
      </c>
      <c r="I1234" s="11" t="n">
        <v/>
      </c>
      <c r="J1234" s="11" t="n">
        <v/>
      </c>
      <c r="K1234" s="4" t="inlineStr">
        <is>
          <t>Abrechnungsart wählen; Stundensätze eingeben</t>
        </is>
      </c>
    </row>
    <row r="1235">
      <c r="A1235" s="4" t="inlineStr">
        <is>
          <t>5020.01 Fortschr-BSK-PA77-U5-West-München</t>
        </is>
      </c>
      <c r="B1235" s="4" t="inlineStr">
        <is>
          <t>● 9000-Objektbetreuung und Dokumentation</t>
        </is>
      </c>
      <c r="C1235" s="9" t="inlineStr">
        <is>
          <t>Unbekannt</t>
        </is>
      </c>
      <c r="D1235" s="10" t="inlineStr">
        <is>
          <t>⚠ Manual erforderlich</t>
        </is>
      </c>
      <c r="E1235" s="11" t="inlineStr"/>
      <c r="F1235" s="11" t="n">
        <v>0</v>
      </c>
      <c r="G1235" s="11">
        <f>E1235-F1235</f>
        <v/>
      </c>
      <c r="H1235" s="11" t="n">
        <v/>
      </c>
      <c r="I1235" s="11" t="n">
        <v/>
      </c>
      <c r="J1235" s="11" t="n">
        <v/>
      </c>
      <c r="K1235" s="4" t="inlineStr">
        <is>
          <t>Abrechnungsart wählen; Stundensätze eingeben</t>
        </is>
      </c>
    </row>
    <row r="1236">
      <c r="A1236" s="4" t="inlineStr">
        <is>
          <t>5020.01 Fortschr-BSK-PA77-U5-West-München</t>
        </is>
      </c>
      <c r="B1236" s="4" t="inlineStr">
        <is>
          <t>● Aktualisierung BSK-Pläne (auf Nachweis)</t>
        </is>
      </c>
      <c r="C1236" s="9" t="inlineStr">
        <is>
          <t>Unbekannt</t>
        </is>
      </c>
      <c r="D1236" s="10" t="inlineStr">
        <is>
          <t>⚠ Manual erforderlich</t>
        </is>
      </c>
      <c r="E1236" s="11" t="inlineStr"/>
      <c r="F1236" s="11" t="n">
        <v>0</v>
      </c>
      <c r="G1236" s="11">
        <f>E1236-F1236</f>
        <v/>
      </c>
      <c r="H1236" s="11" t="n">
        <v/>
      </c>
      <c r="I1236" s="11" t="n">
        <v/>
      </c>
      <c r="J1236" s="11" t="n">
        <v/>
      </c>
      <c r="K1236" s="4" t="inlineStr">
        <is>
          <t>Abrechnungsart wählen; Stundensätze eingeben</t>
        </is>
      </c>
    </row>
    <row r="1237">
      <c r="A1237" s="4" t="inlineStr">
        <is>
          <t>5020.011 Fortschr-BSK-PA77-U5-West-München</t>
        </is>
      </c>
      <c r="B1237" s="4" t="inlineStr">
        <is>
          <t>● 0001-Sonstiges</t>
        </is>
      </c>
      <c r="C1237" s="9" t="inlineStr">
        <is>
          <t>Unbekannt</t>
        </is>
      </c>
      <c r="D1237" s="10" t="inlineStr">
        <is>
          <t>⚠ Manual erforderlich</t>
        </is>
      </c>
      <c r="E1237" s="11" t="inlineStr"/>
      <c r="F1237" s="11" t="n">
        <v>0</v>
      </c>
      <c r="G1237" s="11">
        <f>E1237-F1237</f>
        <v/>
      </c>
      <c r="H1237" s="11" t="n">
        <v/>
      </c>
      <c r="I1237" s="11" t="n">
        <v/>
      </c>
      <c r="J1237" s="11" t="n">
        <v/>
      </c>
      <c r="K1237" s="4" t="inlineStr">
        <is>
          <t>Abrechnungsart wählen; Stundensätze eingeben</t>
        </is>
      </c>
    </row>
    <row r="1238">
      <c r="A1238" s="4" t="inlineStr">
        <is>
          <t>5020.011 Fortschr-BSK-PA77-U5-West-München</t>
        </is>
      </c>
      <c r="B1238" s="4" t="inlineStr">
        <is>
          <t>● 1000-Grundlagenermittlung</t>
        </is>
      </c>
      <c r="C1238" s="9" t="inlineStr">
        <is>
          <t>Unbekannt</t>
        </is>
      </c>
      <c r="D1238" s="10" t="inlineStr">
        <is>
          <t>⚠ Manual erforderlich</t>
        </is>
      </c>
      <c r="E1238" s="11" t="inlineStr"/>
      <c r="F1238" s="11" t="n">
        <v>0</v>
      </c>
      <c r="G1238" s="11">
        <f>E1238-F1238</f>
        <v/>
      </c>
      <c r="H1238" s="11" t="n">
        <v/>
      </c>
      <c r="I1238" s="11" t="n">
        <v/>
      </c>
      <c r="J1238" s="11" t="n">
        <v/>
      </c>
      <c r="K1238" s="4" t="inlineStr">
        <is>
          <t>Abrechnungsart wählen; Stundensätze eingeben</t>
        </is>
      </c>
    </row>
    <row r="1239">
      <c r="A1239" s="4" t="inlineStr">
        <is>
          <t>5020.011 Fortschr-BSK-PA77-U5-West-München</t>
        </is>
      </c>
      <c r="B1239" s="4" t="inlineStr">
        <is>
          <t>● 2000-Vorplanung</t>
        </is>
      </c>
      <c r="C1239" s="9" t="inlineStr">
        <is>
          <t>Unbekannt</t>
        </is>
      </c>
      <c r="D1239" s="10" t="inlineStr">
        <is>
          <t>⚠ Manual erforderlich</t>
        </is>
      </c>
      <c r="E1239" s="11" t="inlineStr"/>
      <c r="F1239" s="11" t="n">
        <v>0</v>
      </c>
      <c r="G1239" s="11">
        <f>E1239-F1239</f>
        <v/>
      </c>
      <c r="H1239" s="11" t="n">
        <v/>
      </c>
      <c r="I1239" s="11" t="n">
        <v/>
      </c>
      <c r="J1239" s="11" t="n">
        <v/>
      </c>
      <c r="K1239" s="4" t="inlineStr">
        <is>
          <t>Abrechnungsart wählen; Stundensätze eingeben</t>
        </is>
      </c>
    </row>
    <row r="1240">
      <c r="A1240" s="4" t="inlineStr">
        <is>
          <t>5020.011 Fortschr-BSK-PA77-U5-West-München</t>
        </is>
      </c>
      <c r="B1240" s="4" t="inlineStr">
        <is>
          <t>● 3000-Entwurfsplanung</t>
        </is>
      </c>
      <c r="C1240" s="9" t="inlineStr">
        <is>
          <t>Unbekannt</t>
        </is>
      </c>
      <c r="D1240" s="10" t="inlineStr">
        <is>
          <t>⚠ Manual erforderlich</t>
        </is>
      </c>
      <c r="E1240" s="11" t="inlineStr"/>
      <c r="F1240" s="11" t="n">
        <v>0</v>
      </c>
      <c r="G1240" s="11">
        <f>E1240-F1240</f>
        <v/>
      </c>
      <c r="H1240" s="11" t="n">
        <v/>
      </c>
      <c r="I1240" s="11" t="n">
        <v/>
      </c>
      <c r="J1240" s="11" t="n">
        <v/>
      </c>
      <c r="K1240" s="4" t="inlineStr">
        <is>
          <t>Abrechnungsart wählen; Stundensätze eingeben</t>
        </is>
      </c>
    </row>
    <row r="1241">
      <c r="A1241" s="4" t="inlineStr">
        <is>
          <t>5020.011 Fortschr-BSK-PA77-U5-West-München</t>
        </is>
      </c>
      <c r="B1241" s="4" t="inlineStr">
        <is>
          <t>● 5000-Ausführungsplanung</t>
        </is>
      </c>
      <c r="C1241" s="9" t="inlineStr">
        <is>
          <t>Unbekannt</t>
        </is>
      </c>
      <c r="D1241" s="10" t="inlineStr">
        <is>
          <t>⚠ Manual erforderlich</t>
        </is>
      </c>
      <c r="E1241" s="11" t="inlineStr"/>
      <c r="F1241" s="11" t="n">
        <v>0</v>
      </c>
      <c r="G1241" s="11">
        <f>E1241-F1241</f>
        <v/>
      </c>
      <c r="H1241" s="11" t="n">
        <v/>
      </c>
      <c r="I1241" s="11" t="n">
        <v/>
      </c>
      <c r="J1241" s="11" t="n">
        <v/>
      </c>
      <c r="K1241" s="4" t="inlineStr">
        <is>
          <t>Abrechnungsart wählen; Stundensätze eingeben</t>
        </is>
      </c>
    </row>
    <row r="1242">
      <c r="A1242" s="4" t="inlineStr">
        <is>
          <t>5020.011 Fortschr-BSK-PA77-U5-West-München</t>
        </is>
      </c>
      <c r="B1242" s="4" t="inlineStr">
        <is>
          <t>● 9000-Objektbetreuung und Dokumentation</t>
        </is>
      </c>
      <c r="C1242" s="9" t="inlineStr">
        <is>
          <t>Unbekannt</t>
        </is>
      </c>
      <c r="D1242" s="10" t="inlineStr">
        <is>
          <t>⚠ Manual erforderlich</t>
        </is>
      </c>
      <c r="E1242" s="11" t="inlineStr"/>
      <c r="F1242" s="11" t="n">
        <v>0</v>
      </c>
      <c r="G1242" s="11">
        <f>E1242-F1242</f>
        <v/>
      </c>
      <c r="H1242" s="11" t="n">
        <v/>
      </c>
      <c r="I1242" s="11" t="n">
        <v/>
      </c>
      <c r="J1242" s="11" t="n">
        <v/>
      </c>
      <c r="K1242" s="4" t="inlineStr">
        <is>
          <t>Abrechnungsart wählen; Stundensätze eingeben</t>
        </is>
      </c>
    </row>
    <row r="1243">
      <c r="A1243" s="4" t="inlineStr">
        <is>
          <t>5020.011 Fortschr-BSK-PA77-U5-West-München</t>
        </is>
      </c>
      <c r="B1243" s="4" t="inlineStr">
        <is>
          <t>● Aktualisierung BSK-Pläne (auf Nachweis)</t>
        </is>
      </c>
      <c r="C1243" s="9" t="inlineStr">
        <is>
          <t>Unbekannt</t>
        </is>
      </c>
      <c r="D1243" s="10" t="inlineStr">
        <is>
          <t>⚠ Manual erforderlich</t>
        </is>
      </c>
      <c r="E1243" s="11" t="inlineStr"/>
      <c r="F1243" s="11" t="n">
        <v>0</v>
      </c>
      <c r="G1243" s="11">
        <f>E1243-F1243</f>
        <v/>
      </c>
      <c r="H1243" s="11" t="n">
        <v/>
      </c>
      <c r="I1243" s="11" t="n">
        <v/>
      </c>
      <c r="J1243" s="11" t="n">
        <v/>
      </c>
      <c r="K1243" s="4" t="inlineStr">
        <is>
          <t>Abrechnungsart wählen; Stundensätze eingeben</t>
        </is>
      </c>
    </row>
    <row r="1244">
      <c r="A1244" s="4" t="inlineStr">
        <is>
          <t>5020.03 Zusätzl-RGS-PA77-U5-West-München</t>
        </is>
      </c>
      <c r="B1244" s="4" t="inlineStr">
        <is>
          <t>● Anpasen des Modells (pauschal)</t>
        </is>
      </c>
      <c r="C1244" s="9" t="inlineStr">
        <is>
          <t>Unbekannt</t>
        </is>
      </c>
      <c r="D1244" s="10" t="inlineStr">
        <is>
          <t>⚠ Manual erforderlich</t>
        </is>
      </c>
      <c r="E1244" s="11" t="inlineStr"/>
      <c r="F1244" s="11" t="n">
        <v>0</v>
      </c>
      <c r="G1244" s="11">
        <f>E1244-F1244</f>
        <v/>
      </c>
      <c r="H1244" s="11" t="n">
        <v/>
      </c>
      <c r="I1244" s="11" t="n">
        <v/>
      </c>
      <c r="J1244" s="11" t="n">
        <v/>
      </c>
      <c r="K1244" s="4" t="inlineStr">
        <is>
          <t>Abrechnungsart wählen; Stundensätze eingeben</t>
        </is>
      </c>
    </row>
    <row r="1245">
      <c r="A1245" s="4" t="inlineStr">
        <is>
          <t>5020.03 Zusätzl-RGS-PA77-U5-West-München</t>
        </is>
      </c>
      <c r="B1245" s="4" t="inlineStr">
        <is>
          <t>● Drei zusätzl. Simulationsläufe (pauschal)</t>
        </is>
      </c>
      <c r="C1245" s="9" t="inlineStr">
        <is>
          <t>Unbekannt</t>
        </is>
      </c>
      <c r="D1245" s="10" t="inlineStr">
        <is>
          <t>⚠ Manual erforderlich</t>
        </is>
      </c>
      <c r="E1245" s="11" t="inlineStr"/>
      <c r="F1245" s="11" t="n">
        <v>0</v>
      </c>
      <c r="G1245" s="11">
        <f>E1245-F1245</f>
        <v/>
      </c>
      <c r="H1245" s="11" t="n">
        <v/>
      </c>
      <c r="I1245" s="11" t="n">
        <v/>
      </c>
      <c r="J1245" s="11" t="n">
        <v/>
      </c>
      <c r="K1245" s="4" t="inlineStr">
        <is>
          <t>Abrechnungsart wählen; Stundensätze eingeben</t>
        </is>
      </c>
    </row>
    <row r="1246">
      <c r="A1246" s="4" t="inlineStr">
        <is>
          <t>5020.03 Zusätzl-RGS-PA77-U5-West-München</t>
        </is>
      </c>
      <c r="B1246" s="4" t="inlineStr">
        <is>
          <t>● Dokumentation Simulationsläufe + Vorgaben Aufbauten Entrauchungsöffnungen (pauschal)</t>
        </is>
      </c>
      <c r="C1246" s="9" t="inlineStr">
        <is>
          <t>Unbekannt</t>
        </is>
      </c>
      <c r="D1246" s="10" t="inlineStr">
        <is>
          <t>⚠ Manual erforderlich</t>
        </is>
      </c>
      <c r="E1246" s="11" t="inlineStr"/>
      <c r="F1246" s="11" t="n">
        <v>0</v>
      </c>
      <c r="G1246" s="11">
        <f>E1246-F1246</f>
        <v/>
      </c>
      <c r="H1246" s="11" t="n">
        <v/>
      </c>
      <c r="I1246" s="11" t="n">
        <v/>
      </c>
      <c r="J1246" s="11" t="n">
        <v/>
      </c>
      <c r="K1246" s="4" t="inlineStr">
        <is>
          <t>Abrechnungsart wählen; Stundensätze eingeben</t>
        </is>
      </c>
    </row>
    <row r="1247">
      <c r="A1247" s="4" t="inlineStr">
        <is>
          <t>5020.06 LH München-BSK-Baustellenkonzept-PA77-Willibaldstr-U5-bis-Laimer-Pl.-MUC</t>
        </is>
      </c>
      <c r="B1247" s="4" t="inlineStr">
        <is>
          <t>● (aN)  BSK-Baustellenkonzept - ohne ANG</t>
        </is>
      </c>
      <c r="C1247" s="4" t="inlineStr">
        <is>
          <t>Nachweis</t>
        </is>
      </c>
      <c r="D1247" s="10" t="inlineStr">
        <is>
          <t>⚠ Manual erforderlich</t>
        </is>
      </c>
      <c r="E1247" s="11" t="inlineStr"/>
      <c r="F1247" s="11" t="n">
        <v>0</v>
      </c>
      <c r="G1247" s="11">
        <f>E1247-F1247</f>
        <v/>
      </c>
      <c r="H1247" s="11" t="n">
        <v/>
      </c>
      <c r="I1247" s="11" t="n">
        <v/>
      </c>
      <c r="J1247" s="11" t="n">
        <v/>
      </c>
      <c r="K1247" s="4" t="inlineStr">
        <is>
          <t>Stundensätze eingeben</t>
        </is>
      </c>
    </row>
    <row r="1248">
      <c r="A1248" s="4" t="inlineStr">
        <is>
          <t>5021.01 BTB-PA78-U5-West-München</t>
        </is>
      </c>
      <c r="B1248" s="4" t="inlineStr">
        <is>
          <t>● 2000-Vorplanung</t>
        </is>
      </c>
      <c r="C1248" s="9" t="inlineStr">
        <is>
          <t>Unbekannt</t>
        </is>
      </c>
      <c r="D1248" s="10" t="inlineStr">
        <is>
          <t>⚠ Manual erforderlich</t>
        </is>
      </c>
      <c r="E1248" s="11" t="inlineStr"/>
      <c r="F1248" s="11" t="n">
        <v>0</v>
      </c>
      <c r="G1248" s="11">
        <f>E1248-F1248</f>
        <v/>
      </c>
      <c r="H1248" s="11" t="n">
        <v/>
      </c>
      <c r="I1248" s="11" t="n">
        <v/>
      </c>
      <c r="J1248" s="11" t="n">
        <v/>
      </c>
      <c r="K1248" s="4" t="inlineStr">
        <is>
          <t>Abrechnungsart wählen; Stundensätze eingeben</t>
        </is>
      </c>
    </row>
    <row r="1249">
      <c r="A1249" s="4" t="inlineStr">
        <is>
          <t>5021.02 Fortschr-BSK-PA78-U5-West-München</t>
        </is>
      </c>
      <c r="B1249" s="4" t="inlineStr">
        <is>
          <t>● Fortschr. BSK Bahnhof Am Knie (pauschal)</t>
        </is>
      </c>
      <c r="C1249" s="9" t="inlineStr">
        <is>
          <t>Unbekannt</t>
        </is>
      </c>
      <c r="D1249" s="10" t="inlineStr">
        <is>
          <t>⚠ Manual erforderlich</t>
        </is>
      </c>
      <c r="E1249" s="11" t="inlineStr"/>
      <c r="F1249" s="11" t="n">
        <v>0</v>
      </c>
      <c r="G1249" s="11">
        <f>E1249-F1249</f>
        <v/>
      </c>
      <c r="H1249" s="11" t="n">
        <v/>
      </c>
      <c r="I1249" s="11" t="n">
        <v/>
      </c>
      <c r="J1249" s="11" t="n">
        <v/>
      </c>
      <c r="K1249" s="4" t="inlineStr">
        <is>
          <t>Abrechnungsart wählen; Stundensätze eingeben</t>
        </is>
      </c>
    </row>
    <row r="1250">
      <c r="A1250" s="4" t="inlineStr">
        <is>
          <t>5021.02 Fortschr-BSK-PA78-U5-West-München</t>
        </is>
      </c>
      <c r="B1250" s="4" t="inlineStr">
        <is>
          <t>● Räumungszeitermittlung durch Entfluchtungssim. (pauschal)</t>
        </is>
      </c>
      <c r="C1250" s="9" t="inlineStr">
        <is>
          <t>Unbekannt</t>
        </is>
      </c>
      <c r="D1250" s="10" t="inlineStr">
        <is>
          <t>⚠ Manual erforderlich</t>
        </is>
      </c>
      <c r="E1250" s="11" t="inlineStr"/>
      <c r="F1250" s="11" t="n">
        <v>0</v>
      </c>
      <c r="G1250" s="11">
        <f>E1250-F1250</f>
        <v/>
      </c>
      <c r="H1250" s="11" t="n">
        <v/>
      </c>
      <c r="I1250" s="11" t="n">
        <v/>
      </c>
      <c r="J1250" s="11" t="n">
        <v/>
      </c>
      <c r="K1250" s="4" t="inlineStr">
        <is>
          <t>Abrechnungsart wählen; Stundensätze eingeben</t>
        </is>
      </c>
    </row>
    <row r="1251">
      <c r="A1251" s="4" t="inlineStr">
        <is>
          <t>5021.02 Fortschr-BSK-PA78-U5-West-München</t>
        </is>
      </c>
      <c r="B1251" s="4" t="inlineStr">
        <is>
          <t>● Dreidimensionales Modell Bahnhof Am Knie (pauschal)</t>
        </is>
      </c>
      <c r="C1251" s="9" t="inlineStr">
        <is>
          <t>Unbekannt</t>
        </is>
      </c>
      <c r="D1251" s="10" t="inlineStr">
        <is>
          <t>⚠ Manual erforderlich</t>
        </is>
      </c>
      <c r="E1251" s="11" t="inlineStr"/>
      <c r="F1251" s="11" t="n">
        <v>0</v>
      </c>
      <c r="G1251" s="11">
        <f>E1251-F1251</f>
        <v/>
      </c>
      <c r="H1251" s="11" t="n">
        <v/>
      </c>
      <c r="I1251" s="11" t="n">
        <v/>
      </c>
      <c r="J1251" s="11" t="n">
        <v/>
      </c>
      <c r="K1251" s="4" t="inlineStr">
        <is>
          <t>Abrechnungsart wählen; Stundensätze eingeben</t>
        </is>
      </c>
    </row>
    <row r="1252">
      <c r="A1252" s="4" t="inlineStr">
        <is>
          <t>5021.02 Fortschr-BSK-PA78-U5-West-München</t>
        </is>
      </c>
      <c r="B1252" s="4" t="inlineStr">
        <is>
          <t>● Durchführen 3 Simulationsläufe (pauschal)</t>
        </is>
      </c>
      <c r="C1252" s="9" t="inlineStr">
        <is>
          <t>Unbekannt</t>
        </is>
      </c>
      <c r="D1252" s="10" t="inlineStr">
        <is>
          <t>⚠ Manual erforderlich</t>
        </is>
      </c>
      <c r="E1252" s="11" t="inlineStr"/>
      <c r="F1252" s="11" t="n">
        <v>0</v>
      </c>
      <c r="G1252" s="11">
        <f>E1252-F1252</f>
        <v/>
      </c>
      <c r="H1252" s="11" t="n">
        <v/>
      </c>
      <c r="I1252" s="11" t="n">
        <v/>
      </c>
      <c r="J1252" s="11" t="n">
        <v/>
      </c>
      <c r="K1252" s="4" t="inlineStr">
        <is>
          <t>Abrechnungsart wählen; Stundensätze eingeben</t>
        </is>
      </c>
    </row>
    <row r="1253">
      <c r="A1253" s="4" t="inlineStr">
        <is>
          <t>5021.02 Fortschr-BSK-PA78-U5-West-München</t>
        </is>
      </c>
      <c r="B1253" s="4" t="inlineStr">
        <is>
          <t>● Dokumentation der Simulation (pauschal)</t>
        </is>
      </c>
      <c r="C1253" s="9" t="inlineStr">
        <is>
          <t>Unbekannt</t>
        </is>
      </c>
      <c r="D1253" s="10" t="inlineStr">
        <is>
          <t>⚠ Manual erforderlich</t>
        </is>
      </c>
      <c r="E1253" s="11" t="inlineStr"/>
      <c r="F1253" s="11" t="n">
        <v>0</v>
      </c>
      <c r="G1253" s="11">
        <f>E1253-F1253</f>
        <v/>
      </c>
      <c r="H1253" s="11" t="n">
        <v/>
      </c>
      <c r="I1253" s="11" t="n">
        <v/>
      </c>
      <c r="J1253" s="11" t="n">
        <v/>
      </c>
      <c r="K1253" s="4" t="inlineStr">
        <is>
          <t>Abrechnungsart wählen; Stundensätze eingeben</t>
        </is>
      </c>
    </row>
    <row r="1254">
      <c r="A1254" s="4" t="inlineStr">
        <is>
          <t>5021.02 Fortschr-BSK-PA78-U5-West-München</t>
        </is>
      </c>
      <c r="B1254" s="4" t="inlineStr">
        <is>
          <t>● Erstellen konzeptuelle Brandfallsteuertabelle (pauschal)</t>
        </is>
      </c>
      <c r="C1254" s="9" t="inlineStr">
        <is>
          <t>Unbekannt</t>
        </is>
      </c>
      <c r="D1254" s="10" t="inlineStr">
        <is>
          <t>⚠ Manual erforderlich</t>
        </is>
      </c>
      <c r="E1254" s="11" t="inlineStr"/>
      <c r="F1254" s="11" t="n">
        <v>0</v>
      </c>
      <c r="G1254" s="11">
        <f>E1254-F1254</f>
        <v/>
      </c>
      <c r="H1254" s="11" t="n">
        <v/>
      </c>
      <c r="I1254" s="11" t="n">
        <v/>
      </c>
      <c r="J1254" s="11" t="n">
        <v/>
      </c>
      <c r="K1254" s="4" t="inlineStr">
        <is>
          <t>Abrechnungsart wählen; Stundensätze eingeben</t>
        </is>
      </c>
    </row>
    <row r="1255">
      <c r="A1255" s="4" t="inlineStr">
        <is>
          <t>5021.02 Fortschr-BSK-PA78-U5-West-München</t>
        </is>
      </c>
      <c r="B1255" s="4" t="inlineStr">
        <is>
          <t>● Fortschr. BSK Streckentunnel PA78 (pauschal)</t>
        </is>
      </c>
      <c r="C1255" s="9" t="inlineStr">
        <is>
          <t>Unbekannt</t>
        </is>
      </c>
      <c r="D1255" s="10" t="inlineStr">
        <is>
          <t>⚠ Manual erforderlich</t>
        </is>
      </c>
      <c r="E1255" s="11" t="inlineStr"/>
      <c r="F1255" s="11" t="n">
        <v>0</v>
      </c>
      <c r="G1255" s="11">
        <f>E1255-F1255</f>
        <v/>
      </c>
      <c r="H1255" s="11" t="n">
        <v/>
      </c>
      <c r="I1255" s="11" t="n">
        <v/>
      </c>
      <c r="J1255" s="11" t="n">
        <v/>
      </c>
      <c r="K1255" s="4" t="inlineStr">
        <is>
          <t>Abrechnungsart wählen; Stundensätze eingeben</t>
        </is>
      </c>
    </row>
    <row r="1256">
      <c r="A1256" s="4" t="inlineStr">
        <is>
          <t>5021.02 Fortschr-BSK-PA78-U5-West-München</t>
        </is>
      </c>
      <c r="B1256" s="4" t="inlineStr">
        <is>
          <t>● Abstimmung mit Beteiligten (auf Nachweis)</t>
        </is>
      </c>
      <c r="C1256" s="9" t="inlineStr">
        <is>
          <t>Unbekannt</t>
        </is>
      </c>
      <c r="D1256" s="10" t="inlineStr">
        <is>
          <t>⚠ Manual erforderlich</t>
        </is>
      </c>
      <c r="E1256" s="11" t="inlineStr"/>
      <c r="F1256" s="11" t="n">
        <v>0</v>
      </c>
      <c r="G1256" s="11">
        <f>E1256-F1256</f>
        <v/>
      </c>
      <c r="H1256" s="11" t="n">
        <v/>
      </c>
      <c r="I1256" s="11" t="n">
        <v/>
      </c>
      <c r="J1256" s="11" t="n">
        <v/>
      </c>
      <c r="K1256" s="4" t="inlineStr">
        <is>
          <t>Abrechnungsart wählen; Stundensätze eingeben</t>
        </is>
      </c>
    </row>
    <row r="1257">
      <c r="A1257" s="4" t="inlineStr">
        <is>
          <t>5021.02 Fortschr-BSK-PA78-U5-West-München</t>
        </is>
      </c>
      <c r="B1257" s="4" t="inlineStr">
        <is>
          <t>● Beratungsleistungen während Erstellung der Ausschreibung (auf Nachweis)</t>
        </is>
      </c>
      <c r="C1257" s="9" t="inlineStr">
        <is>
          <t>Unbekannt</t>
        </is>
      </c>
      <c r="D1257" s="10" t="inlineStr">
        <is>
          <t>⚠ Manual erforderlich</t>
        </is>
      </c>
      <c r="E1257" s="11" t="inlineStr"/>
      <c r="F1257" s="11" t="n">
        <v>0</v>
      </c>
      <c r="G1257" s="11">
        <f>E1257-F1257</f>
        <v/>
      </c>
      <c r="H1257" s="11" t="n">
        <v/>
      </c>
      <c r="I1257" s="11" t="n">
        <v/>
      </c>
      <c r="J1257" s="11" t="n">
        <v/>
      </c>
      <c r="K1257" s="4" t="inlineStr">
        <is>
          <t>Abrechnungsart wählen; Stundensätze eingeben</t>
        </is>
      </c>
    </row>
    <row r="1258">
      <c r="A1258" s="4" t="inlineStr">
        <is>
          <t>5021.02 Fortschr-BSK-PA78-U5-West-München</t>
        </is>
      </c>
      <c r="B1258" s="4" t="inlineStr">
        <is>
          <t>● 6 Simulationsläufe zusätzl. (pauschal)</t>
        </is>
      </c>
      <c r="C1258" s="9" t="inlineStr">
        <is>
          <t>Unbekannt</t>
        </is>
      </c>
      <c r="D1258" s="10" t="inlineStr">
        <is>
          <t>⚠ Manual erforderlich</t>
        </is>
      </c>
      <c r="E1258" s="11" t="inlineStr"/>
      <c r="F1258" s="11" t="n">
        <v>0</v>
      </c>
      <c r="G1258" s="11">
        <f>E1258-F1258</f>
        <v/>
      </c>
      <c r="H1258" s="11" t="n">
        <v/>
      </c>
      <c r="I1258" s="11" t="n">
        <v/>
      </c>
      <c r="J1258" s="11" t="n">
        <v/>
      </c>
      <c r="K1258" s="4" t="inlineStr">
        <is>
          <t>Abrechnungsart wählen; Stundensätze eingeben</t>
        </is>
      </c>
    </row>
    <row r="1259">
      <c r="A1259" s="4" t="inlineStr">
        <is>
          <t>5021.03 BTB-Am Knie-PA78-U5-West-München</t>
        </is>
      </c>
      <c r="B1259" s="4" t="inlineStr">
        <is>
          <t>● (a.N.) Pos.1-Brandschutztechnische Beratung</t>
        </is>
      </c>
      <c r="C1259" s="4" t="inlineStr">
        <is>
          <t>Nachweis</t>
        </is>
      </c>
      <c r="D1259" s="10" t="inlineStr">
        <is>
          <t>⚠ Manual erforderlich</t>
        </is>
      </c>
      <c r="E1259" s="11" t="inlineStr"/>
      <c r="F1259" s="11" t="n">
        <v>0</v>
      </c>
      <c r="G1259" s="11">
        <f>E1259-F1259</f>
        <v/>
      </c>
      <c r="H1259" s="11" t="n">
        <v/>
      </c>
      <c r="I1259" s="11" t="n">
        <v/>
      </c>
      <c r="J1259" s="11" t="n">
        <v/>
      </c>
      <c r="K1259" s="4" t="inlineStr">
        <is>
          <t>Stundensätze eingeben</t>
        </is>
      </c>
    </row>
    <row r="1260">
      <c r="A1260" s="4" t="inlineStr">
        <is>
          <t>5022.01 BTB-PA79-U5-West-München</t>
        </is>
      </c>
      <c r="B1260" s="4" t="inlineStr">
        <is>
          <t>● 2000-Vorplanung</t>
        </is>
      </c>
      <c r="C1260" s="9" t="inlineStr">
        <is>
          <t>Unbekannt</t>
        </is>
      </c>
      <c r="D1260" s="10" t="inlineStr">
        <is>
          <t>⚠ Manual erforderlich</t>
        </is>
      </c>
      <c r="E1260" s="11" t="inlineStr"/>
      <c r="F1260" s="11" t="n">
        <v>0</v>
      </c>
      <c r="G1260" s="11">
        <f>E1260-F1260</f>
        <v/>
      </c>
      <c r="H1260" s="11" t="n">
        <v/>
      </c>
      <c r="I1260" s="11" t="n">
        <v/>
      </c>
      <c r="J1260" s="11" t="n">
        <v/>
      </c>
      <c r="K1260" s="4" t="inlineStr">
        <is>
          <t>Abrechnungsart wählen; Stundensätze eingeben</t>
        </is>
      </c>
    </row>
    <row r="1261">
      <c r="A1261" s="4" t="inlineStr">
        <is>
          <t>5022.02 Fortschr-BSK-PA79-U5-West-München</t>
        </is>
      </c>
      <c r="B1261" s="4" t="inlineStr">
        <is>
          <t>● Fortschr. BSK Bahnhof Pasing (pauschal)</t>
        </is>
      </c>
      <c r="C1261" s="9" t="inlineStr">
        <is>
          <t>Unbekannt</t>
        </is>
      </c>
      <c r="D1261" s="10" t="inlineStr">
        <is>
          <t>⚠ Manual erforderlich</t>
        </is>
      </c>
      <c r="E1261" s="11" t="inlineStr"/>
      <c r="F1261" s="11" t="n">
        <v>0</v>
      </c>
      <c r="G1261" s="11">
        <f>E1261-F1261</f>
        <v/>
      </c>
      <c r="H1261" s="11" t="n">
        <v/>
      </c>
      <c r="I1261" s="11" t="n">
        <v/>
      </c>
      <c r="J1261" s="11" t="n">
        <v/>
      </c>
      <c r="K1261" s="4" t="inlineStr">
        <is>
          <t>Abrechnungsart wählen; Stundensätze eingeben</t>
        </is>
      </c>
    </row>
    <row r="1262">
      <c r="A1262" s="4" t="inlineStr">
        <is>
          <t>5022.02 Fortschr-BSK-PA79-U5-West-München</t>
        </is>
      </c>
      <c r="B1262" s="4" t="inlineStr">
        <is>
          <t>● Räumungszeitermittlung durch Entfluchtungssim. (pauschal)</t>
        </is>
      </c>
      <c r="C1262" s="9" t="inlineStr">
        <is>
          <t>Unbekannt</t>
        </is>
      </c>
      <c r="D1262" s="10" t="inlineStr">
        <is>
          <t>⚠ Manual erforderlich</t>
        </is>
      </c>
      <c r="E1262" s="11" t="inlineStr"/>
      <c r="F1262" s="11" t="n">
        <v>0</v>
      </c>
      <c r="G1262" s="11">
        <f>E1262-F1262</f>
        <v/>
      </c>
      <c r="H1262" s="11" t="n">
        <v/>
      </c>
      <c r="I1262" s="11" t="n">
        <v/>
      </c>
      <c r="J1262" s="11" t="n">
        <v/>
      </c>
      <c r="K1262" s="4" t="inlineStr">
        <is>
          <t>Abrechnungsart wählen; Stundensätze eingeben</t>
        </is>
      </c>
    </row>
    <row r="1263">
      <c r="A1263" s="4" t="inlineStr">
        <is>
          <t>5022.02 Fortschr-BSK-PA79-U5-West-München</t>
        </is>
      </c>
      <c r="B1263" s="4" t="inlineStr">
        <is>
          <t>● Dreidimensionales Modell Bahnhof Pasing (pauschal)</t>
        </is>
      </c>
      <c r="C1263" s="9" t="inlineStr">
        <is>
          <t>Unbekannt</t>
        </is>
      </c>
      <c r="D1263" s="10" t="inlineStr">
        <is>
          <t>⚠ Manual erforderlich</t>
        </is>
      </c>
      <c r="E1263" s="11" t="inlineStr"/>
      <c r="F1263" s="11" t="n">
        <v>0</v>
      </c>
      <c r="G1263" s="11">
        <f>E1263-F1263</f>
        <v/>
      </c>
      <c r="H1263" s="11" t="n">
        <v/>
      </c>
      <c r="I1263" s="11" t="n">
        <v/>
      </c>
      <c r="J1263" s="11" t="n">
        <v/>
      </c>
      <c r="K1263" s="4" t="inlineStr">
        <is>
          <t>Abrechnungsart wählen; Stundensätze eingeben</t>
        </is>
      </c>
    </row>
    <row r="1264">
      <c r="A1264" s="4" t="inlineStr">
        <is>
          <t>5022.02 Fortschr-BSK-PA79-U5-West-München</t>
        </is>
      </c>
      <c r="B1264" s="4" t="inlineStr">
        <is>
          <t>● Durchführen 3 Simulationsläufe (pauschal)</t>
        </is>
      </c>
      <c r="C1264" s="9" t="inlineStr">
        <is>
          <t>Unbekannt</t>
        </is>
      </c>
      <c r="D1264" s="10" t="inlineStr">
        <is>
          <t>⚠ Manual erforderlich</t>
        </is>
      </c>
      <c r="E1264" s="11" t="inlineStr"/>
      <c r="F1264" s="11" t="n">
        <v>0</v>
      </c>
      <c r="G1264" s="11">
        <f>E1264-F1264</f>
        <v/>
      </c>
      <c r="H1264" s="11" t="n">
        <v/>
      </c>
      <c r="I1264" s="11" t="n">
        <v/>
      </c>
      <c r="J1264" s="11" t="n">
        <v/>
      </c>
      <c r="K1264" s="4" t="inlineStr">
        <is>
          <t>Abrechnungsart wählen; Stundensätze eingeben</t>
        </is>
      </c>
    </row>
    <row r="1265">
      <c r="A1265" s="4" t="inlineStr">
        <is>
          <t>5022.02 Fortschr-BSK-PA79-U5-West-München</t>
        </is>
      </c>
      <c r="B1265" s="4" t="inlineStr">
        <is>
          <t>● Dokumentation der Simulation (pauschal)</t>
        </is>
      </c>
      <c r="C1265" s="9" t="inlineStr">
        <is>
          <t>Unbekannt</t>
        </is>
      </c>
      <c r="D1265" s="10" t="inlineStr">
        <is>
          <t>⚠ Manual erforderlich</t>
        </is>
      </c>
      <c r="E1265" s="11" t="inlineStr"/>
      <c r="F1265" s="11" t="n">
        <v>0</v>
      </c>
      <c r="G1265" s="11">
        <f>E1265-F1265</f>
        <v/>
      </c>
      <c r="H1265" s="11" t="n">
        <v/>
      </c>
      <c r="I1265" s="11" t="n">
        <v/>
      </c>
      <c r="J1265" s="11" t="n">
        <v/>
      </c>
      <c r="K1265" s="4" t="inlineStr">
        <is>
          <t>Abrechnungsart wählen; Stundensätze eingeben</t>
        </is>
      </c>
    </row>
    <row r="1266">
      <c r="A1266" s="4" t="inlineStr">
        <is>
          <t>5022.02 Fortschr-BSK-PA79-U5-West-München</t>
        </is>
      </c>
      <c r="B1266" s="4" t="inlineStr">
        <is>
          <t>● Erstellen konzeptuelle Brandfallsteuertabelle (pauschal)</t>
        </is>
      </c>
      <c r="C1266" s="9" t="inlineStr">
        <is>
          <t>Unbekannt</t>
        </is>
      </c>
      <c r="D1266" s="10" t="inlineStr">
        <is>
          <t>⚠ Manual erforderlich</t>
        </is>
      </c>
      <c r="E1266" s="11" t="inlineStr"/>
      <c r="F1266" s="11" t="n">
        <v>0</v>
      </c>
      <c r="G1266" s="11">
        <f>E1266-F1266</f>
        <v/>
      </c>
      <c r="H1266" s="11" t="n">
        <v/>
      </c>
      <c r="I1266" s="11" t="n">
        <v/>
      </c>
      <c r="J1266" s="11" t="n">
        <v/>
      </c>
      <c r="K1266" s="4" t="inlineStr">
        <is>
          <t>Abrechnungsart wählen; Stundensätze eingeben</t>
        </is>
      </c>
    </row>
    <row r="1267">
      <c r="A1267" s="4" t="inlineStr">
        <is>
          <t>5022.02 Fortschr-BSK-PA79-U5-West-München</t>
        </is>
      </c>
      <c r="B1267" s="4" t="inlineStr">
        <is>
          <t>● Fortschr. BSK Streckentunnel PA79 (pauschal)</t>
        </is>
      </c>
      <c r="C1267" s="9" t="inlineStr">
        <is>
          <t>Unbekannt</t>
        </is>
      </c>
      <c r="D1267" s="10" t="inlineStr">
        <is>
          <t>⚠ Manual erforderlich</t>
        </is>
      </c>
      <c r="E1267" s="11" t="inlineStr"/>
      <c r="F1267" s="11" t="n">
        <v>0</v>
      </c>
      <c r="G1267" s="11">
        <f>E1267-F1267</f>
        <v/>
      </c>
      <c r="H1267" s="11" t="n">
        <v/>
      </c>
      <c r="I1267" s="11" t="n">
        <v/>
      </c>
      <c r="J1267" s="11" t="n">
        <v/>
      </c>
      <c r="K1267" s="4" t="inlineStr">
        <is>
          <t>Abrechnungsart wählen; Stundensätze eingeben</t>
        </is>
      </c>
    </row>
    <row r="1268">
      <c r="A1268" s="4" t="inlineStr">
        <is>
          <t>5022.02 Fortschr-BSK-PA79-U5-West-München</t>
        </is>
      </c>
      <c r="B1268" s="4" t="inlineStr">
        <is>
          <t>● Abstimmung mit Beteiligten (auf Nachweis)</t>
        </is>
      </c>
      <c r="C1268" s="9" t="inlineStr">
        <is>
          <t>Unbekannt</t>
        </is>
      </c>
      <c r="D1268" s="10" t="inlineStr">
        <is>
          <t>⚠ Manual erforderlich</t>
        </is>
      </c>
      <c r="E1268" s="11" t="inlineStr"/>
      <c r="F1268" s="11" t="n">
        <v>0</v>
      </c>
      <c r="G1268" s="11">
        <f>E1268-F1268</f>
        <v/>
      </c>
      <c r="H1268" s="11" t="n">
        <v/>
      </c>
      <c r="I1268" s="11" t="n">
        <v/>
      </c>
      <c r="J1268" s="11" t="n">
        <v/>
      </c>
      <c r="K1268" s="4" t="inlineStr">
        <is>
          <t>Abrechnungsart wählen; Stundensätze eingeben</t>
        </is>
      </c>
    </row>
    <row r="1269">
      <c r="A1269" s="4" t="inlineStr">
        <is>
          <t>5022.02 Fortschr-BSK-PA79-U5-West-München</t>
        </is>
      </c>
      <c r="B1269" s="4" t="inlineStr">
        <is>
          <t>● Beratungsleistungen während Erstellung der Ausschreibung (auf Nachweis)</t>
        </is>
      </c>
      <c r="C1269" s="9" t="inlineStr">
        <is>
          <t>Unbekannt</t>
        </is>
      </c>
      <c r="D1269" s="10" t="inlineStr">
        <is>
          <t>⚠ Manual erforderlich</t>
        </is>
      </c>
      <c r="E1269" s="11" t="inlineStr"/>
      <c r="F1269" s="11" t="n">
        <v>0</v>
      </c>
      <c r="G1269" s="11">
        <f>E1269-F1269</f>
        <v/>
      </c>
      <c r="H1269" s="11" t="n">
        <v/>
      </c>
      <c r="I1269" s="11" t="n">
        <v/>
      </c>
      <c r="J1269" s="11" t="n">
        <v/>
      </c>
      <c r="K1269" s="4" t="inlineStr">
        <is>
          <t>Abrechnungsart wählen; Stundensätze eingeben</t>
        </is>
      </c>
    </row>
    <row r="1270">
      <c r="A1270" s="4" t="inlineStr">
        <is>
          <t>5022.02 Fortschr-BSK-PA79-U5-West-München</t>
        </is>
      </c>
      <c r="B1270" s="4" t="inlineStr">
        <is>
          <t>● 6 Simulationsläufe zusätzl. (pauschal)</t>
        </is>
      </c>
      <c r="C1270" s="9" t="inlineStr">
        <is>
          <t>Unbekannt</t>
        </is>
      </c>
      <c r="D1270" s="10" t="inlineStr">
        <is>
          <t>⚠ Manual erforderlich</t>
        </is>
      </c>
      <c r="E1270" s="11" t="inlineStr"/>
      <c r="F1270" s="11" t="n">
        <v>0</v>
      </c>
      <c r="G1270" s="11">
        <f>E1270-F1270</f>
        <v/>
      </c>
      <c r="H1270" s="11" t="n">
        <v/>
      </c>
      <c r="I1270" s="11" t="n">
        <v/>
      </c>
      <c r="J1270" s="11" t="n">
        <v/>
      </c>
      <c r="K1270" s="4" t="inlineStr">
        <is>
          <t>Abrechnungsart wählen; Stundensätze eingeben</t>
        </is>
      </c>
    </row>
    <row r="1271">
      <c r="A1271" s="4" t="inlineStr">
        <is>
          <t>5022.022 Fortschr-BSK-PA79-U5-West-München</t>
        </is>
      </c>
      <c r="B1271" s="4" t="inlineStr">
        <is>
          <t>● Fortschr. BSK Bahnhof Pasing (pauschal)</t>
        </is>
      </c>
      <c r="C1271" s="9" t="inlineStr">
        <is>
          <t>Unbekannt</t>
        </is>
      </c>
      <c r="D1271" s="10" t="inlineStr">
        <is>
          <t>⚠ Manual erforderlich</t>
        </is>
      </c>
      <c r="E1271" s="11" t="inlineStr"/>
      <c r="F1271" s="11" t="n">
        <v>0</v>
      </c>
      <c r="G1271" s="11">
        <f>E1271-F1271</f>
        <v/>
      </c>
      <c r="H1271" s="11" t="n">
        <v/>
      </c>
      <c r="I1271" s="11" t="n">
        <v/>
      </c>
      <c r="J1271" s="11" t="n">
        <v/>
      </c>
      <c r="K1271" s="4" t="inlineStr">
        <is>
          <t>Abrechnungsart wählen; Stundensätze eingeben</t>
        </is>
      </c>
    </row>
    <row r="1272">
      <c r="A1272" s="4" t="inlineStr">
        <is>
          <t>5022.022 Fortschr-BSK-PA79-U5-West-München</t>
        </is>
      </c>
      <c r="B1272" s="4" t="inlineStr">
        <is>
          <t>● Räumungszeitermittlung durch Entfluchtungssim. (pauschal)</t>
        </is>
      </c>
      <c r="C1272" s="9" t="inlineStr">
        <is>
          <t>Unbekannt</t>
        </is>
      </c>
      <c r="D1272" s="10" t="inlineStr">
        <is>
          <t>⚠ Manual erforderlich</t>
        </is>
      </c>
      <c r="E1272" s="11" t="inlineStr"/>
      <c r="F1272" s="11" t="n">
        <v>0</v>
      </c>
      <c r="G1272" s="11">
        <f>E1272-F1272</f>
        <v/>
      </c>
      <c r="H1272" s="11" t="n">
        <v/>
      </c>
      <c r="I1272" s="11" t="n">
        <v/>
      </c>
      <c r="J1272" s="11" t="n">
        <v/>
      </c>
      <c r="K1272" s="4" t="inlineStr">
        <is>
          <t>Abrechnungsart wählen; Stundensätze eingeben</t>
        </is>
      </c>
    </row>
    <row r="1273">
      <c r="A1273" s="4" t="inlineStr">
        <is>
          <t>5022.022 Fortschr-BSK-PA79-U5-West-München</t>
        </is>
      </c>
      <c r="B1273" s="4" t="inlineStr">
        <is>
          <t>● Dreidimensionales Modell Bahnhof Pasing (pauschal)</t>
        </is>
      </c>
      <c r="C1273" s="9" t="inlineStr">
        <is>
          <t>Unbekannt</t>
        </is>
      </c>
      <c r="D1273" s="10" t="inlineStr">
        <is>
          <t>⚠ Manual erforderlich</t>
        </is>
      </c>
      <c r="E1273" s="11" t="inlineStr"/>
      <c r="F1273" s="11" t="n">
        <v>0</v>
      </c>
      <c r="G1273" s="11">
        <f>E1273-F1273</f>
        <v/>
      </c>
      <c r="H1273" s="11" t="n">
        <v/>
      </c>
      <c r="I1273" s="11" t="n">
        <v/>
      </c>
      <c r="J1273" s="11" t="n">
        <v/>
      </c>
      <c r="K1273" s="4" t="inlineStr">
        <is>
          <t>Abrechnungsart wählen; Stundensätze eingeben</t>
        </is>
      </c>
    </row>
    <row r="1274">
      <c r="A1274" s="4" t="inlineStr">
        <is>
          <t>5022.022 Fortschr-BSK-PA79-U5-West-München</t>
        </is>
      </c>
      <c r="B1274" s="4" t="inlineStr">
        <is>
          <t>● Durchführen 3 Simulationsläufe (pauschal)</t>
        </is>
      </c>
      <c r="C1274" s="9" t="inlineStr">
        <is>
          <t>Unbekannt</t>
        </is>
      </c>
      <c r="D1274" s="10" t="inlineStr">
        <is>
          <t>⚠ Manual erforderlich</t>
        </is>
      </c>
      <c r="E1274" s="11" t="inlineStr"/>
      <c r="F1274" s="11" t="n">
        <v>0</v>
      </c>
      <c r="G1274" s="11">
        <f>E1274-F1274</f>
        <v/>
      </c>
      <c r="H1274" s="11" t="n">
        <v/>
      </c>
      <c r="I1274" s="11" t="n">
        <v/>
      </c>
      <c r="J1274" s="11" t="n">
        <v/>
      </c>
      <c r="K1274" s="4" t="inlineStr">
        <is>
          <t>Abrechnungsart wählen; Stundensätze eingeben</t>
        </is>
      </c>
    </row>
    <row r="1275">
      <c r="A1275" s="4" t="inlineStr">
        <is>
          <t>5022.022 Fortschr-BSK-PA79-U5-West-München</t>
        </is>
      </c>
      <c r="B1275" s="4" t="inlineStr">
        <is>
          <t>● Dokumentation der Simulation (pauschal)</t>
        </is>
      </c>
      <c r="C1275" s="9" t="inlineStr">
        <is>
          <t>Unbekannt</t>
        </is>
      </c>
      <c r="D1275" s="10" t="inlineStr">
        <is>
          <t>⚠ Manual erforderlich</t>
        </is>
      </c>
      <c r="E1275" s="11" t="inlineStr"/>
      <c r="F1275" s="11" t="n">
        <v>0</v>
      </c>
      <c r="G1275" s="11">
        <f>E1275-F1275</f>
        <v/>
      </c>
      <c r="H1275" s="11" t="n">
        <v/>
      </c>
      <c r="I1275" s="11" t="n">
        <v/>
      </c>
      <c r="J1275" s="11" t="n">
        <v/>
      </c>
      <c r="K1275" s="4" t="inlineStr">
        <is>
          <t>Abrechnungsart wählen; Stundensätze eingeben</t>
        </is>
      </c>
    </row>
    <row r="1276">
      <c r="A1276" s="4" t="inlineStr">
        <is>
          <t>5022.022 Fortschr-BSK-PA79-U5-West-München</t>
        </is>
      </c>
      <c r="B1276" s="4" t="inlineStr">
        <is>
          <t>● Erstellen konzeptuelle Brandfallsteuertabelle (pauschal)</t>
        </is>
      </c>
      <c r="C1276" s="9" t="inlineStr">
        <is>
          <t>Unbekannt</t>
        </is>
      </c>
      <c r="D1276" s="10" t="inlineStr">
        <is>
          <t>⚠ Manual erforderlich</t>
        </is>
      </c>
      <c r="E1276" s="11" t="inlineStr"/>
      <c r="F1276" s="11" t="n">
        <v>0</v>
      </c>
      <c r="G1276" s="11">
        <f>E1276-F1276</f>
        <v/>
      </c>
      <c r="H1276" s="11" t="n">
        <v/>
      </c>
      <c r="I1276" s="11" t="n">
        <v/>
      </c>
      <c r="J1276" s="11" t="n">
        <v/>
      </c>
      <c r="K1276" s="4" t="inlineStr">
        <is>
          <t>Abrechnungsart wählen; Stundensätze eingeben</t>
        </is>
      </c>
    </row>
    <row r="1277">
      <c r="A1277" s="4" t="inlineStr">
        <is>
          <t>5022.022 Fortschr-BSK-PA79-U5-West-München</t>
        </is>
      </c>
      <c r="B1277" s="4" t="inlineStr">
        <is>
          <t>● Fortschr. BSK Streckentunnel PA79 (pauschal)</t>
        </is>
      </c>
      <c r="C1277" s="9" t="inlineStr">
        <is>
          <t>Unbekannt</t>
        </is>
      </c>
      <c r="D1277" s="10" t="inlineStr">
        <is>
          <t>⚠ Manual erforderlich</t>
        </is>
      </c>
      <c r="E1277" s="11" t="inlineStr"/>
      <c r="F1277" s="11" t="n">
        <v>0</v>
      </c>
      <c r="G1277" s="11">
        <f>E1277-F1277</f>
        <v/>
      </c>
      <c r="H1277" s="11" t="n">
        <v/>
      </c>
      <c r="I1277" s="11" t="n">
        <v/>
      </c>
      <c r="J1277" s="11" t="n">
        <v/>
      </c>
      <c r="K1277" s="4" t="inlineStr">
        <is>
          <t>Abrechnungsart wählen; Stundensätze eingeben</t>
        </is>
      </c>
    </row>
    <row r="1278">
      <c r="A1278" s="4" t="inlineStr">
        <is>
          <t>5022.022 Fortschr-BSK-PA79-U5-West-München</t>
        </is>
      </c>
      <c r="B1278" s="4" t="inlineStr">
        <is>
          <t>● Abstimmung mit Beteiligten (auf Nachweis)</t>
        </is>
      </c>
      <c r="C1278" s="9" t="inlineStr">
        <is>
          <t>Unbekannt</t>
        </is>
      </c>
      <c r="D1278" s="10" t="inlineStr">
        <is>
          <t>⚠ Manual erforderlich</t>
        </is>
      </c>
      <c r="E1278" s="11" t="inlineStr"/>
      <c r="F1278" s="11" t="n">
        <v>0</v>
      </c>
      <c r="G1278" s="11">
        <f>E1278-F1278</f>
        <v/>
      </c>
      <c r="H1278" s="11" t="n">
        <v/>
      </c>
      <c r="I1278" s="11" t="n">
        <v/>
      </c>
      <c r="J1278" s="11" t="n">
        <v/>
      </c>
      <c r="K1278" s="4" t="inlineStr">
        <is>
          <t>Abrechnungsart wählen; Stundensätze eingeben</t>
        </is>
      </c>
    </row>
    <row r="1279">
      <c r="A1279" s="4" t="inlineStr">
        <is>
          <t>5022.022 Fortschr-BSK-PA79-U5-West-München</t>
        </is>
      </c>
      <c r="B1279" s="4" t="inlineStr">
        <is>
          <t>● Beratungsleistungen während Erstellung der Ausschreibung (auf Nachweis)</t>
        </is>
      </c>
      <c r="C1279" s="9" t="inlineStr">
        <is>
          <t>Unbekannt</t>
        </is>
      </c>
      <c r="D1279" s="10" t="inlineStr">
        <is>
          <t>⚠ Manual erforderlich</t>
        </is>
      </c>
      <c r="E1279" s="11" t="inlineStr"/>
      <c r="F1279" s="11" t="n">
        <v>0</v>
      </c>
      <c r="G1279" s="11">
        <f>E1279-F1279</f>
        <v/>
      </c>
      <c r="H1279" s="11" t="n">
        <v/>
      </c>
      <c r="I1279" s="11" t="n">
        <v/>
      </c>
      <c r="J1279" s="11" t="n">
        <v/>
      </c>
      <c r="K1279" s="4" t="inlineStr">
        <is>
          <t>Abrechnungsart wählen; Stundensätze eingeben</t>
        </is>
      </c>
    </row>
    <row r="1280">
      <c r="A1280" s="4" t="inlineStr">
        <is>
          <t>5022.022 Fortschr-BSK-PA79-U5-West-München</t>
        </is>
      </c>
      <c r="B1280" s="4" t="inlineStr">
        <is>
          <t>● 6 Simulationsläufe zusätzl. (pauschal)</t>
        </is>
      </c>
      <c r="C1280" s="9" t="inlineStr">
        <is>
          <t>Unbekannt</t>
        </is>
      </c>
      <c r="D1280" s="10" t="inlineStr">
        <is>
          <t>⚠ Manual erforderlich</t>
        </is>
      </c>
      <c r="E1280" s="11" t="inlineStr"/>
      <c r="F1280" s="11" t="n">
        <v>0</v>
      </c>
      <c r="G1280" s="11">
        <f>E1280-F1280</f>
        <v/>
      </c>
      <c r="H1280" s="11" t="n">
        <v/>
      </c>
      <c r="I1280" s="11" t="n">
        <v/>
      </c>
      <c r="J1280" s="11" t="n">
        <v/>
      </c>
      <c r="K1280" s="4" t="inlineStr">
        <is>
          <t>Abrechnungsart wählen; Stundensätze eingeben</t>
        </is>
      </c>
    </row>
    <row r="1281">
      <c r="A1281" s="4" t="inlineStr">
        <is>
          <t>5022.03 BTB-PA79-U5-Pasing-West-München</t>
        </is>
      </c>
      <c r="B1281" s="4" t="inlineStr">
        <is>
          <t>● (p) Pos.1-Anpassung Brandschutzkonzepte f. Station u. Streckentunnel</t>
        </is>
      </c>
      <c r="C1281" s="4" t="inlineStr">
        <is>
          <t>Pauschale</t>
        </is>
      </c>
      <c r="D1281" s="10" t="inlineStr">
        <is>
          <t>⚠ Manual erforderlich</t>
        </is>
      </c>
      <c r="E1281" s="11" t="inlineStr"/>
      <c r="F1281" s="11" t="n">
        <v>0</v>
      </c>
      <c r="G1281" s="11">
        <f>E1281-F1281</f>
        <v/>
      </c>
      <c r="H1281" s="11" t="n">
        <v>0</v>
      </c>
      <c r="I1281" s="11" t="n">
        <v>0</v>
      </c>
      <c r="J1281" s="11" t="n">
        <v>0</v>
      </c>
      <c r="K1281" s="4" t="inlineStr">
        <is>
          <t>Stundensätze eingeben</t>
        </is>
      </c>
    </row>
    <row r="1282">
      <c r="A1282" s="4" t="inlineStr">
        <is>
          <t>5022.03 BTB-PA79-U5-Pasing-West-München</t>
        </is>
      </c>
      <c r="B1282" s="4" t="inlineStr">
        <is>
          <t>● (a.N.) Pos.2-Brandschutztechn. Beratung</t>
        </is>
      </c>
      <c r="C1282" s="4" t="inlineStr">
        <is>
          <t>Nachweis</t>
        </is>
      </c>
      <c r="D1282" s="10" t="inlineStr">
        <is>
          <t>⚠ Manual erforderlich</t>
        </is>
      </c>
      <c r="E1282" s="11" t="inlineStr"/>
      <c r="F1282" s="11" t="n">
        <v>0</v>
      </c>
      <c r="G1282" s="11">
        <f>E1282-F1282</f>
        <v/>
      </c>
      <c r="H1282" s="11" t="n">
        <v/>
      </c>
      <c r="I1282" s="11" t="n">
        <v/>
      </c>
      <c r="J1282" s="11" t="n">
        <v/>
      </c>
      <c r="K1282" s="4" t="inlineStr">
        <is>
          <t>Stundensätze eingeben</t>
        </is>
      </c>
    </row>
    <row r="1283">
      <c r="A1283" s="4" t="inlineStr">
        <is>
          <t>5022.04 RGS-PA79-U5-Pasing-West-München</t>
        </is>
      </c>
      <c r="B1283" s="4" t="inlineStr">
        <is>
          <t>● (p) Pos.1 Durchführen von 4 Simulationsläufen</t>
        </is>
      </c>
      <c r="C1283" s="4" t="inlineStr">
        <is>
          <t>Pauschale</t>
        </is>
      </c>
      <c r="D1283" s="10" t="inlineStr">
        <is>
          <t>⚠ Manual erforderlich</t>
        </is>
      </c>
      <c r="E1283" s="11" t="inlineStr"/>
      <c r="F1283" s="11" t="n">
        <v>0</v>
      </c>
      <c r="G1283" s="11">
        <f>E1283-F1283</f>
        <v/>
      </c>
      <c r="H1283" s="11" t="n">
        <v>0</v>
      </c>
      <c r="I1283" s="11" t="n">
        <v>0</v>
      </c>
      <c r="J1283" s="11" t="n">
        <v>0</v>
      </c>
      <c r="K1283" s="4" t="inlineStr">
        <is>
          <t>Stundensätze eingeben</t>
        </is>
      </c>
    </row>
    <row r="1284">
      <c r="A1284" s="4" t="inlineStr">
        <is>
          <t>5022.04 RGS-PA79-U5-Pasing-West-München</t>
        </is>
      </c>
      <c r="B1284" s="4" t="inlineStr">
        <is>
          <t>● (p) Pos.2 Ergänzung d. vorhandenen Dokumentation um die 4 Simulationsläufe</t>
        </is>
      </c>
      <c r="C1284" s="4" t="inlineStr">
        <is>
          <t>Pauschale</t>
        </is>
      </c>
      <c r="D1284" s="10" t="inlineStr">
        <is>
          <t>⚠ Manual erforderlich</t>
        </is>
      </c>
      <c r="E1284" s="11" t="inlineStr"/>
      <c r="F1284" s="11" t="n">
        <v>0</v>
      </c>
      <c r="G1284" s="11">
        <f>E1284-F1284</f>
        <v/>
      </c>
      <c r="H1284" s="11" t="n">
        <v>0</v>
      </c>
      <c r="I1284" s="11" t="n">
        <v>0</v>
      </c>
      <c r="J1284" s="11" t="n">
        <v>0</v>
      </c>
      <c r="K1284" s="4" t="inlineStr">
        <is>
          <t>Stundensätze eingeben</t>
        </is>
      </c>
    </row>
    <row r="1285">
      <c r="A1285" s="4" t="inlineStr">
        <is>
          <t>5025.01 BSK-Hoehnerweg-2-4-Weinheim-Freudenberg</t>
        </is>
      </c>
      <c r="B1285" s="4" t="inlineStr">
        <is>
          <t>● Fahrtzeiten (auf Nachweis)</t>
        </is>
      </c>
      <c r="C1285" s="9" t="inlineStr">
        <is>
          <t>Unbekannt</t>
        </is>
      </c>
      <c r="D1285" s="10" t="inlineStr">
        <is>
          <t>⚠ Manual erforderlich</t>
        </is>
      </c>
      <c r="E1285" s="11" t="inlineStr"/>
      <c r="F1285" s="11" t="n">
        <v>0</v>
      </c>
      <c r="G1285" s="11">
        <f>E1285-F1285</f>
        <v/>
      </c>
      <c r="H1285" s="11" t="n">
        <v/>
      </c>
      <c r="I1285" s="11" t="n">
        <v/>
      </c>
      <c r="J1285" s="11" t="n">
        <v/>
      </c>
      <c r="K1285" s="4" t="inlineStr">
        <is>
          <t>Abrechnungsart wählen; Stundensätze eingeben</t>
        </is>
      </c>
    </row>
    <row r="1286">
      <c r="A1286" s="4" t="inlineStr">
        <is>
          <t>5025.01 BSK-Hoehnerweg-2-4-Weinheim-Freudenberg</t>
        </is>
      </c>
      <c r="B1286" s="4" t="inlineStr">
        <is>
          <t>● BSK Halle 304-308 (pauschal)</t>
        </is>
      </c>
      <c r="C1286" s="9" t="inlineStr">
        <is>
          <t>Unbekannt</t>
        </is>
      </c>
      <c r="D1286" s="10" t="inlineStr">
        <is>
          <t>⚠ Manual erforderlich</t>
        </is>
      </c>
      <c r="E1286" s="11" t="inlineStr"/>
      <c r="F1286" s="11" t="n">
        <v>0</v>
      </c>
      <c r="G1286" s="11">
        <f>E1286-F1286</f>
        <v/>
      </c>
      <c r="H1286" s="11" t="n">
        <v/>
      </c>
      <c r="I1286" s="11" t="n">
        <v/>
      </c>
      <c r="J1286" s="11" t="n">
        <v/>
      </c>
      <c r="K1286" s="4" t="inlineStr">
        <is>
          <t>Abrechnungsart wählen; Stundensätze eingeben</t>
        </is>
      </c>
    </row>
    <row r="1287">
      <c r="A1287" s="4" t="inlineStr">
        <is>
          <t>5025.01 BSK-Hoehnerweg-2-4-Weinheim-Freudenberg</t>
        </is>
      </c>
      <c r="B1287" s="4" t="inlineStr">
        <is>
          <t>● BSK Halle 309-313 (pauschal)</t>
        </is>
      </c>
      <c r="C1287" s="9" t="inlineStr">
        <is>
          <t>Unbekannt</t>
        </is>
      </c>
      <c r="D1287" s="10" t="inlineStr">
        <is>
          <t>⚠ Manual erforderlich</t>
        </is>
      </c>
      <c r="E1287" s="11" t="inlineStr"/>
      <c r="F1287" s="11" t="n">
        <v>0</v>
      </c>
      <c r="G1287" s="11">
        <f>E1287-F1287</f>
        <v/>
      </c>
      <c r="H1287" s="11" t="n">
        <v/>
      </c>
      <c r="I1287" s="11" t="n">
        <v/>
      </c>
      <c r="J1287" s="11" t="n">
        <v/>
      </c>
      <c r="K1287" s="4" t="inlineStr">
        <is>
          <t>Abrechnungsart wählen; Stundensätze eingeben</t>
        </is>
      </c>
    </row>
    <row r="1288">
      <c r="A1288" s="4" t="inlineStr">
        <is>
          <t>5027 ROB-MCR-Weilerbach-FW-Pläne-Stufe-1</t>
        </is>
      </c>
      <c r="B1288" s="4" t="inlineStr">
        <is>
          <t>● 2000-Vorplanung</t>
        </is>
      </c>
      <c r="C1288" s="9" t="inlineStr">
        <is>
          <t>Unbekannt</t>
        </is>
      </c>
      <c r="D1288" s="10" t="inlineStr">
        <is>
          <t>⚠ Manual erforderlich</t>
        </is>
      </c>
      <c r="E1288" s="11" t="inlineStr"/>
      <c r="F1288" s="11" t="n">
        <v>0</v>
      </c>
      <c r="G1288" s="11">
        <f>E1288-F1288</f>
        <v/>
      </c>
      <c r="H1288" s="11" t="n">
        <v/>
      </c>
      <c r="I1288" s="11" t="n">
        <v/>
      </c>
      <c r="J1288" s="11" t="n">
        <v/>
      </c>
      <c r="K1288" s="4" t="inlineStr">
        <is>
          <t>Abrechnungsart wählen; Stundensätze eingeben</t>
        </is>
      </c>
    </row>
    <row r="1289">
      <c r="A1289" s="4" t="inlineStr">
        <is>
          <t>5027 ROB-MCR-Weilerbach-FW-Pläne-Stufe-1</t>
        </is>
      </c>
      <c r="B1289" s="4" t="inlineStr">
        <is>
          <t>● 9000-Objektbetreuung und Dokumentation</t>
        </is>
      </c>
      <c r="C1289" s="9" t="inlineStr">
        <is>
          <t>Unbekannt</t>
        </is>
      </c>
      <c r="D1289" s="10" t="inlineStr">
        <is>
          <t>⚠ Manual erforderlich</t>
        </is>
      </c>
      <c r="E1289" s="11" t="inlineStr"/>
      <c r="F1289" s="11" t="n">
        <v>0</v>
      </c>
      <c r="G1289" s="11">
        <f>E1289-F1289</f>
        <v/>
      </c>
      <c r="H1289" s="11" t="n">
        <v/>
      </c>
      <c r="I1289" s="11" t="n">
        <v/>
      </c>
      <c r="J1289" s="11" t="n">
        <v/>
      </c>
      <c r="K1289" s="4" t="inlineStr">
        <is>
          <t>Abrechnungsart wählen; Stundensätze eingeben</t>
        </is>
      </c>
    </row>
    <row r="1290">
      <c r="A1290" s="4" t="inlineStr">
        <is>
          <t>5027.01 ROB-MCR-Weilerbach-FW-Pläne-Stufe-2</t>
        </is>
      </c>
      <c r="B1290" s="4" t="inlineStr">
        <is>
          <t>● 2000-Vorplanung</t>
        </is>
      </c>
      <c r="C1290" s="9" t="inlineStr">
        <is>
          <t>Unbekannt</t>
        </is>
      </c>
      <c r="D1290" s="10" t="inlineStr">
        <is>
          <t>⚠ Manual erforderlich</t>
        </is>
      </c>
      <c r="E1290" s="11" t="inlineStr"/>
      <c r="F1290" s="11" t="n">
        <v>0</v>
      </c>
      <c r="G1290" s="11">
        <f>E1290-F1290</f>
        <v/>
      </c>
      <c r="H1290" s="11" t="n">
        <v/>
      </c>
      <c r="I1290" s="11" t="n">
        <v/>
      </c>
      <c r="J1290" s="11" t="n">
        <v/>
      </c>
      <c r="K1290" s="4" t="inlineStr">
        <is>
          <t>Abrechnungsart wählen; Stundensätze eingeben</t>
        </is>
      </c>
    </row>
    <row r="1291">
      <c r="A1291" s="4" t="inlineStr">
        <is>
          <t>5027.01 ROB-MCR-Weilerbach-FW-Pläne-Stufe-2</t>
        </is>
      </c>
      <c r="B1291" s="4" t="inlineStr">
        <is>
          <t>● 9000-Objektbetreuung und Dokumentation</t>
        </is>
      </c>
      <c r="C1291" s="9" t="inlineStr">
        <is>
          <t>Unbekannt</t>
        </is>
      </c>
      <c r="D1291" s="10" t="inlineStr">
        <is>
          <t>⚠ Manual erforderlich</t>
        </is>
      </c>
      <c r="E1291" s="11" t="inlineStr"/>
      <c r="F1291" s="11" t="n">
        <v>0</v>
      </c>
      <c r="G1291" s="11">
        <f>E1291-F1291</f>
        <v/>
      </c>
      <c r="H1291" s="11" t="n">
        <v/>
      </c>
      <c r="I1291" s="11" t="n">
        <v/>
      </c>
      <c r="J1291" s="11" t="n">
        <v/>
      </c>
      <c r="K1291" s="4" t="inlineStr">
        <is>
          <t>Abrechnungsart wählen; Stundensätze eingeben</t>
        </is>
      </c>
    </row>
    <row r="1292">
      <c r="A1292" s="4" t="inlineStr">
        <is>
          <t>5028 Altes-Gerichtsgebäude-Gerichtsstraße-Wiesbaden-Altes-Gericht</t>
        </is>
      </c>
      <c r="B1292" s="4" t="inlineStr">
        <is>
          <t>● 0000-Aquise</t>
        </is>
      </c>
      <c r="C1292" s="9" t="inlineStr">
        <is>
          <t>Unbekannt</t>
        </is>
      </c>
      <c r="D1292" s="10" t="inlineStr">
        <is>
          <t>⚠ Manual erforderlich</t>
        </is>
      </c>
      <c r="E1292" s="11" t="inlineStr"/>
      <c r="F1292" s="11" t="n">
        <v>0</v>
      </c>
      <c r="G1292" s="11">
        <f>E1292-F1292</f>
        <v/>
      </c>
      <c r="H1292" s="11" t="n">
        <v/>
      </c>
      <c r="I1292" s="11" t="n">
        <v/>
      </c>
      <c r="J1292" s="11" t="n">
        <v/>
      </c>
      <c r="K1292" s="4" t="inlineStr">
        <is>
          <t>Abrechnungsart wählen; Stundensätze eingeben</t>
        </is>
      </c>
    </row>
    <row r="1293">
      <c r="A1293" s="4" t="inlineStr">
        <is>
          <t>5028 Altes-Gerichtsgebäude-Gerichtsstraße-Wiesbaden-Altes-Gericht</t>
        </is>
      </c>
      <c r="B1293" s="4" t="inlineStr">
        <is>
          <t>● 1000-Grundlagenermittlung</t>
        </is>
      </c>
      <c r="C1293" s="9" t="inlineStr">
        <is>
          <t>Unbekannt</t>
        </is>
      </c>
      <c r="D1293" s="10" t="inlineStr">
        <is>
          <t>⚠ Manual erforderlich</t>
        </is>
      </c>
      <c r="E1293" s="11" t="inlineStr"/>
      <c r="F1293" s="11" t="n">
        <v>0</v>
      </c>
      <c r="G1293" s="11">
        <f>E1293-F1293</f>
        <v/>
      </c>
      <c r="H1293" s="11" t="n">
        <v/>
      </c>
      <c r="I1293" s="11" t="n">
        <v/>
      </c>
      <c r="J1293" s="11" t="n">
        <v/>
      </c>
      <c r="K1293" s="4" t="inlineStr">
        <is>
          <t>Abrechnungsart wählen; Stundensätze eingeben</t>
        </is>
      </c>
    </row>
    <row r="1294">
      <c r="A1294" s="4" t="inlineStr">
        <is>
          <t>5028 Altes-Gerichtsgebäude-Gerichtsstraße-Wiesbaden-Altes-Gericht</t>
        </is>
      </c>
      <c r="B1294" s="4" t="inlineStr">
        <is>
          <t>● 2000-Vorplanung</t>
        </is>
      </c>
      <c r="C1294" s="9" t="inlineStr">
        <is>
          <t>Unbekannt</t>
        </is>
      </c>
      <c r="D1294" s="10" t="inlineStr">
        <is>
          <t>⚠ Manual erforderlich</t>
        </is>
      </c>
      <c r="E1294" s="11" t="inlineStr"/>
      <c r="F1294" s="11" t="n">
        <v>0</v>
      </c>
      <c r="G1294" s="11">
        <f>E1294-F1294</f>
        <v/>
      </c>
      <c r="H1294" s="11" t="n">
        <v/>
      </c>
      <c r="I1294" s="11" t="n">
        <v/>
      </c>
      <c r="J1294" s="11" t="n">
        <v/>
      </c>
      <c r="K1294" s="4" t="inlineStr">
        <is>
          <t>Abrechnungsart wählen; Stundensätze eingeben</t>
        </is>
      </c>
    </row>
    <row r="1295">
      <c r="A1295" s="4" t="inlineStr">
        <is>
          <t>5028 Altes-Gerichtsgebäude-Gerichtsstraße-Wiesbaden-Altes-Gericht</t>
        </is>
      </c>
      <c r="B1295" s="4" t="inlineStr">
        <is>
          <t>● 3000-Entwurfsplanung</t>
        </is>
      </c>
      <c r="C1295" s="9" t="inlineStr">
        <is>
          <t>Unbekannt</t>
        </is>
      </c>
      <c r="D1295" s="10" t="inlineStr">
        <is>
          <t>⚠ Manual erforderlich</t>
        </is>
      </c>
      <c r="E1295" s="11" t="inlineStr"/>
      <c r="F1295" s="11" t="n">
        <v>0</v>
      </c>
      <c r="G1295" s="11">
        <f>E1295-F1295</f>
        <v/>
      </c>
      <c r="H1295" s="11" t="n">
        <v/>
      </c>
      <c r="I1295" s="11" t="n">
        <v/>
      </c>
      <c r="J1295" s="11" t="n">
        <v/>
      </c>
      <c r="K1295" s="4" t="inlineStr">
        <is>
          <t>Abrechnungsart wählen; Stundensätze eingeben</t>
        </is>
      </c>
    </row>
    <row r="1296">
      <c r="A1296" s="4" t="inlineStr">
        <is>
          <t>5028 Altes-Gerichtsgebäude-Gerichtsstraße-Wiesbaden-Altes-Gericht</t>
        </is>
      </c>
      <c r="B1296" s="4" t="inlineStr">
        <is>
          <t>● 4000-Genehmigungsplanung</t>
        </is>
      </c>
      <c r="C1296" s="9" t="inlineStr">
        <is>
          <t>Unbekannt</t>
        </is>
      </c>
      <c r="D1296" s="10" t="inlineStr">
        <is>
          <t>⚠ Manual erforderlich</t>
        </is>
      </c>
      <c r="E1296" s="11" t="inlineStr"/>
      <c r="F1296" s="11" t="n">
        <v>0</v>
      </c>
      <c r="G1296" s="11">
        <f>E1296-F1296</f>
        <v/>
      </c>
      <c r="H1296" s="11" t="n">
        <v/>
      </c>
      <c r="I1296" s="11" t="n">
        <v/>
      </c>
      <c r="J1296" s="11" t="n">
        <v/>
      </c>
      <c r="K1296" s="4" t="inlineStr">
        <is>
          <t>Abrechnungsart wählen; Stundensätze eingeben</t>
        </is>
      </c>
    </row>
    <row r="1297">
      <c r="A1297" s="4" t="inlineStr">
        <is>
          <t>5028 Altes-Gerichtsgebäude-Gerichtsstraße-Wiesbaden-Altes-Gericht</t>
        </is>
      </c>
      <c r="B1297" s="4" t="inlineStr">
        <is>
          <t>● 5000-Ausführungsplanung</t>
        </is>
      </c>
      <c r="C1297" s="9" t="inlineStr">
        <is>
          <t>Unbekannt</t>
        </is>
      </c>
      <c r="D1297" s="10" t="inlineStr">
        <is>
          <t>⚠ Manual erforderlich</t>
        </is>
      </c>
      <c r="E1297" s="11" t="inlineStr"/>
      <c r="F1297" s="11" t="n">
        <v>0</v>
      </c>
      <c r="G1297" s="11">
        <f>E1297-F1297</f>
        <v/>
      </c>
      <c r="H1297" s="11" t="n">
        <v/>
      </c>
      <c r="I1297" s="11" t="n">
        <v/>
      </c>
      <c r="J1297" s="11" t="n">
        <v/>
      </c>
      <c r="K1297" s="4" t="inlineStr">
        <is>
          <t>Abrechnungsart wählen; Stundensätze eingeben</t>
        </is>
      </c>
    </row>
    <row r="1298">
      <c r="A1298" s="4" t="inlineStr">
        <is>
          <t>5028 Altes-Gerichtsgebäude-Gerichtsstraße-Wiesbaden-Altes-Gericht</t>
        </is>
      </c>
      <c r="B1298" s="4" t="inlineStr">
        <is>
          <t>● 8000-Objektüberwachung</t>
        </is>
      </c>
      <c r="C1298" s="9" t="inlineStr">
        <is>
          <t>Unbekannt</t>
        </is>
      </c>
      <c r="D1298" s="10" t="inlineStr">
        <is>
          <t>⚠ Manual erforderlich</t>
        </is>
      </c>
      <c r="E1298" s="11" t="inlineStr"/>
      <c r="F1298" s="11" t="n">
        <v>0</v>
      </c>
      <c r="G1298" s="11">
        <f>E1298-F1298</f>
        <v/>
      </c>
      <c r="H1298" s="11" t="n">
        <v/>
      </c>
      <c r="I1298" s="11" t="n">
        <v/>
      </c>
      <c r="J1298" s="11" t="n">
        <v/>
      </c>
      <c r="K1298" s="4" t="inlineStr">
        <is>
          <t>Abrechnungsart wählen; Stundensätze eingeben</t>
        </is>
      </c>
    </row>
    <row r="1299">
      <c r="A1299" s="4" t="inlineStr">
        <is>
          <t>5028 Altes-Gerichtsgebäude-Gerichtsstraße-Wiesbaden-Altes-Gericht</t>
        </is>
      </c>
      <c r="B1299" s="4" t="inlineStr">
        <is>
          <t>● 9000-Objektbetreuung und Dokumentation</t>
        </is>
      </c>
      <c r="C1299" s="9" t="inlineStr">
        <is>
          <t>Unbekannt</t>
        </is>
      </c>
      <c r="D1299" s="10" t="inlineStr">
        <is>
          <t>⚠ Manual erforderlich</t>
        </is>
      </c>
      <c r="E1299" s="11" t="inlineStr"/>
      <c r="F1299" s="11" t="n">
        <v>0</v>
      </c>
      <c r="G1299" s="11">
        <f>E1299-F1299</f>
        <v/>
      </c>
      <c r="H1299" s="11" t="n">
        <v/>
      </c>
      <c r="I1299" s="11" t="n">
        <v/>
      </c>
      <c r="J1299" s="11" t="n">
        <v/>
      </c>
      <c r="K1299" s="4" t="inlineStr">
        <is>
          <t>Abrechnungsart wählen; Stundensätze eingeben</t>
        </is>
      </c>
    </row>
    <row r="1300">
      <c r="A1300" s="4" t="inlineStr">
        <is>
          <t>5028.02 BSK-Altes-Gerichtsgebäude-Gerichtsstraße-Wiesbaden-Altes-Gericht</t>
        </is>
      </c>
      <c r="B1300" s="4" t="inlineStr">
        <is>
          <t>● (p) Anpassung des bestehenden Brandschutzkonzeptes</t>
        </is>
      </c>
      <c r="C1300" s="4" t="inlineStr">
        <is>
          <t>Pauschale</t>
        </is>
      </c>
      <c r="D1300" s="10" t="inlineStr">
        <is>
          <t>⚠ Manual erforderlich</t>
        </is>
      </c>
      <c r="E1300" s="11" t="inlineStr"/>
      <c r="F1300" s="11" t="n">
        <v>0</v>
      </c>
      <c r="G1300" s="11">
        <f>E1300-F1300</f>
        <v/>
      </c>
      <c r="H1300" s="11" t="n">
        <v>0</v>
      </c>
      <c r="I1300" s="11" t="n">
        <v>0</v>
      </c>
      <c r="J1300" s="11" t="n">
        <v>0</v>
      </c>
      <c r="K1300" s="4" t="inlineStr">
        <is>
          <t>Stundensätze eingeben</t>
        </is>
      </c>
    </row>
    <row r="1301">
      <c r="A1301" s="4" t="inlineStr">
        <is>
          <t>5028.02 BSK-Altes-Gerichtsgebäude-Gerichtsstraße-Wiesbaden-Altes-Gericht</t>
        </is>
      </c>
      <c r="B1301" s="4" t="inlineStr">
        <is>
          <t>● (p) Flucht- und Rettungspläne</t>
        </is>
      </c>
      <c r="C1301" s="4" t="inlineStr">
        <is>
          <t>Pauschale</t>
        </is>
      </c>
      <c r="D1301" s="10" t="inlineStr">
        <is>
          <t>⚠ Manual erforderlich</t>
        </is>
      </c>
      <c r="E1301" s="11" t="inlineStr"/>
      <c r="F1301" s="11" t="n">
        <v>0</v>
      </c>
      <c r="G1301" s="11">
        <f>E1301-F1301</f>
        <v/>
      </c>
      <c r="H1301" s="11" t="n">
        <v>0</v>
      </c>
      <c r="I1301" s="11" t="n">
        <v>0</v>
      </c>
      <c r="J1301" s="11" t="n">
        <v>0</v>
      </c>
      <c r="K1301" s="4" t="inlineStr">
        <is>
          <t>Stundensätze eingeben</t>
        </is>
      </c>
    </row>
    <row r="1302">
      <c r="A1302" s="4" t="inlineStr">
        <is>
          <t>5028.02 BSK-Altes-Gerichtsgebäude-Gerichtsstraße-Wiesbaden-Altes-Gericht</t>
        </is>
      </c>
      <c r="B1302" s="4" t="inlineStr">
        <is>
          <t>● (p) Feuerwehrpläne</t>
        </is>
      </c>
      <c r="C1302" s="4" t="inlineStr">
        <is>
          <t>Pauschale</t>
        </is>
      </c>
      <c r="D1302" s="10" t="inlineStr">
        <is>
          <t>⚠ Manual erforderlich</t>
        </is>
      </c>
      <c r="E1302" s="11" t="inlineStr"/>
      <c r="F1302" s="11" t="n">
        <v>0</v>
      </c>
      <c r="G1302" s="11">
        <f>E1302-F1302</f>
        <v/>
      </c>
      <c r="H1302" s="11" t="n">
        <v>0</v>
      </c>
      <c r="I1302" s="11" t="n">
        <v>0</v>
      </c>
      <c r="J1302" s="11" t="n">
        <v>0</v>
      </c>
      <c r="K1302" s="4" t="inlineStr">
        <is>
          <t>Stundensätze eingeben</t>
        </is>
      </c>
    </row>
    <row r="1303">
      <c r="A1303" s="4" t="inlineStr">
        <is>
          <t>5029.05 BTB-Oranienstraße-32-Wiesbaden-Wallboxen</t>
        </is>
      </c>
      <c r="B1303" s="4" t="inlineStr">
        <is>
          <t>● (aN) Pos.1 BTB zu8 Installation von 10 Wallboxen</t>
        </is>
      </c>
      <c r="C1303" s="4" t="inlineStr">
        <is>
          <t>Nachweis</t>
        </is>
      </c>
      <c r="D1303" s="10" t="inlineStr">
        <is>
          <t>⚠ Manual erforderlich</t>
        </is>
      </c>
      <c r="E1303" s="11" t="inlineStr"/>
      <c r="F1303" s="11" t="n">
        <v>0</v>
      </c>
      <c r="G1303" s="11">
        <f>E1303-F1303</f>
        <v/>
      </c>
      <c r="H1303" s="11" t="n">
        <v/>
      </c>
      <c r="I1303" s="11" t="n">
        <v/>
      </c>
      <c r="J1303" s="11" t="n">
        <v/>
      </c>
      <c r="K1303" s="4" t="inlineStr">
        <is>
          <t>Stundensätze eingeben</t>
        </is>
      </c>
    </row>
    <row r="1304">
      <c r="A1304" s="4" t="inlineStr">
        <is>
          <t>5036.03 BSK-Bleichstraße-52-Frankfurt-Souterrain</t>
        </is>
      </c>
      <c r="B1304" s="4" t="inlineStr">
        <is>
          <t>● (p) Pos. 1 Erst. BSK -  Nutzungsänderung Souterrain v. Restaurant+Küche zu Fitness+Wellnesscenter</t>
        </is>
      </c>
      <c r="C1304" s="4" t="inlineStr">
        <is>
          <t>Pauschale</t>
        </is>
      </c>
      <c r="D1304" s="10" t="inlineStr">
        <is>
          <t>⚠ Manual erforderlich</t>
        </is>
      </c>
      <c r="E1304" s="11" t="inlineStr"/>
      <c r="F1304" s="11" t="n">
        <v>0</v>
      </c>
      <c r="G1304" s="11">
        <f>E1304-F1304</f>
        <v/>
      </c>
      <c r="H1304" s="11" t="n">
        <v>0</v>
      </c>
      <c r="I1304" s="11" t="n">
        <v>0</v>
      </c>
      <c r="J1304" s="11" t="n">
        <v>0</v>
      </c>
      <c r="K1304" s="4" t="inlineStr">
        <is>
          <t>Stundensätze eingeben</t>
        </is>
      </c>
    </row>
    <row r="1305">
      <c r="A1305" s="4" t="inlineStr">
        <is>
          <t>5036.03 BSK-Bleichstraße-52-Frankfurt-Souterrain</t>
        </is>
      </c>
      <c r="B1305" s="4" t="inlineStr">
        <is>
          <t>● (aN) Baubegl. Brandschutzberatung+Qualitätsüberwachung</t>
        </is>
      </c>
      <c r="C1305" s="4" t="inlineStr">
        <is>
          <t>Nachweis</t>
        </is>
      </c>
      <c r="D1305" s="10" t="inlineStr">
        <is>
          <t>⚠ Manual erforderlich</t>
        </is>
      </c>
      <c r="E1305" s="11" t="inlineStr"/>
      <c r="F1305" s="11" t="n">
        <v>0</v>
      </c>
      <c r="G1305" s="11">
        <f>E1305-F1305</f>
        <v/>
      </c>
      <c r="H1305" s="11" t="n">
        <v/>
      </c>
      <c r="I1305" s="11" t="n">
        <v/>
      </c>
      <c r="J1305" s="11" t="n">
        <v/>
      </c>
      <c r="K1305" s="4" t="inlineStr">
        <is>
          <t>Stundensätze eingeben</t>
        </is>
      </c>
    </row>
    <row r="1306">
      <c r="A1306" s="4" t="inlineStr">
        <is>
          <t>5036.03 BSK-Bleichstraße-52-Frankfurt-Souterrain</t>
        </is>
      </c>
      <c r="B1306" s="4" t="inlineStr">
        <is>
          <t>● (p) Pos.2 Überarbeitung des BSK zur BM im Souterrain (ANG v. 2025-02-28)</t>
        </is>
      </c>
      <c r="C1306" s="4" t="inlineStr">
        <is>
          <t>Pauschale</t>
        </is>
      </c>
      <c r="D1306" s="10" t="inlineStr">
        <is>
          <t>⚠ Manual erforderlich</t>
        </is>
      </c>
      <c r="E1306" s="11" t="inlineStr"/>
      <c r="F1306" s="11" t="n">
        <v>0</v>
      </c>
      <c r="G1306" s="11">
        <f>E1306-F1306</f>
        <v/>
      </c>
      <c r="H1306" s="11" t="n">
        <v>0</v>
      </c>
      <c r="I1306" s="11" t="n">
        <v>0</v>
      </c>
      <c r="J1306" s="11" t="n">
        <v>0</v>
      </c>
      <c r="K1306" s="4" t="inlineStr">
        <is>
          <t>Stundensätze eingeben</t>
        </is>
      </c>
    </row>
    <row r="1307">
      <c r="A1307" s="4" t="inlineStr">
        <is>
          <t>5036.04 BTB-Bleichstraße-52-Frankfurt</t>
        </is>
      </c>
      <c r="B1307" s="4" t="inlineStr">
        <is>
          <t>● (aN) Pos.1 Brandschutzberatung +Qualitätsüberwachung für den Abschluss der BM aus 2009</t>
        </is>
      </c>
      <c r="C1307" s="4" t="inlineStr">
        <is>
          <t>Nachweis</t>
        </is>
      </c>
      <c r="D1307" s="10" t="inlineStr">
        <is>
          <t>⚠ Manual erforderlich</t>
        </is>
      </c>
      <c r="E1307" s="11" t="inlineStr"/>
      <c r="F1307" s="11" t="n">
        <v>0</v>
      </c>
      <c r="G1307" s="11">
        <f>E1307-F1307</f>
        <v/>
      </c>
      <c r="H1307" s="11" t="n">
        <v/>
      </c>
      <c r="I1307" s="11" t="n">
        <v/>
      </c>
      <c r="J1307" s="11" t="n">
        <v/>
      </c>
      <c r="K1307" s="4" t="inlineStr">
        <is>
          <t>Stundensätze eingeben</t>
        </is>
      </c>
    </row>
    <row r="1308">
      <c r="A1308" s="4" t="inlineStr">
        <is>
          <t>5039 Städtische-Bühnen-Köln-FLA</t>
        </is>
      </c>
      <c r="B1308" s="4" t="inlineStr">
        <is>
          <t>● (aN) 2000-Vorplanung</t>
        </is>
      </c>
      <c r="C1308" s="4" t="inlineStr">
        <is>
          <t>Nachweis</t>
        </is>
      </c>
      <c r="D1308" s="10" t="inlineStr">
        <is>
          <t>⚠ Manual erforderlich</t>
        </is>
      </c>
      <c r="E1308" s="11" t="inlineStr"/>
      <c r="F1308" s="11" t="n">
        <v>0</v>
      </c>
      <c r="G1308" s="11">
        <f>E1308-F1308</f>
        <v/>
      </c>
      <c r="H1308" s="11" t="n">
        <v/>
      </c>
      <c r="I1308" s="11" t="n">
        <v/>
      </c>
      <c r="J1308" s="11" t="n">
        <v/>
      </c>
      <c r="K1308" s="4" t="inlineStr">
        <is>
          <t>Stundensätze eingeben</t>
        </is>
      </c>
    </row>
    <row r="1309">
      <c r="A1309" s="4" t="inlineStr">
        <is>
          <t>5039 Städtische-Bühnen-Köln-FLA</t>
        </is>
      </c>
      <c r="B1309" s="4" t="inlineStr">
        <is>
          <t>● (aN) 3000-Entwurfsplanung</t>
        </is>
      </c>
      <c r="C1309" s="4" t="inlineStr">
        <is>
          <t>Nachweis</t>
        </is>
      </c>
      <c r="D1309" s="10" t="inlineStr">
        <is>
          <t>⚠ Manual erforderlich</t>
        </is>
      </c>
      <c r="E1309" s="11" t="inlineStr"/>
      <c r="F1309" s="11" t="n">
        <v>0</v>
      </c>
      <c r="G1309" s="11">
        <f>E1309-F1309</f>
        <v/>
      </c>
      <c r="H1309" s="11" t="n">
        <v/>
      </c>
      <c r="I1309" s="11" t="n">
        <v/>
      </c>
      <c r="J1309" s="11" t="n">
        <v/>
      </c>
      <c r="K1309" s="4" t="inlineStr">
        <is>
          <t>Stundensätze eingeben</t>
        </is>
      </c>
    </row>
    <row r="1310">
      <c r="A1310" s="4" t="inlineStr">
        <is>
          <t>5039 Städtische-Bühnen-Köln-FLA</t>
        </is>
      </c>
      <c r="B1310" s="4" t="inlineStr">
        <is>
          <t>● (aN) 4000-Genehmigungsplanung</t>
        </is>
      </c>
      <c r="C1310" s="4" t="inlineStr">
        <is>
          <t>Nachweis</t>
        </is>
      </c>
      <c r="D1310" s="10" t="inlineStr">
        <is>
          <t>⚠ Manual erforderlich</t>
        </is>
      </c>
      <c r="E1310" s="11" t="inlineStr"/>
      <c r="F1310" s="11" t="n">
        <v>0</v>
      </c>
      <c r="G1310" s="11">
        <f>E1310-F1310</f>
        <v/>
      </c>
      <c r="H1310" s="11" t="n">
        <v/>
      </c>
      <c r="I1310" s="11" t="n">
        <v/>
      </c>
      <c r="J1310" s="11" t="n">
        <v/>
      </c>
      <c r="K1310" s="4" t="inlineStr">
        <is>
          <t>Stundensätze eingeben</t>
        </is>
      </c>
    </row>
    <row r="1311">
      <c r="A1311" s="4" t="inlineStr">
        <is>
          <t>5039 Städtische-Bühnen-Köln-FLA</t>
        </is>
      </c>
      <c r="B1311" s="4" t="inlineStr">
        <is>
          <t>● (aN) 5000-Ausführungsplanung</t>
        </is>
      </c>
      <c r="C1311" s="4" t="inlineStr">
        <is>
          <t>Nachweis</t>
        </is>
      </c>
      <c r="D1311" s="10" t="inlineStr">
        <is>
          <t>⚠ Manual erforderlich</t>
        </is>
      </c>
      <c r="E1311" s="11" t="inlineStr"/>
      <c r="F1311" s="11" t="n">
        <v>0</v>
      </c>
      <c r="G1311" s="11">
        <f>E1311-F1311</f>
        <v/>
      </c>
      <c r="H1311" s="11" t="n">
        <v/>
      </c>
      <c r="I1311" s="11" t="n">
        <v/>
      </c>
      <c r="J1311" s="11" t="n">
        <v/>
      </c>
      <c r="K1311" s="4" t="inlineStr">
        <is>
          <t>Stundensätze eingeben</t>
        </is>
      </c>
    </row>
    <row r="1312">
      <c r="A1312" s="4" t="inlineStr">
        <is>
          <t>5039 Städtische-Bühnen-Köln-FLA</t>
        </is>
      </c>
      <c r="B1312" s="4" t="inlineStr">
        <is>
          <t>● (aN) 6000-Vorbereiten der Vergabe</t>
        </is>
      </c>
      <c r="C1312" s="4" t="inlineStr">
        <is>
          <t>Nachweis</t>
        </is>
      </c>
      <c r="D1312" s="10" t="inlineStr">
        <is>
          <t>⚠ Manual erforderlich</t>
        </is>
      </c>
      <c r="E1312" s="11" t="inlineStr"/>
      <c r="F1312" s="11" t="n">
        <v>0</v>
      </c>
      <c r="G1312" s="11">
        <f>E1312-F1312</f>
        <v/>
      </c>
      <c r="H1312" s="11" t="n">
        <v/>
      </c>
      <c r="I1312" s="11" t="n">
        <v/>
      </c>
      <c r="J1312" s="11" t="n">
        <v/>
      </c>
      <c r="K1312" s="4" t="inlineStr">
        <is>
          <t>Stundensätze eingeben</t>
        </is>
      </c>
    </row>
    <row r="1313">
      <c r="A1313" s="4" t="inlineStr">
        <is>
          <t>5039 Städtische-Bühnen-Köln-FLA</t>
        </is>
      </c>
      <c r="B1313" s="4" t="inlineStr">
        <is>
          <t>● (aN) 7000-Mitwirkung bei der Vergabe</t>
        </is>
      </c>
      <c r="C1313" s="4" t="inlineStr">
        <is>
          <t>Nachweis</t>
        </is>
      </c>
      <c r="D1313" s="10" t="inlineStr">
        <is>
          <t>⚠ Manual erforderlich</t>
        </is>
      </c>
      <c r="E1313" s="11" t="inlineStr"/>
      <c r="F1313" s="11" t="n">
        <v>0</v>
      </c>
      <c r="G1313" s="11">
        <f>E1313-F1313</f>
        <v/>
      </c>
      <c r="H1313" s="11" t="n">
        <v/>
      </c>
      <c r="I1313" s="11" t="n">
        <v/>
      </c>
      <c r="J1313" s="11" t="n">
        <v/>
      </c>
      <c r="K1313" s="4" t="inlineStr">
        <is>
          <t>Stundensätze eingeben</t>
        </is>
      </c>
    </row>
    <row r="1314">
      <c r="A1314" s="4" t="inlineStr">
        <is>
          <t>5045 Hohenstaufengymnasium-Göppingen</t>
        </is>
      </c>
      <c r="B1314" s="4" t="inlineStr">
        <is>
          <t>● 1000-Grundlagenermittlung</t>
        </is>
      </c>
      <c r="C1314" s="9" t="inlineStr">
        <is>
          <t>Unbekannt</t>
        </is>
      </c>
      <c r="D1314" s="10" t="inlineStr">
        <is>
          <t>⚠ Manual erforderlich</t>
        </is>
      </c>
      <c r="E1314" s="11" t="inlineStr"/>
      <c r="F1314" s="11" t="n">
        <v>0</v>
      </c>
      <c r="G1314" s="11">
        <f>E1314-F1314</f>
        <v/>
      </c>
      <c r="H1314" s="11" t="n">
        <v/>
      </c>
      <c r="I1314" s="11" t="n">
        <v/>
      </c>
      <c r="J1314" s="11" t="n">
        <v/>
      </c>
      <c r="K1314" s="4" t="inlineStr">
        <is>
          <t>Abrechnungsart wählen; Stundensätze eingeben</t>
        </is>
      </c>
    </row>
    <row r="1315">
      <c r="A1315" s="4" t="inlineStr">
        <is>
          <t>5045 Hohenstaufengymnasium-Göppingen</t>
        </is>
      </c>
      <c r="B1315" s="4" t="inlineStr">
        <is>
          <t>● 2000-Vorplanung</t>
        </is>
      </c>
      <c r="C1315" s="9" t="inlineStr">
        <is>
          <t>Unbekannt</t>
        </is>
      </c>
      <c r="D1315" s="10" t="inlineStr">
        <is>
          <t>⚠ Manual erforderlich</t>
        </is>
      </c>
      <c r="E1315" s="11" t="inlineStr"/>
      <c r="F1315" s="11" t="n">
        <v>0</v>
      </c>
      <c r="G1315" s="11">
        <f>E1315-F1315</f>
        <v/>
      </c>
      <c r="H1315" s="11" t="n">
        <v/>
      </c>
      <c r="I1315" s="11" t="n">
        <v/>
      </c>
      <c r="J1315" s="11" t="n">
        <v/>
      </c>
      <c r="K1315" s="4" t="inlineStr">
        <is>
          <t>Abrechnungsart wählen; Stundensätze eingeben</t>
        </is>
      </c>
    </row>
    <row r="1316">
      <c r="A1316" s="4" t="inlineStr">
        <is>
          <t>5045 Hohenstaufengymnasium-Göppingen</t>
        </is>
      </c>
      <c r="B1316" s="4" t="inlineStr">
        <is>
          <t>● 3000-Entwurfsplanung</t>
        </is>
      </c>
      <c r="C1316" s="9" t="inlineStr">
        <is>
          <t>Unbekannt</t>
        </is>
      </c>
      <c r="D1316" s="10" t="inlineStr">
        <is>
          <t>⚠ Manual erforderlich</t>
        </is>
      </c>
      <c r="E1316" s="11" t="inlineStr"/>
      <c r="F1316" s="11" t="n">
        <v>0</v>
      </c>
      <c r="G1316" s="11">
        <f>E1316-F1316</f>
        <v/>
      </c>
      <c r="H1316" s="11" t="n">
        <v/>
      </c>
      <c r="I1316" s="11" t="n">
        <v/>
      </c>
      <c r="J1316" s="11" t="n">
        <v/>
      </c>
      <c r="K1316" s="4" t="inlineStr">
        <is>
          <t>Abrechnungsart wählen; Stundensätze eingeben</t>
        </is>
      </c>
    </row>
    <row r="1317">
      <c r="A1317" s="4" t="inlineStr">
        <is>
          <t>5045 Hohenstaufengymnasium-Göppingen</t>
        </is>
      </c>
      <c r="B1317" s="4" t="inlineStr">
        <is>
          <t>● 4000-Genehmigungsplanung</t>
        </is>
      </c>
      <c r="C1317" s="9" t="inlineStr">
        <is>
          <t>Unbekannt</t>
        </is>
      </c>
      <c r="D1317" s="10" t="inlineStr">
        <is>
          <t>⚠ Manual erforderlich</t>
        </is>
      </c>
      <c r="E1317" s="11" t="inlineStr"/>
      <c r="F1317" s="11" t="n">
        <v>0</v>
      </c>
      <c r="G1317" s="11">
        <f>E1317-F1317</f>
        <v/>
      </c>
      <c r="H1317" s="11" t="n">
        <v/>
      </c>
      <c r="I1317" s="11" t="n">
        <v/>
      </c>
      <c r="J1317" s="11" t="n">
        <v/>
      </c>
      <c r="K1317" s="4" t="inlineStr">
        <is>
          <t>Abrechnungsart wählen; Stundensätze eingeben</t>
        </is>
      </c>
    </row>
    <row r="1318">
      <c r="A1318" s="4" t="inlineStr">
        <is>
          <t>5045 Hohenstaufengymnasium-Göppingen</t>
        </is>
      </c>
      <c r="B1318" s="4" t="inlineStr">
        <is>
          <t>● 5000-Ausführungsplanung</t>
        </is>
      </c>
      <c r="C1318" s="9" t="inlineStr">
        <is>
          <t>Unbekannt</t>
        </is>
      </c>
      <c r="D1318" s="10" t="inlineStr">
        <is>
          <t>⚠ Manual erforderlich</t>
        </is>
      </c>
      <c r="E1318" s="11" t="inlineStr"/>
      <c r="F1318" s="11" t="n">
        <v>0</v>
      </c>
      <c r="G1318" s="11">
        <f>E1318-F1318</f>
        <v/>
      </c>
      <c r="H1318" s="11" t="n">
        <v/>
      </c>
      <c r="I1318" s="11" t="n">
        <v/>
      </c>
      <c r="J1318" s="11" t="n">
        <v/>
      </c>
      <c r="K1318" s="4" t="inlineStr">
        <is>
          <t>Abrechnungsart wählen; Stundensätze eingeben</t>
        </is>
      </c>
    </row>
    <row r="1319">
      <c r="A1319" s="4" t="inlineStr">
        <is>
          <t>5045 Hohenstaufengymnasium-Göppingen</t>
        </is>
      </c>
      <c r="B1319" s="4" t="inlineStr">
        <is>
          <t>● 8000-Objektüberwachung</t>
        </is>
      </c>
      <c r="C1319" s="9" t="inlineStr">
        <is>
          <t>Unbekannt</t>
        </is>
      </c>
      <c r="D1319" s="10" t="inlineStr">
        <is>
          <t>⚠ Manual erforderlich</t>
        </is>
      </c>
      <c r="E1319" s="11" t="inlineStr"/>
      <c r="F1319" s="11" t="n">
        <v>0</v>
      </c>
      <c r="G1319" s="11">
        <f>E1319-F1319</f>
        <v/>
      </c>
      <c r="H1319" s="11" t="n">
        <v/>
      </c>
      <c r="I1319" s="11" t="n">
        <v/>
      </c>
      <c r="J1319" s="11" t="n">
        <v/>
      </c>
      <c r="K1319" s="4" t="inlineStr">
        <is>
          <t>Abrechnungsart wählen; Stundensätze eingeben</t>
        </is>
      </c>
    </row>
    <row r="1320">
      <c r="A1320" s="4" t="inlineStr">
        <is>
          <t>5055 Gateway-Gardens-Frankfurt-NB-Bürokomplex-BA1+2</t>
        </is>
      </c>
      <c r="B1320" s="4" t="inlineStr">
        <is>
          <t>● 1000-Grundlagenermittlung</t>
        </is>
      </c>
      <c r="C1320" s="9" t="inlineStr">
        <is>
          <t>Unbekannt</t>
        </is>
      </c>
      <c r="D1320" s="10" t="inlineStr">
        <is>
          <t>⚠ Manual erforderlich</t>
        </is>
      </c>
      <c r="E1320" s="11" t="inlineStr"/>
      <c r="F1320" s="11" t="n">
        <v>0</v>
      </c>
      <c r="G1320" s="11">
        <f>E1320-F1320</f>
        <v/>
      </c>
      <c r="H1320" s="11" t="n">
        <v/>
      </c>
      <c r="I1320" s="11" t="n">
        <v/>
      </c>
      <c r="J1320" s="11" t="n">
        <v/>
      </c>
      <c r="K1320" s="4" t="inlineStr">
        <is>
          <t>Abrechnungsart wählen; Stundensätze eingeben</t>
        </is>
      </c>
    </row>
    <row r="1321">
      <c r="A1321" s="4" t="inlineStr">
        <is>
          <t>5055 Gateway-Gardens-Frankfurt-NB-Bürokomplex-BA1+2</t>
        </is>
      </c>
      <c r="B1321" s="4" t="inlineStr">
        <is>
          <t>● 2000-Vorplanung</t>
        </is>
      </c>
      <c r="C1321" s="9" t="inlineStr">
        <is>
          <t>Unbekannt</t>
        </is>
      </c>
      <c r="D1321" s="10" t="inlineStr">
        <is>
          <t>⚠ Manual erforderlich</t>
        </is>
      </c>
      <c r="E1321" s="11" t="inlineStr"/>
      <c r="F1321" s="11" t="n">
        <v>0</v>
      </c>
      <c r="G1321" s="11">
        <f>E1321-F1321</f>
        <v/>
      </c>
      <c r="H1321" s="11" t="n">
        <v/>
      </c>
      <c r="I1321" s="11" t="n">
        <v/>
      </c>
      <c r="J1321" s="11" t="n">
        <v/>
      </c>
      <c r="K1321" s="4" t="inlineStr">
        <is>
          <t>Abrechnungsart wählen; Stundensätze eingeben</t>
        </is>
      </c>
    </row>
    <row r="1322">
      <c r="A1322" s="4" t="inlineStr">
        <is>
          <t>5055 Gateway-Gardens-Frankfurt-NB-Bürokomplex-BA1+2</t>
        </is>
      </c>
      <c r="B1322" s="4" t="inlineStr">
        <is>
          <t>● 3000-Entwurfsplanung</t>
        </is>
      </c>
      <c r="C1322" s="9" t="inlineStr">
        <is>
          <t>Unbekannt</t>
        </is>
      </c>
      <c r="D1322" s="10" t="inlineStr">
        <is>
          <t>⚠ Manual erforderlich</t>
        </is>
      </c>
      <c r="E1322" s="11" t="inlineStr"/>
      <c r="F1322" s="11" t="n">
        <v>0</v>
      </c>
      <c r="G1322" s="11">
        <f>E1322-F1322</f>
        <v/>
      </c>
      <c r="H1322" s="11" t="n">
        <v/>
      </c>
      <c r="I1322" s="11" t="n">
        <v/>
      </c>
      <c r="J1322" s="11" t="n">
        <v/>
      </c>
      <c r="K1322" s="4" t="inlineStr">
        <is>
          <t>Abrechnungsart wählen; Stundensätze eingeben</t>
        </is>
      </c>
    </row>
    <row r="1323">
      <c r="A1323" s="4" t="inlineStr">
        <is>
          <t>5055 Gateway-Gardens-Frankfurt-NB-Bürokomplex-BA1+2</t>
        </is>
      </c>
      <c r="B1323" s="4" t="inlineStr">
        <is>
          <t>● 4000-Genehmigungsplanung</t>
        </is>
      </c>
      <c r="C1323" s="9" t="inlineStr">
        <is>
          <t>Unbekannt</t>
        </is>
      </c>
      <c r="D1323" s="10" t="inlineStr">
        <is>
          <t>⚠ Manual erforderlich</t>
        </is>
      </c>
      <c r="E1323" s="11" t="inlineStr"/>
      <c r="F1323" s="11" t="n">
        <v>0</v>
      </c>
      <c r="G1323" s="11">
        <f>E1323-F1323</f>
        <v/>
      </c>
      <c r="H1323" s="11" t="n">
        <v/>
      </c>
      <c r="I1323" s="11" t="n">
        <v/>
      </c>
      <c r="J1323" s="11" t="n">
        <v/>
      </c>
      <c r="K1323" s="4" t="inlineStr">
        <is>
          <t>Abrechnungsart wählen; Stundensätze eingeben</t>
        </is>
      </c>
    </row>
    <row r="1324">
      <c r="A1324" s="4" t="inlineStr">
        <is>
          <t>5055 Gateway-Gardens-Frankfurt-NB-Bürokomplex-BA1+2</t>
        </is>
      </c>
      <c r="B1324" s="4" t="inlineStr">
        <is>
          <t>● 5000-Ausführungsplanung</t>
        </is>
      </c>
      <c r="C1324" s="9" t="inlineStr">
        <is>
          <t>Unbekannt</t>
        </is>
      </c>
      <c r="D1324" s="10" t="inlineStr">
        <is>
          <t>⚠ Manual erforderlich</t>
        </is>
      </c>
      <c r="E1324" s="11" t="inlineStr"/>
      <c r="F1324" s="11" t="n">
        <v>0</v>
      </c>
      <c r="G1324" s="11">
        <f>E1324-F1324</f>
        <v/>
      </c>
      <c r="H1324" s="11" t="n">
        <v/>
      </c>
      <c r="I1324" s="11" t="n">
        <v/>
      </c>
      <c r="J1324" s="11" t="n">
        <v/>
      </c>
      <c r="K1324" s="4" t="inlineStr">
        <is>
          <t>Abrechnungsart wählen; Stundensätze eingeben</t>
        </is>
      </c>
    </row>
    <row r="1325">
      <c r="A1325" s="4" t="inlineStr">
        <is>
          <t>5055 Gateway-Gardens-Frankfurt-NB-Bürokomplex-BA1+2</t>
        </is>
      </c>
      <c r="B1325" s="4" t="inlineStr">
        <is>
          <t>● 8000-Objektüberwachung</t>
        </is>
      </c>
      <c r="C1325" s="9" t="inlineStr">
        <is>
          <t>Unbekannt</t>
        </is>
      </c>
      <c r="D1325" s="10" t="inlineStr">
        <is>
          <t>⚠ Manual erforderlich</t>
        </is>
      </c>
      <c r="E1325" s="11" t="inlineStr"/>
      <c r="F1325" s="11" t="n">
        <v>0</v>
      </c>
      <c r="G1325" s="11">
        <f>E1325-F1325</f>
        <v/>
      </c>
      <c r="H1325" s="11" t="n">
        <v/>
      </c>
      <c r="I1325" s="11" t="n">
        <v/>
      </c>
      <c r="J1325" s="11" t="n">
        <v/>
      </c>
      <c r="K1325" s="4" t="inlineStr">
        <is>
          <t>Abrechnungsart wählen; Stundensätze eingeben</t>
        </is>
      </c>
    </row>
    <row r="1326">
      <c r="A1326" s="4" t="inlineStr">
        <is>
          <t>5055.05 BAB-Gateway-Gardens-Frankfurt-NB-Bürokomplex</t>
        </is>
      </c>
      <c r="B1326" s="4" t="inlineStr">
        <is>
          <t>● (a.N.) BAB LP 8 Bauteile A-C</t>
        </is>
      </c>
      <c r="C1326" s="4" t="inlineStr">
        <is>
          <t>Nachweis</t>
        </is>
      </c>
      <c r="D1326" s="10" t="inlineStr">
        <is>
          <t>⚠ Manual erforderlich</t>
        </is>
      </c>
      <c r="E1326" s="11" t="inlineStr"/>
      <c r="F1326" s="11" t="n">
        <v>0</v>
      </c>
      <c r="G1326" s="11">
        <f>E1326-F1326</f>
        <v/>
      </c>
      <c r="H1326" s="11" t="n">
        <v/>
      </c>
      <c r="I1326" s="11" t="n">
        <v/>
      </c>
      <c r="J1326" s="11" t="n">
        <v/>
      </c>
      <c r="K1326" s="4" t="inlineStr">
        <is>
          <t>Stundensätze eingeben</t>
        </is>
      </c>
    </row>
    <row r="1327">
      <c r="A1327" s="4" t="inlineStr">
        <is>
          <t>5055.06 Greve-FRP-Gateway-Gardens-Amelia-Mary-Earhart-Str12-FFM</t>
        </is>
      </c>
      <c r="B1327" s="4" t="inlineStr">
        <is>
          <t>● (p) Erstellung FRP + FWP</t>
        </is>
      </c>
      <c r="C1327" s="4" t="inlineStr">
        <is>
          <t>Pauschale</t>
        </is>
      </c>
      <c r="D1327" s="10" t="inlineStr">
        <is>
          <t>⚠ Manual erforderlich</t>
        </is>
      </c>
      <c r="E1327" s="11" t="inlineStr"/>
      <c r="F1327" s="11" t="n">
        <v>0</v>
      </c>
      <c r="G1327" s="11">
        <f>E1327-F1327</f>
        <v/>
      </c>
      <c r="H1327" s="11" t="n">
        <v>0</v>
      </c>
      <c r="I1327" s="11" t="n">
        <v>0</v>
      </c>
      <c r="J1327" s="11" t="n">
        <v>0</v>
      </c>
      <c r="K1327" s="4" t="inlineStr">
        <is>
          <t>Stundensätze eingeben</t>
        </is>
      </c>
    </row>
    <row r="1328">
      <c r="A1328" s="4" t="inlineStr">
        <is>
          <t>5055.07 Europa-Center-BSK-Gateway-Gardens-Amelia-Mary-Earhart-Str11-FFM-Aramark-MA</t>
        </is>
      </c>
      <c r="B1328" s="4" t="inlineStr">
        <is>
          <t>● (p) Pos. 1 BTB während der Planungsphase bis zum 01.08.2024</t>
        </is>
      </c>
      <c r="C1328" s="4" t="inlineStr">
        <is>
          <t>Pauschale</t>
        </is>
      </c>
      <c r="D1328" s="10" t="inlineStr">
        <is>
          <t>⚠ Manual erforderlich</t>
        </is>
      </c>
      <c r="E1328" s="11" t="inlineStr"/>
      <c r="F1328" s="11" t="n">
        <v>0</v>
      </c>
      <c r="G1328" s="11">
        <f>E1328-F1328</f>
        <v/>
      </c>
      <c r="H1328" s="11" t="n">
        <v>0</v>
      </c>
      <c r="I1328" s="11" t="n">
        <v>0</v>
      </c>
      <c r="J1328" s="11" t="n">
        <v>0</v>
      </c>
      <c r="K1328" s="4" t="inlineStr">
        <is>
          <t>Stundensätze eingeben</t>
        </is>
      </c>
    </row>
    <row r="1329">
      <c r="A1329" s="4" t="inlineStr">
        <is>
          <t>5055.07 Europa-Center-BSK-Gateway-Gardens-Amelia-Mary-Earhart-Str11-FFM-Aramark-MA</t>
        </is>
      </c>
      <c r="B1329" s="4" t="inlineStr">
        <is>
          <t>● (p) Pos. 2 BST zum genehmigten BSK</t>
        </is>
      </c>
      <c r="C1329" s="4" t="inlineStr">
        <is>
          <t>Pauschale</t>
        </is>
      </c>
      <c r="D1329" s="10" t="inlineStr">
        <is>
          <t>⚠ Manual erforderlich</t>
        </is>
      </c>
      <c r="E1329" s="11" t="inlineStr"/>
      <c r="F1329" s="11" t="n">
        <v>0</v>
      </c>
      <c r="G1329" s="11">
        <f>E1329-F1329</f>
        <v/>
      </c>
      <c r="H1329" s="11" t="n">
        <v>0</v>
      </c>
      <c r="I1329" s="11" t="n">
        <v>0</v>
      </c>
      <c r="J1329" s="11" t="n">
        <v>0</v>
      </c>
      <c r="K1329" s="4" t="inlineStr">
        <is>
          <t>Stundensätze eingeben</t>
        </is>
      </c>
    </row>
    <row r="1330">
      <c r="A1330" s="4" t="inlineStr">
        <is>
          <t>5055.07 Europa-Center-BSK-Gateway-Gardens-Amelia-Mary-Earhart-Str11-FFM-Aramark-MA</t>
        </is>
      </c>
      <c r="B1330" s="4" t="inlineStr">
        <is>
          <t>● (p) Pos. 3 Fortschreibung BSK</t>
        </is>
      </c>
      <c r="C1330" s="4" t="inlineStr">
        <is>
          <t>Pauschale</t>
        </is>
      </c>
      <c r="D1330" s="10" t="inlineStr">
        <is>
          <t>⚠ Manual erforderlich</t>
        </is>
      </c>
      <c r="E1330" s="11" t="inlineStr"/>
      <c r="F1330" s="11" t="n">
        <v>0</v>
      </c>
      <c r="G1330" s="11">
        <f>E1330-F1330</f>
        <v/>
      </c>
      <c r="H1330" s="11" t="n">
        <v>0</v>
      </c>
      <c r="I1330" s="11" t="n">
        <v>0</v>
      </c>
      <c r="J1330" s="11" t="n">
        <v>0</v>
      </c>
      <c r="K1330" s="4" t="inlineStr">
        <is>
          <t>Stundensätze eingeben</t>
        </is>
      </c>
    </row>
    <row r="1331">
      <c r="A1331" s="4" t="inlineStr">
        <is>
          <t>5055.07 Europa-Center-BSK-Gateway-Gardens-Amelia-Mary-Earhart-Str11-FFM-Aramark-MA</t>
        </is>
      </c>
      <c r="B1331" s="4" t="inlineStr">
        <is>
          <t>● (aN) Pos. 4 BTB während d. Planungsphase</t>
        </is>
      </c>
      <c r="C1331" s="4" t="inlineStr">
        <is>
          <t>Nachweis</t>
        </is>
      </c>
      <c r="D1331" s="10" t="inlineStr">
        <is>
          <t>⚠ Manual erforderlich</t>
        </is>
      </c>
      <c r="E1331" s="11" t="inlineStr"/>
      <c r="F1331" s="11" t="n">
        <v>0</v>
      </c>
      <c r="G1331" s="11">
        <f>E1331-F1331</f>
        <v/>
      </c>
      <c r="H1331" s="11" t="n">
        <v/>
      </c>
      <c r="I1331" s="11" t="n">
        <v/>
      </c>
      <c r="J1331" s="11" t="n">
        <v/>
      </c>
      <c r="K1331" s="4" t="inlineStr">
        <is>
          <t>Stundensätze eingeben</t>
        </is>
      </c>
    </row>
    <row r="1332">
      <c r="A1332" s="4" t="inlineStr">
        <is>
          <t>5055.07 Europa-Center-BSK-Gateway-Gardens-Amelia-Mary-Earhart-Str11-FFM-Aramark-MA</t>
        </is>
      </c>
      <c r="B1332" s="4" t="inlineStr">
        <is>
          <t>● (aN) Pos. 5 BTB + Qualitätsüberwachung für die Durchf. d. Baumaßnahme</t>
        </is>
      </c>
      <c r="C1332" s="4" t="inlineStr">
        <is>
          <t>Nachweis</t>
        </is>
      </c>
      <c r="D1332" s="10" t="inlineStr">
        <is>
          <t>⚠ Manual erforderlich</t>
        </is>
      </c>
      <c r="E1332" s="11" t="inlineStr"/>
      <c r="F1332" s="11" t="n">
        <v>0</v>
      </c>
      <c r="G1332" s="11">
        <f>E1332-F1332</f>
        <v/>
      </c>
      <c r="H1332" s="11" t="n">
        <v/>
      </c>
      <c r="I1332" s="11" t="n">
        <v/>
      </c>
      <c r="J1332" s="11" t="n">
        <v/>
      </c>
      <c r="K1332" s="4" t="inlineStr">
        <is>
          <t>Stundensätze eingeben</t>
        </is>
      </c>
    </row>
    <row r="1333">
      <c r="A1333" s="4" t="inlineStr">
        <is>
          <t>5055.08 Europa-Center-FRP-FWP-Gateway-Gardens-Amelia-Mary-Earhart-Str12-FFM</t>
        </is>
      </c>
      <c r="B1333" s="4" t="inlineStr">
        <is>
          <t>● (p) Pos. 1 FRP nach Anzahl (s. Projektbeschreibung)</t>
        </is>
      </c>
      <c r="C1333" s="4" t="inlineStr">
        <is>
          <t>Pauschale</t>
        </is>
      </c>
      <c r="D1333" s="10" t="inlineStr">
        <is>
          <t>⚠ Manual erforderlich</t>
        </is>
      </c>
      <c r="E1333" s="11" t="inlineStr"/>
      <c r="F1333" s="11" t="n">
        <v>0</v>
      </c>
      <c r="G1333" s="11">
        <f>E1333-F1333</f>
        <v/>
      </c>
      <c r="H1333" s="11" t="n">
        <v>0</v>
      </c>
      <c r="I1333" s="11" t="n">
        <v>0</v>
      </c>
      <c r="J1333" s="11" t="n">
        <v>0</v>
      </c>
      <c r="K1333" s="4" t="inlineStr">
        <is>
          <t>Stundensätze eingeben</t>
        </is>
      </c>
    </row>
    <row r="1334">
      <c r="A1334" s="4" t="inlineStr">
        <is>
          <t>5055.08 Europa-Center-FRP-FWP-Gateway-Gardens-Amelia-Mary-Earhart-Str12-FFM</t>
        </is>
      </c>
      <c r="B1334" s="4" t="inlineStr">
        <is>
          <t>● (p) Pos. 2 Feuerwehrpläne - Anpassung Straßennamen</t>
        </is>
      </c>
      <c r="C1334" s="4" t="inlineStr">
        <is>
          <t>Pauschale</t>
        </is>
      </c>
      <c r="D1334" s="10" t="inlineStr">
        <is>
          <t>⚠ Manual erforderlich</t>
        </is>
      </c>
      <c r="E1334" s="11" t="inlineStr"/>
      <c r="F1334" s="11" t="n">
        <v>0</v>
      </c>
      <c r="G1334" s="11">
        <f>E1334-F1334</f>
        <v/>
      </c>
      <c r="H1334" s="11" t="n">
        <v>0</v>
      </c>
      <c r="I1334" s="11" t="n">
        <v>0</v>
      </c>
      <c r="J1334" s="11" t="n">
        <v>0</v>
      </c>
      <c r="K1334" s="4" t="inlineStr">
        <is>
          <t>Stundensätze eingeben</t>
        </is>
      </c>
    </row>
    <row r="1335">
      <c r="A1335" s="4" t="inlineStr">
        <is>
          <t>5055.08 Europa-Center-FRP-FWP-Gateway-Gardens-Amelia-Mary-Earhart-Str12-FFM</t>
        </is>
      </c>
      <c r="B1335" s="4" t="inlineStr">
        <is>
          <t>● (p) Pos. 3 Feuerwehrpläne UG-Umbauten (Mitte 2025)</t>
        </is>
      </c>
      <c r="C1335" s="4" t="inlineStr">
        <is>
          <t>Pauschale</t>
        </is>
      </c>
      <c r="D1335" s="10" t="inlineStr">
        <is>
          <t>⚠ Manual erforderlich</t>
        </is>
      </c>
      <c r="E1335" s="11" t="inlineStr"/>
      <c r="F1335" s="11" t="n">
        <v>0</v>
      </c>
      <c r="G1335" s="11">
        <f>E1335-F1335</f>
        <v/>
      </c>
      <c r="H1335" s="11" t="n">
        <v>0</v>
      </c>
      <c r="I1335" s="11" t="n">
        <v>0</v>
      </c>
      <c r="J1335" s="11" t="n">
        <v>0</v>
      </c>
      <c r="K1335" s="4" t="inlineStr">
        <is>
          <t>Stundensätze eingeben</t>
        </is>
      </c>
    </row>
    <row r="1336">
      <c r="A1336" s="4" t="inlineStr">
        <is>
          <t>5055.08 Europa-Center-FRP-FWP-Gateway-Gardens-Amelia-Mary-Earhart-Str12-FFM</t>
        </is>
      </c>
      <c r="B1336" s="4" t="inlineStr">
        <is>
          <t>● (p) Pos. 4 Feuerwehrpläne EG-3.OG-Umbauten (Mitte 2025)</t>
        </is>
      </c>
      <c r="C1336" s="4" t="inlineStr">
        <is>
          <t>Pauschale</t>
        </is>
      </c>
      <c r="D1336" s="10" t="inlineStr">
        <is>
          <t>⚠ Manual erforderlich</t>
        </is>
      </c>
      <c r="E1336" s="11" t="inlineStr"/>
      <c r="F1336" s="11" t="n">
        <v>0</v>
      </c>
      <c r="G1336" s="11">
        <f>E1336-F1336</f>
        <v/>
      </c>
      <c r="H1336" s="11" t="n">
        <v>0</v>
      </c>
      <c r="I1336" s="11" t="n">
        <v>0</v>
      </c>
      <c r="J1336" s="11" t="n">
        <v>0</v>
      </c>
      <c r="K1336" s="4" t="inlineStr">
        <is>
          <t>Stundensätze eingeben</t>
        </is>
      </c>
    </row>
    <row r="1337">
      <c r="A1337" s="4" t="inlineStr">
        <is>
          <t>5068.02 BAB-Geb-B+C-EG+UG-Gutleutstraße-310-Frankfurt-Equinix</t>
        </is>
      </c>
      <c r="B1337" s="4" t="inlineStr">
        <is>
          <t>● 8000-Objektüberwachung</t>
        </is>
      </c>
      <c r="C1337" s="9" t="inlineStr">
        <is>
          <t>Unbekannt</t>
        </is>
      </c>
      <c r="D1337" s="10" t="inlineStr">
        <is>
          <t>⚠ Manual erforderlich</t>
        </is>
      </c>
      <c r="E1337" s="11" t="inlineStr"/>
      <c r="F1337" s="11" t="n">
        <v>0</v>
      </c>
      <c r="G1337" s="11">
        <f>E1337-F1337</f>
        <v/>
      </c>
      <c r="H1337" s="11" t="n">
        <v/>
      </c>
      <c r="I1337" s="11" t="n">
        <v/>
      </c>
      <c r="J1337" s="11" t="n">
        <v/>
      </c>
      <c r="K1337" s="4" t="inlineStr">
        <is>
          <t>Abrechnungsart wählen; Stundensätze eingeben</t>
        </is>
      </c>
    </row>
    <row r="1338">
      <c r="A1338" s="4" t="inlineStr">
        <is>
          <t>5068.05 KOF-Gutleutstraße-310-Frankfurt-FR7</t>
        </is>
      </c>
      <c r="B1338" s="4" t="inlineStr">
        <is>
          <t>● (p) Pos.1 KOF</t>
        </is>
      </c>
      <c r="C1338" s="4" t="inlineStr">
        <is>
          <t>Pauschale</t>
        </is>
      </c>
      <c r="D1338" s="10" t="inlineStr">
        <is>
          <t>⚠ Manual erforderlich</t>
        </is>
      </c>
      <c r="E1338" s="11" t="inlineStr"/>
      <c r="F1338" s="11" t="n">
        <v>0</v>
      </c>
      <c r="G1338" s="11">
        <f>E1338-F1338</f>
        <v/>
      </c>
      <c r="H1338" s="11" t="n">
        <v>0</v>
      </c>
      <c r="I1338" s="11" t="n">
        <v>0</v>
      </c>
      <c r="J1338" s="11" t="n">
        <v>0</v>
      </c>
      <c r="K1338" s="4" t="inlineStr">
        <is>
          <t>Stundensätze eingeben</t>
        </is>
      </c>
    </row>
    <row r="1339">
      <c r="A1339" s="4" t="inlineStr">
        <is>
          <t>5102.01 ZEG-Klinikum-Frankfurt-Höchst-Funktionsneubau-BA2</t>
        </is>
      </c>
      <c r="B1339" s="4" t="inlineStr">
        <is>
          <t>● 1000-Grundlagenermittlung</t>
        </is>
      </c>
      <c r="C1339" s="9" t="inlineStr">
        <is>
          <t>Unbekannt</t>
        </is>
      </c>
      <c r="D1339" s="10" t="inlineStr">
        <is>
          <t>⚠ Manual erforderlich</t>
        </is>
      </c>
      <c r="E1339" s="11" t="inlineStr"/>
      <c r="F1339" s="11" t="n">
        <v>0</v>
      </c>
      <c r="G1339" s="11">
        <f>E1339-F1339</f>
        <v/>
      </c>
      <c r="H1339" s="11" t="n">
        <v/>
      </c>
      <c r="I1339" s="11" t="n">
        <v/>
      </c>
      <c r="J1339" s="11" t="n">
        <v/>
      </c>
      <c r="K1339" s="4" t="inlineStr">
        <is>
          <t>Abrechnungsart wählen; Stundensätze eingeben</t>
        </is>
      </c>
    </row>
    <row r="1340">
      <c r="A1340" s="4" t="inlineStr">
        <is>
          <t>5102.01 ZEG-Klinikum-Frankfurt-Höchst-Funktionsneubau-BA2</t>
        </is>
      </c>
      <c r="B1340" s="4" t="inlineStr">
        <is>
          <t>● 2000-Vorplanung</t>
        </is>
      </c>
      <c r="C1340" s="9" t="inlineStr">
        <is>
          <t>Unbekannt</t>
        </is>
      </c>
      <c r="D1340" s="10" t="inlineStr">
        <is>
          <t>⚠ Manual erforderlich</t>
        </is>
      </c>
      <c r="E1340" s="11" t="inlineStr"/>
      <c r="F1340" s="11" t="n">
        <v>0</v>
      </c>
      <c r="G1340" s="11">
        <f>E1340-F1340</f>
        <v/>
      </c>
      <c r="H1340" s="11" t="n">
        <v/>
      </c>
      <c r="I1340" s="11" t="n">
        <v/>
      </c>
      <c r="J1340" s="11" t="n">
        <v/>
      </c>
      <c r="K1340" s="4" t="inlineStr">
        <is>
          <t>Abrechnungsart wählen; Stundensätze eingeben</t>
        </is>
      </c>
    </row>
    <row r="1341">
      <c r="A1341" s="4" t="inlineStr">
        <is>
          <t>5102.01 ZEG-Klinikum-Frankfurt-Höchst-Funktionsneubau-BA2</t>
        </is>
      </c>
      <c r="B1341" s="4" t="inlineStr">
        <is>
          <t>● 3000-Entwurfsplanung</t>
        </is>
      </c>
      <c r="C1341" s="9" t="inlineStr">
        <is>
          <t>Unbekannt</t>
        </is>
      </c>
      <c r="D1341" s="10" t="inlineStr">
        <is>
          <t>⚠ Manual erforderlich</t>
        </is>
      </c>
      <c r="E1341" s="11" t="inlineStr"/>
      <c r="F1341" s="11" t="n">
        <v>0</v>
      </c>
      <c r="G1341" s="11">
        <f>E1341-F1341</f>
        <v/>
      </c>
      <c r="H1341" s="11" t="n">
        <v/>
      </c>
      <c r="I1341" s="11" t="n">
        <v/>
      </c>
      <c r="J1341" s="11" t="n">
        <v/>
      </c>
      <c r="K1341" s="4" t="inlineStr">
        <is>
          <t>Abrechnungsart wählen; Stundensätze eingeben</t>
        </is>
      </c>
    </row>
    <row r="1342">
      <c r="A1342" s="4" t="inlineStr">
        <is>
          <t>5102.01 ZEG-Klinikum-Frankfurt-Höchst-Funktionsneubau-BA2</t>
        </is>
      </c>
      <c r="B1342" s="4" t="inlineStr">
        <is>
          <t>● 4000-Genehmigungsplanung</t>
        </is>
      </c>
      <c r="C1342" s="9" t="inlineStr">
        <is>
          <t>Unbekannt</t>
        </is>
      </c>
      <c r="D1342" s="10" t="inlineStr">
        <is>
          <t>⚠ Manual erforderlich</t>
        </is>
      </c>
      <c r="E1342" s="11" t="inlineStr"/>
      <c r="F1342" s="11" t="n">
        <v>0</v>
      </c>
      <c r="G1342" s="11">
        <f>E1342-F1342</f>
        <v/>
      </c>
      <c r="H1342" s="11" t="n">
        <v/>
      </c>
      <c r="I1342" s="11" t="n">
        <v/>
      </c>
      <c r="J1342" s="11" t="n">
        <v/>
      </c>
      <c r="K1342" s="4" t="inlineStr">
        <is>
          <t>Abrechnungsart wählen; Stundensätze eingeben</t>
        </is>
      </c>
    </row>
    <row r="1343">
      <c r="A1343" s="4" t="inlineStr">
        <is>
          <t>5102.01 ZEG-Klinikum-Frankfurt-Höchst-Funktionsneubau-BA2</t>
        </is>
      </c>
      <c r="B1343" s="4" t="inlineStr">
        <is>
          <t>● Leistungen im Rahmen Stellungnahme Überströmöffnungen in Rauchschutzwänden</t>
        </is>
      </c>
      <c r="C1343" s="9" t="inlineStr">
        <is>
          <t>Unbekannt</t>
        </is>
      </c>
      <c r="D1343" s="10" t="inlineStr">
        <is>
          <t>⚠ Manual erforderlich</t>
        </is>
      </c>
      <c r="E1343" s="11" t="inlineStr"/>
      <c r="F1343" s="11" t="n">
        <v>0</v>
      </c>
      <c r="G1343" s="11">
        <f>E1343-F1343</f>
        <v/>
      </c>
      <c r="H1343" s="11" t="n">
        <v/>
      </c>
      <c r="I1343" s="11" t="n">
        <v/>
      </c>
      <c r="J1343" s="11" t="n">
        <v/>
      </c>
      <c r="K1343" s="4" t="inlineStr">
        <is>
          <t>Abrechnungsart wählen; Stundensätze eingeben</t>
        </is>
      </c>
    </row>
    <row r="1344">
      <c r="A1344" s="4" t="inlineStr">
        <is>
          <t>5102.01 ZEG-Klinikum-Frankfurt-Höchst-Funktionsneubau-BA2</t>
        </is>
      </c>
      <c r="B1344" s="4" t="inlineStr">
        <is>
          <t>● 5000-Ausführungsplanung</t>
        </is>
      </c>
      <c r="C1344" s="9" t="inlineStr">
        <is>
          <t>Unbekannt</t>
        </is>
      </c>
      <c r="D1344" s="10" t="inlineStr">
        <is>
          <t>⚠ Manual erforderlich</t>
        </is>
      </c>
      <c r="E1344" s="11" t="inlineStr"/>
      <c r="F1344" s="11" t="n">
        <v>0</v>
      </c>
      <c r="G1344" s="11">
        <f>E1344-F1344</f>
        <v/>
      </c>
      <c r="H1344" s="11" t="n">
        <v/>
      </c>
      <c r="I1344" s="11" t="n">
        <v/>
      </c>
      <c r="J1344" s="11" t="n">
        <v/>
      </c>
      <c r="K1344" s="4" t="inlineStr">
        <is>
          <t>Abrechnungsart wählen; Stundensätze eingeben</t>
        </is>
      </c>
    </row>
    <row r="1345">
      <c r="A1345" s="4" t="inlineStr">
        <is>
          <t>5102.01 ZEG-Klinikum-Frankfurt-Höchst-Funktionsneubau-BA2</t>
        </is>
      </c>
      <c r="B1345" s="4" t="inlineStr">
        <is>
          <t>● LP8 Stufe 2 (auf Nachweis)</t>
        </is>
      </c>
      <c r="C1345" s="9" t="inlineStr">
        <is>
          <t>Unbekannt</t>
        </is>
      </c>
      <c r="D1345" s="10" t="inlineStr">
        <is>
          <t>⚠ Manual erforderlich</t>
        </is>
      </c>
      <c r="E1345" s="11" t="inlineStr"/>
      <c r="F1345" s="11" t="n">
        <v>0</v>
      </c>
      <c r="G1345" s="11">
        <f>E1345-F1345</f>
        <v/>
      </c>
      <c r="H1345" s="11" t="n">
        <v/>
      </c>
      <c r="I1345" s="11" t="n">
        <v/>
      </c>
      <c r="J1345" s="11" t="n">
        <v/>
      </c>
      <c r="K1345" s="4" t="inlineStr">
        <is>
          <t>Abrechnungsart wählen; Stundensätze eingeben</t>
        </is>
      </c>
    </row>
    <row r="1346">
      <c r="A1346" s="4" t="inlineStr">
        <is>
          <t>5108 Geb-M10-Henschelplatz-1-Kassel-Mittelfeld</t>
        </is>
      </c>
      <c r="B1346" s="4" t="inlineStr">
        <is>
          <t>● 0000-Aquise</t>
        </is>
      </c>
      <c r="C1346" s="9" t="inlineStr">
        <is>
          <t>Unbekannt</t>
        </is>
      </c>
      <c r="D1346" s="10" t="inlineStr">
        <is>
          <t>⚠ Manual erforderlich</t>
        </is>
      </c>
      <c r="E1346" s="11" t="inlineStr"/>
      <c r="F1346" s="11" t="n">
        <v>0</v>
      </c>
      <c r="G1346" s="11">
        <f>E1346-F1346</f>
        <v/>
      </c>
      <c r="H1346" s="11" t="n">
        <v/>
      </c>
      <c r="I1346" s="11" t="n">
        <v/>
      </c>
      <c r="J1346" s="11" t="n">
        <v/>
      </c>
      <c r="K1346" s="4" t="inlineStr">
        <is>
          <t>Abrechnungsart wählen; Stundensätze eingeben</t>
        </is>
      </c>
    </row>
    <row r="1347">
      <c r="A1347" s="4" t="inlineStr">
        <is>
          <t>5108 Geb-M10-Henschelplatz-1-Kassel-Mittelfeld</t>
        </is>
      </c>
      <c r="B1347" s="4" t="inlineStr">
        <is>
          <t>● 1000-Grundlagenermittlung</t>
        </is>
      </c>
      <c r="C1347" s="9" t="inlineStr">
        <is>
          <t>Unbekannt</t>
        </is>
      </c>
      <c r="D1347" s="10" t="inlineStr">
        <is>
          <t>⚠ Manual erforderlich</t>
        </is>
      </c>
      <c r="E1347" s="11" t="inlineStr"/>
      <c r="F1347" s="11" t="n">
        <v>0</v>
      </c>
      <c r="G1347" s="11">
        <f>E1347-F1347</f>
        <v/>
      </c>
      <c r="H1347" s="11" t="n">
        <v/>
      </c>
      <c r="I1347" s="11" t="n">
        <v/>
      </c>
      <c r="J1347" s="11" t="n">
        <v/>
      </c>
      <c r="K1347" s="4" t="inlineStr">
        <is>
          <t>Abrechnungsart wählen; Stundensätze eingeben</t>
        </is>
      </c>
    </row>
    <row r="1348">
      <c r="A1348" s="4" t="inlineStr">
        <is>
          <t>5108 Geb-M10-Henschelplatz-1-Kassel-Mittelfeld</t>
        </is>
      </c>
      <c r="B1348" s="4" t="inlineStr">
        <is>
          <t>● 2000-Vorplanung</t>
        </is>
      </c>
      <c r="C1348" s="9" t="inlineStr">
        <is>
          <t>Unbekannt</t>
        </is>
      </c>
      <c r="D1348" s="10" t="inlineStr">
        <is>
          <t>⚠ Manual erforderlich</t>
        </is>
      </c>
      <c r="E1348" s="11" t="inlineStr"/>
      <c r="F1348" s="11" t="n">
        <v>0</v>
      </c>
      <c r="G1348" s="11">
        <f>E1348-F1348</f>
        <v/>
      </c>
      <c r="H1348" s="11" t="n">
        <v/>
      </c>
      <c r="I1348" s="11" t="n">
        <v/>
      </c>
      <c r="J1348" s="11" t="n">
        <v/>
      </c>
      <c r="K1348" s="4" t="inlineStr">
        <is>
          <t>Abrechnungsart wählen; Stundensätze eingeben</t>
        </is>
      </c>
    </row>
    <row r="1349">
      <c r="A1349" s="4" t="inlineStr">
        <is>
          <t>5108 Geb-M10-Henschelplatz-1-Kassel-Mittelfeld</t>
        </is>
      </c>
      <c r="B1349" s="4" t="inlineStr">
        <is>
          <t>● 3000-Entwurfsplanung</t>
        </is>
      </c>
      <c r="C1349" s="9" t="inlineStr">
        <is>
          <t>Unbekannt</t>
        </is>
      </c>
      <c r="D1349" s="10" t="inlineStr">
        <is>
          <t>⚠ Manual erforderlich</t>
        </is>
      </c>
      <c r="E1349" s="11" t="inlineStr"/>
      <c r="F1349" s="11" t="n">
        <v>0</v>
      </c>
      <c r="G1349" s="11">
        <f>E1349-F1349</f>
        <v/>
      </c>
      <c r="H1349" s="11" t="n">
        <v/>
      </c>
      <c r="I1349" s="11" t="n">
        <v/>
      </c>
      <c r="J1349" s="11" t="n">
        <v/>
      </c>
      <c r="K1349" s="4" t="inlineStr">
        <is>
          <t>Abrechnungsart wählen; Stundensätze eingeben</t>
        </is>
      </c>
    </row>
    <row r="1350">
      <c r="A1350" s="4" t="inlineStr">
        <is>
          <t>5108 Geb-M10-Henschelplatz-1-Kassel-Mittelfeld</t>
        </is>
      </c>
      <c r="B1350" s="4" t="inlineStr">
        <is>
          <t>● 4000-Genehmigungsplanung</t>
        </is>
      </c>
      <c r="C1350" s="9" t="inlineStr">
        <is>
          <t>Unbekannt</t>
        </is>
      </c>
      <c r="D1350" s="10" t="inlineStr">
        <is>
          <t>⚠ Manual erforderlich</t>
        </is>
      </c>
      <c r="E1350" s="11" t="inlineStr"/>
      <c r="F1350" s="11" t="n">
        <v>0</v>
      </c>
      <c r="G1350" s="11">
        <f>E1350-F1350</f>
        <v/>
      </c>
      <c r="H1350" s="11" t="n">
        <v/>
      </c>
      <c r="I1350" s="11" t="n">
        <v/>
      </c>
      <c r="J1350" s="11" t="n">
        <v/>
      </c>
      <c r="K1350" s="4" t="inlineStr">
        <is>
          <t>Abrechnungsart wählen; Stundensätze eingeben</t>
        </is>
      </c>
    </row>
    <row r="1351">
      <c r="A1351" s="4" t="inlineStr">
        <is>
          <t>5108 Geb-M10-Henschelplatz-1-Kassel-Mittelfeld</t>
        </is>
      </c>
      <c r="B1351" s="4" t="inlineStr">
        <is>
          <t>● 5000-Ausführungsplanung</t>
        </is>
      </c>
      <c r="C1351" s="9" t="inlineStr">
        <is>
          <t>Unbekannt</t>
        </is>
      </c>
      <c r="D1351" s="10" t="inlineStr">
        <is>
          <t>⚠ Manual erforderlich</t>
        </is>
      </c>
      <c r="E1351" s="11" t="inlineStr"/>
      <c r="F1351" s="11" t="n">
        <v>0</v>
      </c>
      <c r="G1351" s="11">
        <f>E1351-F1351</f>
        <v/>
      </c>
      <c r="H1351" s="11" t="n">
        <v/>
      </c>
      <c r="I1351" s="11" t="n">
        <v/>
      </c>
      <c r="J1351" s="11" t="n">
        <v/>
      </c>
      <c r="K1351" s="4" t="inlineStr">
        <is>
          <t>Abrechnungsart wählen; Stundensätze eingeben</t>
        </is>
      </c>
    </row>
    <row r="1352">
      <c r="A1352" s="4" t="inlineStr">
        <is>
          <t>5108 Geb-M10-Henschelplatz-1-Kassel-Mittelfeld</t>
        </is>
      </c>
      <c r="B1352" s="4" t="inlineStr">
        <is>
          <t>● 8000-Objektüberwachung</t>
        </is>
      </c>
      <c r="C1352" s="9" t="inlineStr">
        <is>
          <t>Unbekannt</t>
        </is>
      </c>
      <c r="D1352" s="10" t="inlineStr">
        <is>
          <t>⚠ Manual erforderlich</t>
        </is>
      </c>
      <c r="E1352" s="11" t="inlineStr"/>
      <c r="F1352" s="11" t="n">
        <v>0</v>
      </c>
      <c r="G1352" s="11">
        <f>E1352-F1352</f>
        <v/>
      </c>
      <c r="H1352" s="11" t="n">
        <v/>
      </c>
      <c r="I1352" s="11" t="n">
        <v/>
      </c>
      <c r="J1352" s="11" t="n">
        <v/>
      </c>
      <c r="K1352" s="4" t="inlineStr">
        <is>
          <t>Abrechnungsart wählen; Stundensätze eingeben</t>
        </is>
      </c>
    </row>
    <row r="1353">
      <c r="A1353" s="4" t="inlineStr">
        <is>
          <t>5110.01 RV-BTB-Haus-8-Hauptstraße-129-Eschborn</t>
        </is>
      </c>
      <c r="B1353" s="4" t="inlineStr">
        <is>
          <t>● 2000-Vorplanung</t>
        </is>
      </c>
      <c r="C1353" s="9" t="inlineStr">
        <is>
          <t>Unbekannt</t>
        </is>
      </c>
      <c r="D1353" s="10" t="inlineStr">
        <is>
          <t>⚠ Manual erforderlich</t>
        </is>
      </c>
      <c r="E1353" s="11" t="inlineStr"/>
      <c r="F1353" s="11" t="n">
        <v>0</v>
      </c>
      <c r="G1353" s="11">
        <f>E1353-F1353</f>
        <v/>
      </c>
      <c r="H1353" s="11" t="n">
        <v/>
      </c>
      <c r="I1353" s="11" t="n">
        <v/>
      </c>
      <c r="J1353" s="11" t="n">
        <v/>
      </c>
      <c r="K1353" s="4" t="inlineStr">
        <is>
          <t>Abrechnungsart wählen; Stundensätze eingeben</t>
        </is>
      </c>
    </row>
    <row r="1354">
      <c r="A1354" s="4" t="inlineStr">
        <is>
          <t>5110.02 RV-BTB-Haus-8-Hauptstraße-129-Eschborn</t>
        </is>
      </c>
      <c r="B1354" s="4" t="inlineStr">
        <is>
          <t>● (a.N.) Beratung</t>
        </is>
      </c>
      <c r="C1354" s="4" t="inlineStr">
        <is>
          <t>Nachweis</t>
        </is>
      </c>
      <c r="D1354" s="10" t="inlineStr">
        <is>
          <t>⚠ Manual erforderlich</t>
        </is>
      </c>
      <c r="E1354" s="11" t="inlineStr"/>
      <c r="F1354" s="11" t="n">
        <v>0</v>
      </c>
      <c r="G1354" s="11">
        <f>E1354-F1354</f>
        <v/>
      </c>
      <c r="H1354" s="11" t="n">
        <v/>
      </c>
      <c r="I1354" s="11" t="n">
        <v/>
      </c>
      <c r="J1354" s="11" t="n">
        <v/>
      </c>
      <c r="K1354" s="4" t="inlineStr">
        <is>
          <t>Stundensätze eingeben</t>
        </is>
      </c>
    </row>
    <row r="1355">
      <c r="A1355" s="4" t="inlineStr">
        <is>
          <t>5144 Anlage-1-1-S-Bahn-Berlin-NB-S21</t>
        </is>
      </c>
      <c r="B1355" s="4" t="inlineStr">
        <is>
          <t>● 3000-Entwurfsplanung</t>
        </is>
      </c>
      <c r="C1355" s="9" t="inlineStr">
        <is>
          <t>Unbekannt</t>
        </is>
      </c>
      <c r="D1355" s="10" t="inlineStr">
        <is>
          <t>⚠ Manual erforderlich</t>
        </is>
      </c>
      <c r="E1355" s="11" t="inlineStr"/>
      <c r="F1355" s="11" t="n">
        <v>0</v>
      </c>
      <c r="G1355" s="11">
        <f>E1355-F1355</f>
        <v/>
      </c>
      <c r="H1355" s="11" t="n">
        <v/>
      </c>
      <c r="I1355" s="11" t="n">
        <v/>
      </c>
      <c r="J1355" s="11" t="n">
        <v/>
      </c>
      <c r="K1355" s="4" t="inlineStr">
        <is>
          <t>Abrechnungsart wählen; Stundensätze eingeben</t>
        </is>
      </c>
    </row>
    <row r="1356">
      <c r="A1356" s="4" t="inlineStr">
        <is>
          <t>5144 Anlage-1-1-S-Bahn-Berlin-NB-S21</t>
        </is>
      </c>
      <c r="B1356" s="4" t="inlineStr">
        <is>
          <t>● 4000-Genehmigungsplanung</t>
        </is>
      </c>
      <c r="C1356" s="9" t="inlineStr">
        <is>
          <t>Unbekannt</t>
        </is>
      </c>
      <c r="D1356" s="10" t="inlineStr">
        <is>
          <t>⚠ Manual erforderlich</t>
        </is>
      </c>
      <c r="E1356" s="11" t="inlineStr"/>
      <c r="F1356" s="11" t="n">
        <v>0</v>
      </c>
      <c r="G1356" s="11">
        <f>E1356-F1356</f>
        <v/>
      </c>
      <c r="H1356" s="11" t="n">
        <v/>
      </c>
      <c r="I1356" s="11" t="n">
        <v/>
      </c>
      <c r="J1356" s="11" t="n">
        <v/>
      </c>
      <c r="K1356" s="4" t="inlineStr">
        <is>
          <t>Abrechnungsart wählen; Stundensätze eingeben</t>
        </is>
      </c>
    </row>
    <row r="1357">
      <c r="A1357" s="4" t="inlineStr">
        <is>
          <t>5144 Anlage-1-1-S-Bahn-Berlin-NB-S21</t>
        </is>
      </c>
      <c r="B1357" s="4" t="inlineStr">
        <is>
          <t>● 5000-Ausführungsplanung</t>
        </is>
      </c>
      <c r="C1357" s="9" t="inlineStr">
        <is>
          <t>Unbekannt</t>
        </is>
      </c>
      <c r="D1357" s="10" t="inlineStr">
        <is>
          <t>⚠ Manual erforderlich</t>
        </is>
      </c>
      <c r="E1357" s="11" t="inlineStr"/>
      <c r="F1357" s="11" t="n">
        <v>0</v>
      </c>
      <c r="G1357" s="11">
        <f>E1357-F1357</f>
        <v/>
      </c>
      <c r="H1357" s="11" t="n">
        <v/>
      </c>
      <c r="I1357" s="11" t="n">
        <v/>
      </c>
      <c r="J1357" s="11" t="n">
        <v/>
      </c>
      <c r="K1357" s="4" t="inlineStr">
        <is>
          <t>Abrechnungsart wählen; Stundensätze eingeben</t>
        </is>
      </c>
    </row>
    <row r="1358">
      <c r="A1358" s="4" t="inlineStr">
        <is>
          <t>5144 Anlage-1-1-S-Bahn-Berlin-NB-S21</t>
        </is>
      </c>
      <c r="B1358" s="4" t="inlineStr">
        <is>
          <t>● 6000-Vorbereiten der Vergabe</t>
        </is>
      </c>
      <c r="C1358" s="9" t="inlineStr">
        <is>
          <t>Unbekannt</t>
        </is>
      </c>
      <c r="D1358" s="10" t="inlineStr">
        <is>
          <t>⚠ Manual erforderlich</t>
        </is>
      </c>
      <c r="E1358" s="11" t="inlineStr"/>
      <c r="F1358" s="11" t="n">
        <v>0</v>
      </c>
      <c r="G1358" s="11">
        <f>E1358-F1358</f>
        <v/>
      </c>
      <c r="H1358" s="11" t="n">
        <v/>
      </c>
      <c r="I1358" s="11" t="n">
        <v/>
      </c>
      <c r="J1358" s="11" t="n">
        <v/>
      </c>
      <c r="K1358" s="4" t="inlineStr">
        <is>
          <t>Abrechnungsart wählen; Stundensätze eingeben</t>
        </is>
      </c>
    </row>
    <row r="1359">
      <c r="A1359" s="4" t="inlineStr">
        <is>
          <t>5144 Anlage-1-1-S-Bahn-Berlin-NB-S21</t>
        </is>
      </c>
      <c r="B1359" s="4" t="inlineStr">
        <is>
          <t>● 8000-Objektüberwachung</t>
        </is>
      </c>
      <c r="C1359" s="9" t="inlineStr">
        <is>
          <t>Unbekannt</t>
        </is>
      </c>
      <c r="D1359" s="10" t="inlineStr">
        <is>
          <t>⚠ Manual erforderlich</t>
        </is>
      </c>
      <c r="E1359" s="11" t="inlineStr"/>
      <c r="F1359" s="11" t="n">
        <v>0</v>
      </c>
      <c r="G1359" s="11">
        <f>E1359-F1359</f>
        <v/>
      </c>
      <c r="H1359" s="11" t="n">
        <v/>
      </c>
      <c r="I1359" s="11" t="n">
        <v/>
      </c>
      <c r="J1359" s="11" t="n">
        <v/>
      </c>
      <c r="K1359" s="4" t="inlineStr">
        <is>
          <t>Abrechnungsart wählen; Stundensätze eingeben</t>
        </is>
      </c>
    </row>
    <row r="1360">
      <c r="A1360" s="4" t="inlineStr">
        <is>
          <t>5144 Anlage-1-1-S-Bahn-Berlin-NB-S21</t>
        </is>
      </c>
      <c r="B1360" s="4" t="inlineStr">
        <is>
          <t>● 9000-Objektbetreuung und Dokumentation</t>
        </is>
      </c>
      <c r="C1360" s="9" t="inlineStr">
        <is>
          <t>Unbekannt</t>
        </is>
      </c>
      <c r="D1360" s="10" t="inlineStr">
        <is>
          <t>⚠ Manual erforderlich</t>
        </is>
      </c>
      <c r="E1360" s="11" t="inlineStr"/>
      <c r="F1360" s="11" t="n">
        <v>0</v>
      </c>
      <c r="G1360" s="11">
        <f>E1360-F1360</f>
        <v/>
      </c>
      <c r="H1360" s="11" t="n">
        <v/>
      </c>
      <c r="I1360" s="11" t="n">
        <v/>
      </c>
      <c r="J1360" s="11" t="n">
        <v/>
      </c>
      <c r="K1360" s="4" t="inlineStr">
        <is>
          <t>Abrechnungsart wählen; Stundensätze eingeben</t>
        </is>
      </c>
    </row>
    <row r="1361">
      <c r="A1361" s="4" t="inlineStr">
        <is>
          <t>5144 Anlage-1-1-S-Bahn-Berlin-NB-S21</t>
        </is>
      </c>
      <c r="B1361" s="4" t="inlineStr">
        <is>
          <t>● Entfluchtungssimulation</t>
        </is>
      </c>
      <c r="C1361" s="9" t="inlineStr">
        <is>
          <t>Unbekannt</t>
        </is>
      </c>
      <c r="D1361" s="10" t="inlineStr">
        <is>
          <t>⚠ Manual erforderlich</t>
        </is>
      </c>
      <c r="E1361" s="11" t="inlineStr"/>
      <c r="F1361" s="11" t="n">
        <v>0</v>
      </c>
      <c r="G1361" s="11">
        <f>E1361-F1361</f>
        <v/>
      </c>
      <c r="H1361" s="11" t="n">
        <v/>
      </c>
      <c r="I1361" s="11" t="n">
        <v/>
      </c>
      <c r="J1361" s="11" t="n">
        <v/>
      </c>
      <c r="K1361" s="4" t="inlineStr">
        <is>
          <t>Abrechnungsart wählen; Stundensätze eingeben</t>
        </is>
      </c>
    </row>
    <row r="1362">
      <c r="A1362" s="4" t="inlineStr">
        <is>
          <t>5144 Anlage-1-1-S-Bahn-Berlin-NB-S21</t>
        </is>
      </c>
      <c r="B1362" s="4" t="inlineStr">
        <is>
          <t>● Brandsimulation</t>
        </is>
      </c>
      <c r="C1362" s="9" t="inlineStr">
        <is>
          <t>Unbekannt</t>
        </is>
      </c>
      <c r="D1362" s="10" t="inlineStr">
        <is>
          <t>⚠ Manual erforderlich</t>
        </is>
      </c>
      <c r="E1362" s="11" t="inlineStr"/>
      <c r="F1362" s="11" t="n">
        <v>0</v>
      </c>
      <c r="G1362" s="11">
        <f>E1362-F1362</f>
        <v/>
      </c>
      <c r="H1362" s="11" t="n">
        <v/>
      </c>
      <c r="I1362" s="11" t="n">
        <v/>
      </c>
      <c r="J1362" s="11" t="n">
        <v/>
      </c>
      <c r="K1362" s="4" t="inlineStr">
        <is>
          <t>Abrechnungsart wählen; Stundensätze eingeben</t>
        </is>
      </c>
    </row>
    <row r="1363">
      <c r="A1363" s="4" t="inlineStr">
        <is>
          <t>5144 Anlage-1-1-S-Bahn-Berlin-NB-S21</t>
        </is>
      </c>
      <c r="B1363" s="4" t="inlineStr">
        <is>
          <t>● Brandschutzakte</t>
        </is>
      </c>
      <c r="C1363" s="9" t="inlineStr">
        <is>
          <t>Unbekannt</t>
        </is>
      </c>
      <c r="D1363" s="10" t="inlineStr">
        <is>
          <t>⚠ Manual erforderlich</t>
        </is>
      </c>
      <c r="E1363" s="11" t="inlineStr"/>
      <c r="F1363" s="11" t="n">
        <v>0</v>
      </c>
      <c r="G1363" s="11">
        <f>E1363-F1363</f>
        <v/>
      </c>
      <c r="H1363" s="11" t="n">
        <v/>
      </c>
      <c r="I1363" s="11" t="n">
        <v/>
      </c>
      <c r="J1363" s="11" t="n">
        <v/>
      </c>
      <c r="K1363" s="4" t="inlineStr">
        <is>
          <t>Abrechnungsart wählen; Stundensätze eingeben</t>
        </is>
      </c>
    </row>
    <row r="1364">
      <c r="A1364" s="4" t="inlineStr">
        <is>
          <t>5144.01 Anlage-1-2-S-Bahn-Berlin-NB-S21</t>
        </is>
      </c>
      <c r="B1364" s="4" t="inlineStr">
        <is>
          <t>● 3000-Entwurfsplanung</t>
        </is>
      </c>
      <c r="C1364" s="9" t="inlineStr">
        <is>
          <t>Unbekannt</t>
        </is>
      </c>
      <c r="D1364" s="10" t="inlineStr">
        <is>
          <t>⚠ Manual erforderlich</t>
        </is>
      </c>
      <c r="E1364" s="11" t="inlineStr"/>
      <c r="F1364" s="11" t="n">
        <v>0</v>
      </c>
      <c r="G1364" s="11">
        <f>E1364-F1364</f>
        <v/>
      </c>
      <c r="H1364" s="11" t="n">
        <v/>
      </c>
      <c r="I1364" s="11" t="n">
        <v/>
      </c>
      <c r="J1364" s="11" t="n">
        <v/>
      </c>
      <c r="K1364" s="4" t="inlineStr">
        <is>
          <t>Abrechnungsart wählen; Stundensätze eingeben</t>
        </is>
      </c>
    </row>
    <row r="1365">
      <c r="A1365" s="4" t="inlineStr">
        <is>
          <t>5144.01 Anlage-1-2-S-Bahn-Berlin-NB-S21</t>
        </is>
      </c>
      <c r="B1365" s="4" t="inlineStr">
        <is>
          <t>● 4000-Genehmigungsplanung</t>
        </is>
      </c>
      <c r="C1365" s="9" t="inlineStr">
        <is>
          <t>Unbekannt</t>
        </is>
      </c>
      <c r="D1365" s="10" t="inlineStr">
        <is>
          <t>⚠ Manual erforderlich</t>
        </is>
      </c>
      <c r="E1365" s="11" t="inlineStr"/>
      <c r="F1365" s="11" t="n">
        <v>0</v>
      </c>
      <c r="G1365" s="11">
        <f>E1365-F1365</f>
        <v/>
      </c>
      <c r="H1365" s="11" t="n">
        <v/>
      </c>
      <c r="I1365" s="11" t="n">
        <v/>
      </c>
      <c r="J1365" s="11" t="n">
        <v/>
      </c>
      <c r="K1365" s="4" t="inlineStr">
        <is>
          <t>Abrechnungsart wählen; Stundensätze eingeben</t>
        </is>
      </c>
    </row>
    <row r="1366">
      <c r="A1366" s="4" t="inlineStr">
        <is>
          <t>5144.01 Anlage-1-2-S-Bahn-Berlin-NB-S21</t>
        </is>
      </c>
      <c r="B1366" s="4" t="inlineStr">
        <is>
          <t>● 5000-Ausführungsplanung</t>
        </is>
      </c>
      <c r="C1366" s="9" t="inlineStr">
        <is>
          <t>Unbekannt</t>
        </is>
      </c>
      <c r="D1366" s="10" t="inlineStr">
        <is>
          <t>⚠ Manual erforderlich</t>
        </is>
      </c>
      <c r="E1366" s="11" t="inlineStr"/>
      <c r="F1366" s="11" t="n">
        <v>0</v>
      </c>
      <c r="G1366" s="11">
        <f>E1366-F1366</f>
        <v/>
      </c>
      <c r="H1366" s="11" t="n">
        <v/>
      </c>
      <c r="I1366" s="11" t="n">
        <v/>
      </c>
      <c r="J1366" s="11" t="n">
        <v/>
      </c>
      <c r="K1366" s="4" t="inlineStr">
        <is>
          <t>Abrechnungsart wählen; Stundensätze eingeben</t>
        </is>
      </c>
    </row>
    <row r="1367">
      <c r="A1367" s="4" t="inlineStr">
        <is>
          <t>5144.01 Anlage-1-2-S-Bahn-Berlin-NB-S21</t>
        </is>
      </c>
      <c r="B1367" s="4" t="inlineStr">
        <is>
          <t>● 9000-Objektbetreuung und Dokumentation</t>
        </is>
      </c>
      <c r="C1367" s="9" t="inlineStr">
        <is>
          <t>Unbekannt</t>
        </is>
      </c>
      <c r="D1367" s="10" t="inlineStr">
        <is>
          <t>⚠ Manual erforderlich</t>
        </is>
      </c>
      <c r="E1367" s="11" t="inlineStr"/>
      <c r="F1367" s="11" t="n">
        <v>0</v>
      </c>
      <c r="G1367" s="11">
        <f>E1367-F1367</f>
        <v/>
      </c>
      <c r="H1367" s="11" t="n">
        <v/>
      </c>
      <c r="I1367" s="11" t="n">
        <v/>
      </c>
      <c r="J1367" s="11" t="n">
        <v/>
      </c>
      <c r="K1367" s="4" t="inlineStr">
        <is>
          <t>Abrechnungsart wählen; Stundensätze eingeben</t>
        </is>
      </c>
    </row>
    <row r="1368">
      <c r="A1368" s="4" t="inlineStr">
        <is>
          <t>5144.01 Anlage-1-2-S-Bahn-Berlin-NB-S21</t>
        </is>
      </c>
      <c r="B1368" s="4" t="inlineStr">
        <is>
          <t>● Entfluchtungssimulation</t>
        </is>
      </c>
      <c r="C1368" s="9" t="inlineStr">
        <is>
          <t>Unbekannt</t>
        </is>
      </c>
      <c r="D1368" s="10" t="inlineStr">
        <is>
          <t>⚠ Manual erforderlich</t>
        </is>
      </c>
      <c r="E1368" s="11" t="inlineStr"/>
      <c r="F1368" s="11" t="n">
        <v>0</v>
      </c>
      <c r="G1368" s="11">
        <f>E1368-F1368</f>
        <v/>
      </c>
      <c r="H1368" s="11" t="n">
        <v/>
      </c>
      <c r="I1368" s="11" t="n">
        <v/>
      </c>
      <c r="J1368" s="11" t="n">
        <v/>
      </c>
      <c r="K1368" s="4" t="inlineStr">
        <is>
          <t>Abrechnungsart wählen; Stundensätze eingeben</t>
        </is>
      </c>
    </row>
    <row r="1369">
      <c r="A1369" s="4" t="inlineStr">
        <is>
          <t>5144.01 Anlage-1-2-S-Bahn-Berlin-NB-S21</t>
        </is>
      </c>
      <c r="B1369" s="4" t="inlineStr">
        <is>
          <t>● Brandsimulation</t>
        </is>
      </c>
      <c r="C1369" s="9" t="inlineStr">
        <is>
          <t>Unbekannt</t>
        </is>
      </c>
      <c r="D1369" s="10" t="inlineStr">
        <is>
          <t>⚠ Manual erforderlich</t>
        </is>
      </c>
      <c r="E1369" s="11" t="inlineStr"/>
      <c r="F1369" s="11" t="n">
        <v>0</v>
      </c>
      <c r="G1369" s="11">
        <f>E1369-F1369</f>
        <v/>
      </c>
      <c r="H1369" s="11" t="n">
        <v/>
      </c>
      <c r="I1369" s="11" t="n">
        <v/>
      </c>
      <c r="J1369" s="11" t="n">
        <v/>
      </c>
      <c r="K1369" s="4" t="inlineStr">
        <is>
          <t>Abrechnungsart wählen; Stundensätze eingeben</t>
        </is>
      </c>
    </row>
    <row r="1370">
      <c r="A1370" s="4" t="inlineStr">
        <is>
          <t>5144.01 Anlage-1-2-S-Bahn-Berlin-NB-S21</t>
        </is>
      </c>
      <c r="B1370" s="4" t="inlineStr">
        <is>
          <t>● Brandschutzakte</t>
        </is>
      </c>
      <c r="C1370" s="9" t="inlineStr">
        <is>
          <t>Unbekannt</t>
        </is>
      </c>
      <c r="D1370" s="10" t="inlineStr">
        <is>
          <t>⚠ Manual erforderlich</t>
        </is>
      </c>
      <c r="E1370" s="11" t="inlineStr"/>
      <c r="F1370" s="11" t="n">
        <v>0</v>
      </c>
      <c r="G1370" s="11">
        <f>E1370-F1370</f>
        <v/>
      </c>
      <c r="H1370" s="11" t="n">
        <v/>
      </c>
      <c r="I1370" s="11" t="n">
        <v/>
      </c>
      <c r="J1370" s="11" t="n">
        <v/>
      </c>
      <c r="K1370" s="4" t="inlineStr">
        <is>
          <t>Abrechnungsart wählen; Stundensätze eingeben</t>
        </is>
      </c>
    </row>
    <row r="1371">
      <c r="A1371" s="4" t="inlineStr">
        <is>
          <t>5144.02 Anlage-1-4-S-Bahn-Berlin-NB-S21</t>
        </is>
      </c>
      <c r="B1371" s="4" t="inlineStr">
        <is>
          <t>● 1000-Grundlagenermittlung</t>
        </is>
      </c>
      <c r="C1371" s="9" t="inlineStr">
        <is>
          <t>Unbekannt</t>
        </is>
      </c>
      <c r="D1371" s="10" t="inlineStr">
        <is>
          <t>⚠ Manual erforderlich</t>
        </is>
      </c>
      <c r="E1371" s="11" t="inlineStr"/>
      <c r="F1371" s="11" t="n">
        <v>0</v>
      </c>
      <c r="G1371" s="11">
        <f>E1371-F1371</f>
        <v/>
      </c>
      <c r="H1371" s="11" t="n">
        <v/>
      </c>
      <c r="I1371" s="11" t="n">
        <v/>
      </c>
      <c r="J1371" s="11" t="n">
        <v/>
      </c>
      <c r="K1371" s="4" t="inlineStr">
        <is>
          <t>Abrechnungsart wählen; Stundensätze eingeben</t>
        </is>
      </c>
    </row>
    <row r="1372">
      <c r="A1372" s="4" t="inlineStr">
        <is>
          <t>5144.02 Anlage-1-4-S-Bahn-Berlin-NB-S21</t>
        </is>
      </c>
      <c r="B1372" s="4" t="inlineStr">
        <is>
          <t>● 2000-Vorplanung</t>
        </is>
      </c>
      <c r="C1372" s="9" t="inlineStr">
        <is>
          <t>Unbekannt</t>
        </is>
      </c>
      <c r="D1372" s="10" t="inlineStr">
        <is>
          <t>⚠ Manual erforderlich</t>
        </is>
      </c>
      <c r="E1372" s="11" t="inlineStr"/>
      <c r="F1372" s="11" t="n">
        <v>0</v>
      </c>
      <c r="G1372" s="11">
        <f>E1372-F1372</f>
        <v/>
      </c>
      <c r="H1372" s="11" t="n">
        <v/>
      </c>
      <c r="I1372" s="11" t="n">
        <v/>
      </c>
      <c r="J1372" s="11" t="n">
        <v/>
      </c>
      <c r="K1372" s="4" t="inlineStr">
        <is>
          <t>Abrechnungsart wählen; Stundensätze eingeben</t>
        </is>
      </c>
    </row>
    <row r="1373">
      <c r="A1373" s="4" t="inlineStr">
        <is>
          <t>5144.02 Anlage-1-4-S-Bahn-Berlin-NB-S21</t>
        </is>
      </c>
      <c r="B1373" s="4" t="inlineStr">
        <is>
          <t>● 3000-Entwurfsplanung</t>
        </is>
      </c>
      <c r="C1373" s="9" t="inlineStr">
        <is>
          <t>Unbekannt</t>
        </is>
      </c>
      <c r="D1373" s="10" t="inlineStr">
        <is>
          <t>⚠ Manual erforderlich</t>
        </is>
      </c>
      <c r="E1373" s="11" t="inlineStr"/>
      <c r="F1373" s="11" t="n">
        <v>0</v>
      </c>
      <c r="G1373" s="11">
        <f>E1373-F1373</f>
        <v/>
      </c>
      <c r="H1373" s="11" t="n">
        <v/>
      </c>
      <c r="I1373" s="11" t="n">
        <v/>
      </c>
      <c r="J1373" s="11" t="n">
        <v/>
      </c>
      <c r="K1373" s="4" t="inlineStr">
        <is>
          <t>Abrechnungsart wählen; Stundensätze eingeben</t>
        </is>
      </c>
    </row>
    <row r="1374">
      <c r="A1374" s="4" t="inlineStr">
        <is>
          <t>5144.02 Anlage-1-4-S-Bahn-Berlin-NB-S21</t>
        </is>
      </c>
      <c r="B1374" s="4" t="inlineStr">
        <is>
          <t>● 4000-Genehmigungsplanung</t>
        </is>
      </c>
      <c r="C1374" s="9" t="inlineStr">
        <is>
          <t>Unbekannt</t>
        </is>
      </c>
      <c r="D1374" s="10" t="inlineStr">
        <is>
          <t>⚠ Manual erforderlich</t>
        </is>
      </c>
      <c r="E1374" s="11" t="inlineStr"/>
      <c r="F1374" s="11" t="n">
        <v>0</v>
      </c>
      <c r="G1374" s="11">
        <f>E1374-F1374</f>
        <v/>
      </c>
      <c r="H1374" s="11" t="n">
        <v/>
      </c>
      <c r="I1374" s="11" t="n">
        <v/>
      </c>
      <c r="J1374" s="11" t="n">
        <v/>
      </c>
      <c r="K1374" s="4" t="inlineStr">
        <is>
          <t>Abrechnungsart wählen; Stundensätze eingeben</t>
        </is>
      </c>
    </row>
    <row r="1375">
      <c r="A1375" s="4" t="inlineStr">
        <is>
          <t>5144.02 Anlage-1-4-S-Bahn-Berlin-NB-S21</t>
        </is>
      </c>
      <c r="B1375" s="4" t="inlineStr">
        <is>
          <t>● 5000-Ausführungsplanung</t>
        </is>
      </c>
      <c r="C1375" s="9" t="inlineStr">
        <is>
          <t>Unbekannt</t>
        </is>
      </c>
      <c r="D1375" s="10" t="inlineStr">
        <is>
          <t>⚠ Manual erforderlich</t>
        </is>
      </c>
      <c r="E1375" s="11" t="inlineStr"/>
      <c r="F1375" s="11" t="n">
        <v>0</v>
      </c>
      <c r="G1375" s="11">
        <f>E1375-F1375</f>
        <v/>
      </c>
      <c r="H1375" s="11" t="n">
        <v/>
      </c>
      <c r="I1375" s="11" t="n">
        <v/>
      </c>
      <c r="J1375" s="11" t="n">
        <v/>
      </c>
      <c r="K1375" s="4" t="inlineStr">
        <is>
          <t>Abrechnungsart wählen; Stundensätze eingeben</t>
        </is>
      </c>
    </row>
    <row r="1376">
      <c r="A1376" s="4" t="inlineStr">
        <is>
          <t>5144.09 LP5-Fortschr-Interims-BSK-S-Bahn-Berlin-NB-S21</t>
        </is>
      </c>
      <c r="B1376" s="4" t="inlineStr">
        <is>
          <t>● 5000-Ausführungsplanung</t>
        </is>
      </c>
      <c r="C1376" s="9" t="inlineStr">
        <is>
          <t>Unbekannt</t>
        </is>
      </c>
      <c r="D1376" s="10" t="inlineStr">
        <is>
          <t>⚠ Manual erforderlich</t>
        </is>
      </c>
      <c r="E1376" s="11" t="inlineStr"/>
      <c r="F1376" s="11" t="n">
        <v>0</v>
      </c>
      <c r="G1376" s="11">
        <f>E1376-F1376</f>
        <v/>
      </c>
      <c r="H1376" s="11" t="n">
        <v/>
      </c>
      <c r="I1376" s="11" t="n">
        <v/>
      </c>
      <c r="J1376" s="11" t="n">
        <v/>
      </c>
      <c r="K1376" s="4" t="inlineStr">
        <is>
          <t>Abrechnungsart wählen; Stundensätze eingeben</t>
        </is>
      </c>
    </row>
    <row r="1377">
      <c r="A1377" s="4" t="inlineStr">
        <is>
          <t>5144.15 Fortschr2-Index4-Interims-BSK-S-Bahn-Berlin-NB-S21</t>
        </is>
      </c>
      <c r="B1377" s="4" t="inlineStr">
        <is>
          <t>● 2. Fortschreibung BSK Index 4</t>
        </is>
      </c>
      <c r="C1377" s="9" t="inlineStr">
        <is>
          <t>Unbekannt</t>
        </is>
      </c>
      <c r="D1377" s="10" t="inlineStr">
        <is>
          <t>⚠ Manual erforderlich</t>
        </is>
      </c>
      <c r="E1377" s="11" t="inlineStr"/>
      <c r="F1377" s="11" t="n">
        <v>0</v>
      </c>
      <c r="G1377" s="11">
        <f>E1377-F1377</f>
        <v/>
      </c>
      <c r="H1377" s="11" t="n">
        <v/>
      </c>
      <c r="I1377" s="11" t="n">
        <v/>
      </c>
      <c r="J1377" s="11" t="n">
        <v/>
      </c>
      <c r="K1377" s="4" t="inlineStr">
        <is>
          <t>Abrechnungsart wählen; Stundensätze eingeben</t>
        </is>
      </c>
    </row>
    <row r="1378">
      <c r="A1378" s="4" t="inlineStr">
        <is>
          <t>5144.19 NAT-10-BSK-S-Bahn-Berlin-NB-S21-HBF-Manteltreppe</t>
        </is>
      </c>
      <c r="B1378" s="4" t="inlineStr">
        <is>
          <t>● (p) Pos.1-Erstellung BSK Manteltreppe</t>
        </is>
      </c>
      <c r="C1378" s="4" t="inlineStr">
        <is>
          <t>Pauschale</t>
        </is>
      </c>
      <c r="D1378" s="10" t="inlineStr">
        <is>
          <t>⚠ Manual erforderlich</t>
        </is>
      </c>
      <c r="E1378" s="11" t="inlineStr"/>
      <c r="F1378" s="11" t="n">
        <v>0</v>
      </c>
      <c r="G1378" s="11">
        <f>E1378-F1378</f>
        <v/>
      </c>
      <c r="H1378" s="11" t="n">
        <v>0</v>
      </c>
      <c r="I1378" s="11" t="n">
        <v>0</v>
      </c>
      <c r="J1378" s="11" t="n">
        <v>0</v>
      </c>
      <c r="K1378" s="4" t="inlineStr">
        <is>
          <t>Stundensätze eingeben</t>
        </is>
      </c>
    </row>
    <row r="1379">
      <c r="A1379" s="4" t="inlineStr">
        <is>
          <t>5144.19 NAT-10-BSK-S-Bahn-Berlin-NB-S21-HBF-Manteltreppe</t>
        </is>
      </c>
      <c r="B1379" s="4" t="inlineStr">
        <is>
          <t>● (p) Pos.2- Brandschutztechn. Beratung</t>
        </is>
      </c>
      <c r="C1379" s="4" t="inlineStr">
        <is>
          <t>Pauschale</t>
        </is>
      </c>
      <c r="D1379" s="10" t="inlineStr">
        <is>
          <t>⚠ Manual erforderlich</t>
        </is>
      </c>
      <c r="E1379" s="11" t="inlineStr"/>
      <c r="F1379" s="11" t="n">
        <v>0</v>
      </c>
      <c r="G1379" s="11">
        <f>E1379-F1379</f>
        <v/>
      </c>
      <c r="H1379" s="11" t="n">
        <v>0</v>
      </c>
      <c r="I1379" s="11" t="n">
        <v>0</v>
      </c>
      <c r="J1379" s="11" t="n">
        <v>0</v>
      </c>
      <c r="K1379" s="4" t="inlineStr">
        <is>
          <t>Stundensätze eingeben</t>
        </is>
      </c>
    </row>
    <row r="1380">
      <c r="A1380" s="4" t="inlineStr">
        <is>
          <t>5144.19 NAT-10-BSK-S-Bahn-Berlin-NB-S21-HBF-Manteltreppe</t>
        </is>
      </c>
      <c r="B1380" s="4" t="inlineStr">
        <is>
          <t>● (p) Pos.-3-Aktualisierung Feuerwehrpläne</t>
        </is>
      </c>
      <c r="C1380" s="4" t="inlineStr">
        <is>
          <t>Pauschale</t>
        </is>
      </c>
      <c r="D1380" s="10" t="inlineStr">
        <is>
          <t>⚠ Manual erforderlich</t>
        </is>
      </c>
      <c r="E1380" s="11" t="inlineStr"/>
      <c r="F1380" s="11" t="n">
        <v>0</v>
      </c>
      <c r="G1380" s="11">
        <f>E1380-F1380</f>
        <v/>
      </c>
      <c r="H1380" s="11" t="n">
        <v>0</v>
      </c>
      <c r="I1380" s="11" t="n">
        <v>0</v>
      </c>
      <c r="J1380" s="11" t="n">
        <v>0</v>
      </c>
      <c r="K1380" s="4" t="inlineStr">
        <is>
          <t>Stundensätze eingeben</t>
        </is>
      </c>
    </row>
    <row r="1381">
      <c r="A1381" s="4" t="inlineStr">
        <is>
          <t>5144.20 NAT-09-BST-S-Bahn-Berlin-NB-S21-HBF-INTERIM-PuMiRaum</t>
        </is>
      </c>
      <c r="B1381" s="4" t="inlineStr">
        <is>
          <t>● (a.N.) Pos.1 BST Pumiraum Interimszustand bis 2 Onlinebespr.</t>
        </is>
      </c>
      <c r="C1381" s="4" t="inlineStr">
        <is>
          <t>Nachweis</t>
        </is>
      </c>
      <c r="D1381" s="10" t="inlineStr">
        <is>
          <t>⚠ Manual erforderlich</t>
        </is>
      </c>
      <c r="E1381" s="11" t="inlineStr"/>
      <c r="F1381" s="11" t="n">
        <v>0</v>
      </c>
      <c r="G1381" s="11">
        <f>E1381-F1381</f>
        <v/>
      </c>
      <c r="H1381" s="11" t="n">
        <v/>
      </c>
      <c r="I1381" s="11" t="n">
        <v/>
      </c>
      <c r="J1381" s="11" t="n">
        <v/>
      </c>
      <c r="K1381" s="4" t="inlineStr">
        <is>
          <t>Stundensätze eingeben</t>
        </is>
      </c>
    </row>
    <row r="1382">
      <c r="A1382" s="4" t="inlineStr">
        <is>
          <t>5144.23 NAT-xx-RGS-S-Bahn-Berlin-NB-S21-HBF-INTERIM</t>
        </is>
      </c>
      <c r="B1382" s="4" t="inlineStr">
        <is>
          <t>● () Rauchgassimulation Version 2.4</t>
        </is>
      </c>
      <c r="C1382" s="9" t="inlineStr">
        <is>
          <t>Unbekannt</t>
        </is>
      </c>
      <c r="D1382" s="10" t="inlineStr">
        <is>
          <t>⚠ Manual erforderlich</t>
        </is>
      </c>
      <c r="E1382" s="11" t="inlineStr"/>
      <c r="F1382" s="11" t="n">
        <v>0</v>
      </c>
      <c r="G1382" s="11">
        <f>E1382-F1382</f>
        <v/>
      </c>
      <c r="H1382" s="11" t="n">
        <v/>
      </c>
      <c r="I1382" s="11" t="n">
        <v/>
      </c>
      <c r="J1382" s="11" t="n">
        <v/>
      </c>
      <c r="K1382" s="4" t="inlineStr">
        <is>
          <t>Abrechnungsart wählen; Stundensätze eingeben</t>
        </is>
      </c>
    </row>
    <row r="1383">
      <c r="A1383" s="4" t="inlineStr">
        <is>
          <t>5144.23 NAT-xx-RGS-S-Bahn-Berlin-NB-S21-HBF-INTERIM</t>
        </is>
      </c>
      <c r="B1383" s="4" t="inlineStr">
        <is>
          <t>● () Rauchgassimulation Version 2.3</t>
        </is>
      </c>
      <c r="C1383" s="9" t="inlineStr">
        <is>
          <t>Unbekannt</t>
        </is>
      </c>
      <c r="D1383" s="10" t="inlineStr">
        <is>
          <t>⚠ Manual erforderlich</t>
        </is>
      </c>
      <c r="E1383" s="11" t="inlineStr"/>
      <c r="F1383" s="11" t="n">
        <v>0</v>
      </c>
      <c r="G1383" s="11">
        <f>E1383-F1383</f>
        <v/>
      </c>
      <c r="H1383" s="11" t="n">
        <v/>
      </c>
      <c r="I1383" s="11" t="n">
        <v/>
      </c>
      <c r="J1383" s="11" t="n">
        <v/>
      </c>
      <c r="K1383" s="4" t="inlineStr">
        <is>
          <t>Abrechnungsart wählen; Stundensätze eingeben</t>
        </is>
      </c>
    </row>
    <row r="1384">
      <c r="A1384" s="4" t="inlineStr">
        <is>
          <t>5144.23 NAT-xx-RGS-S-Bahn-Berlin-NB-S21-HBF-INTERIM</t>
        </is>
      </c>
      <c r="B1384" s="4" t="inlineStr">
        <is>
          <t>● () Entfluchtungssimulation zu 2.3</t>
        </is>
      </c>
      <c r="C1384" s="9" t="inlineStr">
        <is>
          <t>Unbekannt</t>
        </is>
      </c>
      <c r="D1384" s="10" t="inlineStr">
        <is>
          <t>⚠ Manual erforderlich</t>
        </is>
      </c>
      <c r="E1384" s="11" t="inlineStr"/>
      <c r="F1384" s="11" t="n">
        <v>0</v>
      </c>
      <c r="G1384" s="11">
        <f>E1384-F1384</f>
        <v/>
      </c>
      <c r="H1384" s="11" t="n">
        <v/>
      </c>
      <c r="I1384" s="11" t="n">
        <v/>
      </c>
      <c r="J1384" s="11" t="n">
        <v/>
      </c>
      <c r="K1384" s="4" t="inlineStr">
        <is>
          <t>Abrechnungsart wählen; Stundensätze eingeben</t>
        </is>
      </c>
    </row>
    <row r="1385">
      <c r="A1385" s="4" t="inlineStr">
        <is>
          <t>5144.23 NAT-xx-RGS-S-Bahn-Berlin-NB-S21-HBF-INTERIM</t>
        </is>
      </c>
      <c r="B1385" s="4" t="inlineStr">
        <is>
          <t>● () Entfluchtungssimulation zu 2.4</t>
        </is>
      </c>
      <c r="C1385" s="9" t="inlineStr">
        <is>
          <t>Unbekannt</t>
        </is>
      </c>
      <c r="D1385" s="10" t="inlineStr">
        <is>
          <t>⚠ Manual erforderlich</t>
        </is>
      </c>
      <c r="E1385" s="11" t="inlineStr"/>
      <c r="F1385" s="11" t="n">
        <v>0</v>
      </c>
      <c r="G1385" s="11">
        <f>E1385-F1385</f>
        <v/>
      </c>
      <c r="H1385" s="11" t="n">
        <v/>
      </c>
      <c r="I1385" s="11" t="n">
        <v/>
      </c>
      <c r="J1385" s="11" t="n">
        <v/>
      </c>
      <c r="K1385" s="4" t="inlineStr">
        <is>
          <t>Abrechnungsart wählen; Stundensätze eingeben</t>
        </is>
      </c>
    </row>
    <row r="1386">
      <c r="A1386" s="4" t="inlineStr">
        <is>
          <t>5144.24 NAT-xx-BSK-SBahn-Berlin-NB-S21-HBF-INTERIM</t>
        </is>
      </c>
      <c r="B1386" s="4" t="inlineStr">
        <is>
          <t>● (p) Pos. BSK</t>
        </is>
      </c>
      <c r="C1386" s="4" t="inlineStr">
        <is>
          <t>Pauschale</t>
        </is>
      </c>
      <c r="D1386" s="10" t="inlineStr">
        <is>
          <t>⚠ Manual erforderlich</t>
        </is>
      </c>
      <c r="E1386" s="11" t="inlineStr"/>
      <c r="F1386" s="11" t="n">
        <v>0</v>
      </c>
      <c r="G1386" s="11">
        <f>E1386-F1386</f>
        <v/>
      </c>
      <c r="H1386" s="11" t="n">
        <v/>
      </c>
      <c r="I1386" s="11" t="n">
        <v/>
      </c>
      <c r="J1386" s="11" t="n">
        <v/>
      </c>
      <c r="K1386" s="4" t="inlineStr">
        <is>
          <t>Stundensätze eingeben</t>
        </is>
      </c>
    </row>
    <row r="1387">
      <c r="A1387" s="4" t="inlineStr">
        <is>
          <t>5144.25 NAT-xx-Räumungskonzept-F&amp;Rkonzept;-SBahn-Berlin-NB-S21-HBF-INTERIM</t>
        </is>
      </c>
      <c r="B1387" s="4" t="inlineStr">
        <is>
          <t>● (p) Pos. Räumungskonzept / Flucht und Rettungskonzept (SV+CAD-Stunden)</t>
        </is>
      </c>
      <c r="C1387" s="4" t="inlineStr">
        <is>
          <t>Pauschale</t>
        </is>
      </c>
      <c r="D1387" s="10" t="inlineStr">
        <is>
          <t>⚠ Manual erforderlich</t>
        </is>
      </c>
      <c r="E1387" s="11" t="inlineStr"/>
      <c r="F1387" s="11" t="n">
        <v>0</v>
      </c>
      <c r="G1387" s="11">
        <f>E1387-F1387</f>
        <v/>
      </c>
      <c r="H1387" s="11" t="n">
        <v/>
      </c>
      <c r="I1387" s="11" t="n">
        <v/>
      </c>
      <c r="J1387" s="11" t="n">
        <v/>
      </c>
      <c r="K1387" s="4" t="inlineStr">
        <is>
          <t>Stundensätze eingeben</t>
        </is>
      </c>
    </row>
    <row r="1388">
      <c r="A1388" s="4" t="inlineStr">
        <is>
          <t>5145.04 Fortschr.-BSK-Theodor-Heuss-Allee-108-Frankfurt-Privatschule</t>
        </is>
      </c>
      <c r="B1388" s="4" t="inlineStr">
        <is>
          <t>● (p) Pos.1 Fortschreibung BSK Umnutzung Teilbereichen des EG von Büro-/Verwaltungsnutzung in Schulbetreuung</t>
        </is>
      </c>
      <c r="C1388" s="4" t="inlineStr">
        <is>
          <t>Pauschale</t>
        </is>
      </c>
      <c r="D1388" s="10" t="inlineStr">
        <is>
          <t>⚠ Manual erforderlich</t>
        </is>
      </c>
      <c r="E1388" s="11" t="inlineStr"/>
      <c r="F1388" s="11" t="n">
        <v>0</v>
      </c>
      <c r="G1388" s="11">
        <f>E1388-F1388</f>
        <v/>
      </c>
      <c r="H1388" s="11" t="n">
        <v>0</v>
      </c>
      <c r="I1388" s="11" t="n">
        <v>0</v>
      </c>
      <c r="J1388" s="11" t="n">
        <v>0</v>
      </c>
      <c r="K1388" s="4" t="inlineStr">
        <is>
          <t>Stundensätze eingeben</t>
        </is>
      </c>
    </row>
    <row r="1389">
      <c r="A1389" s="4" t="inlineStr">
        <is>
          <t>5145.04 Fortschr.-BSK-Theodor-Heuss-Allee-108-Frankfurt-Privatschule</t>
        </is>
      </c>
      <c r="B1389" s="4" t="inlineStr">
        <is>
          <t>● (aN) Pos. 2 BAB</t>
        </is>
      </c>
      <c r="C1389" s="4" t="inlineStr">
        <is>
          <t>Nachweis</t>
        </is>
      </c>
      <c r="D1389" s="10" t="inlineStr">
        <is>
          <t>⚠ Manual erforderlich</t>
        </is>
      </c>
      <c r="E1389" s="11" t="inlineStr"/>
      <c r="F1389" s="11" t="n">
        <v>0</v>
      </c>
      <c r="G1389" s="11">
        <f>E1389-F1389</f>
        <v/>
      </c>
      <c r="H1389" s="11" t="n">
        <v/>
      </c>
      <c r="I1389" s="11" t="n">
        <v/>
      </c>
      <c r="J1389" s="11" t="n">
        <v/>
      </c>
      <c r="K1389" s="4" t="inlineStr">
        <is>
          <t>Stundensätze eingeben</t>
        </is>
      </c>
    </row>
    <row r="1390">
      <c r="A1390" s="4" t="inlineStr">
        <is>
          <t>5156.02 BSK-LBBTR-SPES-N-Airbase-Spangdahlem</t>
        </is>
      </c>
      <c r="B1390" s="4" t="inlineStr">
        <is>
          <t>● • 3100-Erarbeiten des Brandschutzkonzept/Nachweis/Stellungnahme</t>
        </is>
      </c>
      <c r="C1390" s="9" t="inlineStr">
        <is>
          <t>Unbekannt</t>
        </is>
      </c>
      <c r="D1390" s="10" t="inlineStr">
        <is>
          <t>⚠ Manual erforderlich</t>
        </is>
      </c>
      <c r="E1390" s="11" t="inlineStr"/>
      <c r="F1390" s="11" t="n">
        <v>0</v>
      </c>
      <c r="G1390" s="11">
        <f>E1390-F1390</f>
        <v/>
      </c>
      <c r="H1390" s="11" t="n">
        <v/>
      </c>
      <c r="I1390" s="11" t="n">
        <v/>
      </c>
      <c r="J1390" s="11" t="n">
        <v/>
      </c>
      <c r="K1390" s="4" t="inlineStr">
        <is>
          <t>Abrechnungsart wählen; Stundensätze eingeben</t>
        </is>
      </c>
    </row>
    <row r="1391">
      <c r="A1391" s="4" t="inlineStr">
        <is>
          <t>5156.02 BSK-LBBTR-SPES-N-Airbase-Spangdahlem</t>
        </is>
      </c>
      <c r="B1391" s="4" t="inlineStr">
        <is>
          <t>● • 4103-Erarbeiten Brandschutzkonzeptpläne….</t>
        </is>
      </c>
      <c r="C1391" s="9" t="inlineStr">
        <is>
          <t>Unbekannt</t>
        </is>
      </c>
      <c r="D1391" s="10" t="inlineStr">
        <is>
          <t>⚠ Manual erforderlich</t>
        </is>
      </c>
      <c r="E1391" s="11" t="inlineStr"/>
      <c r="F1391" s="11" t="n">
        <v>0</v>
      </c>
      <c r="G1391" s="11">
        <f>E1391-F1391</f>
        <v/>
      </c>
      <c r="H1391" s="11" t="n">
        <v/>
      </c>
      <c r="I1391" s="11" t="n">
        <v/>
      </c>
      <c r="J1391" s="11" t="n">
        <v/>
      </c>
      <c r="K1391" s="4" t="inlineStr">
        <is>
          <t>Abrechnungsart wählen; Stundensätze eingeben</t>
        </is>
      </c>
    </row>
    <row r="1392">
      <c r="A1392" s="4" t="inlineStr">
        <is>
          <t>5156.02 BSK-LBBTR-SPES-N-Airbase-Spangdahlem</t>
        </is>
      </c>
      <c r="B1392" s="4" t="inlineStr">
        <is>
          <t>● • 5300-65% -Review, OVER THE SHOULDER…..</t>
        </is>
      </c>
      <c r="C1392" s="9" t="inlineStr">
        <is>
          <t>Unbekannt</t>
        </is>
      </c>
      <c r="D1392" s="10" t="inlineStr">
        <is>
          <t>⚠ Manual erforderlich</t>
        </is>
      </c>
      <c r="E1392" s="11" t="inlineStr"/>
      <c r="F1392" s="11" t="n">
        <v>0</v>
      </c>
      <c r="G1392" s="11">
        <f>E1392-F1392</f>
        <v/>
      </c>
      <c r="H1392" s="11" t="n">
        <v/>
      </c>
      <c r="I1392" s="11" t="n">
        <v/>
      </c>
      <c r="J1392" s="11" t="n">
        <v/>
      </c>
      <c r="K1392" s="4" t="inlineStr">
        <is>
          <t>Abrechnungsart wählen; Stundensätze eingeben</t>
        </is>
      </c>
    </row>
    <row r="1393">
      <c r="A1393" s="4" t="inlineStr">
        <is>
          <t>5156.02 BSK-LBBTR-SPES-N-Airbase-Spangdahlem</t>
        </is>
      </c>
      <c r="B1393" s="4" t="inlineStr">
        <is>
          <t>● • 3100-Erarbeiten des Brandschutzkonzept/Nachweis/Stellungnahme</t>
        </is>
      </c>
      <c r="C1393" s="9" t="inlineStr">
        <is>
          <t>Unbekannt</t>
        </is>
      </c>
      <c r="D1393" s="10" t="inlineStr">
        <is>
          <t>⚠ Manual erforderlich</t>
        </is>
      </c>
      <c r="E1393" s="11" t="inlineStr"/>
      <c r="F1393" s="11" t="n">
        <v>0</v>
      </c>
      <c r="G1393" s="11">
        <f>E1393-F1393</f>
        <v/>
      </c>
      <c r="H1393" s="11" t="n">
        <v/>
      </c>
      <c r="I1393" s="11" t="n">
        <v/>
      </c>
      <c r="J1393" s="11" t="n">
        <v/>
      </c>
      <c r="K1393" s="4" t="inlineStr">
        <is>
          <t>Abrechnungsart wählen; Stundensätze eingeben</t>
        </is>
      </c>
    </row>
    <row r="1394">
      <c r="A1394" s="4" t="inlineStr">
        <is>
          <t>5156.02 BSK-LBBTR-SPES-N-Airbase-Spangdahlem</t>
        </is>
      </c>
      <c r="B1394" s="4" t="inlineStr">
        <is>
          <t>● • 4103-Erarbeiten Brandschutzkonzeptpläne….</t>
        </is>
      </c>
      <c r="C1394" s="9" t="inlineStr">
        <is>
          <t>Unbekannt</t>
        </is>
      </c>
      <c r="D1394" s="10" t="inlineStr">
        <is>
          <t>⚠ Manual erforderlich</t>
        </is>
      </c>
      <c r="E1394" s="11" t="inlineStr"/>
      <c r="F1394" s="11" t="n">
        <v>0</v>
      </c>
      <c r="G1394" s="11">
        <f>E1394-F1394</f>
        <v/>
      </c>
      <c r="H1394" s="11" t="n">
        <v/>
      </c>
      <c r="I1394" s="11" t="n">
        <v/>
      </c>
      <c r="J1394" s="11" t="n">
        <v/>
      </c>
      <c r="K1394" s="4" t="inlineStr">
        <is>
          <t>Abrechnungsart wählen; Stundensätze eingeben</t>
        </is>
      </c>
    </row>
    <row r="1395">
      <c r="A1395" s="4" t="inlineStr">
        <is>
          <t>5156.02 BSK-LBBTR-SPES-N-Airbase-Spangdahlem</t>
        </is>
      </c>
      <c r="B1395" s="4" t="inlineStr">
        <is>
          <t>● • 5301-95% -Review, AFU-BAU…..</t>
        </is>
      </c>
      <c r="C1395" s="9" t="inlineStr">
        <is>
          <t>Unbekannt</t>
        </is>
      </c>
      <c r="D1395" s="10" t="inlineStr">
        <is>
          <t>⚠ Manual erforderlich</t>
        </is>
      </c>
      <c r="E1395" s="11" t="inlineStr"/>
      <c r="F1395" s="11" t="n">
        <v>0</v>
      </c>
      <c r="G1395" s="11">
        <f>E1395-F1395</f>
        <v/>
      </c>
      <c r="H1395" s="11" t="n">
        <v/>
      </c>
      <c r="I1395" s="11" t="n">
        <v/>
      </c>
      <c r="J1395" s="11" t="n">
        <v/>
      </c>
      <c r="K1395" s="4" t="inlineStr">
        <is>
          <t>Abrechnungsart wählen; Stundensätze eingeben</t>
        </is>
      </c>
    </row>
    <row r="1396">
      <c r="A1396" s="4" t="inlineStr">
        <is>
          <t>5156.02 BSK-LBBTR-SPES-N-Airbase-Spangdahlem</t>
        </is>
      </c>
      <c r="B1396" s="4" t="inlineStr">
        <is>
          <t>● • 3100-Erarbeiten des Brandschutzkonzept/Nachweis/Stellungnahme</t>
        </is>
      </c>
      <c r="C1396" s="9" t="inlineStr">
        <is>
          <t>Unbekannt</t>
        </is>
      </c>
      <c r="D1396" s="10" t="inlineStr">
        <is>
          <t>⚠ Manual erforderlich</t>
        </is>
      </c>
      <c r="E1396" s="11" t="inlineStr"/>
      <c r="F1396" s="11" t="n">
        <v>0</v>
      </c>
      <c r="G1396" s="11">
        <f>E1396-F1396</f>
        <v/>
      </c>
      <c r="H1396" s="11" t="n">
        <v/>
      </c>
      <c r="I1396" s="11" t="n">
        <v/>
      </c>
      <c r="J1396" s="11" t="n">
        <v/>
      </c>
      <c r="K1396" s="4" t="inlineStr">
        <is>
          <t>Abrechnungsart wählen; Stundensätze eingeben</t>
        </is>
      </c>
    </row>
    <row r="1397">
      <c r="A1397" s="4" t="inlineStr">
        <is>
          <t>5156.02 BSK-LBBTR-SPES-N-Airbase-Spangdahlem</t>
        </is>
      </c>
      <c r="B1397" s="4" t="inlineStr">
        <is>
          <t>● • 4103-Erarbeiten Brandschutzkonzeptpläne….</t>
        </is>
      </c>
      <c r="C1397" s="9" t="inlineStr">
        <is>
          <t>Unbekannt</t>
        </is>
      </c>
      <c r="D1397" s="10" t="inlineStr">
        <is>
          <t>⚠ Manual erforderlich</t>
        </is>
      </c>
      <c r="E1397" s="11" t="inlineStr"/>
      <c r="F1397" s="11" t="n">
        <v>0</v>
      </c>
      <c r="G1397" s="11">
        <f>E1397-F1397</f>
        <v/>
      </c>
      <c r="H1397" s="11" t="n">
        <v/>
      </c>
      <c r="I1397" s="11" t="n">
        <v/>
      </c>
      <c r="J1397" s="11" t="n">
        <v/>
      </c>
      <c r="K1397" s="4" t="inlineStr">
        <is>
          <t>Abrechnungsart wählen; Stundensätze eingeben</t>
        </is>
      </c>
    </row>
    <row r="1398">
      <c r="A1398" s="4" t="inlineStr">
        <is>
          <t>5156.02 BSK-LBBTR-SPES-N-Airbase-Spangdahlem</t>
        </is>
      </c>
      <c r="B1398" s="4" t="inlineStr">
        <is>
          <t>● • 3316-Teilnahme an Besprechungen</t>
        </is>
      </c>
      <c r="C1398" s="9" t="inlineStr">
        <is>
          <t>Unbekannt</t>
        </is>
      </c>
      <c r="D1398" s="10" t="inlineStr">
        <is>
          <t>⚠ Manual erforderlich</t>
        </is>
      </c>
      <c r="E1398" s="11" t="inlineStr"/>
      <c r="F1398" s="11" t="n">
        <v>0</v>
      </c>
      <c r="G1398" s="11">
        <f>E1398-F1398</f>
        <v/>
      </c>
      <c r="H1398" s="11" t="n">
        <v/>
      </c>
      <c r="I1398" s="11" t="n">
        <v/>
      </c>
      <c r="J1398" s="11" t="n">
        <v/>
      </c>
      <c r="K1398" s="4" t="inlineStr">
        <is>
          <t>Abrechnungsart wählen; Stundensätze eingeben</t>
        </is>
      </c>
    </row>
    <row r="1399">
      <c r="A1399" s="4" t="inlineStr">
        <is>
          <t>5156.02 BSK-LBBTR-SPES-N-Airbase-Spangdahlem</t>
        </is>
      </c>
      <c r="B1399" s="4" t="inlineStr">
        <is>
          <t>● • 3000-Entwurfsplanung</t>
        </is>
      </c>
      <c r="C1399" s="9" t="inlineStr">
        <is>
          <t>Unbekannt</t>
        </is>
      </c>
      <c r="D1399" s="10" t="inlineStr">
        <is>
          <t>⚠ Manual erforderlich</t>
        </is>
      </c>
      <c r="E1399" s="11" t="inlineStr"/>
      <c r="F1399" s="11" t="n">
        <v>0</v>
      </c>
      <c r="G1399" s="11">
        <f>E1399-F1399</f>
        <v/>
      </c>
      <c r="H1399" s="11" t="n">
        <v/>
      </c>
      <c r="I1399" s="11" t="n">
        <v/>
      </c>
      <c r="J1399" s="11" t="n">
        <v/>
      </c>
      <c r="K1399" s="4" t="inlineStr">
        <is>
          <t>Abrechnungsart wählen; Stundensätze eingeben</t>
        </is>
      </c>
    </row>
    <row r="1400">
      <c r="A1400" s="4" t="inlineStr">
        <is>
          <t>5156.02 BSK-LBBTR-SPES-N-Airbase-Spangdahlem</t>
        </is>
      </c>
      <c r="B1400" s="4" t="inlineStr">
        <is>
          <t>● • 5000-Ausführungsplanung</t>
        </is>
      </c>
      <c r="C1400" s="9" t="inlineStr">
        <is>
          <t>Unbekannt</t>
        </is>
      </c>
      <c r="D1400" s="10" t="inlineStr">
        <is>
          <t>⚠ Manual erforderlich</t>
        </is>
      </c>
      <c r="E1400" s="11" t="inlineStr"/>
      <c r="F1400" s="11" t="n">
        <v>0</v>
      </c>
      <c r="G1400" s="11">
        <f>E1400-F1400</f>
        <v/>
      </c>
      <c r="H1400" s="11" t="n">
        <v/>
      </c>
      <c r="I1400" s="11" t="n">
        <v/>
      </c>
      <c r="J1400" s="11" t="n">
        <v/>
      </c>
      <c r="K1400" s="4" t="inlineStr">
        <is>
          <t>Abrechnungsart wählen; Stundensätze eingeben</t>
        </is>
      </c>
    </row>
    <row r="1401">
      <c r="A1401" s="4" t="inlineStr">
        <is>
          <t>5156.03 LP8-LBBTR-SPES-N-Airbase-Spangdahlem</t>
        </is>
      </c>
      <c r="B1401" s="4" t="inlineStr">
        <is>
          <t>● (p) Pos. 8 LPH 8 Objektüberwachung</t>
        </is>
      </c>
      <c r="C1401" s="4" t="inlineStr">
        <is>
          <t>Pauschale</t>
        </is>
      </c>
      <c r="D1401" s="10" t="inlineStr">
        <is>
          <t>⚠ Manual erforderlich</t>
        </is>
      </c>
      <c r="E1401" s="11" t="inlineStr"/>
      <c r="F1401" s="11" t="n">
        <v>0</v>
      </c>
      <c r="G1401" s="11">
        <f>E1401-F1401</f>
        <v/>
      </c>
      <c r="H1401" s="11" t="n">
        <v>0</v>
      </c>
      <c r="I1401" s="11" t="n">
        <v>0</v>
      </c>
      <c r="J1401" s="11" t="n">
        <v>0</v>
      </c>
      <c r="K1401" s="4" t="inlineStr">
        <is>
          <t>Stundensätze eingeben</t>
        </is>
      </c>
    </row>
    <row r="1402">
      <c r="A1402" s="4" t="inlineStr">
        <is>
          <t>5156.04 LP9-LBBTR-SPES-N-Airbase-Spangdahlem</t>
        </is>
      </c>
      <c r="B1402" s="4" t="inlineStr">
        <is>
          <t>● Pos. 1 Fortschreibung des Brandschutzkonzeptes</t>
        </is>
      </c>
      <c r="C1402" s="9" t="inlineStr">
        <is>
          <t>Unbekannt</t>
        </is>
      </c>
      <c r="D1402" s="10" t="inlineStr">
        <is>
          <t>⚠ Manual erforderlich</t>
        </is>
      </c>
      <c r="E1402" s="11" t="inlineStr"/>
      <c r="F1402" s="11" t="n">
        <v>0</v>
      </c>
      <c r="G1402" s="11">
        <f>E1402-F1402</f>
        <v/>
      </c>
      <c r="H1402" s="11" t="n">
        <v/>
      </c>
      <c r="I1402" s="11" t="n">
        <v/>
      </c>
      <c r="J1402" s="11" t="n">
        <v/>
      </c>
      <c r="K1402" s="4" t="inlineStr">
        <is>
          <t>Abrechnungsart wählen; Stundensätze eingeben</t>
        </is>
      </c>
    </row>
    <row r="1403">
      <c r="A1403" s="4" t="inlineStr">
        <is>
          <t>5176.03 BTB-allg-RNV-Tunnelanlagen-LU-MA</t>
        </is>
      </c>
      <c r="B1403" s="4" t="inlineStr">
        <is>
          <t>● 1000-Grundlagenermittlung</t>
        </is>
      </c>
      <c r="C1403" s="9" t="inlineStr">
        <is>
          <t>Unbekannt</t>
        </is>
      </c>
      <c r="D1403" s="10" t="inlineStr">
        <is>
          <t>⚠ Manual erforderlich</t>
        </is>
      </c>
      <c r="E1403" s="11" t="inlineStr"/>
      <c r="F1403" s="11" t="n">
        <v>0</v>
      </c>
      <c r="G1403" s="11">
        <f>E1403-F1403</f>
        <v/>
      </c>
      <c r="H1403" s="11" t="n">
        <v/>
      </c>
      <c r="I1403" s="11" t="n">
        <v/>
      </c>
      <c r="J1403" s="11" t="n">
        <v/>
      </c>
      <c r="K1403" s="4" t="inlineStr">
        <is>
          <t>Abrechnungsart wählen; Stundensätze eingeben</t>
        </is>
      </c>
    </row>
    <row r="1404">
      <c r="A1404" s="4" t="inlineStr">
        <is>
          <t>5176.03 BTB-allg-RNV-Tunnelanlagen-LU-MA</t>
        </is>
      </c>
      <c r="B1404" s="4" t="inlineStr">
        <is>
          <t>● 2000-Vorplanung</t>
        </is>
      </c>
      <c r="C1404" s="9" t="inlineStr">
        <is>
          <t>Unbekannt</t>
        </is>
      </c>
      <c r="D1404" s="10" t="inlineStr">
        <is>
          <t>⚠ Manual erforderlich</t>
        </is>
      </c>
      <c r="E1404" s="11" t="inlineStr"/>
      <c r="F1404" s="11" t="n">
        <v>0</v>
      </c>
      <c r="G1404" s="11">
        <f>E1404-F1404</f>
        <v/>
      </c>
      <c r="H1404" s="11" t="n">
        <v/>
      </c>
      <c r="I1404" s="11" t="n">
        <v/>
      </c>
      <c r="J1404" s="11" t="n">
        <v/>
      </c>
      <c r="K1404" s="4" t="inlineStr">
        <is>
          <t>Abrechnungsart wählen; Stundensätze eingeben</t>
        </is>
      </c>
    </row>
    <row r="1405">
      <c r="A1405" s="4" t="inlineStr">
        <is>
          <t>5176.03 BTB-allg-RNV-Tunnelanlagen-LU-MA</t>
        </is>
      </c>
      <c r="B1405" s="4" t="inlineStr">
        <is>
          <t>● 3000-Entwurfsplanung</t>
        </is>
      </c>
      <c r="C1405" s="9" t="inlineStr">
        <is>
          <t>Unbekannt</t>
        </is>
      </c>
      <c r="D1405" s="10" t="inlineStr">
        <is>
          <t>⚠ Manual erforderlich</t>
        </is>
      </c>
      <c r="E1405" s="11" t="inlineStr"/>
      <c r="F1405" s="11" t="n">
        <v>0</v>
      </c>
      <c r="G1405" s="11">
        <f>E1405-F1405</f>
        <v/>
      </c>
      <c r="H1405" s="11" t="n">
        <v/>
      </c>
      <c r="I1405" s="11" t="n">
        <v/>
      </c>
      <c r="J1405" s="11" t="n">
        <v/>
      </c>
      <c r="K1405" s="4" t="inlineStr">
        <is>
          <t>Abrechnungsart wählen; Stundensätze eingeben</t>
        </is>
      </c>
    </row>
    <row r="1406">
      <c r="A1406" s="4" t="inlineStr">
        <is>
          <t>5176.08 FWP-RNV-Tunnelanlagen-LU</t>
        </is>
      </c>
      <c r="B1406" s="4" t="inlineStr">
        <is>
          <t>● Objektbegehung (auf Nachweis)</t>
        </is>
      </c>
      <c r="C1406" s="9" t="inlineStr">
        <is>
          <t>Unbekannt</t>
        </is>
      </c>
      <c r="D1406" s="10" t="inlineStr">
        <is>
          <t>⚠ Manual erforderlich</t>
        </is>
      </c>
      <c r="E1406" s="11" t="inlineStr"/>
      <c r="F1406" s="11" t="n">
        <v>0</v>
      </c>
      <c r="G1406" s="11">
        <f>E1406-F1406</f>
        <v/>
      </c>
      <c r="H1406" s="11" t="n">
        <v/>
      </c>
      <c r="I1406" s="11" t="n">
        <v/>
      </c>
      <c r="J1406" s="11" t="n">
        <v/>
      </c>
      <c r="K1406" s="4" t="inlineStr">
        <is>
          <t>Abrechnungsart wählen; Stundensätze eingeben</t>
        </is>
      </c>
    </row>
    <row r="1407">
      <c r="A1407" s="4" t="inlineStr">
        <is>
          <t>5176.08 FWP-RNV-Tunnelanlagen-LU</t>
        </is>
      </c>
      <c r="B1407" s="4" t="inlineStr">
        <is>
          <t>● FW-Pläne LU Hbf+Rathaus (pauschal)</t>
        </is>
      </c>
      <c r="C1407" s="9" t="inlineStr">
        <is>
          <t>Unbekannt</t>
        </is>
      </c>
      <c r="D1407" s="10" t="inlineStr">
        <is>
          <t>⚠ Manual erforderlich</t>
        </is>
      </c>
      <c r="E1407" s="11" t="inlineStr"/>
      <c r="F1407" s="11" t="n">
        <v>0</v>
      </c>
      <c r="G1407" s="11">
        <f>E1407-F1407</f>
        <v/>
      </c>
      <c r="H1407" s="11" t="n">
        <v/>
      </c>
      <c r="I1407" s="11" t="n">
        <v/>
      </c>
      <c r="J1407" s="11" t="n">
        <v/>
      </c>
      <c r="K1407" s="4" t="inlineStr">
        <is>
          <t>Abrechnungsart wählen; Stundensätze eingeben</t>
        </is>
      </c>
    </row>
    <row r="1408">
      <c r="A1408" s="4" t="inlineStr">
        <is>
          <t>5176.12 RNV-LUHbf+RathausTunnelanlagen-Ludwigshafen</t>
        </is>
      </c>
      <c r="B1408" s="4" t="inlineStr">
        <is>
          <t>● (p) Pos. 1 Erweiterung der Feuerwehrpläne um einen Übersichtsplan</t>
        </is>
      </c>
      <c r="C1408" s="4" t="inlineStr">
        <is>
          <t>Pauschale</t>
        </is>
      </c>
      <c r="D1408" s="10" t="inlineStr">
        <is>
          <t>⚠ Manual erforderlich</t>
        </is>
      </c>
      <c r="E1408" s="11" t="inlineStr"/>
      <c r="F1408" s="11" t="n">
        <v>0</v>
      </c>
      <c r="G1408" s="11">
        <f>E1408-F1408</f>
        <v/>
      </c>
      <c r="H1408" s="11" t="n">
        <v>0</v>
      </c>
      <c r="I1408" s="11" t="n">
        <v>0</v>
      </c>
      <c r="J1408" s="11" t="n">
        <v>0</v>
      </c>
      <c r="K1408" s="4" t="inlineStr">
        <is>
          <t>Stundensätze eingeben</t>
        </is>
      </c>
    </row>
    <row r="1409">
      <c r="A1409" s="4" t="inlineStr">
        <is>
          <t>5176.13 RNV-Akt-FWP-FRP-Tunnelanlagen-LU</t>
        </is>
      </c>
      <c r="B1409" s="4" t="inlineStr">
        <is>
          <t>● (p) Pos. 1 Aktualisieren der Feuerwehrpläne</t>
        </is>
      </c>
      <c r="C1409" s="4" t="inlineStr">
        <is>
          <t>Pauschale</t>
        </is>
      </c>
      <c r="D1409" s="10" t="inlineStr">
        <is>
          <t>⚠ Manual erforderlich</t>
        </is>
      </c>
      <c r="E1409" s="11" t="inlineStr"/>
      <c r="F1409" s="11" t="n">
        <v>0</v>
      </c>
      <c r="G1409" s="11">
        <f>E1409-F1409</f>
        <v/>
      </c>
      <c r="H1409" s="11" t="n">
        <v>0</v>
      </c>
      <c r="I1409" s="11" t="n">
        <v>0</v>
      </c>
      <c r="J1409" s="11" t="n">
        <v>0</v>
      </c>
      <c r="K1409" s="4" t="inlineStr">
        <is>
          <t>Stundensätze eingeben</t>
        </is>
      </c>
    </row>
    <row r="1410">
      <c r="A1410" s="4" t="inlineStr">
        <is>
          <t>5176.13 RNV-Akt-FWP-FRP-Tunnelanlagen-LU</t>
        </is>
      </c>
      <c r="B1410" s="4" t="inlineStr">
        <is>
          <t>● (p) Pos. 2 Aktualisieren der Flucht- und Rettungspläne</t>
        </is>
      </c>
      <c r="C1410" s="4" t="inlineStr">
        <is>
          <t>Pauschale</t>
        </is>
      </c>
      <c r="D1410" s="10" t="inlineStr">
        <is>
          <t>⚠ Manual erforderlich</t>
        </is>
      </c>
      <c r="E1410" s="11" t="inlineStr"/>
      <c r="F1410" s="11" t="n">
        <v>0</v>
      </c>
      <c r="G1410" s="11">
        <f>E1410-F1410</f>
        <v/>
      </c>
      <c r="H1410" s="11" t="n">
        <v>0</v>
      </c>
      <c r="I1410" s="11" t="n">
        <v>0</v>
      </c>
      <c r="J1410" s="11" t="n">
        <v>0</v>
      </c>
      <c r="K1410" s="4" t="inlineStr">
        <is>
          <t>Stundensätze eingeben</t>
        </is>
      </c>
    </row>
    <row r="1411">
      <c r="A1411" s="4" t="inlineStr">
        <is>
          <t>5176.13 RNV-Akt-FWP-FRP-Tunnelanlagen-LU</t>
        </is>
      </c>
      <c r="B1411" s="4" t="inlineStr">
        <is>
          <t>● (p) Pos. 3 Zusammenfassen der Feuerwehrpläne</t>
        </is>
      </c>
      <c r="C1411" s="4" t="inlineStr">
        <is>
          <t>Pauschale</t>
        </is>
      </c>
      <c r="D1411" s="10" t="inlineStr">
        <is>
          <t>⚠ Manual erforderlich</t>
        </is>
      </c>
      <c r="E1411" s="11" t="inlineStr"/>
      <c r="F1411" s="11" t="n">
        <v>0</v>
      </c>
      <c r="G1411" s="11">
        <f>E1411-F1411</f>
        <v/>
      </c>
      <c r="H1411" s="11" t="n">
        <v>0</v>
      </c>
      <c r="I1411" s="11" t="n">
        <v>0</v>
      </c>
      <c r="J1411" s="11" t="n">
        <v>0</v>
      </c>
      <c r="K1411" s="4" t="inlineStr">
        <is>
          <t>Stundensätze eingeben</t>
        </is>
      </c>
    </row>
    <row r="1412">
      <c r="A1412" s="4" t="inlineStr">
        <is>
          <t>5182.03 Roche-BSK-SandhoferStr116-Mannheim-Roche-Geb260</t>
        </is>
      </c>
      <c r="B1412" s="4" t="inlineStr">
        <is>
          <t>● (p) Pos. 1 Fortschr. BSK</t>
        </is>
      </c>
      <c r="C1412" s="4" t="inlineStr">
        <is>
          <t>Pauschale</t>
        </is>
      </c>
      <c r="D1412" s="10" t="inlineStr">
        <is>
          <t>⚠ Manual erforderlich</t>
        </is>
      </c>
      <c r="E1412" s="11" t="inlineStr"/>
      <c r="F1412" s="11" t="n">
        <v>0</v>
      </c>
      <c r="G1412" s="11">
        <f>E1412-F1412</f>
        <v/>
      </c>
      <c r="H1412" s="11" t="n">
        <v>0</v>
      </c>
      <c r="I1412" s="11" t="n">
        <v>0</v>
      </c>
      <c r="J1412" s="11" t="n">
        <v>0</v>
      </c>
      <c r="K1412" s="4" t="inlineStr">
        <is>
          <t>Stundensätze eingeben</t>
        </is>
      </c>
    </row>
    <row r="1413">
      <c r="A1413" s="4" t="inlineStr">
        <is>
          <t>5182.03 Roche-BSK-SandhoferStr116-Mannheim-Roche-Geb260</t>
        </is>
      </c>
      <c r="B1413" s="4" t="inlineStr">
        <is>
          <t>● (aN) Pos. 2 BAB und Qualitätsüberwachung für die Durchführung der Baumaßnahme</t>
        </is>
      </c>
      <c r="C1413" s="4" t="inlineStr">
        <is>
          <t>Nachweis</t>
        </is>
      </c>
      <c r="D1413" s="10" t="inlineStr">
        <is>
          <t>⚠ Manual erforderlich</t>
        </is>
      </c>
      <c r="E1413" s="11" t="inlineStr"/>
      <c r="F1413" s="11" t="n">
        <v>0</v>
      </c>
      <c r="G1413" s="11">
        <f>E1413-F1413</f>
        <v/>
      </c>
      <c r="H1413" s="11" t="n">
        <v/>
      </c>
      <c r="I1413" s="11" t="n">
        <v/>
      </c>
      <c r="J1413" s="11" t="n">
        <v/>
      </c>
      <c r="K1413" s="4" t="inlineStr">
        <is>
          <t>Stundensätze eingeben</t>
        </is>
      </c>
    </row>
    <row r="1414">
      <c r="A1414" s="4" t="inlineStr">
        <is>
          <t>5189 Jahrmarktstreppchen-1-3-Bad-Kreuznach</t>
        </is>
      </c>
      <c r="B1414" s="4" t="inlineStr">
        <is>
          <t>● 1000-Grundlagenermittlung</t>
        </is>
      </c>
      <c r="C1414" s="9" t="inlineStr">
        <is>
          <t>Unbekannt</t>
        </is>
      </c>
      <c r="D1414" s="10" t="inlineStr">
        <is>
          <t>⚠ Manual erforderlich</t>
        </is>
      </c>
      <c r="E1414" s="11" t="inlineStr"/>
      <c r="F1414" s="11" t="n">
        <v>0</v>
      </c>
      <c r="G1414" s="11">
        <f>E1414-F1414</f>
        <v/>
      </c>
      <c r="H1414" s="11" t="n">
        <v/>
      </c>
      <c r="I1414" s="11" t="n">
        <v/>
      </c>
      <c r="J1414" s="11" t="n">
        <v/>
      </c>
      <c r="K1414" s="4" t="inlineStr">
        <is>
          <t>Abrechnungsart wählen; Stundensätze eingeben</t>
        </is>
      </c>
    </row>
    <row r="1415">
      <c r="A1415" s="4" t="inlineStr">
        <is>
          <t>5189 Jahrmarktstreppchen-1-3-Bad-Kreuznach</t>
        </is>
      </c>
      <c r="B1415" s="4" t="inlineStr">
        <is>
          <t>● 2000-Vorplanung</t>
        </is>
      </c>
      <c r="C1415" s="9" t="inlineStr">
        <is>
          <t>Unbekannt</t>
        </is>
      </c>
      <c r="D1415" s="10" t="inlineStr">
        <is>
          <t>⚠ Manual erforderlich</t>
        </is>
      </c>
      <c r="E1415" s="11" t="inlineStr"/>
      <c r="F1415" s="11" t="n">
        <v>0</v>
      </c>
      <c r="G1415" s="11">
        <f>E1415-F1415</f>
        <v/>
      </c>
      <c r="H1415" s="11" t="n">
        <v/>
      </c>
      <c r="I1415" s="11" t="n">
        <v/>
      </c>
      <c r="J1415" s="11" t="n">
        <v/>
      </c>
      <c r="K1415" s="4" t="inlineStr">
        <is>
          <t>Abrechnungsart wählen; Stundensätze eingeben</t>
        </is>
      </c>
    </row>
    <row r="1416">
      <c r="A1416" s="4" t="inlineStr">
        <is>
          <t>5189 Jahrmarktstreppchen-1-3-Bad-Kreuznach</t>
        </is>
      </c>
      <c r="B1416" s="4" t="inlineStr">
        <is>
          <t>● 3000-Entwurfsplanung</t>
        </is>
      </c>
      <c r="C1416" s="9" t="inlineStr">
        <is>
          <t>Unbekannt</t>
        </is>
      </c>
      <c r="D1416" s="10" t="inlineStr">
        <is>
          <t>⚠ Manual erforderlich</t>
        </is>
      </c>
      <c r="E1416" s="11" t="inlineStr"/>
      <c r="F1416" s="11" t="n">
        <v>0</v>
      </c>
      <c r="G1416" s="11">
        <f>E1416-F1416</f>
        <v/>
      </c>
      <c r="H1416" s="11" t="n">
        <v/>
      </c>
      <c r="I1416" s="11" t="n">
        <v/>
      </c>
      <c r="J1416" s="11" t="n">
        <v/>
      </c>
      <c r="K1416" s="4" t="inlineStr">
        <is>
          <t>Abrechnungsart wählen; Stundensätze eingeben</t>
        </is>
      </c>
    </row>
    <row r="1417">
      <c r="A1417" s="4" t="inlineStr">
        <is>
          <t>5189 Jahrmarktstreppchen-1-3-Bad-Kreuznach</t>
        </is>
      </c>
      <c r="B1417" s="4" t="inlineStr">
        <is>
          <t>● 4000-Genehmigungsplanung</t>
        </is>
      </c>
      <c r="C1417" s="9" t="inlineStr">
        <is>
          <t>Unbekannt</t>
        </is>
      </c>
      <c r="D1417" s="10" t="inlineStr">
        <is>
          <t>⚠ Manual erforderlich</t>
        </is>
      </c>
      <c r="E1417" s="11" t="inlineStr"/>
      <c r="F1417" s="11" t="n">
        <v>0</v>
      </c>
      <c r="G1417" s="11">
        <f>E1417-F1417</f>
        <v/>
      </c>
      <c r="H1417" s="11" t="n">
        <v/>
      </c>
      <c r="I1417" s="11" t="n">
        <v/>
      </c>
      <c r="J1417" s="11" t="n">
        <v/>
      </c>
      <c r="K1417" s="4" t="inlineStr">
        <is>
          <t>Abrechnungsart wählen; Stundensätze eingeben</t>
        </is>
      </c>
    </row>
    <row r="1418">
      <c r="A1418" s="4" t="inlineStr">
        <is>
          <t>5189 Jahrmarktstreppchen-1-3-Bad-Kreuznach</t>
        </is>
      </c>
      <c r="B1418" s="4" t="inlineStr">
        <is>
          <t>● 7000-Mitwirkung bei der Vergabe</t>
        </is>
      </c>
      <c r="C1418" s="9" t="inlineStr">
        <is>
          <t>Unbekannt</t>
        </is>
      </c>
      <c r="D1418" s="10" t="inlineStr">
        <is>
          <t>⚠ Manual erforderlich</t>
        </is>
      </c>
      <c r="E1418" s="11" t="inlineStr"/>
      <c r="F1418" s="11" t="n">
        <v>0</v>
      </c>
      <c r="G1418" s="11">
        <f>E1418-F1418</f>
        <v/>
      </c>
      <c r="H1418" s="11" t="n">
        <v/>
      </c>
      <c r="I1418" s="11" t="n">
        <v/>
      </c>
      <c r="J1418" s="11" t="n">
        <v/>
      </c>
      <c r="K1418" s="4" t="inlineStr">
        <is>
          <t>Abrechnungsart wählen; Stundensätze eingeben</t>
        </is>
      </c>
    </row>
    <row r="1419">
      <c r="A1419" s="4" t="inlineStr">
        <is>
          <t>5189 Jahrmarktstreppchen-1-3-Bad-Kreuznach</t>
        </is>
      </c>
      <c r="B1419" s="4" t="inlineStr">
        <is>
          <t>● 8000-Objektüberwachung</t>
        </is>
      </c>
      <c r="C1419" s="9" t="inlineStr">
        <is>
          <t>Unbekannt</t>
        </is>
      </c>
      <c r="D1419" s="10" t="inlineStr">
        <is>
          <t>⚠ Manual erforderlich</t>
        </is>
      </c>
      <c r="E1419" s="11" t="inlineStr"/>
      <c r="F1419" s="11" t="n">
        <v>0</v>
      </c>
      <c r="G1419" s="11">
        <f>E1419-F1419</f>
        <v/>
      </c>
      <c r="H1419" s="11" t="n">
        <v/>
      </c>
      <c r="I1419" s="11" t="n">
        <v/>
      </c>
      <c r="J1419" s="11" t="n">
        <v/>
      </c>
      <c r="K1419" s="4" t="inlineStr">
        <is>
          <t>Abrechnungsart wählen; Stundensätze eingeben</t>
        </is>
      </c>
    </row>
    <row r="1420">
      <c r="A1420" s="4" t="inlineStr">
        <is>
          <t>5199 Spangdahlem-Geb-99</t>
        </is>
      </c>
      <c r="B1420" s="4" t="inlineStr">
        <is>
          <t>● 1000-Grundlagenermittlung</t>
        </is>
      </c>
      <c r="C1420" s="9" t="inlineStr">
        <is>
          <t>Unbekannt</t>
        </is>
      </c>
      <c r="D1420" s="10" t="inlineStr">
        <is>
          <t>⚠ Manual erforderlich</t>
        </is>
      </c>
      <c r="E1420" s="11" t="inlineStr"/>
      <c r="F1420" s="11" t="n">
        <v>0</v>
      </c>
      <c r="G1420" s="11">
        <f>E1420-F1420</f>
        <v/>
      </c>
      <c r="H1420" s="11" t="n">
        <v/>
      </c>
      <c r="I1420" s="11" t="n">
        <v/>
      </c>
      <c r="J1420" s="11" t="n">
        <v/>
      </c>
      <c r="K1420" s="4" t="inlineStr">
        <is>
          <t>Abrechnungsart wählen; Stundensätze eingeben</t>
        </is>
      </c>
    </row>
    <row r="1421">
      <c r="A1421" s="4" t="inlineStr">
        <is>
          <t>5199 Spangdahlem-Geb-99</t>
        </is>
      </c>
      <c r="B1421" s="4" t="inlineStr">
        <is>
          <t>● 2000-Vorplanung</t>
        </is>
      </c>
      <c r="C1421" s="9" t="inlineStr">
        <is>
          <t>Unbekannt</t>
        </is>
      </c>
      <c r="D1421" s="10" t="inlineStr">
        <is>
          <t>⚠ Manual erforderlich</t>
        </is>
      </c>
      <c r="E1421" s="11" t="inlineStr"/>
      <c r="F1421" s="11" t="n">
        <v>0</v>
      </c>
      <c r="G1421" s="11">
        <f>E1421-F1421</f>
        <v/>
      </c>
      <c r="H1421" s="11" t="n">
        <v/>
      </c>
      <c r="I1421" s="11" t="n">
        <v/>
      </c>
      <c r="J1421" s="11" t="n">
        <v/>
      </c>
      <c r="K1421" s="4" t="inlineStr">
        <is>
          <t>Abrechnungsart wählen; Stundensätze eingeben</t>
        </is>
      </c>
    </row>
    <row r="1422">
      <c r="A1422" s="4" t="inlineStr">
        <is>
          <t>5199 Spangdahlem-Geb-99</t>
        </is>
      </c>
      <c r="B1422" s="4" t="inlineStr">
        <is>
          <t>● 3000-Entwurfsplanung</t>
        </is>
      </c>
      <c r="C1422" s="9" t="inlineStr">
        <is>
          <t>Unbekannt</t>
        </is>
      </c>
      <c r="D1422" s="10" t="inlineStr">
        <is>
          <t>⚠ Manual erforderlich</t>
        </is>
      </c>
      <c r="E1422" s="11" t="inlineStr"/>
      <c r="F1422" s="11" t="n">
        <v>0</v>
      </c>
      <c r="G1422" s="11">
        <f>E1422-F1422</f>
        <v/>
      </c>
      <c r="H1422" s="11" t="n">
        <v/>
      </c>
      <c r="I1422" s="11" t="n">
        <v/>
      </c>
      <c r="J1422" s="11" t="n">
        <v/>
      </c>
      <c r="K1422" s="4" t="inlineStr">
        <is>
          <t>Abrechnungsart wählen; Stundensätze eingeben</t>
        </is>
      </c>
    </row>
    <row r="1423">
      <c r="A1423" s="4" t="inlineStr">
        <is>
          <t>5199 Spangdahlem-Geb-99</t>
        </is>
      </c>
      <c r="B1423" s="4" t="inlineStr">
        <is>
          <t>● 4000-Genehmigungsplanung</t>
        </is>
      </c>
      <c r="C1423" s="9" t="inlineStr">
        <is>
          <t>Unbekannt</t>
        </is>
      </c>
      <c r="D1423" s="10" t="inlineStr">
        <is>
          <t>⚠ Manual erforderlich</t>
        </is>
      </c>
      <c r="E1423" s="11" t="inlineStr"/>
      <c r="F1423" s="11" t="n">
        <v>0</v>
      </c>
      <c r="G1423" s="11">
        <f>E1423-F1423</f>
        <v/>
      </c>
      <c r="H1423" s="11" t="n">
        <v/>
      </c>
      <c r="I1423" s="11" t="n">
        <v/>
      </c>
      <c r="J1423" s="11" t="n">
        <v/>
      </c>
      <c r="K1423" s="4" t="inlineStr">
        <is>
          <t>Abrechnungsart wählen; Stundensätze eingeben</t>
        </is>
      </c>
    </row>
    <row r="1424">
      <c r="A1424" s="4" t="inlineStr">
        <is>
          <t>5199 Spangdahlem-Geb-99</t>
        </is>
      </c>
      <c r="B1424" s="4" t="inlineStr">
        <is>
          <t>● 5000-Ausführungsplanung</t>
        </is>
      </c>
      <c r="C1424" s="9" t="inlineStr">
        <is>
          <t>Unbekannt</t>
        </is>
      </c>
      <c r="D1424" s="10" t="inlineStr">
        <is>
          <t>⚠ Manual erforderlich</t>
        </is>
      </c>
      <c r="E1424" s="11" t="inlineStr"/>
      <c r="F1424" s="11" t="n">
        <v>0</v>
      </c>
      <c r="G1424" s="11">
        <f>E1424-F1424</f>
        <v/>
      </c>
      <c r="H1424" s="11" t="n">
        <v/>
      </c>
      <c r="I1424" s="11" t="n">
        <v/>
      </c>
      <c r="J1424" s="11" t="n">
        <v/>
      </c>
      <c r="K1424" s="4" t="inlineStr">
        <is>
          <t>Abrechnungsart wählen; Stundensätze eingeben</t>
        </is>
      </c>
    </row>
    <row r="1425">
      <c r="A1425" s="4" t="inlineStr">
        <is>
          <t>5199 Spangdahlem-Geb-99</t>
        </is>
      </c>
      <c r="B1425" s="4" t="inlineStr">
        <is>
          <t>● 8000-Objektüberwachung</t>
        </is>
      </c>
      <c r="C1425" s="9" t="inlineStr">
        <is>
          <t>Unbekannt</t>
        </is>
      </c>
      <c r="D1425" s="10" t="inlineStr">
        <is>
          <t>⚠ Manual erforderlich</t>
        </is>
      </c>
      <c r="E1425" s="11" t="inlineStr"/>
      <c r="F1425" s="11" t="n">
        <v>0</v>
      </c>
      <c r="G1425" s="11">
        <f>E1425-F1425</f>
        <v/>
      </c>
      <c r="H1425" s="11" t="n">
        <v/>
      </c>
      <c r="I1425" s="11" t="n">
        <v/>
      </c>
      <c r="J1425" s="11" t="n">
        <v/>
      </c>
      <c r="K1425" s="4" t="inlineStr">
        <is>
          <t>Abrechnungsart wählen; Stundensätze eingeben</t>
        </is>
      </c>
    </row>
    <row r="1426">
      <c r="A1426" s="4" t="inlineStr">
        <is>
          <t>5200.03 (eh. 7528) ADAC-BAB-Hans-Thoma-Straße 28-30</t>
        </is>
      </c>
      <c r="B1426" s="4" t="inlineStr">
        <is>
          <t>● (aN) Pos. 1 BAB</t>
        </is>
      </c>
      <c r="C1426" s="4" t="inlineStr">
        <is>
          <t>Nachweis</t>
        </is>
      </c>
      <c r="D1426" s="10" t="inlineStr">
        <is>
          <t>⚠ Manual erforderlich</t>
        </is>
      </c>
      <c r="E1426" s="11" t="inlineStr"/>
      <c r="F1426" s="11" t="n">
        <v>0</v>
      </c>
      <c r="G1426" s="11">
        <f>E1426-F1426</f>
        <v/>
      </c>
      <c r="H1426" s="11" t="n">
        <v/>
      </c>
      <c r="I1426" s="11" t="n">
        <v/>
      </c>
      <c r="J1426" s="11" t="n">
        <v/>
      </c>
      <c r="K1426" s="4" t="inlineStr">
        <is>
          <t>Stundensätze eingeben</t>
        </is>
      </c>
    </row>
    <row r="1427">
      <c r="A1427" s="4" t="inlineStr">
        <is>
          <t>5200.03 (eh. 7528) ADAC-BAB-Hans-Thoma-Straße 28-30</t>
        </is>
      </c>
      <c r="B1427" s="4" t="inlineStr">
        <is>
          <t>● nicht kalkuliert: Auftragsbearbeitung / Administrative Tätigkeiten zur Projektunterstützung</t>
        </is>
      </c>
      <c r="C1427" s="9" t="inlineStr">
        <is>
          <t>Unbekannt</t>
        </is>
      </c>
      <c r="D1427" s="10" t="inlineStr">
        <is>
          <t>⚠ Manual erforderlich</t>
        </is>
      </c>
      <c r="E1427" s="11" t="inlineStr"/>
      <c r="F1427" s="11" t="n">
        <v>0</v>
      </c>
      <c r="G1427" s="11">
        <f>E1427-F1427</f>
        <v/>
      </c>
      <c r="H1427" s="11" t="n">
        <v/>
      </c>
      <c r="I1427" s="11" t="n">
        <v/>
      </c>
      <c r="J1427" s="11" t="n">
        <v/>
      </c>
      <c r="K1427" s="4" t="inlineStr">
        <is>
          <t>Abrechnungsart wählen; Stundensätze eingeben</t>
        </is>
      </c>
    </row>
    <row r="1428">
      <c r="A1428" s="4" t="inlineStr">
        <is>
          <t>5207.06 Fortschr3-BSK-Michael-Schumacher-Straße-Kerpen-UNITYMEDIA</t>
        </is>
      </c>
      <c r="B1428" s="4" t="inlineStr">
        <is>
          <t>● 3. Fortschr. BSK (pauschal)</t>
        </is>
      </c>
      <c r="C1428" s="9" t="inlineStr">
        <is>
          <t>Unbekannt</t>
        </is>
      </c>
      <c r="D1428" s="10" t="inlineStr">
        <is>
          <t>⚠ Manual erforderlich</t>
        </is>
      </c>
      <c r="E1428" s="11" t="inlineStr"/>
      <c r="F1428" s="11" t="n">
        <v>0</v>
      </c>
      <c r="G1428" s="11">
        <f>E1428-F1428</f>
        <v/>
      </c>
      <c r="H1428" s="11" t="n">
        <v/>
      </c>
      <c r="I1428" s="11" t="n">
        <v/>
      </c>
      <c r="J1428" s="11" t="n">
        <v/>
      </c>
      <c r="K1428" s="4" t="inlineStr">
        <is>
          <t>Abrechnungsart wählen; Stundensätze eingeben</t>
        </is>
      </c>
    </row>
    <row r="1429">
      <c r="A1429" s="4" t="inlineStr">
        <is>
          <t>5207.06 Fortschr3-BSK-Michael-Schumacher-Straße-Kerpen-UNITYMEDIA</t>
        </is>
      </c>
      <c r="B1429" s="4" t="inlineStr">
        <is>
          <t>● Baubegleitung (auf Nachweis)</t>
        </is>
      </c>
      <c r="C1429" s="9" t="inlineStr">
        <is>
          <t>Unbekannt</t>
        </is>
      </c>
      <c r="D1429" s="10" t="inlineStr">
        <is>
          <t>⚠ Manual erforderlich</t>
        </is>
      </c>
      <c r="E1429" s="11" t="inlineStr"/>
      <c r="F1429" s="11" t="n">
        <v>0</v>
      </c>
      <c r="G1429" s="11">
        <f>E1429-F1429</f>
        <v/>
      </c>
      <c r="H1429" s="11" t="n">
        <v/>
      </c>
      <c r="I1429" s="11" t="n">
        <v/>
      </c>
      <c r="J1429" s="11" t="n">
        <v/>
      </c>
      <c r="K1429" s="4" t="inlineStr">
        <is>
          <t>Abrechnungsart wählen; Stundensätze eingeben</t>
        </is>
      </c>
    </row>
    <row r="1430">
      <c r="A1430" s="4" t="inlineStr">
        <is>
          <t>5207.09 FMS-BSK-Technikcontainer-MichaelSchumacherStr-Kerpen</t>
        </is>
      </c>
      <c r="B1430" s="4" t="inlineStr">
        <is>
          <t>● (p) Pos. 1 Erstellung Fortschreibung Brandschutzkonzept</t>
        </is>
      </c>
      <c r="C1430" s="4" t="inlineStr">
        <is>
          <t>Pauschale</t>
        </is>
      </c>
      <c r="D1430" s="10" t="inlineStr">
        <is>
          <t>⚠ Manual erforderlich</t>
        </is>
      </c>
      <c r="E1430" s="11" t="inlineStr"/>
      <c r="F1430" s="11" t="n">
        <v>0</v>
      </c>
      <c r="G1430" s="11">
        <f>E1430-F1430</f>
        <v/>
      </c>
      <c r="H1430" s="11" t="n">
        <v>0</v>
      </c>
      <c r="I1430" s="11" t="n">
        <v>0</v>
      </c>
      <c r="J1430" s="11" t="n">
        <v>0</v>
      </c>
      <c r="K1430" s="4" t="inlineStr">
        <is>
          <t>Stundensätze eingeben</t>
        </is>
      </c>
    </row>
    <row r="1431">
      <c r="A1431" s="4" t="inlineStr">
        <is>
          <t>5207.10 Vodafone-West-Fortschr4-BSK-Michael-Schumacher-Str1-3-Kerpen</t>
        </is>
      </c>
      <c r="B1431" s="4" t="inlineStr">
        <is>
          <t>● (p) Pos. 1 Fortschr. BSK</t>
        </is>
      </c>
      <c r="C1431" s="4" t="inlineStr">
        <is>
          <t>Pauschale</t>
        </is>
      </c>
      <c r="D1431" s="10" t="inlineStr">
        <is>
          <t>⚠ Manual erforderlich</t>
        </is>
      </c>
      <c r="E1431" s="11" t="inlineStr"/>
      <c r="F1431" s="11" t="n">
        <v>0</v>
      </c>
      <c r="G1431" s="11">
        <f>E1431-F1431</f>
        <v/>
      </c>
      <c r="H1431" s="11" t="n">
        <v>0</v>
      </c>
      <c r="I1431" s="11" t="n">
        <v>0</v>
      </c>
      <c r="J1431" s="11" t="n">
        <v>0</v>
      </c>
      <c r="K1431" s="4" t="inlineStr">
        <is>
          <t>Stundensätze eingeben</t>
        </is>
      </c>
    </row>
    <row r="1432">
      <c r="A1432" s="4" t="inlineStr">
        <is>
          <t>5220 Fraport-Pier-G</t>
        </is>
      </c>
      <c r="B1432" s="4" t="inlineStr">
        <is>
          <t>● 1000-Grundlagenermittlung</t>
        </is>
      </c>
      <c r="C1432" s="9" t="inlineStr">
        <is>
          <t>Unbekannt</t>
        </is>
      </c>
      <c r="D1432" s="10" t="inlineStr">
        <is>
          <t>⚠ Manual erforderlich</t>
        </is>
      </c>
      <c r="E1432" s="11" t="inlineStr"/>
      <c r="F1432" s="11" t="n">
        <v>0</v>
      </c>
      <c r="G1432" s="11">
        <f>E1432-F1432</f>
        <v/>
      </c>
      <c r="H1432" s="11" t="n">
        <v/>
      </c>
      <c r="I1432" s="11" t="n">
        <v/>
      </c>
      <c r="J1432" s="11" t="n">
        <v/>
      </c>
      <c r="K1432" s="4" t="inlineStr">
        <is>
          <t>Abrechnungsart wählen; Stundensätze eingeben</t>
        </is>
      </c>
    </row>
    <row r="1433">
      <c r="A1433" s="4" t="inlineStr">
        <is>
          <t>5220 Fraport-Pier-G</t>
        </is>
      </c>
      <c r="B1433" s="4" t="inlineStr">
        <is>
          <t>● 2000-Vorplanung</t>
        </is>
      </c>
      <c r="C1433" s="9" t="inlineStr">
        <is>
          <t>Unbekannt</t>
        </is>
      </c>
      <c r="D1433" s="10" t="inlineStr">
        <is>
          <t>⚠ Manual erforderlich</t>
        </is>
      </c>
      <c r="E1433" s="11" t="inlineStr"/>
      <c r="F1433" s="11" t="n">
        <v>0</v>
      </c>
      <c r="G1433" s="11">
        <f>E1433-F1433</f>
        <v/>
      </c>
      <c r="H1433" s="11" t="n">
        <v/>
      </c>
      <c r="I1433" s="11" t="n">
        <v/>
      </c>
      <c r="J1433" s="11" t="n">
        <v/>
      </c>
      <c r="K1433" s="4" t="inlineStr">
        <is>
          <t>Abrechnungsart wählen; Stundensätze eingeben</t>
        </is>
      </c>
    </row>
    <row r="1434">
      <c r="A1434" s="4" t="inlineStr">
        <is>
          <t>5220 Fraport-Pier-G</t>
        </is>
      </c>
      <c r="B1434" s="4" t="inlineStr">
        <is>
          <t>● 3000-Entwurfsplanung</t>
        </is>
      </c>
      <c r="C1434" s="9" t="inlineStr">
        <is>
          <t>Unbekannt</t>
        </is>
      </c>
      <c r="D1434" s="10" t="inlineStr">
        <is>
          <t>⚠ Manual erforderlich</t>
        </is>
      </c>
      <c r="E1434" s="11" t="inlineStr"/>
      <c r="F1434" s="11" t="n">
        <v>0</v>
      </c>
      <c r="G1434" s="11">
        <f>E1434-F1434</f>
        <v/>
      </c>
      <c r="H1434" s="11" t="n">
        <v/>
      </c>
      <c r="I1434" s="11" t="n">
        <v/>
      </c>
      <c r="J1434" s="11" t="n">
        <v/>
      </c>
      <c r="K1434" s="4" t="inlineStr">
        <is>
          <t>Abrechnungsart wählen; Stundensätze eingeben</t>
        </is>
      </c>
    </row>
    <row r="1435">
      <c r="A1435" s="4" t="inlineStr">
        <is>
          <t>5220 Fraport-Pier-G</t>
        </is>
      </c>
      <c r="B1435" s="4" t="inlineStr">
        <is>
          <t>● 4000-Genehmigungsplanung</t>
        </is>
      </c>
      <c r="C1435" s="9" t="inlineStr">
        <is>
          <t>Unbekannt</t>
        </is>
      </c>
      <c r="D1435" s="10" t="inlineStr">
        <is>
          <t>⚠ Manual erforderlich</t>
        </is>
      </c>
      <c r="E1435" s="11" t="inlineStr"/>
      <c r="F1435" s="11" t="n">
        <v>0</v>
      </c>
      <c r="G1435" s="11">
        <f>E1435-F1435</f>
        <v/>
      </c>
      <c r="H1435" s="11" t="n">
        <v/>
      </c>
      <c r="I1435" s="11" t="n">
        <v/>
      </c>
      <c r="J1435" s="11" t="n">
        <v/>
      </c>
      <c r="K1435" s="4" t="inlineStr">
        <is>
          <t>Abrechnungsart wählen; Stundensätze eingeben</t>
        </is>
      </c>
    </row>
    <row r="1436">
      <c r="A1436" s="4" t="inlineStr">
        <is>
          <t>5220 Fraport-Pier-G</t>
        </is>
      </c>
      <c r="B1436" s="4" t="inlineStr">
        <is>
          <t>● CAD-LP3</t>
        </is>
      </c>
      <c r="C1436" s="9" t="inlineStr">
        <is>
          <t>Unbekannt</t>
        </is>
      </c>
      <c r="D1436" s="10" t="inlineStr">
        <is>
          <t>⚠ Manual erforderlich</t>
        </is>
      </c>
      <c r="E1436" s="11" t="inlineStr"/>
      <c r="F1436" s="11" t="n">
        <v>0</v>
      </c>
      <c r="G1436" s="11">
        <f>E1436-F1436</f>
        <v/>
      </c>
      <c r="H1436" s="11" t="n">
        <v/>
      </c>
      <c r="I1436" s="11" t="n">
        <v/>
      </c>
      <c r="J1436" s="11" t="n">
        <v/>
      </c>
      <c r="K1436" s="4" t="inlineStr">
        <is>
          <t>Abrechnungsart wählen; Stundensätze eingeben</t>
        </is>
      </c>
    </row>
    <row r="1437">
      <c r="A1437" s="4" t="inlineStr">
        <is>
          <t>5220 Fraport-Pier-G</t>
        </is>
      </c>
      <c r="B1437" s="4" t="inlineStr">
        <is>
          <t>● 5000-Ausführungsplanung</t>
        </is>
      </c>
      <c r="C1437" s="9" t="inlineStr">
        <is>
          <t>Unbekannt</t>
        </is>
      </c>
      <c r="D1437" s="10" t="inlineStr">
        <is>
          <t>⚠ Manual erforderlich</t>
        </is>
      </c>
      <c r="E1437" s="11" t="inlineStr"/>
      <c r="F1437" s="11" t="n">
        <v>0</v>
      </c>
      <c r="G1437" s="11">
        <f>E1437-F1437</f>
        <v/>
      </c>
      <c r="H1437" s="11" t="n">
        <v/>
      </c>
      <c r="I1437" s="11" t="n">
        <v/>
      </c>
      <c r="J1437" s="11" t="n">
        <v/>
      </c>
      <c r="K1437" s="4" t="inlineStr">
        <is>
          <t>Abrechnungsart wählen; Stundensätze eingeben</t>
        </is>
      </c>
    </row>
    <row r="1438">
      <c r="A1438" s="4" t="inlineStr">
        <is>
          <t>5220.06 BSK-Bauphase-Fraport-Pier-G</t>
        </is>
      </c>
      <c r="B1438" s="4" t="inlineStr">
        <is>
          <t>● 3000-Entwurfsplanung</t>
        </is>
      </c>
      <c r="C1438" s="9" t="inlineStr">
        <is>
          <t>Unbekannt</t>
        </is>
      </c>
      <c r="D1438" s="10" t="inlineStr">
        <is>
          <t>⚠ Manual erforderlich</t>
        </is>
      </c>
      <c r="E1438" s="11" t="inlineStr"/>
      <c r="F1438" s="11" t="n">
        <v>0</v>
      </c>
      <c r="G1438" s="11">
        <f>E1438-F1438</f>
        <v/>
      </c>
      <c r="H1438" s="11" t="n">
        <v/>
      </c>
      <c r="I1438" s="11" t="n">
        <v/>
      </c>
      <c r="J1438" s="11" t="n">
        <v/>
      </c>
      <c r="K1438" s="4" t="inlineStr">
        <is>
          <t>Abrechnungsart wählen; Stundensätze eingeben</t>
        </is>
      </c>
    </row>
    <row r="1439">
      <c r="A1439" s="4" t="inlineStr">
        <is>
          <t>5220.06 BSK-Bauphase-Fraport-Pier-G</t>
        </is>
      </c>
      <c r="B1439" s="4" t="inlineStr">
        <is>
          <t>● NA26-Baustelleneinsatzpläne für Feuerwehr (pauschal)</t>
        </is>
      </c>
      <c r="C1439" s="9" t="inlineStr">
        <is>
          <t>Unbekannt</t>
        </is>
      </c>
      <c r="D1439" s="10" t="inlineStr">
        <is>
          <t>⚠ Manual erforderlich</t>
        </is>
      </c>
      <c r="E1439" s="11" t="inlineStr"/>
      <c r="F1439" s="11" t="n">
        <v>0</v>
      </c>
      <c r="G1439" s="11">
        <f>E1439-F1439</f>
        <v/>
      </c>
      <c r="H1439" s="11" t="n">
        <v/>
      </c>
      <c r="I1439" s="11" t="n">
        <v/>
      </c>
      <c r="J1439" s="11" t="n">
        <v/>
      </c>
      <c r="K1439" s="4" t="inlineStr">
        <is>
          <t>Abrechnungsart wählen; Stundensätze eingeben</t>
        </is>
      </c>
    </row>
    <row r="1440">
      <c r="A1440" s="4" t="inlineStr">
        <is>
          <t>5220.07 Entrauchungssimulationen-Fraport-Pier-G</t>
        </is>
      </c>
      <c r="B1440" s="4" t="inlineStr">
        <is>
          <t>● 3000-Entwurfsplanung</t>
        </is>
      </c>
      <c r="C1440" s="9" t="inlineStr">
        <is>
          <t>Unbekannt</t>
        </is>
      </c>
      <c r="D1440" s="10" t="inlineStr">
        <is>
          <t>⚠ Manual erforderlich</t>
        </is>
      </c>
      <c r="E1440" s="11" t="inlineStr"/>
      <c r="F1440" s="11" t="n">
        <v>0</v>
      </c>
      <c r="G1440" s="11">
        <f>E1440-F1440</f>
        <v/>
      </c>
      <c r="H1440" s="11" t="n">
        <v/>
      </c>
      <c r="I1440" s="11" t="n">
        <v/>
      </c>
      <c r="J1440" s="11" t="n">
        <v/>
      </c>
      <c r="K1440" s="4" t="inlineStr">
        <is>
          <t>Abrechnungsart wählen; Stundensätze eingeben</t>
        </is>
      </c>
    </row>
    <row r="1441">
      <c r="A1441" s="4" t="inlineStr">
        <is>
          <t>5220.12 LP8-Fraport-Pier-G</t>
        </is>
      </c>
      <c r="B1441" s="4" t="inlineStr">
        <is>
          <t>● 8000-Objektüberwachung</t>
        </is>
      </c>
      <c r="C1441" s="9" t="inlineStr">
        <is>
          <t>Unbekannt</t>
        </is>
      </c>
      <c r="D1441" s="10" t="inlineStr">
        <is>
          <t>⚠ Manual erforderlich</t>
        </is>
      </c>
      <c r="E1441" s="11" t="inlineStr"/>
      <c r="F1441" s="11" t="n">
        <v>0</v>
      </c>
      <c r="G1441" s="11">
        <f>E1441-F1441</f>
        <v/>
      </c>
      <c r="H1441" s="11" t="n">
        <v/>
      </c>
      <c r="I1441" s="11" t="n">
        <v/>
      </c>
      <c r="J1441" s="11" t="n">
        <v/>
      </c>
      <c r="K1441" s="4" t="inlineStr">
        <is>
          <t>Abrechnungsart wählen; Stundensätze eingeben</t>
        </is>
      </c>
    </row>
    <row r="1442">
      <c r="A1442" s="4" t="inlineStr">
        <is>
          <t>5220.15 Ausstattungsplanung-Passagierbereiche-Fraport-Pier-G</t>
        </is>
      </c>
      <c r="B1442" s="4" t="inlineStr">
        <is>
          <t>● Beratung Ausstattungsplanung Passagierbereiche (auf Nachweis)</t>
        </is>
      </c>
      <c r="C1442" s="9" t="inlineStr">
        <is>
          <t>Unbekannt</t>
        </is>
      </c>
      <c r="D1442" s="10" t="inlineStr">
        <is>
          <t>⚠ Manual erforderlich</t>
        </is>
      </c>
      <c r="E1442" s="11" t="inlineStr"/>
      <c r="F1442" s="11" t="n">
        <v>0</v>
      </c>
      <c r="G1442" s="11">
        <f>E1442-F1442</f>
        <v/>
      </c>
      <c r="H1442" s="11" t="n">
        <v/>
      </c>
      <c r="I1442" s="11" t="n">
        <v/>
      </c>
      <c r="J1442" s="11" t="n">
        <v/>
      </c>
      <c r="K1442" s="4" t="inlineStr">
        <is>
          <t>Abrechnungsart wählen; Stundensätze eingeben</t>
        </is>
      </c>
    </row>
    <row r="1443">
      <c r="A1443" s="4" t="inlineStr">
        <is>
          <t>5220.21 Rauchversuche-Fraport-Pier-G</t>
        </is>
      </c>
      <c r="B1443" s="4" t="inlineStr">
        <is>
          <t>● Rauchversuche (pauschal)</t>
        </is>
      </c>
      <c r="C1443" s="9" t="inlineStr">
        <is>
          <t>Unbekannt</t>
        </is>
      </c>
      <c r="D1443" s="10" t="inlineStr">
        <is>
          <t>⚠ Manual erforderlich</t>
        </is>
      </c>
      <c r="E1443" s="11" t="inlineStr"/>
      <c r="F1443" s="11" t="n">
        <v>0</v>
      </c>
      <c r="G1443" s="11">
        <f>E1443-F1443</f>
        <v/>
      </c>
      <c r="H1443" s="11" t="n">
        <v/>
      </c>
      <c r="I1443" s="11" t="n">
        <v/>
      </c>
      <c r="J1443" s="11" t="n">
        <v/>
      </c>
      <c r="K1443" s="4" t="inlineStr">
        <is>
          <t>Abrechnungsart wählen; Stundensätze eingeben</t>
        </is>
      </c>
    </row>
    <row r="1444">
      <c r="A1444" s="4" t="inlineStr">
        <is>
          <t>5220.22 NA31-Fraport-Pier-G</t>
        </is>
      </c>
      <c r="B1444" s="4" t="inlineStr">
        <is>
          <t>● NA31 (pauschal)</t>
        </is>
      </c>
      <c r="C1444" s="9" t="inlineStr">
        <is>
          <t>Unbekannt</t>
        </is>
      </c>
      <c r="D1444" s="10" t="inlineStr">
        <is>
          <t>⚠ Manual erforderlich</t>
        </is>
      </c>
      <c r="E1444" s="11" t="inlineStr"/>
      <c r="F1444" s="11" t="n">
        <v>0</v>
      </c>
      <c r="G1444" s="11">
        <f>E1444-F1444</f>
        <v/>
      </c>
      <c r="H1444" s="11" t="n">
        <v/>
      </c>
      <c r="I1444" s="11" t="n">
        <v/>
      </c>
      <c r="J1444" s="11" t="n">
        <v/>
      </c>
      <c r="K1444" s="4" t="inlineStr">
        <is>
          <t>Abrechnungsart wählen; Stundensätze eingeben</t>
        </is>
      </c>
    </row>
    <row r="1445">
      <c r="A1445" s="4" t="inlineStr">
        <is>
          <t>5220.23 Fraport-NAfolgt-BSK-Bauphase-Fraport-Pier-G</t>
        </is>
      </c>
      <c r="B1445" s="4" t="inlineStr">
        <is>
          <t>● NA? (pauschal)</t>
        </is>
      </c>
      <c r="C1445" s="9" t="inlineStr">
        <is>
          <t>Unbekannt</t>
        </is>
      </c>
      <c r="D1445" s="10" t="inlineStr">
        <is>
          <t>⚠ Manual erforderlich</t>
        </is>
      </c>
      <c r="E1445" s="11" t="inlineStr"/>
      <c r="F1445" s="11" t="n">
        <v>0</v>
      </c>
      <c r="G1445" s="11">
        <f>E1445-F1445</f>
        <v/>
      </c>
      <c r="H1445" s="11" t="n">
        <v/>
      </c>
      <c r="I1445" s="11" t="n">
        <v/>
      </c>
      <c r="J1445" s="11" t="n">
        <v/>
      </c>
      <c r="K1445" s="4" t="inlineStr">
        <is>
          <t>Abrechnungsart wählen; Stundensätze eingeben</t>
        </is>
      </c>
    </row>
    <row r="1446">
      <c r="A1446" s="4" t="inlineStr">
        <is>
          <t>5220.24 Fraport-NAfolgt-Rauchversuche-Fraport-Pier-G</t>
        </is>
      </c>
      <c r="B1446" s="4" t="inlineStr">
        <is>
          <t>● NA?? (pauschal)</t>
        </is>
      </c>
      <c r="C1446" s="9" t="inlineStr">
        <is>
          <t>Unbekannt</t>
        </is>
      </c>
      <c r="D1446" s="10" t="inlineStr">
        <is>
          <t>⚠ Manual erforderlich</t>
        </is>
      </c>
      <c r="E1446" s="11" t="inlineStr"/>
      <c r="F1446" s="11" t="n">
        <v>0</v>
      </c>
      <c r="G1446" s="11">
        <f>E1446-F1446</f>
        <v/>
      </c>
      <c r="H1446" s="11" t="n">
        <v/>
      </c>
      <c r="I1446" s="11" t="n">
        <v/>
      </c>
      <c r="J1446" s="11" t="n">
        <v/>
      </c>
      <c r="K1446" s="4" t="inlineStr">
        <is>
          <t>Abrechnungsart wählen; Stundensätze eingeben</t>
        </is>
      </c>
    </row>
    <row r="1447">
      <c r="A1447" s="4" t="inlineStr">
        <is>
          <t>5220.25 Fraport-NA35-Pläne-Fraport-Pier-G</t>
        </is>
      </c>
      <c r="B1447" s="4" t="inlineStr">
        <is>
          <t>● NA35 (pauschal) div. Pläne</t>
        </is>
      </c>
      <c r="C1447" s="9" t="inlineStr">
        <is>
          <t>Unbekannt</t>
        </is>
      </c>
      <c r="D1447" s="10" t="inlineStr">
        <is>
          <t>⚠ Manual erforderlich</t>
        </is>
      </c>
      <c r="E1447" s="11" t="inlineStr"/>
      <c r="F1447" s="11" t="n">
        <v>0</v>
      </c>
      <c r="G1447" s="11">
        <f>E1447-F1447</f>
        <v/>
      </c>
      <c r="H1447" s="11" t="n">
        <v/>
      </c>
      <c r="I1447" s="11" t="n">
        <v/>
      </c>
      <c r="J1447" s="11" t="n">
        <v/>
      </c>
      <c r="K1447" s="4" t="inlineStr">
        <is>
          <t>Abrechnungsart wählen; Stundensätze eingeben</t>
        </is>
      </c>
    </row>
    <row r="1448">
      <c r="A1448" s="4" t="inlineStr">
        <is>
          <t>5220.26 Fraport-NAfolgt-Temp.Abstellfläche-Fraport-Pier-G</t>
        </is>
      </c>
      <c r="B1448" s="4" t="inlineStr">
        <is>
          <t>● • ‧ (aN) SV</t>
        </is>
      </c>
      <c r="C1448" s="4" t="inlineStr">
        <is>
          <t>Nachweis</t>
        </is>
      </c>
      <c r="D1448" s="10" t="inlineStr">
        <is>
          <t>⚠ Manual erforderlich</t>
        </is>
      </c>
      <c r="E1448" s="11" t="inlineStr"/>
      <c r="F1448" s="11" t="n">
        <v>0</v>
      </c>
      <c r="G1448" s="11">
        <f>E1448-F1448</f>
        <v/>
      </c>
      <c r="H1448" s="11" t="n">
        <v/>
      </c>
      <c r="I1448" s="11" t="n">
        <v/>
      </c>
      <c r="J1448" s="11" t="n">
        <v/>
      </c>
      <c r="K1448" s="4" t="inlineStr">
        <is>
          <t>Stundensätze eingeben</t>
        </is>
      </c>
    </row>
    <row r="1449">
      <c r="A1449" s="4" t="inlineStr">
        <is>
          <t>5220.26 Fraport-NAfolgt-Temp.Abstellfläche-Fraport-Pier-G</t>
        </is>
      </c>
      <c r="B1449" s="4" t="inlineStr">
        <is>
          <t>● • ADM (nicht kalkuliert)</t>
        </is>
      </c>
      <c r="C1449" s="9" t="inlineStr">
        <is>
          <t>Unbekannt</t>
        </is>
      </c>
      <c r="D1449" s="10" t="inlineStr">
        <is>
          <t>⚠ Manual erforderlich</t>
        </is>
      </c>
      <c r="E1449" s="11" t="inlineStr"/>
      <c r="F1449" s="11" t="n">
        <v>0</v>
      </c>
      <c r="G1449" s="11">
        <f>E1449-F1449</f>
        <v/>
      </c>
      <c r="H1449" s="11" t="n">
        <v/>
      </c>
      <c r="I1449" s="11" t="n">
        <v/>
      </c>
      <c r="J1449" s="11" t="n">
        <v/>
      </c>
      <c r="K1449" s="4" t="inlineStr">
        <is>
          <t>Abrechnungsart wählen; Stundensätze eingeben</t>
        </is>
      </c>
    </row>
    <row r="1450">
      <c r="A1450" s="4" t="inlineStr">
        <is>
          <t>5221 Deutsche-Bank-Wilhelmsgalerie-Potsdam./.Total-Walther-GmbH</t>
        </is>
      </c>
      <c r="B1450" s="4" t="inlineStr">
        <is>
          <t>● 0000-Aquise</t>
        </is>
      </c>
      <c r="C1450" s="9" t="inlineStr">
        <is>
          <t>Unbekannt</t>
        </is>
      </c>
      <c r="D1450" s="10" t="inlineStr">
        <is>
          <t>⚠ Manual erforderlich</t>
        </is>
      </c>
      <c r="E1450" s="11" t="inlineStr"/>
      <c r="F1450" s="11" t="n">
        <v>0</v>
      </c>
      <c r="G1450" s="11">
        <f>E1450-F1450</f>
        <v/>
      </c>
      <c r="H1450" s="11" t="n">
        <v/>
      </c>
      <c r="I1450" s="11" t="n">
        <v/>
      </c>
      <c r="J1450" s="11" t="n">
        <v/>
      </c>
      <c r="K1450" s="4" t="inlineStr">
        <is>
          <t>Abrechnungsart wählen; Stundensätze eingeben</t>
        </is>
      </c>
    </row>
    <row r="1451">
      <c r="A1451" s="4" t="inlineStr">
        <is>
          <t>5221 Deutsche-Bank-Wilhelmsgalerie-Potsdam./.Total-Walther-GmbH</t>
        </is>
      </c>
      <c r="B1451" s="4" t="inlineStr">
        <is>
          <t>● 0001-Sonstiges</t>
        </is>
      </c>
      <c r="C1451" s="9" t="inlineStr">
        <is>
          <t>Unbekannt</t>
        </is>
      </c>
      <c r="D1451" s="10" t="inlineStr">
        <is>
          <t>⚠ Manual erforderlich</t>
        </is>
      </c>
      <c r="E1451" s="11" t="inlineStr"/>
      <c r="F1451" s="11" t="n">
        <v>0</v>
      </c>
      <c r="G1451" s="11">
        <f>E1451-F1451</f>
        <v/>
      </c>
      <c r="H1451" s="11" t="n">
        <v/>
      </c>
      <c r="I1451" s="11" t="n">
        <v/>
      </c>
      <c r="J1451" s="11" t="n">
        <v/>
      </c>
      <c r="K1451" s="4" t="inlineStr">
        <is>
          <t>Abrechnungsart wählen; Stundensätze eingeben</t>
        </is>
      </c>
    </row>
    <row r="1452">
      <c r="A1452" s="4" t="inlineStr">
        <is>
          <t>5222.02 Prüfung-BSK-Bürgermeister-Grünzweig-Straße-87-Ludwigshafen-MHKW</t>
        </is>
      </c>
      <c r="B1452" s="4" t="inlineStr">
        <is>
          <t>● 3000-Entwurfsplanung</t>
        </is>
      </c>
      <c r="C1452" s="9" t="inlineStr">
        <is>
          <t>Unbekannt</t>
        </is>
      </c>
      <c r="D1452" s="10" t="inlineStr">
        <is>
          <t>⚠ Manual erforderlich</t>
        </is>
      </c>
      <c r="E1452" s="11" t="inlineStr"/>
      <c r="F1452" s="11" t="n">
        <v>0</v>
      </c>
      <c r="G1452" s="11">
        <f>E1452-F1452</f>
        <v/>
      </c>
      <c r="H1452" s="11" t="n">
        <v/>
      </c>
      <c r="I1452" s="11" t="n">
        <v/>
      </c>
      <c r="J1452" s="11" t="n">
        <v/>
      </c>
      <c r="K1452" s="4" t="inlineStr">
        <is>
          <t>Abrechnungsart wählen; Stundensätze eingeben</t>
        </is>
      </c>
    </row>
    <row r="1453">
      <c r="A1453" s="4" t="inlineStr">
        <is>
          <t>5222.09 GML-Anp-FWP-FRP-MHKW-BürgermeisterGrünzweigStr87-LU</t>
        </is>
      </c>
      <c r="B1453" s="4" t="inlineStr">
        <is>
          <t>● (aN) Pos. 1 FWP (CAD)</t>
        </is>
      </c>
      <c r="C1453" s="4" t="inlineStr">
        <is>
          <t>Nachweis</t>
        </is>
      </c>
      <c r="D1453" s="10" t="inlineStr">
        <is>
          <t>⚠ Manual erforderlich</t>
        </is>
      </c>
      <c r="E1453" s="11" t="inlineStr"/>
      <c r="F1453" s="11" t="n">
        <v>0</v>
      </c>
      <c r="G1453" s="11">
        <f>E1453-F1453</f>
        <v/>
      </c>
      <c r="H1453" s="11" t="n">
        <v/>
      </c>
      <c r="I1453" s="11" t="n">
        <v/>
      </c>
      <c r="J1453" s="11" t="n">
        <v/>
      </c>
      <c r="K1453" s="4" t="inlineStr">
        <is>
          <t>Stundensätze eingeben</t>
        </is>
      </c>
    </row>
    <row r="1454">
      <c r="A1454" s="4" t="inlineStr">
        <is>
          <t>5222.09 GML-Anp-FWP-FRP-MHKW-BürgermeisterGrünzweigStr87-LU</t>
        </is>
      </c>
      <c r="B1454" s="4" t="inlineStr">
        <is>
          <t>● (aN) Pos. 1 FRP (CAD)</t>
        </is>
      </c>
      <c r="C1454" s="4" t="inlineStr">
        <is>
          <t>Nachweis</t>
        </is>
      </c>
      <c r="D1454" s="10" t="inlineStr">
        <is>
          <t>⚠ Manual erforderlich</t>
        </is>
      </c>
      <c r="E1454" s="11" t="inlineStr"/>
      <c r="F1454" s="11" t="n">
        <v>0</v>
      </c>
      <c r="G1454" s="11">
        <f>E1454-F1454</f>
        <v/>
      </c>
      <c r="H1454" s="11" t="n">
        <v/>
      </c>
      <c r="I1454" s="11" t="n">
        <v/>
      </c>
      <c r="J1454" s="11" t="n">
        <v/>
      </c>
      <c r="K1454" s="4" t="inlineStr">
        <is>
          <t>Stundensätze eingeben</t>
        </is>
      </c>
    </row>
    <row r="1455">
      <c r="A1455" s="4" t="inlineStr">
        <is>
          <t>5222.10 GML-RAP-MHKW-BürgermeisterGrünzweigStr87-LU</t>
        </is>
      </c>
      <c r="B1455" s="4" t="inlineStr">
        <is>
          <t>● (p) Pos. 1 Entrauchungspläne</t>
        </is>
      </c>
      <c r="C1455" s="4" t="inlineStr">
        <is>
          <t>Pauschale</t>
        </is>
      </c>
      <c r="D1455" s="10" t="inlineStr">
        <is>
          <t>⚠ Manual erforderlich</t>
        </is>
      </c>
      <c r="E1455" s="11" t="inlineStr"/>
      <c r="F1455" s="11" t="n">
        <v>0</v>
      </c>
      <c r="G1455" s="11">
        <f>E1455-F1455</f>
        <v/>
      </c>
      <c r="H1455" s="11" t="n">
        <v>0</v>
      </c>
      <c r="I1455" s="11" t="n">
        <v>0</v>
      </c>
      <c r="J1455" s="11" t="n">
        <v>0</v>
      </c>
      <c r="K1455" s="4" t="inlineStr">
        <is>
          <t>Stundensätze eingeben</t>
        </is>
      </c>
    </row>
    <row r="1456">
      <c r="A1456" s="4" t="inlineStr">
        <is>
          <t>5222.10 GML-RAP-MHKW-BürgermeisterGrünzweigStr87-LU</t>
        </is>
      </c>
      <c r="B1456" s="4" t="inlineStr">
        <is>
          <t>● (p) Pos. 2 Entrauchungspläne für die RWA-Bedienstellen</t>
        </is>
      </c>
      <c r="C1456" s="4" t="inlineStr">
        <is>
          <t>Pauschale</t>
        </is>
      </c>
      <c r="D1456" s="10" t="inlineStr">
        <is>
          <t>⚠ Manual erforderlich</t>
        </is>
      </c>
      <c r="E1456" s="11" t="inlineStr"/>
      <c r="F1456" s="11" t="n">
        <v>0</v>
      </c>
      <c r="G1456" s="11">
        <f>E1456-F1456</f>
        <v/>
      </c>
      <c r="H1456" s="11" t="n">
        <v>0</v>
      </c>
      <c r="I1456" s="11" t="n">
        <v>0</v>
      </c>
      <c r="J1456" s="11" t="n">
        <v>0</v>
      </c>
      <c r="K1456" s="4" t="inlineStr">
        <is>
          <t>Stundensätze eingeben</t>
        </is>
      </c>
    </row>
    <row r="1457">
      <c r="A1457" s="4" t="inlineStr">
        <is>
          <t>5248.03 Fraport-RV-BSN-BAB-FRP-Verlagerung-Geb159</t>
        </is>
      </c>
      <c r="B1457" s="4" t="inlineStr">
        <is>
          <t>● NAT 07</t>
        </is>
      </c>
      <c r="C1457" s="9" t="inlineStr">
        <is>
          <t>Unbekannt</t>
        </is>
      </c>
      <c r="D1457" s="10" t="inlineStr">
        <is>
          <t>⚠ Manual erforderlich</t>
        </is>
      </c>
      <c r="E1457" s="11" t="inlineStr"/>
      <c r="F1457" s="11" t="n">
        <v>0</v>
      </c>
      <c r="G1457" s="11">
        <f>E1457-F1457</f>
        <v/>
      </c>
      <c r="H1457" s="11" t="n">
        <v/>
      </c>
      <c r="I1457" s="11" t="n">
        <v/>
      </c>
      <c r="J1457" s="11" t="n">
        <v/>
      </c>
      <c r="K1457" s="4" t="inlineStr">
        <is>
          <t>Abrechnungsart wählen; Stundensätze eingeben</t>
        </is>
      </c>
    </row>
    <row r="1458">
      <c r="A1458" s="4" t="inlineStr">
        <is>
          <t>5248.03 Fraport-RV-BSN-BAB-FRP-Verlagerung-Geb159</t>
        </is>
      </c>
      <c r="B1458" s="4" t="inlineStr">
        <is>
          <t>● • Pos. 1: (aN) BMK / Brandfallsteuermatrix</t>
        </is>
      </c>
      <c r="C1458" s="4" t="inlineStr">
        <is>
          <t>Nachweis</t>
        </is>
      </c>
      <c r="D1458" s="10" t="inlineStr">
        <is>
          <t>⚠ Manual erforderlich</t>
        </is>
      </c>
      <c r="E1458" s="11" t="inlineStr"/>
      <c r="F1458" s="11" t="n">
        <v>0</v>
      </c>
      <c r="G1458" s="11">
        <f>E1458-F1458</f>
        <v/>
      </c>
      <c r="H1458" s="11" t="n">
        <v/>
      </c>
      <c r="I1458" s="11" t="n">
        <v/>
      </c>
      <c r="J1458" s="11" t="n">
        <v/>
      </c>
      <c r="K1458" s="4" t="inlineStr">
        <is>
          <t>Stundensätze eingeben</t>
        </is>
      </c>
    </row>
    <row r="1459">
      <c r="A1459" s="4" t="inlineStr">
        <is>
          <t>5248.03 Fraport-RV-BSN-BAB-FRP-Verlagerung-Geb159</t>
        </is>
      </c>
      <c r="B1459" s="4" t="inlineStr">
        <is>
          <t>● • Pos. 1: (a.N.) BSN/BST</t>
        </is>
      </c>
      <c r="C1459" s="4" t="inlineStr">
        <is>
          <t>Nachweis</t>
        </is>
      </c>
      <c r="D1459" s="10" t="inlineStr">
        <is>
          <t>⚠ Manual erforderlich</t>
        </is>
      </c>
      <c r="E1459" s="11" t="inlineStr"/>
      <c r="F1459" s="11" t="n">
        <v>0</v>
      </c>
      <c r="G1459" s="11">
        <f>E1459-F1459</f>
        <v/>
      </c>
      <c r="H1459" s="11" t="n">
        <v/>
      </c>
      <c r="I1459" s="11" t="n">
        <v/>
      </c>
      <c r="J1459" s="11" t="n">
        <v/>
      </c>
      <c r="K1459" s="4" t="inlineStr">
        <is>
          <t>Stundensätze eingeben</t>
        </is>
      </c>
    </row>
    <row r="1460">
      <c r="A1460" s="4" t="inlineStr">
        <is>
          <t>5248.03 Fraport-RV-BSN-BAB-FRP-Verlagerung-Geb159</t>
        </is>
      </c>
      <c r="B1460" s="4" t="inlineStr">
        <is>
          <t>● • Pos. 2: (a.N.) BAB LP 8</t>
        </is>
      </c>
      <c r="C1460" s="4" t="inlineStr">
        <is>
          <t>Nachweis</t>
        </is>
      </c>
      <c r="D1460" s="10" t="inlineStr">
        <is>
          <t>⚠ Manual erforderlich</t>
        </is>
      </c>
      <c r="E1460" s="11" t="inlineStr"/>
      <c r="F1460" s="11" t="n">
        <v>0</v>
      </c>
      <c r="G1460" s="11">
        <f>E1460-F1460</f>
        <v/>
      </c>
      <c r="H1460" s="11" t="n">
        <v/>
      </c>
      <c r="I1460" s="11" t="n">
        <v/>
      </c>
      <c r="J1460" s="11" t="n">
        <v/>
      </c>
      <c r="K1460" s="4" t="inlineStr">
        <is>
          <t>Stundensätze eingeben</t>
        </is>
      </c>
    </row>
    <row r="1461">
      <c r="A1461" s="4" t="inlineStr">
        <is>
          <t>5248.03 Fraport-RV-BSN-BAB-FRP-Verlagerung-Geb159</t>
        </is>
      </c>
      <c r="B1461" s="4" t="inlineStr">
        <is>
          <t>● • Pos. 3: (p.) FRP</t>
        </is>
      </c>
      <c r="C1461" s="9" t="inlineStr">
        <is>
          <t>Unbekannt</t>
        </is>
      </c>
      <c r="D1461" s="10" t="inlineStr">
        <is>
          <t>⚠ Manual erforderlich</t>
        </is>
      </c>
      <c r="E1461" s="11" t="inlineStr"/>
      <c r="F1461" s="11" t="n">
        <v>0</v>
      </c>
      <c r="G1461" s="11">
        <f>E1461-F1461</f>
        <v/>
      </c>
      <c r="H1461" s="11" t="n">
        <v/>
      </c>
      <c r="I1461" s="11" t="n">
        <v/>
      </c>
      <c r="J1461" s="11" t="n">
        <v/>
      </c>
      <c r="K1461" s="4" t="inlineStr">
        <is>
          <t>Abrechnungsart wählen; Stundensätze eingeben</t>
        </is>
      </c>
    </row>
    <row r="1462">
      <c r="A1462" s="4" t="inlineStr">
        <is>
          <t>5256 Horchheimer-Straße-50-Worms</t>
        </is>
      </c>
      <c r="B1462" s="4" t="inlineStr">
        <is>
          <t>● 1000-Grundlagenermittlung</t>
        </is>
      </c>
      <c r="C1462" s="9" t="inlineStr">
        <is>
          <t>Unbekannt</t>
        </is>
      </c>
      <c r="D1462" s="10" t="inlineStr">
        <is>
          <t>⚠ Manual erforderlich</t>
        </is>
      </c>
      <c r="E1462" s="11" t="inlineStr"/>
      <c r="F1462" s="11" t="n">
        <v>0</v>
      </c>
      <c r="G1462" s="11">
        <f>E1462-F1462</f>
        <v/>
      </c>
      <c r="H1462" s="11" t="n">
        <v/>
      </c>
      <c r="I1462" s="11" t="n">
        <v/>
      </c>
      <c r="J1462" s="11" t="n">
        <v/>
      </c>
      <c r="K1462" s="4" t="inlineStr">
        <is>
          <t>Abrechnungsart wählen; Stundensätze eingeben</t>
        </is>
      </c>
    </row>
    <row r="1463">
      <c r="A1463" s="4" t="inlineStr">
        <is>
          <t>5256 Horchheimer-Straße-50-Worms</t>
        </is>
      </c>
      <c r="B1463" s="4" t="inlineStr">
        <is>
          <t>● 3000-Entwurfsplanung</t>
        </is>
      </c>
      <c r="C1463" s="9" t="inlineStr">
        <is>
          <t>Unbekannt</t>
        </is>
      </c>
      <c r="D1463" s="10" t="inlineStr">
        <is>
          <t>⚠ Manual erforderlich</t>
        </is>
      </c>
      <c r="E1463" s="11" t="inlineStr"/>
      <c r="F1463" s="11" t="n">
        <v>0</v>
      </c>
      <c r="G1463" s="11">
        <f>E1463-F1463</f>
        <v/>
      </c>
      <c r="H1463" s="11" t="n">
        <v/>
      </c>
      <c r="I1463" s="11" t="n">
        <v/>
      </c>
      <c r="J1463" s="11" t="n">
        <v/>
      </c>
      <c r="K1463" s="4" t="inlineStr">
        <is>
          <t>Abrechnungsart wählen; Stundensätze eingeben</t>
        </is>
      </c>
    </row>
    <row r="1464">
      <c r="A1464" s="4" t="inlineStr">
        <is>
          <t>5272.02 GFbR-BST-Schaumainkai-101-103-Frankfurt</t>
        </is>
      </c>
      <c r="B1464" s="4" t="inlineStr">
        <is>
          <t>● (p) Pos. 1 Erstellung eines Brandschutzkonzeptes</t>
        </is>
      </c>
      <c r="C1464" s="4" t="inlineStr">
        <is>
          <t>Pauschale</t>
        </is>
      </c>
      <c r="D1464" s="10" t="inlineStr">
        <is>
          <t>⚠ Manual erforderlich</t>
        </is>
      </c>
      <c r="E1464" s="11" t="inlineStr"/>
      <c r="F1464" s="11" t="n">
        <v>0</v>
      </c>
      <c r="G1464" s="11">
        <f>E1464-F1464</f>
        <v/>
      </c>
      <c r="H1464" s="11" t="n">
        <v>0</v>
      </c>
      <c r="I1464" s="11" t="n">
        <v>0</v>
      </c>
      <c r="J1464" s="11" t="n">
        <v>0</v>
      </c>
      <c r="K1464" s="4" t="inlineStr">
        <is>
          <t>Stundensätze eingeben</t>
        </is>
      </c>
    </row>
    <row r="1465">
      <c r="A1465" s="4" t="inlineStr">
        <is>
          <t>5272.02 GFbR-BST-Schaumainkai-101-103-Frankfurt</t>
        </is>
      </c>
      <c r="B1465" s="4" t="inlineStr">
        <is>
          <t>● (aN) Pos. 2 Brandschutztechnische Beratung hinsichtlich Löschwasserentnahmestelle</t>
        </is>
      </c>
      <c r="C1465" s="4" t="inlineStr">
        <is>
          <t>Nachweis</t>
        </is>
      </c>
      <c r="D1465" s="10" t="inlineStr">
        <is>
          <t>⚠ Manual erforderlich</t>
        </is>
      </c>
      <c r="E1465" s="11" t="inlineStr"/>
      <c r="F1465" s="11" t="n">
        <v>0</v>
      </c>
      <c r="G1465" s="11">
        <f>E1465-F1465</f>
        <v/>
      </c>
      <c r="H1465" s="11" t="n">
        <v/>
      </c>
      <c r="I1465" s="11" t="n">
        <v/>
      </c>
      <c r="J1465" s="11" t="n">
        <v/>
      </c>
      <c r="K1465" s="4" t="inlineStr">
        <is>
          <t>Stundensätze eingeben</t>
        </is>
      </c>
    </row>
    <row r="1466">
      <c r="A1466" s="4" t="inlineStr">
        <is>
          <t>5291.01 RNV-BTB-NB-ABZ-Betriebshof-Ludwigshafen</t>
        </is>
      </c>
      <c r="B1466" s="4" t="inlineStr">
        <is>
          <t>● Los 2 / Stufe 1</t>
        </is>
      </c>
      <c r="C1466" s="9" t="inlineStr">
        <is>
          <t>Unbekannt</t>
        </is>
      </c>
      <c r="D1466" s="10" t="inlineStr">
        <is>
          <t>⚠ Manual erforderlich</t>
        </is>
      </c>
      <c r="E1466" s="11" t="inlineStr"/>
      <c r="F1466" s="11" t="n">
        <v>0</v>
      </c>
      <c r="G1466" s="11">
        <f>E1466-F1466</f>
        <v/>
      </c>
      <c r="H1466" s="11" t="n">
        <v/>
      </c>
      <c r="I1466" s="11" t="n">
        <v/>
      </c>
      <c r="J1466" s="11" t="n">
        <v/>
      </c>
      <c r="K1466" s="4" t="inlineStr">
        <is>
          <t>Abrechnungsart wählen; Stundensätze eingeben</t>
        </is>
      </c>
    </row>
    <row r="1467">
      <c r="A1467" s="4" t="inlineStr">
        <is>
          <t>5291.01 RNV-BTB-NB-ABZ-Betriebshof-Ludwigshafen</t>
        </is>
      </c>
      <c r="B1467" s="4" t="inlineStr">
        <is>
          <t>● Los 2 / Stufe 2</t>
        </is>
      </c>
      <c r="C1467" s="9" t="inlineStr">
        <is>
          <t>Unbekannt</t>
        </is>
      </c>
      <c r="D1467" s="10" t="inlineStr">
        <is>
          <t>⚠ Manual erforderlich</t>
        </is>
      </c>
      <c r="E1467" s="11" t="inlineStr"/>
      <c r="F1467" s="11" t="n">
        <v>0</v>
      </c>
      <c r="G1467" s="11">
        <f>E1467-F1467</f>
        <v/>
      </c>
      <c r="H1467" s="11" t="n">
        <v/>
      </c>
      <c r="I1467" s="11" t="n">
        <v/>
      </c>
      <c r="J1467" s="11" t="n">
        <v/>
      </c>
      <c r="K1467" s="4" t="inlineStr">
        <is>
          <t>Abrechnungsart wählen; Stundensätze eingeben</t>
        </is>
      </c>
    </row>
    <row r="1468">
      <c r="A1468" s="4" t="inlineStr">
        <is>
          <t>5291.01 RNV-BTB-NB-ABZ-Betriebshof-Ludwigshafen</t>
        </is>
      </c>
      <c r="B1468" s="4" t="inlineStr">
        <is>
          <t>● Los 2 / Stufe 3</t>
        </is>
      </c>
      <c r="C1468" s="9" t="inlineStr">
        <is>
          <t>Unbekannt</t>
        </is>
      </c>
      <c r="D1468" s="10" t="inlineStr">
        <is>
          <t>⚠ Manual erforderlich</t>
        </is>
      </c>
      <c r="E1468" s="11" t="inlineStr"/>
      <c r="F1468" s="11" t="n">
        <v>0</v>
      </c>
      <c r="G1468" s="11">
        <f>E1468-F1468</f>
        <v/>
      </c>
      <c r="H1468" s="11" t="n">
        <v/>
      </c>
      <c r="I1468" s="11" t="n">
        <v/>
      </c>
      <c r="J1468" s="11" t="n">
        <v/>
      </c>
      <c r="K1468" s="4" t="inlineStr">
        <is>
          <t>Abrechnungsart wählen; Stundensätze eingeben</t>
        </is>
      </c>
    </row>
    <row r="1469">
      <c r="A1469" s="4" t="inlineStr">
        <is>
          <t>5310.01 CoroCap-BTB-Mergenthaler-Allee35-37-Eschborn</t>
        </is>
      </c>
      <c r="B1469" s="4" t="inlineStr">
        <is>
          <t>● (p) Pos. 1 Brandschutztechnische Beratung während der Planungsphase</t>
        </is>
      </c>
      <c r="C1469" s="4" t="inlineStr">
        <is>
          <t>Pauschale</t>
        </is>
      </c>
      <c r="D1469" s="10" t="inlineStr">
        <is>
          <t>⚠ Manual erforderlich</t>
        </is>
      </c>
      <c r="E1469" s="11" t="inlineStr"/>
      <c r="F1469" s="11" t="n">
        <v>0</v>
      </c>
      <c r="G1469" s="11">
        <f>E1469-F1469</f>
        <v/>
      </c>
      <c r="H1469" s="11" t="n">
        <v>0</v>
      </c>
      <c r="I1469" s="11" t="n">
        <v>0</v>
      </c>
      <c r="J1469" s="11" t="n">
        <v>0</v>
      </c>
      <c r="K1469" s="4" t="inlineStr">
        <is>
          <t>Stundensätze eingeben</t>
        </is>
      </c>
    </row>
    <row r="1470">
      <c r="A1470" s="4" t="inlineStr">
        <is>
          <t>5310.02 CoroCap-BSK-Mergenthaler-Allee35-37-Eschborn</t>
        </is>
      </c>
      <c r="B1470" s="4" t="inlineStr">
        <is>
          <t>● (p) Pos. 1 Erstellung eines Brandschutzkonzeptes</t>
        </is>
      </c>
      <c r="C1470" s="4" t="inlineStr">
        <is>
          <t>Pauschale</t>
        </is>
      </c>
      <c r="D1470" s="10" t="inlineStr">
        <is>
          <t>⚠ Manual erforderlich</t>
        </is>
      </c>
      <c r="E1470" s="11" t="inlineStr"/>
      <c r="F1470" s="11" t="n">
        <v>0</v>
      </c>
      <c r="G1470" s="11">
        <f>E1470-F1470</f>
        <v/>
      </c>
      <c r="H1470" s="11" t="n">
        <v>0</v>
      </c>
      <c r="I1470" s="11" t="n">
        <v>0</v>
      </c>
      <c r="J1470" s="11" t="n">
        <v>0</v>
      </c>
      <c r="K1470" s="4" t="inlineStr">
        <is>
          <t>Stundensätze eingeben</t>
        </is>
      </c>
    </row>
    <row r="1471">
      <c r="A1471" s="4" t="inlineStr">
        <is>
          <t>5310.02 CoroCap-BSK-Mergenthaler-Allee35-37-Eschborn</t>
        </is>
      </c>
      <c r="B1471" s="4" t="inlineStr">
        <is>
          <t>● (aN) Pos. 2 Baubegleitende Brandschutzberatung für die Durchführung der Baumaßnahme</t>
        </is>
      </c>
      <c r="C1471" s="4" t="inlineStr">
        <is>
          <t>Nachweis</t>
        </is>
      </c>
      <c r="D1471" s="10" t="inlineStr">
        <is>
          <t>⚠ Manual erforderlich</t>
        </is>
      </c>
      <c r="E1471" s="11" t="inlineStr"/>
      <c r="F1471" s="11" t="n">
        <v>0</v>
      </c>
      <c r="G1471" s="11">
        <f>E1471-F1471</f>
        <v/>
      </c>
      <c r="H1471" s="11" t="n">
        <v/>
      </c>
      <c r="I1471" s="11" t="n">
        <v/>
      </c>
      <c r="J1471" s="11" t="n">
        <v/>
      </c>
      <c r="K1471" s="4" t="inlineStr">
        <is>
          <t>Stundensätze eingeben</t>
        </is>
      </c>
    </row>
    <row r="1472">
      <c r="A1472" s="4" t="inlineStr">
        <is>
          <t>5310.03 CoroCap-BSK-NAT01-Mergenthaler-Allee35-37-Eschborn</t>
        </is>
      </c>
      <c r="B1472" s="4" t="inlineStr">
        <is>
          <t>● (p) Pos. 1 Auftteilung BSK + Bearbeitung zwei Bauanträge</t>
        </is>
      </c>
      <c r="C1472" s="4" t="inlineStr">
        <is>
          <t>Pauschale</t>
        </is>
      </c>
      <c r="D1472" s="10" t="inlineStr">
        <is>
          <t>⚠ Manual erforderlich</t>
        </is>
      </c>
      <c r="E1472" s="11" t="inlineStr"/>
      <c r="F1472" s="11" t="n">
        <v>0</v>
      </c>
      <c r="G1472" s="11">
        <f>E1472-F1472</f>
        <v/>
      </c>
      <c r="H1472" s="11" t="n">
        <v>0</v>
      </c>
      <c r="I1472" s="11" t="n">
        <v>0</v>
      </c>
      <c r="J1472" s="11" t="n">
        <v>0</v>
      </c>
      <c r="K1472" s="4" t="inlineStr">
        <is>
          <t>Stundensätze eingeben</t>
        </is>
      </c>
    </row>
    <row r="1473">
      <c r="A1473" s="4" t="inlineStr">
        <is>
          <t>5328 Flugfeldklinikum-Böblingen</t>
        </is>
      </c>
      <c r="B1473" s="4" t="inlineStr">
        <is>
          <t>● 1000-Grundlagenermittlung</t>
        </is>
      </c>
      <c r="C1473" s="9" t="inlineStr">
        <is>
          <t>Unbekannt</t>
        </is>
      </c>
      <c r="D1473" s="10" t="inlineStr">
        <is>
          <t>⚠ Manual erforderlich</t>
        </is>
      </c>
      <c r="E1473" s="11" t="inlineStr"/>
      <c r="F1473" s="11" t="n">
        <v>0</v>
      </c>
      <c r="G1473" s="11">
        <f>E1473-F1473</f>
        <v/>
      </c>
      <c r="H1473" s="11" t="n">
        <v/>
      </c>
      <c r="I1473" s="11" t="n">
        <v/>
      </c>
      <c r="J1473" s="11" t="n">
        <v/>
      </c>
      <c r="K1473" s="4" t="inlineStr">
        <is>
          <t>Abrechnungsart wählen; Stundensätze eingeben</t>
        </is>
      </c>
    </row>
    <row r="1474">
      <c r="A1474" s="4" t="inlineStr">
        <is>
          <t>5328 Flugfeldklinikum-Böblingen</t>
        </is>
      </c>
      <c r="B1474" s="4" t="inlineStr">
        <is>
          <t>● 2000-Vorplanung</t>
        </is>
      </c>
      <c r="C1474" s="9" t="inlineStr">
        <is>
          <t>Unbekannt</t>
        </is>
      </c>
      <c r="D1474" s="10" t="inlineStr">
        <is>
          <t>⚠ Manual erforderlich</t>
        </is>
      </c>
      <c r="E1474" s="11" t="inlineStr"/>
      <c r="F1474" s="11" t="n">
        <v>0</v>
      </c>
      <c r="G1474" s="11">
        <f>E1474-F1474</f>
        <v/>
      </c>
      <c r="H1474" s="11" t="n">
        <v/>
      </c>
      <c r="I1474" s="11" t="n">
        <v/>
      </c>
      <c r="J1474" s="11" t="n">
        <v/>
      </c>
      <c r="K1474" s="4" t="inlineStr">
        <is>
          <t>Abrechnungsart wählen; Stundensätze eingeben</t>
        </is>
      </c>
    </row>
    <row r="1475">
      <c r="A1475" s="4" t="inlineStr">
        <is>
          <t>5328 Flugfeldklinikum-Böblingen</t>
        </is>
      </c>
      <c r="B1475" s="4" t="inlineStr">
        <is>
          <t>● 3000-Entwurfsplanung</t>
        </is>
      </c>
      <c r="C1475" s="9" t="inlineStr">
        <is>
          <t>Unbekannt</t>
        </is>
      </c>
      <c r="D1475" s="10" t="inlineStr">
        <is>
          <t>⚠ Manual erforderlich</t>
        </is>
      </c>
      <c r="E1475" s="11" t="inlineStr"/>
      <c r="F1475" s="11" t="n">
        <v>0</v>
      </c>
      <c r="G1475" s="11">
        <f>E1475-F1475</f>
        <v/>
      </c>
      <c r="H1475" s="11" t="n">
        <v/>
      </c>
      <c r="I1475" s="11" t="n">
        <v/>
      </c>
      <c r="J1475" s="11" t="n">
        <v/>
      </c>
      <c r="K1475" s="4" t="inlineStr">
        <is>
          <t>Abrechnungsart wählen; Stundensätze eingeben</t>
        </is>
      </c>
    </row>
    <row r="1476">
      <c r="A1476" s="4" t="inlineStr">
        <is>
          <t>5328 Flugfeldklinikum-Böblingen</t>
        </is>
      </c>
      <c r="B1476" s="4" t="inlineStr">
        <is>
          <t>● 4000-Genehmigungsplanung</t>
        </is>
      </c>
      <c r="C1476" s="9" t="inlineStr">
        <is>
          <t>Unbekannt</t>
        </is>
      </c>
      <c r="D1476" s="10" t="inlineStr">
        <is>
          <t>⚠ Manual erforderlich</t>
        </is>
      </c>
      <c r="E1476" s="11" t="inlineStr"/>
      <c r="F1476" s="11" t="n">
        <v>0</v>
      </c>
      <c r="G1476" s="11">
        <f>E1476-F1476</f>
        <v/>
      </c>
      <c r="H1476" s="11" t="n">
        <v/>
      </c>
      <c r="I1476" s="11" t="n">
        <v/>
      </c>
      <c r="J1476" s="11" t="n">
        <v/>
      </c>
      <c r="K1476" s="4" t="inlineStr">
        <is>
          <t>Abrechnungsart wählen; Stundensätze eingeben</t>
        </is>
      </c>
    </row>
    <row r="1477">
      <c r="A1477" s="4" t="inlineStr">
        <is>
          <t>5328 Flugfeldklinikum-Böblingen</t>
        </is>
      </c>
      <c r="B1477" s="4" t="inlineStr">
        <is>
          <t>● 5000-Ausführungsplanung</t>
        </is>
      </c>
      <c r="C1477" s="9" t="inlineStr">
        <is>
          <t>Unbekannt</t>
        </is>
      </c>
      <c r="D1477" s="10" t="inlineStr">
        <is>
          <t>⚠ Manual erforderlich</t>
        </is>
      </c>
      <c r="E1477" s="11" t="inlineStr"/>
      <c r="F1477" s="11" t="n">
        <v>0</v>
      </c>
      <c r="G1477" s="11">
        <f>E1477-F1477</f>
        <v/>
      </c>
      <c r="H1477" s="11" t="n">
        <v/>
      </c>
      <c r="I1477" s="11" t="n">
        <v/>
      </c>
      <c r="J1477" s="11" t="n">
        <v/>
      </c>
      <c r="K1477" s="4" t="inlineStr">
        <is>
          <t>Abrechnungsart wählen; Stundensätze eingeben</t>
        </is>
      </c>
    </row>
    <row r="1478">
      <c r="A1478" s="4" t="inlineStr">
        <is>
          <t>5328 Flugfeldklinikum-Böblingen</t>
        </is>
      </c>
      <c r="B1478" s="4" t="inlineStr">
        <is>
          <t>● 6000-Vorbereiten der Vergabe</t>
        </is>
      </c>
      <c r="C1478" s="9" t="inlineStr">
        <is>
          <t>Unbekannt</t>
        </is>
      </c>
      <c r="D1478" s="10" t="inlineStr">
        <is>
          <t>⚠ Manual erforderlich</t>
        </is>
      </c>
      <c r="E1478" s="11" t="inlineStr"/>
      <c r="F1478" s="11" t="n">
        <v>0</v>
      </c>
      <c r="G1478" s="11">
        <f>E1478-F1478</f>
        <v/>
      </c>
      <c r="H1478" s="11" t="n">
        <v/>
      </c>
      <c r="I1478" s="11" t="n">
        <v/>
      </c>
      <c r="J1478" s="11" t="n">
        <v/>
      </c>
      <c r="K1478" s="4" t="inlineStr">
        <is>
          <t>Abrechnungsart wählen; Stundensätze eingeben</t>
        </is>
      </c>
    </row>
    <row r="1479">
      <c r="A1479" s="4" t="inlineStr">
        <is>
          <t>5328 Flugfeldklinikum-Böblingen</t>
        </is>
      </c>
      <c r="B1479" s="4" t="inlineStr">
        <is>
          <t>● 7000-Mitwirkung bei der Vergabe</t>
        </is>
      </c>
      <c r="C1479" s="9" t="inlineStr">
        <is>
          <t>Unbekannt</t>
        </is>
      </c>
      <c r="D1479" s="10" t="inlineStr">
        <is>
          <t>⚠ Manual erforderlich</t>
        </is>
      </c>
      <c r="E1479" s="11" t="inlineStr"/>
      <c r="F1479" s="11" t="n">
        <v>0</v>
      </c>
      <c r="G1479" s="11">
        <f>E1479-F1479</f>
        <v/>
      </c>
      <c r="H1479" s="11" t="n">
        <v/>
      </c>
      <c r="I1479" s="11" t="n">
        <v/>
      </c>
      <c r="J1479" s="11" t="n">
        <v/>
      </c>
      <c r="K1479" s="4" t="inlineStr">
        <is>
          <t>Abrechnungsart wählen; Stundensätze eingeben</t>
        </is>
      </c>
    </row>
    <row r="1480">
      <c r="A1480" s="4" t="inlineStr">
        <is>
          <t>5328 Flugfeldklinikum-Böblingen</t>
        </is>
      </c>
      <c r="B1480" s="4" t="inlineStr">
        <is>
          <t>● 8000-Objektüberwachung</t>
        </is>
      </c>
      <c r="C1480" s="9" t="inlineStr">
        <is>
          <t>Unbekannt</t>
        </is>
      </c>
      <c r="D1480" s="10" t="inlineStr">
        <is>
          <t>⚠ Manual erforderlich</t>
        </is>
      </c>
      <c r="E1480" s="11" t="inlineStr"/>
      <c r="F1480" s="11" t="n">
        <v>0</v>
      </c>
      <c r="G1480" s="11">
        <f>E1480-F1480</f>
        <v/>
      </c>
      <c r="H1480" s="11" t="n">
        <v/>
      </c>
      <c r="I1480" s="11" t="n">
        <v/>
      </c>
      <c r="J1480" s="11" t="n">
        <v/>
      </c>
      <c r="K1480" s="4" t="inlineStr">
        <is>
          <t>Abrechnungsart wählen; Stundensätze eingeben</t>
        </is>
      </c>
    </row>
    <row r="1481">
      <c r="A1481" s="4" t="inlineStr">
        <is>
          <t>5328 Flugfeldklinikum-Böblingen</t>
        </is>
      </c>
      <c r="B1481" s="4" t="inlineStr">
        <is>
          <t>● 9000-Objektbetreuung und Dokumentation</t>
        </is>
      </c>
      <c r="C1481" s="9" t="inlineStr">
        <is>
          <t>Unbekannt</t>
        </is>
      </c>
      <c r="D1481" s="10" t="inlineStr">
        <is>
          <t>⚠ Manual erforderlich</t>
        </is>
      </c>
      <c r="E1481" s="11" t="inlineStr"/>
      <c r="F1481" s="11" t="n">
        <v>0</v>
      </c>
      <c r="G1481" s="11">
        <f>E1481-F1481</f>
        <v/>
      </c>
      <c r="H1481" s="11" t="n">
        <v/>
      </c>
      <c r="I1481" s="11" t="n">
        <v/>
      </c>
      <c r="J1481" s="11" t="n">
        <v/>
      </c>
      <c r="K1481" s="4" t="inlineStr">
        <is>
          <t>Abrechnungsart wählen; Stundensätze eingeben</t>
        </is>
      </c>
    </row>
    <row r="1482">
      <c r="A1482" s="4" t="inlineStr">
        <is>
          <t>5328.02 BTB-Funkt-Leistungsbeschreibung-Flugfeldklinikum-Böblingen</t>
        </is>
      </c>
      <c r="B1482" s="4" t="inlineStr">
        <is>
          <t>● 6000-Vorbereiten der Vergabe</t>
        </is>
      </c>
      <c r="C1482" s="9" t="inlineStr">
        <is>
          <t>Unbekannt</t>
        </is>
      </c>
      <c r="D1482" s="10" t="inlineStr">
        <is>
          <t>⚠ Manual erforderlich</t>
        </is>
      </c>
      <c r="E1482" s="11" t="inlineStr"/>
      <c r="F1482" s="11" t="n">
        <v>0</v>
      </c>
      <c r="G1482" s="11">
        <f>E1482-F1482</f>
        <v/>
      </c>
      <c r="H1482" s="11" t="n">
        <v/>
      </c>
      <c r="I1482" s="11" t="n">
        <v/>
      </c>
      <c r="J1482" s="11" t="n">
        <v/>
      </c>
      <c r="K1482" s="4" t="inlineStr">
        <is>
          <t>Abrechnungsart wählen; Stundensätze eingeben</t>
        </is>
      </c>
    </row>
    <row r="1483">
      <c r="A1483" s="4" t="inlineStr">
        <is>
          <t>5328.04 BTB-Baustelle-Flugfeldklinikum-Böblingen</t>
        </is>
      </c>
      <c r="B1483" s="4" t="inlineStr">
        <is>
          <t>● Beratung Bauphase (auf Nachweis)</t>
        </is>
      </c>
      <c r="C1483" s="9" t="inlineStr">
        <is>
          <t>Unbekannt</t>
        </is>
      </c>
      <c r="D1483" s="10" t="inlineStr">
        <is>
          <t>⚠ Manual erforderlich</t>
        </is>
      </c>
      <c r="E1483" s="11" t="inlineStr"/>
      <c r="F1483" s="11" t="n">
        <v>0</v>
      </c>
      <c r="G1483" s="11">
        <f>E1483-F1483</f>
        <v/>
      </c>
      <c r="H1483" s="11" t="n">
        <v/>
      </c>
      <c r="I1483" s="11" t="n">
        <v/>
      </c>
      <c r="J1483" s="11" t="n">
        <v/>
      </c>
      <c r="K1483" s="4" t="inlineStr">
        <is>
          <t>Abrechnungsart wählen; Stundensätze eingeben</t>
        </is>
      </c>
    </row>
    <row r="1484">
      <c r="A1484" s="4" t="inlineStr">
        <is>
          <t>5328.05 Flugfeldklinikum-Böblingen-BTB-FFK-Gefahrstofflager</t>
        </is>
      </c>
      <c r="B1484" s="4" t="inlineStr">
        <is>
          <t>● Brandschutztechnische Beratung im Rahmen  der Planung des Gefahrstofflagers (a.N.)</t>
        </is>
      </c>
      <c r="C1484" s="4" t="inlineStr">
        <is>
          <t>Nachweis</t>
        </is>
      </c>
      <c r="D1484" s="10" t="inlineStr">
        <is>
          <t>⚠ Manual erforderlich</t>
        </is>
      </c>
      <c r="E1484" s="11" t="inlineStr"/>
      <c r="F1484" s="11" t="n">
        <v>0</v>
      </c>
      <c r="G1484" s="11">
        <f>E1484-F1484</f>
        <v/>
      </c>
      <c r="H1484" s="11" t="n">
        <v/>
      </c>
      <c r="I1484" s="11" t="n">
        <v/>
      </c>
      <c r="J1484" s="11" t="n">
        <v/>
      </c>
      <c r="K1484" s="4" t="inlineStr">
        <is>
          <t>Stundensätze eingeben</t>
        </is>
      </c>
    </row>
    <row r="1485">
      <c r="A1485" s="4" t="inlineStr">
        <is>
          <t>5328.06 Flugfeldklinikum-Böblingen-Fortschr-BSK-FFK</t>
        </is>
      </c>
      <c r="B1485" s="4" t="inlineStr">
        <is>
          <t>● (a.N.) Pos. 1 Fortschreibung BSK in LP 5</t>
        </is>
      </c>
      <c r="C1485" s="4" t="inlineStr">
        <is>
          <t>Nachweis</t>
        </is>
      </c>
      <c r="D1485" s="10" t="inlineStr">
        <is>
          <t>⚠ Manual erforderlich</t>
        </is>
      </c>
      <c r="E1485" s="11" t="inlineStr"/>
      <c r="F1485" s="11" t="n">
        <v>0</v>
      </c>
      <c r="G1485" s="11">
        <f>E1485-F1485</f>
        <v/>
      </c>
      <c r="H1485" s="11" t="n">
        <v/>
      </c>
      <c r="I1485" s="11" t="n">
        <v/>
      </c>
      <c r="J1485" s="11" t="n">
        <v/>
      </c>
      <c r="K1485" s="4" t="inlineStr">
        <is>
          <t>Stundensätze eingeben</t>
        </is>
      </c>
    </row>
    <row r="1486">
      <c r="A1486" s="4" t="inlineStr">
        <is>
          <t>5336 CEH-Verwaltungsgebäude-Kaiserslautern-Vogelweh</t>
        </is>
      </c>
      <c r="B1486" s="4" t="inlineStr">
        <is>
          <t>● 1000-Grundlagenermittlung</t>
        </is>
      </c>
      <c r="C1486" s="9" t="inlineStr">
        <is>
          <t>Unbekannt</t>
        </is>
      </c>
      <c r="D1486" s="10" t="inlineStr">
        <is>
          <t>⚠ Manual erforderlich</t>
        </is>
      </c>
      <c r="E1486" s="11" t="inlineStr"/>
      <c r="F1486" s="11" t="n">
        <v>0</v>
      </c>
      <c r="G1486" s="11">
        <f>E1486-F1486</f>
        <v/>
      </c>
      <c r="H1486" s="11" t="n">
        <v/>
      </c>
      <c r="I1486" s="11" t="n">
        <v/>
      </c>
      <c r="J1486" s="11" t="n">
        <v/>
      </c>
      <c r="K1486" s="4" t="inlineStr">
        <is>
          <t>Abrechnungsart wählen; Stundensätze eingeben</t>
        </is>
      </c>
    </row>
    <row r="1487">
      <c r="A1487" s="4" t="inlineStr">
        <is>
          <t>5336 CEH-Verwaltungsgebäude-Kaiserslautern-Vogelweh</t>
        </is>
      </c>
      <c r="B1487" s="4" t="inlineStr">
        <is>
          <t>● 2000-Vorplanung</t>
        </is>
      </c>
      <c r="C1487" s="9" t="inlineStr">
        <is>
          <t>Unbekannt</t>
        </is>
      </c>
      <c r="D1487" s="10" t="inlineStr">
        <is>
          <t>⚠ Manual erforderlich</t>
        </is>
      </c>
      <c r="E1487" s="11" t="inlineStr"/>
      <c r="F1487" s="11" t="n">
        <v>0</v>
      </c>
      <c r="G1487" s="11">
        <f>E1487-F1487</f>
        <v/>
      </c>
      <c r="H1487" s="11" t="n">
        <v/>
      </c>
      <c r="I1487" s="11" t="n">
        <v/>
      </c>
      <c r="J1487" s="11" t="n">
        <v/>
      </c>
      <c r="K1487" s="4" t="inlineStr">
        <is>
          <t>Abrechnungsart wählen; Stundensätze eingeben</t>
        </is>
      </c>
    </row>
    <row r="1488">
      <c r="A1488" s="4" t="inlineStr">
        <is>
          <t>5336 CEH-Verwaltungsgebäude-Kaiserslautern-Vogelweh</t>
        </is>
      </c>
      <c r="B1488" s="4" t="inlineStr">
        <is>
          <t>● 3000-Entwurfsplanung</t>
        </is>
      </c>
      <c r="C1488" s="9" t="inlineStr">
        <is>
          <t>Unbekannt</t>
        </is>
      </c>
      <c r="D1488" s="10" t="inlineStr">
        <is>
          <t>⚠ Manual erforderlich</t>
        </is>
      </c>
      <c r="E1488" s="11" t="inlineStr"/>
      <c r="F1488" s="11" t="n">
        <v>0</v>
      </c>
      <c r="G1488" s="11">
        <f>E1488-F1488</f>
        <v/>
      </c>
      <c r="H1488" s="11" t="n">
        <v/>
      </c>
      <c r="I1488" s="11" t="n">
        <v/>
      </c>
      <c r="J1488" s="11" t="n">
        <v/>
      </c>
      <c r="K1488" s="4" t="inlineStr">
        <is>
          <t>Abrechnungsart wählen; Stundensätze eingeben</t>
        </is>
      </c>
    </row>
    <row r="1489">
      <c r="A1489" s="4" t="inlineStr">
        <is>
          <t>5336 CEH-Verwaltungsgebäude-Kaiserslautern-Vogelweh</t>
        </is>
      </c>
      <c r="B1489" s="4" t="inlineStr">
        <is>
          <t>● 4000-Genehmigungsplanung</t>
        </is>
      </c>
      <c r="C1489" s="9" t="inlineStr">
        <is>
          <t>Unbekannt</t>
        </is>
      </c>
      <c r="D1489" s="10" t="inlineStr">
        <is>
          <t>⚠ Manual erforderlich</t>
        </is>
      </c>
      <c r="E1489" s="11" t="inlineStr"/>
      <c r="F1489" s="11" t="n">
        <v>0</v>
      </c>
      <c r="G1489" s="11">
        <f>E1489-F1489</f>
        <v/>
      </c>
      <c r="H1489" s="11" t="n">
        <v/>
      </c>
      <c r="I1489" s="11" t="n">
        <v/>
      </c>
      <c r="J1489" s="11" t="n">
        <v/>
      </c>
      <c r="K1489" s="4" t="inlineStr">
        <is>
          <t>Abrechnungsart wählen; Stundensätze eingeben</t>
        </is>
      </c>
    </row>
    <row r="1490">
      <c r="A1490" s="4" t="inlineStr">
        <is>
          <t>5336 CEH-Verwaltungsgebäude-Kaiserslautern-Vogelweh</t>
        </is>
      </c>
      <c r="B1490" s="4" t="inlineStr">
        <is>
          <t>● 5000-Ausführungsplanung</t>
        </is>
      </c>
      <c r="C1490" s="9" t="inlineStr">
        <is>
          <t>Unbekannt</t>
        </is>
      </c>
      <c r="D1490" s="10" t="inlineStr">
        <is>
          <t>⚠ Manual erforderlich</t>
        </is>
      </c>
      <c r="E1490" s="11" t="inlineStr"/>
      <c r="F1490" s="11" t="n">
        <v>0</v>
      </c>
      <c r="G1490" s="11">
        <f>E1490-F1490</f>
        <v/>
      </c>
      <c r="H1490" s="11" t="n">
        <v/>
      </c>
      <c r="I1490" s="11" t="n">
        <v/>
      </c>
      <c r="J1490" s="11" t="n">
        <v/>
      </c>
      <c r="K1490" s="4" t="inlineStr">
        <is>
          <t>Abrechnungsart wählen; Stundensätze eingeben</t>
        </is>
      </c>
    </row>
    <row r="1491">
      <c r="A1491" s="4" t="inlineStr">
        <is>
          <t>5336 CEH-Verwaltungsgebäude-Kaiserslautern-Vogelweh</t>
        </is>
      </c>
      <c r="B1491" s="4" t="inlineStr">
        <is>
          <t>● 6000-Vorbereiten der Vergabe</t>
        </is>
      </c>
      <c r="C1491" s="9" t="inlineStr">
        <is>
          <t>Unbekannt</t>
        </is>
      </c>
      <c r="D1491" s="10" t="inlineStr">
        <is>
          <t>⚠ Manual erforderlich</t>
        </is>
      </c>
      <c r="E1491" s="11" t="inlineStr"/>
      <c r="F1491" s="11" t="n">
        <v>0</v>
      </c>
      <c r="G1491" s="11">
        <f>E1491-F1491</f>
        <v/>
      </c>
      <c r="H1491" s="11" t="n">
        <v/>
      </c>
      <c r="I1491" s="11" t="n">
        <v/>
      </c>
      <c r="J1491" s="11" t="n">
        <v/>
      </c>
      <c r="K1491" s="4" t="inlineStr">
        <is>
          <t>Abrechnungsart wählen; Stundensätze eingeben</t>
        </is>
      </c>
    </row>
    <row r="1492">
      <c r="A1492" s="4" t="inlineStr">
        <is>
          <t>5336 CEH-Verwaltungsgebäude-Kaiserslautern-Vogelweh</t>
        </is>
      </c>
      <c r="B1492" s="4" t="inlineStr">
        <is>
          <t>● 7000-Mitwirkung bei der Vergabe</t>
        </is>
      </c>
      <c r="C1492" s="9" t="inlineStr">
        <is>
          <t>Unbekannt</t>
        </is>
      </c>
      <c r="D1492" s="10" t="inlineStr">
        <is>
          <t>⚠ Manual erforderlich</t>
        </is>
      </c>
      <c r="E1492" s="11" t="inlineStr"/>
      <c r="F1492" s="11" t="n">
        <v>0</v>
      </c>
      <c r="G1492" s="11">
        <f>E1492-F1492</f>
        <v/>
      </c>
      <c r="H1492" s="11" t="n">
        <v/>
      </c>
      <c r="I1492" s="11" t="n">
        <v/>
      </c>
      <c r="J1492" s="11" t="n">
        <v/>
      </c>
      <c r="K1492" s="4" t="inlineStr">
        <is>
          <t>Abrechnungsart wählen; Stundensätze eingeben</t>
        </is>
      </c>
    </row>
    <row r="1493">
      <c r="A1493" s="4" t="inlineStr">
        <is>
          <t>5336 CEH-Verwaltungsgebäude-Kaiserslautern-Vogelweh</t>
        </is>
      </c>
      <c r="B1493" s="4" t="inlineStr">
        <is>
          <t>● 8000-Objektüberwachung</t>
        </is>
      </c>
      <c r="C1493" s="9" t="inlineStr">
        <is>
          <t>Unbekannt</t>
        </is>
      </c>
      <c r="D1493" s="10" t="inlineStr">
        <is>
          <t>⚠ Manual erforderlich</t>
        </is>
      </c>
      <c r="E1493" s="11" t="inlineStr"/>
      <c r="F1493" s="11" t="n">
        <v>0</v>
      </c>
      <c r="G1493" s="11">
        <f>E1493-F1493</f>
        <v/>
      </c>
      <c r="H1493" s="11" t="n">
        <v/>
      </c>
      <c r="I1493" s="11" t="n">
        <v/>
      </c>
      <c r="J1493" s="11" t="n">
        <v/>
      </c>
      <c r="K1493" s="4" t="inlineStr">
        <is>
          <t>Abrechnungsart wählen; Stundensätze eingeben</t>
        </is>
      </c>
    </row>
    <row r="1494">
      <c r="A1494" s="4" t="inlineStr">
        <is>
          <t>5336 CEH-Verwaltungsgebäude-Kaiserslautern-Vogelweh</t>
        </is>
      </c>
      <c r="B1494" s="4" t="inlineStr">
        <is>
          <t>● 9000-Objektbetreuung und Dokumentation</t>
        </is>
      </c>
      <c r="C1494" s="9" t="inlineStr">
        <is>
          <t>Unbekannt</t>
        </is>
      </c>
      <c r="D1494" s="10" t="inlineStr">
        <is>
          <t>⚠ Manual erforderlich</t>
        </is>
      </c>
      <c r="E1494" s="11" t="inlineStr"/>
      <c r="F1494" s="11" t="n">
        <v>0</v>
      </c>
      <c r="G1494" s="11">
        <f>E1494-F1494</f>
        <v/>
      </c>
      <c r="H1494" s="11" t="n">
        <v/>
      </c>
      <c r="I1494" s="11" t="n">
        <v/>
      </c>
      <c r="J1494" s="11" t="n">
        <v/>
      </c>
      <c r="K1494" s="4" t="inlineStr">
        <is>
          <t>Abrechnungsart wählen; Stundensätze eingeben</t>
        </is>
      </c>
    </row>
    <row r="1495">
      <c r="A1495" s="4" t="inlineStr">
        <is>
          <t>5336.01 US-CEH-Verwaltungsgebäude-Kaiserslautern-Vogelweh</t>
        </is>
      </c>
      <c r="B1495" s="4" t="inlineStr">
        <is>
          <t>● 4000-Genehmigungsplanung</t>
        </is>
      </c>
      <c r="C1495" s="9" t="inlineStr">
        <is>
          <t>Unbekannt</t>
        </is>
      </c>
      <c r="D1495" s="10" t="inlineStr">
        <is>
          <t>⚠ Manual erforderlich</t>
        </is>
      </c>
      <c r="E1495" s="11" t="inlineStr"/>
      <c r="F1495" s="11" t="n">
        <v>0</v>
      </c>
      <c r="G1495" s="11">
        <f>E1495-F1495</f>
        <v/>
      </c>
      <c r="H1495" s="11" t="n">
        <v/>
      </c>
      <c r="I1495" s="11" t="n">
        <v/>
      </c>
      <c r="J1495" s="11" t="n">
        <v/>
      </c>
      <c r="K1495" s="4" t="inlineStr">
        <is>
          <t>Abrechnungsart wählen; Stundensätze eingeben</t>
        </is>
      </c>
    </row>
    <row r="1496">
      <c r="A1496" s="4" t="inlineStr">
        <is>
          <t>5336.01 US-CEH-Verwaltungsgebäude-Kaiserslautern-Vogelweh</t>
        </is>
      </c>
      <c r="B1496" s="4" t="inlineStr">
        <is>
          <t>● 5000-Ausführungsplanung</t>
        </is>
      </c>
      <c r="C1496" s="9" t="inlineStr">
        <is>
          <t>Unbekannt</t>
        </is>
      </c>
      <c r="D1496" s="10" t="inlineStr">
        <is>
          <t>⚠ Manual erforderlich</t>
        </is>
      </c>
      <c r="E1496" s="11" t="inlineStr"/>
      <c r="F1496" s="11" t="n">
        <v>0</v>
      </c>
      <c r="G1496" s="11">
        <f>E1496-F1496</f>
        <v/>
      </c>
      <c r="H1496" s="11" t="n">
        <v/>
      </c>
      <c r="I1496" s="11" t="n">
        <v/>
      </c>
      <c r="J1496" s="11" t="n">
        <v/>
      </c>
      <c r="K1496" s="4" t="inlineStr">
        <is>
          <t>Abrechnungsart wählen; Stundensätze eingeben</t>
        </is>
      </c>
    </row>
    <row r="1497">
      <c r="A1497" s="4" t="inlineStr">
        <is>
          <t>5336.01 US-CEH-Verwaltungsgebäude-Kaiserslautern-Vogelweh</t>
        </is>
      </c>
      <c r="B1497" s="4" t="inlineStr">
        <is>
          <t>● 8000-Objektüberwachung</t>
        </is>
      </c>
      <c r="C1497" s="9" t="inlineStr">
        <is>
          <t>Unbekannt</t>
        </is>
      </c>
      <c r="D1497" s="10" t="inlineStr">
        <is>
          <t>⚠ Manual erforderlich</t>
        </is>
      </c>
      <c r="E1497" s="11" t="inlineStr"/>
      <c r="F1497" s="11" t="n">
        <v>0</v>
      </c>
      <c r="G1497" s="11">
        <f>E1497-F1497</f>
        <v/>
      </c>
      <c r="H1497" s="11" t="n">
        <v/>
      </c>
      <c r="I1497" s="11" t="n">
        <v/>
      </c>
      <c r="J1497" s="11" t="n">
        <v/>
      </c>
      <c r="K1497" s="4" t="inlineStr">
        <is>
          <t>Abrechnungsart wählen; Stundensätze eingeben</t>
        </is>
      </c>
    </row>
    <row r="1498">
      <c r="A1498" s="4" t="inlineStr">
        <is>
          <t>5346 Siemensstraße-18-Speyer-ENGIE</t>
        </is>
      </c>
      <c r="B1498" s="4" t="inlineStr">
        <is>
          <t>● 1000-Grundlagenermittlung</t>
        </is>
      </c>
      <c r="C1498" s="9" t="inlineStr">
        <is>
          <t>Unbekannt</t>
        </is>
      </c>
      <c r="D1498" s="10" t="inlineStr">
        <is>
          <t>⚠ Manual erforderlich</t>
        </is>
      </c>
      <c r="E1498" s="11" t="inlineStr"/>
      <c r="F1498" s="11" t="n">
        <v>0</v>
      </c>
      <c r="G1498" s="11">
        <f>E1498-F1498</f>
        <v/>
      </c>
      <c r="H1498" s="11" t="n">
        <v/>
      </c>
      <c r="I1498" s="11" t="n">
        <v/>
      </c>
      <c r="J1498" s="11" t="n">
        <v/>
      </c>
      <c r="K1498" s="4" t="inlineStr">
        <is>
          <t>Abrechnungsart wählen; Stundensätze eingeben</t>
        </is>
      </c>
    </row>
    <row r="1499">
      <c r="A1499" s="4" t="inlineStr">
        <is>
          <t>5346 Siemensstraße-18-Speyer-ENGIE</t>
        </is>
      </c>
      <c r="B1499" s="4" t="inlineStr">
        <is>
          <t>● 3000-Entwurfsplanung</t>
        </is>
      </c>
      <c r="C1499" s="9" t="inlineStr">
        <is>
          <t>Unbekannt</t>
        </is>
      </c>
      <c r="D1499" s="10" t="inlineStr">
        <is>
          <t>⚠ Manual erforderlich</t>
        </is>
      </c>
      <c r="E1499" s="11" t="inlineStr"/>
      <c r="F1499" s="11" t="n">
        <v>0</v>
      </c>
      <c r="G1499" s="11">
        <f>E1499-F1499</f>
        <v/>
      </c>
      <c r="H1499" s="11" t="n">
        <v/>
      </c>
      <c r="I1499" s="11" t="n">
        <v/>
      </c>
      <c r="J1499" s="11" t="n">
        <v/>
      </c>
      <c r="K1499" s="4" t="inlineStr">
        <is>
          <t>Abrechnungsart wählen; Stundensätze eingeben</t>
        </is>
      </c>
    </row>
    <row r="1500">
      <c r="A1500" s="4" t="inlineStr">
        <is>
          <t>5351 SWM-U-Bahnhof-Universität(Werbestele-2017)</t>
        </is>
      </c>
      <c r="B1500" s="4" t="inlineStr">
        <is>
          <t>● 2000-Vorplanung</t>
        </is>
      </c>
      <c r="C1500" s="9" t="inlineStr">
        <is>
          <t>Unbekannt</t>
        </is>
      </c>
      <c r="D1500" s="10" t="inlineStr">
        <is>
          <t>⚠ Manual erforderlich</t>
        </is>
      </c>
      <c r="E1500" s="11" t="inlineStr"/>
      <c r="F1500" s="11" t="n">
        <v>0</v>
      </c>
      <c r="G1500" s="11">
        <f>E1500-F1500</f>
        <v/>
      </c>
      <c r="H1500" s="11" t="n">
        <v/>
      </c>
      <c r="I1500" s="11" t="n">
        <v/>
      </c>
      <c r="J1500" s="11" t="n">
        <v/>
      </c>
      <c r="K1500" s="4" t="inlineStr">
        <is>
          <t>Abrechnungsart wählen; Stundensätze eingeben</t>
        </is>
      </c>
    </row>
    <row r="1501">
      <c r="A1501" s="4" t="inlineStr">
        <is>
          <t>5351 SWM-U-Bahnhof-Universität(Werbestele-2017)</t>
        </is>
      </c>
      <c r="B1501" s="4" t="inlineStr">
        <is>
          <t>● 3000-Entwurfsplanung</t>
        </is>
      </c>
      <c r="C1501" s="9" t="inlineStr">
        <is>
          <t>Unbekannt</t>
        </is>
      </c>
      <c r="D1501" s="10" t="inlineStr">
        <is>
          <t>⚠ Manual erforderlich</t>
        </is>
      </c>
      <c r="E1501" s="11" t="inlineStr"/>
      <c r="F1501" s="11" t="n">
        <v>0</v>
      </c>
      <c r="G1501" s="11">
        <f>E1501-F1501</f>
        <v/>
      </c>
      <c r="H1501" s="11" t="n">
        <v/>
      </c>
      <c r="I1501" s="11" t="n">
        <v/>
      </c>
      <c r="J1501" s="11" t="n">
        <v/>
      </c>
      <c r="K1501" s="4" t="inlineStr">
        <is>
          <t>Abrechnungsart wählen; Stundensätze eingeben</t>
        </is>
      </c>
    </row>
    <row r="1502">
      <c r="A1502" s="4" t="inlineStr">
        <is>
          <t>5367 Oberwieser-Straße-13-Kriegsfeld</t>
        </is>
      </c>
      <c r="B1502" s="4" t="inlineStr">
        <is>
          <t>● 1000-Grundlagenermittlung</t>
        </is>
      </c>
      <c r="C1502" s="9" t="inlineStr">
        <is>
          <t>Unbekannt</t>
        </is>
      </c>
      <c r="D1502" s="10" t="inlineStr">
        <is>
          <t>⚠ Manual erforderlich</t>
        </is>
      </c>
      <c r="E1502" s="11" t="inlineStr"/>
      <c r="F1502" s="11" t="n">
        <v>0</v>
      </c>
      <c r="G1502" s="11">
        <f>E1502-F1502</f>
        <v/>
      </c>
      <c r="H1502" s="11" t="n">
        <v/>
      </c>
      <c r="I1502" s="11" t="n">
        <v/>
      </c>
      <c r="J1502" s="11" t="n">
        <v/>
      </c>
      <c r="K1502" s="4" t="inlineStr">
        <is>
          <t>Abrechnungsart wählen; Stundensätze eingeben</t>
        </is>
      </c>
    </row>
    <row r="1503">
      <c r="A1503" s="4" t="inlineStr">
        <is>
          <t>5367 Oberwieser-Straße-13-Kriegsfeld</t>
        </is>
      </c>
      <c r="B1503" s="4" t="inlineStr">
        <is>
          <t>● 2000-Vorplanung</t>
        </is>
      </c>
      <c r="C1503" s="9" t="inlineStr">
        <is>
          <t>Unbekannt</t>
        </is>
      </c>
      <c r="D1503" s="10" t="inlineStr">
        <is>
          <t>⚠ Manual erforderlich</t>
        </is>
      </c>
      <c r="E1503" s="11" t="inlineStr"/>
      <c r="F1503" s="11" t="n">
        <v>0</v>
      </c>
      <c r="G1503" s="11">
        <f>E1503-F1503</f>
        <v/>
      </c>
      <c r="H1503" s="11" t="n">
        <v/>
      </c>
      <c r="I1503" s="11" t="n">
        <v/>
      </c>
      <c r="J1503" s="11" t="n">
        <v/>
      </c>
      <c r="K1503" s="4" t="inlineStr">
        <is>
          <t>Abrechnungsart wählen; Stundensätze eingeben</t>
        </is>
      </c>
    </row>
    <row r="1504">
      <c r="A1504" s="4" t="inlineStr">
        <is>
          <t>5367 Oberwieser-Straße-13-Kriegsfeld</t>
        </is>
      </c>
      <c r="B1504" s="4" t="inlineStr">
        <is>
          <t>● 3000-Entwurfsplanung</t>
        </is>
      </c>
      <c r="C1504" s="9" t="inlineStr">
        <is>
          <t>Unbekannt</t>
        </is>
      </c>
      <c r="D1504" s="10" t="inlineStr">
        <is>
          <t>⚠ Manual erforderlich</t>
        </is>
      </c>
      <c r="E1504" s="11" t="inlineStr"/>
      <c r="F1504" s="11" t="n">
        <v>0</v>
      </c>
      <c r="G1504" s="11">
        <f>E1504-F1504</f>
        <v/>
      </c>
      <c r="H1504" s="11" t="n">
        <v/>
      </c>
      <c r="I1504" s="11" t="n">
        <v/>
      </c>
      <c r="J1504" s="11" t="n">
        <v/>
      </c>
      <c r="K1504" s="4" t="inlineStr">
        <is>
          <t>Abrechnungsart wählen; Stundensätze eingeben</t>
        </is>
      </c>
    </row>
    <row r="1505">
      <c r="A1505" s="4" t="inlineStr">
        <is>
          <t>5367 Oberwieser-Straße-13-Kriegsfeld</t>
        </is>
      </c>
      <c r="B1505" s="4" t="inlineStr">
        <is>
          <t>● 4000-Genehmigungsplanung</t>
        </is>
      </c>
      <c r="C1505" s="9" t="inlineStr">
        <is>
          <t>Unbekannt</t>
        </is>
      </c>
      <c r="D1505" s="10" t="inlineStr">
        <is>
          <t>⚠ Manual erforderlich</t>
        </is>
      </c>
      <c r="E1505" s="11" t="inlineStr"/>
      <c r="F1505" s="11" t="n">
        <v>0</v>
      </c>
      <c r="G1505" s="11">
        <f>E1505-F1505</f>
        <v/>
      </c>
      <c r="H1505" s="11" t="n">
        <v/>
      </c>
      <c r="I1505" s="11" t="n">
        <v/>
      </c>
      <c r="J1505" s="11" t="n">
        <v/>
      </c>
      <c r="K1505" s="4" t="inlineStr">
        <is>
          <t>Abrechnungsart wählen; Stundensätze eingeben</t>
        </is>
      </c>
    </row>
    <row r="1506">
      <c r="A1506" s="4" t="inlineStr">
        <is>
          <t>5367 Oberwieser-Straße-13-Kriegsfeld</t>
        </is>
      </c>
      <c r="B1506" s="4" t="inlineStr">
        <is>
          <t>● 8000-Objektüberwachung</t>
        </is>
      </c>
      <c r="C1506" s="9" t="inlineStr">
        <is>
          <t>Unbekannt</t>
        </is>
      </c>
      <c r="D1506" s="10" t="inlineStr">
        <is>
          <t>⚠ Manual erforderlich</t>
        </is>
      </c>
      <c r="E1506" s="11" t="inlineStr"/>
      <c r="F1506" s="11" t="n">
        <v>0</v>
      </c>
      <c r="G1506" s="11">
        <f>E1506-F1506</f>
        <v/>
      </c>
      <c r="H1506" s="11" t="n">
        <v/>
      </c>
      <c r="I1506" s="11" t="n">
        <v/>
      </c>
      <c r="J1506" s="11" t="n">
        <v/>
      </c>
      <c r="K1506" s="4" t="inlineStr">
        <is>
          <t>Abrechnungsart wählen; Stundensätze eingeben</t>
        </is>
      </c>
    </row>
    <row r="1507">
      <c r="A1507" s="4" t="inlineStr">
        <is>
          <t>5367 Oberwieser-Straße-13-Kriegsfeld</t>
        </is>
      </c>
      <c r="B1507" s="4" t="inlineStr">
        <is>
          <t>● 9000-Objektbetreuung und Dokumentation</t>
        </is>
      </c>
      <c r="C1507" s="9" t="inlineStr">
        <is>
          <t>Unbekannt</t>
        </is>
      </c>
      <c r="D1507" s="10" t="inlineStr">
        <is>
          <t>⚠ Manual erforderlich</t>
        </is>
      </c>
      <c r="E1507" s="11" t="inlineStr"/>
      <c r="F1507" s="11" t="n">
        <v>0</v>
      </c>
      <c r="G1507" s="11">
        <f>E1507-F1507</f>
        <v/>
      </c>
      <c r="H1507" s="11" t="n">
        <v/>
      </c>
      <c r="I1507" s="11" t="n">
        <v/>
      </c>
      <c r="J1507" s="11" t="n">
        <v/>
      </c>
      <c r="K1507" s="4" t="inlineStr">
        <is>
          <t>Abrechnungsart wählen; Stundensätze eingeben</t>
        </is>
      </c>
    </row>
    <row r="1508">
      <c r="A1508" s="4" t="inlineStr">
        <is>
          <t>5381.03 Trennung-Trink-Löschwasser-Königsberger-Straße-27-31-Kriftel</t>
        </is>
      </c>
      <c r="B1508" s="4" t="inlineStr">
        <is>
          <t>● (n.A.) brandschutztechn. Beratung</t>
        </is>
      </c>
      <c r="C1508" s="9" t="inlineStr">
        <is>
          <t>Unbekannt</t>
        </is>
      </c>
      <c r="D1508" s="10" t="inlineStr">
        <is>
          <t>⚠ Manual erforderlich</t>
        </is>
      </c>
      <c r="E1508" s="11" t="inlineStr"/>
      <c r="F1508" s="11" t="n">
        <v>0</v>
      </c>
      <c r="G1508" s="11">
        <f>E1508-F1508</f>
        <v/>
      </c>
      <c r="H1508" s="11" t="n">
        <v/>
      </c>
      <c r="I1508" s="11" t="n">
        <v/>
      </c>
      <c r="J1508" s="11" t="n">
        <v/>
      </c>
      <c r="K1508" s="4" t="inlineStr">
        <is>
          <t>Abrechnungsart wählen; Stundensätze eingeben</t>
        </is>
      </c>
    </row>
    <row r="1509">
      <c r="A1509" s="4" t="inlineStr">
        <is>
          <t>5381.04 BST+Pläne-Königsberger-Straße-27-31-Kriftel</t>
        </is>
      </c>
      <c r="B1509" s="4" t="inlineStr">
        <is>
          <t>● (p) Pos. 1 BST</t>
        </is>
      </c>
      <c r="C1509" s="4" t="inlineStr">
        <is>
          <t>Pauschale</t>
        </is>
      </c>
      <c r="D1509" s="10" t="inlineStr">
        <is>
          <t>⚠ Manual erforderlich</t>
        </is>
      </c>
      <c r="E1509" s="11" t="inlineStr"/>
      <c r="F1509" s="11" t="n">
        <v>0</v>
      </c>
      <c r="G1509" s="11">
        <f>E1509-F1509</f>
        <v/>
      </c>
      <c r="H1509" s="11" t="n">
        <v>0</v>
      </c>
      <c r="I1509" s="11" t="n">
        <v>0</v>
      </c>
      <c r="J1509" s="11" t="n">
        <v>0</v>
      </c>
      <c r="K1509" s="4" t="inlineStr">
        <is>
          <t>Stundensätze eingeben</t>
        </is>
      </c>
    </row>
    <row r="1510">
      <c r="A1510" s="4" t="inlineStr">
        <is>
          <t>5381.04 BST+Pläne-Königsberger-Straße-27-31-Kriftel</t>
        </is>
      </c>
      <c r="B1510" s="4" t="inlineStr">
        <is>
          <t>● (p) Pos. 2 FWP</t>
        </is>
      </c>
      <c r="C1510" s="4" t="inlineStr">
        <is>
          <t>Pauschale</t>
        </is>
      </c>
      <c r="D1510" s="10" t="inlineStr">
        <is>
          <t>⚠ Manual erforderlich</t>
        </is>
      </c>
      <c r="E1510" s="11" t="inlineStr"/>
      <c r="F1510" s="11" t="n">
        <v>0</v>
      </c>
      <c r="G1510" s="11">
        <f>E1510-F1510</f>
        <v/>
      </c>
      <c r="H1510" s="11" t="n">
        <v>0</v>
      </c>
      <c r="I1510" s="11" t="n">
        <v>0</v>
      </c>
      <c r="J1510" s="11" t="n">
        <v>0</v>
      </c>
      <c r="K1510" s="4" t="inlineStr">
        <is>
          <t>Stundensätze eingeben</t>
        </is>
      </c>
    </row>
    <row r="1511">
      <c r="A1511" s="4" t="inlineStr">
        <is>
          <t>5381.04 BST+Pläne-Königsberger-Straße-27-31-Kriftel</t>
        </is>
      </c>
      <c r="B1511" s="4" t="inlineStr">
        <is>
          <t>● (aN) Pos. 3 BTB</t>
        </is>
      </c>
      <c r="C1511" s="4" t="inlineStr">
        <is>
          <t>Nachweis</t>
        </is>
      </c>
      <c r="D1511" s="10" t="inlineStr">
        <is>
          <t>⚠ Manual erforderlich</t>
        </is>
      </c>
      <c r="E1511" s="11" t="inlineStr"/>
      <c r="F1511" s="11" t="n">
        <v>0</v>
      </c>
      <c r="G1511" s="11">
        <f>E1511-F1511</f>
        <v/>
      </c>
      <c r="H1511" s="11" t="n">
        <v/>
      </c>
      <c r="I1511" s="11" t="n">
        <v/>
      </c>
      <c r="J1511" s="11" t="n">
        <v/>
      </c>
      <c r="K1511" s="4" t="inlineStr">
        <is>
          <t>Stundensätze eingeben</t>
        </is>
      </c>
    </row>
    <row r="1512">
      <c r="A1512" s="4" t="inlineStr">
        <is>
          <t>5385 Goldsteinstraße-Frankfurt-Hochbunkeranlage</t>
        </is>
      </c>
      <c r="B1512" s="4" t="inlineStr">
        <is>
          <t>● 1000-Grundlagenermittlung</t>
        </is>
      </c>
      <c r="C1512" s="9" t="inlineStr">
        <is>
          <t>Unbekannt</t>
        </is>
      </c>
      <c r="D1512" s="10" t="inlineStr">
        <is>
          <t>⚠ Manual erforderlich</t>
        </is>
      </c>
      <c r="E1512" s="11" t="inlineStr"/>
      <c r="F1512" s="11" t="n">
        <v>0</v>
      </c>
      <c r="G1512" s="11">
        <f>E1512-F1512</f>
        <v/>
      </c>
      <c r="H1512" s="11" t="n">
        <v/>
      </c>
      <c r="I1512" s="11" t="n">
        <v/>
      </c>
      <c r="J1512" s="11" t="n">
        <v/>
      </c>
      <c r="K1512" s="4" t="inlineStr">
        <is>
          <t>Abrechnungsart wählen; Stundensätze eingeben</t>
        </is>
      </c>
    </row>
    <row r="1513">
      <c r="A1513" s="4" t="inlineStr">
        <is>
          <t>5385 Goldsteinstraße-Frankfurt-Hochbunkeranlage</t>
        </is>
      </c>
      <c r="B1513" s="4" t="inlineStr">
        <is>
          <t>● 2000-Vorplanung</t>
        </is>
      </c>
      <c r="C1513" s="9" t="inlineStr">
        <is>
          <t>Unbekannt</t>
        </is>
      </c>
      <c r="D1513" s="10" t="inlineStr">
        <is>
          <t>⚠ Manual erforderlich</t>
        </is>
      </c>
      <c r="E1513" s="11" t="inlineStr"/>
      <c r="F1513" s="11" t="n">
        <v>0</v>
      </c>
      <c r="G1513" s="11">
        <f>E1513-F1513</f>
        <v/>
      </c>
      <c r="H1513" s="11" t="n">
        <v/>
      </c>
      <c r="I1513" s="11" t="n">
        <v/>
      </c>
      <c r="J1513" s="11" t="n">
        <v/>
      </c>
      <c r="K1513" s="4" t="inlineStr">
        <is>
          <t>Abrechnungsart wählen; Stundensätze eingeben</t>
        </is>
      </c>
    </row>
    <row r="1514">
      <c r="A1514" s="4" t="inlineStr">
        <is>
          <t>5386 Küferstraße-Frankfurt-Hochbunkeranlage</t>
        </is>
      </c>
      <c r="B1514" s="4" t="inlineStr">
        <is>
          <t>● 1000-Grundlagenermittlung</t>
        </is>
      </c>
      <c r="C1514" s="9" t="inlineStr">
        <is>
          <t>Unbekannt</t>
        </is>
      </c>
      <c r="D1514" s="10" t="inlineStr">
        <is>
          <t>⚠ Manual erforderlich</t>
        </is>
      </c>
      <c r="E1514" s="11" t="inlineStr"/>
      <c r="F1514" s="11" t="n">
        <v>0</v>
      </c>
      <c r="G1514" s="11">
        <f>E1514-F1514</f>
        <v/>
      </c>
      <c r="H1514" s="11" t="n">
        <v/>
      </c>
      <c r="I1514" s="11" t="n">
        <v/>
      </c>
      <c r="J1514" s="11" t="n">
        <v/>
      </c>
      <c r="K1514" s="4" t="inlineStr">
        <is>
          <t>Abrechnungsart wählen; Stundensätze eingeben</t>
        </is>
      </c>
    </row>
    <row r="1515">
      <c r="A1515" s="4" t="inlineStr">
        <is>
          <t>5386 Küferstraße-Frankfurt-Hochbunkeranlage</t>
        </is>
      </c>
      <c r="B1515" s="4" t="inlineStr">
        <is>
          <t>● 2000-Vorplanung</t>
        </is>
      </c>
      <c r="C1515" s="9" t="inlineStr">
        <is>
          <t>Unbekannt</t>
        </is>
      </c>
      <c r="D1515" s="10" t="inlineStr">
        <is>
          <t>⚠ Manual erforderlich</t>
        </is>
      </c>
      <c r="E1515" s="11" t="inlineStr"/>
      <c r="F1515" s="11" t="n">
        <v>0</v>
      </c>
      <c r="G1515" s="11">
        <f>E1515-F1515</f>
        <v/>
      </c>
      <c r="H1515" s="11" t="n">
        <v/>
      </c>
      <c r="I1515" s="11" t="n">
        <v/>
      </c>
      <c r="J1515" s="11" t="n">
        <v/>
      </c>
      <c r="K1515" s="4" t="inlineStr">
        <is>
          <t>Abrechnungsart wählen; Stundensätze eingeben</t>
        </is>
      </c>
    </row>
    <row r="1516">
      <c r="A1516" s="4" t="inlineStr">
        <is>
          <t>5387 Petterweilstraße-Frankfurt-Hochbunkeranlage</t>
        </is>
      </c>
      <c r="B1516" s="4" t="inlineStr">
        <is>
          <t>● 1000-Grundlagenermittlung</t>
        </is>
      </c>
      <c r="C1516" s="9" t="inlineStr">
        <is>
          <t>Unbekannt</t>
        </is>
      </c>
      <c r="D1516" s="10" t="inlineStr">
        <is>
          <t>⚠ Manual erforderlich</t>
        </is>
      </c>
      <c r="E1516" s="11" t="inlineStr"/>
      <c r="F1516" s="11" t="n">
        <v>0</v>
      </c>
      <c r="G1516" s="11">
        <f>E1516-F1516</f>
        <v/>
      </c>
      <c r="H1516" s="11" t="n">
        <v/>
      </c>
      <c r="I1516" s="11" t="n">
        <v/>
      </c>
      <c r="J1516" s="11" t="n">
        <v/>
      </c>
      <c r="K1516" s="4" t="inlineStr">
        <is>
          <t>Abrechnungsart wählen; Stundensätze eingeben</t>
        </is>
      </c>
    </row>
    <row r="1517">
      <c r="A1517" s="4" t="inlineStr">
        <is>
          <t>5387 Petterweilstraße-Frankfurt-Hochbunkeranlage</t>
        </is>
      </c>
      <c r="B1517" s="4" t="inlineStr">
        <is>
          <t>● 2000-Vorplanung</t>
        </is>
      </c>
      <c r="C1517" s="9" t="inlineStr">
        <is>
          <t>Unbekannt</t>
        </is>
      </c>
      <c r="D1517" s="10" t="inlineStr">
        <is>
          <t>⚠ Manual erforderlich</t>
        </is>
      </c>
      <c r="E1517" s="11" t="inlineStr"/>
      <c r="F1517" s="11" t="n">
        <v>0</v>
      </c>
      <c r="G1517" s="11">
        <f>E1517-F1517</f>
        <v/>
      </c>
      <c r="H1517" s="11" t="n">
        <v/>
      </c>
      <c r="I1517" s="11" t="n">
        <v/>
      </c>
      <c r="J1517" s="11" t="n">
        <v/>
      </c>
      <c r="K1517" s="4" t="inlineStr">
        <is>
          <t>Abrechnungsart wählen; Stundensätze eingeben</t>
        </is>
      </c>
    </row>
    <row r="1518">
      <c r="A1518" s="4" t="inlineStr">
        <is>
          <t>5388 Eppenheimer-Straße-Frankfurt-Hochbunkeranlage</t>
        </is>
      </c>
      <c r="B1518" s="4" t="inlineStr">
        <is>
          <t>● 1000-Grundlagenermittlung</t>
        </is>
      </c>
      <c r="C1518" s="9" t="inlineStr">
        <is>
          <t>Unbekannt</t>
        </is>
      </c>
      <c r="D1518" s="10" t="inlineStr">
        <is>
          <t>⚠ Manual erforderlich</t>
        </is>
      </c>
      <c r="E1518" s="11" t="inlineStr"/>
      <c r="F1518" s="11" t="n">
        <v>0</v>
      </c>
      <c r="G1518" s="11">
        <f>E1518-F1518</f>
        <v/>
      </c>
      <c r="H1518" s="11" t="n">
        <v/>
      </c>
      <c r="I1518" s="11" t="n">
        <v/>
      </c>
      <c r="J1518" s="11" t="n">
        <v/>
      </c>
      <c r="K1518" s="4" t="inlineStr">
        <is>
          <t>Abrechnungsart wählen; Stundensätze eingeben</t>
        </is>
      </c>
    </row>
    <row r="1519">
      <c r="A1519" s="4" t="inlineStr">
        <is>
          <t>5388 Eppenheimer-Straße-Frankfurt-Hochbunkeranlage</t>
        </is>
      </c>
      <c r="B1519" s="4" t="inlineStr">
        <is>
          <t>● 2000-Vorplanung</t>
        </is>
      </c>
      <c r="C1519" s="9" t="inlineStr">
        <is>
          <t>Unbekannt</t>
        </is>
      </c>
      <c r="D1519" s="10" t="inlineStr">
        <is>
          <t>⚠ Manual erforderlich</t>
        </is>
      </c>
      <c r="E1519" s="11" t="inlineStr"/>
      <c r="F1519" s="11" t="n">
        <v>0</v>
      </c>
      <c r="G1519" s="11">
        <f>E1519-F1519</f>
        <v/>
      </c>
      <c r="H1519" s="11" t="n">
        <v/>
      </c>
      <c r="I1519" s="11" t="n">
        <v/>
      </c>
      <c r="J1519" s="11" t="n">
        <v/>
      </c>
      <c r="K1519" s="4" t="inlineStr">
        <is>
          <t>Abrechnungsart wählen; Stundensätze eingeben</t>
        </is>
      </c>
    </row>
    <row r="1520">
      <c r="A1520" s="4" t="inlineStr">
        <is>
          <t>5390 Baumgartenstraße-46-48-Bad-Kreuznach</t>
        </is>
      </c>
      <c r="B1520" s="4" t="inlineStr">
        <is>
          <t>● 1000-Grundlagenermittlung</t>
        </is>
      </c>
      <c r="C1520" s="9" t="inlineStr">
        <is>
          <t>Unbekannt</t>
        </is>
      </c>
      <c r="D1520" s="10" t="inlineStr">
        <is>
          <t>⚠ Manual erforderlich</t>
        </is>
      </c>
      <c r="E1520" s="11" t="inlineStr"/>
      <c r="F1520" s="11" t="n">
        <v>0</v>
      </c>
      <c r="G1520" s="11">
        <f>E1520-F1520</f>
        <v/>
      </c>
      <c r="H1520" s="11" t="n">
        <v/>
      </c>
      <c r="I1520" s="11" t="n">
        <v/>
      </c>
      <c r="J1520" s="11" t="n">
        <v/>
      </c>
      <c r="K1520" s="4" t="inlineStr">
        <is>
          <t>Abrechnungsart wählen; Stundensätze eingeben</t>
        </is>
      </c>
    </row>
    <row r="1521">
      <c r="A1521" s="4" t="inlineStr">
        <is>
          <t>5390 Baumgartenstraße-46-48-Bad-Kreuznach</t>
        </is>
      </c>
      <c r="B1521" s="4" t="inlineStr">
        <is>
          <t>● 2000-Vorplanung</t>
        </is>
      </c>
      <c r="C1521" s="9" t="inlineStr">
        <is>
          <t>Unbekannt</t>
        </is>
      </c>
      <c r="D1521" s="10" t="inlineStr">
        <is>
          <t>⚠ Manual erforderlich</t>
        </is>
      </c>
      <c r="E1521" s="11" t="inlineStr"/>
      <c r="F1521" s="11" t="n">
        <v>0</v>
      </c>
      <c r="G1521" s="11">
        <f>E1521-F1521</f>
        <v/>
      </c>
      <c r="H1521" s="11" t="n">
        <v/>
      </c>
      <c r="I1521" s="11" t="n">
        <v/>
      </c>
      <c r="J1521" s="11" t="n">
        <v/>
      </c>
      <c r="K1521" s="4" t="inlineStr">
        <is>
          <t>Abrechnungsart wählen; Stundensätze eingeben</t>
        </is>
      </c>
    </row>
    <row r="1522">
      <c r="A1522" s="4" t="inlineStr">
        <is>
          <t>5390 Baumgartenstraße-46-48-Bad-Kreuznach</t>
        </is>
      </c>
      <c r="B1522" s="4" t="inlineStr">
        <is>
          <t>● 3000-Entwurfsplanung</t>
        </is>
      </c>
      <c r="C1522" s="9" t="inlineStr">
        <is>
          <t>Unbekannt</t>
        </is>
      </c>
      <c r="D1522" s="10" t="inlineStr">
        <is>
          <t>⚠ Manual erforderlich</t>
        </is>
      </c>
      <c r="E1522" s="11" t="inlineStr"/>
      <c r="F1522" s="11" t="n">
        <v>0</v>
      </c>
      <c r="G1522" s="11">
        <f>E1522-F1522</f>
        <v/>
      </c>
      <c r="H1522" s="11" t="n">
        <v/>
      </c>
      <c r="I1522" s="11" t="n">
        <v/>
      </c>
      <c r="J1522" s="11" t="n">
        <v/>
      </c>
      <c r="K1522" s="4" t="inlineStr">
        <is>
          <t>Abrechnungsart wählen; Stundensätze eingeben</t>
        </is>
      </c>
    </row>
    <row r="1523">
      <c r="A1523" s="4" t="inlineStr">
        <is>
          <t>5390 Baumgartenstraße-46-48-Bad-Kreuznach</t>
        </is>
      </c>
      <c r="B1523" s="4" t="inlineStr">
        <is>
          <t>● 4000-Genehmigungsplanung</t>
        </is>
      </c>
      <c r="C1523" s="9" t="inlineStr">
        <is>
          <t>Unbekannt</t>
        </is>
      </c>
      <c r="D1523" s="10" t="inlineStr">
        <is>
          <t>⚠ Manual erforderlich</t>
        </is>
      </c>
      <c r="E1523" s="11" t="inlineStr"/>
      <c r="F1523" s="11" t="n">
        <v>0</v>
      </c>
      <c r="G1523" s="11">
        <f>E1523-F1523</f>
        <v/>
      </c>
      <c r="H1523" s="11" t="n">
        <v/>
      </c>
      <c r="I1523" s="11" t="n">
        <v/>
      </c>
      <c r="J1523" s="11" t="n">
        <v/>
      </c>
      <c r="K1523" s="4" t="inlineStr">
        <is>
          <t>Abrechnungsart wählen; Stundensätze eingeben</t>
        </is>
      </c>
    </row>
    <row r="1524">
      <c r="A1524" s="4" t="inlineStr">
        <is>
          <t>5390 Baumgartenstraße-46-48-Bad-Kreuznach</t>
        </is>
      </c>
      <c r="B1524" s="4" t="inlineStr">
        <is>
          <t>● 8000-Objektüberwachung</t>
        </is>
      </c>
      <c r="C1524" s="9" t="inlineStr">
        <is>
          <t>Unbekannt</t>
        </is>
      </c>
      <c r="D1524" s="10" t="inlineStr">
        <is>
          <t>⚠ Manual erforderlich</t>
        </is>
      </c>
      <c r="E1524" s="11" t="inlineStr"/>
      <c r="F1524" s="11" t="n">
        <v>0</v>
      </c>
      <c r="G1524" s="11">
        <f>E1524-F1524</f>
        <v/>
      </c>
      <c r="H1524" s="11" t="n">
        <v/>
      </c>
      <c r="I1524" s="11" t="n">
        <v/>
      </c>
      <c r="J1524" s="11" t="n">
        <v/>
      </c>
      <c r="K1524" s="4" t="inlineStr">
        <is>
          <t>Abrechnungsart wählen; Stundensätze eingeben</t>
        </is>
      </c>
    </row>
    <row r="1525">
      <c r="A1525" s="4" t="inlineStr">
        <is>
          <t>5390 Baumgartenstraße-46-48-Bad-Kreuznach</t>
        </is>
      </c>
      <c r="B1525" s="4" t="inlineStr">
        <is>
          <t>● 9000-Objektbetreuung und Dokumentation</t>
        </is>
      </c>
      <c r="C1525" s="9" t="inlineStr">
        <is>
          <t>Unbekannt</t>
        </is>
      </c>
      <c r="D1525" s="10" t="inlineStr">
        <is>
          <t>⚠ Manual erforderlich</t>
        </is>
      </c>
      <c r="E1525" s="11" t="inlineStr"/>
      <c r="F1525" s="11" t="n">
        <v>0</v>
      </c>
      <c r="G1525" s="11">
        <f>E1525-F1525</f>
        <v/>
      </c>
      <c r="H1525" s="11" t="n">
        <v/>
      </c>
      <c r="I1525" s="11" t="n">
        <v/>
      </c>
      <c r="J1525" s="11" t="n">
        <v/>
      </c>
      <c r="K1525" s="4" t="inlineStr">
        <is>
          <t>Abrechnungsart wählen; Stundensätze eingeben</t>
        </is>
      </c>
    </row>
    <row r="1526">
      <c r="A1526" s="4" t="inlineStr">
        <is>
          <t>5395.03 Fitnessstudio-Industriestraße-17-Ladenburg</t>
        </is>
      </c>
      <c r="B1526" s="4" t="inlineStr">
        <is>
          <t>● Ortstermin (auf Nachweis)</t>
        </is>
      </c>
      <c r="C1526" s="9" t="inlineStr">
        <is>
          <t>Unbekannt</t>
        </is>
      </c>
      <c r="D1526" s="10" t="inlineStr">
        <is>
          <t>⚠ Manual erforderlich</t>
        </is>
      </c>
      <c r="E1526" s="11" t="inlineStr"/>
      <c r="F1526" s="11" t="n">
        <v>0</v>
      </c>
      <c r="G1526" s="11">
        <f>E1526-F1526</f>
        <v/>
      </c>
      <c r="H1526" s="11" t="n">
        <v/>
      </c>
      <c r="I1526" s="11" t="n">
        <v/>
      </c>
      <c r="J1526" s="11" t="n">
        <v/>
      </c>
      <c r="K1526" s="4" t="inlineStr">
        <is>
          <t>Abrechnungsart wählen; Stundensätze eingeben</t>
        </is>
      </c>
    </row>
    <row r="1527">
      <c r="A1527" s="4" t="inlineStr">
        <is>
          <t>5395.03 Fitnessstudio-Industriestraße-17-Ladenburg</t>
        </is>
      </c>
      <c r="B1527" s="4" t="inlineStr">
        <is>
          <t>● BSK (pauschal)</t>
        </is>
      </c>
      <c r="C1527" s="9" t="inlineStr">
        <is>
          <t>Unbekannt</t>
        </is>
      </c>
      <c r="D1527" s="10" t="inlineStr">
        <is>
          <t>⚠ Manual erforderlich</t>
        </is>
      </c>
      <c r="E1527" s="11" t="inlineStr"/>
      <c r="F1527" s="11" t="n">
        <v>0</v>
      </c>
      <c r="G1527" s="11">
        <f>E1527-F1527</f>
        <v/>
      </c>
      <c r="H1527" s="11" t="n">
        <v/>
      </c>
      <c r="I1527" s="11" t="n">
        <v/>
      </c>
      <c r="J1527" s="11" t="n">
        <v/>
      </c>
      <c r="K1527" s="4" t="inlineStr">
        <is>
          <t>Abrechnungsart wählen; Stundensätze eingeben</t>
        </is>
      </c>
    </row>
    <row r="1528">
      <c r="A1528" s="4" t="inlineStr">
        <is>
          <t>5395.03 Fitnessstudio-Industriestraße-17-Ladenburg</t>
        </is>
      </c>
      <c r="B1528" s="4" t="inlineStr">
        <is>
          <t>● Baubegleitung (auf Nachweis)</t>
        </is>
      </c>
      <c r="C1528" s="9" t="inlineStr">
        <is>
          <t>Unbekannt</t>
        </is>
      </c>
      <c r="D1528" s="10" t="inlineStr">
        <is>
          <t>⚠ Manual erforderlich</t>
        </is>
      </c>
      <c r="E1528" s="11" t="inlineStr"/>
      <c r="F1528" s="11" t="n">
        <v>0</v>
      </c>
      <c r="G1528" s="11">
        <f>E1528-F1528</f>
        <v/>
      </c>
      <c r="H1528" s="11" t="n">
        <v/>
      </c>
      <c r="I1528" s="11" t="n">
        <v/>
      </c>
      <c r="J1528" s="11" t="n">
        <v/>
      </c>
      <c r="K1528" s="4" t="inlineStr">
        <is>
          <t>Abrechnungsart wählen; Stundensätze eingeben</t>
        </is>
      </c>
    </row>
    <row r="1529">
      <c r="A1529" s="4" t="inlineStr">
        <is>
          <t>5395.04 Burkhardt-Witteler-BSK-Gesundheitszentrum-Industriestr17-Ladenburg</t>
        </is>
      </c>
      <c r="B1529" s="4" t="inlineStr">
        <is>
          <t>● (aN) Pos. 1 BTB + Abstimmungstermine</t>
        </is>
      </c>
      <c r="C1529" s="4" t="inlineStr">
        <is>
          <t>Nachweis</t>
        </is>
      </c>
      <c r="D1529" s="10" t="inlineStr">
        <is>
          <t>⚠ Manual erforderlich</t>
        </is>
      </c>
      <c r="E1529" s="11" t="inlineStr"/>
      <c r="F1529" s="11" t="n">
        <v>0</v>
      </c>
      <c r="G1529" s="11">
        <f>E1529-F1529</f>
        <v/>
      </c>
      <c r="H1529" s="11" t="n">
        <v/>
      </c>
      <c r="I1529" s="11" t="n">
        <v/>
      </c>
      <c r="J1529" s="11" t="n">
        <v/>
      </c>
      <c r="K1529" s="4" t="inlineStr">
        <is>
          <t>Stundensätze eingeben</t>
        </is>
      </c>
    </row>
    <row r="1530">
      <c r="A1530" s="4" t="inlineStr">
        <is>
          <t>5395.04 Burkhardt-Witteler-BSK-Gesundheitszentrum-Industriestr17-Ladenburg</t>
        </is>
      </c>
      <c r="B1530" s="4" t="inlineStr">
        <is>
          <t>● (p) Pos. 2 BSK</t>
        </is>
      </c>
      <c r="C1530" s="4" t="inlineStr">
        <is>
          <t>Pauschale</t>
        </is>
      </c>
      <c r="D1530" s="10" t="inlineStr">
        <is>
          <t>⚠ Manual erforderlich</t>
        </is>
      </c>
      <c r="E1530" s="11" t="inlineStr"/>
      <c r="F1530" s="11" t="n">
        <v>0</v>
      </c>
      <c r="G1530" s="11">
        <f>E1530-F1530</f>
        <v/>
      </c>
      <c r="H1530" s="11" t="n">
        <v>0</v>
      </c>
      <c r="I1530" s="11" t="n">
        <v>0</v>
      </c>
      <c r="J1530" s="11" t="n">
        <v>0</v>
      </c>
      <c r="K1530" s="4" t="inlineStr">
        <is>
          <t>Stundensätze eingeben</t>
        </is>
      </c>
    </row>
    <row r="1531">
      <c r="A1531" s="4" t="inlineStr">
        <is>
          <t>5409.03 BAB-VBL-Campus-Haus1+2-HansThomaStr19-Karlsruhe</t>
        </is>
      </c>
      <c r="B1531" s="4" t="inlineStr">
        <is>
          <t>● • 8100-Prüfen der Ausführung auf prinzipielle Übereinstimmung (Stufe 1)....</t>
        </is>
      </c>
      <c r="C1531" s="9" t="inlineStr">
        <is>
          <t>Unbekannt</t>
        </is>
      </c>
      <c r="D1531" s="10" t="inlineStr">
        <is>
          <t>⚠ Manual erforderlich</t>
        </is>
      </c>
      <c r="E1531" s="11" t="inlineStr"/>
      <c r="F1531" s="11" t="n">
        <v>0</v>
      </c>
      <c r="G1531" s="11">
        <f>E1531-F1531</f>
        <v/>
      </c>
      <c r="H1531" s="11" t="n">
        <v/>
      </c>
      <c r="I1531" s="11" t="n">
        <v/>
      </c>
      <c r="J1531" s="11" t="n">
        <v/>
      </c>
      <c r="K1531" s="4" t="inlineStr">
        <is>
          <t>Abrechnungsart wählen; Stundensätze eingeben</t>
        </is>
      </c>
    </row>
    <row r="1532">
      <c r="A1532" s="4" t="inlineStr">
        <is>
          <t>5409.03 BAB-VBL-Campus-Haus1+2-HansThomaStr19-Karlsruhe</t>
        </is>
      </c>
      <c r="B1532" s="4" t="inlineStr">
        <is>
          <t>● • 8104-Statusbericht Bewertung auf Möglichkeiten zur Inbetriebnahme….</t>
        </is>
      </c>
      <c r="C1532" s="9" t="inlineStr">
        <is>
          <t>Unbekannt</t>
        </is>
      </c>
      <c r="D1532" s="10" t="inlineStr">
        <is>
          <t>⚠ Manual erforderlich</t>
        </is>
      </c>
      <c r="E1532" s="11" t="inlineStr"/>
      <c r="F1532" s="11" t="n">
        <v>0</v>
      </c>
      <c r="G1532" s="11">
        <f>E1532-F1532</f>
        <v/>
      </c>
      <c r="H1532" s="11" t="n">
        <v/>
      </c>
      <c r="I1532" s="11" t="n">
        <v/>
      </c>
      <c r="J1532" s="11" t="n">
        <v/>
      </c>
      <c r="K1532" s="4" t="inlineStr">
        <is>
          <t>Abrechnungsart wählen; Stundensätze eingeben</t>
        </is>
      </c>
    </row>
    <row r="1533">
      <c r="A1533" s="4" t="inlineStr">
        <is>
          <t>5409.03 BAB-VBL-Campus-Haus1+2-HansThomaStr19-Karlsruhe</t>
        </is>
      </c>
      <c r="B1533" s="4" t="inlineStr">
        <is>
          <t>●  (p) FuR-Pläne</t>
        </is>
      </c>
      <c r="C1533" s="4" t="inlineStr">
        <is>
          <t>Pauschale</t>
        </is>
      </c>
      <c r="D1533" s="10" t="inlineStr">
        <is>
          <t>⚠ Manual erforderlich</t>
        </is>
      </c>
      <c r="E1533" s="11" t="inlineStr"/>
      <c r="F1533" s="11" t="n">
        <v>0</v>
      </c>
      <c r="G1533" s="11">
        <f>E1533-F1533</f>
        <v/>
      </c>
      <c r="H1533" s="11" t="n">
        <v>0</v>
      </c>
      <c r="I1533" s="11" t="n">
        <v>0</v>
      </c>
      <c r="J1533" s="11" t="n">
        <v>0</v>
      </c>
      <c r="K1533" s="4" t="inlineStr">
        <is>
          <t>Stundensätze eingeben</t>
        </is>
      </c>
    </row>
    <row r="1534">
      <c r="A1534" s="4" t="inlineStr">
        <is>
          <t>5411 East-Village-Sachsenhausen-Gutachten</t>
        </is>
      </c>
      <c r="B1534" s="4" t="inlineStr">
        <is>
          <t>● 0000-Aquise</t>
        </is>
      </c>
      <c r="C1534" s="9" t="inlineStr">
        <is>
          <t>Unbekannt</t>
        </is>
      </c>
      <c r="D1534" s="10" t="inlineStr">
        <is>
          <t>⚠ Manual erforderlich</t>
        </is>
      </c>
      <c r="E1534" s="11" t="inlineStr"/>
      <c r="F1534" s="11" t="n">
        <v>0</v>
      </c>
      <c r="G1534" s="11">
        <f>E1534-F1534</f>
        <v/>
      </c>
      <c r="H1534" s="11" t="n">
        <v/>
      </c>
      <c r="I1534" s="11" t="n">
        <v/>
      </c>
      <c r="J1534" s="11" t="n">
        <v/>
      </c>
      <c r="K1534" s="4" t="inlineStr">
        <is>
          <t>Abrechnungsart wählen; Stundensätze eingeben</t>
        </is>
      </c>
    </row>
    <row r="1535">
      <c r="A1535" s="4" t="inlineStr">
        <is>
          <t>5411 East-Village-Sachsenhausen-Gutachten</t>
        </is>
      </c>
      <c r="B1535" s="4" t="inlineStr">
        <is>
          <t>● 0001-Sonstiges</t>
        </is>
      </c>
      <c r="C1535" s="9" t="inlineStr">
        <is>
          <t>Unbekannt</t>
        </is>
      </c>
      <c r="D1535" s="10" t="inlineStr">
        <is>
          <t>⚠ Manual erforderlich</t>
        </is>
      </c>
      <c r="E1535" s="11" t="inlineStr"/>
      <c r="F1535" s="11" t="n">
        <v>0</v>
      </c>
      <c r="G1535" s="11">
        <f>E1535-F1535</f>
        <v/>
      </c>
      <c r="H1535" s="11" t="n">
        <v/>
      </c>
      <c r="I1535" s="11" t="n">
        <v/>
      </c>
      <c r="J1535" s="11" t="n">
        <v/>
      </c>
      <c r="K1535" s="4" t="inlineStr">
        <is>
          <t>Abrechnungsart wählen; Stundensätze eingeben</t>
        </is>
      </c>
    </row>
    <row r="1536">
      <c r="A1536" s="4" t="inlineStr">
        <is>
          <t>5412.02 BTB-Bürgerhospital-Frankfurt-Bestandsgebäude</t>
        </is>
      </c>
      <c r="B1536" s="4" t="inlineStr">
        <is>
          <t>● 1000-Grundlagenermittlung</t>
        </is>
      </c>
      <c r="C1536" s="9" t="inlineStr">
        <is>
          <t>Unbekannt</t>
        </is>
      </c>
      <c r="D1536" s="10" t="inlineStr">
        <is>
          <t>⚠ Manual erforderlich</t>
        </is>
      </c>
      <c r="E1536" s="11" t="inlineStr"/>
      <c r="F1536" s="11" t="n">
        <v>0</v>
      </c>
      <c r="G1536" s="11">
        <f>E1536-F1536</f>
        <v/>
      </c>
      <c r="H1536" s="11" t="n">
        <v/>
      </c>
      <c r="I1536" s="11" t="n">
        <v/>
      </c>
      <c r="J1536" s="11" t="n">
        <v/>
      </c>
      <c r="K1536" s="4" t="inlineStr">
        <is>
          <t>Abrechnungsart wählen; Stundensätze eingeben</t>
        </is>
      </c>
    </row>
    <row r="1537">
      <c r="A1537" s="4" t="inlineStr">
        <is>
          <t>5412.02 BTB-Bürgerhospital-Frankfurt-Bestandsgebäude</t>
        </is>
      </c>
      <c r="B1537" s="4" t="inlineStr">
        <is>
          <t>● 2000-Vorplanung</t>
        </is>
      </c>
      <c r="C1537" s="9" t="inlineStr">
        <is>
          <t>Unbekannt</t>
        </is>
      </c>
      <c r="D1537" s="10" t="inlineStr">
        <is>
          <t>⚠ Manual erforderlich</t>
        </is>
      </c>
      <c r="E1537" s="11" t="inlineStr"/>
      <c r="F1537" s="11" t="n">
        <v>0</v>
      </c>
      <c r="G1537" s="11">
        <f>E1537-F1537</f>
        <v/>
      </c>
      <c r="H1537" s="11" t="n">
        <v/>
      </c>
      <c r="I1537" s="11" t="n">
        <v/>
      </c>
      <c r="J1537" s="11" t="n">
        <v/>
      </c>
      <c r="K1537" s="4" t="inlineStr">
        <is>
          <t>Abrechnungsart wählen; Stundensätze eingeben</t>
        </is>
      </c>
    </row>
    <row r="1538">
      <c r="A1538" s="4" t="inlineStr">
        <is>
          <t>5412.02 BTB-Bürgerhospital-Frankfurt-Bestandsgebäude</t>
        </is>
      </c>
      <c r="B1538" s="4" t="inlineStr">
        <is>
          <t>● Beratung N5 (auf Nachweis)</t>
        </is>
      </c>
      <c r="C1538" s="9" t="inlineStr">
        <is>
          <t>Unbekannt</t>
        </is>
      </c>
      <c r="D1538" s="10" t="inlineStr">
        <is>
          <t>⚠ Manual erforderlich</t>
        </is>
      </c>
      <c r="E1538" s="11" t="inlineStr"/>
      <c r="F1538" s="11" t="n">
        <v>0</v>
      </c>
      <c r="G1538" s="11">
        <f>E1538-F1538</f>
        <v/>
      </c>
      <c r="H1538" s="11" t="n">
        <v/>
      </c>
      <c r="I1538" s="11" t="n">
        <v/>
      </c>
      <c r="J1538" s="11" t="n">
        <v/>
      </c>
      <c r="K1538" s="4" t="inlineStr">
        <is>
          <t>Abrechnungsart wählen; Stundensätze eingeben</t>
        </is>
      </c>
    </row>
    <row r="1539">
      <c r="A1539" s="4" t="inlineStr">
        <is>
          <t>5412.02 BTB-Bürgerhospital-Frankfurt-Bestandsgebäude</t>
        </is>
      </c>
      <c r="B1539" s="4" t="inlineStr">
        <is>
          <t>● (aN) Beratung N5 BSK Augen-OP</t>
        </is>
      </c>
      <c r="C1539" s="4" t="inlineStr">
        <is>
          <t>Nachweis</t>
        </is>
      </c>
      <c r="D1539" s="10" t="inlineStr">
        <is>
          <t>⚠ Manual erforderlich</t>
        </is>
      </c>
      <c r="E1539" s="11" t="inlineStr"/>
      <c r="F1539" s="11" t="n">
        <v>0</v>
      </c>
      <c r="G1539" s="11">
        <f>E1539-F1539</f>
        <v/>
      </c>
      <c r="H1539" s="11" t="n">
        <v/>
      </c>
      <c r="I1539" s="11" t="n">
        <v/>
      </c>
      <c r="J1539" s="11" t="n">
        <v/>
      </c>
      <c r="K1539" s="4" t="inlineStr">
        <is>
          <t>Stundensätze eingeben</t>
        </is>
      </c>
    </row>
    <row r="1540">
      <c r="A1540" s="4" t="inlineStr">
        <is>
          <t>5420 Einsiedlerstraße-35-Gernsheim</t>
        </is>
      </c>
      <c r="B1540" s="4" t="inlineStr">
        <is>
          <t>● 1000-Grundlagenermittlung</t>
        </is>
      </c>
      <c r="C1540" s="9" t="inlineStr">
        <is>
          <t>Unbekannt</t>
        </is>
      </c>
      <c r="D1540" s="10" t="inlineStr">
        <is>
          <t>⚠ Manual erforderlich</t>
        </is>
      </c>
      <c r="E1540" s="11" t="inlineStr"/>
      <c r="F1540" s="11" t="n">
        <v>0</v>
      </c>
      <c r="G1540" s="11">
        <f>E1540-F1540</f>
        <v/>
      </c>
      <c r="H1540" s="11" t="n">
        <v/>
      </c>
      <c r="I1540" s="11" t="n">
        <v/>
      </c>
      <c r="J1540" s="11" t="n">
        <v/>
      </c>
      <c r="K1540" s="4" t="inlineStr">
        <is>
          <t>Abrechnungsart wählen; Stundensätze eingeben</t>
        </is>
      </c>
    </row>
    <row r="1541">
      <c r="A1541" s="4" t="inlineStr">
        <is>
          <t>5420 Einsiedlerstraße-35-Gernsheim</t>
        </is>
      </c>
      <c r="B1541" s="4" t="inlineStr">
        <is>
          <t>● 2000-Vorplanung</t>
        </is>
      </c>
      <c r="C1541" s="9" t="inlineStr">
        <is>
          <t>Unbekannt</t>
        </is>
      </c>
      <c r="D1541" s="10" t="inlineStr">
        <is>
          <t>⚠ Manual erforderlich</t>
        </is>
      </c>
      <c r="E1541" s="11" t="inlineStr"/>
      <c r="F1541" s="11" t="n">
        <v>0</v>
      </c>
      <c r="G1541" s="11">
        <f>E1541-F1541</f>
        <v/>
      </c>
      <c r="H1541" s="11" t="n">
        <v/>
      </c>
      <c r="I1541" s="11" t="n">
        <v/>
      </c>
      <c r="J1541" s="11" t="n">
        <v/>
      </c>
      <c r="K1541" s="4" t="inlineStr">
        <is>
          <t>Abrechnungsart wählen; Stundensätze eingeben</t>
        </is>
      </c>
    </row>
    <row r="1542">
      <c r="A1542" s="4" t="inlineStr">
        <is>
          <t>5420 Einsiedlerstraße-35-Gernsheim</t>
        </is>
      </c>
      <c r="B1542" s="4" t="inlineStr">
        <is>
          <t>● 3000-Entwurfsplanung</t>
        </is>
      </c>
      <c r="C1542" s="9" t="inlineStr">
        <is>
          <t>Unbekannt</t>
        </is>
      </c>
      <c r="D1542" s="10" t="inlineStr">
        <is>
          <t>⚠ Manual erforderlich</t>
        </is>
      </c>
      <c r="E1542" s="11" t="inlineStr"/>
      <c r="F1542" s="11" t="n">
        <v>0</v>
      </c>
      <c r="G1542" s="11">
        <f>E1542-F1542</f>
        <v/>
      </c>
      <c r="H1542" s="11" t="n">
        <v/>
      </c>
      <c r="I1542" s="11" t="n">
        <v/>
      </c>
      <c r="J1542" s="11" t="n">
        <v/>
      </c>
      <c r="K1542" s="4" t="inlineStr">
        <is>
          <t>Abrechnungsart wählen; Stundensätze eingeben</t>
        </is>
      </c>
    </row>
    <row r="1543">
      <c r="A1543" s="4" t="inlineStr">
        <is>
          <t>5420 Einsiedlerstraße-35-Gernsheim</t>
        </is>
      </c>
      <c r="B1543" s="4" t="inlineStr">
        <is>
          <t>● 4000-Genehmigungsplanung</t>
        </is>
      </c>
      <c r="C1543" s="9" t="inlineStr">
        <is>
          <t>Unbekannt</t>
        </is>
      </c>
      <c r="D1543" s="10" t="inlineStr">
        <is>
          <t>⚠ Manual erforderlich</t>
        </is>
      </c>
      <c r="E1543" s="11" t="inlineStr"/>
      <c r="F1543" s="11" t="n">
        <v>0</v>
      </c>
      <c r="G1543" s="11">
        <f>E1543-F1543</f>
        <v/>
      </c>
      <c r="H1543" s="11" t="n">
        <v/>
      </c>
      <c r="I1543" s="11" t="n">
        <v/>
      </c>
      <c r="J1543" s="11" t="n">
        <v/>
      </c>
      <c r="K1543" s="4" t="inlineStr">
        <is>
          <t>Abrechnungsart wählen; Stundensätze eingeben</t>
        </is>
      </c>
    </row>
    <row r="1544">
      <c r="A1544" s="4" t="inlineStr">
        <is>
          <t>5420 Einsiedlerstraße-35-Gernsheim</t>
        </is>
      </c>
      <c r="B1544" s="4" t="inlineStr">
        <is>
          <t>● 8000-Objektüberwachung</t>
        </is>
      </c>
      <c r="C1544" s="9" t="inlineStr">
        <is>
          <t>Unbekannt</t>
        </is>
      </c>
      <c r="D1544" s="10" t="inlineStr">
        <is>
          <t>⚠ Manual erforderlich</t>
        </is>
      </c>
      <c r="E1544" s="11" t="inlineStr"/>
      <c r="F1544" s="11" t="n">
        <v>0</v>
      </c>
      <c r="G1544" s="11">
        <f>E1544-F1544</f>
        <v/>
      </c>
      <c r="H1544" s="11" t="n">
        <v/>
      </c>
      <c r="I1544" s="11" t="n">
        <v/>
      </c>
      <c r="J1544" s="11" t="n">
        <v/>
      </c>
      <c r="K1544" s="4" t="inlineStr">
        <is>
          <t>Abrechnungsart wählen; Stundensätze eingeben</t>
        </is>
      </c>
    </row>
    <row r="1545">
      <c r="A1545" s="4" t="inlineStr">
        <is>
          <t>5428.02 LP8-GlobalTower-Google-NeueMainzerStr32-36-Frankfurt</t>
        </is>
      </c>
      <c r="B1545" s="4" t="inlineStr">
        <is>
          <t>● (p.) NAT01 LP8 GL + BL</t>
        </is>
      </c>
      <c r="C1545" s="9" t="inlineStr">
        <is>
          <t>Unbekannt</t>
        </is>
      </c>
      <c r="D1545" s="10" t="inlineStr">
        <is>
          <t>⚠ Manual erforderlich</t>
        </is>
      </c>
      <c r="E1545" s="11" t="inlineStr"/>
      <c r="F1545" s="11" t="n">
        <v>0</v>
      </c>
      <c r="G1545" s="11">
        <f>E1545-F1545</f>
        <v/>
      </c>
      <c r="H1545" s="11" t="n">
        <v/>
      </c>
      <c r="I1545" s="11" t="n">
        <v/>
      </c>
      <c r="J1545" s="11" t="n">
        <v/>
      </c>
      <c r="K1545" s="4" t="inlineStr">
        <is>
          <t>Abrechnungsart wählen; Stundensätze eingeben</t>
        </is>
      </c>
    </row>
    <row r="1546">
      <c r="A1546" s="4" t="inlineStr">
        <is>
          <t>5428.02 LP8-GlobalTower-Google-NeueMainzerStr32-36-Frankfurt</t>
        </is>
      </c>
      <c r="B1546" s="4" t="inlineStr">
        <is>
          <t>● (p) NAT02 LP8 GL + BL</t>
        </is>
      </c>
      <c r="C1546" s="4" t="inlineStr">
        <is>
          <t>Pauschale</t>
        </is>
      </c>
      <c r="D1546" s="10" t="inlineStr">
        <is>
          <t>⚠ Manual erforderlich</t>
        </is>
      </c>
      <c r="E1546" s="11" t="inlineStr"/>
      <c r="F1546" s="11" t="n">
        <v>0</v>
      </c>
      <c r="G1546" s="11">
        <f>E1546-F1546</f>
        <v/>
      </c>
      <c r="H1546" s="11" t="n">
        <v>0</v>
      </c>
      <c r="I1546" s="11" t="n">
        <v>0</v>
      </c>
      <c r="J1546" s="11" t="n">
        <v>0</v>
      </c>
      <c r="K1546" s="4" t="inlineStr">
        <is>
          <t>Stundensätze eingeben</t>
        </is>
      </c>
    </row>
    <row r="1547">
      <c r="A1547" s="4" t="inlineStr">
        <is>
          <t>5428.03 BTB-Global-Tower-Neue-Mainzer-Str-32-36-Ffm-Umnutzung-Etage-22-26-27</t>
        </is>
      </c>
      <c r="B1547" s="4" t="inlineStr">
        <is>
          <t>● (a.N.) Pos.1 BTB Umnutzung Mietfläche in Stockwerken 22,26,27</t>
        </is>
      </c>
      <c r="C1547" s="4" t="inlineStr">
        <is>
          <t>Nachweis</t>
        </is>
      </c>
      <c r="D1547" s="10" t="inlineStr">
        <is>
          <t>⚠ Manual erforderlich</t>
        </is>
      </c>
      <c r="E1547" s="11" t="inlineStr"/>
      <c r="F1547" s="11" t="n">
        <v>0</v>
      </c>
      <c r="G1547" s="11">
        <f>E1547-F1547</f>
        <v/>
      </c>
      <c r="H1547" s="11" t="n">
        <v/>
      </c>
      <c r="I1547" s="11" t="n">
        <v/>
      </c>
      <c r="J1547" s="11" t="n">
        <v/>
      </c>
      <c r="K1547" s="4" t="inlineStr">
        <is>
          <t>Stundensätze eingeben</t>
        </is>
      </c>
    </row>
    <row r="1548">
      <c r="A1548" s="4" t="inlineStr">
        <is>
          <t>5428.04 BTB-Global-Tower-24.-OG-Neue-Mainzer-Straße-32-36-Ffm-Google</t>
        </is>
      </c>
      <c r="B1548" s="4" t="inlineStr">
        <is>
          <t>● (aN) Pos.1 BTB  Abnahme von Räumlichkeiten im 24. OG</t>
        </is>
      </c>
      <c r="C1548" s="4" t="inlineStr">
        <is>
          <t>Nachweis</t>
        </is>
      </c>
      <c r="D1548" s="10" t="inlineStr">
        <is>
          <t>⚠ Manual erforderlich</t>
        </is>
      </c>
      <c r="E1548" s="11" t="inlineStr"/>
      <c r="F1548" s="11" t="n">
        <v>0</v>
      </c>
      <c r="G1548" s="11">
        <f>E1548-F1548</f>
        <v/>
      </c>
      <c r="H1548" s="11" t="n">
        <v/>
      </c>
      <c r="I1548" s="11" t="n">
        <v/>
      </c>
      <c r="J1548" s="11" t="n">
        <v/>
      </c>
      <c r="K1548" s="4" t="inlineStr">
        <is>
          <t>Stundensätze eingeben</t>
        </is>
      </c>
    </row>
    <row r="1549">
      <c r="A1549" s="4" t="inlineStr">
        <is>
          <t>5428.05 Global-Tower-1-3UG+4OG+22-27OG-Neue-Mainzer-Straße-32-36-Ffm-Google</t>
        </is>
      </c>
      <c r="B1549" s="4" t="inlineStr">
        <is>
          <t>● (aN) Pos.1 BTB Abnahme von Räumlichkeiten im 1.- 3. UG, 4. OG +22.- 27. OG</t>
        </is>
      </c>
      <c r="C1549" s="4" t="inlineStr">
        <is>
          <t>Nachweis</t>
        </is>
      </c>
      <c r="D1549" s="10" t="inlineStr">
        <is>
          <t>⚠ Manual erforderlich</t>
        </is>
      </c>
      <c r="E1549" s="11" t="inlineStr"/>
      <c r="F1549" s="11" t="n">
        <v>0</v>
      </c>
      <c r="G1549" s="11">
        <f>E1549-F1549</f>
        <v/>
      </c>
      <c r="H1549" s="11" t="n">
        <v/>
      </c>
      <c r="I1549" s="11" t="n">
        <v/>
      </c>
      <c r="J1549" s="11" t="n">
        <v/>
      </c>
      <c r="K1549" s="4" t="inlineStr">
        <is>
          <t>Stundensätze eingeben</t>
        </is>
      </c>
    </row>
    <row r="1550">
      <c r="A1550" s="4" t="inlineStr">
        <is>
          <t>5429.08 BSB-2024-12-2025-11-DLZ-Geb1-5-Frankfurt+Langen-CoBa</t>
        </is>
      </c>
      <c r="B1550" s="4" t="inlineStr">
        <is>
          <t>● Brandschutzbeauftragter 12/2024-11/2025 (pauschal)</t>
        </is>
      </c>
      <c r="C1550" s="9" t="inlineStr">
        <is>
          <t>Unbekannt</t>
        </is>
      </c>
      <c r="D1550" s="10" t="inlineStr">
        <is>
          <t>⚠ Manual erforderlich</t>
        </is>
      </c>
      <c r="E1550" s="11" t="inlineStr"/>
      <c r="F1550" s="11" t="n">
        <v>0</v>
      </c>
      <c r="G1550" s="11">
        <f>E1550-F1550</f>
        <v/>
      </c>
      <c r="H1550" s="11" t="n">
        <v/>
      </c>
      <c r="I1550" s="11" t="n">
        <v/>
      </c>
      <c r="J1550" s="11" t="n">
        <v/>
      </c>
      <c r="K1550" s="4" t="inlineStr">
        <is>
          <t>Abrechnungsart wählen; Stundensätze eingeben</t>
        </is>
      </c>
    </row>
    <row r="1551">
      <c r="A1551" s="4" t="inlineStr">
        <is>
          <t>5433 Georg-Hipp-Straße-Pfaffenhofen-Hipp-Zentrallager</t>
        </is>
      </c>
      <c r="B1551" s="4" t="inlineStr">
        <is>
          <t>● 1000-Grundlagenermittlung</t>
        </is>
      </c>
      <c r="C1551" s="9" t="inlineStr">
        <is>
          <t>Unbekannt</t>
        </is>
      </c>
      <c r="D1551" s="10" t="inlineStr">
        <is>
          <t>⚠ Manual erforderlich</t>
        </is>
      </c>
      <c r="E1551" s="11" t="inlineStr"/>
      <c r="F1551" s="11" t="n">
        <v>0</v>
      </c>
      <c r="G1551" s="11">
        <f>E1551-F1551</f>
        <v/>
      </c>
      <c r="H1551" s="11" t="n">
        <v/>
      </c>
      <c r="I1551" s="11" t="n">
        <v/>
      </c>
      <c r="J1551" s="11" t="n">
        <v/>
      </c>
      <c r="K1551" s="4" t="inlineStr">
        <is>
          <t>Abrechnungsart wählen; Stundensätze eingeben</t>
        </is>
      </c>
    </row>
    <row r="1552">
      <c r="A1552" s="4" t="inlineStr">
        <is>
          <t>5433 Georg-Hipp-Straße-Pfaffenhofen-Hipp-Zentrallager</t>
        </is>
      </c>
      <c r="B1552" s="4" t="inlineStr">
        <is>
          <t>● 2000-Vorplanung</t>
        </is>
      </c>
      <c r="C1552" s="9" t="inlineStr">
        <is>
          <t>Unbekannt</t>
        </is>
      </c>
      <c r="D1552" s="10" t="inlineStr">
        <is>
          <t>⚠ Manual erforderlich</t>
        </is>
      </c>
      <c r="E1552" s="11" t="inlineStr"/>
      <c r="F1552" s="11" t="n">
        <v>0</v>
      </c>
      <c r="G1552" s="11">
        <f>E1552-F1552</f>
        <v/>
      </c>
      <c r="H1552" s="11" t="n">
        <v/>
      </c>
      <c r="I1552" s="11" t="n">
        <v/>
      </c>
      <c r="J1552" s="11" t="n">
        <v/>
      </c>
      <c r="K1552" s="4" t="inlineStr">
        <is>
          <t>Abrechnungsart wählen; Stundensätze eingeben</t>
        </is>
      </c>
    </row>
    <row r="1553">
      <c r="A1553" s="4" t="inlineStr">
        <is>
          <t>5433 Georg-Hipp-Straße-Pfaffenhofen-Hipp-Zentrallager</t>
        </is>
      </c>
      <c r="B1553" s="4" t="inlineStr">
        <is>
          <t>● 3000-Entwurfsplanung</t>
        </is>
      </c>
      <c r="C1553" s="9" t="inlineStr">
        <is>
          <t>Unbekannt</t>
        </is>
      </c>
      <c r="D1553" s="10" t="inlineStr">
        <is>
          <t>⚠ Manual erforderlich</t>
        </is>
      </c>
      <c r="E1553" s="11" t="inlineStr"/>
      <c r="F1553" s="11" t="n">
        <v>0</v>
      </c>
      <c r="G1553" s="11">
        <f>E1553-F1553</f>
        <v/>
      </c>
      <c r="H1553" s="11" t="n">
        <v/>
      </c>
      <c r="I1553" s="11" t="n">
        <v/>
      </c>
      <c r="J1553" s="11" t="n">
        <v/>
      </c>
      <c r="K1553" s="4" t="inlineStr">
        <is>
          <t>Abrechnungsart wählen; Stundensätze eingeben</t>
        </is>
      </c>
    </row>
    <row r="1554">
      <c r="A1554" s="4" t="inlineStr">
        <is>
          <t>5433 Georg-Hipp-Straße-Pfaffenhofen-Hipp-Zentrallager</t>
        </is>
      </c>
      <c r="B1554" s="4" t="inlineStr">
        <is>
          <t>● 4000-Genehmigungsplanung</t>
        </is>
      </c>
      <c r="C1554" s="9" t="inlineStr">
        <is>
          <t>Unbekannt</t>
        </is>
      </c>
      <c r="D1554" s="10" t="inlineStr">
        <is>
          <t>⚠ Manual erforderlich</t>
        </is>
      </c>
      <c r="E1554" s="11" t="inlineStr"/>
      <c r="F1554" s="11" t="n">
        <v>0</v>
      </c>
      <c r="G1554" s="11">
        <f>E1554-F1554</f>
        <v/>
      </c>
      <c r="H1554" s="11" t="n">
        <v/>
      </c>
      <c r="I1554" s="11" t="n">
        <v/>
      </c>
      <c r="J1554" s="11" t="n">
        <v/>
      </c>
      <c r="K1554" s="4" t="inlineStr">
        <is>
          <t>Abrechnungsart wählen; Stundensätze eingeben</t>
        </is>
      </c>
    </row>
    <row r="1555">
      <c r="A1555" s="4" t="inlineStr">
        <is>
          <t>5433 Georg-Hipp-Straße-Pfaffenhofen-Hipp-Zentrallager</t>
        </is>
      </c>
      <c r="B1555" s="4" t="inlineStr">
        <is>
          <t>● 5000-Ausführungsplanung</t>
        </is>
      </c>
      <c r="C1555" s="9" t="inlineStr">
        <is>
          <t>Unbekannt</t>
        </is>
      </c>
      <c r="D1555" s="10" t="inlineStr">
        <is>
          <t>⚠ Manual erforderlich</t>
        </is>
      </c>
      <c r="E1555" s="11" t="inlineStr"/>
      <c r="F1555" s="11" t="n">
        <v>0</v>
      </c>
      <c r="G1555" s="11">
        <f>E1555-F1555</f>
        <v/>
      </c>
      <c r="H1555" s="11" t="n">
        <v/>
      </c>
      <c r="I1555" s="11" t="n">
        <v/>
      </c>
      <c r="J1555" s="11" t="n">
        <v/>
      </c>
      <c r="K1555" s="4" t="inlineStr">
        <is>
          <t>Abrechnungsart wählen; Stundensätze eingeben</t>
        </is>
      </c>
    </row>
    <row r="1556">
      <c r="A1556" s="4" t="inlineStr">
        <is>
          <t>5433 Georg-Hipp-Straße-Pfaffenhofen-Hipp-Zentrallager</t>
        </is>
      </c>
      <c r="B1556" s="4" t="inlineStr">
        <is>
          <t>● 8000-Objektüberwachung</t>
        </is>
      </c>
      <c r="C1556" s="9" t="inlineStr">
        <is>
          <t>Unbekannt</t>
        </is>
      </c>
      <c r="D1556" s="10" t="inlineStr">
        <is>
          <t>⚠ Manual erforderlich</t>
        </is>
      </c>
      <c r="E1556" s="11" t="inlineStr"/>
      <c r="F1556" s="11" t="n">
        <v>0</v>
      </c>
      <c r="G1556" s="11">
        <f>E1556-F1556</f>
        <v/>
      </c>
      <c r="H1556" s="11" t="n">
        <v/>
      </c>
      <c r="I1556" s="11" t="n">
        <v/>
      </c>
      <c r="J1556" s="11" t="n">
        <v/>
      </c>
      <c r="K1556" s="4" t="inlineStr">
        <is>
          <t>Abrechnungsart wählen; Stundensätze eingeben</t>
        </is>
      </c>
    </row>
    <row r="1557">
      <c r="A1557" s="4" t="inlineStr">
        <is>
          <t>5437.02 BAB-Bissierstraße-Freiburg-Metzgergrün</t>
        </is>
      </c>
      <c r="B1557" s="4" t="inlineStr">
        <is>
          <t>● Beratung Ausführungsplanung (auf Nachweis)</t>
        </is>
      </c>
      <c r="C1557" s="9" t="inlineStr">
        <is>
          <t>Unbekannt</t>
        </is>
      </c>
      <c r="D1557" s="10" t="inlineStr">
        <is>
          <t>⚠ Manual erforderlich</t>
        </is>
      </c>
      <c r="E1557" s="11" t="inlineStr"/>
      <c r="F1557" s="11" t="n">
        <v>0</v>
      </c>
      <c r="G1557" s="11">
        <f>E1557-F1557</f>
        <v/>
      </c>
      <c r="H1557" s="11" t="n">
        <v/>
      </c>
      <c r="I1557" s="11" t="n">
        <v/>
      </c>
      <c r="J1557" s="11" t="n">
        <v/>
      </c>
      <c r="K1557" s="4" t="inlineStr">
        <is>
          <t>Abrechnungsart wählen; Stundensätze eingeben</t>
        </is>
      </c>
    </row>
    <row r="1558">
      <c r="A1558" s="4" t="inlineStr">
        <is>
          <t>5437.02 BAB-Bissierstraße-Freiburg-Metzgergrün</t>
        </is>
      </c>
      <c r="B1558" s="4" t="inlineStr">
        <is>
          <t>● Baubegleitung (auf Nachweis)</t>
        </is>
      </c>
      <c r="C1558" s="9" t="inlineStr">
        <is>
          <t>Unbekannt</t>
        </is>
      </c>
      <c r="D1558" s="10" t="inlineStr">
        <is>
          <t>⚠ Manual erforderlich</t>
        </is>
      </c>
      <c r="E1558" s="11" t="inlineStr"/>
      <c r="F1558" s="11" t="n">
        <v>0</v>
      </c>
      <c r="G1558" s="11">
        <f>E1558-F1558</f>
        <v/>
      </c>
      <c r="H1558" s="11" t="n">
        <v/>
      </c>
      <c r="I1558" s="11" t="n">
        <v/>
      </c>
      <c r="J1558" s="11" t="n">
        <v/>
      </c>
      <c r="K1558" s="4" t="inlineStr">
        <is>
          <t>Abrechnungsart wählen; Stundensätze eingeben</t>
        </is>
      </c>
    </row>
    <row r="1559">
      <c r="A1559" s="4" t="inlineStr">
        <is>
          <t>5437.03 AHO-Brandschutzdienstleistungen-BAII-Bissierstraße-Freiburg-Metzgergrün</t>
        </is>
      </c>
      <c r="B1559" s="4" t="inlineStr">
        <is>
          <t>● (p.) AHO-Brandschutzdienstleistungen</t>
        </is>
      </c>
      <c r="C1559" s="9" t="inlineStr">
        <is>
          <t>Unbekannt</t>
        </is>
      </c>
      <c r="D1559" s="10" t="inlineStr">
        <is>
          <t>⚠ Manual erforderlich</t>
        </is>
      </c>
      <c r="E1559" s="11" t="inlineStr"/>
      <c r="F1559" s="11" t="n">
        <v>0</v>
      </c>
      <c r="G1559" s="11">
        <f>E1559-F1559</f>
        <v/>
      </c>
      <c r="H1559" s="11" t="n">
        <v/>
      </c>
      <c r="I1559" s="11" t="n">
        <v/>
      </c>
      <c r="J1559" s="11" t="n">
        <v/>
      </c>
      <c r="K1559" s="4" t="inlineStr">
        <is>
          <t>Abrechnungsart wählen; Stundensätze eingeben</t>
        </is>
      </c>
    </row>
    <row r="1560">
      <c r="A1560" s="4" t="inlineStr">
        <is>
          <t>5437.04 FWP-Bissierstraße-Freiburg-Metzgergrün</t>
        </is>
      </c>
      <c r="B1560" s="4" t="inlineStr">
        <is>
          <t>● (p) Pos.1 Feuerwehrplan-Übersichtsplan</t>
        </is>
      </c>
      <c r="C1560" s="4" t="inlineStr">
        <is>
          <t>Pauschale</t>
        </is>
      </c>
      <c r="D1560" s="10" t="inlineStr">
        <is>
          <t>⚠ Manual erforderlich</t>
        </is>
      </c>
      <c r="E1560" s="11" t="inlineStr"/>
      <c r="F1560" s="11" t="n">
        <v>0</v>
      </c>
      <c r="G1560" s="11">
        <f>E1560-F1560</f>
        <v/>
      </c>
      <c r="H1560" s="11" t="n">
        <v>0</v>
      </c>
      <c r="I1560" s="11" t="n">
        <v>0</v>
      </c>
      <c r="J1560" s="11" t="n">
        <v>0</v>
      </c>
      <c r="K1560" s="4" t="inlineStr">
        <is>
          <t>Stundensätze eingeben</t>
        </is>
      </c>
    </row>
    <row r="1561">
      <c r="A1561" s="4" t="inlineStr">
        <is>
          <t>5437.04 FWP-Bissierstraße-Freiburg-Metzgergrün</t>
        </is>
      </c>
      <c r="B1561" s="4" t="inlineStr">
        <is>
          <t>● (p) Pos.2 Optional FWP-Geschosspläne</t>
        </is>
      </c>
      <c r="C1561" s="4" t="inlineStr">
        <is>
          <t>Pauschale</t>
        </is>
      </c>
      <c r="D1561" s="10" t="inlineStr">
        <is>
          <t>⚠ Manual erforderlich</t>
        </is>
      </c>
      <c r="E1561" s="11" t="inlineStr"/>
      <c r="F1561" s="11" t="n">
        <v>0</v>
      </c>
      <c r="G1561" s="11">
        <f>E1561-F1561</f>
        <v/>
      </c>
      <c r="H1561" s="11" t="n">
        <v>0</v>
      </c>
      <c r="I1561" s="11" t="n">
        <v>0</v>
      </c>
      <c r="J1561" s="11" t="n">
        <v>0</v>
      </c>
      <c r="K1561" s="4" t="inlineStr">
        <is>
          <t>Stundensätze eingeben</t>
        </is>
      </c>
    </row>
    <row r="1562">
      <c r="A1562" s="4" t="inlineStr">
        <is>
          <t>5455 Sandhofer-Straße-116-Mannheim-Roche-Hochregallager</t>
        </is>
      </c>
      <c r="B1562" s="4" t="inlineStr">
        <is>
          <t>● 1000-Grundlagenermittlung</t>
        </is>
      </c>
      <c r="C1562" s="9" t="inlineStr">
        <is>
          <t>Unbekannt</t>
        </is>
      </c>
      <c r="D1562" s="10" t="inlineStr">
        <is>
          <t>⚠ Manual erforderlich</t>
        </is>
      </c>
      <c r="E1562" s="11" t="inlineStr"/>
      <c r="F1562" s="11" t="n">
        <v>0</v>
      </c>
      <c r="G1562" s="11">
        <f>E1562-F1562</f>
        <v/>
      </c>
      <c r="H1562" s="11" t="n">
        <v/>
      </c>
      <c r="I1562" s="11" t="n">
        <v/>
      </c>
      <c r="J1562" s="11" t="n">
        <v/>
      </c>
      <c r="K1562" s="4" t="inlineStr">
        <is>
          <t>Abrechnungsart wählen; Stundensätze eingeben</t>
        </is>
      </c>
    </row>
    <row r="1563">
      <c r="A1563" s="4" t="inlineStr">
        <is>
          <t>5455 Sandhofer-Straße-116-Mannheim-Roche-Hochregallager</t>
        </is>
      </c>
      <c r="B1563" s="4" t="inlineStr">
        <is>
          <t>● 3000-Entwurfsplanung</t>
        </is>
      </c>
      <c r="C1563" s="9" t="inlineStr">
        <is>
          <t>Unbekannt</t>
        </is>
      </c>
      <c r="D1563" s="10" t="inlineStr">
        <is>
          <t>⚠ Manual erforderlich</t>
        </is>
      </c>
      <c r="E1563" s="11" t="inlineStr"/>
      <c r="F1563" s="11" t="n">
        <v>0</v>
      </c>
      <c r="G1563" s="11">
        <f>E1563-F1563</f>
        <v/>
      </c>
      <c r="H1563" s="11" t="n">
        <v/>
      </c>
      <c r="I1563" s="11" t="n">
        <v/>
      </c>
      <c r="J1563" s="11" t="n">
        <v/>
      </c>
      <c r="K1563" s="4" t="inlineStr">
        <is>
          <t>Abrechnungsart wählen; Stundensätze eingeben</t>
        </is>
      </c>
    </row>
    <row r="1564">
      <c r="A1564" s="4" t="inlineStr">
        <is>
          <t>5458.01 711-BAB-Paul-Ehrlich-Institut-Langen</t>
        </is>
      </c>
      <c r="B1564" s="4" t="inlineStr">
        <is>
          <t>● 5000-Ausführungsplanung</t>
        </is>
      </c>
      <c r="C1564" s="9" t="inlineStr">
        <is>
          <t>Unbekannt</t>
        </is>
      </c>
      <c r="D1564" s="10" t="inlineStr">
        <is>
          <t>⚠ Manual erforderlich</t>
        </is>
      </c>
      <c r="E1564" s="11" t="inlineStr"/>
      <c r="F1564" s="11" t="n">
        <v>0</v>
      </c>
      <c r="G1564" s="11">
        <f>E1564-F1564</f>
        <v/>
      </c>
      <c r="H1564" s="11" t="n">
        <v/>
      </c>
      <c r="I1564" s="11" t="n">
        <v/>
      </c>
      <c r="J1564" s="11" t="n">
        <v/>
      </c>
      <c r="K1564" s="4" t="inlineStr">
        <is>
          <t>Abrechnungsart wählen; Stundensätze eingeben</t>
        </is>
      </c>
    </row>
    <row r="1565">
      <c r="A1565" s="4" t="inlineStr">
        <is>
          <t>5458.01 711-BAB-Paul-Ehrlich-Institut-Langen</t>
        </is>
      </c>
      <c r="B1565" s="4" t="inlineStr">
        <is>
          <t>● 8000-Objektüberwachung</t>
        </is>
      </c>
      <c r="C1565" s="9" t="inlineStr">
        <is>
          <t>Unbekannt</t>
        </is>
      </c>
      <c r="D1565" s="10" t="inlineStr">
        <is>
          <t>⚠ Manual erforderlich</t>
        </is>
      </c>
      <c r="E1565" s="11" t="inlineStr"/>
      <c r="F1565" s="11" t="n">
        <v>0</v>
      </c>
      <c r="G1565" s="11">
        <f>E1565-F1565</f>
        <v/>
      </c>
      <c r="H1565" s="11" t="n">
        <v/>
      </c>
      <c r="I1565" s="11" t="n">
        <v/>
      </c>
      <c r="J1565" s="11" t="n">
        <v/>
      </c>
      <c r="K1565" s="4" t="inlineStr">
        <is>
          <t>Abrechnungsart wählen; Stundensätze eingeben</t>
        </is>
      </c>
    </row>
    <row r="1566">
      <c r="A1566" s="4" t="inlineStr">
        <is>
          <t>5458.05 BST-Paul-Ehrlich-Institut-Langen-Z-Steri</t>
        </is>
      </c>
      <c r="B1566" s="4" t="inlineStr">
        <is>
          <t>● (p) Pos.1 BST Z-Stri</t>
        </is>
      </c>
      <c r="C1566" s="4" t="inlineStr">
        <is>
          <t>Pauschale</t>
        </is>
      </c>
      <c r="D1566" s="10" t="inlineStr">
        <is>
          <t>⚠ Manual erforderlich</t>
        </is>
      </c>
      <c r="E1566" s="11" t="inlineStr"/>
      <c r="F1566" s="11" t="n">
        <v>0</v>
      </c>
      <c r="G1566" s="11">
        <f>E1566-F1566</f>
        <v/>
      </c>
      <c r="H1566" s="11" t="n">
        <v>0</v>
      </c>
      <c r="I1566" s="11" t="n">
        <v>0</v>
      </c>
      <c r="J1566" s="11" t="n">
        <v>0</v>
      </c>
      <c r="K1566" s="4" t="inlineStr">
        <is>
          <t>Stundensätze eingeben</t>
        </is>
      </c>
    </row>
    <row r="1567">
      <c r="A1567" s="4" t="inlineStr">
        <is>
          <t>5459.02 BAB-Friedrichsdorfer-Straße-1-5-Bad-Homburg</t>
        </is>
      </c>
      <c r="B1567" s="4" t="inlineStr">
        <is>
          <t>● 7000-Mitwirkung bei der Vergabe</t>
        </is>
      </c>
      <c r="C1567" s="9" t="inlineStr">
        <is>
          <t>Unbekannt</t>
        </is>
      </c>
      <c r="D1567" s="10" t="inlineStr">
        <is>
          <t>⚠ Manual erforderlich</t>
        </is>
      </c>
      <c r="E1567" s="11" t="inlineStr"/>
      <c r="F1567" s="11" t="n">
        <v>0</v>
      </c>
      <c r="G1567" s="11">
        <f>E1567-F1567</f>
        <v/>
      </c>
      <c r="H1567" s="11" t="n">
        <v/>
      </c>
      <c r="I1567" s="11" t="n">
        <v/>
      </c>
      <c r="J1567" s="11" t="n">
        <v/>
      </c>
      <c r="K1567" s="4" t="inlineStr">
        <is>
          <t>Abrechnungsart wählen; Stundensätze eingeben</t>
        </is>
      </c>
    </row>
    <row r="1568">
      <c r="A1568" s="4" t="inlineStr">
        <is>
          <t>5459.02 BAB-Friedrichsdorfer-Straße-1-5-Bad-Homburg</t>
        </is>
      </c>
      <c r="B1568" s="4" t="inlineStr">
        <is>
          <t>● 8000-Objektüberwachung</t>
        </is>
      </c>
      <c r="C1568" s="9" t="inlineStr">
        <is>
          <t>Unbekannt</t>
        </is>
      </c>
      <c r="D1568" s="10" t="inlineStr">
        <is>
          <t>⚠ Manual erforderlich</t>
        </is>
      </c>
      <c r="E1568" s="11" t="inlineStr"/>
      <c r="F1568" s="11" t="n">
        <v>0</v>
      </c>
      <c r="G1568" s="11">
        <f>E1568-F1568</f>
        <v/>
      </c>
      <c r="H1568" s="11" t="n">
        <v/>
      </c>
      <c r="I1568" s="11" t="n">
        <v/>
      </c>
      <c r="J1568" s="11" t="n">
        <v/>
      </c>
      <c r="K1568" s="4" t="inlineStr">
        <is>
          <t>Abrechnungsart wählen; Stundensätze eingeben</t>
        </is>
      </c>
    </row>
    <row r="1569">
      <c r="A1569" s="4" t="inlineStr">
        <is>
          <t>5460 Windpark-Bühe-Bad-Arolsen</t>
        </is>
      </c>
      <c r="B1569" s="4" t="inlineStr">
        <is>
          <t>● 1000-Grundlagenermittlung</t>
        </is>
      </c>
      <c r="C1569" s="9" t="inlineStr">
        <is>
          <t>Unbekannt</t>
        </is>
      </c>
      <c r="D1569" s="10" t="inlineStr">
        <is>
          <t>⚠ Manual erforderlich</t>
        </is>
      </c>
      <c r="E1569" s="11" t="inlineStr"/>
      <c r="F1569" s="11" t="n">
        <v>0</v>
      </c>
      <c r="G1569" s="11">
        <f>E1569-F1569</f>
        <v/>
      </c>
      <c r="H1569" s="11" t="n">
        <v/>
      </c>
      <c r="I1569" s="11" t="n">
        <v/>
      </c>
      <c r="J1569" s="11" t="n">
        <v/>
      </c>
      <c r="K1569" s="4" t="inlineStr">
        <is>
          <t>Abrechnungsart wählen; Stundensätze eingeben</t>
        </is>
      </c>
    </row>
    <row r="1570">
      <c r="A1570" s="4" t="inlineStr">
        <is>
          <t>5460 Windpark-Bühe-Bad-Arolsen</t>
        </is>
      </c>
      <c r="B1570" s="4" t="inlineStr">
        <is>
          <t>● 2000-Vorplanung</t>
        </is>
      </c>
      <c r="C1570" s="9" t="inlineStr">
        <is>
          <t>Unbekannt</t>
        </is>
      </c>
      <c r="D1570" s="10" t="inlineStr">
        <is>
          <t>⚠ Manual erforderlich</t>
        </is>
      </c>
      <c r="E1570" s="11" t="inlineStr"/>
      <c r="F1570" s="11" t="n">
        <v>0</v>
      </c>
      <c r="G1570" s="11">
        <f>E1570-F1570</f>
        <v/>
      </c>
      <c r="H1570" s="11" t="n">
        <v/>
      </c>
      <c r="I1570" s="11" t="n">
        <v/>
      </c>
      <c r="J1570" s="11" t="n">
        <v/>
      </c>
      <c r="K1570" s="4" t="inlineStr">
        <is>
          <t>Abrechnungsart wählen; Stundensätze eingeben</t>
        </is>
      </c>
    </row>
    <row r="1571">
      <c r="A1571" s="4" t="inlineStr">
        <is>
          <t>5460 Windpark-Bühe-Bad-Arolsen</t>
        </is>
      </c>
      <c r="B1571" s="4" t="inlineStr">
        <is>
          <t>● 3000-Entwurfsplanung</t>
        </is>
      </c>
      <c r="C1571" s="9" t="inlineStr">
        <is>
          <t>Unbekannt</t>
        </is>
      </c>
      <c r="D1571" s="10" t="inlineStr">
        <is>
          <t>⚠ Manual erforderlich</t>
        </is>
      </c>
      <c r="E1571" s="11" t="inlineStr"/>
      <c r="F1571" s="11" t="n">
        <v>0</v>
      </c>
      <c r="G1571" s="11">
        <f>E1571-F1571</f>
        <v/>
      </c>
      <c r="H1571" s="11" t="n">
        <v/>
      </c>
      <c r="I1571" s="11" t="n">
        <v/>
      </c>
      <c r="J1571" s="11" t="n">
        <v/>
      </c>
      <c r="K1571" s="4" t="inlineStr">
        <is>
          <t>Abrechnungsart wählen; Stundensätze eingeben</t>
        </is>
      </c>
    </row>
    <row r="1572">
      <c r="A1572" s="4" t="inlineStr">
        <is>
          <t>5460 Windpark-Bühe-Bad-Arolsen</t>
        </is>
      </c>
      <c r="B1572" s="4" t="inlineStr">
        <is>
          <t>● 4000-Genehmigungsplanung</t>
        </is>
      </c>
      <c r="C1572" s="9" t="inlineStr">
        <is>
          <t>Unbekannt</t>
        </is>
      </c>
      <c r="D1572" s="10" t="inlineStr">
        <is>
          <t>⚠ Manual erforderlich</t>
        </is>
      </c>
      <c r="E1572" s="11" t="inlineStr"/>
      <c r="F1572" s="11" t="n">
        <v>0</v>
      </c>
      <c r="G1572" s="11">
        <f>E1572-F1572</f>
        <v/>
      </c>
      <c r="H1572" s="11" t="n">
        <v/>
      </c>
      <c r="I1572" s="11" t="n">
        <v/>
      </c>
      <c r="J1572" s="11" t="n">
        <v/>
      </c>
      <c r="K1572" s="4" t="inlineStr">
        <is>
          <t>Abrechnungsart wählen; Stundensätze eingeben</t>
        </is>
      </c>
    </row>
    <row r="1573">
      <c r="A1573" s="4" t="inlineStr">
        <is>
          <t>5461 Windpark-Netze-Waldeck</t>
        </is>
      </c>
      <c r="B1573" s="4" t="inlineStr">
        <is>
          <t>● 1000-Grundlagenermittlung</t>
        </is>
      </c>
      <c r="C1573" s="9" t="inlineStr">
        <is>
          <t>Unbekannt</t>
        </is>
      </c>
      <c r="D1573" s="10" t="inlineStr">
        <is>
          <t>⚠ Manual erforderlich</t>
        </is>
      </c>
      <c r="E1573" s="11" t="inlineStr"/>
      <c r="F1573" s="11" t="n">
        <v>0</v>
      </c>
      <c r="G1573" s="11">
        <f>E1573-F1573</f>
        <v/>
      </c>
      <c r="H1573" s="11" t="n">
        <v/>
      </c>
      <c r="I1573" s="11" t="n">
        <v/>
      </c>
      <c r="J1573" s="11" t="n">
        <v/>
      </c>
      <c r="K1573" s="4" t="inlineStr">
        <is>
          <t>Abrechnungsart wählen; Stundensätze eingeben</t>
        </is>
      </c>
    </row>
    <row r="1574">
      <c r="A1574" s="4" t="inlineStr">
        <is>
          <t>5461 Windpark-Netze-Waldeck</t>
        </is>
      </c>
      <c r="B1574" s="4" t="inlineStr">
        <is>
          <t>● 2000-Vorplanung</t>
        </is>
      </c>
      <c r="C1574" s="9" t="inlineStr">
        <is>
          <t>Unbekannt</t>
        </is>
      </c>
      <c r="D1574" s="10" t="inlineStr">
        <is>
          <t>⚠ Manual erforderlich</t>
        </is>
      </c>
      <c r="E1574" s="11" t="inlineStr"/>
      <c r="F1574" s="11" t="n">
        <v>0</v>
      </c>
      <c r="G1574" s="11">
        <f>E1574-F1574</f>
        <v/>
      </c>
      <c r="H1574" s="11" t="n">
        <v/>
      </c>
      <c r="I1574" s="11" t="n">
        <v/>
      </c>
      <c r="J1574" s="11" t="n">
        <v/>
      </c>
      <c r="K1574" s="4" t="inlineStr">
        <is>
          <t>Abrechnungsart wählen; Stundensätze eingeben</t>
        </is>
      </c>
    </row>
    <row r="1575">
      <c r="A1575" s="4" t="inlineStr">
        <is>
          <t>5461 Windpark-Netze-Waldeck</t>
        </is>
      </c>
      <c r="B1575" s="4" t="inlineStr">
        <is>
          <t>● 3000-Entwurfsplanung</t>
        </is>
      </c>
      <c r="C1575" s="9" t="inlineStr">
        <is>
          <t>Unbekannt</t>
        </is>
      </c>
      <c r="D1575" s="10" t="inlineStr">
        <is>
          <t>⚠ Manual erforderlich</t>
        </is>
      </c>
      <c r="E1575" s="11" t="inlineStr"/>
      <c r="F1575" s="11" t="n">
        <v>0</v>
      </c>
      <c r="G1575" s="11">
        <f>E1575-F1575</f>
        <v/>
      </c>
      <c r="H1575" s="11" t="n">
        <v/>
      </c>
      <c r="I1575" s="11" t="n">
        <v/>
      </c>
      <c r="J1575" s="11" t="n">
        <v/>
      </c>
      <c r="K1575" s="4" t="inlineStr">
        <is>
          <t>Abrechnungsart wählen; Stundensätze eingeben</t>
        </is>
      </c>
    </row>
    <row r="1576">
      <c r="A1576" s="4" t="inlineStr">
        <is>
          <t>5461 Windpark-Netze-Waldeck</t>
        </is>
      </c>
      <c r="B1576" s="4" t="inlineStr">
        <is>
          <t>● 4000-Genehmigungsplanung</t>
        </is>
      </c>
      <c r="C1576" s="9" t="inlineStr">
        <is>
          <t>Unbekannt</t>
        </is>
      </c>
      <c r="D1576" s="10" t="inlineStr">
        <is>
          <t>⚠ Manual erforderlich</t>
        </is>
      </c>
      <c r="E1576" s="11" t="inlineStr"/>
      <c r="F1576" s="11" t="n">
        <v>0</v>
      </c>
      <c r="G1576" s="11">
        <f>E1576-F1576</f>
        <v/>
      </c>
      <c r="H1576" s="11" t="n">
        <v/>
      </c>
      <c r="I1576" s="11" t="n">
        <v/>
      </c>
      <c r="J1576" s="11" t="n">
        <v/>
      </c>
      <c r="K1576" s="4" t="inlineStr">
        <is>
          <t>Abrechnungsart wählen; Stundensätze eingeben</t>
        </is>
      </c>
    </row>
    <row r="1577">
      <c r="A1577" s="4" t="inlineStr">
        <is>
          <t>5486.01 BSN-Hochmuhl-1-3-Frankfurt</t>
        </is>
      </c>
      <c r="B1577" s="4" t="inlineStr">
        <is>
          <t>● Brandschutznachweis (pauschal)</t>
        </is>
      </c>
      <c r="C1577" s="9" t="inlineStr">
        <is>
          <t>Unbekannt</t>
        </is>
      </c>
      <c r="D1577" s="10" t="inlineStr">
        <is>
          <t>⚠ Manual erforderlich</t>
        </is>
      </c>
      <c r="E1577" s="11" t="inlineStr"/>
      <c r="F1577" s="11" t="n">
        <v>0</v>
      </c>
      <c r="G1577" s="11">
        <f>E1577-F1577</f>
        <v/>
      </c>
      <c r="H1577" s="11" t="n">
        <v/>
      </c>
      <c r="I1577" s="11" t="n">
        <v/>
      </c>
      <c r="J1577" s="11" t="n">
        <v/>
      </c>
      <c r="K1577" s="4" t="inlineStr">
        <is>
          <t>Abrechnungsart wählen; Stundensätze eingeben</t>
        </is>
      </c>
    </row>
    <row r="1578">
      <c r="A1578" s="4" t="inlineStr">
        <is>
          <t>5486.01 BSN-Hochmuhl-1-3-Frankfurt</t>
        </is>
      </c>
      <c r="B1578" s="4" t="inlineStr">
        <is>
          <t>● zusätzl. Beratung (auf Nachweis)</t>
        </is>
      </c>
      <c r="C1578" s="9" t="inlineStr">
        <is>
          <t>Unbekannt</t>
        </is>
      </c>
      <c r="D1578" s="10" t="inlineStr">
        <is>
          <t>⚠ Manual erforderlich</t>
        </is>
      </c>
      <c r="E1578" s="11" t="inlineStr"/>
      <c r="F1578" s="11" t="n">
        <v>0</v>
      </c>
      <c r="G1578" s="11">
        <f>E1578-F1578</f>
        <v/>
      </c>
      <c r="H1578" s="11" t="n">
        <v/>
      </c>
      <c r="I1578" s="11" t="n">
        <v/>
      </c>
      <c r="J1578" s="11" t="n">
        <v/>
      </c>
      <c r="K1578" s="4" t="inlineStr">
        <is>
          <t>Abrechnungsart wählen; Stundensätze eingeben</t>
        </is>
      </c>
    </row>
    <row r="1579">
      <c r="A1579" s="4" t="inlineStr">
        <is>
          <t>5486.03 BSN-Hochmuhl-1-3-Frankfurt</t>
        </is>
      </c>
      <c r="B1579" s="4" t="inlineStr">
        <is>
          <t>● (p) Pos.1 Fortschr. BSN</t>
        </is>
      </c>
      <c r="C1579" s="4" t="inlineStr">
        <is>
          <t>Pauschale</t>
        </is>
      </c>
      <c r="D1579" s="10" t="inlineStr">
        <is>
          <t>⚠ Manual erforderlich</t>
        </is>
      </c>
      <c r="E1579" s="11" t="inlineStr"/>
      <c r="F1579" s="11" t="n">
        <v>0</v>
      </c>
      <c r="G1579" s="11">
        <f>E1579-F1579</f>
        <v/>
      </c>
      <c r="H1579" s="11" t="n">
        <v>0</v>
      </c>
      <c r="I1579" s="11" t="n">
        <v>0</v>
      </c>
      <c r="J1579" s="11" t="n">
        <v>0</v>
      </c>
      <c r="K1579" s="4" t="inlineStr">
        <is>
          <t>Stundensätze eingeben</t>
        </is>
      </c>
    </row>
    <row r="1580">
      <c r="A1580" s="4" t="inlineStr">
        <is>
          <t>5486.03 BSN-Hochmuhl-1-3-Frankfurt</t>
        </is>
      </c>
      <c r="B1580" s="4" t="inlineStr">
        <is>
          <t>● (aN) Pos.2 BTB in der Planungsphase</t>
        </is>
      </c>
      <c r="C1580" s="4" t="inlineStr">
        <is>
          <t>Nachweis</t>
        </is>
      </c>
      <c r="D1580" s="10" t="inlineStr">
        <is>
          <t>⚠ Manual erforderlich</t>
        </is>
      </c>
      <c r="E1580" s="11" t="inlineStr"/>
      <c r="F1580" s="11" t="n">
        <v>0</v>
      </c>
      <c r="G1580" s="11">
        <f>E1580-F1580</f>
        <v/>
      </c>
      <c r="H1580" s="11" t="n">
        <v/>
      </c>
      <c r="I1580" s="11" t="n">
        <v/>
      </c>
      <c r="J1580" s="11" t="n">
        <v/>
      </c>
      <c r="K1580" s="4" t="inlineStr">
        <is>
          <t>Stundensätze eingeben</t>
        </is>
      </c>
    </row>
    <row r="1581">
      <c r="A1581" s="4" t="inlineStr">
        <is>
          <t>5489.06 AIT-BSB-09-2024-08-2025-MHK-Europa-Zentrale-Dreieich-Sprendlingen</t>
        </is>
      </c>
      <c r="B1581" s="4" t="inlineStr">
        <is>
          <t>● (a.N.) BSB 2023/2024</t>
        </is>
      </c>
      <c r="C1581" s="4" t="inlineStr">
        <is>
          <t>Nachweis</t>
        </is>
      </c>
      <c r="D1581" s="10" t="inlineStr">
        <is>
          <t>⚠ Manual erforderlich</t>
        </is>
      </c>
      <c r="E1581" s="11" t="inlineStr"/>
      <c r="F1581" s="11" t="n">
        <v>0</v>
      </c>
      <c r="G1581" s="11">
        <f>E1581-F1581</f>
        <v/>
      </c>
      <c r="H1581" s="11" t="n">
        <v/>
      </c>
      <c r="I1581" s="11" t="n">
        <v/>
      </c>
      <c r="J1581" s="11" t="n">
        <v/>
      </c>
      <c r="K1581" s="4" t="inlineStr">
        <is>
          <t>Stundensätze eingeben</t>
        </is>
      </c>
    </row>
    <row r="1582">
      <c r="A1582" s="4" t="inlineStr">
        <is>
          <t>5489.07 AIT-BSB-09-2025-08-2026-MHK-Europa-Zentrale-Dreieich-Sprendlingen</t>
        </is>
      </c>
      <c r="B1582" s="4" t="inlineStr">
        <is>
          <t>● (a.N.) BSB 2025/2026</t>
        </is>
      </c>
      <c r="C1582" s="4" t="inlineStr">
        <is>
          <t>Nachweis</t>
        </is>
      </c>
      <c r="D1582" s="10" t="inlineStr">
        <is>
          <t>⚠ Manual erforderlich</t>
        </is>
      </c>
      <c r="E1582" s="11" t="inlineStr"/>
      <c r="F1582" s="11" t="n">
        <v>0</v>
      </c>
      <c r="G1582" s="11">
        <f>E1582-F1582</f>
        <v/>
      </c>
      <c r="H1582" s="11" t="n">
        <v/>
      </c>
      <c r="I1582" s="11" t="n">
        <v/>
      </c>
      <c r="J1582" s="11" t="n">
        <v/>
      </c>
      <c r="K1582" s="4" t="inlineStr">
        <is>
          <t>Stundensätze eingeben</t>
        </is>
      </c>
    </row>
    <row r="1583">
      <c r="A1583" s="4" t="inlineStr">
        <is>
          <t>5500 Bestand-Adolf-Häfele-Straße-1-Nagold</t>
        </is>
      </c>
      <c r="B1583" s="4" t="inlineStr">
        <is>
          <t>● 1000-Grundlagenermittlung</t>
        </is>
      </c>
      <c r="C1583" s="9" t="inlineStr">
        <is>
          <t>Unbekannt</t>
        </is>
      </c>
      <c r="D1583" s="10" t="inlineStr">
        <is>
          <t>⚠ Manual erforderlich</t>
        </is>
      </c>
      <c r="E1583" s="11" t="inlineStr"/>
      <c r="F1583" s="11" t="n">
        <v>0</v>
      </c>
      <c r="G1583" s="11">
        <f>E1583-F1583</f>
        <v/>
      </c>
      <c r="H1583" s="11" t="n">
        <v/>
      </c>
      <c r="I1583" s="11" t="n">
        <v/>
      </c>
      <c r="J1583" s="11" t="n">
        <v/>
      </c>
      <c r="K1583" s="4" t="inlineStr">
        <is>
          <t>Abrechnungsart wählen; Stundensätze eingeben</t>
        </is>
      </c>
    </row>
    <row r="1584">
      <c r="A1584" s="4" t="inlineStr">
        <is>
          <t>5500 Bestand-Adolf-Häfele-Straße-1-Nagold</t>
        </is>
      </c>
      <c r="B1584" s="4" t="inlineStr">
        <is>
          <t>● 3000-Entwurfsplanung</t>
        </is>
      </c>
      <c r="C1584" s="9" t="inlineStr">
        <is>
          <t>Unbekannt</t>
        </is>
      </c>
      <c r="D1584" s="10" t="inlineStr">
        <is>
          <t>⚠ Manual erforderlich</t>
        </is>
      </c>
      <c r="E1584" s="11" t="inlineStr"/>
      <c r="F1584" s="11" t="n">
        <v>0</v>
      </c>
      <c r="G1584" s="11">
        <f>E1584-F1584</f>
        <v/>
      </c>
      <c r="H1584" s="11" t="n">
        <v/>
      </c>
      <c r="I1584" s="11" t="n">
        <v/>
      </c>
      <c r="J1584" s="11" t="n">
        <v/>
      </c>
      <c r="K1584" s="4" t="inlineStr">
        <is>
          <t>Abrechnungsart wählen; Stundensätze eingeben</t>
        </is>
      </c>
    </row>
    <row r="1585">
      <c r="A1585" s="4" t="inlineStr">
        <is>
          <t>5500 Bestand-Adolf-Häfele-Straße-1-Nagold</t>
        </is>
      </c>
      <c r="B1585" s="4" t="inlineStr">
        <is>
          <t>● 8000-Objektüberwachung</t>
        </is>
      </c>
      <c r="C1585" s="9" t="inlineStr">
        <is>
          <t>Unbekannt</t>
        </is>
      </c>
      <c r="D1585" s="10" t="inlineStr">
        <is>
          <t>⚠ Manual erforderlich</t>
        </is>
      </c>
      <c r="E1585" s="11" t="inlineStr"/>
      <c r="F1585" s="11" t="n">
        <v>0</v>
      </c>
      <c r="G1585" s="11">
        <f>E1585-F1585</f>
        <v/>
      </c>
      <c r="H1585" s="11" t="n">
        <v/>
      </c>
      <c r="I1585" s="11" t="n">
        <v/>
      </c>
      <c r="J1585" s="11" t="n">
        <v/>
      </c>
      <c r="K1585" s="4" t="inlineStr">
        <is>
          <t>Abrechnungsart wählen; Stundensätze eingeben</t>
        </is>
      </c>
    </row>
    <row r="1586">
      <c r="A1586" s="4" t="inlineStr">
        <is>
          <t>5500.01 Erweiterung-Adolf-Häfele-Straße-1-Nagold</t>
        </is>
      </c>
      <c r="B1586" s="4" t="inlineStr">
        <is>
          <t>● 1000-Grundlagenermittlung</t>
        </is>
      </c>
      <c r="C1586" s="9" t="inlineStr">
        <is>
          <t>Unbekannt</t>
        </is>
      </c>
      <c r="D1586" s="10" t="inlineStr">
        <is>
          <t>⚠ Manual erforderlich</t>
        </is>
      </c>
      <c r="E1586" s="11" t="inlineStr"/>
      <c r="F1586" s="11" t="n">
        <v>0</v>
      </c>
      <c r="G1586" s="11">
        <f>E1586-F1586</f>
        <v/>
      </c>
      <c r="H1586" s="11" t="n">
        <v/>
      </c>
      <c r="I1586" s="11" t="n">
        <v/>
      </c>
      <c r="J1586" s="11" t="n">
        <v/>
      </c>
      <c r="K1586" s="4" t="inlineStr">
        <is>
          <t>Abrechnungsart wählen; Stundensätze eingeben</t>
        </is>
      </c>
    </row>
    <row r="1587">
      <c r="A1587" s="4" t="inlineStr">
        <is>
          <t>5500.01 Erweiterung-Adolf-Häfele-Straße-1-Nagold</t>
        </is>
      </c>
      <c r="B1587" s="4" t="inlineStr">
        <is>
          <t>● 2000-Vorplanung</t>
        </is>
      </c>
      <c r="C1587" s="9" t="inlineStr">
        <is>
          <t>Unbekannt</t>
        </is>
      </c>
      <c r="D1587" s="10" t="inlineStr">
        <is>
          <t>⚠ Manual erforderlich</t>
        </is>
      </c>
      <c r="E1587" s="11" t="inlineStr"/>
      <c r="F1587" s="11" t="n">
        <v>0</v>
      </c>
      <c r="G1587" s="11">
        <f>E1587-F1587</f>
        <v/>
      </c>
      <c r="H1587" s="11" t="n">
        <v/>
      </c>
      <c r="I1587" s="11" t="n">
        <v/>
      </c>
      <c r="J1587" s="11" t="n">
        <v/>
      </c>
      <c r="K1587" s="4" t="inlineStr">
        <is>
          <t>Abrechnungsart wählen; Stundensätze eingeben</t>
        </is>
      </c>
    </row>
    <row r="1588">
      <c r="A1588" s="4" t="inlineStr">
        <is>
          <t>5500.01 Erweiterung-Adolf-Häfele-Straße-1-Nagold</t>
        </is>
      </c>
      <c r="B1588" s="4" t="inlineStr">
        <is>
          <t>● 3000-Entwurfsplanung</t>
        </is>
      </c>
      <c r="C1588" s="9" t="inlineStr">
        <is>
          <t>Unbekannt</t>
        </is>
      </c>
      <c r="D1588" s="10" t="inlineStr">
        <is>
          <t>⚠ Manual erforderlich</t>
        </is>
      </c>
      <c r="E1588" s="11" t="inlineStr"/>
      <c r="F1588" s="11" t="n">
        <v>0</v>
      </c>
      <c r="G1588" s="11">
        <f>E1588-F1588</f>
        <v/>
      </c>
      <c r="H1588" s="11" t="n">
        <v/>
      </c>
      <c r="I1588" s="11" t="n">
        <v/>
      </c>
      <c r="J1588" s="11" t="n">
        <v/>
      </c>
      <c r="K1588" s="4" t="inlineStr">
        <is>
          <t>Abrechnungsart wählen; Stundensätze eingeben</t>
        </is>
      </c>
    </row>
    <row r="1589">
      <c r="A1589" s="4" t="inlineStr">
        <is>
          <t>5500.01 Erweiterung-Adolf-Häfele-Straße-1-Nagold</t>
        </is>
      </c>
      <c r="B1589" s="4" t="inlineStr">
        <is>
          <t>● 4000-Genehmigungsplanung</t>
        </is>
      </c>
      <c r="C1589" s="9" t="inlineStr">
        <is>
          <t>Unbekannt</t>
        </is>
      </c>
      <c r="D1589" s="10" t="inlineStr">
        <is>
          <t>⚠ Manual erforderlich</t>
        </is>
      </c>
      <c r="E1589" s="11" t="inlineStr"/>
      <c r="F1589" s="11" t="n">
        <v>0</v>
      </c>
      <c r="G1589" s="11">
        <f>E1589-F1589</f>
        <v/>
      </c>
      <c r="H1589" s="11" t="n">
        <v/>
      </c>
      <c r="I1589" s="11" t="n">
        <v/>
      </c>
      <c r="J1589" s="11" t="n">
        <v/>
      </c>
      <c r="K1589" s="4" t="inlineStr">
        <is>
          <t>Abrechnungsart wählen; Stundensätze eingeben</t>
        </is>
      </c>
    </row>
    <row r="1590">
      <c r="A1590" s="4" t="inlineStr">
        <is>
          <t>5500.01 Erweiterung-Adolf-Häfele-Straße-1-Nagold</t>
        </is>
      </c>
      <c r="B1590" s="4" t="inlineStr">
        <is>
          <t>● 5000-Ausführungsplanung</t>
        </is>
      </c>
      <c r="C1590" s="9" t="inlineStr">
        <is>
          <t>Unbekannt</t>
        </is>
      </c>
      <c r="D1590" s="10" t="inlineStr">
        <is>
          <t>⚠ Manual erforderlich</t>
        </is>
      </c>
      <c r="E1590" s="11" t="inlineStr"/>
      <c r="F1590" s="11" t="n">
        <v>0</v>
      </c>
      <c r="G1590" s="11">
        <f>E1590-F1590</f>
        <v/>
      </c>
      <c r="H1590" s="11" t="n">
        <v/>
      </c>
      <c r="I1590" s="11" t="n">
        <v/>
      </c>
      <c r="J1590" s="11" t="n">
        <v/>
      </c>
      <c r="K1590" s="4" t="inlineStr">
        <is>
          <t>Abrechnungsart wählen; Stundensätze eingeben</t>
        </is>
      </c>
    </row>
    <row r="1591">
      <c r="A1591" s="4" t="inlineStr">
        <is>
          <t>5500.01 Erweiterung-Adolf-Häfele-Straße-1-Nagold</t>
        </is>
      </c>
      <c r="B1591" s="4" t="inlineStr">
        <is>
          <t>● 8000-Objektüberwachung</t>
        </is>
      </c>
      <c r="C1591" s="9" t="inlineStr">
        <is>
          <t>Unbekannt</t>
        </is>
      </c>
      <c r="D1591" s="10" t="inlineStr">
        <is>
          <t>⚠ Manual erforderlich</t>
        </is>
      </c>
      <c r="E1591" s="11" t="inlineStr"/>
      <c r="F1591" s="11" t="n">
        <v>0</v>
      </c>
      <c r="G1591" s="11">
        <f>E1591-F1591</f>
        <v/>
      </c>
      <c r="H1591" s="11" t="n">
        <v/>
      </c>
      <c r="I1591" s="11" t="n">
        <v/>
      </c>
      <c r="J1591" s="11" t="n">
        <v/>
      </c>
      <c r="K1591" s="4" t="inlineStr">
        <is>
          <t>Abrechnungsart wählen; Stundensätze eingeben</t>
        </is>
      </c>
    </row>
    <row r="1592">
      <c r="A1592" s="4" t="inlineStr">
        <is>
          <t>5500.02 Hochregallager-Adolf-Häfele-Straße-1-Nagold</t>
        </is>
      </c>
      <c r="B1592" s="4" t="inlineStr">
        <is>
          <t>● 1000-Grundlagenermittlung</t>
        </is>
      </c>
      <c r="C1592" s="9" t="inlineStr">
        <is>
          <t>Unbekannt</t>
        </is>
      </c>
      <c r="D1592" s="10" t="inlineStr">
        <is>
          <t>⚠ Manual erforderlich</t>
        </is>
      </c>
      <c r="E1592" s="11" t="inlineStr"/>
      <c r="F1592" s="11" t="n">
        <v>0</v>
      </c>
      <c r="G1592" s="11">
        <f>E1592-F1592</f>
        <v/>
      </c>
      <c r="H1592" s="11" t="n">
        <v/>
      </c>
      <c r="I1592" s="11" t="n">
        <v/>
      </c>
      <c r="J1592" s="11" t="n">
        <v/>
      </c>
      <c r="K1592" s="4" t="inlineStr">
        <is>
          <t>Abrechnungsart wählen; Stundensätze eingeben</t>
        </is>
      </c>
    </row>
    <row r="1593">
      <c r="A1593" s="4" t="inlineStr">
        <is>
          <t>5500.02 Hochregallager-Adolf-Häfele-Straße-1-Nagold</t>
        </is>
      </c>
      <c r="B1593" s="4" t="inlineStr">
        <is>
          <t>● 2000-Vorplanung</t>
        </is>
      </c>
      <c r="C1593" s="9" t="inlineStr">
        <is>
          <t>Unbekannt</t>
        </is>
      </c>
      <c r="D1593" s="10" t="inlineStr">
        <is>
          <t>⚠ Manual erforderlich</t>
        </is>
      </c>
      <c r="E1593" s="11" t="inlineStr"/>
      <c r="F1593" s="11" t="n">
        <v>0</v>
      </c>
      <c r="G1593" s="11">
        <f>E1593-F1593</f>
        <v/>
      </c>
      <c r="H1593" s="11" t="n">
        <v/>
      </c>
      <c r="I1593" s="11" t="n">
        <v/>
      </c>
      <c r="J1593" s="11" t="n">
        <v/>
      </c>
      <c r="K1593" s="4" t="inlineStr">
        <is>
          <t>Abrechnungsart wählen; Stundensätze eingeben</t>
        </is>
      </c>
    </row>
    <row r="1594">
      <c r="A1594" s="4" t="inlineStr">
        <is>
          <t>5500.02 Hochregallager-Adolf-Häfele-Straße-1-Nagold</t>
        </is>
      </c>
      <c r="B1594" s="4" t="inlineStr">
        <is>
          <t>● 3000-Entwurfsplanung</t>
        </is>
      </c>
      <c r="C1594" s="9" t="inlineStr">
        <is>
          <t>Unbekannt</t>
        </is>
      </c>
      <c r="D1594" s="10" t="inlineStr">
        <is>
          <t>⚠ Manual erforderlich</t>
        </is>
      </c>
      <c r="E1594" s="11" t="inlineStr"/>
      <c r="F1594" s="11" t="n">
        <v>0</v>
      </c>
      <c r="G1594" s="11">
        <f>E1594-F1594</f>
        <v/>
      </c>
      <c r="H1594" s="11" t="n">
        <v/>
      </c>
      <c r="I1594" s="11" t="n">
        <v/>
      </c>
      <c r="J1594" s="11" t="n">
        <v/>
      </c>
      <c r="K1594" s="4" t="inlineStr">
        <is>
          <t>Abrechnungsart wählen; Stundensätze eingeben</t>
        </is>
      </c>
    </row>
    <row r="1595">
      <c r="A1595" s="4" t="inlineStr">
        <is>
          <t>5500.02 Hochregallager-Adolf-Häfele-Straße-1-Nagold</t>
        </is>
      </c>
      <c r="B1595" s="4" t="inlineStr">
        <is>
          <t>● 4000-Genehmigungsplanung</t>
        </is>
      </c>
      <c r="C1595" s="9" t="inlineStr">
        <is>
          <t>Unbekannt</t>
        </is>
      </c>
      <c r="D1595" s="10" t="inlineStr">
        <is>
          <t>⚠ Manual erforderlich</t>
        </is>
      </c>
      <c r="E1595" s="11" t="inlineStr"/>
      <c r="F1595" s="11" t="n">
        <v>0</v>
      </c>
      <c r="G1595" s="11">
        <f>E1595-F1595</f>
        <v/>
      </c>
      <c r="H1595" s="11" t="n">
        <v/>
      </c>
      <c r="I1595" s="11" t="n">
        <v/>
      </c>
      <c r="J1595" s="11" t="n">
        <v/>
      </c>
      <c r="K1595" s="4" t="inlineStr">
        <is>
          <t>Abrechnungsart wählen; Stundensätze eingeben</t>
        </is>
      </c>
    </row>
    <row r="1596">
      <c r="A1596" s="4" t="inlineStr">
        <is>
          <t>5500.02 Hochregallager-Adolf-Häfele-Straße-1-Nagold</t>
        </is>
      </c>
      <c r="B1596" s="4" t="inlineStr">
        <is>
          <t>● 5000-Ausführungsplanung</t>
        </is>
      </c>
      <c r="C1596" s="9" t="inlineStr">
        <is>
          <t>Unbekannt</t>
        </is>
      </c>
      <c r="D1596" s="10" t="inlineStr">
        <is>
          <t>⚠ Manual erforderlich</t>
        </is>
      </c>
      <c r="E1596" s="11" t="inlineStr"/>
      <c r="F1596" s="11" t="n">
        <v>0</v>
      </c>
      <c r="G1596" s="11">
        <f>E1596-F1596</f>
        <v/>
      </c>
      <c r="H1596" s="11" t="n">
        <v/>
      </c>
      <c r="I1596" s="11" t="n">
        <v/>
      </c>
      <c r="J1596" s="11" t="n">
        <v/>
      </c>
      <c r="K1596" s="4" t="inlineStr">
        <is>
          <t>Abrechnungsart wählen; Stundensätze eingeben</t>
        </is>
      </c>
    </row>
    <row r="1597">
      <c r="A1597" s="4" t="inlineStr">
        <is>
          <t>5500.02 Hochregallager-Adolf-Häfele-Straße-1-Nagold</t>
        </is>
      </c>
      <c r="B1597" s="4" t="inlineStr">
        <is>
          <t>● 8000-Objektüberwachung</t>
        </is>
      </c>
      <c r="C1597" s="9" t="inlineStr">
        <is>
          <t>Unbekannt</t>
        </is>
      </c>
      <c r="D1597" s="10" t="inlineStr">
        <is>
          <t>⚠ Manual erforderlich</t>
        </is>
      </c>
      <c r="E1597" s="11" t="inlineStr"/>
      <c r="F1597" s="11" t="n">
        <v>0</v>
      </c>
      <c r="G1597" s="11">
        <f>E1597-F1597</f>
        <v/>
      </c>
      <c r="H1597" s="11" t="n">
        <v/>
      </c>
      <c r="I1597" s="11" t="n">
        <v/>
      </c>
      <c r="J1597" s="11" t="n">
        <v/>
      </c>
      <c r="K1597" s="4" t="inlineStr">
        <is>
          <t>Abrechnungsart wählen; Stundensätze eingeben</t>
        </is>
      </c>
    </row>
    <row r="1598">
      <c r="A1598" s="4" t="inlineStr">
        <is>
          <t>5506 Kaserne-Sembach-Heuberg-Geb-210</t>
        </is>
      </c>
      <c r="B1598" s="4" t="inlineStr">
        <is>
          <t>● 1000-Grundlagenermittlung</t>
        </is>
      </c>
      <c r="C1598" s="9" t="inlineStr">
        <is>
          <t>Unbekannt</t>
        </is>
      </c>
      <c r="D1598" s="10" t="inlineStr">
        <is>
          <t>⚠ Manual erforderlich</t>
        </is>
      </c>
      <c r="E1598" s="11" t="inlineStr"/>
      <c r="F1598" s="11" t="n">
        <v>0</v>
      </c>
      <c r="G1598" s="11">
        <f>E1598-F1598</f>
        <v/>
      </c>
      <c r="H1598" s="11" t="n">
        <v/>
      </c>
      <c r="I1598" s="11" t="n">
        <v/>
      </c>
      <c r="J1598" s="11" t="n">
        <v/>
      </c>
      <c r="K1598" s="4" t="inlineStr">
        <is>
          <t>Abrechnungsart wählen; Stundensätze eingeben</t>
        </is>
      </c>
    </row>
    <row r="1599">
      <c r="A1599" s="4" t="inlineStr">
        <is>
          <t>5506 Kaserne-Sembach-Heuberg-Geb-210</t>
        </is>
      </c>
      <c r="B1599" s="4" t="inlineStr">
        <is>
          <t>● 2000-Vorplanung</t>
        </is>
      </c>
      <c r="C1599" s="9" t="inlineStr">
        <is>
          <t>Unbekannt</t>
        </is>
      </c>
      <c r="D1599" s="10" t="inlineStr">
        <is>
          <t>⚠ Manual erforderlich</t>
        </is>
      </c>
      <c r="E1599" s="11" t="inlineStr"/>
      <c r="F1599" s="11" t="n">
        <v>0</v>
      </c>
      <c r="G1599" s="11">
        <f>E1599-F1599</f>
        <v/>
      </c>
      <c r="H1599" s="11" t="n">
        <v/>
      </c>
      <c r="I1599" s="11" t="n">
        <v/>
      </c>
      <c r="J1599" s="11" t="n">
        <v/>
      </c>
      <c r="K1599" s="4" t="inlineStr">
        <is>
          <t>Abrechnungsart wählen; Stundensätze eingeben</t>
        </is>
      </c>
    </row>
    <row r="1600">
      <c r="A1600" s="4" t="inlineStr">
        <is>
          <t>5506 Kaserne-Sembach-Heuberg-Geb-210</t>
        </is>
      </c>
      <c r="B1600" s="4" t="inlineStr">
        <is>
          <t>● 3000-Entwurfsplanung</t>
        </is>
      </c>
      <c r="C1600" s="9" t="inlineStr">
        <is>
          <t>Unbekannt</t>
        </is>
      </c>
      <c r="D1600" s="10" t="inlineStr">
        <is>
          <t>⚠ Manual erforderlich</t>
        </is>
      </c>
      <c r="E1600" s="11" t="inlineStr"/>
      <c r="F1600" s="11" t="n">
        <v>0</v>
      </c>
      <c r="G1600" s="11">
        <f>E1600-F1600</f>
        <v/>
      </c>
      <c r="H1600" s="11" t="n">
        <v/>
      </c>
      <c r="I1600" s="11" t="n">
        <v/>
      </c>
      <c r="J1600" s="11" t="n">
        <v/>
      </c>
      <c r="K1600" s="4" t="inlineStr">
        <is>
          <t>Abrechnungsart wählen; Stundensätze eingeben</t>
        </is>
      </c>
    </row>
    <row r="1601">
      <c r="A1601" s="4" t="inlineStr">
        <is>
          <t>5506 Kaserne-Sembach-Heuberg-Geb-210</t>
        </is>
      </c>
      <c r="B1601" s="4" t="inlineStr">
        <is>
          <t>● 4000-Genehmigungsplanung</t>
        </is>
      </c>
      <c r="C1601" s="9" t="inlineStr">
        <is>
          <t>Unbekannt</t>
        </is>
      </c>
      <c r="D1601" s="10" t="inlineStr">
        <is>
          <t>⚠ Manual erforderlich</t>
        </is>
      </c>
      <c r="E1601" s="11" t="inlineStr"/>
      <c r="F1601" s="11" t="n">
        <v>0</v>
      </c>
      <c r="G1601" s="11">
        <f>E1601-F1601</f>
        <v/>
      </c>
      <c r="H1601" s="11" t="n">
        <v/>
      </c>
      <c r="I1601" s="11" t="n">
        <v/>
      </c>
      <c r="J1601" s="11" t="n">
        <v/>
      </c>
      <c r="K1601" s="4" t="inlineStr">
        <is>
          <t>Abrechnungsart wählen; Stundensätze eingeben</t>
        </is>
      </c>
    </row>
    <row r="1602">
      <c r="A1602" s="4" t="inlineStr">
        <is>
          <t>5506 Kaserne-Sembach-Heuberg-Geb-210</t>
        </is>
      </c>
      <c r="B1602" s="4" t="inlineStr">
        <is>
          <t>● 5000-Ausführungsplanung</t>
        </is>
      </c>
      <c r="C1602" s="9" t="inlineStr">
        <is>
          <t>Unbekannt</t>
        </is>
      </c>
      <c r="D1602" s="10" t="inlineStr">
        <is>
          <t>⚠ Manual erforderlich</t>
        </is>
      </c>
      <c r="E1602" s="11" t="inlineStr"/>
      <c r="F1602" s="11" t="n">
        <v>0</v>
      </c>
      <c r="G1602" s="11">
        <f>E1602-F1602</f>
        <v/>
      </c>
      <c r="H1602" s="11" t="n">
        <v/>
      </c>
      <c r="I1602" s="11" t="n">
        <v/>
      </c>
      <c r="J1602" s="11" t="n">
        <v/>
      </c>
      <c r="K1602" s="4" t="inlineStr">
        <is>
          <t>Abrechnungsart wählen; Stundensätze eingeben</t>
        </is>
      </c>
    </row>
    <row r="1603">
      <c r="A1603" s="4" t="inlineStr">
        <is>
          <t>5506 Kaserne-Sembach-Heuberg-Geb-210</t>
        </is>
      </c>
      <c r="B1603" s="4" t="inlineStr">
        <is>
          <t>● 6000-Vorbereiten der Vergabe</t>
        </is>
      </c>
      <c r="C1603" s="9" t="inlineStr">
        <is>
          <t>Unbekannt</t>
        </is>
      </c>
      <c r="D1603" s="10" t="inlineStr">
        <is>
          <t>⚠ Manual erforderlich</t>
        </is>
      </c>
      <c r="E1603" s="11" t="inlineStr"/>
      <c r="F1603" s="11" t="n">
        <v>0</v>
      </c>
      <c r="G1603" s="11">
        <f>E1603-F1603</f>
        <v/>
      </c>
      <c r="H1603" s="11" t="n">
        <v/>
      </c>
      <c r="I1603" s="11" t="n">
        <v/>
      </c>
      <c r="J1603" s="11" t="n">
        <v/>
      </c>
      <c r="K1603" s="4" t="inlineStr">
        <is>
          <t>Abrechnungsart wählen; Stundensätze eingeben</t>
        </is>
      </c>
    </row>
    <row r="1604">
      <c r="A1604" s="4" t="inlineStr">
        <is>
          <t>5506 Kaserne-Sembach-Heuberg-Geb-210</t>
        </is>
      </c>
      <c r="B1604" s="4" t="inlineStr">
        <is>
          <t>● 7000-Mitwirkung bei der Vergabe</t>
        </is>
      </c>
      <c r="C1604" s="9" t="inlineStr">
        <is>
          <t>Unbekannt</t>
        </is>
      </c>
      <c r="D1604" s="10" t="inlineStr">
        <is>
          <t>⚠ Manual erforderlich</t>
        </is>
      </c>
      <c r="E1604" s="11" t="inlineStr"/>
      <c r="F1604" s="11" t="n">
        <v>0</v>
      </c>
      <c r="G1604" s="11">
        <f>E1604-F1604</f>
        <v/>
      </c>
      <c r="H1604" s="11" t="n">
        <v/>
      </c>
      <c r="I1604" s="11" t="n">
        <v/>
      </c>
      <c r="J1604" s="11" t="n">
        <v/>
      </c>
      <c r="K1604" s="4" t="inlineStr">
        <is>
          <t>Abrechnungsart wählen; Stundensätze eingeben</t>
        </is>
      </c>
    </row>
    <row r="1605">
      <c r="A1605" s="4" t="inlineStr">
        <is>
          <t>5506 Kaserne-Sembach-Heuberg-Geb-210</t>
        </is>
      </c>
      <c r="B1605" s="4" t="inlineStr">
        <is>
          <t>● 8000-Objektüberwachung</t>
        </is>
      </c>
      <c r="C1605" s="9" t="inlineStr">
        <is>
          <t>Unbekannt</t>
        </is>
      </c>
      <c r="D1605" s="10" t="inlineStr">
        <is>
          <t>⚠ Manual erforderlich</t>
        </is>
      </c>
      <c r="E1605" s="11" t="inlineStr"/>
      <c r="F1605" s="11" t="n">
        <v>0</v>
      </c>
      <c r="G1605" s="11">
        <f>E1605-F1605</f>
        <v/>
      </c>
      <c r="H1605" s="11" t="n">
        <v/>
      </c>
      <c r="I1605" s="11" t="n">
        <v/>
      </c>
      <c r="J1605" s="11" t="n">
        <v/>
      </c>
      <c r="K1605" s="4" t="inlineStr">
        <is>
          <t>Abrechnungsart wählen; Stundensätze eingeben</t>
        </is>
      </c>
    </row>
    <row r="1606">
      <c r="A1606" s="4" t="inlineStr">
        <is>
          <t>5506 Kaserne-Sembach-Heuberg-Geb-210</t>
        </is>
      </c>
      <c r="B1606" s="4" t="inlineStr">
        <is>
          <t>● 9000-Objektbetreuung und Dokumentation</t>
        </is>
      </c>
      <c r="C1606" s="9" t="inlineStr">
        <is>
          <t>Unbekannt</t>
        </is>
      </c>
      <c r="D1606" s="10" t="inlineStr">
        <is>
          <t>⚠ Manual erforderlich</t>
        </is>
      </c>
      <c r="E1606" s="11" t="inlineStr"/>
      <c r="F1606" s="11" t="n">
        <v>0</v>
      </c>
      <c r="G1606" s="11">
        <f>E1606-F1606</f>
        <v/>
      </c>
      <c r="H1606" s="11" t="n">
        <v/>
      </c>
      <c r="I1606" s="11" t="n">
        <v/>
      </c>
      <c r="J1606" s="11" t="n">
        <v/>
      </c>
      <c r="K1606" s="4" t="inlineStr">
        <is>
          <t>Abrechnungsart wählen; Stundensätze eingeben</t>
        </is>
      </c>
    </row>
    <row r="1607">
      <c r="A1607" s="4" t="inlineStr">
        <is>
          <t>5506.02 US-Abgleich-Kaserne-Sembach-Heuberg-Geb-210</t>
        </is>
      </c>
      <c r="B1607" s="4" t="inlineStr">
        <is>
          <t>● 2000-Vorplanung (LP 1+2)</t>
        </is>
      </c>
      <c r="C1607" s="9" t="inlineStr">
        <is>
          <t>Unbekannt</t>
        </is>
      </c>
      <c r="D1607" s="10" t="inlineStr">
        <is>
          <t>⚠ Manual erforderlich</t>
        </is>
      </c>
      <c r="E1607" s="11" t="inlineStr"/>
      <c r="F1607" s="11" t="n">
        <v>0</v>
      </c>
      <c r="G1607" s="11">
        <f>E1607-F1607</f>
        <v/>
      </c>
      <c r="H1607" s="11" t="n">
        <v/>
      </c>
      <c r="I1607" s="11" t="n">
        <v/>
      </c>
      <c r="J1607" s="11" t="n">
        <v/>
      </c>
      <c r="K1607" s="4" t="inlineStr">
        <is>
          <t>Abrechnungsart wählen; Stundensätze eingeben</t>
        </is>
      </c>
    </row>
    <row r="1608">
      <c r="A1608" s="4" t="inlineStr">
        <is>
          <t>5506.02 US-Abgleich-Kaserne-Sembach-Heuberg-Geb-210</t>
        </is>
      </c>
      <c r="B1608" s="4" t="inlineStr">
        <is>
          <t>● 4000-Genehmigungsplanung (LP 3+4)</t>
        </is>
      </c>
      <c r="C1608" s="9" t="inlineStr">
        <is>
          <t>Unbekannt</t>
        </is>
      </c>
      <c r="D1608" s="10" t="inlineStr">
        <is>
          <t>⚠ Manual erforderlich</t>
        </is>
      </c>
      <c r="E1608" s="11" t="inlineStr"/>
      <c r="F1608" s="11" t="n">
        <v>0</v>
      </c>
      <c r="G1608" s="11">
        <f>E1608-F1608</f>
        <v/>
      </c>
      <c r="H1608" s="11" t="n">
        <v/>
      </c>
      <c r="I1608" s="11" t="n">
        <v/>
      </c>
      <c r="J1608" s="11" t="n">
        <v/>
      </c>
      <c r="K1608" s="4" t="inlineStr">
        <is>
          <t>Abrechnungsart wählen; Stundensätze eingeben</t>
        </is>
      </c>
    </row>
    <row r="1609">
      <c r="A1609" s="4" t="inlineStr">
        <is>
          <t>5506.02 US-Abgleich-Kaserne-Sembach-Heuberg-Geb-210</t>
        </is>
      </c>
      <c r="B1609" s="4" t="inlineStr">
        <is>
          <t>● 7000-Mitwirkung bei der Vergabe (LP 5-7)</t>
        </is>
      </c>
      <c r="C1609" s="9" t="inlineStr">
        <is>
          <t>Unbekannt</t>
        </is>
      </c>
      <c r="D1609" s="10" t="inlineStr">
        <is>
          <t>⚠ Manual erforderlich</t>
        </is>
      </c>
      <c r="E1609" s="11" t="inlineStr"/>
      <c r="F1609" s="11" t="n">
        <v>0</v>
      </c>
      <c r="G1609" s="11">
        <f>E1609-F1609</f>
        <v/>
      </c>
      <c r="H1609" s="11" t="n">
        <v/>
      </c>
      <c r="I1609" s="11" t="n">
        <v/>
      </c>
      <c r="J1609" s="11" t="n">
        <v/>
      </c>
      <c r="K1609" s="4" t="inlineStr">
        <is>
          <t>Abrechnungsart wählen; Stundensätze eingeben</t>
        </is>
      </c>
    </row>
    <row r="1610">
      <c r="A1610" s="4" t="inlineStr">
        <is>
          <t>5506.02 US-Abgleich-Kaserne-Sembach-Heuberg-Geb-210</t>
        </is>
      </c>
      <c r="B1610" s="4" t="inlineStr">
        <is>
          <t>● 9000-Objektbetreuung und Dokumentation (LP 8+9)</t>
        </is>
      </c>
      <c r="C1610" s="9" t="inlineStr">
        <is>
          <t>Unbekannt</t>
        </is>
      </c>
      <c r="D1610" s="10" t="inlineStr">
        <is>
          <t>⚠ Manual erforderlich</t>
        </is>
      </c>
      <c r="E1610" s="11" t="inlineStr"/>
      <c r="F1610" s="11" t="n">
        <v>0</v>
      </c>
      <c r="G1610" s="11">
        <f>E1610-F1610</f>
        <v/>
      </c>
      <c r="H1610" s="11" t="n">
        <v/>
      </c>
      <c r="I1610" s="11" t="n">
        <v/>
      </c>
      <c r="J1610" s="11" t="n">
        <v/>
      </c>
      <c r="K1610" s="4" t="inlineStr">
        <is>
          <t>Abrechnungsart wählen; Stundensätze eingeben</t>
        </is>
      </c>
    </row>
    <row r="1611">
      <c r="A1611" s="4" t="inlineStr">
        <is>
          <t>5506.03 BST-RepairNorthernWaterSystemII-Kaserne-Sembach-Heuberg</t>
        </is>
      </c>
      <c r="B1611" s="4" t="inlineStr">
        <is>
          <t>● (p) Ermittlung Grundlagen inkl. 1 Ortstermin</t>
        </is>
      </c>
      <c r="C1611" s="4" t="inlineStr">
        <is>
          <t>Pauschale</t>
        </is>
      </c>
      <c r="D1611" s="10" t="inlineStr">
        <is>
          <t>⚠ Manual erforderlich</t>
        </is>
      </c>
      <c r="E1611" s="11" t="inlineStr"/>
      <c r="F1611" s="11" t="n">
        <v>0</v>
      </c>
      <c r="G1611" s="11">
        <f>E1611-F1611</f>
        <v/>
      </c>
      <c r="H1611" s="11" t="n">
        <v>0</v>
      </c>
      <c r="I1611" s="11" t="n">
        <v>0</v>
      </c>
      <c r="J1611" s="11" t="n">
        <v>0</v>
      </c>
      <c r="K1611" s="4" t="inlineStr">
        <is>
          <t>Stundensätze eingeben</t>
        </is>
      </c>
    </row>
    <row r="1612">
      <c r="A1612" s="4" t="inlineStr">
        <is>
          <t>5506.03 BST-RepairNorthernWaterSystemII-Kaserne-Sembach-Heuberg</t>
        </is>
      </c>
      <c r="B1612" s="4" t="inlineStr">
        <is>
          <t>● (p) BST inkl. Erm. Löschwasserbedarf</t>
        </is>
      </c>
      <c r="C1612" s="4" t="inlineStr">
        <is>
          <t>Pauschale</t>
        </is>
      </c>
      <c r="D1612" s="10" t="inlineStr">
        <is>
          <t>⚠ Manual erforderlich</t>
        </is>
      </c>
      <c r="E1612" s="11" t="inlineStr"/>
      <c r="F1612" s="11" t="n">
        <v>0</v>
      </c>
      <c r="G1612" s="11">
        <f>E1612-F1612</f>
        <v/>
      </c>
      <c r="H1612" s="11" t="n">
        <v>0</v>
      </c>
      <c r="I1612" s="11" t="n">
        <v>0</v>
      </c>
      <c r="J1612" s="11" t="n">
        <v>0</v>
      </c>
      <c r="K1612" s="4" t="inlineStr">
        <is>
          <t>Stundensätze eingeben</t>
        </is>
      </c>
    </row>
    <row r="1613">
      <c r="A1613" s="4" t="inlineStr">
        <is>
          <t>5506.03 BST-RepairNorthernWaterSystemII-Kaserne-Sembach-Heuberg</t>
        </is>
      </c>
      <c r="B1613" s="4" t="inlineStr">
        <is>
          <t>● (p) Ortstermine</t>
        </is>
      </c>
      <c r="C1613" s="4" t="inlineStr">
        <is>
          <t>Pauschale</t>
        </is>
      </c>
      <c r="D1613" s="10" t="inlineStr">
        <is>
          <t>⚠ Manual erforderlich</t>
        </is>
      </c>
      <c r="E1613" s="11" t="inlineStr"/>
      <c r="F1613" s="11" t="n">
        <v>0</v>
      </c>
      <c r="G1613" s="11">
        <f>E1613-F1613</f>
        <v/>
      </c>
      <c r="H1613" s="11" t="n">
        <v>0</v>
      </c>
      <c r="I1613" s="11" t="n">
        <v>0</v>
      </c>
      <c r="J1613" s="11" t="n">
        <v>0</v>
      </c>
      <c r="K1613" s="4" t="inlineStr">
        <is>
          <t>Stundensätze eingeben</t>
        </is>
      </c>
    </row>
    <row r="1614">
      <c r="A1614" s="4" t="inlineStr">
        <is>
          <t>5506.04 LBB-AHO-RepairNorthernWaterSystemII-Kaserne-Sembach-Heuberg</t>
        </is>
      </c>
      <c r="B1614" s="4" t="inlineStr">
        <is>
          <t>● TEIL 1 dt. Vorschriften</t>
        </is>
      </c>
      <c r="C1614" s="9" t="inlineStr">
        <is>
          <t>Unbekannt</t>
        </is>
      </c>
      <c r="D1614" s="10" t="inlineStr">
        <is>
          <t>⚠ Manual erforderlich</t>
        </is>
      </c>
      <c r="E1614" s="11" t="inlineStr"/>
      <c r="F1614" s="11" t="n">
        <v>0</v>
      </c>
      <c r="G1614" s="11">
        <f>E1614-F1614</f>
        <v/>
      </c>
      <c r="H1614" s="11" t="n">
        <v/>
      </c>
      <c r="I1614" s="11" t="n">
        <v/>
      </c>
      <c r="J1614" s="11" t="n">
        <v/>
      </c>
      <c r="K1614" s="4" t="inlineStr">
        <is>
          <t>Abrechnungsart wählen; Stundensätze eingeben</t>
        </is>
      </c>
    </row>
    <row r="1615">
      <c r="A1615" s="4" t="inlineStr">
        <is>
          <t>5506.04 LBB-AHO-RepairNorthernWaterSystemII-Kaserne-Sembach-Heuberg</t>
        </is>
      </c>
      <c r="B1615" s="4" t="inlineStr">
        <is>
          <t>● TEIL 2 US-Vorschriften</t>
        </is>
      </c>
      <c r="C1615" s="9" t="inlineStr">
        <is>
          <t>Unbekannt</t>
        </is>
      </c>
      <c r="D1615" s="10" t="inlineStr">
        <is>
          <t>⚠ Manual erforderlich</t>
        </is>
      </c>
      <c r="E1615" s="11" t="inlineStr"/>
      <c r="F1615" s="11" t="n">
        <v>0</v>
      </c>
      <c r="G1615" s="11">
        <f>E1615-F1615</f>
        <v/>
      </c>
      <c r="H1615" s="11" t="n">
        <v/>
      </c>
      <c r="I1615" s="11" t="n">
        <v/>
      </c>
      <c r="J1615" s="11" t="n">
        <v/>
      </c>
      <c r="K1615" s="4" t="inlineStr">
        <is>
          <t>Abrechnungsart wählen; Stundensätze eingeben</t>
        </is>
      </c>
    </row>
    <row r="1616">
      <c r="A1616" s="4" t="inlineStr">
        <is>
          <t>5510.04 FRP-Kirchgasse-20-Luisenstr43-'Wiesbaden-JD Sports</t>
        </is>
      </c>
      <c r="B1616" s="4" t="inlineStr">
        <is>
          <t>● (p) Pos.1 Erstellung Flucht- und Rettungspläne</t>
        </is>
      </c>
      <c r="C1616" s="4" t="inlineStr">
        <is>
          <t>Pauschale</t>
        </is>
      </c>
      <c r="D1616" s="10" t="inlineStr">
        <is>
          <t>⚠ Manual erforderlich</t>
        </is>
      </c>
      <c r="E1616" s="11" t="inlineStr"/>
      <c r="F1616" s="11" t="n">
        <v>0</v>
      </c>
      <c r="G1616" s="11">
        <f>E1616-F1616</f>
        <v/>
      </c>
      <c r="H1616" s="11" t="n">
        <v>0</v>
      </c>
      <c r="I1616" s="11" t="n">
        <v>0</v>
      </c>
      <c r="J1616" s="11" t="n">
        <v>0</v>
      </c>
      <c r="K1616" s="4" t="inlineStr">
        <is>
          <t>Stundensätze eingeben</t>
        </is>
      </c>
    </row>
    <row r="1617">
      <c r="A1617" s="4" t="inlineStr">
        <is>
          <t>5512.03 BAB-Pellet-Silo-Schafheckstraße-10-Frankfurt</t>
        </is>
      </c>
      <c r="B1617" s="4" t="inlineStr">
        <is>
          <t>● (a.N.) BAB</t>
        </is>
      </c>
      <c r="C1617" s="4" t="inlineStr">
        <is>
          <t>Nachweis</t>
        </is>
      </c>
      <c r="D1617" s="10" t="inlineStr">
        <is>
          <t>⚠ Manual erforderlich</t>
        </is>
      </c>
      <c r="E1617" s="11" t="inlineStr"/>
      <c r="F1617" s="11" t="n">
        <v>0</v>
      </c>
      <c r="G1617" s="11">
        <f>E1617-F1617</f>
        <v/>
      </c>
      <c r="H1617" s="11" t="n">
        <v/>
      </c>
      <c r="I1617" s="11" t="n">
        <v/>
      </c>
      <c r="J1617" s="11" t="n">
        <v/>
      </c>
      <c r="K1617" s="4" t="inlineStr">
        <is>
          <t>Stundensätze eingeben</t>
        </is>
      </c>
    </row>
    <row r="1618">
      <c r="A1618" s="4" t="inlineStr">
        <is>
          <t>5514 Schulzentrum-Rottweiler-Straße-Deißlingen</t>
        </is>
      </c>
      <c r="B1618" s="4" t="inlineStr">
        <is>
          <t>● 1000-Grundlagenermittlung</t>
        </is>
      </c>
      <c r="C1618" s="9" t="inlineStr">
        <is>
          <t>Unbekannt</t>
        </is>
      </c>
      <c r="D1618" s="10" t="inlineStr">
        <is>
          <t>⚠ Manual erforderlich</t>
        </is>
      </c>
      <c r="E1618" s="11" t="inlineStr"/>
      <c r="F1618" s="11" t="n">
        <v>0</v>
      </c>
      <c r="G1618" s="11">
        <f>E1618-F1618</f>
        <v/>
      </c>
      <c r="H1618" s="11" t="n">
        <v/>
      </c>
      <c r="I1618" s="11" t="n">
        <v/>
      </c>
      <c r="J1618" s="11" t="n">
        <v/>
      </c>
      <c r="K1618" s="4" t="inlineStr">
        <is>
          <t>Abrechnungsart wählen; Stundensätze eingeben</t>
        </is>
      </c>
    </row>
    <row r="1619">
      <c r="A1619" s="4" t="inlineStr">
        <is>
          <t>5514 Schulzentrum-Rottweiler-Straße-Deißlingen</t>
        </is>
      </c>
      <c r="B1619" s="4" t="inlineStr">
        <is>
          <t>● 2000-Vorplanung</t>
        </is>
      </c>
      <c r="C1619" s="9" t="inlineStr">
        <is>
          <t>Unbekannt</t>
        </is>
      </c>
      <c r="D1619" s="10" t="inlineStr">
        <is>
          <t>⚠ Manual erforderlich</t>
        </is>
      </c>
      <c r="E1619" s="11" t="inlineStr"/>
      <c r="F1619" s="11" t="n">
        <v>0</v>
      </c>
      <c r="G1619" s="11">
        <f>E1619-F1619</f>
        <v/>
      </c>
      <c r="H1619" s="11" t="n">
        <v/>
      </c>
      <c r="I1619" s="11" t="n">
        <v/>
      </c>
      <c r="J1619" s="11" t="n">
        <v/>
      </c>
      <c r="K1619" s="4" t="inlineStr">
        <is>
          <t>Abrechnungsart wählen; Stundensätze eingeben</t>
        </is>
      </c>
    </row>
    <row r="1620">
      <c r="A1620" s="4" t="inlineStr">
        <is>
          <t>5514 Schulzentrum-Rottweiler-Straße-Deißlingen</t>
        </is>
      </c>
      <c r="B1620" s="4" t="inlineStr">
        <is>
          <t>● 3000-Entwurfsplanung</t>
        </is>
      </c>
      <c r="C1620" s="9" t="inlineStr">
        <is>
          <t>Unbekannt</t>
        </is>
      </c>
      <c r="D1620" s="10" t="inlineStr">
        <is>
          <t>⚠ Manual erforderlich</t>
        </is>
      </c>
      <c r="E1620" s="11" t="inlineStr"/>
      <c r="F1620" s="11" t="n">
        <v>0</v>
      </c>
      <c r="G1620" s="11">
        <f>E1620-F1620</f>
        <v/>
      </c>
      <c r="H1620" s="11" t="n">
        <v/>
      </c>
      <c r="I1620" s="11" t="n">
        <v/>
      </c>
      <c r="J1620" s="11" t="n">
        <v/>
      </c>
      <c r="K1620" s="4" t="inlineStr">
        <is>
          <t>Abrechnungsart wählen; Stundensätze eingeben</t>
        </is>
      </c>
    </row>
    <row r="1621">
      <c r="A1621" s="4" t="inlineStr">
        <is>
          <t>5514 Schulzentrum-Rottweiler-Straße-Deißlingen</t>
        </is>
      </c>
      <c r="B1621" s="4" t="inlineStr">
        <is>
          <t>● 4000-Genehmigungsplanung</t>
        </is>
      </c>
      <c r="C1621" s="9" t="inlineStr">
        <is>
          <t>Unbekannt</t>
        </is>
      </c>
      <c r="D1621" s="10" t="inlineStr">
        <is>
          <t>⚠ Manual erforderlich</t>
        </is>
      </c>
      <c r="E1621" s="11" t="inlineStr"/>
      <c r="F1621" s="11" t="n">
        <v>0</v>
      </c>
      <c r="G1621" s="11">
        <f>E1621-F1621</f>
        <v/>
      </c>
      <c r="H1621" s="11" t="n">
        <v/>
      </c>
      <c r="I1621" s="11" t="n">
        <v/>
      </c>
      <c r="J1621" s="11" t="n">
        <v/>
      </c>
      <c r="K1621" s="4" t="inlineStr">
        <is>
          <t>Abrechnungsart wählen; Stundensätze eingeben</t>
        </is>
      </c>
    </row>
    <row r="1622">
      <c r="A1622" s="4" t="inlineStr">
        <is>
          <t>5514 Schulzentrum-Rottweiler-Straße-Deißlingen</t>
        </is>
      </c>
      <c r="B1622" s="4" t="inlineStr">
        <is>
          <t>● 5000-Ausführungsplanung</t>
        </is>
      </c>
      <c r="C1622" s="9" t="inlineStr">
        <is>
          <t>Unbekannt</t>
        </is>
      </c>
      <c r="D1622" s="10" t="inlineStr">
        <is>
          <t>⚠ Manual erforderlich</t>
        </is>
      </c>
      <c r="E1622" s="11" t="inlineStr"/>
      <c r="F1622" s="11" t="n">
        <v>0</v>
      </c>
      <c r="G1622" s="11">
        <f>E1622-F1622</f>
        <v/>
      </c>
      <c r="H1622" s="11" t="n">
        <v/>
      </c>
      <c r="I1622" s="11" t="n">
        <v/>
      </c>
      <c r="J1622" s="11" t="n">
        <v/>
      </c>
      <c r="K1622" s="4" t="inlineStr">
        <is>
          <t>Abrechnungsart wählen; Stundensätze eingeben</t>
        </is>
      </c>
    </row>
    <row r="1623">
      <c r="A1623" s="4" t="inlineStr">
        <is>
          <t>5514 Schulzentrum-Rottweiler-Straße-Deißlingen</t>
        </is>
      </c>
      <c r="B1623" s="4" t="inlineStr">
        <is>
          <t>● 8000-Objektüberwachung</t>
        </is>
      </c>
      <c r="C1623" s="9" t="inlineStr">
        <is>
          <t>Unbekannt</t>
        </is>
      </c>
      <c r="D1623" s="10" t="inlineStr">
        <is>
          <t>⚠ Manual erforderlich</t>
        </is>
      </c>
      <c r="E1623" s="11" t="inlineStr"/>
      <c r="F1623" s="11" t="n">
        <v>0</v>
      </c>
      <c r="G1623" s="11">
        <f>E1623-F1623</f>
        <v/>
      </c>
      <c r="H1623" s="11" t="n">
        <v/>
      </c>
      <c r="I1623" s="11" t="n">
        <v/>
      </c>
      <c r="J1623" s="11" t="n">
        <v/>
      </c>
      <c r="K1623" s="4" t="inlineStr">
        <is>
          <t>Abrechnungsart wählen; Stundensätze eingeben</t>
        </is>
      </c>
    </row>
    <row r="1624">
      <c r="A1624" s="4" t="inlineStr">
        <is>
          <t>5515.01 LP5+8-Lofthaus-Molenpark-Offenbach</t>
        </is>
      </c>
      <c r="B1624" s="4" t="inlineStr">
        <is>
          <t>● 5000-Ausführungsplanung</t>
        </is>
      </c>
      <c r="C1624" s="9" t="inlineStr">
        <is>
          <t>Unbekannt</t>
        </is>
      </c>
      <c r="D1624" s="10" t="inlineStr">
        <is>
          <t>⚠ Manual erforderlich</t>
        </is>
      </c>
      <c r="E1624" s="11" t="inlineStr"/>
      <c r="F1624" s="11" t="n">
        <v>0</v>
      </c>
      <c r="G1624" s="11">
        <f>E1624-F1624</f>
        <v/>
      </c>
      <c r="H1624" s="11" t="n">
        <v/>
      </c>
      <c r="I1624" s="11" t="n">
        <v/>
      </c>
      <c r="J1624" s="11" t="n">
        <v/>
      </c>
      <c r="K1624" s="4" t="inlineStr">
        <is>
          <t>Abrechnungsart wählen; Stundensätze eingeben</t>
        </is>
      </c>
    </row>
    <row r="1625">
      <c r="A1625" s="4" t="inlineStr">
        <is>
          <t>5515.01 LP5+8-Lofthaus-Molenpark-Offenbach</t>
        </is>
      </c>
      <c r="B1625" s="4" t="inlineStr">
        <is>
          <t>● 8000-Objektüberwachung</t>
        </is>
      </c>
      <c r="C1625" s="9" t="inlineStr">
        <is>
          <t>Unbekannt</t>
        </is>
      </c>
      <c r="D1625" s="10" t="inlineStr">
        <is>
          <t>⚠ Manual erforderlich</t>
        </is>
      </c>
      <c r="E1625" s="11" t="inlineStr"/>
      <c r="F1625" s="11" t="n">
        <v>0</v>
      </c>
      <c r="G1625" s="11">
        <f>E1625-F1625</f>
        <v/>
      </c>
      <c r="H1625" s="11" t="n">
        <v/>
      </c>
      <c r="I1625" s="11" t="n">
        <v/>
      </c>
      <c r="J1625" s="11" t="n">
        <v/>
      </c>
      <c r="K1625" s="4" t="inlineStr">
        <is>
          <t>Abrechnungsart wählen; Stundensätze eingeben</t>
        </is>
      </c>
    </row>
    <row r="1626">
      <c r="A1626" s="4" t="inlineStr">
        <is>
          <t>5516.01 Regelkonzept-Funkturm-Masterdokument</t>
        </is>
      </c>
      <c r="B1626" s="4" t="inlineStr">
        <is>
          <t>● Akt. Regelgutachten Gebäudetypen übergreifend (auf Nachweis)</t>
        </is>
      </c>
      <c r="C1626" s="9" t="inlineStr">
        <is>
          <t>Unbekannt</t>
        </is>
      </c>
      <c r="D1626" s="10" t="inlineStr">
        <is>
          <t>⚠ Manual erforderlich</t>
        </is>
      </c>
      <c r="E1626" s="11" t="inlineStr"/>
      <c r="F1626" s="11" t="n">
        <v>0</v>
      </c>
      <c r="G1626" s="11">
        <f>E1626-F1626</f>
        <v/>
      </c>
      <c r="H1626" s="11" t="n">
        <v/>
      </c>
      <c r="I1626" s="11" t="n">
        <v/>
      </c>
      <c r="J1626" s="11" t="n">
        <v/>
      </c>
      <c r="K1626" s="4" t="inlineStr">
        <is>
          <t>Abrechnungsart wählen; Stundensätze eingeben</t>
        </is>
      </c>
    </row>
    <row r="1627">
      <c r="A1627" s="4" t="inlineStr">
        <is>
          <t>5517 Stuhlbruderhofstraße-12-Mutterstadt-IGS</t>
        </is>
      </c>
      <c r="B1627" s="4" t="inlineStr">
        <is>
          <t>● 1000-Grundlagenermittlung</t>
        </is>
      </c>
      <c r="C1627" s="9" t="inlineStr">
        <is>
          <t>Unbekannt</t>
        </is>
      </c>
      <c r="D1627" s="10" t="inlineStr">
        <is>
          <t>⚠ Manual erforderlich</t>
        </is>
      </c>
      <c r="E1627" s="11" t="inlineStr"/>
      <c r="F1627" s="11" t="n">
        <v>0</v>
      </c>
      <c r="G1627" s="11">
        <f>E1627-F1627</f>
        <v/>
      </c>
      <c r="H1627" s="11" t="n">
        <v/>
      </c>
      <c r="I1627" s="11" t="n">
        <v/>
      </c>
      <c r="J1627" s="11" t="n">
        <v/>
      </c>
      <c r="K1627" s="4" t="inlineStr">
        <is>
          <t>Abrechnungsart wählen; Stundensätze eingeben</t>
        </is>
      </c>
    </row>
    <row r="1628">
      <c r="A1628" s="4" t="inlineStr">
        <is>
          <t>5517 Stuhlbruderhofstraße-12-Mutterstadt-IGS</t>
        </is>
      </c>
      <c r="B1628" s="4" t="inlineStr">
        <is>
          <t>● 2000-Vorplanung</t>
        </is>
      </c>
      <c r="C1628" s="9" t="inlineStr">
        <is>
          <t>Unbekannt</t>
        </is>
      </c>
      <c r="D1628" s="10" t="inlineStr">
        <is>
          <t>⚠ Manual erforderlich</t>
        </is>
      </c>
      <c r="E1628" s="11" t="inlineStr"/>
      <c r="F1628" s="11" t="n">
        <v>0</v>
      </c>
      <c r="G1628" s="11">
        <f>E1628-F1628</f>
        <v/>
      </c>
      <c r="H1628" s="11" t="n">
        <v/>
      </c>
      <c r="I1628" s="11" t="n">
        <v/>
      </c>
      <c r="J1628" s="11" t="n">
        <v/>
      </c>
      <c r="K1628" s="4" t="inlineStr">
        <is>
          <t>Abrechnungsart wählen; Stundensätze eingeben</t>
        </is>
      </c>
    </row>
    <row r="1629">
      <c r="A1629" s="4" t="inlineStr">
        <is>
          <t>5517 Stuhlbruderhofstraße-12-Mutterstadt-IGS</t>
        </is>
      </c>
      <c r="B1629" s="4" t="inlineStr">
        <is>
          <t>● 3000-Entwurfsplanung</t>
        </is>
      </c>
      <c r="C1629" s="9" t="inlineStr">
        <is>
          <t>Unbekannt</t>
        </is>
      </c>
      <c r="D1629" s="10" t="inlineStr">
        <is>
          <t>⚠ Manual erforderlich</t>
        </is>
      </c>
      <c r="E1629" s="11" t="inlineStr"/>
      <c r="F1629" s="11" t="n">
        <v>0</v>
      </c>
      <c r="G1629" s="11">
        <f>E1629-F1629</f>
        <v/>
      </c>
      <c r="H1629" s="11" t="n">
        <v/>
      </c>
      <c r="I1629" s="11" t="n">
        <v/>
      </c>
      <c r="J1629" s="11" t="n">
        <v/>
      </c>
      <c r="K1629" s="4" t="inlineStr">
        <is>
          <t>Abrechnungsart wählen; Stundensätze eingeben</t>
        </is>
      </c>
    </row>
    <row r="1630">
      <c r="A1630" s="4" t="inlineStr">
        <is>
          <t>5517 Stuhlbruderhofstraße-12-Mutterstadt-IGS</t>
        </is>
      </c>
      <c r="B1630" s="4" t="inlineStr">
        <is>
          <t>● 4000-Genehmigungsplanung</t>
        </is>
      </c>
      <c r="C1630" s="9" t="inlineStr">
        <is>
          <t>Unbekannt</t>
        </is>
      </c>
      <c r="D1630" s="10" t="inlineStr">
        <is>
          <t>⚠ Manual erforderlich</t>
        </is>
      </c>
      <c r="E1630" s="11" t="inlineStr"/>
      <c r="F1630" s="11" t="n">
        <v>0</v>
      </c>
      <c r="G1630" s="11">
        <f>E1630-F1630</f>
        <v/>
      </c>
      <c r="H1630" s="11" t="n">
        <v/>
      </c>
      <c r="I1630" s="11" t="n">
        <v/>
      </c>
      <c r="J1630" s="11" t="n">
        <v/>
      </c>
      <c r="K1630" s="4" t="inlineStr">
        <is>
          <t>Abrechnungsart wählen; Stundensätze eingeben</t>
        </is>
      </c>
    </row>
    <row r="1631">
      <c r="A1631" s="4" t="inlineStr">
        <is>
          <t>5532 Bahnhofstraße-1-Höchst-i.O.</t>
        </is>
      </c>
      <c r="B1631" s="4" t="inlineStr">
        <is>
          <t>● 0001-Sonstiges</t>
        </is>
      </c>
      <c r="C1631" s="9" t="inlineStr">
        <is>
          <t>Unbekannt</t>
        </is>
      </c>
      <c r="D1631" s="10" t="inlineStr">
        <is>
          <t>⚠ Manual erforderlich</t>
        </is>
      </c>
      <c r="E1631" s="11" t="inlineStr"/>
      <c r="F1631" s="11" t="n">
        <v>0</v>
      </c>
      <c r="G1631" s="11">
        <f>E1631-F1631</f>
        <v/>
      </c>
      <c r="H1631" s="11" t="n">
        <v/>
      </c>
      <c r="I1631" s="11" t="n">
        <v/>
      </c>
      <c r="J1631" s="11" t="n">
        <v/>
      </c>
      <c r="K1631" s="4" t="inlineStr">
        <is>
          <t>Abrechnungsart wählen; Stundensätze eingeben</t>
        </is>
      </c>
    </row>
    <row r="1632">
      <c r="A1632" s="4" t="inlineStr">
        <is>
          <t>5532 Bahnhofstraße-1-Höchst-i.O.</t>
        </is>
      </c>
      <c r="B1632" s="4" t="inlineStr">
        <is>
          <t>● 3000-Entwurfsplanung</t>
        </is>
      </c>
      <c r="C1632" s="9" t="inlineStr">
        <is>
          <t>Unbekannt</t>
        </is>
      </c>
      <c r="D1632" s="10" t="inlineStr">
        <is>
          <t>⚠ Manual erforderlich</t>
        </is>
      </c>
      <c r="E1632" s="11" t="inlineStr"/>
      <c r="F1632" s="11" t="n">
        <v>0</v>
      </c>
      <c r="G1632" s="11">
        <f>E1632-F1632</f>
        <v/>
      </c>
      <c r="H1632" s="11" t="n">
        <v/>
      </c>
      <c r="I1632" s="11" t="n">
        <v/>
      </c>
      <c r="J1632" s="11" t="n">
        <v/>
      </c>
      <c r="K1632" s="4" t="inlineStr">
        <is>
          <t>Abrechnungsart wählen; Stundensätze eingeben</t>
        </is>
      </c>
    </row>
    <row r="1633">
      <c r="A1633" s="4" t="inlineStr">
        <is>
          <t>5532 Bahnhofstraße-1-Höchst-i.O.</t>
        </is>
      </c>
      <c r="B1633" s="4" t="inlineStr">
        <is>
          <t>● 8000-Objektüberwachung</t>
        </is>
      </c>
      <c r="C1633" s="9" t="inlineStr">
        <is>
          <t>Unbekannt</t>
        </is>
      </c>
      <c r="D1633" s="10" t="inlineStr">
        <is>
          <t>⚠ Manual erforderlich</t>
        </is>
      </c>
      <c r="E1633" s="11" t="inlineStr"/>
      <c r="F1633" s="11" t="n">
        <v>0</v>
      </c>
      <c r="G1633" s="11">
        <f>E1633-F1633</f>
        <v/>
      </c>
      <c r="H1633" s="11" t="n">
        <v/>
      </c>
      <c r="I1633" s="11" t="n">
        <v/>
      </c>
      <c r="J1633" s="11" t="n">
        <v/>
      </c>
      <c r="K1633" s="4" t="inlineStr">
        <is>
          <t>Abrechnungsart wählen; Stundensätze eingeben</t>
        </is>
      </c>
    </row>
    <row r="1634">
      <c r="A1634" s="4" t="inlineStr">
        <is>
          <t>5542 myStorage-Trift-2-Karlsruhe</t>
        </is>
      </c>
      <c r="B1634" s="4" t="inlineStr">
        <is>
          <t>● 1000-Grundlagenermittlung</t>
        </is>
      </c>
      <c r="C1634" s="9" t="inlineStr">
        <is>
          <t>Unbekannt</t>
        </is>
      </c>
      <c r="D1634" s="10" t="inlineStr">
        <is>
          <t>⚠ Manual erforderlich</t>
        </is>
      </c>
      <c r="E1634" s="11" t="inlineStr"/>
      <c r="F1634" s="11" t="n">
        <v>0</v>
      </c>
      <c r="G1634" s="11">
        <f>E1634-F1634</f>
        <v/>
      </c>
      <c r="H1634" s="11" t="n">
        <v/>
      </c>
      <c r="I1634" s="11" t="n">
        <v/>
      </c>
      <c r="J1634" s="11" t="n">
        <v/>
      </c>
      <c r="K1634" s="4" t="inlineStr">
        <is>
          <t>Abrechnungsart wählen; Stundensätze eingeben</t>
        </is>
      </c>
    </row>
    <row r="1635">
      <c r="A1635" s="4" t="inlineStr">
        <is>
          <t>5542 myStorage-Trift-2-Karlsruhe</t>
        </is>
      </c>
      <c r="B1635" s="4" t="inlineStr">
        <is>
          <t>● 2000-Vorplanung</t>
        </is>
      </c>
      <c r="C1635" s="9" t="inlineStr">
        <is>
          <t>Unbekannt</t>
        </is>
      </c>
      <c r="D1635" s="10" t="inlineStr">
        <is>
          <t>⚠ Manual erforderlich</t>
        </is>
      </c>
      <c r="E1635" s="11" t="inlineStr"/>
      <c r="F1635" s="11" t="n">
        <v>0</v>
      </c>
      <c r="G1635" s="11">
        <f>E1635-F1635</f>
        <v/>
      </c>
      <c r="H1635" s="11" t="n">
        <v/>
      </c>
      <c r="I1635" s="11" t="n">
        <v/>
      </c>
      <c r="J1635" s="11" t="n">
        <v/>
      </c>
      <c r="K1635" s="4" t="inlineStr">
        <is>
          <t>Abrechnungsart wählen; Stundensätze eingeben</t>
        </is>
      </c>
    </row>
    <row r="1636">
      <c r="A1636" s="4" t="inlineStr">
        <is>
          <t>5542 myStorage-Trift-2-Karlsruhe</t>
        </is>
      </c>
      <c r="B1636" s="4" t="inlineStr">
        <is>
          <t>● 3000-Entwurfsplanung</t>
        </is>
      </c>
      <c r="C1636" s="9" t="inlineStr">
        <is>
          <t>Unbekannt</t>
        </is>
      </c>
      <c r="D1636" s="10" t="inlineStr">
        <is>
          <t>⚠ Manual erforderlich</t>
        </is>
      </c>
      <c r="E1636" s="11" t="inlineStr"/>
      <c r="F1636" s="11" t="n">
        <v>0</v>
      </c>
      <c r="G1636" s="11">
        <f>E1636-F1636</f>
        <v/>
      </c>
      <c r="H1636" s="11" t="n">
        <v/>
      </c>
      <c r="I1636" s="11" t="n">
        <v/>
      </c>
      <c r="J1636" s="11" t="n">
        <v/>
      </c>
      <c r="K1636" s="4" t="inlineStr">
        <is>
          <t>Abrechnungsart wählen; Stundensätze eingeben</t>
        </is>
      </c>
    </row>
    <row r="1637">
      <c r="A1637" s="4" t="inlineStr">
        <is>
          <t>5542 myStorage-Trift-2-Karlsruhe</t>
        </is>
      </c>
      <c r="B1637" s="4" t="inlineStr">
        <is>
          <t>● 4000-Genehmigungsplanung</t>
        </is>
      </c>
      <c r="C1637" s="9" t="inlineStr">
        <is>
          <t>Unbekannt</t>
        </is>
      </c>
      <c r="D1637" s="10" t="inlineStr">
        <is>
          <t>⚠ Manual erforderlich</t>
        </is>
      </c>
      <c r="E1637" s="11" t="inlineStr"/>
      <c r="F1637" s="11" t="n">
        <v>0</v>
      </c>
      <c r="G1637" s="11">
        <f>E1637-F1637</f>
        <v/>
      </c>
      <c r="H1637" s="11" t="n">
        <v/>
      </c>
      <c r="I1637" s="11" t="n">
        <v/>
      </c>
      <c r="J1637" s="11" t="n">
        <v/>
      </c>
      <c r="K1637" s="4" t="inlineStr">
        <is>
          <t>Abrechnungsart wählen; Stundensätze eingeben</t>
        </is>
      </c>
    </row>
    <row r="1638">
      <c r="A1638" s="4" t="inlineStr">
        <is>
          <t>5569.03 BTB-HBF-Berlin-Archiv</t>
        </is>
      </c>
      <c r="B1638" s="4" t="inlineStr">
        <is>
          <t>● a.N. - BTB mit Schlussbescheinigung</t>
        </is>
      </c>
      <c r="C1638" s="9" t="inlineStr">
        <is>
          <t>Unbekannt</t>
        </is>
      </c>
      <c r="D1638" s="10" t="inlineStr">
        <is>
          <t>⚠ Manual erforderlich</t>
        </is>
      </c>
      <c r="E1638" s="11" t="inlineStr"/>
      <c r="F1638" s="11" t="n">
        <v>0</v>
      </c>
      <c r="G1638" s="11">
        <f>E1638-F1638</f>
        <v/>
      </c>
      <c r="H1638" s="11" t="n">
        <v/>
      </c>
      <c r="I1638" s="11" t="n">
        <v/>
      </c>
      <c r="J1638" s="11" t="n">
        <v/>
      </c>
      <c r="K1638" s="4" t="inlineStr">
        <is>
          <t>Abrechnungsart wählen; Stundensätze eingeben</t>
        </is>
      </c>
    </row>
    <row r="1639">
      <c r="A1639" s="4" t="inlineStr">
        <is>
          <t>5572 Windpark-Friesenhagen</t>
        </is>
      </c>
      <c r="B1639" s="4" t="inlineStr">
        <is>
          <t>● 1000-Grundlagenermittlung</t>
        </is>
      </c>
      <c r="C1639" s="9" t="inlineStr">
        <is>
          <t>Unbekannt</t>
        </is>
      </c>
      <c r="D1639" s="10" t="inlineStr">
        <is>
          <t>⚠ Manual erforderlich</t>
        </is>
      </c>
      <c r="E1639" s="11" t="inlineStr"/>
      <c r="F1639" s="11" t="n">
        <v>0</v>
      </c>
      <c r="G1639" s="11">
        <f>E1639-F1639</f>
        <v/>
      </c>
      <c r="H1639" s="11" t="n">
        <v/>
      </c>
      <c r="I1639" s="11" t="n">
        <v/>
      </c>
      <c r="J1639" s="11" t="n">
        <v/>
      </c>
      <c r="K1639" s="4" t="inlineStr">
        <is>
          <t>Abrechnungsart wählen; Stundensätze eingeben</t>
        </is>
      </c>
    </row>
    <row r="1640">
      <c r="A1640" s="4" t="inlineStr">
        <is>
          <t>5572 Windpark-Friesenhagen</t>
        </is>
      </c>
      <c r="B1640" s="4" t="inlineStr">
        <is>
          <t>● 2000-Vorplanung</t>
        </is>
      </c>
      <c r="C1640" s="9" t="inlineStr">
        <is>
          <t>Unbekannt</t>
        </is>
      </c>
      <c r="D1640" s="10" t="inlineStr">
        <is>
          <t>⚠ Manual erforderlich</t>
        </is>
      </c>
      <c r="E1640" s="11" t="inlineStr"/>
      <c r="F1640" s="11" t="n">
        <v>0</v>
      </c>
      <c r="G1640" s="11">
        <f>E1640-F1640</f>
        <v/>
      </c>
      <c r="H1640" s="11" t="n">
        <v/>
      </c>
      <c r="I1640" s="11" t="n">
        <v/>
      </c>
      <c r="J1640" s="11" t="n">
        <v/>
      </c>
      <c r="K1640" s="4" t="inlineStr">
        <is>
          <t>Abrechnungsart wählen; Stundensätze eingeben</t>
        </is>
      </c>
    </row>
    <row r="1641">
      <c r="A1641" s="4" t="inlineStr">
        <is>
          <t>5572 Windpark-Friesenhagen</t>
        </is>
      </c>
      <c r="B1641" s="4" t="inlineStr">
        <is>
          <t>● 3000-Entwurfsplanung</t>
        </is>
      </c>
      <c r="C1641" s="9" t="inlineStr">
        <is>
          <t>Unbekannt</t>
        </is>
      </c>
      <c r="D1641" s="10" t="inlineStr">
        <is>
          <t>⚠ Manual erforderlich</t>
        </is>
      </c>
      <c r="E1641" s="11" t="inlineStr"/>
      <c r="F1641" s="11" t="n">
        <v>0</v>
      </c>
      <c r="G1641" s="11">
        <f>E1641-F1641</f>
        <v/>
      </c>
      <c r="H1641" s="11" t="n">
        <v/>
      </c>
      <c r="I1641" s="11" t="n">
        <v/>
      </c>
      <c r="J1641" s="11" t="n">
        <v/>
      </c>
      <c r="K1641" s="4" t="inlineStr">
        <is>
          <t>Abrechnungsart wählen; Stundensätze eingeben</t>
        </is>
      </c>
    </row>
    <row r="1642">
      <c r="A1642" s="4" t="inlineStr">
        <is>
          <t>5572 Windpark-Friesenhagen</t>
        </is>
      </c>
      <c r="B1642" s="4" t="inlineStr">
        <is>
          <t>● 4000-Genehmigungsplanung</t>
        </is>
      </c>
      <c r="C1642" s="9" t="inlineStr">
        <is>
          <t>Unbekannt</t>
        </is>
      </c>
      <c r="D1642" s="10" t="inlineStr">
        <is>
          <t>⚠ Manual erforderlich</t>
        </is>
      </c>
      <c r="E1642" s="11" t="inlineStr"/>
      <c r="F1642" s="11" t="n">
        <v>0</v>
      </c>
      <c r="G1642" s="11">
        <f>E1642-F1642</f>
        <v/>
      </c>
      <c r="H1642" s="11" t="n">
        <v/>
      </c>
      <c r="I1642" s="11" t="n">
        <v/>
      </c>
      <c r="J1642" s="11" t="n">
        <v/>
      </c>
      <c r="K1642" s="4" t="inlineStr">
        <is>
          <t>Abrechnungsart wählen; Stundensätze eingeben</t>
        </is>
      </c>
    </row>
    <row r="1643">
      <c r="A1643" s="4" t="inlineStr">
        <is>
          <t>5576 Theater-Vorpommern-Greifswald</t>
        </is>
      </c>
      <c r="B1643" s="4" t="inlineStr">
        <is>
          <t>● 1000-Grundlagenermittlung</t>
        </is>
      </c>
      <c r="C1643" s="9" t="inlineStr">
        <is>
          <t>Unbekannt</t>
        </is>
      </c>
      <c r="D1643" s="10" t="inlineStr">
        <is>
          <t>⚠ Manual erforderlich</t>
        </is>
      </c>
      <c r="E1643" s="11" t="inlineStr"/>
      <c r="F1643" s="11" t="n">
        <v>0</v>
      </c>
      <c r="G1643" s="11">
        <f>E1643-F1643</f>
        <v/>
      </c>
      <c r="H1643" s="11" t="n">
        <v/>
      </c>
      <c r="I1643" s="11" t="n">
        <v/>
      </c>
      <c r="J1643" s="11" t="n">
        <v/>
      </c>
      <c r="K1643" s="4" t="inlineStr">
        <is>
          <t>Abrechnungsart wählen; Stundensätze eingeben</t>
        </is>
      </c>
    </row>
    <row r="1644">
      <c r="A1644" s="4" t="inlineStr">
        <is>
          <t>5576 Theater-Vorpommern-Greifswald</t>
        </is>
      </c>
      <c r="B1644" s="4" t="inlineStr">
        <is>
          <t>● 2000-Vorplanung</t>
        </is>
      </c>
      <c r="C1644" s="9" t="inlineStr">
        <is>
          <t>Unbekannt</t>
        </is>
      </c>
      <c r="D1644" s="10" t="inlineStr">
        <is>
          <t>⚠ Manual erforderlich</t>
        </is>
      </c>
      <c r="E1644" s="11" t="inlineStr"/>
      <c r="F1644" s="11" t="n">
        <v>0</v>
      </c>
      <c r="G1644" s="11">
        <f>E1644-F1644</f>
        <v/>
      </c>
      <c r="H1644" s="11" t="n">
        <v/>
      </c>
      <c r="I1644" s="11" t="n">
        <v/>
      </c>
      <c r="J1644" s="11" t="n">
        <v/>
      </c>
      <c r="K1644" s="4" t="inlineStr">
        <is>
          <t>Abrechnungsart wählen; Stundensätze eingeben</t>
        </is>
      </c>
    </row>
    <row r="1645">
      <c r="A1645" s="4" t="inlineStr">
        <is>
          <t>5576 Theater-Vorpommern-Greifswald</t>
        </is>
      </c>
      <c r="B1645" s="4" t="inlineStr">
        <is>
          <t>● 3000-Entwurfsplanung</t>
        </is>
      </c>
      <c r="C1645" s="9" t="inlineStr">
        <is>
          <t>Unbekannt</t>
        </is>
      </c>
      <c r="D1645" s="10" t="inlineStr">
        <is>
          <t>⚠ Manual erforderlich</t>
        </is>
      </c>
      <c r="E1645" s="11" t="inlineStr"/>
      <c r="F1645" s="11" t="n">
        <v>0</v>
      </c>
      <c r="G1645" s="11">
        <f>E1645-F1645</f>
        <v/>
      </c>
      <c r="H1645" s="11" t="n">
        <v/>
      </c>
      <c r="I1645" s="11" t="n">
        <v/>
      </c>
      <c r="J1645" s="11" t="n">
        <v/>
      </c>
      <c r="K1645" s="4" t="inlineStr">
        <is>
          <t>Abrechnungsart wählen; Stundensätze eingeben</t>
        </is>
      </c>
    </row>
    <row r="1646">
      <c r="A1646" s="4" t="inlineStr">
        <is>
          <t>5576 Theater-Vorpommern-Greifswald</t>
        </is>
      </c>
      <c r="B1646" s="4" t="inlineStr">
        <is>
          <t>● 4000-Genehmigungsplanung</t>
        </is>
      </c>
      <c r="C1646" s="9" t="inlineStr">
        <is>
          <t>Unbekannt</t>
        </is>
      </c>
      <c r="D1646" s="10" t="inlineStr">
        <is>
          <t>⚠ Manual erforderlich</t>
        </is>
      </c>
      <c r="E1646" s="11" t="inlineStr"/>
      <c r="F1646" s="11" t="n">
        <v>0</v>
      </c>
      <c r="G1646" s="11">
        <f>E1646-F1646</f>
        <v/>
      </c>
      <c r="H1646" s="11" t="n">
        <v/>
      </c>
      <c r="I1646" s="11" t="n">
        <v/>
      </c>
      <c r="J1646" s="11" t="n">
        <v/>
      </c>
      <c r="K1646" s="4" t="inlineStr">
        <is>
          <t>Abrechnungsart wählen; Stundensätze eingeben</t>
        </is>
      </c>
    </row>
    <row r="1647">
      <c r="A1647" s="4" t="inlineStr">
        <is>
          <t>5576 Theater-Vorpommern-Greifswald</t>
        </is>
      </c>
      <c r="B1647" s="4" t="inlineStr">
        <is>
          <t>● 5000 Pos. 5 LP 5 Ausführungsplanung</t>
        </is>
      </c>
      <c r="C1647" s="9" t="inlineStr">
        <is>
          <t>Unbekannt</t>
        </is>
      </c>
      <c r="D1647" s="10" t="inlineStr">
        <is>
          <t>⚠ Manual erforderlich</t>
        </is>
      </c>
      <c r="E1647" s="11" t="inlineStr"/>
      <c r="F1647" s="11" t="n">
        <v>0</v>
      </c>
      <c r="G1647" s="11">
        <f>E1647-F1647</f>
        <v/>
      </c>
      <c r="H1647" s="11" t="n">
        <v/>
      </c>
      <c r="I1647" s="11" t="n">
        <v/>
      </c>
      <c r="J1647" s="11" t="n">
        <v/>
      </c>
      <c r="K1647" s="4" t="inlineStr">
        <is>
          <t>Abrechnungsart wählen; Stundensätze eingeben</t>
        </is>
      </c>
    </row>
    <row r="1648">
      <c r="A1648" s="4" t="inlineStr">
        <is>
          <t>5576 Theater-Vorpommern-Greifswald</t>
        </is>
      </c>
      <c r="B1648" s="4" t="inlineStr">
        <is>
          <t>● 6000-Vorbereiten der Vergabe</t>
        </is>
      </c>
      <c r="C1648" s="9" t="inlineStr">
        <is>
          <t>Unbekannt</t>
        </is>
      </c>
      <c r="D1648" s="10" t="inlineStr">
        <is>
          <t>⚠ Manual erforderlich</t>
        </is>
      </c>
      <c r="E1648" s="11" t="inlineStr"/>
      <c r="F1648" s="11" t="n">
        <v>0</v>
      </c>
      <c r="G1648" s="11">
        <f>E1648-F1648</f>
        <v/>
      </c>
      <c r="H1648" s="11" t="n">
        <v/>
      </c>
      <c r="I1648" s="11" t="n">
        <v/>
      </c>
      <c r="J1648" s="11" t="n">
        <v/>
      </c>
      <c r="K1648" s="4" t="inlineStr">
        <is>
          <t>Abrechnungsart wählen; Stundensätze eingeben</t>
        </is>
      </c>
    </row>
    <row r="1649">
      <c r="A1649" s="4" t="inlineStr">
        <is>
          <t>5576 Theater-Vorpommern-Greifswald</t>
        </is>
      </c>
      <c r="B1649" s="4" t="inlineStr">
        <is>
          <t>● 7000-Mitwirkung bei der Vergabe</t>
        </is>
      </c>
      <c r="C1649" s="9" t="inlineStr">
        <is>
          <t>Unbekannt</t>
        </is>
      </c>
      <c r="D1649" s="10" t="inlineStr">
        <is>
          <t>⚠ Manual erforderlich</t>
        </is>
      </c>
      <c r="E1649" s="11" t="inlineStr"/>
      <c r="F1649" s="11" t="n">
        <v>0</v>
      </c>
      <c r="G1649" s="11">
        <f>E1649-F1649</f>
        <v/>
      </c>
      <c r="H1649" s="11" t="n">
        <v/>
      </c>
      <c r="I1649" s="11" t="n">
        <v/>
      </c>
      <c r="J1649" s="11" t="n">
        <v/>
      </c>
      <c r="K1649" s="4" t="inlineStr">
        <is>
          <t>Abrechnungsart wählen; Stundensätze eingeben</t>
        </is>
      </c>
    </row>
    <row r="1650">
      <c r="A1650" s="4" t="inlineStr">
        <is>
          <t>5576 Theater-Vorpommern-Greifswald</t>
        </is>
      </c>
      <c r="B1650" s="4" t="inlineStr">
        <is>
          <t>● 8000 Pos. 8 LP8 Objektüberwachung</t>
        </is>
      </c>
      <c r="C1650" s="9" t="inlineStr">
        <is>
          <t>Unbekannt</t>
        </is>
      </c>
      <c r="D1650" s="10" t="inlineStr">
        <is>
          <t>⚠ Manual erforderlich</t>
        </is>
      </c>
      <c r="E1650" s="11" t="inlineStr"/>
      <c r="F1650" s="11" t="n">
        <v>0</v>
      </c>
      <c r="G1650" s="11">
        <f>E1650-F1650</f>
        <v/>
      </c>
      <c r="H1650" s="11" t="n">
        <v/>
      </c>
      <c r="I1650" s="11" t="n">
        <v/>
      </c>
      <c r="J1650" s="11" t="n">
        <v/>
      </c>
      <c r="K1650" s="4" t="inlineStr">
        <is>
          <t>Abrechnungsart wählen; Stundensätze eingeben</t>
        </is>
      </c>
    </row>
    <row r="1651">
      <c r="A1651" s="4" t="inlineStr">
        <is>
          <t>5576 Theater-Vorpommern-Greifswald</t>
        </is>
      </c>
      <c r="B1651" s="4" t="inlineStr">
        <is>
          <t>● 9000-Objektbetreuung und Dokumentation</t>
        </is>
      </c>
      <c r="C1651" s="9" t="inlineStr">
        <is>
          <t>Unbekannt</t>
        </is>
      </c>
      <c r="D1651" s="10" t="inlineStr">
        <is>
          <t>⚠ Manual erforderlich</t>
        </is>
      </c>
      <c r="E1651" s="11" t="inlineStr"/>
      <c r="F1651" s="11" t="n">
        <v>0</v>
      </c>
      <c r="G1651" s="11">
        <f>E1651-F1651</f>
        <v/>
      </c>
      <c r="H1651" s="11" t="n">
        <v/>
      </c>
      <c r="I1651" s="11" t="n">
        <v/>
      </c>
      <c r="J1651" s="11" t="n">
        <v/>
      </c>
      <c r="K1651" s="4" t="inlineStr">
        <is>
          <t>Abrechnungsart wählen; Stundensätze eingeben</t>
        </is>
      </c>
    </row>
    <row r="1652">
      <c r="A1652" s="4" t="inlineStr">
        <is>
          <t>5580.02 KOF-Salzstraße-11-11a-Hanau</t>
        </is>
      </c>
      <c r="B1652" s="4" t="inlineStr">
        <is>
          <t>● (p) Pos.1 KOF</t>
        </is>
      </c>
      <c r="C1652" s="4" t="inlineStr">
        <is>
          <t>Pauschale</t>
        </is>
      </c>
      <c r="D1652" s="10" t="inlineStr">
        <is>
          <t>⚠ Manual erforderlich</t>
        </is>
      </c>
      <c r="E1652" s="11" t="inlineStr"/>
      <c r="F1652" s="11" t="n">
        <v>0</v>
      </c>
      <c r="G1652" s="11">
        <f>E1652-F1652</f>
        <v/>
      </c>
      <c r="H1652" s="11" t="n">
        <v>0</v>
      </c>
      <c r="I1652" s="11" t="n">
        <v>0</v>
      </c>
      <c r="J1652" s="11" t="n">
        <v>0</v>
      </c>
      <c r="K1652" s="4" t="inlineStr">
        <is>
          <t>Stundensätze eingeben</t>
        </is>
      </c>
    </row>
    <row r="1653">
      <c r="A1653" s="4" t="inlineStr">
        <is>
          <t>5593 Industriestraße-125-Speyer-Isover</t>
        </is>
      </c>
      <c r="B1653" s="4" t="inlineStr">
        <is>
          <t>● 1000-Grundlagenermittlung</t>
        </is>
      </c>
      <c r="C1653" s="9" t="inlineStr">
        <is>
          <t>Unbekannt</t>
        </is>
      </c>
      <c r="D1653" s="10" t="inlineStr">
        <is>
          <t>⚠ Manual erforderlich</t>
        </is>
      </c>
      <c r="E1653" s="11" t="inlineStr"/>
      <c r="F1653" s="11" t="n">
        <v>0</v>
      </c>
      <c r="G1653" s="11">
        <f>E1653-F1653</f>
        <v/>
      </c>
      <c r="H1653" s="11" t="n">
        <v/>
      </c>
      <c r="I1653" s="11" t="n">
        <v/>
      </c>
      <c r="J1653" s="11" t="n">
        <v/>
      </c>
      <c r="K1653" s="4" t="inlineStr">
        <is>
          <t>Abrechnungsart wählen; Stundensätze eingeben</t>
        </is>
      </c>
    </row>
    <row r="1654">
      <c r="A1654" s="4" t="inlineStr">
        <is>
          <t>5593 Industriestraße-125-Speyer-Isover</t>
        </is>
      </c>
      <c r="B1654" s="4" t="inlineStr">
        <is>
          <t>● 2000-Vorplanung</t>
        </is>
      </c>
      <c r="C1654" s="9" t="inlineStr">
        <is>
          <t>Unbekannt</t>
        </is>
      </c>
      <c r="D1654" s="10" t="inlineStr">
        <is>
          <t>⚠ Manual erforderlich</t>
        </is>
      </c>
      <c r="E1654" s="11" t="inlineStr"/>
      <c r="F1654" s="11" t="n">
        <v>0</v>
      </c>
      <c r="G1654" s="11">
        <f>E1654-F1654</f>
        <v/>
      </c>
      <c r="H1654" s="11" t="n">
        <v/>
      </c>
      <c r="I1654" s="11" t="n">
        <v/>
      </c>
      <c r="J1654" s="11" t="n">
        <v/>
      </c>
      <c r="K1654" s="4" t="inlineStr">
        <is>
          <t>Abrechnungsart wählen; Stundensätze eingeben</t>
        </is>
      </c>
    </row>
    <row r="1655">
      <c r="A1655" s="4" t="inlineStr">
        <is>
          <t>5593 Industriestraße-125-Speyer-Isover</t>
        </is>
      </c>
      <c r="B1655" s="4" t="inlineStr">
        <is>
          <t>● 3000-Entwurfsplanung</t>
        </is>
      </c>
      <c r="C1655" s="9" t="inlineStr">
        <is>
          <t>Unbekannt</t>
        </is>
      </c>
      <c r="D1655" s="10" t="inlineStr">
        <is>
          <t>⚠ Manual erforderlich</t>
        </is>
      </c>
      <c r="E1655" s="11" t="inlineStr"/>
      <c r="F1655" s="11" t="n">
        <v>0</v>
      </c>
      <c r="G1655" s="11">
        <f>E1655-F1655</f>
        <v/>
      </c>
      <c r="H1655" s="11" t="n">
        <v/>
      </c>
      <c r="I1655" s="11" t="n">
        <v/>
      </c>
      <c r="J1655" s="11" t="n">
        <v/>
      </c>
      <c r="K1655" s="4" t="inlineStr">
        <is>
          <t>Abrechnungsart wählen; Stundensätze eingeben</t>
        </is>
      </c>
    </row>
    <row r="1656">
      <c r="A1656" s="4" t="inlineStr">
        <is>
          <t>5593 Industriestraße-125-Speyer-Isover</t>
        </is>
      </c>
      <c r="B1656" s="4" t="inlineStr">
        <is>
          <t>● 4000-Genehmigungsplanung</t>
        </is>
      </c>
      <c r="C1656" s="9" t="inlineStr">
        <is>
          <t>Unbekannt</t>
        </is>
      </c>
      <c r="D1656" s="10" t="inlineStr">
        <is>
          <t>⚠ Manual erforderlich</t>
        </is>
      </c>
      <c r="E1656" s="11" t="inlineStr"/>
      <c r="F1656" s="11" t="n">
        <v>0</v>
      </c>
      <c r="G1656" s="11">
        <f>E1656-F1656</f>
        <v/>
      </c>
      <c r="H1656" s="11" t="n">
        <v/>
      </c>
      <c r="I1656" s="11" t="n">
        <v/>
      </c>
      <c r="J1656" s="11" t="n">
        <v/>
      </c>
      <c r="K1656" s="4" t="inlineStr">
        <is>
          <t>Abrechnungsart wählen; Stundensätze eingeben</t>
        </is>
      </c>
    </row>
    <row r="1657">
      <c r="A1657" s="4" t="inlineStr">
        <is>
          <t>5593 Industriestraße-125-Speyer-Isover</t>
        </is>
      </c>
      <c r="B1657" s="4" t="inlineStr">
        <is>
          <t>● 8000-Objektüberwachung</t>
        </is>
      </c>
      <c r="C1657" s="9" t="inlineStr">
        <is>
          <t>Unbekannt</t>
        </is>
      </c>
      <c r="D1657" s="10" t="inlineStr">
        <is>
          <t>⚠ Manual erforderlich</t>
        </is>
      </c>
      <c r="E1657" s="11" t="inlineStr"/>
      <c r="F1657" s="11" t="n">
        <v>0</v>
      </c>
      <c r="G1657" s="11">
        <f>E1657-F1657</f>
        <v/>
      </c>
      <c r="H1657" s="11" t="n">
        <v/>
      </c>
      <c r="I1657" s="11" t="n">
        <v/>
      </c>
      <c r="J1657" s="11" t="n">
        <v/>
      </c>
      <c r="K1657" s="4" t="inlineStr">
        <is>
          <t>Abrechnungsart wählen; Stundensätze eingeben</t>
        </is>
      </c>
    </row>
    <row r="1658">
      <c r="A1658" s="4" t="inlineStr">
        <is>
          <t>5599 TAF-Wilhelm-Leuschner-Straße-Property-GmbH./.Weisenburger-Bau-GmbH</t>
        </is>
      </c>
      <c r="B1658" s="4" t="inlineStr">
        <is>
          <t>● 0001-Sonstiges</t>
        </is>
      </c>
      <c r="C1658" s="9" t="inlineStr">
        <is>
          <t>Unbekannt</t>
        </is>
      </c>
      <c r="D1658" s="10" t="inlineStr">
        <is>
          <t>⚠ Manual erforderlich</t>
        </is>
      </c>
      <c r="E1658" s="11" t="inlineStr"/>
      <c r="F1658" s="11" t="n">
        <v>0</v>
      </c>
      <c r="G1658" s="11">
        <f>E1658-F1658</f>
        <v/>
      </c>
      <c r="H1658" s="11" t="n">
        <v/>
      </c>
      <c r="I1658" s="11" t="n">
        <v/>
      </c>
      <c r="J1658" s="11" t="n">
        <v/>
      </c>
      <c r="K1658" s="4" t="inlineStr">
        <is>
          <t>Abrechnungsart wählen; Stundensätze eingeben</t>
        </is>
      </c>
    </row>
    <row r="1659">
      <c r="A1659" s="4" t="inlineStr">
        <is>
          <t>5605 Bahnhof-München-Bahnhofsvorplatz-Treppenanlage-22</t>
        </is>
      </c>
      <c r="B1659" s="4" t="inlineStr">
        <is>
          <t>● 3000-Entwurfsplanung</t>
        </is>
      </c>
      <c r="C1659" s="9" t="inlineStr">
        <is>
          <t>Unbekannt</t>
        </is>
      </c>
      <c r="D1659" s="10" t="inlineStr">
        <is>
          <t>⚠ Manual erforderlich</t>
        </is>
      </c>
      <c r="E1659" s="11" t="inlineStr"/>
      <c r="F1659" s="11" t="n">
        <v>0</v>
      </c>
      <c r="G1659" s="11">
        <f>E1659-F1659</f>
        <v/>
      </c>
      <c r="H1659" s="11" t="n">
        <v/>
      </c>
      <c r="I1659" s="11" t="n">
        <v/>
      </c>
      <c r="J1659" s="11" t="n">
        <v/>
      </c>
      <c r="K1659" s="4" t="inlineStr">
        <is>
          <t>Abrechnungsart wählen; Stundensätze eingeben</t>
        </is>
      </c>
    </row>
    <row r="1660">
      <c r="A1660" s="4" t="inlineStr">
        <is>
          <t>5606.1 BTB-Friesenstraße-4-Bad-Homburg</t>
        </is>
      </c>
      <c r="B1660" s="4" t="inlineStr">
        <is>
          <t>● (aN) Pos. 1 Baubegleitende Brandschutzberatung und  Qualitätsüberwachung für die Durchführung der Baumaßnahme</t>
        </is>
      </c>
      <c r="C1660" s="4" t="inlineStr">
        <is>
          <t>Nachweis</t>
        </is>
      </c>
      <c r="D1660" s="10" t="inlineStr">
        <is>
          <t>⚠ Manual erforderlich</t>
        </is>
      </c>
      <c r="E1660" s="11" t="inlineStr"/>
      <c r="F1660" s="11" t="n">
        <v>0</v>
      </c>
      <c r="G1660" s="11">
        <f>E1660-F1660</f>
        <v/>
      </c>
      <c r="H1660" s="11" t="n">
        <v/>
      </c>
      <c r="I1660" s="11" t="n">
        <v/>
      </c>
      <c r="J1660" s="11" t="n">
        <v/>
      </c>
      <c r="K1660" s="4" t="inlineStr">
        <is>
          <t>Stundensätze eingeben</t>
        </is>
      </c>
    </row>
    <row r="1661">
      <c r="A1661" s="4" t="inlineStr">
        <is>
          <t>5607.05 BAB-NB-J4-Zentralinstitut-für-seelische-Gesundheit-Mannheim</t>
        </is>
      </c>
      <c r="B1661" s="4" t="inlineStr">
        <is>
          <t>● Baubegleitung</t>
        </is>
      </c>
      <c r="C1661" s="9" t="inlineStr">
        <is>
          <t>Unbekannt</t>
        </is>
      </c>
      <c r="D1661" s="10" t="inlineStr">
        <is>
          <t>⚠ Manual erforderlich</t>
        </is>
      </c>
      <c r="E1661" s="11" t="inlineStr"/>
      <c r="F1661" s="11" t="n">
        <v>0</v>
      </c>
      <c r="G1661" s="11">
        <f>E1661-F1661</f>
        <v/>
      </c>
      <c r="H1661" s="11" t="n">
        <v/>
      </c>
      <c r="I1661" s="11" t="n">
        <v/>
      </c>
      <c r="J1661" s="11" t="n">
        <v/>
      </c>
      <c r="K1661" s="4" t="inlineStr">
        <is>
          <t>Abrechnungsart wählen; Stundensätze eingeben</t>
        </is>
      </c>
    </row>
    <row r="1662">
      <c r="A1662" s="4" t="inlineStr">
        <is>
          <t>5607.05 BAB-NB-J4-Zentralinstitut-für-seelische-Gesundheit-Mannheim</t>
        </is>
      </c>
      <c r="B1662" s="4" t="inlineStr">
        <is>
          <t>● Fortschr. BSK LP 5 (auf Nachweis)</t>
        </is>
      </c>
      <c r="C1662" s="9" t="inlineStr">
        <is>
          <t>Unbekannt</t>
        </is>
      </c>
      <c r="D1662" s="10" t="inlineStr">
        <is>
          <t>⚠ Manual erforderlich</t>
        </is>
      </c>
      <c r="E1662" s="11" t="inlineStr"/>
      <c r="F1662" s="11" t="n">
        <v>0</v>
      </c>
      <c r="G1662" s="11">
        <f>E1662-F1662</f>
        <v/>
      </c>
      <c r="H1662" s="11" t="n">
        <v/>
      </c>
      <c r="I1662" s="11" t="n">
        <v/>
      </c>
      <c r="J1662" s="11" t="n">
        <v/>
      </c>
      <c r="K1662" s="4" t="inlineStr">
        <is>
          <t>Abrechnungsart wählen; Stundensätze eingeben</t>
        </is>
      </c>
    </row>
    <row r="1663">
      <c r="A1663" s="4" t="inlineStr">
        <is>
          <t>5607.05 BAB-NB-J4-Zentralinstitut-für-seelische-Gesundheit-Mannheim</t>
        </is>
      </c>
      <c r="B1663" s="4" t="inlineStr">
        <is>
          <t>● Fortschr. BSK LP 9(auf Nachweis)</t>
        </is>
      </c>
      <c r="C1663" s="9" t="inlineStr">
        <is>
          <t>Unbekannt</t>
        </is>
      </c>
      <c r="D1663" s="10" t="inlineStr">
        <is>
          <t>⚠ Manual erforderlich</t>
        </is>
      </c>
      <c r="E1663" s="11" t="inlineStr"/>
      <c r="F1663" s="11" t="n">
        <v>0</v>
      </c>
      <c r="G1663" s="11">
        <f>E1663-F1663</f>
        <v/>
      </c>
      <c r="H1663" s="11" t="n">
        <v/>
      </c>
      <c r="I1663" s="11" t="n">
        <v/>
      </c>
      <c r="J1663" s="11" t="n">
        <v/>
      </c>
      <c r="K1663" s="4" t="inlineStr">
        <is>
          <t>Abrechnungsart wählen; Stundensätze eingeben</t>
        </is>
      </c>
    </row>
    <row r="1664">
      <c r="A1664" s="4" t="inlineStr">
        <is>
          <t>5607.06 Pläne-NB-J4-Zentralinstitut-für-seelische-Gesundheit-Mannheim</t>
        </is>
      </c>
      <c r="B1664" s="4" t="inlineStr">
        <is>
          <t>● Objektbegehung CAD (auf Nachweis)</t>
        </is>
      </c>
      <c r="C1664" s="9" t="inlineStr">
        <is>
          <t>Unbekannt</t>
        </is>
      </c>
      <c r="D1664" s="10" t="inlineStr">
        <is>
          <t>⚠ Manual erforderlich</t>
        </is>
      </c>
      <c r="E1664" s="11" t="inlineStr"/>
      <c r="F1664" s="11" t="n">
        <v>0</v>
      </c>
      <c r="G1664" s="11">
        <f>E1664-F1664</f>
        <v/>
      </c>
      <c r="H1664" s="11" t="n">
        <v/>
      </c>
      <c r="I1664" s="11" t="n">
        <v/>
      </c>
      <c r="J1664" s="11" t="n">
        <v/>
      </c>
      <c r="K1664" s="4" t="inlineStr">
        <is>
          <t>Abrechnungsart wählen; Stundensätze eingeben</t>
        </is>
      </c>
    </row>
    <row r="1665">
      <c r="A1665" s="4" t="inlineStr">
        <is>
          <t>5607.06 Pläne-NB-J4-Zentralinstitut-für-seelische-Gesundheit-Mannheim</t>
        </is>
      </c>
      <c r="B1665" s="4" t="inlineStr">
        <is>
          <t>● FW-Pläne (pauschal)</t>
        </is>
      </c>
      <c r="C1665" s="9" t="inlineStr">
        <is>
          <t>Unbekannt</t>
        </is>
      </c>
      <c r="D1665" s="10" t="inlineStr">
        <is>
          <t>⚠ Manual erforderlich</t>
        </is>
      </c>
      <c r="E1665" s="11" t="inlineStr"/>
      <c r="F1665" s="11" t="n">
        <v>0</v>
      </c>
      <c r="G1665" s="11">
        <f>E1665-F1665</f>
        <v/>
      </c>
      <c r="H1665" s="11" t="n">
        <v/>
      </c>
      <c r="I1665" s="11" t="n">
        <v/>
      </c>
      <c r="J1665" s="11" t="n">
        <v/>
      </c>
      <c r="K1665" s="4" t="inlineStr">
        <is>
          <t>Abrechnungsart wählen; Stundensätze eingeben</t>
        </is>
      </c>
    </row>
    <row r="1666">
      <c r="A1666" s="4" t="inlineStr">
        <is>
          <t>5607.06 Pläne-NB-J4-Zentralinstitut-für-seelische-Gesundheit-Mannheim</t>
        </is>
      </c>
      <c r="B1666" s="4" t="inlineStr">
        <is>
          <t>● FuR-Pläne (pauschal)</t>
        </is>
      </c>
      <c r="C1666" s="9" t="inlineStr">
        <is>
          <t>Unbekannt</t>
        </is>
      </c>
      <c r="D1666" s="10" t="inlineStr">
        <is>
          <t>⚠ Manual erforderlich</t>
        </is>
      </c>
      <c r="E1666" s="11" t="inlineStr"/>
      <c r="F1666" s="11" t="n">
        <v>0</v>
      </c>
      <c r="G1666" s="11">
        <f>E1666-F1666</f>
        <v/>
      </c>
      <c r="H1666" s="11" t="n">
        <v/>
      </c>
      <c r="I1666" s="11" t="n">
        <v/>
      </c>
      <c r="J1666" s="11" t="n">
        <v/>
      </c>
      <c r="K1666" s="4" t="inlineStr">
        <is>
          <t>Abrechnungsart wählen; Stundensätze eingeben</t>
        </is>
      </c>
    </row>
    <row r="1667">
      <c r="A1667" s="4" t="inlineStr">
        <is>
          <t>5607.07 Fortschr-QBS-NB-J4-Zentralinstitut-für-seelische-Gesundheit-Mannheim</t>
        </is>
      </c>
      <c r="B1667" s="4" t="inlineStr">
        <is>
          <t>● Prüfung Brandfallsteuertabelle (auf Nachweis)</t>
        </is>
      </c>
      <c r="C1667" s="9" t="inlineStr">
        <is>
          <t>Unbekannt</t>
        </is>
      </c>
      <c r="D1667" s="10" t="inlineStr">
        <is>
          <t>⚠ Manual erforderlich</t>
        </is>
      </c>
      <c r="E1667" s="11" t="inlineStr"/>
      <c r="F1667" s="11" t="n">
        <v>0</v>
      </c>
      <c r="G1667" s="11">
        <f>E1667-F1667</f>
        <v/>
      </c>
      <c r="H1667" s="11" t="n">
        <v/>
      </c>
      <c r="I1667" s="11" t="n">
        <v/>
      </c>
      <c r="J1667" s="11" t="n">
        <v/>
      </c>
      <c r="K1667" s="4" t="inlineStr">
        <is>
          <t>Abrechnungsart wählen; Stundensätze eingeben</t>
        </is>
      </c>
    </row>
    <row r="1668">
      <c r="A1668" s="4" t="inlineStr">
        <is>
          <t>5607.07 Fortschr-QBS-NB-J4-Zentralinstitut-für-seelische-Gesundheit-Mannheim</t>
        </is>
      </c>
      <c r="B1668" s="4" t="inlineStr">
        <is>
          <t>● Fortschr. Brandfallsteuertabelle (auf Nachweis)</t>
        </is>
      </c>
      <c r="C1668" s="9" t="inlineStr">
        <is>
          <t>Unbekannt</t>
        </is>
      </c>
      <c r="D1668" s="10" t="inlineStr">
        <is>
          <t>⚠ Manual erforderlich</t>
        </is>
      </c>
      <c r="E1668" s="11" t="inlineStr"/>
      <c r="F1668" s="11" t="n">
        <v>0</v>
      </c>
      <c r="G1668" s="11">
        <f>E1668-F1668</f>
        <v/>
      </c>
      <c r="H1668" s="11" t="n">
        <v/>
      </c>
      <c r="I1668" s="11" t="n">
        <v/>
      </c>
      <c r="J1668" s="11" t="n">
        <v/>
      </c>
      <c r="K1668" s="4" t="inlineStr">
        <is>
          <t>Abrechnungsart wählen; Stundensätze eingeben</t>
        </is>
      </c>
    </row>
    <row r="1669">
      <c r="A1669" s="4" t="inlineStr">
        <is>
          <t>5607.12 BSB-2024-Zentralinstitut-für-seelische-Gesundheit-Mannheim</t>
        </is>
      </c>
      <c r="B1669" s="4" t="inlineStr">
        <is>
          <t>● (a.N.) BSB 2024</t>
        </is>
      </c>
      <c r="C1669" s="4" t="inlineStr">
        <is>
          <t>Nachweis</t>
        </is>
      </c>
      <c r="D1669" s="10" t="inlineStr">
        <is>
          <t>⚠ Manual erforderlich</t>
        </is>
      </c>
      <c r="E1669" s="11" t="inlineStr"/>
      <c r="F1669" s="11" t="n">
        <v>0</v>
      </c>
      <c r="G1669" s="11">
        <f>E1669-F1669</f>
        <v/>
      </c>
      <c r="H1669" s="11" t="n">
        <v/>
      </c>
      <c r="I1669" s="11" t="n">
        <v/>
      </c>
      <c r="J1669" s="11" t="n">
        <v/>
      </c>
      <c r="K1669" s="4" t="inlineStr">
        <is>
          <t>Stundensätze eingeben</t>
        </is>
      </c>
    </row>
    <row r="1670">
      <c r="A1670" s="4" t="inlineStr">
        <is>
          <t>5607.14 BSB-2025-Zentralinstitut-für-seelische-Gesundheit-Mannheim</t>
        </is>
      </c>
      <c r="B1670" s="4" t="inlineStr">
        <is>
          <t>● (a.N.) BSB 2025</t>
        </is>
      </c>
      <c r="C1670" s="4" t="inlineStr">
        <is>
          <t>Nachweis</t>
        </is>
      </c>
      <c r="D1670" s="10" t="inlineStr">
        <is>
          <t>⚠ Manual erforderlich</t>
        </is>
      </c>
      <c r="E1670" s="11" t="inlineStr"/>
      <c r="F1670" s="11" t="n">
        <v>0</v>
      </c>
      <c r="G1670" s="11">
        <f>E1670-F1670</f>
        <v/>
      </c>
      <c r="H1670" s="11" t="n">
        <v/>
      </c>
      <c r="I1670" s="11" t="n">
        <v/>
      </c>
      <c r="J1670" s="11" t="n">
        <v/>
      </c>
      <c r="K1670" s="4" t="inlineStr">
        <is>
          <t>Stundensätze eingeben</t>
        </is>
      </c>
    </row>
    <row r="1671">
      <c r="A1671" s="4" t="inlineStr">
        <is>
          <t>5607.15 BTB-2025-Zentralinstitut-für-seelische-Gesundheit-Mannheim</t>
        </is>
      </c>
      <c r="B1671" s="4" t="inlineStr">
        <is>
          <t>● 1000-Grundlagenermittlung</t>
        </is>
      </c>
      <c r="C1671" s="9" t="inlineStr">
        <is>
          <t>Unbekannt</t>
        </is>
      </c>
      <c r="D1671" s="10" t="inlineStr">
        <is>
          <t>⚠ Manual erforderlich</t>
        </is>
      </c>
      <c r="E1671" s="11" t="inlineStr"/>
      <c r="F1671" s="11" t="n">
        <v>0</v>
      </c>
      <c r="G1671" s="11">
        <f>E1671-F1671</f>
        <v/>
      </c>
      <c r="H1671" s="11" t="n">
        <v/>
      </c>
      <c r="I1671" s="11" t="n">
        <v/>
      </c>
      <c r="J1671" s="11" t="n">
        <v/>
      </c>
      <c r="K1671" s="4" t="inlineStr">
        <is>
          <t>Abrechnungsart wählen; Stundensätze eingeben</t>
        </is>
      </c>
    </row>
    <row r="1672">
      <c r="A1672" s="4" t="inlineStr">
        <is>
          <t>5607.15 BTB-2025-Zentralinstitut-für-seelische-Gesundheit-Mannheim</t>
        </is>
      </c>
      <c r="B1672" s="4" t="inlineStr">
        <is>
          <t>● 2000-Vorplanung</t>
        </is>
      </c>
      <c r="C1672" s="9" t="inlineStr">
        <is>
          <t>Unbekannt</t>
        </is>
      </c>
      <c r="D1672" s="10" t="inlineStr">
        <is>
          <t>⚠ Manual erforderlich</t>
        </is>
      </c>
      <c r="E1672" s="11" t="inlineStr"/>
      <c r="F1672" s="11" t="n">
        <v>0</v>
      </c>
      <c r="G1672" s="11">
        <f>E1672-F1672</f>
        <v/>
      </c>
      <c r="H1672" s="11" t="n">
        <v/>
      </c>
      <c r="I1672" s="11" t="n">
        <v/>
      </c>
      <c r="J1672" s="11" t="n">
        <v/>
      </c>
      <c r="K1672" s="4" t="inlineStr">
        <is>
          <t>Abrechnungsart wählen; Stundensätze eingeben</t>
        </is>
      </c>
    </row>
    <row r="1673">
      <c r="A1673" s="4" t="inlineStr">
        <is>
          <t>5607.15 BTB-2025-Zentralinstitut-für-seelische-Gesundheit-Mannheim</t>
        </is>
      </c>
      <c r="B1673" s="4" t="inlineStr">
        <is>
          <t>● 3000-Entwurfsplanung</t>
        </is>
      </c>
      <c r="C1673" s="9" t="inlineStr">
        <is>
          <t>Unbekannt</t>
        </is>
      </c>
      <c r="D1673" s="10" t="inlineStr">
        <is>
          <t>⚠ Manual erforderlich</t>
        </is>
      </c>
      <c r="E1673" s="11" t="inlineStr"/>
      <c r="F1673" s="11" t="n">
        <v>0</v>
      </c>
      <c r="G1673" s="11">
        <f>E1673-F1673</f>
        <v/>
      </c>
      <c r="H1673" s="11" t="n">
        <v/>
      </c>
      <c r="I1673" s="11" t="n">
        <v/>
      </c>
      <c r="J1673" s="11" t="n">
        <v/>
      </c>
      <c r="K1673" s="4" t="inlineStr">
        <is>
          <t>Abrechnungsart wählen; Stundensätze eingeben</t>
        </is>
      </c>
    </row>
    <row r="1674">
      <c r="A1674" s="4" t="inlineStr">
        <is>
          <t>5607.15 BTB-2025-Zentralinstitut-für-seelische-Gesundheit-Mannheim</t>
        </is>
      </c>
      <c r="B1674" s="4" t="inlineStr">
        <is>
          <t>● 4000-Genehmigungsplanung</t>
        </is>
      </c>
      <c r="C1674" s="9" t="inlineStr">
        <is>
          <t>Unbekannt</t>
        </is>
      </c>
      <c r="D1674" s="10" t="inlineStr">
        <is>
          <t>⚠ Manual erforderlich</t>
        </is>
      </c>
      <c r="E1674" s="11" t="inlineStr"/>
      <c r="F1674" s="11" t="n">
        <v>0</v>
      </c>
      <c r="G1674" s="11">
        <f>E1674-F1674</f>
        <v/>
      </c>
      <c r="H1674" s="11" t="n">
        <v/>
      </c>
      <c r="I1674" s="11" t="n">
        <v/>
      </c>
      <c r="J1674" s="11" t="n">
        <v/>
      </c>
      <c r="K1674" s="4" t="inlineStr">
        <is>
          <t>Abrechnungsart wählen; Stundensätze eingeben</t>
        </is>
      </c>
    </row>
    <row r="1675">
      <c r="A1675" s="4" t="inlineStr">
        <is>
          <t>5607.15 BTB-2025-Zentralinstitut-für-seelische-Gesundheit-Mannheim</t>
        </is>
      </c>
      <c r="B1675" s="4" t="inlineStr">
        <is>
          <t>● 9000-Objektbetreuung und Dokumentation</t>
        </is>
      </c>
      <c r="C1675" s="9" t="inlineStr">
        <is>
          <t>Unbekannt</t>
        </is>
      </c>
      <c r="D1675" s="10" t="inlineStr">
        <is>
          <t>⚠ Manual erforderlich</t>
        </is>
      </c>
      <c r="E1675" s="11" t="inlineStr"/>
      <c r="F1675" s="11" t="n">
        <v>0</v>
      </c>
      <c r="G1675" s="11">
        <f>E1675-F1675</f>
        <v/>
      </c>
      <c r="H1675" s="11" t="n">
        <v/>
      </c>
      <c r="I1675" s="11" t="n">
        <v/>
      </c>
      <c r="J1675" s="11" t="n">
        <v/>
      </c>
      <c r="K1675" s="4" t="inlineStr">
        <is>
          <t>Abrechnungsart wählen; Stundensätze eingeben</t>
        </is>
      </c>
    </row>
    <row r="1676">
      <c r="A1676" s="4" t="inlineStr">
        <is>
          <t>5607.16 ZI-FWP-FRP-Laborgebäude-Liegenschaften-J5-Mannheim</t>
        </is>
      </c>
      <c r="B1676" s="4" t="inlineStr">
        <is>
          <t>● Pos. 1 FRP Laborgebäude</t>
        </is>
      </c>
      <c r="C1676" s="9" t="inlineStr">
        <is>
          <t>Unbekannt</t>
        </is>
      </c>
      <c r="D1676" s="10" t="inlineStr">
        <is>
          <t>⚠ Manual erforderlich</t>
        </is>
      </c>
      <c r="E1676" s="11" t="inlineStr"/>
      <c r="F1676" s="11" t="n">
        <v>0</v>
      </c>
      <c r="G1676" s="11">
        <f>E1676-F1676</f>
        <v/>
      </c>
      <c r="H1676" s="11" t="n">
        <v/>
      </c>
      <c r="I1676" s="11" t="n">
        <v/>
      </c>
      <c r="J1676" s="11" t="n">
        <v/>
      </c>
      <c r="K1676" s="4" t="inlineStr">
        <is>
          <t>Abrechnungsart wählen; Stundensätze eingeben</t>
        </is>
      </c>
    </row>
    <row r="1677">
      <c r="A1677" s="4" t="inlineStr">
        <is>
          <t>5607.16 ZI-FWP-FRP-Laborgebäude-Liegenschaften-J5-Mannheim</t>
        </is>
      </c>
      <c r="B1677" s="4" t="inlineStr">
        <is>
          <t>● Pos. 2 FWP</t>
        </is>
      </c>
      <c r="C1677" s="9" t="inlineStr">
        <is>
          <t>Unbekannt</t>
        </is>
      </c>
      <c r="D1677" s="10" t="inlineStr">
        <is>
          <t>⚠ Manual erforderlich</t>
        </is>
      </c>
      <c r="E1677" s="11" t="inlineStr"/>
      <c r="F1677" s="11" t="n">
        <v>0</v>
      </c>
      <c r="G1677" s="11">
        <f>E1677-F1677</f>
        <v/>
      </c>
      <c r="H1677" s="11" t="n">
        <v/>
      </c>
      <c r="I1677" s="11" t="n">
        <v/>
      </c>
      <c r="J1677" s="11" t="n">
        <v/>
      </c>
      <c r="K1677" s="4" t="inlineStr">
        <is>
          <t>Abrechnungsart wählen; Stundensätze eingeben</t>
        </is>
      </c>
    </row>
    <row r="1678">
      <c r="A1678" s="4" t="inlineStr">
        <is>
          <t>5607.16 ZI-FWP-FRP-Laborgebäude-Liegenschaften-J5-Mannheim</t>
        </is>
      </c>
      <c r="B1678" s="4" t="inlineStr">
        <is>
          <t>●  Pos. 3 FRP für Liegenschaften</t>
        </is>
      </c>
      <c r="C1678" s="9" t="inlineStr">
        <is>
          <t>Unbekannt</t>
        </is>
      </c>
      <c r="D1678" s="10" t="inlineStr">
        <is>
          <t>⚠ Manual erforderlich</t>
        </is>
      </c>
      <c r="E1678" s="11" t="inlineStr"/>
      <c r="F1678" s="11" t="n">
        <v>0</v>
      </c>
      <c r="G1678" s="11">
        <f>E1678-F1678</f>
        <v/>
      </c>
      <c r="H1678" s="11" t="n">
        <v/>
      </c>
      <c r="I1678" s="11" t="n">
        <v/>
      </c>
      <c r="J1678" s="11" t="n">
        <v/>
      </c>
      <c r="K1678" s="4" t="inlineStr">
        <is>
          <t>Abrechnungsart wählen; Stundensätze eingeben</t>
        </is>
      </c>
    </row>
    <row r="1679">
      <c r="A1679" s="4" t="inlineStr">
        <is>
          <t>5609 Ramstein-Air-Base-Geb-2477-NB-Auto-Hobby-Center</t>
        </is>
      </c>
      <c r="B1679" s="4" t="inlineStr">
        <is>
          <t>● 1000-Grundlagenermittlung</t>
        </is>
      </c>
      <c r="C1679" s="9" t="inlineStr">
        <is>
          <t>Unbekannt</t>
        </is>
      </c>
      <c r="D1679" s="10" t="inlineStr">
        <is>
          <t>⚠ Manual erforderlich</t>
        </is>
      </c>
      <c r="E1679" s="11" t="inlineStr"/>
      <c r="F1679" s="11" t="n">
        <v>0</v>
      </c>
      <c r="G1679" s="11">
        <f>E1679-F1679</f>
        <v/>
      </c>
      <c r="H1679" s="11" t="n">
        <v/>
      </c>
      <c r="I1679" s="11" t="n">
        <v/>
      </c>
      <c r="J1679" s="11" t="n">
        <v/>
      </c>
      <c r="K1679" s="4" t="inlineStr">
        <is>
          <t>Abrechnungsart wählen; Stundensätze eingeben</t>
        </is>
      </c>
    </row>
    <row r="1680">
      <c r="A1680" s="4" t="inlineStr">
        <is>
          <t>5609 Ramstein-Air-Base-Geb-2477-NB-Auto-Hobby-Center</t>
        </is>
      </c>
      <c r="B1680" s="4" t="inlineStr">
        <is>
          <t>● 2000-Vorplanung</t>
        </is>
      </c>
      <c r="C1680" s="9" t="inlineStr">
        <is>
          <t>Unbekannt</t>
        </is>
      </c>
      <c r="D1680" s="10" t="inlineStr">
        <is>
          <t>⚠ Manual erforderlich</t>
        </is>
      </c>
      <c r="E1680" s="11" t="inlineStr"/>
      <c r="F1680" s="11" t="n">
        <v>0</v>
      </c>
      <c r="G1680" s="11">
        <f>E1680-F1680</f>
        <v/>
      </c>
      <c r="H1680" s="11" t="n">
        <v/>
      </c>
      <c r="I1680" s="11" t="n">
        <v/>
      </c>
      <c r="J1680" s="11" t="n">
        <v/>
      </c>
      <c r="K1680" s="4" t="inlineStr">
        <is>
          <t>Abrechnungsart wählen; Stundensätze eingeben</t>
        </is>
      </c>
    </row>
    <row r="1681">
      <c r="A1681" s="4" t="inlineStr">
        <is>
          <t>5609 Ramstein-Air-Base-Geb-2477-NB-Auto-Hobby-Center</t>
        </is>
      </c>
      <c r="B1681" s="4" t="inlineStr">
        <is>
          <t>● 3000-Entwurfsplanung</t>
        </is>
      </c>
      <c r="C1681" s="9" t="inlineStr">
        <is>
          <t>Unbekannt</t>
        </is>
      </c>
      <c r="D1681" s="10" t="inlineStr">
        <is>
          <t>⚠ Manual erforderlich</t>
        </is>
      </c>
      <c r="E1681" s="11" t="inlineStr"/>
      <c r="F1681" s="11" t="n">
        <v>0</v>
      </c>
      <c r="G1681" s="11">
        <f>E1681-F1681</f>
        <v/>
      </c>
      <c r="H1681" s="11" t="n">
        <v/>
      </c>
      <c r="I1681" s="11" t="n">
        <v/>
      </c>
      <c r="J1681" s="11" t="n">
        <v/>
      </c>
      <c r="K1681" s="4" t="inlineStr">
        <is>
          <t>Abrechnungsart wählen; Stundensätze eingeben</t>
        </is>
      </c>
    </row>
    <row r="1682">
      <c r="A1682" s="4" t="inlineStr">
        <is>
          <t>5609 Ramstein-Air-Base-Geb-2477-NB-Auto-Hobby-Center</t>
        </is>
      </c>
      <c r="B1682" s="4" t="inlineStr">
        <is>
          <t>● 4000-Genehmigungsplanung</t>
        </is>
      </c>
      <c r="C1682" s="9" t="inlineStr">
        <is>
          <t>Unbekannt</t>
        </is>
      </c>
      <c r="D1682" s="10" t="inlineStr">
        <is>
          <t>⚠ Manual erforderlich</t>
        </is>
      </c>
      <c r="E1682" s="11" t="inlineStr"/>
      <c r="F1682" s="11" t="n">
        <v>0</v>
      </c>
      <c r="G1682" s="11">
        <f>E1682-F1682</f>
        <v/>
      </c>
      <c r="H1682" s="11" t="n">
        <v/>
      </c>
      <c r="I1682" s="11" t="n">
        <v/>
      </c>
      <c r="J1682" s="11" t="n">
        <v/>
      </c>
      <c r="K1682" s="4" t="inlineStr">
        <is>
          <t>Abrechnungsart wählen; Stundensätze eingeben</t>
        </is>
      </c>
    </row>
    <row r="1683">
      <c r="A1683" s="4" t="inlineStr">
        <is>
          <t>5609 Ramstein-Air-Base-Geb-2477-NB-Auto-Hobby-Center</t>
        </is>
      </c>
      <c r="B1683" s="4" t="inlineStr">
        <is>
          <t>● 5000-Ausführungsplanung</t>
        </is>
      </c>
      <c r="C1683" s="9" t="inlineStr">
        <is>
          <t>Unbekannt</t>
        </is>
      </c>
      <c r="D1683" s="10" t="inlineStr">
        <is>
          <t>⚠ Manual erforderlich</t>
        </is>
      </c>
      <c r="E1683" s="11" t="inlineStr"/>
      <c r="F1683" s="11" t="n">
        <v>0</v>
      </c>
      <c r="G1683" s="11">
        <f>E1683-F1683</f>
        <v/>
      </c>
      <c r="H1683" s="11" t="n">
        <v/>
      </c>
      <c r="I1683" s="11" t="n">
        <v/>
      </c>
      <c r="J1683" s="11" t="n">
        <v/>
      </c>
      <c r="K1683" s="4" t="inlineStr">
        <is>
          <t>Abrechnungsart wählen; Stundensätze eingeben</t>
        </is>
      </c>
    </row>
    <row r="1684">
      <c r="A1684" s="4" t="inlineStr">
        <is>
          <t>5609 Ramstein-Air-Base-Geb-2477-NB-Auto-Hobby-Center</t>
        </is>
      </c>
      <c r="B1684" s="4" t="inlineStr">
        <is>
          <t>● 6000-Vorbereiten der Vergabe</t>
        </is>
      </c>
      <c r="C1684" s="9" t="inlineStr">
        <is>
          <t>Unbekannt</t>
        </is>
      </c>
      <c r="D1684" s="10" t="inlineStr">
        <is>
          <t>⚠ Manual erforderlich</t>
        </is>
      </c>
      <c r="E1684" s="11" t="inlineStr"/>
      <c r="F1684" s="11" t="n">
        <v>0</v>
      </c>
      <c r="G1684" s="11">
        <f>E1684-F1684</f>
        <v/>
      </c>
      <c r="H1684" s="11" t="n">
        <v/>
      </c>
      <c r="I1684" s="11" t="n">
        <v/>
      </c>
      <c r="J1684" s="11" t="n">
        <v/>
      </c>
      <c r="K1684" s="4" t="inlineStr">
        <is>
          <t>Abrechnungsart wählen; Stundensätze eingeben</t>
        </is>
      </c>
    </row>
    <row r="1685">
      <c r="A1685" s="4" t="inlineStr">
        <is>
          <t>5609 Ramstein-Air-Base-Geb-2477-NB-Auto-Hobby-Center</t>
        </is>
      </c>
      <c r="B1685" s="4" t="inlineStr">
        <is>
          <t>● 7000-Mitwirkung bei der Vergabe</t>
        </is>
      </c>
      <c r="C1685" s="9" t="inlineStr">
        <is>
          <t>Unbekannt</t>
        </is>
      </c>
      <c r="D1685" s="10" t="inlineStr">
        <is>
          <t>⚠ Manual erforderlich</t>
        </is>
      </c>
      <c r="E1685" s="11" t="inlineStr"/>
      <c r="F1685" s="11" t="n">
        <v>0</v>
      </c>
      <c r="G1685" s="11">
        <f>E1685-F1685</f>
        <v/>
      </c>
      <c r="H1685" s="11" t="n">
        <v/>
      </c>
      <c r="I1685" s="11" t="n">
        <v/>
      </c>
      <c r="J1685" s="11" t="n">
        <v/>
      </c>
      <c r="K1685" s="4" t="inlineStr">
        <is>
          <t>Abrechnungsart wählen; Stundensätze eingeben</t>
        </is>
      </c>
    </row>
    <row r="1686">
      <c r="A1686" s="4" t="inlineStr">
        <is>
          <t>5609 Ramstein-Air-Base-Geb-2477-NB-Auto-Hobby-Center</t>
        </is>
      </c>
      <c r="B1686" s="4" t="inlineStr">
        <is>
          <t>● 8000-Objektüberwachung</t>
        </is>
      </c>
      <c r="C1686" s="9" t="inlineStr">
        <is>
          <t>Unbekannt</t>
        </is>
      </c>
      <c r="D1686" s="10" t="inlineStr">
        <is>
          <t>⚠ Manual erforderlich</t>
        </is>
      </c>
      <c r="E1686" s="11" t="inlineStr"/>
      <c r="F1686" s="11" t="n">
        <v>0</v>
      </c>
      <c r="G1686" s="11">
        <f>E1686-F1686</f>
        <v/>
      </c>
      <c r="H1686" s="11" t="n">
        <v/>
      </c>
      <c r="I1686" s="11" t="n">
        <v/>
      </c>
      <c r="J1686" s="11" t="n">
        <v/>
      </c>
      <c r="K1686" s="4" t="inlineStr">
        <is>
          <t>Abrechnungsart wählen; Stundensätze eingeben</t>
        </is>
      </c>
    </row>
    <row r="1687">
      <c r="A1687" s="4" t="inlineStr">
        <is>
          <t>5609 Ramstein-Air-Base-Geb-2477-NB-Auto-Hobby-Center</t>
        </is>
      </c>
      <c r="B1687" s="4" t="inlineStr">
        <is>
          <t>● 9000-Objektbetreuung und Dokumentation</t>
        </is>
      </c>
      <c r="C1687" s="9" t="inlineStr">
        <is>
          <t>Unbekannt</t>
        </is>
      </c>
      <c r="D1687" s="10" t="inlineStr">
        <is>
          <t>⚠ Manual erforderlich</t>
        </is>
      </c>
      <c r="E1687" s="11" t="inlineStr"/>
      <c r="F1687" s="11" t="n">
        <v>0</v>
      </c>
      <c r="G1687" s="11">
        <f>E1687-F1687</f>
        <v/>
      </c>
      <c r="H1687" s="11" t="n">
        <v/>
      </c>
      <c r="I1687" s="11" t="n">
        <v/>
      </c>
      <c r="J1687" s="11" t="n">
        <v/>
      </c>
      <c r="K1687" s="4" t="inlineStr">
        <is>
          <t>Abrechnungsart wählen; Stundensätze eingeben</t>
        </is>
      </c>
    </row>
    <row r="1688">
      <c r="A1688" s="4" t="inlineStr">
        <is>
          <t>5628 Starkenburgkaserne-Darmstadt</t>
        </is>
      </c>
      <c r="B1688" s="4" t="inlineStr">
        <is>
          <t>● 1000-Grundlagenermittlung</t>
        </is>
      </c>
      <c r="C1688" s="9" t="inlineStr">
        <is>
          <t>Unbekannt</t>
        </is>
      </c>
      <c r="D1688" s="10" t="inlineStr">
        <is>
          <t>⚠ Manual erforderlich</t>
        </is>
      </c>
      <c r="E1688" s="11" t="inlineStr"/>
      <c r="F1688" s="11" t="n">
        <v>0</v>
      </c>
      <c r="G1688" s="11">
        <f>E1688-F1688</f>
        <v/>
      </c>
      <c r="H1688" s="11" t="n">
        <v/>
      </c>
      <c r="I1688" s="11" t="n">
        <v/>
      </c>
      <c r="J1688" s="11" t="n">
        <v/>
      </c>
      <c r="K1688" s="4" t="inlineStr">
        <is>
          <t>Abrechnungsart wählen; Stundensätze eingeben</t>
        </is>
      </c>
    </row>
    <row r="1689">
      <c r="A1689" s="4" t="inlineStr">
        <is>
          <t>5628 Starkenburgkaserne-Darmstadt</t>
        </is>
      </c>
      <c r="B1689" s="4" t="inlineStr">
        <is>
          <t>● 3000-Entwurfsplanung</t>
        </is>
      </c>
      <c r="C1689" s="9" t="inlineStr">
        <is>
          <t>Unbekannt</t>
        </is>
      </c>
      <c r="D1689" s="10" t="inlineStr">
        <is>
          <t>⚠ Manual erforderlich</t>
        </is>
      </c>
      <c r="E1689" s="11" t="inlineStr"/>
      <c r="F1689" s="11" t="n">
        <v>0</v>
      </c>
      <c r="G1689" s="11">
        <f>E1689-F1689</f>
        <v/>
      </c>
      <c r="H1689" s="11" t="n">
        <v/>
      </c>
      <c r="I1689" s="11" t="n">
        <v/>
      </c>
      <c r="J1689" s="11" t="n">
        <v/>
      </c>
      <c r="K1689" s="4" t="inlineStr">
        <is>
          <t>Abrechnungsart wählen; Stundensätze eingeben</t>
        </is>
      </c>
    </row>
    <row r="1690">
      <c r="A1690" s="4" t="inlineStr">
        <is>
          <t>5628 Starkenburgkaserne-Darmstadt</t>
        </is>
      </c>
      <c r="B1690" s="4" t="inlineStr">
        <is>
          <t>● 4000-Genehmigungsplanung</t>
        </is>
      </c>
      <c r="C1690" s="9" t="inlineStr">
        <is>
          <t>Unbekannt</t>
        </is>
      </c>
      <c r="D1690" s="10" t="inlineStr">
        <is>
          <t>⚠ Manual erforderlich</t>
        </is>
      </c>
      <c r="E1690" s="11" t="inlineStr"/>
      <c r="F1690" s="11" t="n">
        <v>0</v>
      </c>
      <c r="G1690" s="11">
        <f>E1690-F1690</f>
        <v/>
      </c>
      <c r="H1690" s="11" t="n">
        <v/>
      </c>
      <c r="I1690" s="11" t="n">
        <v/>
      </c>
      <c r="J1690" s="11" t="n">
        <v/>
      </c>
      <c r="K1690" s="4" t="inlineStr">
        <is>
          <t>Abrechnungsart wählen; Stundensätze eingeben</t>
        </is>
      </c>
    </row>
    <row r="1691">
      <c r="A1691" s="4" t="inlineStr">
        <is>
          <t>5628 Starkenburgkaserne-Darmstadt</t>
        </is>
      </c>
      <c r="B1691" s="4" t="inlineStr">
        <is>
          <t>● 9000-Objektbetreuung und Dokumentation</t>
        </is>
      </c>
      <c r="C1691" s="9" t="inlineStr">
        <is>
          <t>Unbekannt</t>
        </is>
      </c>
      <c r="D1691" s="10" t="inlineStr">
        <is>
          <t>⚠ Manual erforderlich</t>
        </is>
      </c>
      <c r="E1691" s="11" t="inlineStr"/>
      <c r="F1691" s="11" t="n">
        <v>0</v>
      </c>
      <c r="G1691" s="11">
        <f>E1691-F1691</f>
        <v/>
      </c>
      <c r="H1691" s="11" t="n">
        <v/>
      </c>
      <c r="I1691" s="11" t="n">
        <v/>
      </c>
      <c r="J1691" s="11" t="n">
        <v/>
      </c>
      <c r="K1691" s="4" t="inlineStr">
        <is>
          <t>Abrechnungsart wählen; Stundensätze eingeben</t>
        </is>
      </c>
    </row>
    <row r="1692">
      <c r="A1692" s="4" t="inlineStr">
        <is>
          <t>5635.04 BTB-Bleichstraße-Frankfurt-5.OG</t>
        </is>
      </c>
      <c r="B1692" s="4" t="inlineStr">
        <is>
          <t>● (p) Pos10-Anpassung BTB-5.OG</t>
        </is>
      </c>
      <c r="C1692" s="4" t="inlineStr">
        <is>
          <t>Pauschale</t>
        </is>
      </c>
      <c r="D1692" s="10" t="inlineStr">
        <is>
          <t>⚠ Manual erforderlich</t>
        </is>
      </c>
      <c r="E1692" s="11" t="inlineStr"/>
      <c r="F1692" s="11" t="n">
        <v>0</v>
      </c>
      <c r="G1692" s="11">
        <f>E1692-F1692</f>
        <v/>
      </c>
      <c r="H1692" s="11" t="n">
        <v>0</v>
      </c>
      <c r="I1692" s="11" t="n">
        <v>0</v>
      </c>
      <c r="J1692" s="11" t="n">
        <v>0</v>
      </c>
      <c r="K1692" s="4" t="inlineStr">
        <is>
          <t>Stundensätze eingeben</t>
        </is>
      </c>
    </row>
    <row r="1693">
      <c r="A1693" s="4" t="inlineStr">
        <is>
          <t>5635.04 BTB-Bleichstraße-Frankfurt-5.OG</t>
        </is>
      </c>
      <c r="B1693" s="4" t="inlineStr">
        <is>
          <t>● (p) Pos 10-Brandschutztechn. Objektüberw.+Schlussbescheinigung</t>
        </is>
      </c>
      <c r="C1693" s="4" t="inlineStr">
        <is>
          <t>Pauschale</t>
        </is>
      </c>
      <c r="D1693" s="10" t="inlineStr">
        <is>
          <t>⚠ Manual erforderlich</t>
        </is>
      </c>
      <c r="E1693" s="11" t="inlineStr"/>
      <c r="F1693" s="11" t="n">
        <v>0</v>
      </c>
      <c r="G1693" s="11">
        <f>E1693-F1693</f>
        <v/>
      </c>
      <c r="H1693" s="11" t="n">
        <v>0</v>
      </c>
      <c r="I1693" s="11" t="n">
        <v>0</v>
      </c>
      <c r="J1693" s="11" t="n">
        <v>0</v>
      </c>
      <c r="K1693" s="4" t="inlineStr">
        <is>
          <t>Stundensätze eingeben</t>
        </is>
      </c>
    </row>
    <row r="1694">
      <c r="A1694" s="4" t="inlineStr">
        <is>
          <t>5635.04 BTB-Bleichstraße-Frankfurt-5.OG</t>
        </is>
      </c>
      <c r="B1694" s="4" t="inlineStr">
        <is>
          <t>● (p) Pos10-Anpassung FRP</t>
        </is>
      </c>
      <c r="C1694" s="4" t="inlineStr">
        <is>
          <t>Pauschale</t>
        </is>
      </c>
      <c r="D1694" s="10" t="inlineStr">
        <is>
          <t>⚠ Manual erforderlich</t>
        </is>
      </c>
      <c r="E1694" s="11" t="inlineStr"/>
      <c r="F1694" s="11" t="n">
        <v>0</v>
      </c>
      <c r="G1694" s="11">
        <f>E1694-F1694</f>
        <v/>
      </c>
      <c r="H1694" s="11" t="n">
        <v>0</v>
      </c>
      <c r="I1694" s="11" t="n">
        <v>0</v>
      </c>
      <c r="J1694" s="11" t="n">
        <v>0</v>
      </c>
      <c r="K1694" s="4" t="inlineStr">
        <is>
          <t>Stundensätze eingeben</t>
        </is>
      </c>
    </row>
    <row r="1695">
      <c r="A1695" s="4" t="inlineStr">
        <is>
          <t>5635.04 BTB-Bleichstraße-Frankfurt-5.OG</t>
        </is>
      </c>
      <c r="B1695" s="4" t="inlineStr">
        <is>
          <t>● (p) Pos10-Anpassung FRP</t>
        </is>
      </c>
      <c r="C1695" s="4" t="inlineStr">
        <is>
          <t>Pauschale</t>
        </is>
      </c>
      <c r="D1695" s="10" t="inlineStr">
        <is>
          <t>⚠ Manual erforderlich</t>
        </is>
      </c>
      <c r="E1695" s="11" t="inlineStr"/>
      <c r="F1695" s="11" t="n">
        <v>0</v>
      </c>
      <c r="G1695" s="11">
        <f>E1695-F1695</f>
        <v/>
      </c>
      <c r="H1695" s="11" t="n">
        <v>0</v>
      </c>
      <c r="I1695" s="11" t="n">
        <v>0</v>
      </c>
      <c r="J1695" s="11" t="n">
        <v>0</v>
      </c>
      <c r="K1695" s="4" t="inlineStr">
        <is>
          <t>Stundensätze eingeben</t>
        </is>
      </c>
    </row>
    <row r="1696">
      <c r="A1696" s="4" t="inlineStr">
        <is>
          <t>5635.04 BTB-Bleichstraße-Frankfurt-5.OG</t>
        </is>
      </c>
      <c r="B1696" s="4" t="inlineStr">
        <is>
          <t>● (a.N.) Pos.1 NAT-BSK für Flächen 5.OG</t>
        </is>
      </c>
      <c r="C1696" s="4" t="inlineStr">
        <is>
          <t>Nachweis</t>
        </is>
      </c>
      <c r="D1696" s="10" t="inlineStr">
        <is>
          <t>⚠ Manual erforderlich</t>
        </is>
      </c>
      <c r="E1696" s="11" t="inlineStr"/>
      <c r="F1696" s="11" t="n">
        <v>0</v>
      </c>
      <c r="G1696" s="11">
        <f>E1696-F1696</f>
        <v/>
      </c>
      <c r="H1696" s="11" t="n">
        <v/>
      </c>
      <c r="I1696" s="11" t="n">
        <v/>
      </c>
      <c r="J1696" s="11" t="n">
        <v/>
      </c>
      <c r="K1696" s="4" t="inlineStr">
        <is>
          <t>Stundensätze eingeben</t>
        </is>
      </c>
    </row>
    <row r="1697">
      <c r="A1697" s="4" t="inlineStr">
        <is>
          <t>5635.05 BSK-Bleichstraße-Frankfurt-Umbau-3.+4.OG</t>
        </is>
      </c>
      <c r="B1697" s="4" t="inlineStr">
        <is>
          <t>● (p) Pos.1-Anp. Brandschutzkonzeptpläne (3.+4. OG)</t>
        </is>
      </c>
      <c r="C1697" s="4" t="inlineStr">
        <is>
          <t>Pauschale</t>
        </is>
      </c>
      <c r="D1697" s="10" t="inlineStr">
        <is>
          <t>⚠ Manual erforderlich</t>
        </is>
      </c>
      <c r="E1697" s="11" t="inlineStr"/>
      <c r="F1697" s="11" t="n">
        <v>0</v>
      </c>
      <c r="G1697" s="11">
        <f>E1697-F1697</f>
        <v/>
      </c>
      <c r="H1697" s="11" t="n">
        <v>0</v>
      </c>
      <c r="I1697" s="11" t="n">
        <v>0</v>
      </c>
      <c r="J1697" s="11" t="n">
        <v>0</v>
      </c>
      <c r="K1697" s="4" t="inlineStr">
        <is>
          <t>Stundensätze eingeben</t>
        </is>
      </c>
    </row>
    <row r="1698">
      <c r="A1698" s="4" t="inlineStr">
        <is>
          <t>5635.05 BSK-Bleichstraße-Frankfurt-Umbau-3.+4.OG</t>
        </is>
      </c>
      <c r="B1698" s="4" t="inlineStr">
        <is>
          <t>● (a.N.) Pos.2-Brandschutztechn. Beratung</t>
        </is>
      </c>
      <c r="C1698" s="4" t="inlineStr">
        <is>
          <t>Nachweis</t>
        </is>
      </c>
      <c r="D1698" s="10" t="inlineStr">
        <is>
          <t>⚠ Manual erforderlich</t>
        </is>
      </c>
      <c r="E1698" s="11" t="inlineStr"/>
      <c r="F1698" s="11" t="n">
        <v>0</v>
      </c>
      <c r="G1698" s="11">
        <f>E1698-F1698</f>
        <v/>
      </c>
      <c r="H1698" s="11" t="n">
        <v/>
      </c>
      <c r="I1698" s="11" t="n">
        <v/>
      </c>
      <c r="J1698" s="11" t="n">
        <v/>
      </c>
      <c r="K1698" s="4" t="inlineStr">
        <is>
          <t>Stundensätze eingeben</t>
        </is>
      </c>
    </row>
    <row r="1699">
      <c r="A1699" s="4" t="inlineStr">
        <is>
          <t>5635.05 BSK-Bleichstraße-Frankfurt-Umbau-3.+4.OG</t>
        </is>
      </c>
      <c r="B1699" s="4" t="inlineStr">
        <is>
          <t>● (p) Pos.3-Anpassung FRP (3.+4. OG)</t>
        </is>
      </c>
      <c r="C1699" s="4" t="inlineStr">
        <is>
          <t>Pauschale</t>
        </is>
      </c>
      <c r="D1699" s="10" t="inlineStr">
        <is>
          <t>⚠ Manual erforderlich</t>
        </is>
      </c>
      <c r="E1699" s="11" t="inlineStr"/>
      <c r="F1699" s="11" t="n">
        <v>0</v>
      </c>
      <c r="G1699" s="11">
        <f>E1699-F1699</f>
        <v/>
      </c>
      <c r="H1699" s="11" t="n">
        <v>0</v>
      </c>
      <c r="I1699" s="11" t="n">
        <v>0</v>
      </c>
      <c r="J1699" s="11" t="n">
        <v>0</v>
      </c>
      <c r="K1699" s="4" t="inlineStr">
        <is>
          <t>Stundensätze eingeben</t>
        </is>
      </c>
    </row>
    <row r="1700">
      <c r="A1700" s="4" t="inlineStr">
        <is>
          <t>5635.05 BSK-Bleichstraße-Frankfurt-Umbau-3.+4.OG</t>
        </is>
      </c>
      <c r="B1700" s="4" t="inlineStr">
        <is>
          <t>● (p) Pos.4-Anp. FWP (3.+4. OG)</t>
        </is>
      </c>
      <c r="C1700" s="4" t="inlineStr">
        <is>
          <t>Pauschale</t>
        </is>
      </c>
      <c r="D1700" s="10" t="inlineStr">
        <is>
          <t>⚠ Manual erforderlich</t>
        </is>
      </c>
      <c r="E1700" s="11" t="inlineStr"/>
      <c r="F1700" s="11" t="n">
        <v>0</v>
      </c>
      <c r="G1700" s="11">
        <f>E1700-F1700</f>
        <v/>
      </c>
      <c r="H1700" s="11" t="n">
        <v>0</v>
      </c>
      <c r="I1700" s="11" t="n">
        <v>0</v>
      </c>
      <c r="J1700" s="11" t="n">
        <v>0</v>
      </c>
      <c r="K1700" s="4" t="inlineStr">
        <is>
          <t>Stundensätze eingeben</t>
        </is>
      </c>
    </row>
    <row r="1701">
      <c r="A1701" s="4" t="inlineStr">
        <is>
          <t>5635.07 BTB-Umbau-1.OG-Bleichstraße-Ffm</t>
        </is>
      </c>
      <c r="B1701" s="4" t="inlineStr">
        <is>
          <t>● (p) Pos.1 Anpassung Brandschutzkonzeptpläne 1.OG</t>
        </is>
      </c>
      <c r="C1701" s="4" t="inlineStr">
        <is>
          <t>Pauschale</t>
        </is>
      </c>
      <c r="D1701" s="10" t="inlineStr">
        <is>
          <t>⚠ Manual erforderlich</t>
        </is>
      </c>
      <c r="E1701" s="11" t="inlineStr"/>
      <c r="F1701" s="11" t="n">
        <v>0</v>
      </c>
      <c r="G1701" s="11">
        <f>E1701-F1701</f>
        <v/>
      </c>
      <c r="H1701" s="11" t="n">
        <v>0</v>
      </c>
      <c r="I1701" s="11" t="n">
        <v>0</v>
      </c>
      <c r="J1701" s="11" t="n">
        <v>0</v>
      </c>
      <c r="K1701" s="4" t="inlineStr">
        <is>
          <t>Stundensätze eingeben</t>
        </is>
      </c>
    </row>
    <row r="1702">
      <c r="A1702" s="4" t="inlineStr">
        <is>
          <t>5635.07 BTB-Umbau-1.OG-Bleichstraße-Ffm</t>
        </is>
      </c>
      <c r="B1702" s="4" t="inlineStr">
        <is>
          <t>● (a.N.) Pos.2 BTB</t>
        </is>
      </c>
      <c r="C1702" s="4" t="inlineStr">
        <is>
          <t>Nachweis</t>
        </is>
      </c>
      <c r="D1702" s="10" t="inlineStr">
        <is>
          <t>⚠ Manual erforderlich</t>
        </is>
      </c>
      <c r="E1702" s="11" t="inlineStr"/>
      <c r="F1702" s="11" t="n">
        <v>0</v>
      </c>
      <c r="G1702" s="11">
        <f>E1702-F1702</f>
        <v/>
      </c>
      <c r="H1702" s="11" t="n">
        <v/>
      </c>
      <c r="I1702" s="11" t="n">
        <v/>
      </c>
      <c r="J1702" s="11" t="n">
        <v/>
      </c>
      <c r="K1702" s="4" t="inlineStr">
        <is>
          <t>Stundensätze eingeben</t>
        </is>
      </c>
    </row>
    <row r="1703">
      <c r="A1703" s="4" t="inlineStr">
        <is>
          <t>5635.07 BTB-Umbau-1.OG-Bleichstraße-Ffm</t>
        </is>
      </c>
      <c r="B1703" s="4" t="inlineStr">
        <is>
          <t>●  (p) Pos.3 Anpassung FRP 1.OG</t>
        </is>
      </c>
      <c r="C1703" s="4" t="inlineStr">
        <is>
          <t>Pauschale</t>
        </is>
      </c>
      <c r="D1703" s="10" t="inlineStr">
        <is>
          <t>⚠ Manual erforderlich</t>
        </is>
      </c>
      <c r="E1703" s="11" t="inlineStr"/>
      <c r="F1703" s="11" t="n">
        <v>0</v>
      </c>
      <c r="G1703" s="11">
        <f>E1703-F1703</f>
        <v/>
      </c>
      <c r="H1703" s="11" t="n">
        <v>0</v>
      </c>
      <c r="I1703" s="11" t="n">
        <v>0</v>
      </c>
      <c r="J1703" s="11" t="n">
        <v>0</v>
      </c>
      <c r="K1703" s="4" t="inlineStr">
        <is>
          <t>Stundensätze eingeben</t>
        </is>
      </c>
    </row>
    <row r="1704">
      <c r="A1704" s="4" t="inlineStr">
        <is>
          <t>5635.07 BTB-Umbau-1.OG-Bleichstraße-Ffm</t>
        </is>
      </c>
      <c r="B1704" s="4" t="inlineStr">
        <is>
          <t>● (p) Pos.4 Anpassung FWP 1.OG</t>
        </is>
      </c>
      <c r="C1704" s="4" t="inlineStr">
        <is>
          <t>Pauschale</t>
        </is>
      </c>
      <c r="D1704" s="10" t="inlineStr">
        <is>
          <t>⚠ Manual erforderlich</t>
        </is>
      </c>
      <c r="E1704" s="11" t="inlineStr"/>
      <c r="F1704" s="11" t="n">
        <v>0</v>
      </c>
      <c r="G1704" s="11">
        <f>E1704-F1704</f>
        <v/>
      </c>
      <c r="H1704" s="11" t="n">
        <v>0</v>
      </c>
      <c r="I1704" s="11" t="n">
        <v>0</v>
      </c>
      <c r="J1704" s="11" t="n">
        <v>0</v>
      </c>
      <c r="K1704" s="4" t="inlineStr">
        <is>
          <t>Stundensätze eingeben</t>
        </is>
      </c>
    </row>
    <row r="1705">
      <c r="A1705" s="4" t="inlineStr">
        <is>
          <t>5635.08 BSB-09-2024-Bleichstraße-2-4-Frankfurt</t>
        </is>
      </c>
      <c r="B1705" s="4" t="inlineStr">
        <is>
          <t>● (a.N.) BSB 01.09.2024-31.08.2025</t>
        </is>
      </c>
      <c r="C1705" s="4" t="inlineStr">
        <is>
          <t>Nachweis</t>
        </is>
      </c>
      <c r="D1705" s="10" t="inlineStr">
        <is>
          <t>⚠ Manual erforderlich</t>
        </is>
      </c>
      <c r="E1705" s="11" t="inlineStr"/>
      <c r="F1705" s="11" t="n">
        <v>0</v>
      </c>
      <c r="G1705" s="11">
        <f>E1705-F1705</f>
        <v/>
      </c>
      <c r="H1705" s="11" t="n">
        <v/>
      </c>
      <c r="I1705" s="11" t="n">
        <v/>
      </c>
      <c r="J1705" s="11" t="n">
        <v/>
      </c>
      <c r="K1705" s="4" t="inlineStr">
        <is>
          <t>Stundensätze eingeben</t>
        </is>
      </c>
    </row>
    <row r="1706">
      <c r="A1706" s="4" t="inlineStr">
        <is>
          <t>5635.09 BSB-09-2025-Bleichstraße-2-4-Frankfurt</t>
        </is>
      </c>
      <c r="B1706" s="4" t="inlineStr">
        <is>
          <t>● (a.N.) BSB 01.09.2025-31.08.2026</t>
        </is>
      </c>
      <c r="C1706" s="4" t="inlineStr">
        <is>
          <t>Nachweis</t>
        </is>
      </c>
      <c r="D1706" s="10" t="inlineStr">
        <is>
          <t>⚠ Manual erforderlich</t>
        </is>
      </c>
      <c r="E1706" s="11" t="inlineStr"/>
      <c r="F1706" s="11" t="n">
        <v>0</v>
      </c>
      <c r="G1706" s="11">
        <f>E1706-F1706</f>
        <v/>
      </c>
      <c r="H1706" s="11" t="n">
        <v/>
      </c>
      <c r="I1706" s="11" t="n">
        <v/>
      </c>
      <c r="J1706" s="11" t="n">
        <v/>
      </c>
      <c r="K1706" s="4" t="inlineStr">
        <is>
          <t>Stundensätze eingeben</t>
        </is>
      </c>
    </row>
    <row r="1707">
      <c r="A1707" s="4" t="inlineStr">
        <is>
          <t>5636 Aspenhaag-11-13-Kelsterbach</t>
        </is>
      </c>
      <c r="B1707" s="4" t="inlineStr">
        <is>
          <t>● 3000-Entwurfsplanung</t>
        </is>
      </c>
      <c r="C1707" s="9" t="inlineStr">
        <is>
          <t>Unbekannt</t>
        </is>
      </c>
      <c r="D1707" s="10" t="inlineStr">
        <is>
          <t>⚠ Manual erforderlich</t>
        </is>
      </c>
      <c r="E1707" s="11" t="inlineStr"/>
      <c r="F1707" s="11" t="n">
        <v>0</v>
      </c>
      <c r="G1707" s="11">
        <f>E1707-F1707</f>
        <v/>
      </c>
      <c r="H1707" s="11" t="n">
        <v/>
      </c>
      <c r="I1707" s="11" t="n">
        <v/>
      </c>
      <c r="J1707" s="11" t="n">
        <v/>
      </c>
      <c r="K1707" s="4" t="inlineStr">
        <is>
          <t>Abrechnungsart wählen; Stundensätze eingeben</t>
        </is>
      </c>
    </row>
    <row r="1708">
      <c r="A1708" s="4" t="inlineStr">
        <is>
          <t>5639 Killisfeldstraße-18-Karlsruhe</t>
        </is>
      </c>
      <c r="B1708" s="4" t="inlineStr">
        <is>
          <t>● 1000-Grundlagenermittlung</t>
        </is>
      </c>
      <c r="C1708" s="9" t="inlineStr">
        <is>
          <t>Unbekannt</t>
        </is>
      </c>
      <c r="D1708" s="10" t="inlineStr">
        <is>
          <t>⚠ Manual erforderlich</t>
        </is>
      </c>
      <c r="E1708" s="11" t="inlineStr"/>
      <c r="F1708" s="11" t="n">
        <v>0</v>
      </c>
      <c r="G1708" s="11">
        <f>E1708-F1708</f>
        <v/>
      </c>
      <c r="H1708" s="11" t="n">
        <v/>
      </c>
      <c r="I1708" s="11" t="n">
        <v/>
      </c>
      <c r="J1708" s="11" t="n">
        <v/>
      </c>
      <c r="K1708" s="4" t="inlineStr">
        <is>
          <t>Abrechnungsart wählen; Stundensätze eingeben</t>
        </is>
      </c>
    </row>
    <row r="1709">
      <c r="A1709" s="4" t="inlineStr">
        <is>
          <t>5639 Killisfeldstraße-18-Karlsruhe</t>
        </is>
      </c>
      <c r="B1709" s="4" t="inlineStr">
        <is>
          <t>● 2000-Vorplanung</t>
        </is>
      </c>
      <c r="C1709" s="9" t="inlineStr">
        <is>
          <t>Unbekannt</t>
        </is>
      </c>
      <c r="D1709" s="10" t="inlineStr">
        <is>
          <t>⚠ Manual erforderlich</t>
        </is>
      </c>
      <c r="E1709" s="11" t="inlineStr"/>
      <c r="F1709" s="11" t="n">
        <v>0</v>
      </c>
      <c r="G1709" s="11">
        <f>E1709-F1709</f>
        <v/>
      </c>
      <c r="H1709" s="11" t="n">
        <v/>
      </c>
      <c r="I1709" s="11" t="n">
        <v/>
      </c>
      <c r="J1709" s="11" t="n">
        <v/>
      </c>
      <c r="K1709" s="4" t="inlineStr">
        <is>
          <t>Abrechnungsart wählen; Stundensätze eingeben</t>
        </is>
      </c>
    </row>
    <row r="1710">
      <c r="A1710" s="4" t="inlineStr">
        <is>
          <t>5639 Killisfeldstraße-18-Karlsruhe</t>
        </is>
      </c>
      <c r="B1710" s="4" t="inlineStr">
        <is>
          <t>● 3000-Entwurfsplanung</t>
        </is>
      </c>
      <c r="C1710" s="9" t="inlineStr">
        <is>
          <t>Unbekannt</t>
        </is>
      </c>
      <c r="D1710" s="10" t="inlineStr">
        <is>
          <t>⚠ Manual erforderlich</t>
        </is>
      </c>
      <c r="E1710" s="11" t="inlineStr"/>
      <c r="F1710" s="11" t="n">
        <v>0</v>
      </c>
      <c r="G1710" s="11">
        <f>E1710-F1710</f>
        <v/>
      </c>
      <c r="H1710" s="11" t="n">
        <v/>
      </c>
      <c r="I1710" s="11" t="n">
        <v/>
      </c>
      <c r="J1710" s="11" t="n">
        <v/>
      </c>
      <c r="K1710" s="4" t="inlineStr">
        <is>
          <t>Abrechnungsart wählen; Stundensätze eingeben</t>
        </is>
      </c>
    </row>
    <row r="1711">
      <c r="A1711" s="4" t="inlineStr">
        <is>
          <t>5639 Killisfeldstraße-18-Karlsruhe</t>
        </is>
      </c>
      <c r="B1711" s="4" t="inlineStr">
        <is>
          <t>● 4000-Genehmigungsplanung</t>
        </is>
      </c>
      <c r="C1711" s="9" t="inlineStr">
        <is>
          <t>Unbekannt</t>
        </is>
      </c>
      <c r="D1711" s="10" t="inlineStr">
        <is>
          <t>⚠ Manual erforderlich</t>
        </is>
      </c>
      <c r="E1711" s="11" t="inlineStr"/>
      <c r="F1711" s="11" t="n">
        <v>0</v>
      </c>
      <c r="G1711" s="11">
        <f>E1711-F1711</f>
        <v/>
      </c>
      <c r="H1711" s="11" t="n">
        <v/>
      </c>
      <c r="I1711" s="11" t="n">
        <v/>
      </c>
      <c r="J1711" s="11" t="n">
        <v/>
      </c>
      <c r="K1711" s="4" t="inlineStr">
        <is>
          <t>Abrechnungsart wählen; Stundensätze eingeben</t>
        </is>
      </c>
    </row>
    <row r="1712">
      <c r="A1712" s="4" t="inlineStr">
        <is>
          <t>5639 Killisfeldstraße-18-Karlsruhe</t>
        </is>
      </c>
      <c r="B1712" s="4" t="inlineStr">
        <is>
          <t>● 8000-Objektüberwachung</t>
        </is>
      </c>
      <c r="C1712" s="9" t="inlineStr">
        <is>
          <t>Unbekannt</t>
        </is>
      </c>
      <c r="D1712" s="10" t="inlineStr">
        <is>
          <t>⚠ Manual erforderlich</t>
        </is>
      </c>
      <c r="E1712" s="11" t="inlineStr"/>
      <c r="F1712" s="11" t="n">
        <v>0</v>
      </c>
      <c r="G1712" s="11">
        <f>E1712-F1712</f>
        <v/>
      </c>
      <c r="H1712" s="11" t="n">
        <v/>
      </c>
      <c r="I1712" s="11" t="n">
        <v/>
      </c>
      <c r="J1712" s="11" t="n">
        <v/>
      </c>
      <c r="K1712" s="4" t="inlineStr">
        <is>
          <t>Abrechnungsart wählen; Stundensätze eingeben</t>
        </is>
      </c>
    </row>
    <row r="1713">
      <c r="A1713" s="4" t="inlineStr">
        <is>
          <t>5640.03 BAB-Eppelheimer-Straße-8-Heidelberg-Köster</t>
        </is>
      </c>
      <c r="B1713" s="4" t="inlineStr">
        <is>
          <t>● 5000-Ausführungsplanung</t>
        </is>
      </c>
      <c r="C1713" s="9" t="inlineStr">
        <is>
          <t>Unbekannt</t>
        </is>
      </c>
      <c r="D1713" s="10" t="inlineStr">
        <is>
          <t>⚠ Manual erforderlich</t>
        </is>
      </c>
      <c r="E1713" s="11" t="inlineStr"/>
      <c r="F1713" s="11" t="n">
        <v>0</v>
      </c>
      <c r="G1713" s="11">
        <f>E1713-F1713</f>
        <v/>
      </c>
      <c r="H1713" s="11" t="n">
        <v/>
      </c>
      <c r="I1713" s="11" t="n">
        <v/>
      </c>
      <c r="J1713" s="11" t="n">
        <v/>
      </c>
      <c r="K1713" s="4" t="inlineStr">
        <is>
          <t>Abrechnungsart wählen; Stundensätze eingeben</t>
        </is>
      </c>
    </row>
    <row r="1714">
      <c r="A1714" s="4" t="inlineStr">
        <is>
          <t>5640.03 BAB-Eppelheimer-Straße-8-Heidelberg-Köster</t>
        </is>
      </c>
      <c r="B1714" s="4" t="inlineStr">
        <is>
          <t>● 8000-Objektüberwachung</t>
        </is>
      </c>
      <c r="C1714" s="9" t="inlineStr">
        <is>
          <t>Unbekannt</t>
        </is>
      </c>
      <c r="D1714" s="10" t="inlineStr">
        <is>
          <t>⚠ Manual erforderlich</t>
        </is>
      </c>
      <c r="E1714" s="11" t="inlineStr"/>
      <c r="F1714" s="11" t="n">
        <v>0</v>
      </c>
      <c r="G1714" s="11">
        <f>E1714-F1714</f>
        <v/>
      </c>
      <c r="H1714" s="11" t="n">
        <v/>
      </c>
      <c r="I1714" s="11" t="n">
        <v/>
      </c>
      <c r="J1714" s="11" t="n">
        <v/>
      </c>
      <c r="K1714" s="4" t="inlineStr">
        <is>
          <t>Abrechnungsart wählen; Stundensätze eingeben</t>
        </is>
      </c>
    </row>
    <row r="1715">
      <c r="A1715" s="4" t="inlineStr">
        <is>
          <t>5640.03 BAB-Eppelheimer-Straße-8-Heidelberg-Köster</t>
        </is>
      </c>
      <c r="B1715" s="4" t="inlineStr">
        <is>
          <t>● 9000-Objektbetreuung und Dokumentation</t>
        </is>
      </c>
      <c r="C1715" s="9" t="inlineStr">
        <is>
          <t>Unbekannt</t>
        </is>
      </c>
      <c r="D1715" s="10" t="inlineStr">
        <is>
          <t>⚠ Manual erforderlich</t>
        </is>
      </c>
      <c r="E1715" s="11" t="inlineStr"/>
      <c r="F1715" s="11" t="n">
        <v>0</v>
      </c>
      <c r="G1715" s="11">
        <f>E1715-F1715</f>
        <v/>
      </c>
      <c r="H1715" s="11" t="n">
        <v/>
      </c>
      <c r="I1715" s="11" t="n">
        <v/>
      </c>
      <c r="J1715" s="11" t="n">
        <v/>
      </c>
      <c r="K1715" s="4" t="inlineStr">
        <is>
          <t>Abrechnungsart wählen; Stundensätze eingeben</t>
        </is>
      </c>
    </row>
    <row r="1716">
      <c r="A1716" s="4" t="inlineStr">
        <is>
          <t>5640.06 Erhard+Stern-BAB-EppelheimerStr8-Heidelberg</t>
        </is>
      </c>
      <c r="B1716" s="4" t="inlineStr">
        <is>
          <t>● (aN) BAB</t>
        </is>
      </c>
      <c r="C1716" s="4" t="inlineStr">
        <is>
          <t>Nachweis</t>
        </is>
      </c>
      <c r="D1716" s="10" t="inlineStr">
        <is>
          <t>⚠ Manual erforderlich</t>
        </is>
      </c>
      <c r="E1716" s="11" t="inlineStr"/>
      <c r="F1716" s="11" t="n">
        <v>0</v>
      </c>
      <c r="G1716" s="11">
        <f>E1716-F1716</f>
        <v/>
      </c>
      <c r="H1716" s="11" t="n">
        <v/>
      </c>
      <c r="I1716" s="11" t="n">
        <v/>
      </c>
      <c r="J1716" s="11" t="n">
        <v/>
      </c>
      <c r="K1716" s="4" t="inlineStr">
        <is>
          <t>Stundensätze eingeben</t>
        </is>
      </c>
    </row>
    <row r="1717">
      <c r="A1717" s="4" t="inlineStr">
        <is>
          <t>5640.12 Swisslife-BTB-BSK-HCIII-Salutem-4.OG-Eppelheimerstr8-Heidelberg</t>
        </is>
      </c>
      <c r="B1717" s="4" t="inlineStr">
        <is>
          <t>● (aN) Pos. 1 BTB</t>
        </is>
      </c>
      <c r="C1717" s="4" t="inlineStr">
        <is>
          <t>Nachweis</t>
        </is>
      </c>
      <c r="D1717" s="10" t="inlineStr">
        <is>
          <t>⚠ Manual erforderlich</t>
        </is>
      </c>
      <c r="E1717" s="11" t="inlineStr"/>
      <c r="F1717" s="11" t="n">
        <v>0</v>
      </c>
      <c r="G1717" s="11">
        <f>E1717-F1717</f>
        <v/>
      </c>
      <c r="H1717" s="11" t="n">
        <v/>
      </c>
      <c r="I1717" s="11" t="n">
        <v/>
      </c>
      <c r="J1717" s="11" t="n">
        <v/>
      </c>
      <c r="K1717" s="4" t="inlineStr">
        <is>
          <t>Stundensätze eingeben</t>
        </is>
      </c>
    </row>
    <row r="1718">
      <c r="A1718" s="4" t="inlineStr">
        <is>
          <t>5640.12 Swisslife-BTB-BSK-HCIII-Salutem-4.OG-Eppelheimerstr8-Heidelberg</t>
        </is>
      </c>
      <c r="B1718" s="4" t="inlineStr">
        <is>
          <t>● (p) Pos. 2 Fortschr. BSK/-Pläne</t>
        </is>
      </c>
      <c r="C1718" s="4" t="inlineStr">
        <is>
          <t>Pauschale</t>
        </is>
      </c>
      <c r="D1718" s="10" t="inlineStr">
        <is>
          <t>⚠ Manual erforderlich</t>
        </is>
      </c>
      <c r="E1718" s="11" t="inlineStr"/>
      <c r="F1718" s="11" t="n">
        <v>0</v>
      </c>
      <c r="G1718" s="11">
        <f>E1718-F1718</f>
        <v/>
      </c>
      <c r="H1718" s="11" t="n">
        <v>0</v>
      </c>
      <c r="I1718" s="11" t="n">
        <v>0</v>
      </c>
      <c r="J1718" s="11" t="n">
        <v>0</v>
      </c>
      <c r="K1718" s="4" t="inlineStr">
        <is>
          <t>Stundensätze eingeben</t>
        </is>
      </c>
    </row>
    <row r="1719">
      <c r="A1719" s="4" t="inlineStr">
        <is>
          <t>5640.13 E&amp;S-Fortschr2-BSK-Eppelheimerstr8-Heidelberg</t>
        </is>
      </c>
      <c r="B1719" s="4" t="inlineStr">
        <is>
          <t>● (p) Pos. 1 Fortschr. BSK</t>
        </is>
      </c>
      <c r="C1719" s="4" t="inlineStr">
        <is>
          <t>Pauschale</t>
        </is>
      </c>
      <c r="D1719" s="10" t="inlineStr">
        <is>
          <t>⚠ Manual erforderlich</t>
        </is>
      </c>
      <c r="E1719" s="11" t="inlineStr"/>
      <c r="F1719" s="11" t="n">
        <v>0</v>
      </c>
      <c r="G1719" s="11">
        <f>E1719-F1719</f>
        <v/>
      </c>
      <c r="H1719" s="11" t="n">
        <v>0</v>
      </c>
      <c r="I1719" s="11" t="n">
        <v>0</v>
      </c>
      <c r="J1719" s="11" t="n">
        <v>0</v>
      </c>
      <c r="K1719" s="4" t="inlineStr">
        <is>
          <t>Stundensätze eingeben</t>
        </is>
      </c>
    </row>
    <row r="1720">
      <c r="A1720" s="4" t="inlineStr">
        <is>
          <t>5641 Interimsgebäude-Hbf-Stuttgart-3-Geschosse</t>
        </is>
      </c>
      <c r="B1720" s="4" t="inlineStr">
        <is>
          <t>● 0000-Akquise</t>
        </is>
      </c>
      <c r="C1720" s="9" t="inlineStr">
        <is>
          <t>Unbekannt</t>
        </is>
      </c>
      <c r="D1720" s="10" t="inlineStr">
        <is>
          <t>⚠ Manual erforderlich</t>
        </is>
      </c>
      <c r="E1720" s="11" t="inlineStr"/>
      <c r="F1720" s="11" t="n">
        <v>0</v>
      </c>
      <c r="G1720" s="11">
        <f>E1720-F1720</f>
        <v/>
      </c>
      <c r="H1720" s="11" t="n">
        <v/>
      </c>
      <c r="I1720" s="11" t="n">
        <v/>
      </c>
      <c r="J1720" s="11" t="n">
        <v/>
      </c>
      <c r="K1720" s="4" t="inlineStr">
        <is>
          <t>Abrechnungsart wählen; Stundensätze eingeben</t>
        </is>
      </c>
    </row>
    <row r="1721">
      <c r="A1721" s="4" t="inlineStr">
        <is>
          <t>5641 Interimsgebäude-Hbf-Stuttgart-3-Geschosse</t>
        </is>
      </c>
      <c r="B1721" s="4" t="inlineStr">
        <is>
          <t>● 2000-Vorplanung</t>
        </is>
      </c>
      <c r="C1721" s="9" t="inlineStr">
        <is>
          <t>Unbekannt</t>
        </is>
      </c>
      <c r="D1721" s="10" t="inlineStr">
        <is>
          <t>⚠ Manual erforderlich</t>
        </is>
      </c>
      <c r="E1721" s="11" t="inlineStr"/>
      <c r="F1721" s="11" t="n">
        <v>0</v>
      </c>
      <c r="G1721" s="11">
        <f>E1721-F1721</f>
        <v/>
      </c>
      <c r="H1721" s="11" t="n">
        <v/>
      </c>
      <c r="I1721" s="11" t="n">
        <v/>
      </c>
      <c r="J1721" s="11" t="n">
        <v/>
      </c>
      <c r="K1721" s="4" t="inlineStr">
        <is>
          <t>Abrechnungsart wählen; Stundensätze eingeben</t>
        </is>
      </c>
    </row>
    <row r="1722">
      <c r="A1722" s="4" t="inlineStr">
        <is>
          <t>5641 Interimsgebäude-Hbf-Stuttgart-3-Geschosse</t>
        </is>
      </c>
      <c r="B1722" s="4" t="inlineStr">
        <is>
          <t>● 3000-Entwurfsplanung</t>
        </is>
      </c>
      <c r="C1722" s="9" t="inlineStr">
        <is>
          <t>Unbekannt</t>
        </is>
      </c>
      <c r="D1722" s="10" t="inlineStr">
        <is>
          <t>⚠ Manual erforderlich</t>
        </is>
      </c>
      <c r="E1722" s="11" t="inlineStr"/>
      <c r="F1722" s="11" t="n">
        <v>0</v>
      </c>
      <c r="G1722" s="11">
        <f>E1722-F1722</f>
        <v/>
      </c>
      <c r="H1722" s="11" t="n">
        <v/>
      </c>
      <c r="I1722" s="11" t="n">
        <v/>
      </c>
      <c r="J1722" s="11" t="n">
        <v/>
      </c>
      <c r="K1722" s="4" t="inlineStr">
        <is>
          <t>Abrechnungsart wählen; Stundensätze eingeben</t>
        </is>
      </c>
    </row>
    <row r="1723">
      <c r="A1723" s="4" t="inlineStr">
        <is>
          <t>5641 Interimsgebäude-Hbf-Stuttgart-3-Geschosse</t>
        </is>
      </c>
      <c r="B1723" s="4" t="inlineStr">
        <is>
          <t>● 4000-Genehmigungsplanung</t>
        </is>
      </c>
      <c r="C1723" s="9" t="inlineStr">
        <is>
          <t>Unbekannt</t>
        </is>
      </c>
      <c r="D1723" s="10" t="inlineStr">
        <is>
          <t>⚠ Manual erforderlich</t>
        </is>
      </c>
      <c r="E1723" s="11" t="inlineStr"/>
      <c r="F1723" s="11" t="n">
        <v>0</v>
      </c>
      <c r="G1723" s="11">
        <f>E1723-F1723</f>
        <v/>
      </c>
      <c r="H1723" s="11" t="n">
        <v/>
      </c>
      <c r="I1723" s="11" t="n">
        <v/>
      </c>
      <c r="J1723" s="11" t="n">
        <v/>
      </c>
      <c r="K1723" s="4" t="inlineStr">
        <is>
          <t>Abrechnungsart wählen; Stundensätze eingeben</t>
        </is>
      </c>
    </row>
    <row r="1724">
      <c r="A1724" s="4" t="inlineStr">
        <is>
          <t>5641 Interimsgebäude-Hbf-Stuttgart-3-Geschosse</t>
        </is>
      </c>
      <c r="B1724" s="4" t="inlineStr">
        <is>
          <t>● 5000-Ausführungsplanung</t>
        </is>
      </c>
      <c r="C1724" s="9" t="inlineStr">
        <is>
          <t>Unbekannt</t>
        </is>
      </c>
      <c r="D1724" s="10" t="inlineStr">
        <is>
          <t>⚠ Manual erforderlich</t>
        </is>
      </c>
      <c r="E1724" s="11" t="inlineStr"/>
      <c r="F1724" s="11" t="n">
        <v>0</v>
      </c>
      <c r="G1724" s="11">
        <f>E1724-F1724</f>
        <v/>
      </c>
      <c r="H1724" s="11" t="n">
        <v/>
      </c>
      <c r="I1724" s="11" t="n">
        <v/>
      </c>
      <c r="J1724" s="11" t="n">
        <v/>
      </c>
      <c r="K1724" s="4" t="inlineStr">
        <is>
          <t>Abrechnungsart wählen; Stundensätze eingeben</t>
        </is>
      </c>
    </row>
    <row r="1725">
      <c r="A1725" s="4" t="inlineStr">
        <is>
          <t>5641 Interimsgebäude-Hbf-Stuttgart-3-Geschosse</t>
        </is>
      </c>
      <c r="B1725" s="4" t="inlineStr">
        <is>
          <t>● 8000-Objektüberwachung</t>
        </is>
      </c>
      <c r="C1725" s="9" t="inlineStr">
        <is>
          <t>Unbekannt</t>
        </is>
      </c>
      <c r="D1725" s="10" t="inlineStr">
        <is>
          <t>⚠ Manual erforderlich</t>
        </is>
      </c>
      <c r="E1725" s="11" t="inlineStr"/>
      <c r="F1725" s="11" t="n">
        <v>0</v>
      </c>
      <c r="G1725" s="11">
        <f>E1725-F1725</f>
        <v/>
      </c>
      <c r="H1725" s="11" t="n">
        <v/>
      </c>
      <c r="I1725" s="11" t="n">
        <v/>
      </c>
      <c r="J1725" s="11" t="n">
        <v/>
      </c>
      <c r="K1725" s="4" t="inlineStr">
        <is>
          <t>Abrechnungsart wählen; Stundensätze eingeben</t>
        </is>
      </c>
    </row>
    <row r="1726">
      <c r="A1726" s="4" t="inlineStr">
        <is>
          <t>5646.02 Quantum-Fortschr-BSK-Reuterweg-47-Frankfurt</t>
        </is>
      </c>
      <c r="B1726" s="4" t="inlineStr">
        <is>
          <t>● Pos. 1 Fortschr. BSK pauschal</t>
        </is>
      </c>
      <c r="C1726" s="9" t="inlineStr">
        <is>
          <t>Unbekannt</t>
        </is>
      </c>
      <c r="D1726" s="10" t="inlineStr">
        <is>
          <t>⚠ Manual erforderlich</t>
        </is>
      </c>
      <c r="E1726" s="11" t="inlineStr"/>
      <c r="F1726" s="11" t="n">
        <v>0</v>
      </c>
      <c r="G1726" s="11">
        <f>E1726-F1726</f>
        <v/>
      </c>
      <c r="H1726" s="11" t="n">
        <v/>
      </c>
      <c r="I1726" s="11" t="n">
        <v/>
      </c>
      <c r="J1726" s="11" t="n">
        <v/>
      </c>
      <c r="K1726" s="4" t="inlineStr">
        <is>
          <t>Abrechnungsart wählen; Stundensätze eingeben</t>
        </is>
      </c>
    </row>
    <row r="1727">
      <c r="A1727" s="4" t="inlineStr">
        <is>
          <t>5646.02 Quantum-Fortschr-BSK-Reuterweg-47-Frankfurt</t>
        </is>
      </c>
      <c r="B1727" s="4" t="inlineStr">
        <is>
          <t>● Pos. 2 BAB a.N.</t>
        </is>
      </c>
      <c r="C1727" s="9" t="inlineStr">
        <is>
          <t>Unbekannt</t>
        </is>
      </c>
      <c r="D1727" s="10" t="inlineStr">
        <is>
          <t>⚠ Manual erforderlich</t>
        </is>
      </c>
      <c r="E1727" s="11" t="inlineStr"/>
      <c r="F1727" s="11" t="n">
        <v>0</v>
      </c>
      <c r="G1727" s="11">
        <f>E1727-F1727</f>
        <v/>
      </c>
      <c r="H1727" s="11" t="n">
        <v/>
      </c>
      <c r="I1727" s="11" t="n">
        <v/>
      </c>
      <c r="J1727" s="11" t="n">
        <v/>
      </c>
      <c r="K1727" s="4" t="inlineStr">
        <is>
          <t>Abrechnungsart wählen; Stundensätze eingeben</t>
        </is>
      </c>
    </row>
    <row r="1728">
      <c r="A1728" s="4" t="inlineStr">
        <is>
          <t>5646.02 Quantum-Fortschr-BSK-Reuterweg-47-Frankfurt</t>
        </is>
      </c>
      <c r="B1728" s="4" t="inlineStr">
        <is>
          <t>● Pos. 3 BTB a.N.</t>
        </is>
      </c>
      <c r="C1728" s="9" t="inlineStr">
        <is>
          <t>Unbekannt</t>
        </is>
      </c>
      <c r="D1728" s="10" t="inlineStr">
        <is>
          <t>⚠ Manual erforderlich</t>
        </is>
      </c>
      <c r="E1728" s="11" t="inlineStr"/>
      <c r="F1728" s="11" t="n">
        <v>0</v>
      </c>
      <c r="G1728" s="11">
        <f>E1728-F1728</f>
        <v/>
      </c>
      <c r="H1728" s="11" t="n">
        <v/>
      </c>
      <c r="I1728" s="11" t="n">
        <v/>
      </c>
      <c r="J1728" s="11" t="n">
        <v/>
      </c>
      <c r="K1728" s="4" t="inlineStr">
        <is>
          <t>Abrechnungsart wählen; Stundensätze eingeben</t>
        </is>
      </c>
    </row>
    <row r="1729">
      <c r="A1729" s="4" t="inlineStr">
        <is>
          <t>5646.02 Quantum-Fortschr-BSK-Reuterweg-47-Frankfurt</t>
        </is>
      </c>
      <c r="B1729" s="4" t="inlineStr">
        <is>
          <t>● Pos. 4 FWP pauschal</t>
        </is>
      </c>
      <c r="C1729" s="9" t="inlineStr">
        <is>
          <t>Unbekannt</t>
        </is>
      </c>
      <c r="D1729" s="10" t="inlineStr">
        <is>
          <t>⚠ Manual erforderlich</t>
        </is>
      </c>
      <c r="E1729" s="11" t="inlineStr"/>
      <c r="F1729" s="11" t="n">
        <v>0</v>
      </c>
      <c r="G1729" s="11">
        <f>E1729-F1729</f>
        <v/>
      </c>
      <c r="H1729" s="11" t="n">
        <v/>
      </c>
      <c r="I1729" s="11" t="n">
        <v/>
      </c>
      <c r="J1729" s="11" t="n">
        <v/>
      </c>
      <c r="K1729" s="4" t="inlineStr">
        <is>
          <t>Abrechnungsart wählen; Stundensätze eingeben</t>
        </is>
      </c>
    </row>
    <row r="1730">
      <c r="A1730" s="4" t="inlineStr">
        <is>
          <t>5646.02 Quantum-Fortschr-BSK-Reuterweg-47-Frankfurt</t>
        </is>
      </c>
      <c r="B1730" s="4" t="inlineStr">
        <is>
          <t>● Pos. 5 FuR pauschal</t>
        </is>
      </c>
      <c r="C1730" s="9" t="inlineStr">
        <is>
          <t>Unbekannt</t>
        </is>
      </c>
      <c r="D1730" s="10" t="inlineStr">
        <is>
          <t>⚠ Manual erforderlich</t>
        </is>
      </c>
      <c r="E1730" s="11" t="inlineStr"/>
      <c r="F1730" s="11" t="n">
        <v>0</v>
      </c>
      <c r="G1730" s="11">
        <f>E1730-F1730</f>
        <v/>
      </c>
      <c r="H1730" s="11" t="n">
        <v/>
      </c>
      <c r="I1730" s="11" t="n">
        <v/>
      </c>
      <c r="J1730" s="11" t="n">
        <v/>
      </c>
      <c r="K1730" s="4" t="inlineStr">
        <is>
          <t>Abrechnungsart wählen; Stundensätze eingeben</t>
        </is>
      </c>
    </row>
    <row r="1731">
      <c r="A1731" s="4" t="inlineStr">
        <is>
          <t>5646.02 Quantum-Fortschr-BSK-Reuterweg-47-Frankfurt</t>
        </is>
      </c>
      <c r="B1731" s="4" t="inlineStr">
        <is>
          <t>● NA2 2024-04-04</t>
        </is>
      </c>
      <c r="C1731" s="9" t="inlineStr">
        <is>
          <t>Unbekannt</t>
        </is>
      </c>
      <c r="D1731" s="10" t="inlineStr">
        <is>
          <t>⚠ Manual erforderlich</t>
        </is>
      </c>
      <c r="E1731" s="11" t="inlineStr"/>
      <c r="F1731" s="11" t="n">
        <v>0</v>
      </c>
      <c r="G1731" s="11">
        <f>E1731-F1731</f>
        <v/>
      </c>
      <c r="H1731" s="11" t="n">
        <v/>
      </c>
      <c r="I1731" s="11" t="n">
        <v/>
      </c>
      <c r="J1731" s="11" t="n">
        <v/>
      </c>
      <c r="K1731" s="4" t="inlineStr">
        <is>
          <t>Abrechnungsart wählen; Stundensätze eingeben</t>
        </is>
      </c>
    </row>
    <row r="1732">
      <c r="A1732" s="4" t="inlineStr">
        <is>
          <t>5662.02 PrüfBSN-AntonSchlüterStr1-Frankfurt-HPPVO</t>
        </is>
      </c>
      <c r="B1732" s="4" t="inlineStr">
        <is>
          <t>● (aN) Pos. 1 Überwachung und Bescheinigung der übereinstimmenden Bauausführung gem. HPPVO</t>
        </is>
      </c>
      <c r="C1732" s="4" t="inlineStr">
        <is>
          <t>Nachweis</t>
        </is>
      </c>
      <c r="D1732" s="10" t="inlineStr">
        <is>
          <t>⚠ Manual erforderlich</t>
        </is>
      </c>
      <c r="E1732" s="11" t="inlineStr"/>
      <c r="F1732" s="11" t="n">
        <v>0</v>
      </c>
      <c r="G1732" s="11">
        <f>E1732-F1732</f>
        <v/>
      </c>
      <c r="H1732" s="11" t="n">
        <v/>
      </c>
      <c r="I1732" s="11" t="n">
        <v/>
      </c>
      <c r="J1732" s="11" t="n">
        <v/>
      </c>
      <c r="K1732" s="4" t="inlineStr">
        <is>
          <t>Stundensätze eingeben</t>
        </is>
      </c>
    </row>
    <row r="1733">
      <c r="A1733" s="4" t="inlineStr">
        <is>
          <t>5664.011 Geb-G1-FRP-Lauterstraße-50-Wolfstein</t>
        </is>
      </c>
      <c r="B1733" s="4" t="inlineStr">
        <is>
          <t>● (aN) Pos. 1 Begehung (CAD)</t>
        </is>
      </c>
      <c r="C1733" s="4" t="inlineStr">
        <is>
          <t>Nachweis</t>
        </is>
      </c>
      <c r="D1733" s="10" t="inlineStr">
        <is>
          <t>⚠ Manual erforderlich</t>
        </is>
      </c>
      <c r="E1733" s="11" t="inlineStr"/>
      <c r="F1733" s="11" t="n">
        <v>0</v>
      </c>
      <c r="G1733" s="11">
        <f>E1733-F1733</f>
        <v/>
      </c>
      <c r="H1733" s="11" t="n">
        <v/>
      </c>
      <c r="I1733" s="11" t="n">
        <v/>
      </c>
      <c r="J1733" s="11" t="n">
        <v/>
      </c>
      <c r="K1733" s="4" t="inlineStr">
        <is>
          <t>Stundensätze eingeben</t>
        </is>
      </c>
    </row>
    <row r="1734">
      <c r="A1734" s="4" t="inlineStr">
        <is>
          <t>5664.011 Geb-G1-FRP-Lauterstraße-50-Wolfstein</t>
        </is>
      </c>
      <c r="B1734" s="4" t="inlineStr">
        <is>
          <t>● (p) Pos. 2 FRP</t>
        </is>
      </c>
      <c r="C1734" s="4" t="inlineStr">
        <is>
          <t>Pauschale</t>
        </is>
      </c>
      <c r="D1734" s="10" t="inlineStr">
        <is>
          <t>⚠ Manual erforderlich</t>
        </is>
      </c>
      <c r="E1734" s="11" t="inlineStr"/>
      <c r="F1734" s="11" t="n">
        <v>0</v>
      </c>
      <c r="G1734" s="11">
        <f>E1734-F1734</f>
        <v/>
      </c>
      <c r="H1734" s="11" t="n">
        <v>0</v>
      </c>
      <c r="I1734" s="11" t="n">
        <v>0</v>
      </c>
      <c r="J1734" s="11" t="n">
        <v>0</v>
      </c>
      <c r="K1734" s="4" t="inlineStr">
        <is>
          <t>Stundensätze eingeben</t>
        </is>
      </c>
    </row>
    <row r="1735">
      <c r="A1735" s="4" t="inlineStr">
        <is>
          <t>5664.16 BAB-Geb-G2+3-Lauterstraße-50-Wolfstein</t>
        </is>
      </c>
      <c r="B1735" s="4" t="inlineStr">
        <is>
          <t>● Baubegleitung Geb. 2 (auf Nachweis)</t>
        </is>
      </c>
      <c r="C1735" s="9" t="inlineStr">
        <is>
          <t>Unbekannt</t>
        </is>
      </c>
      <c r="D1735" s="10" t="inlineStr">
        <is>
          <t>⚠ Manual erforderlich</t>
        </is>
      </c>
      <c r="E1735" s="11" t="inlineStr"/>
      <c r="F1735" s="11" t="n">
        <v>0</v>
      </c>
      <c r="G1735" s="11">
        <f>E1735-F1735</f>
        <v/>
      </c>
      <c r="H1735" s="11" t="n">
        <v/>
      </c>
      <c r="I1735" s="11" t="n">
        <v/>
      </c>
      <c r="J1735" s="11" t="n">
        <v/>
      </c>
      <c r="K1735" s="4" t="inlineStr">
        <is>
          <t>Abrechnungsart wählen; Stundensätze eingeben</t>
        </is>
      </c>
    </row>
    <row r="1736">
      <c r="A1736" s="4" t="inlineStr">
        <is>
          <t>5664.16 BAB-Geb-G2+3-Lauterstraße-50-Wolfstein</t>
        </is>
      </c>
      <c r="B1736" s="4" t="inlineStr">
        <is>
          <t>● Baubegleitung Geb. 3 (auf Nachweis)</t>
        </is>
      </c>
      <c r="C1736" s="9" t="inlineStr">
        <is>
          <t>Unbekannt</t>
        </is>
      </c>
      <c r="D1736" s="10" t="inlineStr">
        <is>
          <t>⚠ Manual erforderlich</t>
        </is>
      </c>
      <c r="E1736" s="11" t="inlineStr"/>
      <c r="F1736" s="11" t="n">
        <v>0</v>
      </c>
      <c r="G1736" s="11">
        <f>E1736-F1736</f>
        <v/>
      </c>
      <c r="H1736" s="11" t="n">
        <v/>
      </c>
      <c r="I1736" s="11" t="n">
        <v/>
      </c>
      <c r="J1736" s="11" t="n">
        <v/>
      </c>
      <c r="K1736" s="4" t="inlineStr">
        <is>
          <t>Abrechnungsart wählen; Stundensätze eingeben</t>
        </is>
      </c>
    </row>
    <row r="1737">
      <c r="A1737" s="4" t="inlineStr">
        <is>
          <t>5664.17 BSK-Anbau-G1-Lauterstraße-50-Wolfstein</t>
        </is>
      </c>
      <c r="B1737" s="4" t="inlineStr">
        <is>
          <t>● Behördentermine + Jourfix (auf Nachweis)</t>
        </is>
      </c>
      <c r="C1737" s="9" t="inlineStr">
        <is>
          <t>Unbekannt</t>
        </is>
      </c>
      <c r="D1737" s="10" t="inlineStr">
        <is>
          <t>⚠ Manual erforderlich</t>
        </is>
      </c>
      <c r="E1737" s="11" t="inlineStr"/>
      <c r="F1737" s="11" t="n">
        <v>0</v>
      </c>
      <c r="G1737" s="11">
        <f>E1737-F1737</f>
        <v/>
      </c>
      <c r="H1737" s="11" t="n">
        <v/>
      </c>
      <c r="I1737" s="11" t="n">
        <v/>
      </c>
      <c r="J1737" s="11" t="n">
        <v/>
      </c>
      <c r="K1737" s="4" t="inlineStr">
        <is>
          <t>Abrechnungsart wählen; Stundensätze eingeben</t>
        </is>
      </c>
    </row>
    <row r="1738">
      <c r="A1738" s="4" t="inlineStr">
        <is>
          <t>5664.17 BSK-Anbau-G1-Lauterstraße-50-Wolfstein</t>
        </is>
      </c>
      <c r="B1738" s="4" t="inlineStr">
        <is>
          <t>● BSK (pauschal)</t>
        </is>
      </c>
      <c r="C1738" s="9" t="inlineStr">
        <is>
          <t>Unbekannt</t>
        </is>
      </c>
      <c r="D1738" s="10" t="inlineStr">
        <is>
          <t>⚠ Manual erforderlich</t>
        </is>
      </c>
      <c r="E1738" s="11" t="inlineStr"/>
      <c r="F1738" s="11" t="n">
        <v>0</v>
      </c>
      <c r="G1738" s="11">
        <f>E1738-F1738</f>
        <v/>
      </c>
      <c r="H1738" s="11" t="n">
        <v/>
      </c>
      <c r="I1738" s="11" t="n">
        <v/>
      </c>
      <c r="J1738" s="11" t="n">
        <v/>
      </c>
      <c r="K1738" s="4" t="inlineStr">
        <is>
          <t>Abrechnungsart wählen; Stundensätze eingeben</t>
        </is>
      </c>
    </row>
    <row r="1739">
      <c r="A1739" s="4" t="inlineStr">
        <is>
          <t>5664.17 BSK-Anbau-G1-Lauterstraße-50-Wolfstein</t>
        </is>
      </c>
      <c r="B1739" s="4" t="inlineStr">
        <is>
          <t>● LP 5 Stundensammler</t>
        </is>
      </c>
      <c r="C1739" s="9" t="inlineStr">
        <is>
          <t>Unbekannt</t>
        </is>
      </c>
      <c r="D1739" s="10" t="inlineStr">
        <is>
          <t>⚠ Manual erforderlich</t>
        </is>
      </c>
      <c r="E1739" s="11" t="inlineStr"/>
      <c r="F1739" s="11" t="n">
        <v>0</v>
      </c>
      <c r="G1739" s="11">
        <f>E1739-F1739</f>
        <v/>
      </c>
      <c r="H1739" s="11" t="n">
        <v/>
      </c>
      <c r="I1739" s="11" t="n">
        <v/>
      </c>
      <c r="J1739" s="11" t="n">
        <v/>
      </c>
      <c r="K1739" s="4" t="inlineStr">
        <is>
          <t>Abrechnungsart wählen; Stundensätze eingeben</t>
        </is>
      </c>
    </row>
    <row r="1740">
      <c r="A1740" s="4" t="inlineStr">
        <is>
          <t>5664.17 BSK-Anbau-G1-Lauterstraße-50-Wolfstein</t>
        </is>
      </c>
      <c r="B1740" s="4" t="inlineStr">
        <is>
          <t>● LP 8 Stundensammler</t>
        </is>
      </c>
      <c r="C1740" s="9" t="inlineStr">
        <is>
          <t>Unbekannt</t>
        </is>
      </c>
      <c r="D1740" s="10" t="inlineStr">
        <is>
          <t>⚠ Manual erforderlich</t>
        </is>
      </c>
      <c r="E1740" s="11" t="inlineStr"/>
      <c r="F1740" s="11" t="n">
        <v>0</v>
      </c>
      <c r="G1740" s="11">
        <f>E1740-F1740</f>
        <v/>
      </c>
      <c r="H1740" s="11" t="n">
        <v/>
      </c>
      <c r="I1740" s="11" t="n">
        <v/>
      </c>
      <c r="J1740" s="11" t="n">
        <v/>
      </c>
      <c r="K1740" s="4" t="inlineStr">
        <is>
          <t>Abrechnungsart wählen; Stundensätze eingeben</t>
        </is>
      </c>
    </row>
    <row r="1741">
      <c r="A1741" s="4" t="inlineStr">
        <is>
          <t>5664.171 KOF-Anbau-G1-Lauterstraße-50-Wolfstein</t>
        </is>
      </c>
      <c r="B1741" s="4" t="inlineStr">
        <is>
          <t>● (aN) Pos. 1 BTB LP 5 (SV)</t>
        </is>
      </c>
      <c r="C1741" s="4" t="inlineStr">
        <is>
          <t>Nachweis</t>
        </is>
      </c>
      <c r="D1741" s="10" t="inlineStr">
        <is>
          <t>⚠ Manual erforderlich</t>
        </is>
      </c>
      <c r="E1741" s="11" t="inlineStr"/>
      <c r="F1741" s="11" t="n">
        <v>0</v>
      </c>
      <c r="G1741" s="11">
        <f>E1741-F1741</f>
        <v/>
      </c>
      <c r="H1741" s="11" t="n">
        <v/>
      </c>
      <c r="I1741" s="11" t="n">
        <v/>
      </c>
      <c r="J1741" s="11" t="n">
        <v/>
      </c>
      <c r="K1741" s="4" t="inlineStr">
        <is>
          <t>Stundensätze eingeben</t>
        </is>
      </c>
    </row>
    <row r="1742">
      <c r="A1742" s="4" t="inlineStr">
        <is>
          <t>5664.171 KOF-Anbau-G1-Lauterstraße-50-Wolfstein</t>
        </is>
      </c>
      <c r="B1742" s="4" t="inlineStr">
        <is>
          <t>● (aN) Pos. 2 BAB LP 8 (SV)</t>
        </is>
      </c>
      <c r="C1742" s="4" t="inlineStr">
        <is>
          <t>Nachweis</t>
        </is>
      </c>
      <c r="D1742" s="10" t="inlineStr">
        <is>
          <t>⚠ Manual erforderlich</t>
        </is>
      </c>
      <c r="E1742" s="11" t="inlineStr"/>
      <c r="F1742" s="11" t="n">
        <v>0</v>
      </c>
      <c r="G1742" s="11">
        <f>E1742-F1742</f>
        <v/>
      </c>
      <c r="H1742" s="11" t="n">
        <v/>
      </c>
      <c r="I1742" s="11" t="n">
        <v/>
      </c>
      <c r="J1742" s="11" t="n">
        <v/>
      </c>
      <c r="K1742" s="4" t="inlineStr">
        <is>
          <t>Stundensätze eingeben</t>
        </is>
      </c>
    </row>
    <row r="1743">
      <c r="A1743" s="4" t="inlineStr">
        <is>
          <t>5664.18 BSK-Pforte-G2-Lauterstraße-50-Wolfstein</t>
        </is>
      </c>
      <c r="B1743" s="4" t="inlineStr">
        <is>
          <t>● (p.) BSK</t>
        </is>
      </c>
      <c r="C1743" s="9" t="inlineStr">
        <is>
          <t>Unbekannt</t>
        </is>
      </c>
      <c r="D1743" s="10" t="inlineStr">
        <is>
          <t>⚠ Manual erforderlich</t>
        </is>
      </c>
      <c r="E1743" s="11" t="inlineStr"/>
      <c r="F1743" s="11" t="n">
        <v>0</v>
      </c>
      <c r="G1743" s="11">
        <f>E1743-F1743</f>
        <v/>
      </c>
      <c r="H1743" s="11" t="n">
        <v/>
      </c>
      <c r="I1743" s="11" t="n">
        <v/>
      </c>
      <c r="J1743" s="11" t="n">
        <v/>
      </c>
      <c r="K1743" s="4" t="inlineStr">
        <is>
          <t>Abrechnungsart wählen; Stundensätze eingeben</t>
        </is>
      </c>
    </row>
    <row r="1744">
      <c r="A1744" s="4" t="inlineStr">
        <is>
          <t>5664.19 (5667.04)  KOB-BAB-Umbau-Sprinkleranlage-Lauterstr50-Wolfstein</t>
        </is>
      </c>
      <c r="B1744" s="4" t="inlineStr">
        <is>
          <t>● (aN) Pos. 1 Brandschutztechnische Beratung</t>
        </is>
      </c>
      <c r="C1744" s="4" t="inlineStr">
        <is>
          <t>Nachweis</t>
        </is>
      </c>
      <c r="D1744" s="10" t="inlineStr">
        <is>
          <t>⚠ Manual erforderlich</t>
        </is>
      </c>
      <c r="E1744" s="11" t="inlineStr"/>
      <c r="F1744" s="11" t="n">
        <v>0</v>
      </c>
      <c r="G1744" s="11">
        <f>E1744-F1744</f>
        <v/>
      </c>
      <c r="H1744" s="11" t="n">
        <v/>
      </c>
      <c r="I1744" s="11" t="n">
        <v/>
      </c>
      <c r="J1744" s="11" t="n">
        <v/>
      </c>
      <c r="K1744" s="4" t="inlineStr">
        <is>
          <t>Stundensätze eingeben</t>
        </is>
      </c>
    </row>
    <row r="1745">
      <c r="A1745" s="4" t="inlineStr">
        <is>
          <t>5664.19 (5667.04)  KOB-BAB-Umbau-Sprinkleranlage-Lauterstr50-Wolfstein</t>
        </is>
      </c>
      <c r="B1745" s="4" t="inlineStr">
        <is>
          <t>● (p) Pos. 2 Erstellung einer Brandschutztechnischen Stellungnahme</t>
        </is>
      </c>
      <c r="C1745" s="4" t="inlineStr">
        <is>
          <t>Pauschale</t>
        </is>
      </c>
      <c r="D1745" s="10" t="inlineStr">
        <is>
          <t>⚠ Manual erforderlich</t>
        </is>
      </c>
      <c r="E1745" s="11" t="inlineStr"/>
      <c r="F1745" s="11" t="n">
        <v>0</v>
      </c>
      <c r="G1745" s="11">
        <f>E1745-F1745</f>
        <v/>
      </c>
      <c r="H1745" s="11" t="n">
        <v>0</v>
      </c>
      <c r="I1745" s="11" t="n">
        <v>0</v>
      </c>
      <c r="J1745" s="11" t="n">
        <v>0</v>
      </c>
      <c r="K1745" s="4" t="inlineStr">
        <is>
          <t>Stundensätze eingeben</t>
        </is>
      </c>
    </row>
    <row r="1746">
      <c r="A1746" s="4" t="inlineStr">
        <is>
          <t>5664.20 KOB-BAB-Trinkwassertrennung-Lauterstraße-50-Wolfstein</t>
        </is>
      </c>
      <c r="B1746" s="4" t="inlineStr">
        <is>
          <t>● (aN) Pos. 1 Brandschutztechnische Beratung (SV 30h) 3.000€</t>
        </is>
      </c>
      <c r="C1746" s="4" t="inlineStr">
        <is>
          <t>Nachweis</t>
        </is>
      </c>
      <c r="D1746" s="10" t="inlineStr">
        <is>
          <t>⚠ Manual erforderlich</t>
        </is>
      </c>
      <c r="E1746" s="11" t="inlineStr"/>
      <c r="F1746" s="11" t="n">
        <v>0</v>
      </c>
      <c r="G1746" s="11">
        <f>E1746-F1746</f>
        <v/>
      </c>
      <c r="H1746" s="11" t="n">
        <v/>
      </c>
      <c r="I1746" s="11" t="n">
        <v/>
      </c>
      <c r="J1746" s="11" t="n">
        <v/>
      </c>
      <c r="K1746" s="4" t="inlineStr">
        <is>
          <t>Stundensätze eingeben</t>
        </is>
      </c>
    </row>
    <row r="1747">
      <c r="A1747" s="4" t="inlineStr">
        <is>
          <t>5664.21 Stundensammler-KOB-BTB-Chemikalienlager-Lauterstr50-Wolfstein</t>
        </is>
      </c>
      <c r="B1747" s="4" t="inlineStr">
        <is>
          <t>● (aN) Pos. 1 BTB inkl. 1 Ortstermin</t>
        </is>
      </c>
      <c r="C1747" s="4" t="inlineStr">
        <is>
          <t>Nachweis</t>
        </is>
      </c>
      <c r="D1747" s="10" t="inlineStr">
        <is>
          <t>⚠ Manual erforderlich</t>
        </is>
      </c>
      <c r="E1747" s="11" t="inlineStr"/>
      <c r="F1747" s="11" t="n">
        <v>0</v>
      </c>
      <c r="G1747" s="11">
        <f>E1747-F1747</f>
        <v/>
      </c>
      <c r="H1747" s="11" t="n">
        <v/>
      </c>
      <c r="I1747" s="11" t="n">
        <v/>
      </c>
      <c r="J1747" s="11" t="n">
        <v/>
      </c>
      <c r="K1747" s="4" t="inlineStr">
        <is>
          <t>Stundensätze eingeben</t>
        </is>
      </c>
    </row>
    <row r="1748">
      <c r="A1748" s="4" t="inlineStr">
        <is>
          <t>5664.21 Stundensammler-KOB-BTB-Chemikalienlager-Lauterstr50-Wolfstein</t>
        </is>
      </c>
      <c r="B1748" s="4" t="inlineStr">
        <is>
          <t>● (p) Pos. 2 optional BST</t>
        </is>
      </c>
      <c r="C1748" s="4" t="inlineStr">
        <is>
          <t>Pauschale</t>
        </is>
      </c>
      <c r="D1748" s="10" t="inlineStr">
        <is>
          <t>⚠ Manual erforderlich</t>
        </is>
      </c>
      <c r="E1748" s="11" t="inlineStr"/>
      <c r="F1748" s="11" t="n">
        <v>0</v>
      </c>
      <c r="G1748" s="11">
        <f>E1748-F1748</f>
        <v/>
      </c>
      <c r="H1748" s="11" t="n">
        <v/>
      </c>
      <c r="I1748" s="11" t="n">
        <v/>
      </c>
      <c r="J1748" s="11" t="n">
        <v/>
      </c>
      <c r="K1748" s="4" t="inlineStr">
        <is>
          <t>Stundensätze eingeben</t>
        </is>
      </c>
    </row>
    <row r="1749">
      <c r="A1749" s="4" t="inlineStr">
        <is>
          <t>5667.03 BSK-Lauterstraße-50-Wolfstein-Geb-4-Gecko-Anlage</t>
        </is>
      </c>
      <c r="B1749" s="4" t="inlineStr">
        <is>
          <t>● 1000-Grundlagenermittlung</t>
        </is>
      </c>
      <c r="C1749" s="9" t="inlineStr">
        <is>
          <t>Unbekannt</t>
        </is>
      </c>
      <c r="D1749" s="10" t="inlineStr">
        <is>
          <t>⚠ Manual erforderlich</t>
        </is>
      </c>
      <c r="E1749" s="11" t="inlineStr"/>
      <c r="F1749" s="11" t="n">
        <v>0</v>
      </c>
      <c r="G1749" s="11">
        <f>E1749-F1749</f>
        <v/>
      </c>
      <c r="H1749" s="11" t="n">
        <v/>
      </c>
      <c r="I1749" s="11" t="n">
        <v/>
      </c>
      <c r="J1749" s="11" t="n">
        <v/>
      </c>
      <c r="K1749" s="4" t="inlineStr">
        <is>
          <t>Abrechnungsart wählen; Stundensätze eingeben</t>
        </is>
      </c>
    </row>
    <row r="1750">
      <c r="A1750" s="4" t="inlineStr">
        <is>
          <t>5667.03 BSK-Lauterstraße-50-Wolfstein-Geb-4-Gecko-Anlage</t>
        </is>
      </c>
      <c r="B1750" s="4" t="inlineStr">
        <is>
          <t>● 3000-Entwurfsplanung</t>
        </is>
      </c>
      <c r="C1750" s="9" t="inlineStr">
        <is>
          <t>Unbekannt</t>
        </is>
      </c>
      <c r="D1750" s="10" t="inlineStr">
        <is>
          <t>⚠ Manual erforderlich</t>
        </is>
      </c>
      <c r="E1750" s="11" t="inlineStr"/>
      <c r="F1750" s="11" t="n">
        <v>0</v>
      </c>
      <c r="G1750" s="11">
        <f>E1750-F1750</f>
        <v/>
      </c>
      <c r="H1750" s="11" t="n">
        <v/>
      </c>
      <c r="I1750" s="11" t="n">
        <v/>
      </c>
      <c r="J1750" s="11" t="n">
        <v/>
      </c>
      <c r="K1750" s="4" t="inlineStr">
        <is>
          <t>Abrechnungsart wählen; Stundensätze eingeben</t>
        </is>
      </c>
    </row>
    <row r="1751">
      <c r="A1751" s="4" t="inlineStr">
        <is>
          <t>5667.03 BSK-Lauterstraße-50-Wolfstein-Geb-4-Gecko-Anlage</t>
        </is>
      </c>
      <c r="B1751" s="4" t="inlineStr">
        <is>
          <t>● 4000-Genehmigungsplanung</t>
        </is>
      </c>
      <c r="C1751" s="9" t="inlineStr">
        <is>
          <t>Unbekannt</t>
        </is>
      </c>
      <c r="D1751" s="10" t="inlineStr">
        <is>
          <t>⚠ Manual erforderlich</t>
        </is>
      </c>
      <c r="E1751" s="11" t="inlineStr"/>
      <c r="F1751" s="11" t="n">
        <v>0</v>
      </c>
      <c r="G1751" s="11">
        <f>E1751-F1751</f>
        <v/>
      </c>
      <c r="H1751" s="11" t="n">
        <v/>
      </c>
      <c r="I1751" s="11" t="n">
        <v/>
      </c>
      <c r="J1751" s="11" t="n">
        <v/>
      </c>
      <c r="K1751" s="4" t="inlineStr">
        <is>
          <t>Abrechnungsart wählen; Stundensätze eingeben</t>
        </is>
      </c>
    </row>
    <row r="1752">
      <c r="A1752" s="4" t="inlineStr">
        <is>
          <t>5675.04 Stundensammler-GWG-WBS-FWP-Heinkelstr1-Schorndorf-S'LEDERER</t>
        </is>
      </c>
      <c r="B1752" s="4" t="inlineStr">
        <is>
          <t>● (p) Pos. 1 Überarbeitung FWP</t>
        </is>
      </c>
      <c r="C1752" s="4" t="inlineStr">
        <is>
          <t>Pauschale</t>
        </is>
      </c>
      <c r="D1752" s="10" t="inlineStr">
        <is>
          <t>⚠ Manual erforderlich</t>
        </is>
      </c>
      <c r="E1752" s="11" t="inlineStr"/>
      <c r="F1752" s="11" t="n">
        <v>0</v>
      </c>
      <c r="G1752" s="11">
        <f>E1752-F1752</f>
        <v/>
      </c>
      <c r="H1752" s="11" t="n">
        <v/>
      </c>
      <c r="I1752" s="11" t="n">
        <v/>
      </c>
      <c r="J1752" s="11" t="n">
        <v/>
      </c>
      <c r="K1752" s="4" t="inlineStr">
        <is>
          <t>Stundensätze eingeben</t>
        </is>
      </c>
    </row>
    <row r="1753">
      <c r="A1753" s="4" t="inlineStr">
        <is>
          <t>5680 Kaiser-Friedrich-Promenade-57-Bad-Homburg-Louisenarkaden-Kurstift-Gesamtgebäude</t>
        </is>
      </c>
      <c r="B1753" s="4" t="inlineStr">
        <is>
          <t>● 1000-Grundlagenermittlung</t>
        </is>
      </c>
      <c r="C1753" s="9" t="inlineStr">
        <is>
          <t>Unbekannt</t>
        </is>
      </c>
      <c r="D1753" s="10" t="inlineStr">
        <is>
          <t>⚠ Manual erforderlich</t>
        </is>
      </c>
      <c r="E1753" s="11" t="inlineStr"/>
      <c r="F1753" s="11" t="n">
        <v>0</v>
      </c>
      <c r="G1753" s="11">
        <f>E1753-F1753</f>
        <v/>
      </c>
      <c r="H1753" s="11" t="n">
        <v/>
      </c>
      <c r="I1753" s="11" t="n">
        <v/>
      </c>
      <c r="J1753" s="11" t="n">
        <v/>
      </c>
      <c r="K1753" s="4" t="inlineStr">
        <is>
          <t>Abrechnungsart wählen; Stundensätze eingeben</t>
        </is>
      </c>
    </row>
    <row r="1754">
      <c r="A1754" s="4" t="inlineStr">
        <is>
          <t>5680 Kaiser-Friedrich-Promenade-57-Bad-Homburg-Louisenarkaden-Kurstift-Gesamtgebäude</t>
        </is>
      </c>
      <c r="B1754" s="4" t="inlineStr">
        <is>
          <t>● 2000-Vorplanung</t>
        </is>
      </c>
      <c r="C1754" s="9" t="inlineStr">
        <is>
          <t>Unbekannt</t>
        </is>
      </c>
      <c r="D1754" s="10" t="inlineStr">
        <is>
          <t>⚠ Manual erforderlich</t>
        </is>
      </c>
      <c r="E1754" s="11" t="inlineStr"/>
      <c r="F1754" s="11" t="n">
        <v>0</v>
      </c>
      <c r="G1754" s="11">
        <f>E1754-F1754</f>
        <v/>
      </c>
      <c r="H1754" s="11" t="n">
        <v/>
      </c>
      <c r="I1754" s="11" t="n">
        <v/>
      </c>
      <c r="J1754" s="11" t="n">
        <v/>
      </c>
      <c r="K1754" s="4" t="inlineStr">
        <is>
          <t>Abrechnungsart wählen; Stundensätze eingeben</t>
        </is>
      </c>
    </row>
    <row r="1755">
      <c r="A1755" s="4" t="inlineStr">
        <is>
          <t>5680 Kaiser-Friedrich-Promenade-57-Bad-Homburg-Louisenarkaden-Kurstift-Gesamtgebäude</t>
        </is>
      </c>
      <c r="B1755" s="4" t="inlineStr">
        <is>
          <t>● 3000-Entwurfsplanung</t>
        </is>
      </c>
      <c r="C1755" s="9" t="inlineStr">
        <is>
          <t>Unbekannt</t>
        </is>
      </c>
      <c r="D1755" s="10" t="inlineStr">
        <is>
          <t>⚠ Manual erforderlich</t>
        </is>
      </c>
      <c r="E1755" s="11" t="inlineStr"/>
      <c r="F1755" s="11" t="n">
        <v>0</v>
      </c>
      <c r="G1755" s="11">
        <f>E1755-F1755</f>
        <v/>
      </c>
      <c r="H1755" s="11" t="n">
        <v/>
      </c>
      <c r="I1755" s="11" t="n">
        <v/>
      </c>
      <c r="J1755" s="11" t="n">
        <v/>
      </c>
      <c r="K1755" s="4" t="inlineStr">
        <is>
          <t>Abrechnungsart wählen; Stundensätze eingeben</t>
        </is>
      </c>
    </row>
    <row r="1756">
      <c r="A1756" s="4" t="inlineStr">
        <is>
          <t>5680 Kaiser-Friedrich-Promenade-57-Bad-Homburg-Louisenarkaden-Kurstift-Gesamtgebäude</t>
        </is>
      </c>
      <c r="B1756" s="4" t="inlineStr">
        <is>
          <t>● 4000-Genehmigungsplanung</t>
        </is>
      </c>
      <c r="C1756" s="9" t="inlineStr">
        <is>
          <t>Unbekannt</t>
        </is>
      </c>
      <c r="D1756" s="10" t="inlineStr">
        <is>
          <t>⚠ Manual erforderlich</t>
        </is>
      </c>
      <c r="E1756" s="11" t="inlineStr"/>
      <c r="F1756" s="11" t="n">
        <v>0</v>
      </c>
      <c r="G1756" s="11">
        <f>E1756-F1756</f>
        <v/>
      </c>
      <c r="H1756" s="11" t="n">
        <v/>
      </c>
      <c r="I1756" s="11" t="n">
        <v/>
      </c>
      <c r="J1756" s="11" t="n">
        <v/>
      </c>
      <c r="K1756" s="4" t="inlineStr">
        <is>
          <t>Abrechnungsart wählen; Stundensätze eingeben</t>
        </is>
      </c>
    </row>
    <row r="1757">
      <c r="A1757" s="4" t="inlineStr">
        <is>
          <t>5686.02 RGM-Apleona-FRP-Gläserne-Softwarefabrik-Brauerstraße12-Karlsruhe</t>
        </is>
      </c>
      <c r="B1757" s="4" t="inlineStr">
        <is>
          <t>● (p) Pos. 1 Aktualisierung der bestehenden Flucht- und Rettungspläne</t>
        </is>
      </c>
      <c r="C1757" s="4" t="inlineStr">
        <is>
          <t>Pauschale</t>
        </is>
      </c>
      <c r="D1757" s="10" t="inlineStr">
        <is>
          <t>⚠ Manual erforderlich</t>
        </is>
      </c>
      <c r="E1757" s="11" t="inlineStr"/>
      <c r="F1757" s="11" t="n">
        <v>0</v>
      </c>
      <c r="G1757" s="11">
        <f>E1757-F1757</f>
        <v/>
      </c>
      <c r="H1757" s="11" t="n">
        <v>0</v>
      </c>
      <c r="I1757" s="11" t="n">
        <v>0</v>
      </c>
      <c r="J1757" s="11" t="n">
        <v>0</v>
      </c>
      <c r="K1757" s="4" t="inlineStr">
        <is>
          <t>Stundensätze eingeben</t>
        </is>
      </c>
    </row>
    <row r="1758">
      <c r="A1758" s="4" t="inlineStr">
        <is>
          <t>5687.06 BTB-Wandelhalle-Ginnheimer-Stadtweg-88-Frankfurt</t>
        </is>
      </c>
      <c r="B1758" s="4" t="inlineStr">
        <is>
          <t>● (aN) BTB während Bauzeit</t>
        </is>
      </c>
      <c r="C1758" s="4" t="inlineStr">
        <is>
          <t>Nachweis</t>
        </is>
      </c>
      <c r="D1758" s="10" t="inlineStr">
        <is>
          <t>⚠ Manual erforderlich</t>
        </is>
      </c>
      <c r="E1758" s="11" t="inlineStr"/>
      <c r="F1758" s="11" t="n">
        <v>0</v>
      </c>
      <c r="G1758" s="11">
        <f>E1758-F1758</f>
        <v/>
      </c>
      <c r="H1758" s="11" t="n">
        <v/>
      </c>
      <c r="I1758" s="11" t="n">
        <v/>
      </c>
      <c r="J1758" s="11" t="n">
        <v/>
      </c>
      <c r="K1758" s="4" t="inlineStr">
        <is>
          <t>Stundensätze eingeben</t>
        </is>
      </c>
    </row>
    <row r="1759">
      <c r="A1759" s="4" t="inlineStr">
        <is>
          <t>5687.06 BTB-Wandelhalle-Ginnheimer-Stadtweg-88-Frankfurt</t>
        </is>
      </c>
      <c r="B1759" s="4" t="inlineStr">
        <is>
          <t>● (a.N.) NAT01-BTB-INMC-Geb.</t>
        </is>
      </c>
      <c r="C1759" s="4" t="inlineStr">
        <is>
          <t>Nachweis</t>
        </is>
      </c>
      <c r="D1759" s="10" t="inlineStr">
        <is>
          <t>⚠ Manual erforderlich</t>
        </is>
      </c>
      <c r="E1759" s="11" t="inlineStr"/>
      <c r="F1759" s="11" t="n">
        <v>0</v>
      </c>
      <c r="G1759" s="11">
        <f>E1759-F1759</f>
        <v/>
      </c>
      <c r="H1759" s="11" t="n">
        <v/>
      </c>
      <c r="I1759" s="11" t="n">
        <v/>
      </c>
      <c r="J1759" s="11" t="n">
        <v/>
      </c>
      <c r="K1759" s="4" t="inlineStr">
        <is>
          <t>Stundensätze eingeben</t>
        </is>
      </c>
    </row>
    <row r="1760">
      <c r="A1760" s="4" t="inlineStr">
        <is>
          <t>5687.06 BTB-Wandelhalle-Ginnheimer-Stadtweg-88-Frankfurt</t>
        </is>
      </c>
      <c r="B1760" s="4" t="inlineStr">
        <is>
          <t>● • 9301-Erstellen od. Prüfen Bestuhlungspläne….</t>
        </is>
      </c>
      <c r="C1760" s="9" t="inlineStr">
        <is>
          <t>Unbekannt</t>
        </is>
      </c>
      <c r="D1760" s="10" t="inlineStr">
        <is>
          <t>⚠ Manual erforderlich</t>
        </is>
      </c>
      <c r="E1760" s="11" t="inlineStr"/>
      <c r="F1760" s="11" t="n">
        <v>0</v>
      </c>
      <c r="G1760" s="11">
        <f>E1760-F1760</f>
        <v/>
      </c>
      <c r="H1760" s="11" t="n">
        <v/>
      </c>
      <c r="I1760" s="11" t="n">
        <v/>
      </c>
      <c r="J1760" s="11" t="n">
        <v/>
      </c>
      <c r="K1760" s="4" t="inlineStr">
        <is>
          <t>Abrechnungsart wählen; Stundensätze eingeben</t>
        </is>
      </c>
    </row>
    <row r="1761">
      <c r="A1761" s="4" t="inlineStr">
        <is>
          <t>5687.06 BTB-Wandelhalle-Ginnheimer-Stadtweg-88-Frankfurt</t>
        </is>
      </c>
      <c r="B1761" s="4" t="inlineStr">
        <is>
          <t>● (aN) Pos.1 Brandschutzdienstlstg. (Akteneinsicht, Erst. Eckdatenkonzept Brandschutz+Riegel, BAB)</t>
        </is>
      </c>
      <c r="C1761" s="4" t="inlineStr">
        <is>
          <t>Nachweis</t>
        </is>
      </c>
      <c r="D1761" s="10" t="inlineStr">
        <is>
          <t>⚠ Manual erforderlich</t>
        </is>
      </c>
      <c r="E1761" s="11" t="inlineStr"/>
      <c r="F1761" s="11" t="n">
        <v>0</v>
      </c>
      <c r="G1761" s="11">
        <f>E1761-F1761</f>
        <v/>
      </c>
      <c r="H1761" s="11" t="n">
        <v/>
      </c>
      <c r="I1761" s="11" t="n">
        <v/>
      </c>
      <c r="J1761" s="11" t="n">
        <v/>
      </c>
      <c r="K1761" s="4" t="inlineStr">
        <is>
          <t>Stundensätze eingeben</t>
        </is>
      </c>
    </row>
    <row r="1762">
      <c r="A1762" s="4" t="inlineStr">
        <is>
          <t>5687.08 RGS-Ginnheimer-Stadtweg-88-Frankfurt-Sprinkleranlage</t>
        </is>
      </c>
      <c r="B1762" s="4" t="inlineStr">
        <is>
          <t>● (p) Pos.1 Variante 3-Nachw. d. bestehenden Systems i.V.m. neuer zusätzl. Löschtechn.+Wandelhalle</t>
        </is>
      </c>
      <c r="C1762" s="4" t="inlineStr">
        <is>
          <t>Pauschale</t>
        </is>
      </c>
      <c r="D1762" s="10" t="inlineStr">
        <is>
          <t>⚠ Manual erforderlich</t>
        </is>
      </c>
      <c r="E1762" s="11" t="inlineStr"/>
      <c r="F1762" s="11" t="n">
        <v>0</v>
      </c>
      <c r="G1762" s="11">
        <f>E1762-F1762</f>
        <v/>
      </c>
      <c r="H1762" s="11" t="n">
        <v>0</v>
      </c>
      <c r="I1762" s="11" t="n">
        <v>0</v>
      </c>
      <c r="J1762" s="11" t="n">
        <v>0</v>
      </c>
      <c r="K1762" s="4" t="inlineStr">
        <is>
          <t>Stundensätze eingeben</t>
        </is>
      </c>
    </row>
    <row r="1763">
      <c r="A1763" s="4" t="inlineStr">
        <is>
          <t>5687.08 RGS-Ginnheimer-Stadtweg-88-Frankfurt-Sprinkleranlage</t>
        </is>
      </c>
      <c r="B1763" s="4" t="inlineStr">
        <is>
          <t>● (aN) Pos.2 Beratungsleistungen des Prüfsachverständigen Löschanlagen</t>
        </is>
      </c>
      <c r="C1763" s="4" t="inlineStr">
        <is>
          <t>Nachweis</t>
        </is>
      </c>
      <c r="D1763" s="10" t="inlineStr">
        <is>
          <t>⚠ Manual erforderlich</t>
        </is>
      </c>
      <c r="E1763" s="11" t="inlineStr"/>
      <c r="F1763" s="11" t="n">
        <v>0</v>
      </c>
      <c r="G1763" s="11">
        <f>E1763-F1763</f>
        <v/>
      </c>
      <c r="H1763" s="11" t="n">
        <v/>
      </c>
      <c r="I1763" s="11" t="n">
        <v/>
      </c>
      <c r="J1763" s="11" t="n">
        <v/>
      </c>
      <c r="K1763" s="4" t="inlineStr">
        <is>
          <t>Stundensätze eingeben</t>
        </is>
      </c>
    </row>
    <row r="1764">
      <c r="A1764" s="4" t="inlineStr">
        <is>
          <t>5691 U-Bahnstation-Dom-Römer-Frankfurt-Elektroräume</t>
        </is>
      </c>
      <c r="B1764" s="4" t="inlineStr">
        <is>
          <t>● 3000-Entwurfsplanung</t>
        </is>
      </c>
      <c r="C1764" s="9" t="inlineStr">
        <is>
          <t>Unbekannt</t>
        </is>
      </c>
      <c r="D1764" s="10" t="inlineStr">
        <is>
          <t>⚠ Manual erforderlich</t>
        </is>
      </c>
      <c r="E1764" s="11" t="inlineStr"/>
      <c r="F1764" s="11" t="n">
        <v>0</v>
      </c>
      <c r="G1764" s="11">
        <f>E1764-F1764</f>
        <v/>
      </c>
      <c r="H1764" s="11" t="n">
        <v/>
      </c>
      <c r="I1764" s="11" t="n">
        <v/>
      </c>
      <c r="J1764" s="11" t="n">
        <v/>
      </c>
      <c r="K1764" s="4" t="inlineStr">
        <is>
          <t>Abrechnungsart wählen; Stundensätze eingeben</t>
        </is>
      </c>
    </row>
    <row r="1765">
      <c r="A1765" s="4" t="inlineStr">
        <is>
          <t>5691 U-Bahnstation-Dom-Römer-Frankfurt-Elektroräume</t>
        </is>
      </c>
      <c r="B1765" s="4" t="inlineStr">
        <is>
          <t>● 4000-Genehmigungsplanung</t>
        </is>
      </c>
      <c r="C1765" s="9" t="inlineStr">
        <is>
          <t>Unbekannt</t>
        </is>
      </c>
      <c r="D1765" s="10" t="inlineStr">
        <is>
          <t>⚠ Manual erforderlich</t>
        </is>
      </c>
      <c r="E1765" s="11" t="inlineStr"/>
      <c r="F1765" s="11" t="n">
        <v>0</v>
      </c>
      <c r="G1765" s="11">
        <f>E1765-F1765</f>
        <v/>
      </c>
      <c r="H1765" s="11" t="n">
        <v/>
      </c>
      <c r="I1765" s="11" t="n">
        <v/>
      </c>
      <c r="J1765" s="11" t="n">
        <v/>
      </c>
      <c r="K1765" s="4" t="inlineStr">
        <is>
          <t>Abrechnungsart wählen; Stundensätze eingeben</t>
        </is>
      </c>
    </row>
    <row r="1766">
      <c r="A1766" s="4" t="inlineStr">
        <is>
          <t>5691 U-Bahnstation-Dom-Römer-Frankfurt-Elektroräume</t>
        </is>
      </c>
      <c r="B1766" s="4" t="inlineStr">
        <is>
          <t>● 5000-Ausführungsplanung</t>
        </is>
      </c>
      <c r="C1766" s="9" t="inlineStr">
        <is>
          <t>Unbekannt</t>
        </is>
      </c>
      <c r="D1766" s="10" t="inlineStr">
        <is>
          <t>⚠ Manual erforderlich</t>
        </is>
      </c>
      <c r="E1766" s="11" t="inlineStr"/>
      <c r="F1766" s="11" t="n">
        <v>0</v>
      </c>
      <c r="G1766" s="11">
        <f>E1766-F1766</f>
        <v/>
      </c>
      <c r="H1766" s="11" t="n">
        <v/>
      </c>
      <c r="I1766" s="11" t="n">
        <v/>
      </c>
      <c r="J1766" s="11" t="n">
        <v/>
      </c>
      <c r="K1766" s="4" t="inlineStr">
        <is>
          <t>Abrechnungsart wählen; Stundensätze eingeben</t>
        </is>
      </c>
    </row>
    <row r="1767">
      <c r="A1767" s="4" t="inlineStr">
        <is>
          <t>5691 U-Bahnstation-Dom-Römer-Frankfurt-Elektroräume</t>
        </is>
      </c>
      <c r="B1767" s="4" t="inlineStr">
        <is>
          <t>● 8000-Objektüberwachung</t>
        </is>
      </c>
      <c r="C1767" s="9" t="inlineStr">
        <is>
          <t>Unbekannt</t>
        </is>
      </c>
      <c r="D1767" s="10" t="inlineStr">
        <is>
          <t>⚠ Manual erforderlich</t>
        </is>
      </c>
      <c r="E1767" s="11" t="inlineStr"/>
      <c r="F1767" s="11" t="n">
        <v>0</v>
      </c>
      <c r="G1767" s="11">
        <f>E1767-F1767</f>
        <v/>
      </c>
      <c r="H1767" s="11" t="n">
        <v/>
      </c>
      <c r="I1767" s="11" t="n">
        <v/>
      </c>
      <c r="J1767" s="11" t="n">
        <v/>
      </c>
      <c r="K1767" s="4" t="inlineStr">
        <is>
          <t>Abrechnungsart wählen; Stundensätze eingeben</t>
        </is>
      </c>
    </row>
    <row r="1768">
      <c r="A1768" s="4" t="inlineStr">
        <is>
          <t>5697 BWZK-KO-Medienversorgung-Liegenschaft</t>
        </is>
      </c>
      <c r="B1768" s="4" t="inlineStr">
        <is>
          <t>● 2000-Vorplanung</t>
        </is>
      </c>
      <c r="C1768" s="9" t="inlineStr">
        <is>
          <t>Unbekannt</t>
        </is>
      </c>
      <c r="D1768" s="10" t="inlineStr">
        <is>
          <t>⚠ Manual erforderlich</t>
        </is>
      </c>
      <c r="E1768" s="11" t="inlineStr"/>
      <c r="F1768" s="11" t="n">
        <v>0</v>
      </c>
      <c r="G1768" s="11">
        <f>E1768-F1768</f>
        <v/>
      </c>
      <c r="H1768" s="11" t="n">
        <v/>
      </c>
      <c r="I1768" s="11" t="n">
        <v/>
      </c>
      <c r="J1768" s="11" t="n">
        <v/>
      </c>
      <c r="K1768" s="4" t="inlineStr">
        <is>
          <t>Abrechnungsart wählen; Stundensätze eingeben</t>
        </is>
      </c>
    </row>
    <row r="1769">
      <c r="A1769" s="4" t="inlineStr">
        <is>
          <t>5697 BWZK-KO-Medienversorgung-Liegenschaft</t>
        </is>
      </c>
      <c r="B1769" s="4" t="inlineStr">
        <is>
          <t>● 9000-Objektbetreuung und Dokumentation</t>
        </is>
      </c>
      <c r="C1769" s="9" t="inlineStr">
        <is>
          <t>Unbekannt</t>
        </is>
      </c>
      <c r="D1769" s="10" t="inlineStr">
        <is>
          <t>⚠ Manual erforderlich</t>
        </is>
      </c>
      <c r="E1769" s="11" t="inlineStr"/>
      <c r="F1769" s="11" t="n">
        <v>0</v>
      </c>
      <c r="G1769" s="11">
        <f>E1769-F1769</f>
        <v/>
      </c>
      <c r="H1769" s="11" t="n">
        <v/>
      </c>
      <c r="I1769" s="11" t="n">
        <v/>
      </c>
      <c r="J1769" s="11" t="n">
        <v/>
      </c>
      <c r="K1769" s="4" t="inlineStr">
        <is>
          <t>Abrechnungsart wählen; Stundensätze eingeben</t>
        </is>
      </c>
    </row>
    <row r="1770">
      <c r="A1770" s="4" t="inlineStr">
        <is>
          <t>5702.02 BAB-Beunestraße-18-Frankfurt</t>
        </is>
      </c>
      <c r="B1770" s="4" t="inlineStr">
        <is>
          <t>● Baubegleitung (auf Nachweis)</t>
        </is>
      </c>
      <c r="C1770" s="9" t="inlineStr">
        <is>
          <t>Unbekannt</t>
        </is>
      </c>
      <c r="D1770" s="10" t="inlineStr">
        <is>
          <t>⚠ Manual erforderlich</t>
        </is>
      </c>
      <c r="E1770" s="11" t="inlineStr"/>
      <c r="F1770" s="11" t="n">
        <v>0</v>
      </c>
      <c r="G1770" s="11">
        <f>E1770-F1770</f>
        <v/>
      </c>
      <c r="H1770" s="11" t="n">
        <v/>
      </c>
      <c r="I1770" s="11" t="n">
        <v/>
      </c>
      <c r="J1770" s="11" t="n">
        <v/>
      </c>
      <c r="K1770" s="4" t="inlineStr">
        <is>
          <t>Abrechnungsart wählen; Stundensätze eingeben</t>
        </is>
      </c>
    </row>
    <row r="1771">
      <c r="A1771" s="4" t="inlineStr">
        <is>
          <t>5711 UniMed-Augsburg-Forschungsgebäude</t>
        </is>
      </c>
      <c r="B1771" s="4" t="inlineStr">
        <is>
          <t>● 1000-Grundlagenermittlung</t>
        </is>
      </c>
      <c r="C1771" s="9" t="inlineStr">
        <is>
          <t>Unbekannt</t>
        </is>
      </c>
      <c r="D1771" s="10" t="inlineStr">
        <is>
          <t>⚠ Manual erforderlich</t>
        </is>
      </c>
      <c r="E1771" s="11" t="inlineStr"/>
      <c r="F1771" s="11" t="n">
        <v>0</v>
      </c>
      <c r="G1771" s="11">
        <f>E1771-F1771</f>
        <v/>
      </c>
      <c r="H1771" s="11" t="n">
        <v/>
      </c>
      <c r="I1771" s="11" t="n">
        <v/>
      </c>
      <c r="J1771" s="11" t="n">
        <v/>
      </c>
      <c r="K1771" s="4" t="inlineStr">
        <is>
          <t>Abrechnungsart wählen; Stundensätze eingeben</t>
        </is>
      </c>
    </row>
    <row r="1772">
      <c r="A1772" s="4" t="inlineStr">
        <is>
          <t>5711 UniMed-Augsburg-Forschungsgebäude</t>
        </is>
      </c>
      <c r="B1772" s="4" t="inlineStr">
        <is>
          <t>● 2000-Vorplanung</t>
        </is>
      </c>
      <c r="C1772" s="9" t="inlineStr">
        <is>
          <t>Unbekannt</t>
        </is>
      </c>
      <c r="D1772" s="10" t="inlineStr">
        <is>
          <t>⚠ Manual erforderlich</t>
        </is>
      </c>
      <c r="E1772" s="11" t="inlineStr"/>
      <c r="F1772" s="11" t="n">
        <v>0</v>
      </c>
      <c r="G1772" s="11">
        <f>E1772-F1772</f>
        <v/>
      </c>
      <c r="H1772" s="11" t="n">
        <v/>
      </c>
      <c r="I1772" s="11" t="n">
        <v/>
      </c>
      <c r="J1772" s="11" t="n">
        <v/>
      </c>
      <c r="K1772" s="4" t="inlineStr">
        <is>
          <t>Abrechnungsart wählen; Stundensätze eingeben</t>
        </is>
      </c>
    </row>
    <row r="1773">
      <c r="A1773" s="4" t="inlineStr">
        <is>
          <t>5711 UniMed-Augsburg-Forschungsgebäude</t>
        </is>
      </c>
      <c r="B1773" s="4" t="inlineStr">
        <is>
          <t>● 3000-Entwurfsplanung</t>
        </is>
      </c>
      <c r="C1773" s="9" t="inlineStr">
        <is>
          <t>Unbekannt</t>
        </is>
      </c>
      <c r="D1773" s="10" t="inlineStr">
        <is>
          <t>⚠ Manual erforderlich</t>
        </is>
      </c>
      <c r="E1773" s="11" t="inlineStr"/>
      <c r="F1773" s="11" t="n">
        <v>0</v>
      </c>
      <c r="G1773" s="11">
        <f>E1773-F1773</f>
        <v/>
      </c>
      <c r="H1773" s="11" t="n">
        <v/>
      </c>
      <c r="I1773" s="11" t="n">
        <v/>
      </c>
      <c r="J1773" s="11" t="n">
        <v/>
      </c>
      <c r="K1773" s="4" t="inlineStr">
        <is>
          <t>Abrechnungsart wählen; Stundensätze eingeben</t>
        </is>
      </c>
    </row>
    <row r="1774">
      <c r="A1774" s="4" t="inlineStr">
        <is>
          <t>5711 UniMed-Augsburg-Forschungsgebäude</t>
        </is>
      </c>
      <c r="B1774" s="4" t="inlineStr">
        <is>
          <t>● 4000-Genehmigungsplanung</t>
        </is>
      </c>
      <c r="C1774" s="9" t="inlineStr">
        <is>
          <t>Unbekannt</t>
        </is>
      </c>
      <c r="D1774" s="10" t="inlineStr">
        <is>
          <t>⚠ Manual erforderlich</t>
        </is>
      </c>
      <c r="E1774" s="11" t="inlineStr"/>
      <c r="F1774" s="11" t="n">
        <v>0</v>
      </c>
      <c r="G1774" s="11">
        <f>E1774-F1774</f>
        <v/>
      </c>
      <c r="H1774" s="11" t="n">
        <v/>
      </c>
      <c r="I1774" s="11" t="n">
        <v/>
      </c>
      <c r="J1774" s="11" t="n">
        <v/>
      </c>
      <c r="K1774" s="4" t="inlineStr">
        <is>
          <t>Abrechnungsart wählen; Stundensätze eingeben</t>
        </is>
      </c>
    </row>
    <row r="1775">
      <c r="A1775" s="4" t="inlineStr">
        <is>
          <t>5711 UniMed-Augsburg-Forschungsgebäude</t>
        </is>
      </c>
      <c r="B1775" s="4" t="inlineStr">
        <is>
          <t>● 5000-Ausführungsplanung</t>
        </is>
      </c>
      <c r="C1775" s="9" t="inlineStr">
        <is>
          <t>Unbekannt</t>
        </is>
      </c>
      <c r="D1775" s="10" t="inlineStr">
        <is>
          <t>⚠ Manual erforderlich</t>
        </is>
      </c>
      <c r="E1775" s="11" t="inlineStr"/>
      <c r="F1775" s="11" t="n">
        <v>0</v>
      </c>
      <c r="G1775" s="11">
        <f>E1775-F1775</f>
        <v/>
      </c>
      <c r="H1775" s="11" t="n">
        <v/>
      </c>
      <c r="I1775" s="11" t="n">
        <v/>
      </c>
      <c r="J1775" s="11" t="n">
        <v/>
      </c>
      <c r="K1775" s="4" t="inlineStr">
        <is>
          <t>Abrechnungsart wählen; Stundensätze eingeben</t>
        </is>
      </c>
    </row>
    <row r="1776">
      <c r="A1776" s="4" t="inlineStr">
        <is>
          <t>5711 UniMed-Augsburg-Forschungsgebäude</t>
        </is>
      </c>
      <c r="B1776" s="4" t="inlineStr">
        <is>
          <t>● 8000-Objektüberwachung</t>
        </is>
      </c>
      <c r="C1776" s="9" t="inlineStr">
        <is>
          <t>Unbekannt</t>
        </is>
      </c>
      <c r="D1776" s="10" t="inlineStr">
        <is>
          <t>⚠ Manual erforderlich</t>
        </is>
      </c>
      <c r="E1776" s="11" t="inlineStr"/>
      <c r="F1776" s="11" t="n">
        <v>0</v>
      </c>
      <c r="G1776" s="11">
        <f>E1776-F1776</f>
        <v/>
      </c>
      <c r="H1776" s="11" t="n">
        <v/>
      </c>
      <c r="I1776" s="11" t="n">
        <v/>
      </c>
      <c r="J1776" s="11" t="n">
        <v/>
      </c>
      <c r="K1776" s="4" t="inlineStr">
        <is>
          <t>Abrechnungsart wählen; Stundensätze eingeben</t>
        </is>
      </c>
    </row>
    <row r="1777">
      <c r="A1777" s="4" t="inlineStr">
        <is>
          <t>5711 UniMed-Augsburg-Forschungsgebäude</t>
        </is>
      </c>
      <c r="B1777" s="4" t="inlineStr">
        <is>
          <t>● 9000-Objektbetreuung und Dokumentation</t>
        </is>
      </c>
      <c r="C1777" s="9" t="inlineStr">
        <is>
          <t>Unbekannt</t>
        </is>
      </c>
      <c r="D1777" s="10" t="inlineStr">
        <is>
          <t>⚠ Manual erforderlich</t>
        </is>
      </c>
      <c r="E1777" s="11" t="inlineStr"/>
      <c r="F1777" s="11" t="n">
        <v>0</v>
      </c>
      <c r="G1777" s="11">
        <f>E1777-F1777</f>
        <v/>
      </c>
      <c r="H1777" s="11" t="n">
        <v/>
      </c>
      <c r="I1777" s="11" t="n">
        <v/>
      </c>
      <c r="J1777" s="11" t="n">
        <v/>
      </c>
      <c r="K1777" s="4" t="inlineStr">
        <is>
          <t>Abrechnungsart wählen; Stundensätze eingeben</t>
        </is>
      </c>
    </row>
    <row r="1778">
      <c r="A1778" s="4" t="inlineStr">
        <is>
          <t>5711 UniMed-Augsburg-Forschungsgebäude</t>
        </is>
      </c>
      <c r="B1778" s="4" t="inlineStr">
        <is>
          <t>● bauzeitl. FuR-Pläne (pauschal)</t>
        </is>
      </c>
      <c r="C1778" s="9" t="inlineStr">
        <is>
          <t>Unbekannt</t>
        </is>
      </c>
      <c r="D1778" s="10" t="inlineStr">
        <is>
          <t>⚠ Manual erforderlich</t>
        </is>
      </c>
      <c r="E1778" s="11" t="inlineStr"/>
      <c r="F1778" s="11" t="n">
        <v>0</v>
      </c>
      <c r="G1778" s="11">
        <f>E1778-F1778</f>
        <v/>
      </c>
      <c r="H1778" s="11" t="n">
        <v/>
      </c>
      <c r="I1778" s="11" t="n">
        <v/>
      </c>
      <c r="J1778" s="11" t="n">
        <v/>
      </c>
      <c r="K1778" s="4" t="inlineStr">
        <is>
          <t>Abrechnungsart wählen; Stundensätze eingeben</t>
        </is>
      </c>
    </row>
    <row r="1779">
      <c r="A1779" s="4" t="inlineStr">
        <is>
          <t>5712 UniMed-Augsburg-Lehrgebäude</t>
        </is>
      </c>
      <c r="B1779" s="4" t="inlineStr">
        <is>
          <t>● (p) 1000-Grundlagenermittlung</t>
        </is>
      </c>
      <c r="C1779" s="4" t="inlineStr">
        <is>
          <t>Pauschale</t>
        </is>
      </c>
      <c r="D1779" s="10" t="inlineStr">
        <is>
          <t>⚠ Manual erforderlich</t>
        </is>
      </c>
      <c r="E1779" s="11" t="inlineStr"/>
      <c r="F1779" s="11" t="n">
        <v>0</v>
      </c>
      <c r="G1779" s="11">
        <f>E1779-F1779</f>
        <v/>
      </c>
      <c r="H1779" s="11" t="n">
        <v>0</v>
      </c>
      <c r="I1779" s="11" t="n">
        <v>0</v>
      </c>
      <c r="J1779" s="11" t="n">
        <v>0</v>
      </c>
      <c r="K1779" s="4" t="inlineStr">
        <is>
          <t>Stundensätze eingeben</t>
        </is>
      </c>
    </row>
    <row r="1780">
      <c r="A1780" s="4" t="inlineStr">
        <is>
          <t>5712 UniMed-Augsburg-Lehrgebäude</t>
        </is>
      </c>
      <c r="B1780" s="4" t="inlineStr">
        <is>
          <t>● (p) 2000-Vorplanung</t>
        </is>
      </c>
      <c r="C1780" s="4" t="inlineStr">
        <is>
          <t>Pauschale</t>
        </is>
      </c>
      <c r="D1780" s="10" t="inlineStr">
        <is>
          <t>⚠ Manual erforderlich</t>
        </is>
      </c>
      <c r="E1780" s="11" t="inlineStr"/>
      <c r="F1780" s="11" t="n">
        <v>0</v>
      </c>
      <c r="G1780" s="11">
        <f>E1780-F1780</f>
        <v/>
      </c>
      <c r="H1780" s="11" t="n">
        <v>0</v>
      </c>
      <c r="I1780" s="11" t="n">
        <v>0</v>
      </c>
      <c r="J1780" s="11" t="n">
        <v>0</v>
      </c>
      <c r="K1780" s="4" t="inlineStr">
        <is>
          <t>Stundensätze eingeben</t>
        </is>
      </c>
    </row>
    <row r="1781">
      <c r="A1781" s="4" t="inlineStr">
        <is>
          <t>5712 UniMed-Augsburg-Lehrgebäude</t>
        </is>
      </c>
      <c r="B1781" s="4" t="inlineStr">
        <is>
          <t>● (p) 3000-Entwurfsplanung</t>
        </is>
      </c>
      <c r="C1781" s="4" t="inlineStr">
        <is>
          <t>Pauschale</t>
        </is>
      </c>
      <c r="D1781" s="10" t="inlineStr">
        <is>
          <t>⚠ Manual erforderlich</t>
        </is>
      </c>
      <c r="E1781" s="11" t="inlineStr"/>
      <c r="F1781" s="11" t="n">
        <v>0</v>
      </c>
      <c r="G1781" s="11">
        <f>E1781-F1781</f>
        <v/>
      </c>
      <c r="H1781" s="11" t="n">
        <v>0</v>
      </c>
      <c r="I1781" s="11" t="n">
        <v>0</v>
      </c>
      <c r="J1781" s="11" t="n">
        <v>0</v>
      </c>
      <c r="K1781" s="4" t="inlineStr">
        <is>
          <t>Stundensätze eingeben</t>
        </is>
      </c>
    </row>
    <row r="1782">
      <c r="A1782" s="4" t="inlineStr">
        <is>
          <t>5712 UniMed-Augsburg-Lehrgebäude</t>
        </is>
      </c>
      <c r="B1782" s="4" t="inlineStr">
        <is>
          <t>● (p) 4000-Genehmigungsplanung</t>
        </is>
      </c>
      <c r="C1782" s="4" t="inlineStr">
        <is>
          <t>Pauschale</t>
        </is>
      </c>
      <c r="D1782" s="10" t="inlineStr">
        <is>
          <t>⚠ Manual erforderlich</t>
        </is>
      </c>
      <c r="E1782" s="11" t="inlineStr"/>
      <c r="F1782" s="11" t="n">
        <v>0</v>
      </c>
      <c r="G1782" s="11">
        <f>E1782-F1782</f>
        <v/>
      </c>
      <c r="H1782" s="11" t="n">
        <v>0</v>
      </c>
      <c r="I1782" s="11" t="n">
        <v>0</v>
      </c>
      <c r="J1782" s="11" t="n">
        <v>0</v>
      </c>
      <c r="K1782" s="4" t="inlineStr">
        <is>
          <t>Stundensätze eingeben</t>
        </is>
      </c>
    </row>
    <row r="1783">
      <c r="A1783" s="4" t="inlineStr">
        <is>
          <t>5712 UniMed-Augsburg-Lehrgebäude</t>
        </is>
      </c>
      <c r="B1783" s="4" t="inlineStr">
        <is>
          <t>● (p) 5000-Ausführungsplanung</t>
        </is>
      </c>
      <c r="C1783" s="4" t="inlineStr">
        <is>
          <t>Pauschale</t>
        </is>
      </c>
      <c r="D1783" s="10" t="inlineStr">
        <is>
          <t>⚠ Manual erforderlich</t>
        </is>
      </c>
      <c r="E1783" s="11" t="inlineStr"/>
      <c r="F1783" s="11" t="n">
        <v>0</v>
      </c>
      <c r="G1783" s="11">
        <f>E1783-F1783</f>
        <v/>
      </c>
      <c r="H1783" s="11" t="n">
        <v>0</v>
      </c>
      <c r="I1783" s="11" t="n">
        <v>0</v>
      </c>
      <c r="J1783" s="11" t="n">
        <v>0</v>
      </c>
      <c r="K1783" s="4" t="inlineStr">
        <is>
          <t>Stundensätze eingeben</t>
        </is>
      </c>
    </row>
    <row r="1784">
      <c r="A1784" s="4" t="inlineStr">
        <is>
          <t>5712 UniMed-Augsburg-Lehrgebäude</t>
        </is>
      </c>
      <c r="B1784" s="4" t="inlineStr">
        <is>
          <t>● (p+aN)) 8000-Objektüberwachung</t>
        </is>
      </c>
      <c r="C1784" s="9" t="inlineStr">
        <is>
          <t>Unbekannt</t>
        </is>
      </c>
      <c r="D1784" s="10" t="inlineStr">
        <is>
          <t>⚠ Manual erforderlich</t>
        </is>
      </c>
      <c r="E1784" s="11" t="inlineStr"/>
      <c r="F1784" s="11" t="n">
        <v>0</v>
      </c>
      <c r="G1784" s="11">
        <f>E1784-F1784</f>
        <v/>
      </c>
      <c r="H1784" s="11" t="n">
        <v/>
      </c>
      <c r="I1784" s="11" t="n">
        <v/>
      </c>
      <c r="J1784" s="11" t="n">
        <v/>
      </c>
      <c r="K1784" s="4" t="inlineStr">
        <is>
          <t>Abrechnungsart wählen; Stundensätze eingeben</t>
        </is>
      </c>
    </row>
    <row r="1785">
      <c r="A1785" s="4" t="inlineStr">
        <is>
          <t>5712 UniMed-Augsburg-Lehrgebäude</t>
        </is>
      </c>
      <c r="B1785" s="4" t="inlineStr">
        <is>
          <t>● (p) 9000-Objektbetreuung und Dokumentation</t>
        </is>
      </c>
      <c r="C1785" s="4" t="inlineStr">
        <is>
          <t>Pauschale</t>
        </is>
      </c>
      <c r="D1785" s="10" t="inlineStr">
        <is>
          <t>⚠ Manual erforderlich</t>
        </is>
      </c>
      <c r="E1785" s="11" t="inlineStr"/>
      <c r="F1785" s="11" t="n">
        <v>0</v>
      </c>
      <c r="G1785" s="11">
        <f>E1785-F1785</f>
        <v/>
      </c>
      <c r="H1785" s="11" t="n">
        <v>0</v>
      </c>
      <c r="I1785" s="11" t="n">
        <v>0</v>
      </c>
      <c r="J1785" s="11" t="n">
        <v>0</v>
      </c>
      <c r="K1785" s="4" t="inlineStr">
        <is>
          <t>Stundensätze eingeben</t>
        </is>
      </c>
    </row>
    <row r="1786">
      <c r="A1786" s="4" t="inlineStr">
        <is>
          <t>5717.09 FI-Theodor-Heuss-Allee-90-Frankfurt</t>
        </is>
      </c>
      <c r="B1786" s="4" t="inlineStr">
        <is>
          <t>● (aN) Beratungsleistungen übergeordnet (SV)</t>
        </is>
      </c>
      <c r="C1786" s="4" t="inlineStr">
        <is>
          <t>Nachweis</t>
        </is>
      </c>
      <c r="D1786" s="10" t="inlineStr">
        <is>
          <t>⚠ Manual erforderlich</t>
        </is>
      </c>
      <c r="E1786" s="11" t="inlineStr"/>
      <c r="F1786" s="11" t="n">
        <v>0</v>
      </c>
      <c r="G1786" s="11">
        <f>E1786-F1786</f>
        <v/>
      </c>
      <c r="H1786" s="11" t="n">
        <v/>
      </c>
      <c r="I1786" s="11" t="n">
        <v/>
      </c>
      <c r="J1786" s="11" t="n">
        <v/>
      </c>
      <c r="K1786" s="4" t="inlineStr">
        <is>
          <t>Stundensätze eingeben</t>
        </is>
      </c>
    </row>
    <row r="1787">
      <c r="A1787" s="4" t="inlineStr">
        <is>
          <t>5717.09 FI-Theodor-Heuss-Allee-90-Frankfurt</t>
        </is>
      </c>
      <c r="B1787" s="4" t="inlineStr">
        <is>
          <t>● (aN) BTB E-Ladestationen TG</t>
        </is>
      </c>
      <c r="C1787" s="4" t="inlineStr">
        <is>
          <t>Nachweis</t>
        </is>
      </c>
      <c r="D1787" s="10" t="inlineStr">
        <is>
          <t>⚠ Manual erforderlich</t>
        </is>
      </c>
      <c r="E1787" s="11" t="inlineStr"/>
      <c r="F1787" s="11" t="n">
        <v>0</v>
      </c>
      <c r="G1787" s="11">
        <f>E1787-F1787</f>
        <v/>
      </c>
      <c r="H1787" s="11" t="n">
        <v/>
      </c>
      <c r="I1787" s="11" t="n">
        <v/>
      </c>
      <c r="J1787" s="11" t="n">
        <v/>
      </c>
      <c r="K1787" s="4" t="inlineStr">
        <is>
          <t>Stundensätze eingeben</t>
        </is>
      </c>
    </row>
    <row r="1788">
      <c r="A1788" s="4" t="inlineStr">
        <is>
          <t>5717.09 FI-Theodor-Heuss-Allee-90-Frankfurt</t>
        </is>
      </c>
      <c r="B1788" s="4" t="inlineStr">
        <is>
          <t>● (aN) Erstellung BSK (SV)</t>
        </is>
      </c>
      <c r="C1788" s="4" t="inlineStr">
        <is>
          <t>Nachweis</t>
        </is>
      </c>
      <c r="D1788" s="10" t="inlineStr">
        <is>
          <t>⚠ Manual erforderlich</t>
        </is>
      </c>
      <c r="E1788" s="11" t="inlineStr"/>
      <c r="F1788" s="11" t="n">
        <v>0</v>
      </c>
      <c r="G1788" s="11">
        <f>E1788-F1788</f>
        <v/>
      </c>
      <c r="H1788" s="11" t="n">
        <v/>
      </c>
      <c r="I1788" s="11" t="n">
        <v/>
      </c>
      <c r="J1788" s="11" t="n">
        <v/>
      </c>
      <c r="K1788" s="4" t="inlineStr">
        <is>
          <t>Stundensätze eingeben</t>
        </is>
      </c>
    </row>
    <row r="1789">
      <c r="A1789" s="4" t="inlineStr">
        <is>
          <t>5717.09 FI-Theodor-Heuss-Allee-90-Frankfurt</t>
        </is>
      </c>
      <c r="B1789" s="4" t="inlineStr">
        <is>
          <t>● (aN) Erstellung BSK-Pläne (CAD)</t>
        </is>
      </c>
      <c r="C1789" s="4" t="inlineStr">
        <is>
          <t>Nachweis</t>
        </is>
      </c>
      <c r="D1789" s="10" t="inlineStr">
        <is>
          <t>⚠ Manual erforderlich</t>
        </is>
      </c>
      <c r="E1789" s="11" t="inlineStr"/>
      <c r="F1789" s="11" t="n">
        <v>0</v>
      </c>
      <c r="G1789" s="11">
        <f>E1789-F1789</f>
        <v/>
      </c>
      <c r="H1789" s="11" t="n">
        <v/>
      </c>
      <c r="I1789" s="11" t="n">
        <v/>
      </c>
      <c r="J1789" s="11" t="n">
        <v/>
      </c>
      <c r="K1789" s="4" t="inlineStr">
        <is>
          <t>Stundensätze eingeben</t>
        </is>
      </c>
    </row>
    <row r="1790">
      <c r="A1790" s="4" t="inlineStr">
        <is>
          <t>5717.09 FI-Theodor-Heuss-Allee-90-Frankfurt</t>
        </is>
      </c>
      <c r="B1790" s="4" t="inlineStr">
        <is>
          <t>● (aN) Erstellung Qualitative Brandfallmatrix (SV)</t>
        </is>
      </c>
      <c r="C1790" s="4" t="inlineStr">
        <is>
          <t>Nachweis</t>
        </is>
      </c>
      <c r="D1790" s="10" t="inlineStr">
        <is>
          <t>⚠ Manual erforderlich</t>
        </is>
      </c>
      <c r="E1790" s="11" t="inlineStr"/>
      <c r="F1790" s="11" t="n">
        <v>0</v>
      </c>
      <c r="G1790" s="11">
        <f>E1790-F1790</f>
        <v/>
      </c>
      <c r="H1790" s="11" t="n">
        <v/>
      </c>
      <c r="I1790" s="11" t="n">
        <v/>
      </c>
      <c r="J1790" s="11" t="n">
        <v/>
      </c>
      <c r="K1790" s="4" t="inlineStr">
        <is>
          <t>Stundensätze eingeben</t>
        </is>
      </c>
    </row>
    <row r="1791">
      <c r="A1791" s="4" t="inlineStr">
        <is>
          <t>5725.04 Frittenwerk-Bahnhof-Hbf-Mainz</t>
        </is>
      </c>
      <c r="B1791" s="4" t="inlineStr">
        <is>
          <t>● BST (pauschal)</t>
        </is>
      </c>
      <c r="C1791" s="9" t="inlineStr">
        <is>
          <t>Unbekannt</t>
        </is>
      </c>
      <c r="D1791" s="10" t="inlineStr">
        <is>
          <t>⚠ Manual erforderlich</t>
        </is>
      </c>
      <c r="E1791" s="11" t="inlineStr"/>
      <c r="F1791" s="11" t="n">
        <v>0</v>
      </c>
      <c r="G1791" s="11">
        <f>E1791-F1791</f>
        <v/>
      </c>
      <c r="H1791" s="11" t="n">
        <v/>
      </c>
      <c r="I1791" s="11" t="n">
        <v/>
      </c>
      <c r="J1791" s="11" t="n">
        <v/>
      </c>
      <c r="K1791" s="4" t="inlineStr">
        <is>
          <t>Abrechnungsart wählen; Stundensätze eingeben</t>
        </is>
      </c>
    </row>
    <row r="1792">
      <c r="A1792" s="4" t="inlineStr">
        <is>
          <t>5725.04 Frittenwerk-Bahnhof-Hbf-Mainz</t>
        </is>
      </c>
      <c r="B1792" s="4" t="inlineStr">
        <is>
          <t>● Beratung + Statusbericht (auf Nachweis)</t>
        </is>
      </c>
      <c r="C1792" s="9" t="inlineStr">
        <is>
          <t>Unbekannt</t>
        </is>
      </c>
      <c r="D1792" s="10" t="inlineStr">
        <is>
          <t>⚠ Manual erforderlich</t>
        </is>
      </c>
      <c r="E1792" s="11" t="inlineStr"/>
      <c r="F1792" s="11" t="n">
        <v>0</v>
      </c>
      <c r="G1792" s="11">
        <f>E1792-F1792</f>
        <v/>
      </c>
      <c r="H1792" s="11" t="n">
        <v/>
      </c>
      <c r="I1792" s="11" t="n">
        <v/>
      </c>
      <c r="J1792" s="11" t="n">
        <v/>
      </c>
      <c r="K1792" s="4" t="inlineStr">
        <is>
          <t>Abrechnungsart wählen; Stundensätze eingeben</t>
        </is>
      </c>
    </row>
    <row r="1793">
      <c r="A1793" s="4" t="inlineStr">
        <is>
          <t>5725.06 BST-Bahnhof-Hbf-Mainz-TK-Raum</t>
        </is>
      </c>
      <c r="B1793" s="4" t="inlineStr">
        <is>
          <t>● Erstellung einer brandschutztechn. Stellungnahme (p)</t>
        </is>
      </c>
      <c r="C1793" s="4" t="inlineStr">
        <is>
          <t>Pauschale</t>
        </is>
      </c>
      <c r="D1793" s="10" t="inlineStr">
        <is>
          <t>⚠ Manual erforderlich</t>
        </is>
      </c>
      <c r="E1793" s="11" t="inlineStr"/>
      <c r="F1793" s="11" t="n">
        <v>0</v>
      </c>
      <c r="G1793" s="11">
        <f>E1793-F1793</f>
        <v/>
      </c>
      <c r="H1793" s="11" t="n">
        <v>0</v>
      </c>
      <c r="I1793" s="11" t="n">
        <v>0</v>
      </c>
      <c r="J1793" s="11" t="n">
        <v>0</v>
      </c>
      <c r="K1793" s="4" t="inlineStr">
        <is>
          <t>Stundensätze eingeben</t>
        </is>
      </c>
    </row>
    <row r="1794">
      <c r="A1794" s="4" t="inlineStr">
        <is>
          <t>5725.06 BST-Bahnhof-Hbf-Mainz-TK-Raum</t>
        </is>
      </c>
      <c r="B1794" s="4" t="inlineStr">
        <is>
          <t>● Ortstermin (p)</t>
        </is>
      </c>
      <c r="C1794" s="4" t="inlineStr">
        <is>
          <t>Pauschale</t>
        </is>
      </c>
      <c r="D1794" s="10" t="inlineStr">
        <is>
          <t>⚠ Manual erforderlich</t>
        </is>
      </c>
      <c r="E1794" s="11" t="inlineStr"/>
      <c r="F1794" s="11" t="n">
        <v>0</v>
      </c>
      <c r="G1794" s="11">
        <f>E1794-F1794</f>
        <v/>
      </c>
      <c r="H1794" s="11" t="n">
        <v>0</v>
      </c>
      <c r="I1794" s="11" t="n">
        <v>0</v>
      </c>
      <c r="J1794" s="11" t="n">
        <v>0</v>
      </c>
      <c r="K1794" s="4" t="inlineStr">
        <is>
          <t>Stundensätze eingeben</t>
        </is>
      </c>
    </row>
    <row r="1795">
      <c r="A1795" s="4" t="inlineStr">
        <is>
          <t>5725.06 BST-Bahnhof-Hbf-Mainz-TK-Raum</t>
        </is>
      </c>
      <c r="B1795" s="4" t="inlineStr">
        <is>
          <t>● Prüfung und Ausführungsplanung (a.N.)</t>
        </is>
      </c>
      <c r="C1795" s="4" t="inlineStr">
        <is>
          <t>Nachweis</t>
        </is>
      </c>
      <c r="D1795" s="10" t="inlineStr">
        <is>
          <t>⚠ Manual erforderlich</t>
        </is>
      </c>
      <c r="E1795" s="11" t="inlineStr"/>
      <c r="F1795" s="11" t="n">
        <v>0</v>
      </c>
      <c r="G1795" s="11">
        <f>E1795-F1795</f>
        <v/>
      </c>
      <c r="H1795" s="11" t="n">
        <v/>
      </c>
      <c r="I1795" s="11" t="n">
        <v/>
      </c>
      <c r="J1795" s="11" t="n">
        <v/>
      </c>
      <c r="K1795" s="4" t="inlineStr">
        <is>
          <t>Stundensätze eingeben</t>
        </is>
      </c>
    </row>
    <row r="1796">
      <c r="A1796" s="4" t="inlineStr">
        <is>
          <t>5725.061 BST-NAT-01-Bahnhof-Hbf-Mainz-TK-Raum</t>
        </is>
      </c>
      <c r="B1796" s="4" t="inlineStr">
        <is>
          <t>● (p) Mehraufwand Erstellung BST</t>
        </is>
      </c>
      <c r="C1796" s="4" t="inlineStr">
        <is>
          <t>Pauschale</t>
        </is>
      </c>
      <c r="D1796" s="10" t="inlineStr">
        <is>
          <t>⚠ Manual erforderlich</t>
        </is>
      </c>
      <c r="E1796" s="11" t="inlineStr"/>
      <c r="F1796" s="11" t="n">
        <v>0</v>
      </c>
      <c r="G1796" s="11">
        <f>E1796-F1796</f>
        <v/>
      </c>
      <c r="H1796" s="11" t="n">
        <v>0</v>
      </c>
      <c r="I1796" s="11" t="n">
        <v>0</v>
      </c>
      <c r="J1796" s="11" t="n">
        <v>0</v>
      </c>
      <c r="K1796" s="4" t="inlineStr">
        <is>
          <t>Stundensätze eingeben</t>
        </is>
      </c>
    </row>
    <row r="1797">
      <c r="A1797" s="4" t="inlineStr">
        <is>
          <t>5725.061 BST-NAT-01-Bahnhof-Hbf-Mainz-TK-Raum</t>
        </is>
      </c>
      <c r="B1797" s="4" t="inlineStr">
        <is>
          <t>● (a.N.) Prüfung Ausführungsplanung</t>
        </is>
      </c>
      <c r="C1797" s="4" t="inlineStr">
        <is>
          <t>Nachweis</t>
        </is>
      </c>
      <c r="D1797" s="10" t="inlineStr">
        <is>
          <t>⚠ Manual erforderlich</t>
        </is>
      </c>
      <c r="E1797" s="11" t="inlineStr"/>
      <c r="F1797" s="11" t="n">
        <v>0</v>
      </c>
      <c r="G1797" s="11">
        <f>E1797-F1797</f>
        <v/>
      </c>
      <c r="H1797" s="11" t="n">
        <v/>
      </c>
      <c r="I1797" s="11" t="n">
        <v/>
      </c>
      <c r="J1797" s="11" t="n">
        <v/>
      </c>
      <c r="K1797" s="4" t="inlineStr">
        <is>
          <t>Stundensätze eingeben</t>
        </is>
      </c>
    </row>
    <row r="1798">
      <c r="A1798" s="4" t="inlineStr">
        <is>
          <t>5725.07 NAT-BSK-Bahnhof-Hbf-Mainz</t>
        </is>
      </c>
      <c r="B1798" s="4" t="inlineStr">
        <is>
          <t>● (a.N.) Anpassen BSK</t>
        </is>
      </c>
      <c r="C1798" s="4" t="inlineStr">
        <is>
          <t>Nachweis</t>
        </is>
      </c>
      <c r="D1798" s="10" t="inlineStr">
        <is>
          <t>⚠ Manual erforderlich</t>
        </is>
      </c>
      <c r="E1798" s="11" t="inlineStr"/>
      <c r="F1798" s="11" t="n">
        <v>0</v>
      </c>
      <c r="G1798" s="11">
        <f>E1798-F1798</f>
        <v/>
      </c>
      <c r="H1798" s="11" t="n">
        <v/>
      </c>
      <c r="I1798" s="11" t="n">
        <v/>
      </c>
      <c r="J1798" s="11" t="n">
        <v/>
      </c>
      <c r="K1798" s="4" t="inlineStr">
        <is>
          <t>Stundensätze eingeben</t>
        </is>
      </c>
    </row>
    <row r="1799">
      <c r="A1799" s="4" t="inlineStr">
        <is>
          <t>5726.03 Flörsheim-22-Mehrfamilienhäuser</t>
        </is>
      </c>
      <c r="B1799" s="4" t="inlineStr">
        <is>
          <t>● Bestandsanalyse + -bewertung (auf Nachweis)</t>
        </is>
      </c>
      <c r="C1799" s="9" t="inlineStr">
        <is>
          <t>Unbekannt</t>
        </is>
      </c>
      <c r="D1799" s="10" t="inlineStr">
        <is>
          <t>⚠ Manual erforderlich</t>
        </is>
      </c>
      <c r="E1799" s="11" t="inlineStr"/>
      <c r="F1799" s="11" t="n">
        <v>0</v>
      </c>
      <c r="G1799" s="11">
        <f>E1799-F1799</f>
        <v/>
      </c>
      <c r="H1799" s="11" t="n">
        <v/>
      </c>
      <c r="I1799" s="11" t="n">
        <v/>
      </c>
      <c r="J1799" s="11" t="n">
        <v/>
      </c>
      <c r="K1799" s="4" t="inlineStr">
        <is>
          <t>Abrechnungsart wählen; Stundensätze eingeben</t>
        </is>
      </c>
    </row>
    <row r="1800">
      <c r="A1800" s="4" t="inlineStr">
        <is>
          <t>5726.03 Flörsheim-22-Mehrfamilienhäuser</t>
        </is>
      </c>
      <c r="B1800" s="4" t="inlineStr">
        <is>
          <t>● Baubegleitung (auf Nachweis)</t>
        </is>
      </c>
      <c r="C1800" s="9" t="inlineStr">
        <is>
          <t>Unbekannt</t>
        </is>
      </c>
      <c r="D1800" s="10" t="inlineStr">
        <is>
          <t>⚠ Manual erforderlich</t>
        </is>
      </c>
      <c r="E1800" s="11" t="inlineStr"/>
      <c r="F1800" s="11" t="n">
        <v>0</v>
      </c>
      <c r="G1800" s="11">
        <f>E1800-F1800</f>
        <v/>
      </c>
      <c r="H1800" s="11" t="n">
        <v/>
      </c>
      <c r="I1800" s="11" t="n">
        <v/>
      </c>
      <c r="J1800" s="11" t="n">
        <v/>
      </c>
      <c r="K1800" s="4" t="inlineStr">
        <is>
          <t>Abrechnungsart wählen; Stundensätze eingeben</t>
        </is>
      </c>
    </row>
    <row r="1801">
      <c r="A1801" s="4" t="inlineStr">
        <is>
          <t>5726.03 Flörsheim-22-Mehrfamilienhäuser</t>
        </is>
      </c>
      <c r="B1801" s="4" t="inlineStr">
        <is>
          <t>● Prüfung Maßnahmen 7 Wohngebäude (auf Nachweis)</t>
        </is>
      </c>
      <c r="C1801" s="9" t="inlineStr">
        <is>
          <t>Unbekannt</t>
        </is>
      </c>
      <c r="D1801" s="10" t="inlineStr">
        <is>
          <t>⚠ Manual erforderlich</t>
        </is>
      </c>
      <c r="E1801" s="11" t="inlineStr"/>
      <c r="F1801" s="11" t="n">
        <v>0</v>
      </c>
      <c r="G1801" s="11">
        <f>E1801-F1801</f>
        <v/>
      </c>
      <c r="H1801" s="11" t="n">
        <v/>
      </c>
      <c r="I1801" s="11" t="n">
        <v/>
      </c>
      <c r="J1801" s="11" t="n">
        <v/>
      </c>
      <c r="K1801" s="4" t="inlineStr">
        <is>
          <t>Abrechnungsart wählen; Stundensätze eingeben</t>
        </is>
      </c>
    </row>
    <row r="1802">
      <c r="A1802" s="4" t="inlineStr">
        <is>
          <t>5726.04 PretiumPlus-Fraport-Casa-Flörsheim-Prio3-divers</t>
        </is>
      </c>
      <c r="B1802" s="4" t="inlineStr">
        <is>
          <t>● Rheinallee 50, Flörsheim</t>
        </is>
      </c>
      <c r="C1802" s="9" t="inlineStr">
        <is>
          <t>Unbekannt</t>
        </is>
      </c>
      <c r="D1802" s="10" t="inlineStr">
        <is>
          <t>⚠ Manual erforderlich</t>
        </is>
      </c>
      <c r="E1802" s="11" t="inlineStr"/>
      <c r="F1802" s="11" t="n">
        <v>0</v>
      </c>
      <c r="G1802" s="11">
        <f>E1802-F1802</f>
        <v/>
      </c>
      <c r="H1802" s="11" t="n">
        <v/>
      </c>
      <c r="I1802" s="11" t="n">
        <v/>
      </c>
      <c r="J1802" s="11" t="n">
        <v/>
      </c>
      <c r="K1802" s="4" t="inlineStr">
        <is>
          <t>Abrechnungsart wählen; Stundensätze eingeben</t>
        </is>
      </c>
    </row>
    <row r="1803">
      <c r="A1803" s="4" t="inlineStr">
        <is>
          <t>5726.04 PretiumPlus-Fraport-Casa-Flörsheim-Prio3-divers</t>
        </is>
      </c>
      <c r="B1803" s="4" t="inlineStr">
        <is>
          <t>● Lahnstr. 3, Flörsheim</t>
        </is>
      </c>
      <c r="C1803" s="9" t="inlineStr">
        <is>
          <t>Unbekannt</t>
        </is>
      </c>
      <c r="D1803" s="10" t="inlineStr">
        <is>
          <t>⚠ Manual erforderlich</t>
        </is>
      </c>
      <c r="E1803" s="11" t="inlineStr"/>
      <c r="F1803" s="11" t="n">
        <v>0</v>
      </c>
      <c r="G1803" s="11">
        <f>E1803-F1803</f>
        <v/>
      </c>
      <c r="H1803" s="11" t="n">
        <v/>
      </c>
      <c r="I1803" s="11" t="n">
        <v/>
      </c>
      <c r="J1803" s="11" t="n">
        <v/>
      </c>
      <c r="K1803" s="4" t="inlineStr">
        <is>
          <t>Abrechnungsart wählen; Stundensätze eingeben</t>
        </is>
      </c>
    </row>
    <row r="1804">
      <c r="A1804" s="4" t="inlineStr">
        <is>
          <t>5726.04 PretiumPlus-Fraport-Casa-Flörsheim-Prio3-divers</t>
        </is>
      </c>
      <c r="B1804" s="4" t="inlineStr">
        <is>
          <t>● Lahnstr. 41, Flörsheim</t>
        </is>
      </c>
      <c r="C1804" s="9" t="inlineStr">
        <is>
          <t>Unbekannt</t>
        </is>
      </c>
      <c r="D1804" s="10" t="inlineStr">
        <is>
          <t>⚠ Manual erforderlich</t>
        </is>
      </c>
      <c r="E1804" s="11" t="inlineStr"/>
      <c r="F1804" s="11" t="n">
        <v>0</v>
      </c>
      <c r="G1804" s="11">
        <f>E1804-F1804</f>
        <v/>
      </c>
      <c r="H1804" s="11" t="n">
        <v/>
      </c>
      <c r="I1804" s="11" t="n">
        <v/>
      </c>
      <c r="J1804" s="11" t="n">
        <v/>
      </c>
      <c r="K1804" s="4" t="inlineStr">
        <is>
          <t>Abrechnungsart wählen; Stundensätze eingeben</t>
        </is>
      </c>
    </row>
    <row r="1805">
      <c r="A1805" s="4" t="inlineStr">
        <is>
          <t>5726.04 PretiumPlus-Fraport-Casa-Flörsheim-Prio3-divers</t>
        </is>
      </c>
      <c r="B1805" s="4" t="inlineStr">
        <is>
          <t>● Ahrstr. 12, Flörsheim</t>
        </is>
      </c>
      <c r="C1805" s="9" t="inlineStr">
        <is>
          <t>Unbekannt</t>
        </is>
      </c>
      <c r="D1805" s="10" t="inlineStr">
        <is>
          <t>⚠ Manual erforderlich</t>
        </is>
      </c>
      <c r="E1805" s="11" t="inlineStr"/>
      <c r="F1805" s="11" t="n">
        <v>0</v>
      </c>
      <c r="G1805" s="11">
        <f>E1805-F1805</f>
        <v/>
      </c>
      <c r="H1805" s="11" t="n">
        <v/>
      </c>
      <c r="I1805" s="11" t="n">
        <v/>
      </c>
      <c r="J1805" s="11" t="n">
        <v/>
      </c>
      <c r="K1805" s="4" t="inlineStr">
        <is>
          <t>Abrechnungsart wählen; Stundensätze eingeben</t>
        </is>
      </c>
    </row>
    <row r="1806">
      <c r="A1806" s="4" t="inlineStr">
        <is>
          <t>5726.04 PretiumPlus-Fraport-Casa-Flörsheim-Prio3-divers</t>
        </is>
      </c>
      <c r="B1806" s="4" t="inlineStr">
        <is>
          <t>● Erthalstr. 4a, Flörsheim</t>
        </is>
      </c>
      <c r="C1806" s="9" t="inlineStr">
        <is>
          <t>Unbekannt</t>
        </is>
      </c>
      <c r="D1806" s="10" t="inlineStr">
        <is>
          <t>⚠ Manual erforderlich</t>
        </is>
      </c>
      <c r="E1806" s="11" t="inlineStr"/>
      <c r="F1806" s="11" t="n">
        <v>0</v>
      </c>
      <c r="G1806" s="11">
        <f>E1806-F1806</f>
        <v/>
      </c>
      <c r="H1806" s="11" t="n">
        <v/>
      </c>
      <c r="I1806" s="11" t="n">
        <v/>
      </c>
      <c r="J1806" s="11" t="n">
        <v/>
      </c>
      <c r="K1806" s="4" t="inlineStr">
        <is>
          <t>Abrechnungsart wählen; Stundensätze eingeben</t>
        </is>
      </c>
    </row>
    <row r="1807">
      <c r="A1807" s="4" t="inlineStr">
        <is>
          <t>5726.04 PretiumPlus-Fraport-Casa-Flörsheim-Prio3-divers</t>
        </is>
      </c>
      <c r="B1807" s="4" t="inlineStr">
        <is>
          <t>● WEG-Rheinallee 31 b, Flörsheim</t>
        </is>
      </c>
      <c r="C1807" s="9" t="inlineStr">
        <is>
          <t>Unbekannt</t>
        </is>
      </c>
      <c r="D1807" s="10" t="inlineStr">
        <is>
          <t>⚠ Manual erforderlich</t>
        </is>
      </c>
      <c r="E1807" s="11" t="inlineStr"/>
      <c r="F1807" s="11" t="n">
        <v>0</v>
      </c>
      <c r="G1807" s="11">
        <f>E1807-F1807</f>
        <v/>
      </c>
      <c r="H1807" s="11" t="n">
        <v/>
      </c>
      <c r="I1807" s="11" t="n">
        <v/>
      </c>
      <c r="J1807" s="11" t="n">
        <v/>
      </c>
      <c r="K1807" s="4" t="inlineStr">
        <is>
          <t>Abrechnungsart wählen; Stundensätze eingeben</t>
        </is>
      </c>
    </row>
    <row r="1808">
      <c r="A1808" s="4" t="inlineStr">
        <is>
          <t>5727.01 Fortschr-BSK-Rechenzentrum-Langewiesen-Ilmenau</t>
        </is>
      </c>
      <c r="B1808" s="4" t="inlineStr">
        <is>
          <t>● Abstimmungstermine / Behördentermine (auf Nachweis)</t>
        </is>
      </c>
      <c r="C1808" s="9" t="inlineStr">
        <is>
          <t>Unbekannt</t>
        </is>
      </c>
      <c r="D1808" s="10" t="inlineStr">
        <is>
          <t>⚠ Manual erforderlich</t>
        </is>
      </c>
      <c r="E1808" s="11" t="inlineStr"/>
      <c r="F1808" s="11" t="n">
        <v>0</v>
      </c>
      <c r="G1808" s="11">
        <f>E1808-F1808</f>
        <v/>
      </c>
      <c r="H1808" s="11" t="n">
        <v/>
      </c>
      <c r="I1808" s="11" t="n">
        <v/>
      </c>
      <c r="J1808" s="11" t="n">
        <v/>
      </c>
      <c r="K1808" s="4" t="inlineStr">
        <is>
          <t>Abrechnungsart wählen; Stundensätze eingeben</t>
        </is>
      </c>
    </row>
    <row r="1809">
      <c r="A1809" s="4" t="inlineStr">
        <is>
          <t>5727.01 Fortschr-BSK-Rechenzentrum-Langewiesen-Ilmenau</t>
        </is>
      </c>
      <c r="B1809" s="4" t="inlineStr">
        <is>
          <t>● Fortschreibung BSK (pauschal)</t>
        </is>
      </c>
      <c r="C1809" s="9" t="inlineStr">
        <is>
          <t>Unbekannt</t>
        </is>
      </c>
      <c r="D1809" s="10" t="inlineStr">
        <is>
          <t>⚠ Manual erforderlich</t>
        </is>
      </c>
      <c r="E1809" s="11" t="inlineStr"/>
      <c r="F1809" s="11" t="n">
        <v>0</v>
      </c>
      <c r="G1809" s="11">
        <f>E1809-F1809</f>
        <v/>
      </c>
      <c r="H1809" s="11" t="n">
        <v/>
      </c>
      <c r="I1809" s="11" t="n">
        <v/>
      </c>
      <c r="J1809" s="11" t="n">
        <v/>
      </c>
      <c r="K1809" s="4" t="inlineStr">
        <is>
          <t>Abrechnungsart wählen; Stundensätze eingeben</t>
        </is>
      </c>
    </row>
    <row r="1810">
      <c r="A1810" s="4" t="inlineStr">
        <is>
          <t>5727.01 Fortschr-BSK-Rechenzentrum-Langewiesen-Ilmenau</t>
        </is>
      </c>
      <c r="B1810" s="4" t="inlineStr">
        <is>
          <t>● Baubegleitung (auf Nachweis)</t>
        </is>
      </c>
      <c r="C1810" s="9" t="inlineStr">
        <is>
          <t>Unbekannt</t>
        </is>
      </c>
      <c r="D1810" s="10" t="inlineStr">
        <is>
          <t>⚠ Manual erforderlich</t>
        </is>
      </c>
      <c r="E1810" s="11" t="inlineStr"/>
      <c r="F1810" s="11" t="n">
        <v>0</v>
      </c>
      <c r="G1810" s="11">
        <f>E1810-F1810</f>
        <v/>
      </c>
      <c r="H1810" s="11" t="n">
        <v/>
      </c>
      <c r="I1810" s="11" t="n">
        <v/>
      </c>
      <c r="J1810" s="11" t="n">
        <v/>
      </c>
      <c r="K1810" s="4" t="inlineStr">
        <is>
          <t>Abrechnungsart wählen; Stundensätze eingeben</t>
        </is>
      </c>
    </row>
    <row r="1811">
      <c r="A1811" s="4" t="inlineStr">
        <is>
          <t>5729.09 BSB-2024-Mannheimer-Straße-21-Frankfurt-IntercityHotel</t>
        </is>
      </c>
      <c r="B1811" s="4" t="inlineStr">
        <is>
          <t>● 9000-Objektbetreuung und Dokumentation</t>
        </is>
      </c>
      <c r="C1811" s="9" t="inlineStr">
        <is>
          <t>Unbekannt</t>
        </is>
      </c>
      <c r="D1811" s="10" t="inlineStr">
        <is>
          <t>⚠ Manual erforderlich</t>
        </is>
      </c>
      <c r="E1811" s="11" t="inlineStr"/>
      <c r="F1811" s="11" t="n">
        <v>0</v>
      </c>
      <c r="G1811" s="11">
        <f>E1811-F1811</f>
        <v/>
      </c>
      <c r="H1811" s="11" t="n">
        <v/>
      </c>
      <c r="I1811" s="11" t="n">
        <v/>
      </c>
      <c r="J1811" s="11" t="n">
        <v/>
      </c>
      <c r="K1811" s="4" t="inlineStr">
        <is>
          <t>Abrechnungsart wählen; Stundensätze eingeben</t>
        </is>
      </c>
    </row>
    <row r="1812">
      <c r="A1812" s="4" t="inlineStr">
        <is>
          <t>5731.03 Abgleich-Genehmigungsplanung-Geb555</t>
        </is>
      </c>
      <c r="B1812" s="4" t="inlineStr">
        <is>
          <t>● • 1200-Bestandserfassung vor Ort....</t>
        </is>
      </c>
      <c r="C1812" s="9" t="inlineStr">
        <is>
          <t>Unbekannt</t>
        </is>
      </c>
      <c r="D1812" s="10" t="inlineStr">
        <is>
          <t>⚠ Manual erforderlich</t>
        </is>
      </c>
      <c r="E1812" s="11" t="inlineStr"/>
      <c r="F1812" s="11" t="n">
        <v>0</v>
      </c>
      <c r="G1812" s="11">
        <f>E1812-F1812</f>
        <v/>
      </c>
      <c r="H1812" s="11" t="n">
        <v/>
      </c>
      <c r="I1812" s="11" t="n">
        <v/>
      </c>
      <c r="J1812" s="11" t="n">
        <v/>
      </c>
      <c r="K1812" s="4" t="inlineStr">
        <is>
          <t>Abrechnungsart wählen; Stundensätze eingeben</t>
        </is>
      </c>
    </row>
    <row r="1813">
      <c r="A1813" s="4" t="inlineStr">
        <is>
          <t>5731.03 Abgleich-Genehmigungsplanung-Geb555</t>
        </is>
      </c>
      <c r="B1813" s="4" t="inlineStr">
        <is>
          <t>● • 1101-Zusammenstellen Ergebnisse….</t>
        </is>
      </c>
      <c r="C1813" s="9" t="inlineStr">
        <is>
          <t>Unbekannt</t>
        </is>
      </c>
      <c r="D1813" s="10" t="inlineStr">
        <is>
          <t>⚠ Manual erforderlich</t>
        </is>
      </c>
      <c r="E1813" s="11" t="inlineStr"/>
      <c r="F1813" s="11" t="n">
        <v>0</v>
      </c>
      <c r="G1813" s="11">
        <f>E1813-F1813</f>
        <v/>
      </c>
      <c r="H1813" s="11" t="n">
        <v/>
      </c>
      <c r="I1813" s="11" t="n">
        <v/>
      </c>
      <c r="J1813" s="11" t="n">
        <v/>
      </c>
      <c r="K1813" s="4" t="inlineStr">
        <is>
          <t>Abrechnungsart wählen; Stundensätze eingeben</t>
        </is>
      </c>
    </row>
    <row r="1814">
      <c r="A1814" s="4" t="inlineStr">
        <is>
          <t>5731.03 Abgleich-Genehmigungsplanung-Geb555</t>
        </is>
      </c>
      <c r="B1814" s="4" t="inlineStr">
        <is>
          <t>● • 2104-Stichpunktartige Zusammenstellung Ergebnisse LP2…</t>
        </is>
      </c>
      <c r="C1814" s="9" t="inlineStr">
        <is>
          <t>Unbekannt</t>
        </is>
      </c>
      <c r="D1814" s="10" t="inlineStr">
        <is>
          <t>⚠ Manual erforderlich</t>
        </is>
      </c>
      <c r="E1814" s="11" t="inlineStr"/>
      <c r="F1814" s="11" t="n">
        <v>0</v>
      </c>
      <c r="G1814" s="11">
        <f>E1814-F1814</f>
        <v/>
      </c>
      <c r="H1814" s="11" t="n">
        <v/>
      </c>
      <c r="I1814" s="11" t="n">
        <v/>
      </c>
      <c r="J1814" s="11" t="n">
        <v/>
      </c>
      <c r="K1814" s="4" t="inlineStr">
        <is>
          <t>Abrechnungsart wählen; Stundensätze eingeben</t>
        </is>
      </c>
    </row>
    <row r="1815">
      <c r="A1815" s="4" t="inlineStr">
        <is>
          <t>5734.02 BSK-Mainstraße-3-Kriftel-Shisha-Bar</t>
        </is>
      </c>
      <c r="B1815" s="4" t="inlineStr">
        <is>
          <t>● (p) Pos.1 Fortschr. BSK wg. neuer Planung Gastraum</t>
        </is>
      </c>
      <c r="C1815" s="4" t="inlineStr">
        <is>
          <t>Pauschale</t>
        </is>
      </c>
      <c r="D1815" s="10" t="inlineStr">
        <is>
          <t>⚠ Manual erforderlich</t>
        </is>
      </c>
      <c r="E1815" s="11" t="inlineStr"/>
      <c r="F1815" s="11" t="n">
        <v>0</v>
      </c>
      <c r="G1815" s="11">
        <f>E1815-F1815</f>
        <v/>
      </c>
      <c r="H1815" s="11" t="n">
        <v>0</v>
      </c>
      <c r="I1815" s="11" t="n">
        <v>0</v>
      </c>
      <c r="J1815" s="11" t="n">
        <v>0</v>
      </c>
      <c r="K1815" s="4" t="inlineStr">
        <is>
          <t>Stundensätze eingeben</t>
        </is>
      </c>
    </row>
    <row r="1816">
      <c r="A1816" s="4" t="inlineStr">
        <is>
          <t>5734.02 BSK-Mainstraße-3-Kriftel-Shisha-Bar</t>
        </is>
      </c>
      <c r="B1816" s="4" t="inlineStr">
        <is>
          <t>● (a.N.) Pos.2 BAB+Qualitätsüberwachung</t>
        </is>
      </c>
      <c r="C1816" s="4" t="inlineStr">
        <is>
          <t>Nachweis</t>
        </is>
      </c>
      <c r="D1816" s="10" t="inlineStr">
        <is>
          <t>⚠ Manual erforderlich</t>
        </is>
      </c>
      <c r="E1816" s="11" t="inlineStr"/>
      <c r="F1816" s="11" t="n">
        <v>0</v>
      </c>
      <c r="G1816" s="11">
        <f>E1816-F1816</f>
        <v/>
      </c>
      <c r="H1816" s="11" t="n">
        <v/>
      </c>
      <c r="I1816" s="11" t="n">
        <v/>
      </c>
      <c r="J1816" s="11" t="n">
        <v/>
      </c>
      <c r="K1816" s="4" t="inlineStr">
        <is>
          <t>Stundensätze eingeben</t>
        </is>
      </c>
    </row>
    <row r="1817">
      <c r="A1817" s="4" t="inlineStr">
        <is>
          <t>5753.02 FWP-Mooswaldallee1-Freiburg-Pfizer</t>
        </is>
      </c>
      <c r="B1817" s="4" t="inlineStr">
        <is>
          <t>● • ‧ 1200-Bestandserfassung vor Ort....</t>
        </is>
      </c>
      <c r="C1817" s="9" t="inlineStr">
        <is>
          <t>Unbekannt</t>
        </is>
      </c>
      <c r="D1817" s="10" t="inlineStr">
        <is>
          <t>⚠ Manual erforderlich</t>
        </is>
      </c>
      <c r="E1817" s="11" t="inlineStr"/>
      <c r="F1817" s="11" t="n">
        <v>0</v>
      </c>
      <c r="G1817" s="11">
        <f>E1817-F1817</f>
        <v/>
      </c>
      <c r="H1817" s="11" t="n">
        <v/>
      </c>
      <c r="I1817" s="11" t="n">
        <v/>
      </c>
      <c r="J1817" s="11" t="n">
        <v/>
      </c>
      <c r="K1817" s="4" t="inlineStr">
        <is>
          <t>Abrechnungsart wählen; Stundensätze eingeben</t>
        </is>
      </c>
    </row>
    <row r="1818">
      <c r="A1818" s="4" t="inlineStr">
        <is>
          <t>5753.02 FWP-Mooswaldallee1-Freiburg-Pfizer</t>
        </is>
      </c>
      <c r="B1818" s="4" t="inlineStr">
        <is>
          <t>● • (p.) FWP</t>
        </is>
      </c>
      <c r="C1818" s="9" t="inlineStr">
        <is>
          <t>Unbekannt</t>
        </is>
      </c>
      <c r="D1818" s="10" t="inlineStr">
        <is>
          <t>⚠ Manual erforderlich</t>
        </is>
      </c>
      <c r="E1818" s="11" t="inlineStr"/>
      <c r="F1818" s="11" t="n">
        <v>0</v>
      </c>
      <c r="G1818" s="11">
        <f>E1818-F1818</f>
        <v/>
      </c>
      <c r="H1818" s="11" t="n">
        <v/>
      </c>
      <c r="I1818" s="11" t="n">
        <v/>
      </c>
      <c r="J1818" s="11" t="n">
        <v/>
      </c>
      <c r="K1818" s="4" t="inlineStr">
        <is>
          <t>Abrechnungsart wählen; Stundensätze eingeben</t>
        </is>
      </c>
    </row>
    <row r="1819">
      <c r="A1819" s="4" t="inlineStr">
        <is>
          <t>5753.03 Pfizer-HighCon-Büro-Mooswaldallee1-Freiburg</t>
        </is>
      </c>
      <c r="B1819" s="4" t="inlineStr">
        <is>
          <t>● (p) Pos. 1 Fortschreibung Brandschutzkonzept</t>
        </is>
      </c>
      <c r="C1819" s="4" t="inlineStr">
        <is>
          <t>Pauschale</t>
        </is>
      </c>
      <c r="D1819" s="10" t="inlineStr">
        <is>
          <t>⚠ Manual erforderlich</t>
        </is>
      </c>
      <c r="E1819" s="11" t="inlineStr"/>
      <c r="F1819" s="11" t="n">
        <v>0</v>
      </c>
      <c r="G1819" s="11">
        <f>E1819-F1819</f>
        <v/>
      </c>
      <c r="H1819" s="11" t="n">
        <v>0</v>
      </c>
      <c r="I1819" s="11" t="n">
        <v>0</v>
      </c>
      <c r="J1819" s="11" t="n">
        <v>0</v>
      </c>
      <c r="K1819" s="4" t="inlineStr">
        <is>
          <t>Stundensätze eingeben</t>
        </is>
      </c>
    </row>
    <row r="1820">
      <c r="A1820" s="4" t="inlineStr">
        <is>
          <t>5757 Hirschberger-Straße-1-Schriesheim-Kurpfalz-Gymnasium</t>
        </is>
      </c>
      <c r="B1820" s="4" t="inlineStr">
        <is>
          <t>● 1000-Grundlagenermittlung</t>
        </is>
      </c>
      <c r="C1820" s="9" t="inlineStr">
        <is>
          <t>Unbekannt</t>
        </is>
      </c>
      <c r="D1820" s="10" t="inlineStr">
        <is>
          <t>⚠ Manual erforderlich</t>
        </is>
      </c>
      <c r="E1820" s="11" t="inlineStr"/>
      <c r="F1820" s="11" t="n">
        <v>0</v>
      </c>
      <c r="G1820" s="11">
        <f>E1820-F1820</f>
        <v/>
      </c>
      <c r="H1820" s="11" t="n">
        <v/>
      </c>
      <c r="I1820" s="11" t="n">
        <v/>
      </c>
      <c r="J1820" s="11" t="n">
        <v/>
      </c>
      <c r="K1820" s="4" t="inlineStr">
        <is>
          <t>Abrechnungsart wählen; Stundensätze eingeben</t>
        </is>
      </c>
    </row>
    <row r="1821">
      <c r="A1821" s="4" t="inlineStr">
        <is>
          <t>5757 Hirschberger-Straße-1-Schriesheim-Kurpfalz-Gymnasium</t>
        </is>
      </c>
      <c r="B1821" s="4" t="inlineStr">
        <is>
          <t>● 2000-Vorplanung</t>
        </is>
      </c>
      <c r="C1821" s="9" t="inlineStr">
        <is>
          <t>Unbekannt</t>
        </is>
      </c>
      <c r="D1821" s="10" t="inlineStr">
        <is>
          <t>⚠ Manual erforderlich</t>
        </is>
      </c>
      <c r="E1821" s="11" t="inlineStr"/>
      <c r="F1821" s="11" t="n">
        <v>0</v>
      </c>
      <c r="G1821" s="11">
        <f>E1821-F1821</f>
        <v/>
      </c>
      <c r="H1821" s="11" t="n">
        <v/>
      </c>
      <c r="I1821" s="11" t="n">
        <v/>
      </c>
      <c r="J1821" s="11" t="n">
        <v/>
      </c>
      <c r="K1821" s="4" t="inlineStr">
        <is>
          <t>Abrechnungsart wählen; Stundensätze eingeben</t>
        </is>
      </c>
    </row>
    <row r="1822">
      <c r="A1822" s="4" t="inlineStr">
        <is>
          <t>5757 Hirschberger-Straße-1-Schriesheim-Kurpfalz-Gymnasium</t>
        </is>
      </c>
      <c r="B1822" s="4" t="inlineStr">
        <is>
          <t>● 3000-Entwurfsplanung</t>
        </is>
      </c>
      <c r="C1822" s="9" t="inlineStr">
        <is>
          <t>Unbekannt</t>
        </is>
      </c>
      <c r="D1822" s="10" t="inlineStr">
        <is>
          <t>⚠ Manual erforderlich</t>
        </is>
      </c>
      <c r="E1822" s="11" t="inlineStr"/>
      <c r="F1822" s="11" t="n">
        <v>0</v>
      </c>
      <c r="G1822" s="11">
        <f>E1822-F1822</f>
        <v/>
      </c>
      <c r="H1822" s="11" t="n">
        <v/>
      </c>
      <c r="I1822" s="11" t="n">
        <v/>
      </c>
      <c r="J1822" s="11" t="n">
        <v/>
      </c>
      <c r="K1822" s="4" t="inlineStr">
        <is>
          <t>Abrechnungsart wählen; Stundensätze eingeben</t>
        </is>
      </c>
    </row>
    <row r="1823">
      <c r="A1823" s="4" t="inlineStr">
        <is>
          <t>5757 Hirschberger-Straße-1-Schriesheim-Kurpfalz-Gymnasium</t>
        </is>
      </c>
      <c r="B1823" s="4" t="inlineStr">
        <is>
          <t>● 4000-Genehmigungsplanung</t>
        </is>
      </c>
      <c r="C1823" s="9" t="inlineStr">
        <is>
          <t>Unbekannt</t>
        </is>
      </c>
      <c r="D1823" s="10" t="inlineStr">
        <is>
          <t>⚠ Manual erforderlich</t>
        </is>
      </c>
      <c r="E1823" s="11" t="inlineStr"/>
      <c r="F1823" s="11" t="n">
        <v>0</v>
      </c>
      <c r="G1823" s="11">
        <f>E1823-F1823</f>
        <v/>
      </c>
      <c r="H1823" s="11" t="n">
        <v/>
      </c>
      <c r="I1823" s="11" t="n">
        <v/>
      </c>
      <c r="J1823" s="11" t="n">
        <v/>
      </c>
      <c r="K1823" s="4" t="inlineStr">
        <is>
          <t>Abrechnungsart wählen; Stundensätze eingeben</t>
        </is>
      </c>
    </row>
    <row r="1824">
      <c r="A1824" s="4" t="inlineStr">
        <is>
          <t>5757 Hirschberger-Straße-1-Schriesheim-Kurpfalz-Gymnasium</t>
        </is>
      </c>
      <c r="B1824" s="4" t="inlineStr">
        <is>
          <t>● 5000-Ausführungsplanung</t>
        </is>
      </c>
      <c r="C1824" s="9" t="inlineStr">
        <is>
          <t>Unbekannt</t>
        </is>
      </c>
      <c r="D1824" s="10" t="inlineStr">
        <is>
          <t>⚠ Manual erforderlich</t>
        </is>
      </c>
      <c r="E1824" s="11" t="inlineStr"/>
      <c r="F1824" s="11" t="n">
        <v>0</v>
      </c>
      <c r="G1824" s="11">
        <f>E1824-F1824</f>
        <v/>
      </c>
      <c r="H1824" s="11" t="n">
        <v/>
      </c>
      <c r="I1824" s="11" t="n">
        <v/>
      </c>
      <c r="J1824" s="11" t="n">
        <v/>
      </c>
      <c r="K1824" s="4" t="inlineStr">
        <is>
          <t>Abrechnungsart wählen; Stundensätze eingeben</t>
        </is>
      </c>
    </row>
    <row r="1825">
      <c r="A1825" s="4" t="inlineStr">
        <is>
          <t>5757 Hirschberger-Straße-1-Schriesheim-Kurpfalz-Gymnasium</t>
        </is>
      </c>
      <c r="B1825" s="4" t="inlineStr">
        <is>
          <t>● 8000-Objektüberwachung</t>
        </is>
      </c>
      <c r="C1825" s="9" t="inlineStr">
        <is>
          <t>Unbekannt</t>
        </is>
      </c>
      <c r="D1825" s="10" t="inlineStr">
        <is>
          <t>⚠ Manual erforderlich</t>
        </is>
      </c>
      <c r="E1825" s="11" t="inlineStr"/>
      <c r="F1825" s="11" t="n">
        <v>0</v>
      </c>
      <c r="G1825" s="11">
        <f>E1825-F1825</f>
        <v/>
      </c>
      <c r="H1825" s="11" t="n">
        <v/>
      </c>
      <c r="I1825" s="11" t="n">
        <v/>
      </c>
      <c r="J1825" s="11" t="n">
        <v/>
      </c>
      <c r="K1825" s="4" t="inlineStr">
        <is>
          <t>Abrechnungsart wählen; Stundensätze eingeben</t>
        </is>
      </c>
    </row>
    <row r="1826">
      <c r="A1826" s="4" t="inlineStr">
        <is>
          <t>5757.04 FUR-Gymnasium-Hirschbergstr1-Schriesheim</t>
        </is>
      </c>
      <c r="B1826" s="4" t="inlineStr">
        <is>
          <t>● (p) Erstellung FUR</t>
        </is>
      </c>
      <c r="C1826" s="4" t="inlineStr">
        <is>
          <t>Pauschale</t>
        </is>
      </c>
      <c r="D1826" s="10" t="inlineStr">
        <is>
          <t>⚠ Manual erforderlich</t>
        </is>
      </c>
      <c r="E1826" s="11" t="inlineStr"/>
      <c r="F1826" s="11" t="n">
        <v>0</v>
      </c>
      <c r="G1826" s="11">
        <f>E1826-F1826</f>
        <v/>
      </c>
      <c r="H1826" s="11" t="n">
        <v>0</v>
      </c>
      <c r="I1826" s="11" t="n">
        <v>0</v>
      </c>
      <c r="J1826" s="11" t="n">
        <v>0</v>
      </c>
      <c r="K1826" s="4" t="inlineStr">
        <is>
          <t>Stundensätze eingeben</t>
        </is>
      </c>
    </row>
    <row r="1827">
      <c r="A1827" s="4" t="inlineStr">
        <is>
          <t>5757.04 FUR-Gymnasium-Hirschbergstr1-Schriesheim</t>
        </is>
      </c>
      <c r="B1827" s="4" t="inlineStr">
        <is>
          <t>● (p) 9 Klapprahmen DIN A3</t>
        </is>
      </c>
      <c r="C1827" s="4" t="inlineStr">
        <is>
          <t>Pauschale</t>
        </is>
      </c>
      <c r="D1827" s="10" t="inlineStr">
        <is>
          <t>⚠ Manual erforderlich</t>
        </is>
      </c>
      <c r="E1827" s="11" t="inlineStr"/>
      <c r="F1827" s="11" t="n">
        <v>0</v>
      </c>
      <c r="G1827" s="11">
        <f>E1827-F1827</f>
        <v/>
      </c>
      <c r="H1827" s="11" t="n">
        <v/>
      </c>
      <c r="I1827" s="11" t="n">
        <v/>
      </c>
      <c r="J1827" s="11" t="n">
        <v/>
      </c>
      <c r="K1827" s="4" t="inlineStr">
        <is>
          <t>Stundensätze eingeben</t>
        </is>
      </c>
    </row>
    <row r="1828">
      <c r="A1828" s="4" t="inlineStr">
        <is>
          <t>5757.05 StadtSchriesheim-BSK-Gymnasium-Hirschbergstr1-Schriesheim</t>
        </is>
      </c>
      <c r="B1828" s="4" t="inlineStr">
        <is>
          <t>● (p) Pos. 1 Fortschreibung Brandschutzkonzept</t>
        </is>
      </c>
      <c r="C1828" s="4" t="inlineStr">
        <is>
          <t>Pauschale</t>
        </is>
      </c>
      <c r="D1828" s="10" t="inlineStr">
        <is>
          <t>⚠ Manual erforderlich</t>
        </is>
      </c>
      <c r="E1828" s="11" t="inlineStr"/>
      <c r="F1828" s="11" t="n">
        <v>0</v>
      </c>
      <c r="G1828" s="11">
        <f>E1828-F1828</f>
        <v/>
      </c>
      <c r="H1828" s="11" t="n">
        <v>0</v>
      </c>
      <c r="I1828" s="11" t="n">
        <v>0</v>
      </c>
      <c r="J1828" s="11" t="n">
        <v>0</v>
      </c>
      <c r="K1828" s="4" t="inlineStr">
        <is>
          <t>Stundensätze eingeben</t>
        </is>
      </c>
    </row>
    <row r="1829">
      <c r="A1829" s="4" t="inlineStr">
        <is>
          <t>5757.05 StadtSchriesheim-BSK-Gymnasium-Hirschbergstr1-Schriesheim</t>
        </is>
      </c>
      <c r="B1829" s="4" t="inlineStr">
        <is>
          <t>● (p) Pos. 2 Planung der Ausstattung mit Feuerlöschern</t>
        </is>
      </c>
      <c r="C1829" s="4" t="inlineStr">
        <is>
          <t>Pauschale</t>
        </is>
      </c>
      <c r="D1829" s="10" t="inlineStr">
        <is>
          <t>⚠ Manual erforderlich</t>
        </is>
      </c>
      <c r="E1829" s="11" t="inlineStr"/>
      <c r="F1829" s="11" t="n">
        <v>0</v>
      </c>
      <c r="G1829" s="11">
        <f>E1829-F1829</f>
        <v/>
      </c>
      <c r="H1829" s="11" t="n">
        <v>0</v>
      </c>
      <c r="I1829" s="11" t="n">
        <v>0</v>
      </c>
      <c r="J1829" s="11" t="n">
        <v>0</v>
      </c>
      <c r="K1829" s="4" t="inlineStr">
        <is>
          <t>Stundensätze eingeben</t>
        </is>
      </c>
    </row>
    <row r="1830">
      <c r="A1830" s="4" t="inlineStr">
        <is>
          <t>5757.06 Stadt-Schriesheim-FWP-Gymnasium-Hirschbergstr1-Schriesheim</t>
        </is>
      </c>
      <c r="B1830" s="4" t="inlineStr">
        <is>
          <t>● Stundensammler</t>
        </is>
      </c>
      <c r="C1830" s="9" t="inlineStr">
        <is>
          <t>Unbekannt</t>
        </is>
      </c>
      <c r="D1830" s="10" t="inlineStr">
        <is>
          <t>⚠ Manual erforderlich</t>
        </is>
      </c>
      <c r="E1830" s="11" t="inlineStr"/>
      <c r="F1830" s="11" t="n">
        <v>0</v>
      </c>
      <c r="G1830" s="11">
        <f>E1830-F1830</f>
        <v/>
      </c>
      <c r="H1830" s="11" t="n">
        <v/>
      </c>
      <c r="I1830" s="11" t="n">
        <v/>
      </c>
      <c r="J1830" s="11" t="n">
        <v/>
      </c>
      <c r="K1830" s="4" t="inlineStr">
        <is>
          <t>Abrechnungsart wählen; Stundensätze eingeben</t>
        </is>
      </c>
    </row>
    <row r="1831">
      <c r="A1831" s="4" t="inlineStr">
        <is>
          <t>5757.06 Stadt-Schriesheim-FWP-Gymnasium-Hirschbergstr1-Schriesheim</t>
        </is>
      </c>
      <c r="B1831" s="4" t="inlineStr">
        <is>
          <t>● • (p) Pos. 1 Feuerwehrplan</t>
        </is>
      </c>
      <c r="C1831" s="4" t="inlineStr">
        <is>
          <t>Pauschale</t>
        </is>
      </c>
      <c r="D1831" s="10" t="inlineStr">
        <is>
          <t>⚠ Manual erforderlich</t>
        </is>
      </c>
      <c r="E1831" s="11" t="inlineStr"/>
      <c r="F1831" s="11" t="n">
        <v>0</v>
      </c>
      <c r="G1831" s="11">
        <f>E1831-F1831</f>
        <v/>
      </c>
      <c r="H1831" s="11" t="n">
        <v>0</v>
      </c>
      <c r="I1831" s="11" t="n">
        <v>0</v>
      </c>
      <c r="J1831" s="11" t="n">
        <v>0</v>
      </c>
      <c r="K1831" s="4" t="inlineStr">
        <is>
          <t>Stundensätze eingeben</t>
        </is>
      </c>
    </row>
    <row r="1832">
      <c r="A1832" s="4" t="inlineStr">
        <is>
          <t>5757.06 Stadt-Schriesheim-FWP-Gymnasium-Hirschbergstr1-Schriesheim</t>
        </is>
      </c>
      <c r="B1832" s="4" t="inlineStr">
        <is>
          <t>● • (aN) Pos. 2 Begehung (CAD)</t>
        </is>
      </c>
      <c r="C1832" s="4" t="inlineStr">
        <is>
          <t>Nachweis</t>
        </is>
      </c>
      <c r="D1832" s="10" t="inlineStr">
        <is>
          <t>⚠ Manual erforderlich</t>
        </is>
      </c>
      <c r="E1832" s="11" t="inlineStr"/>
      <c r="F1832" s="11" t="n">
        <v>0</v>
      </c>
      <c r="G1832" s="11">
        <f>E1832-F1832</f>
        <v/>
      </c>
      <c r="H1832" s="11" t="n">
        <v/>
      </c>
      <c r="I1832" s="11" t="n">
        <v/>
      </c>
      <c r="J1832" s="11" t="n">
        <v/>
      </c>
      <c r="K1832" s="4" t="inlineStr">
        <is>
          <t>Stundensätze eingeben</t>
        </is>
      </c>
    </row>
    <row r="1833">
      <c r="A1833" s="4" t="inlineStr">
        <is>
          <t>5757.06 Stadt-Schriesheim-FWP-Gymnasium-Hirschbergstr1-Schriesheim</t>
        </is>
      </c>
      <c r="B1833" s="4" t="inlineStr">
        <is>
          <t>● • (aN) Pos. 3 Pos. 3 Grundrissanpassungen (CAD)</t>
        </is>
      </c>
      <c r="C1833" s="4" t="inlineStr">
        <is>
          <t>Nachweis</t>
        </is>
      </c>
      <c r="D1833" s="10" t="inlineStr">
        <is>
          <t>⚠ Manual erforderlich</t>
        </is>
      </c>
      <c r="E1833" s="11" t="inlineStr"/>
      <c r="F1833" s="11" t="n">
        <v>0</v>
      </c>
      <c r="G1833" s="11">
        <f>E1833-F1833</f>
        <v/>
      </c>
      <c r="H1833" s="11" t="n">
        <v/>
      </c>
      <c r="I1833" s="11" t="n">
        <v/>
      </c>
      <c r="J1833" s="11" t="n">
        <v/>
      </c>
      <c r="K1833" s="4" t="inlineStr">
        <is>
          <t>Stundensätze eingeben</t>
        </is>
      </c>
    </row>
    <row r="1834">
      <c r="A1834" s="4" t="inlineStr">
        <is>
          <t>5757.06 Stadt-Schriesheim-FWP-Gymnasium-Hirschbergstr1-Schriesheim</t>
        </is>
      </c>
      <c r="B1834" s="4" t="inlineStr">
        <is>
          <t>● • (p) Pos. 4 Brandschutzordnung Teil A-C</t>
        </is>
      </c>
      <c r="C1834" s="4" t="inlineStr">
        <is>
          <t>Pauschale</t>
        </is>
      </c>
      <c r="D1834" s="10" t="inlineStr">
        <is>
          <t>⚠ Manual erforderlich</t>
        </is>
      </c>
      <c r="E1834" s="11" t="inlineStr"/>
      <c r="F1834" s="11" t="n">
        <v>0</v>
      </c>
      <c r="G1834" s="11">
        <f>E1834-F1834</f>
        <v/>
      </c>
      <c r="H1834" s="11" t="n">
        <v>0</v>
      </c>
      <c r="I1834" s="11" t="n">
        <v>0</v>
      </c>
      <c r="J1834" s="11" t="n">
        <v>0</v>
      </c>
      <c r="K1834" s="4" t="inlineStr">
        <is>
          <t>Stundensätze eingeben</t>
        </is>
      </c>
    </row>
    <row r="1835">
      <c r="A1835" s="4" t="inlineStr">
        <is>
          <t>5760 Krankenhaus-Leonberg-Rutesheimer-Straße-50-Leonberg</t>
        </is>
      </c>
      <c r="B1835" s="4" t="inlineStr">
        <is>
          <t>● 1000-Grundlagenermittlung</t>
        </is>
      </c>
      <c r="C1835" s="9" t="inlineStr">
        <is>
          <t>Unbekannt</t>
        </is>
      </c>
      <c r="D1835" s="10" t="inlineStr">
        <is>
          <t>⚠ Manual erforderlich</t>
        </is>
      </c>
      <c r="E1835" s="11" t="inlineStr"/>
      <c r="F1835" s="11" t="n">
        <v>0</v>
      </c>
      <c r="G1835" s="11">
        <f>E1835-F1835</f>
        <v/>
      </c>
      <c r="H1835" s="11" t="n">
        <v/>
      </c>
      <c r="I1835" s="11" t="n">
        <v/>
      </c>
      <c r="J1835" s="11" t="n">
        <v/>
      </c>
      <c r="K1835" s="4" t="inlineStr">
        <is>
          <t>Abrechnungsart wählen; Stundensätze eingeben</t>
        </is>
      </c>
    </row>
    <row r="1836">
      <c r="A1836" s="4" t="inlineStr">
        <is>
          <t>5760 Krankenhaus-Leonberg-Rutesheimer-Straße-50-Leonberg</t>
        </is>
      </c>
      <c r="B1836" s="4" t="inlineStr">
        <is>
          <t>● 2000-Vorplanung</t>
        </is>
      </c>
      <c r="C1836" s="9" t="inlineStr">
        <is>
          <t>Unbekannt</t>
        </is>
      </c>
      <c r="D1836" s="10" t="inlineStr">
        <is>
          <t>⚠ Manual erforderlich</t>
        </is>
      </c>
      <c r="E1836" s="11" t="inlineStr"/>
      <c r="F1836" s="11" t="n">
        <v>0</v>
      </c>
      <c r="G1836" s="11">
        <f>E1836-F1836</f>
        <v/>
      </c>
      <c r="H1836" s="11" t="n">
        <v/>
      </c>
      <c r="I1836" s="11" t="n">
        <v/>
      </c>
      <c r="J1836" s="11" t="n">
        <v/>
      </c>
      <c r="K1836" s="4" t="inlineStr">
        <is>
          <t>Abrechnungsart wählen; Stundensätze eingeben</t>
        </is>
      </c>
    </row>
    <row r="1837">
      <c r="A1837" s="4" t="inlineStr">
        <is>
          <t>5760 Krankenhaus-Leonberg-Rutesheimer-Straße-50-Leonberg</t>
        </is>
      </c>
      <c r="B1837" s="4" t="inlineStr">
        <is>
          <t>● 3000-Entwurfsplanung</t>
        </is>
      </c>
      <c r="C1837" s="9" t="inlineStr">
        <is>
          <t>Unbekannt</t>
        </is>
      </c>
      <c r="D1837" s="10" t="inlineStr">
        <is>
          <t>⚠ Manual erforderlich</t>
        </is>
      </c>
      <c r="E1837" s="11" t="inlineStr"/>
      <c r="F1837" s="11" t="n">
        <v>0</v>
      </c>
      <c r="G1837" s="11">
        <f>E1837-F1837</f>
        <v/>
      </c>
      <c r="H1837" s="11" t="n">
        <v/>
      </c>
      <c r="I1837" s="11" t="n">
        <v/>
      </c>
      <c r="J1837" s="11" t="n">
        <v/>
      </c>
      <c r="K1837" s="4" t="inlineStr">
        <is>
          <t>Abrechnungsart wählen; Stundensätze eingeben</t>
        </is>
      </c>
    </row>
    <row r="1838">
      <c r="A1838" s="4" t="inlineStr">
        <is>
          <t>5760 Krankenhaus-Leonberg-Rutesheimer-Straße-50-Leonberg</t>
        </is>
      </c>
      <c r="B1838" s="4" t="inlineStr">
        <is>
          <t>● 4000-Genehmigungsplanung</t>
        </is>
      </c>
      <c r="C1838" s="9" t="inlineStr">
        <is>
          <t>Unbekannt</t>
        </is>
      </c>
      <c r="D1838" s="10" t="inlineStr">
        <is>
          <t>⚠ Manual erforderlich</t>
        </is>
      </c>
      <c r="E1838" s="11" t="inlineStr"/>
      <c r="F1838" s="11" t="n">
        <v>0</v>
      </c>
      <c r="G1838" s="11">
        <f>E1838-F1838</f>
        <v/>
      </c>
      <c r="H1838" s="11" t="n">
        <v/>
      </c>
      <c r="I1838" s="11" t="n">
        <v/>
      </c>
      <c r="J1838" s="11" t="n">
        <v/>
      </c>
      <c r="K1838" s="4" t="inlineStr">
        <is>
          <t>Abrechnungsart wählen; Stundensätze eingeben</t>
        </is>
      </c>
    </row>
    <row r="1839">
      <c r="A1839" s="4" t="inlineStr">
        <is>
          <t>5760 Krankenhaus-Leonberg-Rutesheimer-Straße-50-Leonberg</t>
        </is>
      </c>
      <c r="B1839" s="4" t="inlineStr">
        <is>
          <t>● 5000-Ausführungsplanung</t>
        </is>
      </c>
      <c r="C1839" s="9" t="inlineStr">
        <is>
          <t>Unbekannt</t>
        </is>
      </c>
      <c r="D1839" s="10" t="inlineStr">
        <is>
          <t>⚠ Manual erforderlich</t>
        </is>
      </c>
      <c r="E1839" s="11" t="inlineStr"/>
      <c r="F1839" s="11" t="n">
        <v>0</v>
      </c>
      <c r="G1839" s="11">
        <f>E1839-F1839</f>
        <v/>
      </c>
      <c r="H1839" s="11" t="n">
        <v/>
      </c>
      <c r="I1839" s="11" t="n">
        <v/>
      </c>
      <c r="J1839" s="11" t="n">
        <v/>
      </c>
      <c r="K1839" s="4" t="inlineStr">
        <is>
          <t>Abrechnungsart wählen; Stundensätze eingeben</t>
        </is>
      </c>
    </row>
    <row r="1840">
      <c r="A1840" s="4" t="inlineStr">
        <is>
          <t>5760 Krankenhaus-Leonberg-Rutesheimer-Straße-50-Leonberg</t>
        </is>
      </c>
      <c r="B1840" s="4" t="inlineStr">
        <is>
          <t>● 8000-Objektüberwachung</t>
        </is>
      </c>
      <c r="C1840" s="9" t="inlineStr">
        <is>
          <t>Unbekannt</t>
        </is>
      </c>
      <c r="D1840" s="10" t="inlineStr">
        <is>
          <t>⚠ Manual erforderlich</t>
        </is>
      </c>
      <c r="E1840" s="11" t="inlineStr"/>
      <c r="F1840" s="11" t="n">
        <v>0</v>
      </c>
      <c r="G1840" s="11">
        <f>E1840-F1840</f>
        <v/>
      </c>
      <c r="H1840" s="11" t="n">
        <v/>
      </c>
      <c r="I1840" s="11" t="n">
        <v/>
      </c>
      <c r="J1840" s="11" t="n">
        <v/>
      </c>
      <c r="K1840" s="4" t="inlineStr">
        <is>
          <t>Abrechnungsart wählen; Stundensätze eingeben</t>
        </is>
      </c>
    </row>
    <row r="1841">
      <c r="A1841" s="4" t="inlineStr">
        <is>
          <t>5760.02 BSK-Gesamtgeb-Krankenhaus-Leonberg-Rutesheimer-Straße-50-Leonberg</t>
        </is>
      </c>
      <c r="B1841" s="4" t="inlineStr">
        <is>
          <t>● BSK Gesamtgebäude (auf Nachweis)</t>
        </is>
      </c>
      <c r="C1841" s="9" t="inlineStr">
        <is>
          <t>Unbekannt</t>
        </is>
      </c>
      <c r="D1841" s="10" t="inlineStr">
        <is>
          <t>⚠ Manual erforderlich</t>
        </is>
      </c>
      <c r="E1841" s="11" t="inlineStr"/>
      <c r="F1841" s="11" t="n">
        <v>0</v>
      </c>
      <c r="G1841" s="11">
        <f>E1841-F1841</f>
        <v/>
      </c>
      <c r="H1841" s="11" t="n">
        <v/>
      </c>
      <c r="I1841" s="11" t="n">
        <v/>
      </c>
      <c r="J1841" s="11" t="n">
        <v/>
      </c>
      <c r="K1841" s="4" t="inlineStr">
        <is>
          <t>Abrechnungsart wählen; Stundensätze eingeben</t>
        </is>
      </c>
    </row>
    <row r="1842">
      <c r="A1842" s="4" t="inlineStr">
        <is>
          <t>5760.02 BSK-Gesamtgeb-Krankenhaus-Leonberg-Rutesheimer-Straße-50-Leonberg</t>
        </is>
      </c>
      <c r="B1842" s="4" t="inlineStr">
        <is>
          <t>● zusätzl. Beratung (auf Nachweis)</t>
        </is>
      </c>
      <c r="C1842" s="9" t="inlineStr">
        <is>
          <t>Unbekannt</t>
        </is>
      </c>
      <c r="D1842" s="10" t="inlineStr">
        <is>
          <t>⚠ Manual erforderlich</t>
        </is>
      </c>
      <c r="E1842" s="11" t="inlineStr"/>
      <c r="F1842" s="11" t="n">
        <v>0</v>
      </c>
      <c r="G1842" s="11">
        <f>E1842-F1842</f>
        <v/>
      </c>
      <c r="H1842" s="11" t="n">
        <v/>
      </c>
      <c r="I1842" s="11" t="n">
        <v/>
      </c>
      <c r="J1842" s="11" t="n">
        <v/>
      </c>
      <c r="K1842" s="4" t="inlineStr">
        <is>
          <t>Abrechnungsart wählen; Stundensätze eingeben</t>
        </is>
      </c>
    </row>
    <row r="1843">
      <c r="A1843" s="4" t="inlineStr">
        <is>
          <t>5760.03 NAT05-BSK-BSP-Containergeb-KH-Leonberg</t>
        </is>
      </c>
      <c r="B1843" s="4" t="inlineStr">
        <is>
          <t>● (a.N.) LP2 Vorplanung</t>
        </is>
      </c>
      <c r="C1843" s="4" t="inlineStr">
        <is>
          <t>Nachweis</t>
        </is>
      </c>
      <c r="D1843" s="10" t="inlineStr">
        <is>
          <t>⚠ Manual erforderlich</t>
        </is>
      </c>
      <c r="E1843" s="11" t="inlineStr"/>
      <c r="F1843" s="11" t="n">
        <v>0</v>
      </c>
      <c r="G1843" s="11">
        <f>E1843-F1843</f>
        <v/>
      </c>
      <c r="H1843" s="11" t="n">
        <v/>
      </c>
      <c r="I1843" s="11" t="n">
        <v/>
      </c>
      <c r="J1843" s="11" t="n">
        <v/>
      </c>
      <c r="K1843" s="4" t="inlineStr">
        <is>
          <t>Stundensätze eingeben</t>
        </is>
      </c>
    </row>
    <row r="1844">
      <c r="A1844" s="4" t="inlineStr">
        <is>
          <t>5760.03 NAT05-BSK-BSP-Containergeb-KH-Leonberg</t>
        </is>
      </c>
      <c r="B1844" s="4" t="inlineStr">
        <is>
          <t>● (a.N.) BSK</t>
        </is>
      </c>
      <c r="C1844" s="4" t="inlineStr">
        <is>
          <t>Nachweis</t>
        </is>
      </c>
      <c r="D1844" s="10" t="inlineStr">
        <is>
          <t>⚠ Manual erforderlich</t>
        </is>
      </c>
      <c r="E1844" s="11" t="inlineStr"/>
      <c r="F1844" s="11" t="n">
        <v>0</v>
      </c>
      <c r="G1844" s="11">
        <f>E1844-F1844</f>
        <v/>
      </c>
      <c r="H1844" s="11" t="n">
        <v/>
      </c>
      <c r="I1844" s="11" t="n">
        <v/>
      </c>
      <c r="J1844" s="11" t="n">
        <v/>
      </c>
      <c r="K1844" s="4" t="inlineStr">
        <is>
          <t>Stundensätze eingeben</t>
        </is>
      </c>
    </row>
    <row r="1845">
      <c r="A1845" s="4" t="inlineStr">
        <is>
          <t>5760.03 NAT05-BSK-BSP-Containergeb-KH-Leonberg</t>
        </is>
      </c>
      <c r="B1845" s="4" t="inlineStr">
        <is>
          <t>● (a.N.) BSP</t>
        </is>
      </c>
      <c r="C1845" s="4" t="inlineStr">
        <is>
          <t>Nachweis</t>
        </is>
      </c>
      <c r="D1845" s="10" t="inlineStr">
        <is>
          <t>⚠ Manual erforderlich</t>
        </is>
      </c>
      <c r="E1845" s="11" t="inlineStr"/>
      <c r="F1845" s="11" t="n">
        <v>0</v>
      </c>
      <c r="G1845" s="11">
        <f>E1845-F1845</f>
        <v/>
      </c>
      <c r="H1845" s="11" t="n">
        <v/>
      </c>
      <c r="I1845" s="11" t="n">
        <v/>
      </c>
      <c r="J1845" s="11" t="n">
        <v/>
      </c>
      <c r="K1845" s="4" t="inlineStr">
        <is>
          <t>Stundensätze eingeben</t>
        </is>
      </c>
    </row>
    <row r="1846">
      <c r="A1846" s="4" t="inlineStr">
        <is>
          <t>5760.05 NAT04-Fortschr-BSK-Krankenhaus-Leonberg</t>
        </is>
      </c>
      <c r="B1846" s="4" t="inlineStr">
        <is>
          <t>● (a.N.) LP 2 Vorplanung</t>
        </is>
      </c>
      <c r="C1846" s="4" t="inlineStr">
        <is>
          <t>Nachweis</t>
        </is>
      </c>
      <c r="D1846" s="10" t="inlineStr">
        <is>
          <t>⚠ Manual erforderlich</t>
        </is>
      </c>
      <c r="E1846" s="11" t="inlineStr"/>
      <c r="F1846" s="11" t="n">
        <v>0</v>
      </c>
      <c r="G1846" s="11">
        <f>E1846-F1846</f>
        <v/>
      </c>
      <c r="H1846" s="11" t="n">
        <v/>
      </c>
      <c r="I1846" s="11" t="n">
        <v/>
      </c>
      <c r="J1846" s="11" t="n">
        <v/>
      </c>
      <c r="K1846" s="4" t="inlineStr">
        <is>
          <t>Stundensätze eingeben</t>
        </is>
      </c>
    </row>
    <row r="1847">
      <c r="A1847" s="4" t="inlineStr">
        <is>
          <t>5760.05 NAT04-Fortschr-BSK-Krankenhaus-Leonberg</t>
        </is>
      </c>
      <c r="B1847" s="4" t="inlineStr">
        <is>
          <t>● (a.N.) Fortschr. BSK</t>
        </is>
      </c>
      <c r="C1847" s="4" t="inlineStr">
        <is>
          <t>Nachweis</t>
        </is>
      </c>
      <c r="D1847" s="10" t="inlineStr">
        <is>
          <t>⚠ Manual erforderlich</t>
        </is>
      </c>
      <c r="E1847" s="11" t="inlineStr"/>
      <c r="F1847" s="11" t="n">
        <v>0</v>
      </c>
      <c r="G1847" s="11">
        <f>E1847-F1847</f>
        <v/>
      </c>
      <c r="H1847" s="11" t="n">
        <v/>
      </c>
      <c r="I1847" s="11" t="n">
        <v/>
      </c>
      <c r="J1847" s="11" t="n">
        <v/>
      </c>
      <c r="K1847" s="4" t="inlineStr">
        <is>
          <t>Stundensätze eingeben</t>
        </is>
      </c>
    </row>
    <row r="1848">
      <c r="A1848" s="4" t="inlineStr">
        <is>
          <t>5760.05 NAT04-Fortschr-BSK-Krankenhaus-Leonberg</t>
        </is>
      </c>
      <c r="B1848" s="4" t="inlineStr">
        <is>
          <t>● (a.N.) Fortschr. BSP</t>
        </is>
      </c>
      <c r="C1848" s="4" t="inlineStr">
        <is>
          <t>Nachweis</t>
        </is>
      </c>
      <c r="D1848" s="10" t="inlineStr">
        <is>
          <t>⚠ Manual erforderlich</t>
        </is>
      </c>
      <c r="E1848" s="11" t="inlineStr"/>
      <c r="F1848" s="11" t="n">
        <v>0</v>
      </c>
      <c r="G1848" s="11">
        <f>E1848-F1848</f>
        <v/>
      </c>
      <c r="H1848" s="11" t="n">
        <v/>
      </c>
      <c r="I1848" s="11" t="n">
        <v/>
      </c>
      <c r="J1848" s="11" t="n">
        <v/>
      </c>
      <c r="K1848" s="4" t="inlineStr">
        <is>
          <t>Stundensätze eingeben</t>
        </is>
      </c>
    </row>
    <row r="1849">
      <c r="A1849" s="4" t="inlineStr">
        <is>
          <t>5760.07 RMK-Krankenhaus-Leonberg</t>
        </is>
      </c>
      <c r="B1849" s="4" t="inlineStr">
        <is>
          <t>● (p) Pos.1 Räumungskonzept und Planunterlagen</t>
        </is>
      </c>
      <c r="C1849" s="4" t="inlineStr">
        <is>
          <t>Pauschale</t>
        </is>
      </c>
      <c r="D1849" s="10" t="inlineStr">
        <is>
          <t>⚠ Manual erforderlich</t>
        </is>
      </c>
      <c r="E1849" s="11" t="inlineStr"/>
      <c r="F1849" s="11" t="n">
        <v>0</v>
      </c>
      <c r="G1849" s="11">
        <f>E1849-F1849</f>
        <v/>
      </c>
      <c r="H1849" s="11" t="n">
        <v>0</v>
      </c>
      <c r="I1849" s="11" t="n">
        <v>0</v>
      </c>
      <c r="J1849" s="11" t="n">
        <v>0</v>
      </c>
      <c r="K1849" s="4" t="inlineStr">
        <is>
          <t>Stundensätze eingeben</t>
        </is>
      </c>
    </row>
    <row r="1850">
      <c r="A1850" s="4" t="inlineStr">
        <is>
          <t>5760.07 RMK-Krankenhaus-Leonberg</t>
        </is>
      </c>
      <c r="B1850" s="4" t="inlineStr">
        <is>
          <t>● (p) Pos.2 Unterlagen zur Horizontalverschiebung</t>
        </is>
      </c>
      <c r="C1850" s="4" t="inlineStr">
        <is>
          <t>Pauschale</t>
        </is>
      </c>
      <c r="D1850" s="10" t="inlineStr">
        <is>
          <t>⚠ Manual erforderlich</t>
        </is>
      </c>
      <c r="E1850" s="11" t="inlineStr"/>
      <c r="F1850" s="11" t="n">
        <v>0</v>
      </c>
      <c r="G1850" s="11">
        <f>E1850-F1850</f>
        <v/>
      </c>
      <c r="H1850" s="11" t="n">
        <v>0</v>
      </c>
      <c r="I1850" s="11" t="n">
        <v>0</v>
      </c>
      <c r="J1850" s="11" t="n">
        <v>0</v>
      </c>
      <c r="K1850" s="4" t="inlineStr">
        <is>
          <t>Stundensätze eingeben</t>
        </is>
      </c>
    </row>
    <row r="1851">
      <c r="A1851" s="4" t="inlineStr">
        <is>
          <t>5760.07 RMK-Krankenhaus-Leonberg</t>
        </is>
      </c>
      <c r="B1851" s="4" t="inlineStr">
        <is>
          <t>● (p) Pos.3 Unterweisung von Multiplikatoren</t>
        </is>
      </c>
      <c r="C1851" s="4" t="inlineStr">
        <is>
          <t>Pauschale</t>
        </is>
      </c>
      <c r="D1851" s="10" t="inlineStr">
        <is>
          <t>⚠ Manual erforderlich</t>
        </is>
      </c>
      <c r="E1851" s="11" t="inlineStr"/>
      <c r="F1851" s="11" t="n">
        <v>0</v>
      </c>
      <c r="G1851" s="11">
        <f>E1851-F1851</f>
        <v/>
      </c>
      <c r="H1851" s="11" t="n">
        <v>0</v>
      </c>
      <c r="I1851" s="11" t="n">
        <v>0</v>
      </c>
      <c r="J1851" s="11" t="n">
        <v>0</v>
      </c>
      <c r="K1851" s="4" t="inlineStr">
        <is>
          <t>Stundensätze eingeben</t>
        </is>
      </c>
    </row>
    <row r="1852">
      <c r="A1852" s="4" t="inlineStr">
        <is>
          <t>5760.08  EVA-Krankenhaus-Leonberg</t>
        </is>
      </c>
      <c r="B1852" s="4" t="inlineStr">
        <is>
          <t>● (aN) Pos.1 Fortschr. Räumungskonzept</t>
        </is>
      </c>
      <c r="C1852" s="4" t="inlineStr">
        <is>
          <t>Nachweis</t>
        </is>
      </c>
      <c r="D1852" s="10" t="inlineStr">
        <is>
          <t>⚠ Manual erforderlich</t>
        </is>
      </c>
      <c r="E1852" s="11" t="inlineStr"/>
      <c r="F1852" s="11" t="n">
        <v>0</v>
      </c>
      <c r="G1852" s="11">
        <f>E1852-F1852</f>
        <v/>
      </c>
      <c r="H1852" s="11" t="n">
        <v/>
      </c>
      <c r="I1852" s="11" t="n">
        <v/>
      </c>
      <c r="J1852" s="11" t="n">
        <v/>
      </c>
      <c r="K1852" s="4" t="inlineStr">
        <is>
          <t>Stundensätze eingeben</t>
        </is>
      </c>
    </row>
    <row r="1853">
      <c r="A1853" s="4" t="inlineStr">
        <is>
          <t>5760.09 RMU-KH-Leonberg</t>
        </is>
      </c>
      <c r="B1853" s="4" t="inlineStr">
        <is>
          <t>● (aN) Pos.1 Räumungsmappen 13 Stck. à 104€</t>
        </is>
      </c>
      <c r="C1853" s="4" t="inlineStr">
        <is>
          <t>Nachweis</t>
        </is>
      </c>
      <c r="D1853" s="10" t="inlineStr">
        <is>
          <t>⚠ Manual erforderlich</t>
        </is>
      </c>
      <c r="E1853" s="11" t="inlineStr"/>
      <c r="F1853" s="11" t="n">
        <v>0</v>
      </c>
      <c r="G1853" s="11">
        <f>E1853-F1853</f>
        <v/>
      </c>
      <c r="H1853" s="11" t="n">
        <v/>
      </c>
      <c r="I1853" s="11" t="n">
        <v/>
      </c>
      <c r="J1853" s="11" t="n">
        <v/>
      </c>
      <c r="K1853" s="4" t="inlineStr">
        <is>
          <t>Stundensätze eingeben</t>
        </is>
      </c>
    </row>
    <row r="1854">
      <c r="A1854" s="4" t="inlineStr">
        <is>
          <t>5762 ROB-MCR-Weilerbach-Energiezentralen-Los-5-2</t>
        </is>
      </c>
      <c r="B1854" s="4" t="inlineStr">
        <is>
          <t>● 1000-Grundlagenermittlung</t>
        </is>
      </c>
      <c r="C1854" s="9" t="inlineStr">
        <is>
          <t>Unbekannt</t>
        </is>
      </c>
      <c r="D1854" s="10" t="inlineStr">
        <is>
          <t>⚠ Manual erforderlich</t>
        </is>
      </c>
      <c r="E1854" s="11" t="inlineStr"/>
      <c r="F1854" s="11" t="n">
        <v>0</v>
      </c>
      <c r="G1854" s="11">
        <f>E1854-F1854</f>
        <v/>
      </c>
      <c r="H1854" s="11" t="n">
        <v/>
      </c>
      <c r="I1854" s="11" t="n">
        <v/>
      </c>
      <c r="J1854" s="11" t="n">
        <v/>
      </c>
      <c r="K1854" s="4" t="inlineStr">
        <is>
          <t>Abrechnungsart wählen; Stundensätze eingeben</t>
        </is>
      </c>
    </row>
    <row r="1855">
      <c r="A1855" s="4" t="inlineStr">
        <is>
          <t>5762 ROB-MCR-Weilerbach-Energiezentralen-Los-5-2</t>
        </is>
      </c>
      <c r="B1855" s="4" t="inlineStr">
        <is>
          <t>● 2000-Vorplanung</t>
        </is>
      </c>
      <c r="C1855" s="9" t="inlineStr">
        <is>
          <t>Unbekannt</t>
        </is>
      </c>
      <c r="D1855" s="10" t="inlineStr">
        <is>
          <t>⚠ Manual erforderlich</t>
        </is>
      </c>
      <c r="E1855" s="11" t="inlineStr"/>
      <c r="F1855" s="11" t="n">
        <v>0</v>
      </c>
      <c r="G1855" s="11">
        <f>E1855-F1855</f>
        <v/>
      </c>
      <c r="H1855" s="11" t="n">
        <v/>
      </c>
      <c r="I1855" s="11" t="n">
        <v/>
      </c>
      <c r="J1855" s="11" t="n">
        <v/>
      </c>
      <c r="K1855" s="4" t="inlineStr">
        <is>
          <t>Abrechnungsart wählen; Stundensätze eingeben</t>
        </is>
      </c>
    </row>
    <row r="1856">
      <c r="A1856" s="4" t="inlineStr">
        <is>
          <t>5762 ROB-MCR-Weilerbach-Energiezentralen-Los-5-2</t>
        </is>
      </c>
      <c r="B1856" s="4" t="inlineStr">
        <is>
          <t>● 3000-Entwurfsplanung</t>
        </is>
      </c>
      <c r="C1856" s="9" t="inlineStr">
        <is>
          <t>Unbekannt</t>
        </is>
      </c>
      <c r="D1856" s="10" t="inlineStr">
        <is>
          <t>⚠ Manual erforderlich</t>
        </is>
      </c>
      <c r="E1856" s="11" t="inlineStr"/>
      <c r="F1856" s="11" t="n">
        <v>0</v>
      </c>
      <c r="G1856" s="11">
        <f>E1856-F1856</f>
        <v/>
      </c>
      <c r="H1856" s="11" t="n">
        <v/>
      </c>
      <c r="I1856" s="11" t="n">
        <v/>
      </c>
      <c r="J1856" s="11" t="n">
        <v/>
      </c>
      <c r="K1856" s="4" t="inlineStr">
        <is>
          <t>Abrechnungsart wählen; Stundensätze eingeben</t>
        </is>
      </c>
    </row>
    <row r="1857">
      <c r="A1857" s="4" t="inlineStr">
        <is>
          <t>5762 ROB-MCR-Weilerbach-Energiezentralen-Los-5-2</t>
        </is>
      </c>
      <c r="B1857" s="4" t="inlineStr">
        <is>
          <t>● 4000-Genehmigungsplanung</t>
        </is>
      </c>
      <c r="C1857" s="9" t="inlineStr">
        <is>
          <t>Unbekannt</t>
        </is>
      </c>
      <c r="D1857" s="10" t="inlineStr">
        <is>
          <t>⚠ Manual erforderlich</t>
        </is>
      </c>
      <c r="E1857" s="11" t="inlineStr"/>
      <c r="F1857" s="11" t="n">
        <v>0</v>
      </c>
      <c r="G1857" s="11">
        <f>E1857-F1857</f>
        <v/>
      </c>
      <c r="H1857" s="11" t="n">
        <v/>
      </c>
      <c r="I1857" s="11" t="n">
        <v/>
      </c>
      <c r="J1857" s="11" t="n">
        <v/>
      </c>
      <c r="K1857" s="4" t="inlineStr">
        <is>
          <t>Abrechnungsart wählen; Stundensätze eingeben</t>
        </is>
      </c>
    </row>
    <row r="1858">
      <c r="A1858" s="4" t="inlineStr">
        <is>
          <t>5762 ROB-MCR-Weilerbach-Energiezentralen-Los-5-2</t>
        </is>
      </c>
      <c r="B1858" s="4" t="inlineStr">
        <is>
          <t>● 5000-Ausführungsplanung</t>
        </is>
      </c>
      <c r="C1858" s="9" t="inlineStr">
        <is>
          <t>Unbekannt</t>
        </is>
      </c>
      <c r="D1858" s="10" t="inlineStr">
        <is>
          <t>⚠ Manual erforderlich</t>
        </is>
      </c>
      <c r="E1858" s="11" t="inlineStr"/>
      <c r="F1858" s="11" t="n">
        <v>0</v>
      </c>
      <c r="G1858" s="11">
        <f>E1858-F1858</f>
        <v/>
      </c>
      <c r="H1858" s="11" t="n">
        <v/>
      </c>
      <c r="I1858" s="11" t="n">
        <v/>
      </c>
      <c r="J1858" s="11" t="n">
        <v/>
      </c>
      <c r="K1858" s="4" t="inlineStr">
        <is>
          <t>Abrechnungsart wählen; Stundensätze eingeben</t>
        </is>
      </c>
    </row>
    <row r="1859">
      <c r="A1859" s="4" t="inlineStr">
        <is>
          <t>5762 ROB-MCR-Weilerbach-Energiezentralen-Los-5-2</t>
        </is>
      </c>
      <c r="B1859" s="4" t="inlineStr">
        <is>
          <t>● Nachtragsvereinbarung 01 Rev04</t>
        </is>
      </c>
      <c r="C1859" s="9" t="inlineStr">
        <is>
          <t>Unbekannt</t>
        </is>
      </c>
      <c r="D1859" s="10" t="inlineStr">
        <is>
          <t>⚠ Manual erforderlich</t>
        </is>
      </c>
      <c r="E1859" s="11" t="inlineStr"/>
      <c r="F1859" s="11" t="n">
        <v>0</v>
      </c>
      <c r="G1859" s="11">
        <f>E1859-F1859</f>
        <v/>
      </c>
      <c r="H1859" s="11" t="n">
        <v/>
      </c>
      <c r="I1859" s="11" t="n">
        <v/>
      </c>
      <c r="J1859" s="11" t="n">
        <v/>
      </c>
      <c r="K1859" s="4" t="inlineStr">
        <is>
          <t>Abrechnungsart wählen; Stundensätze eingeben</t>
        </is>
      </c>
    </row>
    <row r="1860">
      <c r="A1860" s="4" t="inlineStr">
        <is>
          <t>5764.02 GGAreal14.2-Anpassung-BSK-Amelia-Mary-Earhart-Straße-Frankfurt</t>
        </is>
      </c>
      <c r="B1860" s="4" t="inlineStr">
        <is>
          <t>● (p) Pos. 1 Anp. BSK</t>
        </is>
      </c>
      <c r="C1860" s="4" t="inlineStr">
        <is>
          <t>Pauschale</t>
        </is>
      </c>
      <c r="D1860" s="10" t="inlineStr">
        <is>
          <t>⚠ Manual erforderlich</t>
        </is>
      </c>
      <c r="E1860" s="11" t="inlineStr"/>
      <c r="F1860" s="11" t="n">
        <v>0</v>
      </c>
      <c r="G1860" s="11">
        <f>E1860-F1860</f>
        <v/>
      </c>
      <c r="H1860" s="11" t="n">
        <v>0</v>
      </c>
      <c r="I1860" s="11" t="n">
        <v>0</v>
      </c>
      <c r="J1860" s="11" t="n">
        <v>0</v>
      </c>
      <c r="K1860" s="4" t="inlineStr">
        <is>
          <t>Stundensätze eingeben</t>
        </is>
      </c>
    </row>
    <row r="1861">
      <c r="A1861" s="4" t="inlineStr">
        <is>
          <t>5767 Universität-Konstanz-Geb-X</t>
        </is>
      </c>
      <c r="B1861" s="4" t="inlineStr">
        <is>
          <t>● 1000-Grundlagenermittlung</t>
        </is>
      </c>
      <c r="C1861" s="9" t="inlineStr">
        <is>
          <t>Unbekannt</t>
        </is>
      </c>
      <c r="D1861" s="10" t="inlineStr">
        <is>
          <t>⚠ Manual erforderlich</t>
        </is>
      </c>
      <c r="E1861" s="11" t="inlineStr"/>
      <c r="F1861" s="11" t="n">
        <v>0</v>
      </c>
      <c r="G1861" s="11">
        <f>E1861-F1861</f>
        <v/>
      </c>
      <c r="H1861" s="11" t="n">
        <v/>
      </c>
      <c r="I1861" s="11" t="n">
        <v/>
      </c>
      <c r="J1861" s="11" t="n">
        <v/>
      </c>
      <c r="K1861" s="4" t="inlineStr">
        <is>
          <t>Abrechnungsart wählen; Stundensätze eingeben</t>
        </is>
      </c>
    </row>
    <row r="1862">
      <c r="A1862" s="4" t="inlineStr">
        <is>
          <t>5767 Universität-Konstanz-Geb-X</t>
        </is>
      </c>
      <c r="B1862" s="4" t="inlineStr">
        <is>
          <t>● 2000-Vorplanung</t>
        </is>
      </c>
      <c r="C1862" s="9" t="inlineStr">
        <is>
          <t>Unbekannt</t>
        </is>
      </c>
      <c r="D1862" s="10" t="inlineStr">
        <is>
          <t>⚠ Manual erforderlich</t>
        </is>
      </c>
      <c r="E1862" s="11" t="inlineStr"/>
      <c r="F1862" s="11" t="n">
        <v>0</v>
      </c>
      <c r="G1862" s="11">
        <f>E1862-F1862</f>
        <v/>
      </c>
      <c r="H1862" s="11" t="n">
        <v/>
      </c>
      <c r="I1862" s="11" t="n">
        <v/>
      </c>
      <c r="J1862" s="11" t="n">
        <v/>
      </c>
      <c r="K1862" s="4" t="inlineStr">
        <is>
          <t>Abrechnungsart wählen; Stundensätze eingeben</t>
        </is>
      </c>
    </row>
    <row r="1863">
      <c r="A1863" s="4" t="inlineStr">
        <is>
          <t>5767 Universität-Konstanz-Geb-X</t>
        </is>
      </c>
      <c r="B1863" s="4" t="inlineStr">
        <is>
          <t>● 3000-Entwurfsplanung</t>
        </is>
      </c>
      <c r="C1863" s="9" t="inlineStr">
        <is>
          <t>Unbekannt</t>
        </is>
      </c>
      <c r="D1863" s="10" t="inlineStr">
        <is>
          <t>⚠ Manual erforderlich</t>
        </is>
      </c>
      <c r="E1863" s="11" t="inlineStr"/>
      <c r="F1863" s="11" t="n">
        <v>0</v>
      </c>
      <c r="G1863" s="11">
        <f>E1863-F1863</f>
        <v/>
      </c>
      <c r="H1863" s="11" t="n">
        <v/>
      </c>
      <c r="I1863" s="11" t="n">
        <v/>
      </c>
      <c r="J1863" s="11" t="n">
        <v/>
      </c>
      <c r="K1863" s="4" t="inlineStr">
        <is>
          <t>Abrechnungsart wählen; Stundensätze eingeben</t>
        </is>
      </c>
    </row>
    <row r="1864">
      <c r="A1864" s="4" t="inlineStr">
        <is>
          <t>5767 Universität-Konstanz-Geb-X</t>
        </is>
      </c>
      <c r="B1864" s="4" t="inlineStr">
        <is>
          <t>● 4000-Genehmigungsplanung</t>
        </is>
      </c>
      <c r="C1864" s="9" t="inlineStr">
        <is>
          <t>Unbekannt</t>
        </is>
      </c>
      <c r="D1864" s="10" t="inlineStr">
        <is>
          <t>⚠ Manual erforderlich</t>
        </is>
      </c>
      <c r="E1864" s="11" t="inlineStr"/>
      <c r="F1864" s="11" t="n">
        <v>0</v>
      </c>
      <c r="G1864" s="11">
        <f>E1864-F1864</f>
        <v/>
      </c>
      <c r="H1864" s="11" t="n">
        <v/>
      </c>
      <c r="I1864" s="11" t="n">
        <v/>
      </c>
      <c r="J1864" s="11" t="n">
        <v/>
      </c>
      <c r="K1864" s="4" t="inlineStr">
        <is>
          <t>Abrechnungsart wählen; Stundensätze eingeben</t>
        </is>
      </c>
    </row>
    <row r="1865">
      <c r="A1865" s="4" t="inlineStr">
        <is>
          <t>5767 Universität-Konstanz-Geb-X</t>
        </is>
      </c>
      <c r="B1865" s="4" t="inlineStr">
        <is>
          <t>● Leistungsstufe 5 - Ausführungsplanung + Vergabe</t>
        </is>
      </c>
      <c r="C1865" s="9" t="inlineStr">
        <is>
          <t>Unbekannt</t>
        </is>
      </c>
      <c r="D1865" s="10" t="inlineStr">
        <is>
          <t>⚠ Manual erforderlich</t>
        </is>
      </c>
      <c r="E1865" s="11" t="inlineStr"/>
      <c r="F1865" s="11" t="n">
        <v>0</v>
      </c>
      <c r="G1865" s="11">
        <f>E1865-F1865</f>
        <v/>
      </c>
      <c r="H1865" s="11" t="n">
        <v/>
      </c>
      <c r="I1865" s="11" t="n">
        <v/>
      </c>
      <c r="J1865" s="11" t="n">
        <v/>
      </c>
      <c r="K1865" s="4" t="inlineStr">
        <is>
          <t>Abrechnungsart wählen; Stundensätze eingeben</t>
        </is>
      </c>
    </row>
    <row r="1866">
      <c r="A1866" s="4" t="inlineStr">
        <is>
          <t>5767 Universität-Konstanz-Geb-X</t>
        </is>
      </c>
      <c r="B1866" s="4" t="inlineStr">
        <is>
          <t>● Planung Feuerlöscher (pauschal)</t>
        </is>
      </c>
      <c r="C1866" s="9" t="inlineStr">
        <is>
          <t>Unbekannt</t>
        </is>
      </c>
      <c r="D1866" s="10" t="inlineStr">
        <is>
          <t>⚠ Manual erforderlich</t>
        </is>
      </c>
      <c r="E1866" s="11" t="inlineStr"/>
      <c r="F1866" s="11" t="n">
        <v>0</v>
      </c>
      <c r="G1866" s="11">
        <f>E1866-F1866</f>
        <v/>
      </c>
      <c r="H1866" s="11" t="n">
        <v/>
      </c>
      <c r="I1866" s="11" t="n">
        <v/>
      </c>
      <c r="J1866" s="11" t="n">
        <v/>
      </c>
      <c r="K1866" s="4" t="inlineStr">
        <is>
          <t>Abrechnungsart wählen; Stundensätze eingeben</t>
        </is>
      </c>
    </row>
    <row r="1867">
      <c r="A1867" s="4" t="inlineStr">
        <is>
          <t>5767 Universität-Konstanz-Geb-X</t>
        </is>
      </c>
      <c r="B1867" s="4" t="inlineStr">
        <is>
          <t>● Erstellen einer (technischen) gewerkeübergreifenden Brandfallsteuermatrix (pauschal)</t>
        </is>
      </c>
      <c r="C1867" s="9" t="inlineStr">
        <is>
          <t>Unbekannt</t>
        </is>
      </c>
      <c r="D1867" s="10" t="inlineStr">
        <is>
          <t>⚠ Manual erforderlich</t>
        </is>
      </c>
      <c r="E1867" s="11" t="inlineStr"/>
      <c r="F1867" s="11" t="n">
        <v>0</v>
      </c>
      <c r="G1867" s="11">
        <f>E1867-F1867</f>
        <v/>
      </c>
      <c r="H1867" s="11" t="n">
        <v/>
      </c>
      <c r="I1867" s="11" t="n">
        <v/>
      </c>
      <c r="J1867" s="11" t="n">
        <v/>
      </c>
      <c r="K1867" s="4" t="inlineStr">
        <is>
          <t>Abrechnungsart wählen; Stundensätze eingeben</t>
        </is>
      </c>
    </row>
    <row r="1868">
      <c r="A1868" s="4" t="inlineStr">
        <is>
          <t>5767 Universität-Konstanz-Geb-X</t>
        </is>
      </c>
      <c r="B1868" s="4" t="inlineStr">
        <is>
          <t>● 6000 - Vorbereitung Vergabe (LP 6)</t>
        </is>
      </c>
      <c r="C1868" s="9" t="inlineStr">
        <is>
          <t>Unbekannt</t>
        </is>
      </c>
      <c r="D1868" s="10" t="inlineStr">
        <is>
          <t>⚠ Manual erforderlich</t>
        </is>
      </c>
      <c r="E1868" s="11" t="inlineStr"/>
      <c r="F1868" s="11" t="n">
        <v>0</v>
      </c>
      <c r="G1868" s="11">
        <f>E1868-F1868</f>
        <v/>
      </c>
      <c r="H1868" s="11" t="n">
        <v/>
      </c>
      <c r="I1868" s="11" t="n">
        <v/>
      </c>
      <c r="J1868" s="11" t="n">
        <v/>
      </c>
      <c r="K1868" s="4" t="inlineStr">
        <is>
          <t>Abrechnungsart wählen; Stundensätze eingeben</t>
        </is>
      </c>
    </row>
    <row r="1869">
      <c r="A1869" s="4" t="inlineStr">
        <is>
          <t>5767 Universität-Konstanz-Geb-X</t>
        </is>
      </c>
      <c r="B1869" s="4" t="inlineStr">
        <is>
          <t>● 7000 - Vergabe (LP 7)</t>
        </is>
      </c>
      <c r="C1869" s="9" t="inlineStr">
        <is>
          <t>Unbekannt</t>
        </is>
      </c>
      <c r="D1869" s="10" t="inlineStr">
        <is>
          <t>⚠ Manual erforderlich</t>
        </is>
      </c>
      <c r="E1869" s="11" t="inlineStr"/>
      <c r="F1869" s="11" t="n">
        <v>0</v>
      </c>
      <c r="G1869" s="11">
        <f>E1869-F1869</f>
        <v/>
      </c>
      <c r="H1869" s="11" t="n">
        <v/>
      </c>
      <c r="I1869" s="11" t="n">
        <v/>
      </c>
      <c r="J1869" s="11" t="n">
        <v/>
      </c>
      <c r="K1869" s="4" t="inlineStr">
        <is>
          <t>Abrechnungsart wählen; Stundensätze eingeben</t>
        </is>
      </c>
    </row>
    <row r="1870">
      <c r="A1870" s="4" t="inlineStr">
        <is>
          <t>5767 Universität-Konstanz-Geb-X</t>
        </is>
      </c>
      <c r="B1870" s="4" t="inlineStr">
        <is>
          <t>● (p) 8000 - Bau-/Objektüberwachung</t>
        </is>
      </c>
      <c r="C1870" s="4" t="inlineStr">
        <is>
          <t>Pauschale</t>
        </is>
      </c>
      <c r="D1870" s="10" t="inlineStr">
        <is>
          <t>⚠ Manual erforderlich</t>
        </is>
      </c>
      <c r="E1870" s="11" t="inlineStr"/>
      <c r="F1870" s="11" t="n">
        <v>0</v>
      </c>
      <c r="G1870" s="11">
        <f>E1870-F1870</f>
        <v/>
      </c>
      <c r="H1870" s="11" t="n">
        <v>0</v>
      </c>
      <c r="I1870" s="11" t="n">
        <v>0</v>
      </c>
      <c r="J1870" s="11" t="n">
        <v>0</v>
      </c>
      <c r="K1870" s="4" t="inlineStr">
        <is>
          <t>Stundensätze eingeben</t>
        </is>
      </c>
    </row>
    <row r="1871">
      <c r="A1871" s="4" t="inlineStr">
        <is>
          <t>5767 Universität-Konstanz-Geb-X</t>
        </is>
      </c>
      <c r="B1871" s="4" t="inlineStr">
        <is>
          <t>● (p) 9000 - Dokumentation</t>
        </is>
      </c>
      <c r="C1871" s="4" t="inlineStr">
        <is>
          <t>Pauschale</t>
        </is>
      </c>
      <c r="D1871" s="10" t="inlineStr">
        <is>
          <t>⚠ Manual erforderlich</t>
        </is>
      </c>
      <c r="E1871" s="11" t="inlineStr"/>
      <c r="F1871" s="11" t="n">
        <v>0</v>
      </c>
      <c r="G1871" s="11">
        <f>E1871-F1871</f>
        <v/>
      </c>
      <c r="H1871" s="11" t="n">
        <v>0</v>
      </c>
      <c r="I1871" s="11" t="n">
        <v>0</v>
      </c>
      <c r="J1871" s="11" t="n">
        <v>0</v>
      </c>
      <c r="K1871" s="4" t="inlineStr">
        <is>
          <t>Stundensätze eingeben</t>
        </is>
      </c>
    </row>
    <row r="1872">
      <c r="A1872" s="4" t="inlineStr">
        <is>
          <t>5767 Universität-Konstanz-Geb-X</t>
        </is>
      </c>
      <c r="B1872" s="4" t="inlineStr">
        <is>
          <t>● 9000 Bes. Lstg.</t>
        </is>
      </c>
      <c r="C1872" s="9" t="inlineStr">
        <is>
          <t>Unbekannt</t>
        </is>
      </c>
      <c r="D1872" s="10" t="inlineStr">
        <is>
          <t>⚠ Manual erforderlich</t>
        </is>
      </c>
      <c r="E1872" s="11" t="inlineStr"/>
      <c r="F1872" s="11" t="n">
        <v>0</v>
      </c>
      <c r="G1872" s="11">
        <f>E1872-F1872</f>
        <v/>
      </c>
      <c r="H1872" s="11" t="n">
        <v/>
      </c>
      <c r="I1872" s="11" t="n">
        <v/>
      </c>
      <c r="J1872" s="11" t="n">
        <v/>
      </c>
      <c r="K1872" s="4" t="inlineStr">
        <is>
          <t>Abrechnungsart wählen; Stundensätze eingeben</t>
        </is>
      </c>
    </row>
    <row r="1873">
      <c r="A1873" s="4" t="inlineStr">
        <is>
          <t>5767.02 Tektur-BSK-Universität-Konstanz-Geb-X</t>
        </is>
      </c>
      <c r="B1873" s="4" t="inlineStr">
        <is>
          <t>● (a.N.) Tektur BSK</t>
        </is>
      </c>
      <c r="C1873" s="4" t="inlineStr">
        <is>
          <t>Nachweis</t>
        </is>
      </c>
      <c r="D1873" s="10" t="inlineStr">
        <is>
          <t>⚠ Manual erforderlich</t>
        </is>
      </c>
      <c r="E1873" s="11" t="inlineStr"/>
      <c r="F1873" s="11" t="n">
        <v>0</v>
      </c>
      <c r="G1873" s="11">
        <f>E1873-F1873</f>
        <v/>
      </c>
      <c r="H1873" s="11" t="n">
        <v/>
      </c>
      <c r="I1873" s="11" t="n">
        <v/>
      </c>
      <c r="J1873" s="11" t="n">
        <v/>
      </c>
      <c r="K1873" s="4" t="inlineStr">
        <is>
          <t>Stundensätze eingeben</t>
        </is>
      </c>
    </row>
    <row r="1874">
      <c r="A1874" s="4" t="inlineStr">
        <is>
          <t>5767.03 NAT-BSP-Universität-Konstanz-Geb-X</t>
        </is>
      </c>
      <c r="B1874" s="4" t="inlineStr">
        <is>
          <t>● (p) Pos.1 Anpassung BSP</t>
        </is>
      </c>
      <c r="C1874" s="4" t="inlineStr">
        <is>
          <t>Pauschale</t>
        </is>
      </c>
      <c r="D1874" s="10" t="inlineStr">
        <is>
          <t>⚠ Manual erforderlich</t>
        </is>
      </c>
      <c r="E1874" s="11" t="inlineStr"/>
      <c r="F1874" s="11" t="n">
        <v>0</v>
      </c>
      <c r="G1874" s="11">
        <f>E1874-F1874</f>
        <v/>
      </c>
      <c r="H1874" s="11" t="n">
        <v>0</v>
      </c>
      <c r="I1874" s="11" t="n">
        <v>0</v>
      </c>
      <c r="J1874" s="11" t="n">
        <v>0</v>
      </c>
      <c r="K1874" s="4" t="inlineStr">
        <is>
          <t>Stundensätze eingeben</t>
        </is>
      </c>
    </row>
    <row r="1875">
      <c r="A1875" s="4" t="inlineStr">
        <is>
          <t>5789.02 BAB-Am-Exerzierplatz-Mannheim-Drestate-Brandschutzthemen</t>
        </is>
      </c>
      <c r="B1875" s="4" t="inlineStr">
        <is>
          <t>● 8000-Objektüberwachung</t>
        </is>
      </c>
      <c r="C1875" s="9" t="inlineStr">
        <is>
          <t>Unbekannt</t>
        </is>
      </c>
      <c r="D1875" s="10" t="inlineStr">
        <is>
          <t>⚠ Manual erforderlich</t>
        </is>
      </c>
      <c r="E1875" s="11" t="inlineStr"/>
      <c r="F1875" s="11" t="n">
        <v>0</v>
      </c>
      <c r="G1875" s="11">
        <f>E1875-F1875</f>
        <v/>
      </c>
      <c r="H1875" s="11" t="n">
        <v/>
      </c>
      <c r="I1875" s="11" t="n">
        <v/>
      </c>
      <c r="J1875" s="11" t="n">
        <v/>
      </c>
      <c r="K1875" s="4" t="inlineStr">
        <is>
          <t>Abrechnungsart wählen; Stundensätze eingeben</t>
        </is>
      </c>
    </row>
    <row r="1876">
      <c r="A1876" s="4" t="inlineStr">
        <is>
          <t>5789.07 Thor-FortschrBSK-OG-BT-C-Am-Exerzierplatz-Mannheim</t>
        </is>
      </c>
      <c r="B1876" s="4" t="inlineStr">
        <is>
          <t>● (p) Pos. 1 Fortschreibung eines Brandschutzkonzeptes</t>
        </is>
      </c>
      <c r="C1876" s="4" t="inlineStr">
        <is>
          <t>Pauschale</t>
        </is>
      </c>
      <c r="D1876" s="10" t="inlineStr">
        <is>
          <t>⚠ Manual erforderlich</t>
        </is>
      </c>
      <c r="E1876" s="11" t="inlineStr"/>
      <c r="F1876" s="11" t="n">
        <v>0</v>
      </c>
      <c r="G1876" s="11">
        <f>E1876-F1876</f>
        <v/>
      </c>
      <c r="H1876" s="11" t="n">
        <v>0</v>
      </c>
      <c r="I1876" s="11" t="n">
        <v>0</v>
      </c>
      <c r="J1876" s="11" t="n">
        <v>0</v>
      </c>
      <c r="K1876" s="4" t="inlineStr">
        <is>
          <t>Stundensätze eingeben</t>
        </is>
      </c>
    </row>
    <row r="1877">
      <c r="A1877" s="4" t="inlineStr">
        <is>
          <t>5789.08 Thor-FRP-BT-C-Am-Exerzierplatz2-Mannheim</t>
        </is>
      </c>
      <c r="B1877" s="4" t="inlineStr">
        <is>
          <t>● (aN) Pos. 1 Begehung vor Ort (CAD)</t>
        </is>
      </c>
      <c r="C1877" s="4" t="inlineStr">
        <is>
          <t>Nachweis</t>
        </is>
      </c>
      <c r="D1877" s="10" t="inlineStr">
        <is>
          <t>⚠ Manual erforderlich</t>
        </is>
      </c>
      <c r="E1877" s="11" t="inlineStr"/>
      <c r="F1877" s="11" t="n">
        <v>0</v>
      </c>
      <c r="G1877" s="11">
        <f>E1877-F1877</f>
        <v/>
      </c>
      <c r="H1877" s="11" t="n">
        <v/>
      </c>
      <c r="I1877" s="11" t="n">
        <v/>
      </c>
      <c r="J1877" s="11" t="n">
        <v/>
      </c>
      <c r="K1877" s="4" t="inlineStr">
        <is>
          <t>Stundensätze eingeben</t>
        </is>
      </c>
    </row>
    <row r="1878">
      <c r="A1878" s="4" t="inlineStr">
        <is>
          <t>5789.08 Thor-FRP-BT-C-Am-Exerzierplatz2-Mannheim</t>
        </is>
      </c>
      <c r="B1878" s="4" t="inlineStr">
        <is>
          <t>● (p) Pos. 2 Prüfung + Überarbeitung FRP (CAD)</t>
        </is>
      </c>
      <c r="C1878" s="4" t="inlineStr">
        <is>
          <t>Pauschale</t>
        </is>
      </c>
      <c r="D1878" s="10" t="inlineStr">
        <is>
          <t>⚠ Manual erforderlich</t>
        </is>
      </c>
      <c r="E1878" s="11" t="inlineStr"/>
      <c r="F1878" s="11" t="n">
        <v>0</v>
      </c>
      <c r="G1878" s="11">
        <f>E1878-F1878</f>
        <v/>
      </c>
      <c r="H1878" s="11" t="n">
        <v>0</v>
      </c>
      <c r="I1878" s="11" t="n">
        <v>0</v>
      </c>
      <c r="J1878" s="11" t="n">
        <v>0</v>
      </c>
      <c r="K1878" s="4" t="inlineStr">
        <is>
          <t>Stundensätze eingeben</t>
        </is>
      </c>
    </row>
    <row r="1879">
      <c r="A1879" s="4" t="inlineStr">
        <is>
          <t>5791 Alicestraße-13-Bad-Nauheim-HPPVO</t>
        </is>
      </c>
      <c r="B1879" s="4" t="inlineStr">
        <is>
          <t>● 4000-Genehmigungsplanung</t>
        </is>
      </c>
      <c r="C1879" s="9" t="inlineStr">
        <is>
          <t>Unbekannt</t>
        </is>
      </c>
      <c r="D1879" s="10" t="inlineStr">
        <is>
          <t>⚠ Manual erforderlich</t>
        </is>
      </c>
      <c r="E1879" s="11" t="inlineStr"/>
      <c r="F1879" s="11" t="n">
        <v>0</v>
      </c>
      <c r="G1879" s="11">
        <f>E1879-F1879</f>
        <v/>
      </c>
      <c r="H1879" s="11" t="n">
        <v/>
      </c>
      <c r="I1879" s="11" t="n">
        <v/>
      </c>
      <c r="J1879" s="11" t="n">
        <v/>
      </c>
      <c r="K1879" s="4" t="inlineStr">
        <is>
          <t>Abrechnungsart wählen; Stundensätze eingeben</t>
        </is>
      </c>
    </row>
    <row r="1880">
      <c r="A1880" s="4" t="inlineStr">
        <is>
          <t>5793 Eschholzstraße-118-Freiburg-Rettungszentrum</t>
        </is>
      </c>
      <c r="B1880" s="4" t="inlineStr">
        <is>
          <t>● 2000-Vorplanung</t>
        </is>
      </c>
      <c r="C1880" s="9" t="inlineStr">
        <is>
          <t>Unbekannt</t>
        </is>
      </c>
      <c r="D1880" s="10" t="inlineStr">
        <is>
          <t>⚠ Manual erforderlich</t>
        </is>
      </c>
      <c r="E1880" s="11" t="inlineStr"/>
      <c r="F1880" s="11" t="n">
        <v>0</v>
      </c>
      <c r="G1880" s="11">
        <f>E1880-F1880</f>
        <v/>
      </c>
      <c r="H1880" s="11" t="n">
        <v/>
      </c>
      <c r="I1880" s="11" t="n">
        <v/>
      </c>
      <c r="J1880" s="11" t="n">
        <v/>
      </c>
      <c r="K1880" s="4" t="inlineStr">
        <is>
          <t>Abrechnungsart wählen; Stundensätze eingeben</t>
        </is>
      </c>
    </row>
    <row r="1881">
      <c r="A1881" s="4" t="inlineStr">
        <is>
          <t>5793 Eschholzstraße-118-Freiburg-Rettungszentrum</t>
        </is>
      </c>
      <c r="B1881" s="4" t="inlineStr">
        <is>
          <t>● 3000-Entwurfsplanung</t>
        </is>
      </c>
      <c r="C1881" s="9" t="inlineStr">
        <is>
          <t>Unbekannt</t>
        </is>
      </c>
      <c r="D1881" s="10" t="inlineStr">
        <is>
          <t>⚠ Manual erforderlich</t>
        </is>
      </c>
      <c r="E1881" s="11" t="inlineStr"/>
      <c r="F1881" s="11" t="n">
        <v>0</v>
      </c>
      <c r="G1881" s="11">
        <f>E1881-F1881</f>
        <v/>
      </c>
      <c r="H1881" s="11" t="n">
        <v/>
      </c>
      <c r="I1881" s="11" t="n">
        <v/>
      </c>
      <c r="J1881" s="11" t="n">
        <v/>
      </c>
      <c r="K1881" s="4" t="inlineStr">
        <is>
          <t>Abrechnungsart wählen; Stundensätze eingeben</t>
        </is>
      </c>
    </row>
    <row r="1882">
      <c r="A1882" s="4" t="inlineStr">
        <is>
          <t>5793 Eschholzstraße-118-Freiburg-Rettungszentrum</t>
        </is>
      </c>
      <c r="B1882" s="4" t="inlineStr">
        <is>
          <t>● 4000-Genehmigungsplanung</t>
        </is>
      </c>
      <c r="C1882" s="9" t="inlineStr">
        <is>
          <t>Unbekannt</t>
        </is>
      </c>
      <c r="D1882" s="10" t="inlineStr">
        <is>
          <t>⚠ Manual erforderlich</t>
        </is>
      </c>
      <c r="E1882" s="11" t="inlineStr"/>
      <c r="F1882" s="11" t="n">
        <v>0</v>
      </c>
      <c r="G1882" s="11">
        <f>E1882-F1882</f>
        <v/>
      </c>
      <c r="H1882" s="11" t="n">
        <v/>
      </c>
      <c r="I1882" s="11" t="n">
        <v/>
      </c>
      <c r="J1882" s="11" t="n">
        <v/>
      </c>
      <c r="K1882" s="4" t="inlineStr">
        <is>
          <t>Abrechnungsart wählen; Stundensätze eingeben</t>
        </is>
      </c>
    </row>
    <row r="1883">
      <c r="A1883" s="4" t="inlineStr">
        <is>
          <t>5793 Eschholzstraße-118-Freiburg-Rettungszentrum</t>
        </is>
      </c>
      <c r="B1883" s="4" t="inlineStr">
        <is>
          <t>● Überarbeitung Eckdatenkonzept (auf Nachweis)</t>
        </is>
      </c>
      <c r="C1883" s="9" t="inlineStr">
        <is>
          <t>Unbekannt</t>
        </is>
      </c>
      <c r="D1883" s="10" t="inlineStr">
        <is>
          <t>⚠ Manual erforderlich</t>
        </is>
      </c>
      <c r="E1883" s="11" t="inlineStr"/>
      <c r="F1883" s="11" t="n">
        <v>0</v>
      </c>
      <c r="G1883" s="11">
        <f>E1883-F1883</f>
        <v/>
      </c>
      <c r="H1883" s="11" t="n">
        <v/>
      </c>
      <c r="I1883" s="11" t="n">
        <v/>
      </c>
      <c r="J1883" s="11" t="n">
        <v/>
      </c>
      <c r="K1883" s="4" t="inlineStr">
        <is>
          <t>Abrechnungsart wählen; Stundensätze eingeben</t>
        </is>
      </c>
    </row>
    <row r="1884">
      <c r="A1884" s="4" t="inlineStr">
        <is>
          <t>5793 Eschholzstraße-118-Freiburg-Rettungszentrum</t>
        </is>
      </c>
      <c r="B1884" s="4" t="inlineStr">
        <is>
          <t>● 5000-Ausführungsplanung</t>
        </is>
      </c>
      <c r="C1884" s="9" t="inlineStr">
        <is>
          <t>Unbekannt</t>
        </is>
      </c>
      <c r="D1884" s="10" t="inlineStr">
        <is>
          <t>⚠ Manual erforderlich</t>
        </is>
      </c>
      <c r="E1884" s="11" t="inlineStr"/>
      <c r="F1884" s="11" t="n">
        <v>0</v>
      </c>
      <c r="G1884" s="11">
        <f>E1884-F1884</f>
        <v/>
      </c>
      <c r="H1884" s="11" t="n">
        <v/>
      </c>
      <c r="I1884" s="11" t="n">
        <v/>
      </c>
      <c r="J1884" s="11" t="n">
        <v/>
      </c>
      <c r="K1884" s="4" t="inlineStr">
        <is>
          <t>Abrechnungsart wählen; Stundensätze eingeben</t>
        </is>
      </c>
    </row>
    <row r="1885">
      <c r="A1885" s="4" t="inlineStr">
        <is>
          <t>5793 Eschholzstraße-118-Freiburg-Rettungszentrum</t>
        </is>
      </c>
      <c r="B1885" s="4" t="inlineStr">
        <is>
          <t>● Nr. 5/LP 8 GL</t>
        </is>
      </c>
      <c r="C1885" s="9" t="inlineStr">
        <is>
          <t>Unbekannt</t>
        </is>
      </c>
      <c r="D1885" s="10" t="inlineStr">
        <is>
          <t>⚠ Manual erforderlich</t>
        </is>
      </c>
      <c r="E1885" s="11" t="inlineStr"/>
      <c r="F1885" s="11" t="n">
        <v>0</v>
      </c>
      <c r="G1885" s="11">
        <f>E1885-F1885</f>
        <v/>
      </c>
      <c r="H1885" s="11" t="n">
        <v/>
      </c>
      <c r="I1885" s="11" t="n">
        <v/>
      </c>
      <c r="J1885" s="11" t="n">
        <v/>
      </c>
      <c r="K1885" s="4" t="inlineStr">
        <is>
          <t>Abrechnungsart wählen; Stundensätze eingeben</t>
        </is>
      </c>
    </row>
    <row r="1886">
      <c r="A1886" s="4" t="inlineStr">
        <is>
          <t>5793 Eschholzstraße-118-Freiburg-Rettungszentrum</t>
        </is>
      </c>
      <c r="B1886" s="4" t="inlineStr">
        <is>
          <t>● Nr. 6/LP 9 BL</t>
        </is>
      </c>
      <c r="C1886" s="9" t="inlineStr">
        <is>
          <t>Unbekannt</t>
        </is>
      </c>
      <c r="D1886" s="10" t="inlineStr">
        <is>
          <t>⚠ Manual erforderlich</t>
        </is>
      </c>
      <c r="E1886" s="11" t="inlineStr"/>
      <c r="F1886" s="11" t="n">
        <v>0</v>
      </c>
      <c r="G1886" s="11">
        <f>E1886-F1886</f>
        <v/>
      </c>
      <c r="H1886" s="11" t="n">
        <v/>
      </c>
      <c r="I1886" s="11" t="n">
        <v/>
      </c>
      <c r="J1886" s="11" t="n">
        <v/>
      </c>
      <c r="K1886" s="4" t="inlineStr">
        <is>
          <t>Abrechnungsart wählen; Stundensätze eingeben</t>
        </is>
      </c>
    </row>
    <row r="1887">
      <c r="A1887" s="4" t="inlineStr">
        <is>
          <t>5793 Eschholzstraße-118-Freiburg-Rettungszentrum</t>
        </is>
      </c>
      <c r="B1887" s="4" t="inlineStr">
        <is>
          <t>● (p) Pos. 1 Feuerlöscherberechnung</t>
        </is>
      </c>
      <c r="C1887" s="4" t="inlineStr">
        <is>
          <t>Pauschale</t>
        </is>
      </c>
      <c r="D1887" s="10" t="inlineStr">
        <is>
          <t>⚠ Manual erforderlich</t>
        </is>
      </c>
      <c r="E1887" s="11" t="inlineStr"/>
      <c r="F1887" s="11" t="n">
        <v>0</v>
      </c>
      <c r="G1887" s="11">
        <f>E1887-F1887</f>
        <v/>
      </c>
      <c r="H1887" s="11" t="n">
        <v/>
      </c>
      <c r="I1887" s="11" t="n">
        <v/>
      </c>
      <c r="J1887" s="11" t="n">
        <v/>
      </c>
      <c r="K1887" s="4" t="inlineStr">
        <is>
          <t>Stundensätze eingeben</t>
        </is>
      </c>
    </row>
    <row r="1888">
      <c r="A1888" s="4" t="inlineStr">
        <is>
          <t>5793.02 StadtFB-NB-Geb-D-AE3-Eschholzstr118-Freiburg-Rettungszentrum</t>
        </is>
      </c>
      <c r="B1888" s="4" t="inlineStr">
        <is>
          <t>● (aN) Pos. 1 Brandschutztechnische Beratung</t>
        </is>
      </c>
      <c r="C1888" s="4" t="inlineStr">
        <is>
          <t>Nachweis</t>
        </is>
      </c>
      <c r="D1888" s="10" t="inlineStr">
        <is>
          <t>⚠ Manual erforderlich</t>
        </is>
      </c>
      <c r="E1888" s="11" t="inlineStr"/>
      <c r="F1888" s="11" t="n">
        <v>0</v>
      </c>
      <c r="G1888" s="11">
        <f>E1888-F1888</f>
        <v/>
      </c>
      <c r="H1888" s="11" t="n">
        <v/>
      </c>
      <c r="I1888" s="11" t="n">
        <v/>
      </c>
      <c r="J1888" s="11" t="n">
        <v/>
      </c>
      <c r="K1888" s="4" t="inlineStr">
        <is>
          <t>Stundensätze eingeben</t>
        </is>
      </c>
    </row>
    <row r="1889">
      <c r="A1889" s="4" t="inlineStr">
        <is>
          <t>5793.03 StadtFB-Eschholzstr118-Freiburg-Rettungszentrum-Halle-E</t>
        </is>
      </c>
      <c r="B1889" s="4" t="inlineStr">
        <is>
          <t>● (aN) Pos. 1 Brandschutztechnische Beratung</t>
        </is>
      </c>
      <c r="C1889" s="4" t="inlineStr">
        <is>
          <t>Nachweis</t>
        </is>
      </c>
      <c r="D1889" s="10" t="inlineStr">
        <is>
          <t>⚠ Manual erforderlich</t>
        </is>
      </c>
      <c r="E1889" s="11" t="inlineStr"/>
      <c r="F1889" s="11" t="n">
        <v>0</v>
      </c>
      <c r="G1889" s="11">
        <f>E1889-F1889</f>
        <v/>
      </c>
      <c r="H1889" s="11" t="n">
        <v/>
      </c>
      <c r="I1889" s="11" t="n">
        <v/>
      </c>
      <c r="J1889" s="11" t="n">
        <v/>
      </c>
      <c r="K1889" s="4" t="inlineStr">
        <is>
          <t>Stundensätze eingeben</t>
        </is>
      </c>
    </row>
    <row r="1890">
      <c r="A1890" s="4" t="inlineStr">
        <is>
          <t>5808 ABS-Hanau-Gelnhausen</t>
        </is>
      </c>
      <c r="B1890" s="4" t="inlineStr">
        <is>
          <t>● 1000-Grundlagenermittlung</t>
        </is>
      </c>
      <c r="C1890" s="9" t="inlineStr">
        <is>
          <t>Unbekannt</t>
        </is>
      </c>
      <c r="D1890" s="10" t="inlineStr">
        <is>
          <t>⚠ Manual erforderlich</t>
        </is>
      </c>
      <c r="E1890" s="11" t="inlineStr"/>
      <c r="F1890" s="11" t="n">
        <v>0</v>
      </c>
      <c r="G1890" s="11">
        <f>E1890-F1890</f>
        <v/>
      </c>
      <c r="H1890" s="11" t="n">
        <v/>
      </c>
      <c r="I1890" s="11" t="n">
        <v/>
      </c>
      <c r="J1890" s="11" t="n">
        <v/>
      </c>
      <c r="K1890" s="4" t="inlineStr">
        <is>
          <t>Abrechnungsart wählen; Stundensätze eingeben</t>
        </is>
      </c>
    </row>
    <row r="1891">
      <c r="A1891" s="4" t="inlineStr">
        <is>
          <t>5808 ABS-Hanau-Gelnhausen</t>
        </is>
      </c>
      <c r="B1891" s="4" t="inlineStr">
        <is>
          <t>● 2000-Vorplanung</t>
        </is>
      </c>
      <c r="C1891" s="9" t="inlineStr">
        <is>
          <t>Unbekannt</t>
        </is>
      </c>
      <c r="D1891" s="10" t="inlineStr">
        <is>
          <t>⚠ Manual erforderlich</t>
        </is>
      </c>
      <c r="E1891" s="11" t="inlineStr"/>
      <c r="F1891" s="11" t="n">
        <v>0</v>
      </c>
      <c r="G1891" s="11">
        <f>E1891-F1891</f>
        <v/>
      </c>
      <c r="H1891" s="11" t="n">
        <v/>
      </c>
      <c r="I1891" s="11" t="n">
        <v/>
      </c>
      <c r="J1891" s="11" t="n">
        <v/>
      </c>
      <c r="K1891" s="4" t="inlineStr">
        <is>
          <t>Abrechnungsart wählen; Stundensätze eingeben</t>
        </is>
      </c>
    </row>
    <row r="1892">
      <c r="A1892" s="4" t="inlineStr">
        <is>
          <t>5808 ABS-Hanau-Gelnhausen</t>
        </is>
      </c>
      <c r="B1892" s="4" t="inlineStr">
        <is>
          <t>● 3000-Entwurfsplanung</t>
        </is>
      </c>
      <c r="C1892" s="9" t="inlineStr">
        <is>
          <t>Unbekannt</t>
        </is>
      </c>
      <c r="D1892" s="10" t="inlineStr">
        <is>
          <t>⚠ Manual erforderlich</t>
        </is>
      </c>
      <c r="E1892" s="11" t="inlineStr"/>
      <c r="F1892" s="11" t="n">
        <v>0</v>
      </c>
      <c r="G1892" s="11">
        <f>E1892-F1892</f>
        <v/>
      </c>
      <c r="H1892" s="11" t="n">
        <v/>
      </c>
      <c r="I1892" s="11" t="n">
        <v/>
      </c>
      <c r="J1892" s="11" t="n">
        <v/>
      </c>
      <c r="K1892" s="4" t="inlineStr">
        <is>
          <t>Abrechnungsart wählen; Stundensätze eingeben</t>
        </is>
      </c>
    </row>
    <row r="1893">
      <c r="A1893" s="4" t="inlineStr">
        <is>
          <t>5808 ABS-Hanau-Gelnhausen</t>
        </is>
      </c>
      <c r="B1893" s="4" t="inlineStr">
        <is>
          <t>● 4000-Genehmigungsplanung</t>
        </is>
      </c>
      <c r="C1893" s="9" t="inlineStr">
        <is>
          <t>Unbekannt</t>
        </is>
      </c>
      <c r="D1893" s="10" t="inlineStr">
        <is>
          <t>⚠ Manual erforderlich</t>
        </is>
      </c>
      <c r="E1893" s="11" t="inlineStr"/>
      <c r="F1893" s="11" t="n">
        <v>0</v>
      </c>
      <c r="G1893" s="11">
        <f>E1893-F1893</f>
        <v/>
      </c>
      <c r="H1893" s="11" t="n">
        <v/>
      </c>
      <c r="I1893" s="11" t="n">
        <v/>
      </c>
      <c r="J1893" s="11" t="n">
        <v/>
      </c>
      <c r="K1893" s="4" t="inlineStr">
        <is>
          <t>Abrechnungsart wählen; Stundensätze eingeben</t>
        </is>
      </c>
    </row>
    <row r="1894">
      <c r="A1894" s="4" t="inlineStr">
        <is>
          <t>5808 ABS-Hanau-Gelnhausen</t>
        </is>
      </c>
      <c r="B1894" s="4" t="inlineStr">
        <is>
          <t>● 6000-Vorbereiten der Vergabe</t>
        </is>
      </c>
      <c r="C1894" s="9" t="inlineStr">
        <is>
          <t>Unbekannt</t>
        </is>
      </c>
      <c r="D1894" s="10" t="inlineStr">
        <is>
          <t>⚠ Manual erforderlich</t>
        </is>
      </c>
      <c r="E1894" s="11" t="inlineStr"/>
      <c r="F1894" s="11" t="n">
        <v>0</v>
      </c>
      <c r="G1894" s="11">
        <f>E1894-F1894</f>
        <v/>
      </c>
      <c r="H1894" s="11" t="n">
        <v/>
      </c>
      <c r="I1894" s="11" t="n">
        <v/>
      </c>
      <c r="J1894" s="11" t="n">
        <v/>
      </c>
      <c r="K1894" s="4" t="inlineStr">
        <is>
          <t>Abrechnungsart wählen; Stundensätze eingeben</t>
        </is>
      </c>
    </row>
    <row r="1895">
      <c r="A1895" s="4" t="inlineStr">
        <is>
          <t>5808 ABS-Hanau-Gelnhausen</t>
        </is>
      </c>
      <c r="B1895" s="4" t="inlineStr">
        <is>
          <t>● 7000-Mitwirkung bei der Vergabe</t>
        </is>
      </c>
      <c r="C1895" s="9" t="inlineStr">
        <is>
          <t>Unbekannt</t>
        </is>
      </c>
      <c r="D1895" s="10" t="inlineStr">
        <is>
          <t>⚠ Manual erforderlich</t>
        </is>
      </c>
      <c r="E1895" s="11" t="inlineStr"/>
      <c r="F1895" s="11" t="n">
        <v>0</v>
      </c>
      <c r="G1895" s="11">
        <f>E1895-F1895</f>
        <v/>
      </c>
      <c r="H1895" s="11" t="n">
        <v/>
      </c>
      <c r="I1895" s="11" t="n">
        <v/>
      </c>
      <c r="J1895" s="11" t="n">
        <v/>
      </c>
      <c r="K1895" s="4" t="inlineStr">
        <is>
          <t>Abrechnungsart wählen; Stundensätze eingeben</t>
        </is>
      </c>
    </row>
    <row r="1896">
      <c r="A1896" s="4" t="inlineStr">
        <is>
          <t>5808 ABS-Hanau-Gelnhausen</t>
        </is>
      </c>
      <c r="B1896" s="4" t="inlineStr">
        <is>
          <t>● 9000-Objektbetreuung und Dokumentation</t>
        </is>
      </c>
      <c r="C1896" s="9" t="inlineStr">
        <is>
          <t>Unbekannt</t>
        </is>
      </c>
      <c r="D1896" s="10" t="inlineStr">
        <is>
          <t>⚠ Manual erforderlich</t>
        </is>
      </c>
      <c r="E1896" s="11" t="inlineStr"/>
      <c r="F1896" s="11" t="n">
        <v>0</v>
      </c>
      <c r="G1896" s="11">
        <f>E1896-F1896</f>
        <v/>
      </c>
      <c r="H1896" s="11" t="n">
        <v/>
      </c>
      <c r="I1896" s="11" t="n">
        <v/>
      </c>
      <c r="J1896" s="11" t="n">
        <v/>
      </c>
      <c r="K1896" s="4" t="inlineStr">
        <is>
          <t>Abrechnungsart wählen; Stundensätze eingeben</t>
        </is>
      </c>
    </row>
    <row r="1897">
      <c r="A1897" s="4" t="inlineStr">
        <is>
          <t>5812.01 Bestandsgeb-Clementine-Kinderhospital-Frankfurt</t>
        </is>
      </c>
      <c r="B1897" s="4" t="inlineStr">
        <is>
          <t>● Beratung zum Umbau Kinder-Notaufnahme (auf Nachweis)</t>
        </is>
      </c>
      <c r="C1897" s="9" t="inlineStr">
        <is>
          <t>Unbekannt</t>
        </is>
      </c>
      <c r="D1897" s="10" t="inlineStr">
        <is>
          <t>⚠ Manual erforderlich</t>
        </is>
      </c>
      <c r="E1897" s="11" t="inlineStr"/>
      <c r="F1897" s="11" t="n">
        <v>0</v>
      </c>
      <c r="G1897" s="11">
        <f>E1897-F1897</f>
        <v/>
      </c>
      <c r="H1897" s="11" t="n">
        <v/>
      </c>
      <c r="I1897" s="11" t="n">
        <v/>
      </c>
      <c r="J1897" s="11" t="n">
        <v/>
      </c>
      <c r="K1897" s="4" t="inlineStr">
        <is>
          <t>Abrechnungsart wählen; Stundensätze eingeben</t>
        </is>
      </c>
    </row>
    <row r="1898">
      <c r="A1898" s="4" t="inlineStr">
        <is>
          <t>5818 BWZK-KO-Interimsbau-ITS</t>
        </is>
      </c>
      <c r="B1898" s="4" t="inlineStr">
        <is>
          <t>● 1000-Grundlagenermittlung</t>
        </is>
      </c>
      <c r="C1898" s="9" t="inlineStr">
        <is>
          <t>Unbekannt</t>
        </is>
      </c>
      <c r="D1898" s="10" t="inlineStr">
        <is>
          <t>⚠ Manual erforderlich</t>
        </is>
      </c>
      <c r="E1898" s="11" t="inlineStr"/>
      <c r="F1898" s="11" t="n">
        <v>0</v>
      </c>
      <c r="G1898" s="11">
        <f>E1898-F1898</f>
        <v/>
      </c>
      <c r="H1898" s="11" t="n">
        <v/>
      </c>
      <c r="I1898" s="11" t="n">
        <v/>
      </c>
      <c r="J1898" s="11" t="n">
        <v/>
      </c>
      <c r="K1898" s="4" t="inlineStr">
        <is>
          <t>Abrechnungsart wählen; Stundensätze eingeben</t>
        </is>
      </c>
    </row>
    <row r="1899">
      <c r="A1899" s="4" t="inlineStr">
        <is>
          <t>5818 BWZK-KO-Interimsbau-ITS</t>
        </is>
      </c>
      <c r="B1899" s="4" t="inlineStr">
        <is>
          <t>● 2000-Vorplanung</t>
        </is>
      </c>
      <c r="C1899" s="9" t="inlineStr">
        <is>
          <t>Unbekannt</t>
        </is>
      </c>
      <c r="D1899" s="10" t="inlineStr">
        <is>
          <t>⚠ Manual erforderlich</t>
        </is>
      </c>
      <c r="E1899" s="11" t="inlineStr"/>
      <c r="F1899" s="11" t="n">
        <v>0</v>
      </c>
      <c r="G1899" s="11">
        <f>E1899-F1899</f>
        <v/>
      </c>
      <c r="H1899" s="11" t="n">
        <v/>
      </c>
      <c r="I1899" s="11" t="n">
        <v/>
      </c>
      <c r="J1899" s="11" t="n">
        <v/>
      </c>
      <c r="K1899" s="4" t="inlineStr">
        <is>
          <t>Abrechnungsart wählen; Stundensätze eingeben</t>
        </is>
      </c>
    </row>
    <row r="1900">
      <c r="A1900" s="4" t="inlineStr">
        <is>
          <t>5818 BWZK-KO-Interimsbau-ITS</t>
        </is>
      </c>
      <c r="B1900" s="4" t="inlineStr">
        <is>
          <t>● 3000-Entwurfsplanung</t>
        </is>
      </c>
      <c r="C1900" s="9" t="inlineStr">
        <is>
          <t>Unbekannt</t>
        </is>
      </c>
      <c r="D1900" s="10" t="inlineStr">
        <is>
          <t>⚠ Manual erforderlich</t>
        </is>
      </c>
      <c r="E1900" s="11" t="inlineStr"/>
      <c r="F1900" s="11" t="n">
        <v>0</v>
      </c>
      <c r="G1900" s="11">
        <f>E1900-F1900</f>
        <v/>
      </c>
      <c r="H1900" s="11" t="n">
        <v/>
      </c>
      <c r="I1900" s="11" t="n">
        <v/>
      </c>
      <c r="J1900" s="11" t="n">
        <v/>
      </c>
      <c r="K1900" s="4" t="inlineStr">
        <is>
          <t>Abrechnungsart wählen; Stundensätze eingeben</t>
        </is>
      </c>
    </row>
    <row r="1901">
      <c r="A1901" s="4" t="inlineStr">
        <is>
          <t>5818 BWZK-KO-Interimsbau-ITS</t>
        </is>
      </c>
      <c r="B1901" s="4" t="inlineStr">
        <is>
          <t>● 4000-Genehmigungsplanung</t>
        </is>
      </c>
      <c r="C1901" s="9" t="inlineStr">
        <is>
          <t>Unbekannt</t>
        </is>
      </c>
      <c r="D1901" s="10" t="inlineStr">
        <is>
          <t>⚠ Manual erforderlich</t>
        </is>
      </c>
      <c r="E1901" s="11" t="inlineStr"/>
      <c r="F1901" s="11" t="n">
        <v>0</v>
      </c>
      <c r="G1901" s="11">
        <f>E1901-F1901</f>
        <v/>
      </c>
      <c r="H1901" s="11" t="n">
        <v/>
      </c>
      <c r="I1901" s="11" t="n">
        <v/>
      </c>
      <c r="J1901" s="11" t="n">
        <v/>
      </c>
      <c r="K1901" s="4" t="inlineStr">
        <is>
          <t>Abrechnungsart wählen; Stundensätze eingeben</t>
        </is>
      </c>
    </row>
    <row r="1902">
      <c r="A1902" s="4" t="inlineStr">
        <is>
          <t>5818 BWZK-KO-Interimsbau-ITS</t>
        </is>
      </c>
      <c r="B1902" s="4" t="inlineStr">
        <is>
          <t>● 5000-Ausführungsplanung</t>
        </is>
      </c>
      <c r="C1902" s="9" t="inlineStr">
        <is>
          <t>Unbekannt</t>
        </is>
      </c>
      <c r="D1902" s="10" t="inlineStr">
        <is>
          <t>⚠ Manual erforderlich</t>
        </is>
      </c>
      <c r="E1902" s="11" t="inlineStr"/>
      <c r="F1902" s="11" t="n">
        <v>0</v>
      </c>
      <c r="G1902" s="11">
        <f>E1902-F1902</f>
        <v/>
      </c>
      <c r="H1902" s="11" t="n">
        <v/>
      </c>
      <c r="I1902" s="11" t="n">
        <v/>
      </c>
      <c r="J1902" s="11" t="n">
        <v/>
      </c>
      <c r="K1902" s="4" t="inlineStr">
        <is>
          <t>Abrechnungsart wählen; Stundensätze eingeben</t>
        </is>
      </c>
    </row>
    <row r="1903">
      <c r="A1903" s="4" t="inlineStr">
        <is>
          <t>5818 BWZK-KO-Interimsbau-ITS</t>
        </is>
      </c>
      <c r="B1903" s="4" t="inlineStr">
        <is>
          <t>● Beratung LP5 (auf Nachweis)</t>
        </is>
      </c>
      <c r="C1903" s="9" t="inlineStr">
        <is>
          <t>Unbekannt</t>
        </is>
      </c>
      <c r="D1903" s="10" t="inlineStr">
        <is>
          <t>⚠ Manual erforderlich</t>
        </is>
      </c>
      <c r="E1903" s="11" t="inlineStr"/>
      <c r="F1903" s="11" t="n">
        <v>0</v>
      </c>
      <c r="G1903" s="11">
        <f>E1903-F1903</f>
        <v/>
      </c>
      <c r="H1903" s="11" t="n">
        <v/>
      </c>
      <c r="I1903" s="11" t="n">
        <v/>
      </c>
      <c r="J1903" s="11" t="n">
        <v/>
      </c>
      <c r="K1903" s="4" t="inlineStr">
        <is>
          <t>Abrechnungsart wählen; Stundensätze eingeben</t>
        </is>
      </c>
    </row>
    <row r="1904">
      <c r="A1904" s="4" t="inlineStr">
        <is>
          <t>5818 BWZK-KO-Interimsbau-ITS</t>
        </is>
      </c>
      <c r="B1904" s="4" t="inlineStr">
        <is>
          <t>● LP8 Stufe 2 (auf Nachweis)</t>
        </is>
      </c>
      <c r="C1904" s="9" t="inlineStr">
        <is>
          <t>Unbekannt</t>
        </is>
      </c>
      <c r="D1904" s="10" t="inlineStr">
        <is>
          <t>⚠ Manual erforderlich</t>
        </is>
      </c>
      <c r="E1904" s="11" t="inlineStr"/>
      <c r="F1904" s="11" t="n">
        <v>0</v>
      </c>
      <c r="G1904" s="11">
        <f>E1904-F1904</f>
        <v/>
      </c>
      <c r="H1904" s="11" t="n">
        <v/>
      </c>
      <c r="I1904" s="11" t="n">
        <v/>
      </c>
      <c r="J1904" s="11" t="n">
        <v/>
      </c>
      <c r="K1904" s="4" t="inlineStr">
        <is>
          <t>Abrechnungsart wählen; Stundensätze eingeben</t>
        </is>
      </c>
    </row>
    <row r="1905">
      <c r="A1905" s="4" t="inlineStr">
        <is>
          <t>5818 BWZK-KO-Interimsbau-ITS</t>
        </is>
      </c>
      <c r="B1905" s="4" t="inlineStr">
        <is>
          <t>● (aN) Aktualisierung BSP</t>
        </is>
      </c>
      <c r="C1905" s="4" t="inlineStr">
        <is>
          <t>Nachweis</t>
        </is>
      </c>
      <c r="D1905" s="10" t="inlineStr">
        <is>
          <t>⚠ Manual erforderlich</t>
        </is>
      </c>
      <c r="E1905" s="11" t="inlineStr"/>
      <c r="F1905" s="11" t="n">
        <v>0</v>
      </c>
      <c r="G1905" s="11">
        <f>E1905-F1905</f>
        <v/>
      </c>
      <c r="H1905" s="11" t="n">
        <v/>
      </c>
      <c r="I1905" s="11" t="n">
        <v/>
      </c>
      <c r="J1905" s="11" t="n">
        <v/>
      </c>
      <c r="K1905" s="4" t="inlineStr">
        <is>
          <t>Stundensätze eingeben</t>
        </is>
      </c>
    </row>
    <row r="1906">
      <c r="A1906" s="4" t="inlineStr">
        <is>
          <t>5820 Berner-Straße-49-Frankfurt</t>
        </is>
      </c>
      <c r="B1906" s="4" t="inlineStr">
        <is>
          <t>● 2000-Vorplanung</t>
        </is>
      </c>
      <c r="C1906" s="9" t="inlineStr">
        <is>
          <t>Unbekannt</t>
        </is>
      </c>
      <c r="D1906" s="10" t="inlineStr">
        <is>
          <t>⚠ Manual erforderlich</t>
        </is>
      </c>
      <c r="E1906" s="11" t="inlineStr"/>
      <c r="F1906" s="11" t="n">
        <v>0</v>
      </c>
      <c r="G1906" s="11">
        <f>E1906-F1906</f>
        <v/>
      </c>
      <c r="H1906" s="11" t="n">
        <v/>
      </c>
      <c r="I1906" s="11" t="n">
        <v/>
      </c>
      <c r="J1906" s="11" t="n">
        <v/>
      </c>
      <c r="K1906" s="4" t="inlineStr">
        <is>
          <t>Abrechnungsart wählen; Stundensätze eingeben</t>
        </is>
      </c>
    </row>
    <row r="1907">
      <c r="A1907" s="4" t="inlineStr">
        <is>
          <t>5821 Regionaltangente-West-RTW-Frankfurt</t>
        </is>
      </c>
      <c r="B1907" s="4" t="inlineStr">
        <is>
          <t>● 1000-Grundlagenermittlung</t>
        </is>
      </c>
      <c r="C1907" s="9" t="inlineStr">
        <is>
          <t>Unbekannt</t>
        </is>
      </c>
      <c r="D1907" s="10" t="inlineStr">
        <is>
          <t>⚠ Manual erforderlich</t>
        </is>
      </c>
      <c r="E1907" s="11" t="inlineStr"/>
      <c r="F1907" s="11" t="n">
        <v>0</v>
      </c>
      <c r="G1907" s="11">
        <f>E1907-F1907</f>
        <v/>
      </c>
      <c r="H1907" s="11" t="n">
        <v/>
      </c>
      <c r="I1907" s="11" t="n">
        <v/>
      </c>
      <c r="J1907" s="11" t="n">
        <v/>
      </c>
      <c r="K1907" s="4" t="inlineStr">
        <is>
          <t>Abrechnungsart wählen; Stundensätze eingeben</t>
        </is>
      </c>
    </row>
    <row r="1908">
      <c r="A1908" s="4" t="inlineStr">
        <is>
          <t>5821 Regionaltangente-West-RTW-Frankfurt</t>
        </is>
      </c>
      <c r="B1908" s="4" t="inlineStr">
        <is>
          <t>● 2000-Vorplanung</t>
        </is>
      </c>
      <c r="C1908" s="9" t="inlineStr">
        <is>
          <t>Unbekannt</t>
        </is>
      </c>
      <c r="D1908" s="10" t="inlineStr">
        <is>
          <t>⚠ Manual erforderlich</t>
        </is>
      </c>
      <c r="E1908" s="11" t="inlineStr"/>
      <c r="F1908" s="11" t="n">
        <v>0</v>
      </c>
      <c r="G1908" s="11">
        <f>E1908-F1908</f>
        <v/>
      </c>
      <c r="H1908" s="11" t="n">
        <v/>
      </c>
      <c r="I1908" s="11" t="n">
        <v/>
      </c>
      <c r="J1908" s="11" t="n">
        <v/>
      </c>
      <c r="K1908" s="4" t="inlineStr">
        <is>
          <t>Abrechnungsart wählen; Stundensätze eingeben</t>
        </is>
      </c>
    </row>
    <row r="1909">
      <c r="A1909" s="4" t="inlineStr">
        <is>
          <t>5821 Regionaltangente-West-RTW-Frankfurt</t>
        </is>
      </c>
      <c r="B1909" s="4" t="inlineStr">
        <is>
          <t>● 3000-Entwurfsplanung</t>
        </is>
      </c>
      <c r="C1909" s="9" t="inlineStr">
        <is>
          <t>Unbekannt</t>
        </is>
      </c>
      <c r="D1909" s="10" t="inlineStr">
        <is>
          <t>⚠ Manual erforderlich</t>
        </is>
      </c>
      <c r="E1909" s="11" t="inlineStr"/>
      <c r="F1909" s="11" t="n">
        <v>0</v>
      </c>
      <c r="G1909" s="11">
        <f>E1909-F1909</f>
        <v/>
      </c>
      <c r="H1909" s="11" t="n">
        <v/>
      </c>
      <c r="I1909" s="11" t="n">
        <v/>
      </c>
      <c r="J1909" s="11" t="n">
        <v/>
      </c>
      <c r="K1909" s="4" t="inlineStr">
        <is>
          <t>Abrechnungsart wählen; Stundensätze eingeben</t>
        </is>
      </c>
    </row>
    <row r="1910">
      <c r="A1910" s="4" t="inlineStr">
        <is>
          <t>5821 Regionaltangente-West-RTW-Frankfurt</t>
        </is>
      </c>
      <c r="B1910" s="4" t="inlineStr">
        <is>
          <t>● 4000-Genehmigungsplanung</t>
        </is>
      </c>
      <c r="C1910" s="9" t="inlineStr">
        <is>
          <t>Unbekannt</t>
        </is>
      </c>
      <c r="D1910" s="10" t="inlineStr">
        <is>
          <t>⚠ Manual erforderlich</t>
        </is>
      </c>
      <c r="E1910" s="11" t="inlineStr"/>
      <c r="F1910" s="11" t="n">
        <v>0</v>
      </c>
      <c r="G1910" s="11">
        <f>E1910-F1910</f>
        <v/>
      </c>
      <c r="H1910" s="11" t="n">
        <v/>
      </c>
      <c r="I1910" s="11" t="n">
        <v/>
      </c>
      <c r="J1910" s="11" t="n">
        <v/>
      </c>
      <c r="K1910" s="4" t="inlineStr">
        <is>
          <t>Abrechnungsart wählen; Stundensätze eingeben</t>
        </is>
      </c>
    </row>
    <row r="1911">
      <c r="A1911" s="4" t="inlineStr">
        <is>
          <t>5821 Regionaltangente-West-RTW-Frankfurt</t>
        </is>
      </c>
      <c r="B1911" s="4" t="inlineStr">
        <is>
          <t>● 5000-Ausführungsplanung</t>
        </is>
      </c>
      <c r="C1911" s="9" t="inlineStr">
        <is>
          <t>Unbekannt</t>
        </is>
      </c>
      <c r="D1911" s="10" t="inlineStr">
        <is>
          <t>⚠ Manual erforderlich</t>
        </is>
      </c>
      <c r="E1911" s="11" t="inlineStr"/>
      <c r="F1911" s="11" t="n">
        <v>0</v>
      </c>
      <c r="G1911" s="11">
        <f>E1911-F1911</f>
        <v/>
      </c>
      <c r="H1911" s="11" t="n">
        <v/>
      </c>
      <c r="I1911" s="11" t="n">
        <v/>
      </c>
      <c r="J1911" s="11" t="n">
        <v/>
      </c>
      <c r="K1911" s="4" t="inlineStr">
        <is>
          <t>Abrechnungsart wählen; Stundensätze eingeben</t>
        </is>
      </c>
    </row>
    <row r="1912">
      <c r="A1912" s="4" t="inlineStr">
        <is>
          <t>5821 Regionaltangente-West-RTW-Frankfurt</t>
        </is>
      </c>
      <c r="B1912" s="4" t="inlineStr">
        <is>
          <t>● 6000-Vorbereiten der Vergabe</t>
        </is>
      </c>
      <c r="C1912" s="9" t="inlineStr">
        <is>
          <t>Unbekannt</t>
        </is>
      </c>
      <c r="D1912" s="10" t="inlineStr">
        <is>
          <t>⚠ Manual erforderlich</t>
        </is>
      </c>
      <c r="E1912" s="11" t="inlineStr"/>
      <c r="F1912" s="11" t="n">
        <v>0</v>
      </c>
      <c r="G1912" s="11">
        <f>E1912-F1912</f>
        <v/>
      </c>
      <c r="H1912" s="11" t="n">
        <v/>
      </c>
      <c r="I1912" s="11" t="n">
        <v/>
      </c>
      <c r="J1912" s="11" t="n">
        <v/>
      </c>
      <c r="K1912" s="4" t="inlineStr">
        <is>
          <t>Abrechnungsart wählen; Stundensätze eingeben</t>
        </is>
      </c>
    </row>
    <row r="1913">
      <c r="A1913" s="4" t="inlineStr">
        <is>
          <t>5821 Regionaltangente-West-RTW-Frankfurt</t>
        </is>
      </c>
      <c r="B1913" s="4" t="inlineStr">
        <is>
          <t>● 7000-Mitwirkung bei der Vergabe</t>
        </is>
      </c>
      <c r="C1913" s="9" t="inlineStr">
        <is>
          <t>Unbekannt</t>
        </is>
      </c>
      <c r="D1913" s="10" t="inlineStr">
        <is>
          <t>⚠ Manual erforderlich</t>
        </is>
      </c>
      <c r="E1913" s="11" t="inlineStr"/>
      <c r="F1913" s="11" t="n">
        <v>0</v>
      </c>
      <c r="G1913" s="11">
        <f>E1913-F1913</f>
        <v/>
      </c>
      <c r="H1913" s="11" t="n">
        <v/>
      </c>
      <c r="I1913" s="11" t="n">
        <v/>
      </c>
      <c r="J1913" s="11" t="n">
        <v/>
      </c>
      <c r="K1913" s="4" t="inlineStr">
        <is>
          <t>Abrechnungsart wählen; Stundensätze eingeben</t>
        </is>
      </c>
    </row>
    <row r="1914">
      <c r="A1914" s="4" t="inlineStr">
        <is>
          <t>5824.02 BST-TK-Raum-Hbf-Hanau-DBOS</t>
        </is>
      </c>
      <c r="B1914" s="4" t="inlineStr">
        <is>
          <t>●  (p.) BST TK-Raum</t>
        </is>
      </c>
      <c r="C1914" s="9" t="inlineStr">
        <is>
          <t>Unbekannt</t>
        </is>
      </c>
      <c r="D1914" s="10" t="inlineStr">
        <is>
          <t>⚠ Manual erforderlich</t>
        </is>
      </c>
      <c r="E1914" s="11" t="inlineStr"/>
      <c r="F1914" s="11" t="n">
        <v>0</v>
      </c>
      <c r="G1914" s="11">
        <f>E1914-F1914</f>
        <v/>
      </c>
      <c r="H1914" s="11" t="n">
        <v/>
      </c>
      <c r="I1914" s="11" t="n">
        <v/>
      </c>
      <c r="J1914" s="11" t="n">
        <v/>
      </c>
      <c r="K1914" s="4" t="inlineStr">
        <is>
          <t>Abrechnungsart wählen; Stundensätze eingeben</t>
        </is>
      </c>
    </row>
    <row r="1915">
      <c r="A1915" s="4" t="inlineStr">
        <is>
          <t>5824.02 BST-TK-Raum-Hbf-Hanau-DBOS</t>
        </is>
      </c>
      <c r="B1915" s="4" t="inlineStr">
        <is>
          <t>● (p.) Ortstermin</t>
        </is>
      </c>
      <c r="C1915" s="9" t="inlineStr">
        <is>
          <t>Unbekannt</t>
        </is>
      </c>
      <c r="D1915" s="10" t="inlineStr">
        <is>
          <t>⚠ Manual erforderlich</t>
        </is>
      </c>
      <c r="E1915" s="11" t="inlineStr"/>
      <c r="F1915" s="11" t="n">
        <v>0</v>
      </c>
      <c r="G1915" s="11">
        <f>E1915-F1915</f>
        <v/>
      </c>
      <c r="H1915" s="11" t="n">
        <v/>
      </c>
      <c r="I1915" s="11" t="n">
        <v/>
      </c>
      <c r="J1915" s="11" t="n">
        <v/>
      </c>
      <c r="K1915" s="4" t="inlineStr">
        <is>
          <t>Abrechnungsart wählen; Stundensätze eingeben</t>
        </is>
      </c>
    </row>
    <row r="1916">
      <c r="A1916" s="4" t="inlineStr">
        <is>
          <t>5824.02 BST-TK-Raum-Hbf-Hanau-DBOS</t>
        </is>
      </c>
      <c r="B1916" s="4" t="inlineStr">
        <is>
          <t>● (a.N.) Prüfung Aufführungsplanung</t>
        </is>
      </c>
      <c r="C1916" s="4" t="inlineStr">
        <is>
          <t>Nachweis</t>
        </is>
      </c>
      <c r="D1916" s="10" t="inlineStr">
        <is>
          <t>⚠ Manual erforderlich</t>
        </is>
      </c>
      <c r="E1916" s="11" t="inlineStr"/>
      <c r="F1916" s="11" t="n">
        <v>0</v>
      </c>
      <c r="G1916" s="11">
        <f>E1916-F1916</f>
        <v/>
      </c>
      <c r="H1916" s="11" t="n">
        <v/>
      </c>
      <c r="I1916" s="11" t="n">
        <v/>
      </c>
      <c r="J1916" s="11" t="n">
        <v/>
      </c>
      <c r="K1916" s="4" t="inlineStr">
        <is>
          <t>Stundensätze eingeben</t>
        </is>
      </c>
    </row>
    <row r="1917">
      <c r="A1917" s="4" t="inlineStr">
        <is>
          <t>5825 Deutsche-Funkturm-Ginnheimer-Stadtweg-90-Frankfurt-Europaturm</t>
        </is>
      </c>
      <c r="B1917" s="4" t="inlineStr">
        <is>
          <t>● 2000-Vorplanung</t>
        </is>
      </c>
      <c r="C1917" s="9" t="inlineStr">
        <is>
          <t>Unbekannt</t>
        </is>
      </c>
      <c r="D1917" s="10" t="inlineStr">
        <is>
          <t>⚠ Manual erforderlich</t>
        </is>
      </c>
      <c r="E1917" s="11" t="inlineStr"/>
      <c r="F1917" s="11" t="n">
        <v>0</v>
      </c>
      <c r="G1917" s="11">
        <f>E1917-F1917</f>
        <v/>
      </c>
      <c r="H1917" s="11" t="n">
        <v/>
      </c>
      <c r="I1917" s="11" t="n">
        <v/>
      </c>
      <c r="J1917" s="11" t="n">
        <v/>
      </c>
      <c r="K1917" s="4" t="inlineStr">
        <is>
          <t>Abrechnungsart wählen; Stundensätze eingeben</t>
        </is>
      </c>
    </row>
    <row r="1918">
      <c r="A1918" s="4" t="inlineStr">
        <is>
          <t>5825 Deutsche-Funkturm-Ginnheimer-Stadtweg-90-Frankfurt-Europaturm</t>
        </is>
      </c>
      <c r="B1918" s="4" t="inlineStr">
        <is>
          <t>● 3000-Entwurfsplanung</t>
        </is>
      </c>
      <c r="C1918" s="9" t="inlineStr">
        <is>
          <t>Unbekannt</t>
        </is>
      </c>
      <c r="D1918" s="10" t="inlineStr">
        <is>
          <t>⚠ Manual erforderlich</t>
        </is>
      </c>
      <c r="E1918" s="11" t="inlineStr"/>
      <c r="F1918" s="11" t="n">
        <v>0</v>
      </c>
      <c r="G1918" s="11">
        <f>E1918-F1918</f>
        <v/>
      </c>
      <c r="H1918" s="11" t="n">
        <v/>
      </c>
      <c r="I1918" s="11" t="n">
        <v/>
      </c>
      <c r="J1918" s="11" t="n">
        <v/>
      </c>
      <c r="K1918" s="4" t="inlineStr">
        <is>
          <t>Abrechnungsart wählen; Stundensätze eingeben</t>
        </is>
      </c>
    </row>
    <row r="1919">
      <c r="A1919" s="4" t="inlineStr">
        <is>
          <t>5825 Deutsche-Funkturm-Ginnheimer-Stadtweg-90-Frankfurt-Europaturm</t>
        </is>
      </c>
      <c r="B1919" s="4" t="inlineStr">
        <is>
          <t>● 4000-Genehmigungsplanung</t>
        </is>
      </c>
      <c r="C1919" s="9" t="inlineStr">
        <is>
          <t>Unbekannt</t>
        </is>
      </c>
      <c r="D1919" s="10" t="inlineStr">
        <is>
          <t>⚠ Manual erforderlich</t>
        </is>
      </c>
      <c r="E1919" s="11" t="inlineStr"/>
      <c r="F1919" s="11" t="n">
        <v>0</v>
      </c>
      <c r="G1919" s="11">
        <f>E1919-F1919</f>
        <v/>
      </c>
      <c r="H1919" s="11" t="n">
        <v/>
      </c>
      <c r="I1919" s="11" t="n">
        <v/>
      </c>
      <c r="J1919" s="11" t="n">
        <v/>
      </c>
      <c r="K1919" s="4" t="inlineStr">
        <is>
          <t>Abrechnungsart wählen; Stundensätze eingeben</t>
        </is>
      </c>
    </row>
    <row r="1920">
      <c r="A1920" s="4" t="inlineStr">
        <is>
          <t>5825 Deutsche-Funkturm-Ginnheimer-Stadtweg-90-Frankfurt-Europaturm</t>
        </is>
      </c>
      <c r="B1920" s="4" t="inlineStr">
        <is>
          <t>● 5000-Ausführungsplanung</t>
        </is>
      </c>
      <c r="C1920" s="9" t="inlineStr">
        <is>
          <t>Unbekannt</t>
        </is>
      </c>
      <c r="D1920" s="10" t="inlineStr">
        <is>
          <t>⚠ Manual erforderlich</t>
        </is>
      </c>
      <c r="E1920" s="11" t="inlineStr"/>
      <c r="F1920" s="11" t="n">
        <v>0</v>
      </c>
      <c r="G1920" s="11">
        <f>E1920-F1920</f>
        <v/>
      </c>
      <c r="H1920" s="11" t="n">
        <v/>
      </c>
      <c r="I1920" s="11" t="n">
        <v/>
      </c>
      <c r="J1920" s="11" t="n">
        <v/>
      </c>
      <c r="K1920" s="4" t="inlineStr">
        <is>
          <t>Abrechnungsart wählen; Stundensätze eingeben</t>
        </is>
      </c>
    </row>
    <row r="1921">
      <c r="A1921" s="4" t="inlineStr">
        <is>
          <t>5825 Deutsche-Funkturm-Ginnheimer-Stadtweg-90-Frankfurt-Europaturm</t>
        </is>
      </c>
      <c r="B1921" s="4" t="inlineStr">
        <is>
          <t>● 8000-Objektüberwachung</t>
        </is>
      </c>
      <c r="C1921" s="9" t="inlineStr">
        <is>
          <t>Unbekannt</t>
        </is>
      </c>
      <c r="D1921" s="10" t="inlineStr">
        <is>
          <t>⚠ Manual erforderlich</t>
        </is>
      </c>
      <c r="E1921" s="11" t="inlineStr"/>
      <c r="F1921" s="11" t="n">
        <v>0</v>
      </c>
      <c r="G1921" s="11">
        <f>E1921-F1921</f>
        <v/>
      </c>
      <c r="H1921" s="11" t="n">
        <v/>
      </c>
      <c r="I1921" s="11" t="n">
        <v/>
      </c>
      <c r="J1921" s="11" t="n">
        <v/>
      </c>
      <c r="K1921" s="4" t="inlineStr">
        <is>
          <t>Abrechnungsart wählen; Stundensätze eingeben</t>
        </is>
      </c>
    </row>
    <row r="1922">
      <c r="A1922" s="4" t="inlineStr">
        <is>
          <t>5825.01 MBS-Deutsche-Funkturm-Ginnheimer-Stadtweg-90-Frankfurt-Europaturm</t>
        </is>
      </c>
      <c r="B1922" s="4" t="inlineStr">
        <is>
          <t>● 3000-Entwurfsplanung</t>
        </is>
      </c>
      <c r="C1922" s="9" t="inlineStr">
        <is>
          <t>Unbekannt</t>
        </is>
      </c>
      <c r="D1922" s="10" t="inlineStr">
        <is>
          <t>⚠ Manual erforderlich</t>
        </is>
      </c>
      <c r="E1922" s="11" t="inlineStr"/>
      <c r="F1922" s="11" t="n">
        <v>0</v>
      </c>
      <c r="G1922" s="11">
        <f>E1922-F1922</f>
        <v/>
      </c>
      <c r="H1922" s="11" t="n">
        <v/>
      </c>
      <c r="I1922" s="11" t="n">
        <v/>
      </c>
      <c r="J1922" s="11" t="n">
        <v/>
      </c>
      <c r="K1922" s="4" t="inlineStr">
        <is>
          <t>Abrechnungsart wählen; Stundensätze eingeben</t>
        </is>
      </c>
    </row>
    <row r="1923">
      <c r="A1923" s="4" t="inlineStr">
        <is>
          <t>5825.01 MBS-Deutsche-Funkturm-Ginnheimer-Stadtweg-90-Frankfurt-Europaturm</t>
        </is>
      </c>
      <c r="B1923" s="4" t="inlineStr">
        <is>
          <t>● 4000-Genehmigungsplanung</t>
        </is>
      </c>
      <c r="C1923" s="9" t="inlineStr">
        <is>
          <t>Unbekannt</t>
        </is>
      </c>
      <c r="D1923" s="10" t="inlineStr">
        <is>
          <t>⚠ Manual erforderlich</t>
        </is>
      </c>
      <c r="E1923" s="11" t="inlineStr"/>
      <c r="F1923" s="11" t="n">
        <v>0</v>
      </c>
      <c r="G1923" s="11">
        <f>E1923-F1923</f>
        <v/>
      </c>
      <c r="H1923" s="11" t="n">
        <v/>
      </c>
      <c r="I1923" s="11" t="n">
        <v/>
      </c>
      <c r="J1923" s="11" t="n">
        <v/>
      </c>
      <c r="K1923" s="4" t="inlineStr">
        <is>
          <t>Abrechnungsart wählen; Stundensätze eingeben</t>
        </is>
      </c>
    </row>
    <row r="1924">
      <c r="A1924" s="4" t="inlineStr">
        <is>
          <t>5825.01 MBS-Deutsche-Funkturm-Ginnheimer-Stadtweg-90-Frankfurt-Europaturm</t>
        </is>
      </c>
      <c r="B1924" s="4" t="inlineStr">
        <is>
          <t>● Veranstaltungen SIK</t>
        </is>
      </c>
      <c r="C1924" s="9" t="inlineStr">
        <is>
          <t>Unbekannt</t>
        </is>
      </c>
      <c r="D1924" s="10" t="inlineStr">
        <is>
          <t>⚠ Manual erforderlich</t>
        </is>
      </c>
      <c r="E1924" s="11" t="inlineStr"/>
      <c r="F1924" s="11" t="n">
        <v>0</v>
      </c>
      <c r="G1924" s="11">
        <f>E1924-F1924</f>
        <v/>
      </c>
      <c r="H1924" s="11" t="n">
        <v/>
      </c>
      <c r="I1924" s="11" t="n">
        <v/>
      </c>
      <c r="J1924" s="11" t="n">
        <v/>
      </c>
      <c r="K1924" s="4" t="inlineStr">
        <is>
          <t>Abrechnungsart wählen; Stundensätze eingeben</t>
        </is>
      </c>
    </row>
    <row r="1925">
      <c r="A1925" s="4" t="inlineStr">
        <is>
          <t>5825.02 BTB-FW-Aufzug-Deutsche-Funkturm-Ginnheimer-Stadtweg-90-Frankfurt-Europaturm</t>
        </is>
      </c>
      <c r="B1925" s="4" t="inlineStr">
        <is>
          <t>● 2000-Vorplanung</t>
        </is>
      </c>
      <c r="C1925" s="9" t="inlineStr">
        <is>
          <t>Unbekannt</t>
        </is>
      </c>
      <c r="D1925" s="10" t="inlineStr">
        <is>
          <t>⚠ Manual erforderlich</t>
        </is>
      </c>
      <c r="E1925" s="11" t="inlineStr"/>
      <c r="F1925" s="11" t="n">
        <v>0</v>
      </c>
      <c r="G1925" s="11">
        <f>E1925-F1925</f>
        <v/>
      </c>
      <c r="H1925" s="11" t="n">
        <v/>
      </c>
      <c r="I1925" s="11" t="n">
        <v/>
      </c>
      <c r="J1925" s="11" t="n">
        <v/>
      </c>
      <c r="K1925" s="4" t="inlineStr">
        <is>
          <t>Abrechnungsart wählen; Stundensätze eingeben</t>
        </is>
      </c>
    </row>
    <row r="1926">
      <c r="A1926" s="4" t="inlineStr">
        <is>
          <t>5825.03 SIK-Deutsche-Funkturm-Ginnheimer-Stadtweg-90-Frankfurt-Europaturm</t>
        </is>
      </c>
      <c r="B1926" s="4" t="inlineStr">
        <is>
          <t>● Sicherheitskonzept Bauzeit (auf Nachweis)</t>
        </is>
      </c>
      <c r="C1926" s="9" t="inlineStr">
        <is>
          <t>Unbekannt</t>
        </is>
      </c>
      <c r="D1926" s="10" t="inlineStr">
        <is>
          <t>⚠ Manual erforderlich</t>
        </is>
      </c>
      <c r="E1926" s="11" t="inlineStr"/>
      <c r="F1926" s="11" t="n">
        <v>0</v>
      </c>
      <c r="G1926" s="11">
        <f>E1926-F1926</f>
        <v/>
      </c>
      <c r="H1926" s="11" t="n">
        <v/>
      </c>
      <c r="I1926" s="11" t="n">
        <v/>
      </c>
      <c r="J1926" s="11" t="n">
        <v/>
      </c>
      <c r="K1926" s="4" t="inlineStr">
        <is>
          <t>Abrechnungsart wählen; Stundensätze eingeben</t>
        </is>
      </c>
    </row>
    <row r="1927">
      <c r="A1927" s="4" t="inlineStr">
        <is>
          <t>5825.03 SIK-Deutsche-Funkturm-Ginnheimer-Stadtweg-90-Frankfurt-Europaturm</t>
        </is>
      </c>
      <c r="B1927" s="4" t="inlineStr">
        <is>
          <t>● Visualisierung Sicherheitskonzept (auf Nachweis)</t>
        </is>
      </c>
      <c r="C1927" s="9" t="inlineStr">
        <is>
          <t>Unbekannt</t>
        </is>
      </c>
      <c r="D1927" s="10" t="inlineStr">
        <is>
          <t>⚠ Manual erforderlich</t>
        </is>
      </c>
      <c r="E1927" s="11" t="inlineStr"/>
      <c r="F1927" s="11" t="n">
        <v>0</v>
      </c>
      <c r="G1927" s="11">
        <f>E1927-F1927</f>
        <v/>
      </c>
      <c r="H1927" s="11" t="n">
        <v/>
      </c>
      <c r="I1927" s="11" t="n">
        <v/>
      </c>
      <c r="J1927" s="11" t="n">
        <v/>
      </c>
      <c r="K1927" s="4" t="inlineStr">
        <is>
          <t>Abrechnungsart wählen; Stundensätze eingeben</t>
        </is>
      </c>
    </row>
    <row r="1928">
      <c r="A1928" s="4" t="inlineStr">
        <is>
          <t>5825.04 LP5-8-Europaturm-Turmgebäude-Ffm</t>
        </is>
      </c>
      <c r="B1928" s="4" t="inlineStr">
        <is>
          <t>● () LP 5-8</t>
        </is>
      </c>
      <c r="C1928" s="9" t="inlineStr">
        <is>
          <t>Unbekannt</t>
        </is>
      </c>
      <c r="D1928" s="10" t="inlineStr">
        <is>
          <t>⚠ Manual erforderlich</t>
        </is>
      </c>
      <c r="E1928" s="11" t="inlineStr"/>
      <c r="F1928" s="11" t="n">
        <v>0</v>
      </c>
      <c r="G1928" s="11">
        <f>E1928-F1928</f>
        <v/>
      </c>
      <c r="H1928" s="11" t="n">
        <v/>
      </c>
      <c r="I1928" s="11" t="n">
        <v/>
      </c>
      <c r="J1928" s="11" t="n">
        <v/>
      </c>
      <c r="K1928" s="4" t="inlineStr">
        <is>
          <t>Abrechnungsart wählen; Stundensätze eingeben</t>
        </is>
      </c>
    </row>
    <row r="1929">
      <c r="A1929" s="4" t="inlineStr">
        <is>
          <t>5826.01 BSK-Am-Weißen-Berg-3-5-Kronberg</t>
        </is>
      </c>
      <c r="B1929" s="4" t="inlineStr">
        <is>
          <t>● BSK (pauschal)</t>
        </is>
      </c>
      <c r="C1929" s="9" t="inlineStr">
        <is>
          <t>Unbekannt</t>
        </is>
      </c>
      <c r="D1929" s="10" t="inlineStr">
        <is>
          <t>⚠ Manual erforderlich</t>
        </is>
      </c>
      <c r="E1929" s="11" t="inlineStr"/>
      <c r="F1929" s="11" t="n">
        <v>0</v>
      </c>
      <c r="G1929" s="11">
        <f>E1929-F1929</f>
        <v/>
      </c>
      <c r="H1929" s="11" t="n">
        <v/>
      </c>
      <c r="I1929" s="11" t="n">
        <v/>
      </c>
      <c r="J1929" s="11" t="n">
        <v/>
      </c>
      <c r="K1929" s="4" t="inlineStr">
        <is>
          <t>Abrechnungsart wählen; Stundensätze eingeben</t>
        </is>
      </c>
    </row>
    <row r="1930">
      <c r="A1930" s="4" t="inlineStr">
        <is>
          <t>5826.01 BSK-Am-Weißen-Berg-3-5-Kronberg</t>
        </is>
      </c>
      <c r="B1930" s="4" t="inlineStr">
        <is>
          <t>● BSK-Pläne (pauschal)</t>
        </is>
      </c>
      <c r="C1930" s="9" t="inlineStr">
        <is>
          <t>Unbekannt</t>
        </is>
      </c>
      <c r="D1930" s="10" t="inlineStr">
        <is>
          <t>⚠ Manual erforderlich</t>
        </is>
      </c>
      <c r="E1930" s="11" t="inlineStr"/>
      <c r="F1930" s="11" t="n">
        <v>0</v>
      </c>
      <c r="G1930" s="11">
        <f>E1930-F1930</f>
        <v/>
      </c>
      <c r="H1930" s="11" t="n">
        <v/>
      </c>
      <c r="I1930" s="11" t="n">
        <v/>
      </c>
      <c r="J1930" s="11" t="n">
        <v/>
      </c>
      <c r="K1930" s="4" t="inlineStr">
        <is>
          <t>Abrechnungsart wählen; Stundensätze eingeben</t>
        </is>
      </c>
    </row>
    <row r="1931">
      <c r="A1931" s="4" t="inlineStr">
        <is>
          <t>5826.01 BSK-Am-Weißen-Berg-3-5-Kronberg</t>
        </is>
      </c>
      <c r="B1931" s="4" t="inlineStr">
        <is>
          <t>● Baubegleitung (auf Nachweis)</t>
        </is>
      </c>
      <c r="C1931" s="9" t="inlineStr">
        <is>
          <t>Unbekannt</t>
        </is>
      </c>
      <c r="D1931" s="10" t="inlineStr">
        <is>
          <t>⚠ Manual erforderlich</t>
        </is>
      </c>
      <c r="E1931" s="11" t="inlineStr"/>
      <c r="F1931" s="11" t="n">
        <v>0</v>
      </c>
      <c r="G1931" s="11">
        <f>E1931-F1931</f>
        <v/>
      </c>
      <c r="H1931" s="11" t="n">
        <v/>
      </c>
      <c r="I1931" s="11" t="n">
        <v/>
      </c>
      <c r="J1931" s="11" t="n">
        <v/>
      </c>
      <c r="K1931" s="4" t="inlineStr">
        <is>
          <t>Abrechnungsart wählen; Stundensätze eingeben</t>
        </is>
      </c>
    </row>
    <row r="1932">
      <c r="A1932" s="4" t="inlineStr">
        <is>
          <t>5826.01 BSK-Am-Weißen-Berg-3-5-Kronberg</t>
        </is>
      </c>
      <c r="B1932" s="4" t="inlineStr">
        <is>
          <t>● 0001-Berater</t>
        </is>
      </c>
      <c r="C1932" s="9" t="inlineStr">
        <is>
          <t>Unbekannt</t>
        </is>
      </c>
      <c r="D1932" s="10" t="inlineStr">
        <is>
          <t>⚠ Manual erforderlich</t>
        </is>
      </c>
      <c r="E1932" s="11" t="inlineStr"/>
      <c r="F1932" s="11" t="n">
        <v>0</v>
      </c>
      <c r="G1932" s="11">
        <f>E1932-F1932</f>
        <v/>
      </c>
      <c r="H1932" s="11" t="n">
        <v/>
      </c>
      <c r="I1932" s="11" t="n">
        <v/>
      </c>
      <c r="J1932" s="11" t="n">
        <v/>
      </c>
      <c r="K1932" s="4" t="inlineStr">
        <is>
          <t>Abrechnungsart wählen; Stundensätze eingeben</t>
        </is>
      </c>
    </row>
    <row r="1933">
      <c r="A1933" s="4" t="inlineStr">
        <is>
          <t>5826.02 BTB-Am-Weißen-Berg-3-5-Kronberg</t>
        </is>
      </c>
      <c r="B1933" s="4" t="inlineStr">
        <is>
          <t>● (a.N.) Brandschutztechnische Beratung</t>
        </is>
      </c>
      <c r="C1933" s="4" t="inlineStr">
        <is>
          <t>Nachweis</t>
        </is>
      </c>
      <c r="D1933" s="10" t="inlineStr">
        <is>
          <t>⚠ Manual erforderlich</t>
        </is>
      </c>
      <c r="E1933" s="11" t="inlineStr"/>
      <c r="F1933" s="11" t="n">
        <v>0</v>
      </c>
      <c r="G1933" s="11">
        <f>E1933-F1933</f>
        <v/>
      </c>
      <c r="H1933" s="11" t="n">
        <v/>
      </c>
      <c r="I1933" s="11" t="n">
        <v/>
      </c>
      <c r="J1933" s="11" t="n">
        <v/>
      </c>
      <c r="K1933" s="4" t="inlineStr">
        <is>
          <t>Stundensätze eingeben</t>
        </is>
      </c>
    </row>
    <row r="1934">
      <c r="A1934" s="4" t="inlineStr">
        <is>
          <t>5829.02 JUWI-Anp-BSK-WP-Hellenthal-Wiesenhardt</t>
        </is>
      </c>
      <c r="B1934" s="4" t="inlineStr">
        <is>
          <t>● (p) Anpassung BSK (gem. Rahmenvertrag)</t>
        </is>
      </c>
      <c r="C1934" s="4" t="inlineStr">
        <is>
          <t>Pauschale</t>
        </is>
      </c>
      <c r="D1934" s="10" t="inlineStr">
        <is>
          <t>⚠ Manual erforderlich</t>
        </is>
      </c>
      <c r="E1934" s="11" t="inlineStr"/>
      <c r="F1934" s="11" t="n">
        <v>0</v>
      </c>
      <c r="G1934" s="11">
        <f>E1934-F1934</f>
        <v/>
      </c>
      <c r="H1934" s="11" t="n">
        <v>0</v>
      </c>
      <c r="I1934" s="11" t="n">
        <v>0</v>
      </c>
      <c r="J1934" s="11" t="n">
        <v>0</v>
      </c>
      <c r="K1934" s="4" t="inlineStr">
        <is>
          <t>Stundensätze eingeben</t>
        </is>
      </c>
    </row>
    <row r="1935">
      <c r="A1935" s="4" t="inlineStr">
        <is>
          <t>5831.03 BMK-ISS-Ginnheimer-2-Stadtweg-90-Frankfurt-Europaturm</t>
        </is>
      </c>
      <c r="B1935" s="4" t="inlineStr">
        <is>
          <t>● (a.N.) Pos.1 Prüfung Brandfallmatrix</t>
        </is>
      </c>
      <c r="C1935" s="4" t="inlineStr">
        <is>
          <t>Nachweis</t>
        </is>
      </c>
      <c r="D1935" s="10" t="inlineStr">
        <is>
          <t>⚠ Manual erforderlich</t>
        </is>
      </c>
      <c r="E1935" s="11" t="inlineStr"/>
      <c r="F1935" s="11" t="n">
        <v>0</v>
      </c>
      <c r="G1935" s="11">
        <f>E1935-F1935</f>
        <v/>
      </c>
      <c r="H1935" s="11" t="n">
        <v/>
      </c>
      <c r="I1935" s="11" t="n">
        <v/>
      </c>
      <c r="J1935" s="11" t="n">
        <v/>
      </c>
      <c r="K1935" s="4" t="inlineStr">
        <is>
          <t>Stundensätze eingeben</t>
        </is>
      </c>
    </row>
    <row r="1936">
      <c r="A1936" s="4" t="inlineStr">
        <is>
          <t>5831.03 BMK-ISS-Ginnheimer-2-Stadtweg-90-Frankfurt-Europaturm</t>
        </is>
      </c>
      <c r="B1936" s="4" t="inlineStr">
        <is>
          <t>● (a.N.) Pos.2 Ortstermine</t>
        </is>
      </c>
      <c r="C1936" s="4" t="inlineStr">
        <is>
          <t>Nachweis</t>
        </is>
      </c>
      <c r="D1936" s="10" t="inlineStr">
        <is>
          <t>⚠ Manual erforderlich</t>
        </is>
      </c>
      <c r="E1936" s="11" t="inlineStr"/>
      <c r="F1936" s="11" t="n">
        <v>0</v>
      </c>
      <c r="G1936" s="11">
        <f>E1936-F1936</f>
        <v/>
      </c>
      <c r="H1936" s="11" t="n">
        <v/>
      </c>
      <c r="I1936" s="11" t="n">
        <v/>
      </c>
      <c r="J1936" s="11" t="n">
        <v/>
      </c>
      <c r="K1936" s="4" t="inlineStr">
        <is>
          <t>Stundensätze eingeben</t>
        </is>
      </c>
    </row>
    <row r="1937">
      <c r="A1937" s="4" t="inlineStr">
        <is>
          <t>5831.04 Telekom-BTB-Ginnheimer-Stadtweg-90-Frankfurt-Europaturm</t>
        </is>
      </c>
      <c r="B1937" s="4" t="inlineStr">
        <is>
          <t>● (a.N.) Pos.1 BTB zum Abgleich IST-Situation mit genehm. BSK</t>
        </is>
      </c>
      <c r="C1937" s="4" t="inlineStr">
        <is>
          <t>Nachweis</t>
        </is>
      </c>
      <c r="D1937" s="10" t="inlineStr">
        <is>
          <t>⚠ Manual erforderlich</t>
        </is>
      </c>
      <c r="E1937" s="11" t="inlineStr"/>
      <c r="F1937" s="11" t="n">
        <v>0</v>
      </c>
      <c r="G1937" s="11">
        <f>E1937-F1937</f>
        <v/>
      </c>
      <c r="H1937" s="11" t="n">
        <v/>
      </c>
      <c r="I1937" s="11" t="n">
        <v/>
      </c>
      <c r="J1937" s="11" t="n">
        <v/>
      </c>
      <c r="K1937" s="4" t="inlineStr">
        <is>
          <t>Stundensätze eingeben</t>
        </is>
      </c>
    </row>
    <row r="1938">
      <c r="A1938" s="4" t="inlineStr">
        <is>
          <t>5831.04 Telekom-BTB-Ginnheimer-Stadtweg-90-Frankfurt-Europaturm</t>
        </is>
      </c>
      <c r="B1938" s="4" t="inlineStr">
        <is>
          <t>● (aN) Pos.1 BTB zur Ausführung v.Brandschutzmaßnahmen, Bewertung / Vorschläge v.Alternativlösungen</t>
        </is>
      </c>
      <c r="C1938" s="4" t="inlineStr">
        <is>
          <t>Nachweis</t>
        </is>
      </c>
      <c r="D1938" s="10" t="inlineStr">
        <is>
          <t>⚠ Manual erforderlich</t>
        </is>
      </c>
      <c r="E1938" s="11" t="inlineStr"/>
      <c r="F1938" s="11" t="n">
        <v>0</v>
      </c>
      <c r="G1938" s="11">
        <f>E1938-F1938</f>
        <v/>
      </c>
      <c r="H1938" s="11" t="n">
        <v/>
      </c>
      <c r="I1938" s="11" t="n">
        <v/>
      </c>
      <c r="J1938" s="11" t="n">
        <v/>
      </c>
      <c r="K1938" s="4" t="inlineStr">
        <is>
          <t>Stundensätze eingeben</t>
        </is>
      </c>
    </row>
    <row r="1939">
      <c r="A1939" s="4" t="inlineStr">
        <is>
          <t>5834.041 (eh.7262) Fuchs-FWP-FUR-Werner-Heisenberg-Str1-Kaiserslautern</t>
        </is>
      </c>
      <c r="B1939" s="4" t="inlineStr">
        <is>
          <t>● (aN) Pos. 1 Feuerwehrpläne</t>
        </is>
      </c>
      <c r="C1939" s="4" t="inlineStr">
        <is>
          <t>Nachweis</t>
        </is>
      </c>
      <c r="D1939" s="10" t="inlineStr">
        <is>
          <t>⚠ Manual erforderlich</t>
        </is>
      </c>
      <c r="E1939" s="11" t="inlineStr"/>
      <c r="F1939" s="11" t="n">
        <v>0</v>
      </c>
      <c r="G1939" s="11">
        <f>E1939-F1939</f>
        <v/>
      </c>
      <c r="H1939" s="11" t="n">
        <v/>
      </c>
      <c r="I1939" s="11" t="n">
        <v/>
      </c>
      <c r="J1939" s="11" t="n">
        <v/>
      </c>
      <c r="K1939" s="4" t="inlineStr">
        <is>
          <t>Stundensätze eingeben</t>
        </is>
      </c>
    </row>
    <row r="1940">
      <c r="A1940" s="4" t="inlineStr">
        <is>
          <t>5834.041 (eh.7262) Fuchs-FWP-FUR-Werner-Heisenberg-Str1-Kaiserslautern</t>
        </is>
      </c>
      <c r="B1940" s="4" t="inlineStr">
        <is>
          <t>● (p) Pos. 2 Flucht- und Rettungspläne</t>
        </is>
      </c>
      <c r="C1940" s="4" t="inlineStr">
        <is>
          <t>Pauschale</t>
        </is>
      </c>
      <c r="D1940" s="10" t="inlineStr">
        <is>
          <t>⚠ Manual erforderlich</t>
        </is>
      </c>
      <c r="E1940" s="11" t="inlineStr"/>
      <c r="F1940" s="11" t="n">
        <v>0</v>
      </c>
      <c r="G1940" s="11">
        <f>E1940-F1940</f>
        <v/>
      </c>
      <c r="H1940" s="11" t="n">
        <v>0</v>
      </c>
      <c r="I1940" s="11" t="n">
        <v>0</v>
      </c>
      <c r="J1940" s="11" t="n">
        <v>0</v>
      </c>
      <c r="K1940" s="4" t="inlineStr">
        <is>
          <t>Stundensätze eingeben</t>
        </is>
      </c>
    </row>
    <row r="1941">
      <c r="A1941" s="4" t="inlineStr">
        <is>
          <t>5834.05 BST-Werner-Heisenberg-Straße-1-Kaiserslautern</t>
        </is>
      </c>
      <c r="B1941" s="4" t="inlineStr">
        <is>
          <t>● BTB a.N.</t>
        </is>
      </c>
      <c r="C1941" s="9" t="inlineStr">
        <is>
          <t>Unbekannt</t>
        </is>
      </c>
      <c r="D1941" s="10" t="inlineStr">
        <is>
          <t>⚠ Manual erforderlich</t>
        </is>
      </c>
      <c r="E1941" s="11" t="inlineStr"/>
      <c r="F1941" s="11" t="n">
        <v>0</v>
      </c>
      <c r="G1941" s="11">
        <f>E1941-F1941</f>
        <v/>
      </c>
      <c r="H1941" s="11" t="n">
        <v/>
      </c>
      <c r="I1941" s="11" t="n">
        <v/>
      </c>
      <c r="J1941" s="11" t="n">
        <v/>
      </c>
      <c r="K1941" s="4" t="inlineStr">
        <is>
          <t>Abrechnungsart wählen; Stundensätze eingeben</t>
        </is>
      </c>
    </row>
    <row r="1942">
      <c r="A1942" s="4" t="inlineStr">
        <is>
          <t>5834.05 BST-Werner-Heisenberg-Straße-1-Kaiserslautern</t>
        </is>
      </c>
      <c r="B1942" s="4" t="inlineStr">
        <is>
          <t>● BST pauschal</t>
        </is>
      </c>
      <c r="C1942" s="9" t="inlineStr">
        <is>
          <t>Unbekannt</t>
        </is>
      </c>
      <c r="D1942" s="10" t="inlineStr">
        <is>
          <t>⚠ Manual erforderlich</t>
        </is>
      </c>
      <c r="E1942" s="11" t="inlineStr"/>
      <c r="F1942" s="11" t="n">
        <v>0</v>
      </c>
      <c r="G1942" s="11">
        <f>E1942-F1942</f>
        <v/>
      </c>
      <c r="H1942" s="11" t="n">
        <v/>
      </c>
      <c r="I1942" s="11" t="n">
        <v/>
      </c>
      <c r="J1942" s="11" t="n">
        <v/>
      </c>
      <c r="K1942" s="4" t="inlineStr">
        <is>
          <t>Abrechnungsart wählen; Stundensätze eingeben</t>
        </is>
      </c>
    </row>
    <row r="1943">
      <c r="A1943" s="4" t="inlineStr">
        <is>
          <t>5834.05 BST-Werner-Heisenberg-Straße-1-Kaiserslautern</t>
        </is>
      </c>
      <c r="B1943" s="4" t="inlineStr">
        <is>
          <t>● Anpassung BSK pauschal</t>
        </is>
      </c>
      <c r="C1943" s="9" t="inlineStr">
        <is>
          <t>Unbekannt</t>
        </is>
      </c>
      <c r="D1943" s="10" t="inlineStr">
        <is>
          <t>⚠ Manual erforderlich</t>
        </is>
      </c>
      <c r="E1943" s="11" t="inlineStr"/>
      <c r="F1943" s="11" t="n">
        <v>0</v>
      </c>
      <c r="G1943" s="11">
        <f>E1943-F1943</f>
        <v/>
      </c>
      <c r="H1943" s="11" t="n">
        <v/>
      </c>
      <c r="I1943" s="11" t="n">
        <v/>
      </c>
      <c r="J1943" s="11" t="n">
        <v/>
      </c>
      <c r="K1943" s="4" t="inlineStr">
        <is>
          <t>Abrechnungsart wählen; Stundensätze eingeben</t>
        </is>
      </c>
    </row>
    <row r="1944">
      <c r="A1944" s="4" t="inlineStr">
        <is>
          <t>5834.06 FortschrBSK-CASSIDA-Werner-HeisenbergStr1-KL</t>
        </is>
      </c>
      <c r="B1944" s="4" t="inlineStr">
        <is>
          <t>● (p) Fortschr BSK</t>
        </is>
      </c>
      <c r="C1944" s="4" t="inlineStr">
        <is>
          <t>Pauschale</t>
        </is>
      </c>
      <c r="D1944" s="10" t="inlineStr">
        <is>
          <t>⚠ Manual erforderlich</t>
        </is>
      </c>
      <c r="E1944" s="11" t="inlineStr"/>
      <c r="F1944" s="11" t="n">
        <v>0</v>
      </c>
      <c r="G1944" s="11">
        <f>E1944-F1944</f>
        <v/>
      </c>
      <c r="H1944" s="11" t="n">
        <v>0</v>
      </c>
      <c r="I1944" s="11" t="n">
        <v>0</v>
      </c>
      <c r="J1944" s="11" t="n">
        <v>0</v>
      </c>
      <c r="K1944" s="4" t="inlineStr">
        <is>
          <t>Stundensätze eingeben</t>
        </is>
      </c>
    </row>
    <row r="1945">
      <c r="A1945" s="4" t="inlineStr">
        <is>
          <t>5834.06 FortschrBSK-CASSIDA-Werner-HeisenbergStr1-KL</t>
        </is>
      </c>
      <c r="B1945" s="4" t="inlineStr">
        <is>
          <t>● (p) Anpassung FWP</t>
        </is>
      </c>
      <c r="C1945" s="4" t="inlineStr">
        <is>
          <t>Pauschale</t>
        </is>
      </c>
      <c r="D1945" s="10" t="inlineStr">
        <is>
          <t>⚠ Manual erforderlich</t>
        </is>
      </c>
      <c r="E1945" s="11" t="inlineStr"/>
      <c r="F1945" s="11" t="n">
        <v>0</v>
      </c>
      <c r="G1945" s="11">
        <f>E1945-F1945</f>
        <v/>
      </c>
      <c r="H1945" s="11" t="n">
        <v>0</v>
      </c>
      <c r="I1945" s="11" t="n">
        <v>0</v>
      </c>
      <c r="J1945" s="11" t="n">
        <v>0</v>
      </c>
      <c r="K1945" s="4" t="inlineStr">
        <is>
          <t>Stundensätze eingeben</t>
        </is>
      </c>
    </row>
    <row r="1946">
      <c r="A1946" s="4" t="inlineStr">
        <is>
          <t>5834.06 FortschrBSK-CASSIDA-Werner-HeisenbergStr1-KL</t>
        </is>
      </c>
      <c r="B1946" s="4" t="inlineStr">
        <is>
          <t>● (p) Erstellung BSO Teil B+C</t>
        </is>
      </c>
      <c r="C1946" s="4" t="inlineStr">
        <is>
          <t>Pauschale</t>
        </is>
      </c>
      <c r="D1946" s="10" t="inlineStr">
        <is>
          <t>⚠ Manual erforderlich</t>
        </is>
      </c>
      <c r="E1946" s="11" t="inlineStr"/>
      <c r="F1946" s="11" t="n">
        <v>0</v>
      </c>
      <c r="G1946" s="11">
        <f>E1946-F1946</f>
        <v/>
      </c>
      <c r="H1946" s="11" t="n">
        <v>0</v>
      </c>
      <c r="I1946" s="11" t="n">
        <v>0</v>
      </c>
      <c r="J1946" s="11" t="n">
        <v>0</v>
      </c>
      <c r="K1946" s="4" t="inlineStr">
        <is>
          <t>Stundensätze eingeben</t>
        </is>
      </c>
    </row>
    <row r="1947">
      <c r="A1947" s="4" t="inlineStr">
        <is>
          <t>5834.07 Fuchs-Digit-Bestandspläne-Werner-HeisenbergStr1-KL</t>
        </is>
      </c>
      <c r="B1947" s="4" t="inlineStr">
        <is>
          <t>● (aN) Pos. 1 Digitalisierung der Grundrisse</t>
        </is>
      </c>
      <c r="C1947" s="4" t="inlineStr">
        <is>
          <t>Nachweis</t>
        </is>
      </c>
      <c r="D1947" s="10" t="inlineStr">
        <is>
          <t>⚠ Manual erforderlich</t>
        </is>
      </c>
      <c r="E1947" s="11" t="inlineStr"/>
      <c r="F1947" s="11" t="n">
        <v>0</v>
      </c>
      <c r="G1947" s="11">
        <f>E1947-F1947</f>
        <v/>
      </c>
      <c r="H1947" s="11" t="n">
        <v/>
      </c>
      <c r="I1947" s="11" t="n">
        <v/>
      </c>
      <c r="J1947" s="11" t="n">
        <v/>
      </c>
      <c r="K1947" s="4" t="inlineStr">
        <is>
          <t>Stundensätze eingeben</t>
        </is>
      </c>
    </row>
    <row r="1948">
      <c r="A1948" s="4" t="inlineStr">
        <is>
          <t>5834.07 Fuchs-Digit-Bestandspläne-Werner-HeisenbergStr1-KL</t>
        </is>
      </c>
      <c r="B1948" s="4" t="inlineStr">
        <is>
          <t>● ADM (nicht kalkuliert)</t>
        </is>
      </c>
      <c r="C1948" s="9" t="inlineStr">
        <is>
          <t>Unbekannt</t>
        </is>
      </c>
      <c r="D1948" s="10" t="inlineStr">
        <is>
          <t>⚠ Manual erforderlich</t>
        </is>
      </c>
      <c r="E1948" s="11" t="inlineStr"/>
      <c r="F1948" s="11" t="n">
        <v>0</v>
      </c>
      <c r="G1948" s="11">
        <f>E1948-F1948</f>
        <v/>
      </c>
      <c r="H1948" s="11" t="n">
        <v/>
      </c>
      <c r="I1948" s="11" t="n">
        <v/>
      </c>
      <c r="J1948" s="11" t="n">
        <v/>
      </c>
      <c r="K1948" s="4" t="inlineStr">
        <is>
          <t>Abrechnungsart wählen; Stundensätze eingeben</t>
        </is>
      </c>
    </row>
    <row r="1949">
      <c r="A1949" s="4" t="inlineStr">
        <is>
          <t>5834.08 Fuchs-FLK-Werner-HeisenbergStr1-KL</t>
        </is>
      </c>
      <c r="B1949" s="4" t="inlineStr">
        <is>
          <t>● (aN) Pos. 1 Feuerwehrlaufkarten (CAD)</t>
        </is>
      </c>
      <c r="C1949" s="4" t="inlineStr">
        <is>
          <t>Nachweis</t>
        </is>
      </c>
      <c r="D1949" s="10" t="inlineStr">
        <is>
          <t>⚠ Manual erforderlich</t>
        </is>
      </c>
      <c r="E1949" s="11" t="inlineStr"/>
      <c r="F1949" s="11" t="n">
        <v>0</v>
      </c>
      <c r="G1949" s="11">
        <f>E1949-F1949</f>
        <v/>
      </c>
      <c r="H1949" s="11" t="n">
        <v/>
      </c>
      <c r="I1949" s="11" t="n">
        <v/>
      </c>
      <c r="J1949" s="11" t="n">
        <v/>
      </c>
      <c r="K1949" s="4" t="inlineStr">
        <is>
          <t>Stundensätze eingeben</t>
        </is>
      </c>
    </row>
    <row r="1950">
      <c r="A1950" s="4" t="inlineStr">
        <is>
          <t>5834.08 Fuchs-FLK-Werner-HeisenbergStr1-KL</t>
        </is>
      </c>
      <c r="B1950" s="4" t="inlineStr">
        <is>
          <t>● (p) Pos. 2 Drucken und Laminieren der Feuerwehrlaufkarten  (CAD)</t>
        </is>
      </c>
      <c r="C1950" s="4" t="inlineStr">
        <is>
          <t>Pauschale</t>
        </is>
      </c>
      <c r="D1950" s="10" t="inlineStr">
        <is>
          <t>⚠ Manual erforderlich</t>
        </is>
      </c>
      <c r="E1950" s="11" t="inlineStr"/>
      <c r="F1950" s="11" t="n">
        <v>0</v>
      </c>
      <c r="G1950" s="11">
        <f>E1950-F1950</f>
        <v/>
      </c>
      <c r="H1950" s="11" t="n">
        <v>0</v>
      </c>
      <c r="I1950" s="11" t="n">
        <v>0</v>
      </c>
      <c r="J1950" s="11" t="n">
        <v>0</v>
      </c>
      <c r="K1950" s="4" t="inlineStr">
        <is>
          <t>Stundensätze eingeben</t>
        </is>
      </c>
    </row>
    <row r="1951">
      <c r="A1951" s="4" t="inlineStr">
        <is>
          <t>5834.08 Fuchs-FLK-Werner-HeisenbergStr1-KL</t>
        </is>
      </c>
      <c r="B1951" s="4" t="inlineStr">
        <is>
          <t>● (aN) Pos. 3 Feuerwehrpläne  (CAD)</t>
        </is>
      </c>
      <c r="C1951" s="4" t="inlineStr">
        <is>
          <t>Nachweis</t>
        </is>
      </c>
      <c r="D1951" s="10" t="inlineStr">
        <is>
          <t>⚠ Manual erforderlich</t>
        </is>
      </c>
      <c r="E1951" s="11" t="inlineStr"/>
      <c r="F1951" s="11" t="n">
        <v>0</v>
      </c>
      <c r="G1951" s="11">
        <f>E1951-F1951</f>
        <v/>
      </c>
      <c r="H1951" s="11" t="n">
        <v/>
      </c>
      <c r="I1951" s="11" t="n">
        <v/>
      </c>
      <c r="J1951" s="11" t="n">
        <v/>
      </c>
      <c r="K1951" s="4" t="inlineStr">
        <is>
          <t>Stundensätze eingeben</t>
        </is>
      </c>
    </row>
    <row r="1952">
      <c r="A1952" s="4" t="inlineStr">
        <is>
          <t>5834.08 Fuchs-FLK-Werner-HeisenbergStr1-KL</t>
        </is>
      </c>
      <c r="B1952" s="4" t="inlineStr">
        <is>
          <t>● ADM (nicht kalkuliert)</t>
        </is>
      </c>
      <c r="C1952" s="9" t="inlineStr">
        <is>
          <t>Unbekannt</t>
        </is>
      </c>
      <c r="D1952" s="10" t="inlineStr">
        <is>
          <t>⚠ Manual erforderlich</t>
        </is>
      </c>
      <c r="E1952" s="11" t="inlineStr"/>
      <c r="F1952" s="11" t="n">
        <v>0</v>
      </c>
      <c r="G1952" s="11">
        <f>E1952-F1952</f>
        <v/>
      </c>
      <c r="H1952" s="11" t="n">
        <v/>
      </c>
      <c r="I1952" s="11" t="n">
        <v/>
      </c>
      <c r="J1952" s="11" t="n">
        <v/>
      </c>
      <c r="K1952" s="4" t="inlineStr">
        <is>
          <t>Abrechnungsart wählen; Stundensätze eingeben</t>
        </is>
      </c>
    </row>
    <row r="1953">
      <c r="A1953" s="4" t="inlineStr">
        <is>
          <t>5834.103 Fuchs-RV-BSB-2025-Werk-Werner-Heisenberg-Straße-1-Kaiserslautern</t>
        </is>
      </c>
      <c r="B1953" s="4" t="inlineStr">
        <is>
          <t>● (a.N.) BSB 2025 - mind. 2 Begehungen pro Jahr (halbjährlich)</t>
        </is>
      </c>
      <c r="C1953" s="4" t="inlineStr">
        <is>
          <t>Nachweis</t>
        </is>
      </c>
      <c r="D1953" s="10" t="inlineStr">
        <is>
          <t>⚠ Manual erforderlich</t>
        </is>
      </c>
      <c r="E1953" s="11" t="inlineStr"/>
      <c r="F1953" s="11" t="n">
        <v>0</v>
      </c>
      <c r="G1953" s="11">
        <f>E1953-F1953</f>
        <v/>
      </c>
      <c r="H1953" s="11" t="n">
        <v/>
      </c>
      <c r="I1953" s="11" t="n">
        <v/>
      </c>
      <c r="J1953" s="11" t="n">
        <v/>
      </c>
      <c r="K1953" s="4" t="inlineStr">
        <is>
          <t>Stundensätze eingeben</t>
        </is>
      </c>
    </row>
    <row r="1954">
      <c r="A1954" s="4" t="inlineStr">
        <is>
          <t>5838.01 BSK-WEG-Dörnigheimer-Weg-26-34-Goethestraße-120-126-Maintal-TG</t>
        </is>
      </c>
      <c r="B1954" s="4" t="inlineStr">
        <is>
          <t>● (p) Pos.1 Neuerstellung Brandschutzkonzept TG</t>
        </is>
      </c>
      <c r="C1954" s="4" t="inlineStr">
        <is>
          <t>Pauschale</t>
        </is>
      </c>
      <c r="D1954" s="10" t="inlineStr">
        <is>
          <t>⚠ Manual erforderlich</t>
        </is>
      </c>
      <c r="E1954" s="11" t="inlineStr"/>
      <c r="F1954" s="11" t="n">
        <v>0</v>
      </c>
      <c r="G1954" s="11">
        <f>E1954-F1954</f>
        <v/>
      </c>
      <c r="H1954" s="11" t="n">
        <v>0</v>
      </c>
      <c r="I1954" s="11" t="n">
        <v>0</v>
      </c>
      <c r="J1954" s="11" t="n">
        <v>0</v>
      </c>
      <c r="K1954" s="4" t="inlineStr">
        <is>
          <t>Stundensätze eingeben</t>
        </is>
      </c>
    </row>
    <row r="1955">
      <c r="A1955" s="4" t="inlineStr">
        <is>
          <t>5840.01 FW-Pläne-An-der-Leimenkaut-1-3-Bad-Homburg</t>
        </is>
      </c>
      <c r="B1955" s="4" t="inlineStr">
        <is>
          <t>● 9000-Objektbetreuung und Dokumentation</t>
        </is>
      </c>
      <c r="C1955" s="9" t="inlineStr">
        <is>
          <t>Unbekannt</t>
        </is>
      </c>
      <c r="D1955" s="10" t="inlineStr">
        <is>
          <t>⚠ Manual erforderlich</t>
        </is>
      </c>
      <c r="E1955" s="11" t="inlineStr"/>
      <c r="F1955" s="11" t="n">
        <v>0</v>
      </c>
      <c r="G1955" s="11">
        <f>E1955-F1955</f>
        <v/>
      </c>
      <c r="H1955" s="11" t="n">
        <v/>
      </c>
      <c r="I1955" s="11" t="n">
        <v/>
      </c>
      <c r="J1955" s="11" t="n">
        <v/>
      </c>
      <c r="K1955" s="4" t="inlineStr">
        <is>
          <t>Abrechnungsart wählen; Stundensätze eingeben</t>
        </is>
      </c>
    </row>
    <row r="1956">
      <c r="A1956" s="4" t="inlineStr">
        <is>
          <t>5840.02 BAB-An-der-Leimenkaut-1-3-Bad-Homburg</t>
        </is>
      </c>
      <c r="B1956" s="4" t="inlineStr">
        <is>
          <t>● 8000-Objektüberwachung</t>
        </is>
      </c>
      <c r="C1956" s="9" t="inlineStr">
        <is>
          <t>Unbekannt</t>
        </is>
      </c>
      <c r="D1956" s="10" t="inlineStr">
        <is>
          <t>⚠ Manual erforderlich</t>
        </is>
      </c>
      <c r="E1956" s="11" t="inlineStr"/>
      <c r="F1956" s="11" t="n">
        <v>0</v>
      </c>
      <c r="G1956" s="11">
        <f>E1956-F1956</f>
        <v/>
      </c>
      <c r="H1956" s="11" t="n">
        <v/>
      </c>
      <c r="I1956" s="11" t="n">
        <v/>
      </c>
      <c r="J1956" s="11" t="n">
        <v/>
      </c>
      <c r="K1956" s="4" t="inlineStr">
        <is>
          <t>Abrechnungsart wählen; Stundensätze eingeben</t>
        </is>
      </c>
    </row>
    <row r="1957">
      <c r="A1957" s="4" t="inlineStr">
        <is>
          <t>5842 S-Bahnhöfe-Müchen-Haltezeitencounter</t>
        </is>
      </c>
      <c r="B1957" s="4" t="inlineStr">
        <is>
          <t>● 0001-Sonstiges</t>
        </is>
      </c>
      <c r="C1957" s="9" t="inlineStr">
        <is>
          <t>Unbekannt</t>
        </is>
      </c>
      <c r="D1957" s="10" t="inlineStr">
        <is>
          <t>⚠ Manual erforderlich</t>
        </is>
      </c>
      <c r="E1957" s="11" t="inlineStr"/>
      <c r="F1957" s="11" t="n">
        <v>0</v>
      </c>
      <c r="G1957" s="11">
        <f>E1957-F1957</f>
        <v/>
      </c>
      <c r="H1957" s="11" t="n">
        <v/>
      </c>
      <c r="I1957" s="11" t="n">
        <v/>
      </c>
      <c r="J1957" s="11" t="n">
        <v/>
      </c>
      <c r="K1957" s="4" t="inlineStr">
        <is>
          <t>Abrechnungsart wählen; Stundensätze eingeben</t>
        </is>
      </c>
    </row>
    <row r="1958">
      <c r="A1958" s="4" t="inlineStr">
        <is>
          <t>5842 S-Bahnhöfe-Müchen-Haltezeitencounter</t>
        </is>
      </c>
      <c r="B1958" s="4" t="inlineStr">
        <is>
          <t>● 3000-Entwurfsplanung</t>
        </is>
      </c>
      <c r="C1958" s="9" t="inlineStr">
        <is>
          <t>Unbekannt</t>
        </is>
      </c>
      <c r="D1958" s="10" t="inlineStr">
        <is>
          <t>⚠ Manual erforderlich</t>
        </is>
      </c>
      <c r="E1958" s="11" t="inlineStr"/>
      <c r="F1958" s="11" t="n">
        <v>0</v>
      </c>
      <c r="G1958" s="11">
        <f>E1958-F1958</f>
        <v/>
      </c>
      <c r="H1958" s="11" t="n">
        <v/>
      </c>
      <c r="I1958" s="11" t="n">
        <v/>
      </c>
      <c r="J1958" s="11" t="n">
        <v/>
      </c>
      <c r="K1958" s="4" t="inlineStr">
        <is>
          <t>Abrechnungsart wählen; Stundensätze eingeben</t>
        </is>
      </c>
    </row>
    <row r="1959">
      <c r="A1959" s="4" t="inlineStr">
        <is>
          <t>5845.03 myStorage-KOF-John-Deere-Straße-79-Mannheim</t>
        </is>
      </c>
      <c r="B1959" s="4" t="inlineStr">
        <is>
          <t>● (p) Pos. 1 Abnahmen der Bauphasen 4,5a,6 und 7</t>
        </is>
      </c>
      <c r="C1959" s="4" t="inlineStr">
        <is>
          <t>Pauschale</t>
        </is>
      </c>
      <c r="D1959" s="10" t="inlineStr">
        <is>
          <t>⚠ Manual erforderlich</t>
        </is>
      </c>
      <c r="E1959" s="11" t="inlineStr"/>
      <c r="F1959" s="11" t="n">
        <v>0</v>
      </c>
      <c r="G1959" s="11">
        <f>E1959-F1959</f>
        <v/>
      </c>
      <c r="H1959" s="11" t="n">
        <v>0</v>
      </c>
      <c r="I1959" s="11" t="n">
        <v>0</v>
      </c>
      <c r="J1959" s="11" t="n">
        <v>0</v>
      </c>
      <c r="K1959" s="4" t="inlineStr">
        <is>
          <t>Stundensätze eingeben</t>
        </is>
      </c>
    </row>
    <row r="1960">
      <c r="A1960" s="4" t="inlineStr">
        <is>
          <t>5845.03 myStorage-KOF-John-Deere-Straße-79-Mannheim</t>
        </is>
      </c>
      <c r="B1960" s="4" t="inlineStr">
        <is>
          <t>● (p) Pos. 2 optional auf Abruf</t>
        </is>
      </c>
      <c r="C1960" s="4" t="inlineStr">
        <is>
          <t>Pauschale</t>
        </is>
      </c>
      <c r="D1960" s="10" t="inlineStr">
        <is>
          <t>⚠ Manual erforderlich</t>
        </is>
      </c>
      <c r="E1960" s="11" t="inlineStr"/>
      <c r="F1960" s="11" t="n">
        <v>0</v>
      </c>
      <c r="G1960" s="11">
        <f>E1960-F1960</f>
        <v/>
      </c>
      <c r="H1960" s="11" t="n">
        <v/>
      </c>
      <c r="I1960" s="11" t="n">
        <v/>
      </c>
      <c r="J1960" s="11" t="n">
        <v/>
      </c>
      <c r="K1960" s="4" t="inlineStr">
        <is>
          <t>Stundensätze eingeben</t>
        </is>
      </c>
    </row>
    <row r="1961">
      <c r="A1961" s="4" t="inlineStr">
        <is>
          <t>5845.03 myStorage-KOF-John-Deere-Straße-79-Mannheim</t>
        </is>
      </c>
      <c r="B1961" s="4" t="inlineStr">
        <is>
          <t>● (p) Pos. 3 Erstellung von Flucht- und Rettungsplänen</t>
        </is>
      </c>
      <c r="C1961" s="4" t="inlineStr">
        <is>
          <t>Pauschale</t>
        </is>
      </c>
      <c r="D1961" s="10" t="inlineStr">
        <is>
          <t>⚠ Manual erforderlich</t>
        </is>
      </c>
      <c r="E1961" s="11" t="inlineStr"/>
      <c r="F1961" s="11" t="n">
        <v>0</v>
      </c>
      <c r="G1961" s="11">
        <f>E1961-F1961</f>
        <v/>
      </c>
      <c r="H1961" s="11" t="n">
        <v>0</v>
      </c>
      <c r="I1961" s="11" t="n">
        <v>0</v>
      </c>
      <c r="J1961" s="11" t="n">
        <v>0</v>
      </c>
      <c r="K1961" s="4" t="inlineStr">
        <is>
          <t>Stundensätze eingeben</t>
        </is>
      </c>
    </row>
    <row r="1962">
      <c r="A1962" s="4" t="inlineStr">
        <is>
          <t>5845.03 myStorage-KOF-John-Deere-Straße-79-Mannheim</t>
        </is>
      </c>
      <c r="B1962" s="4" t="inlineStr">
        <is>
          <t>● (p) Pos. 4 Erstellung von Feuerwehrplänen</t>
        </is>
      </c>
      <c r="C1962" s="4" t="inlineStr">
        <is>
          <t>Pauschale</t>
        </is>
      </c>
      <c r="D1962" s="10" t="inlineStr">
        <is>
          <t>⚠ Manual erforderlich</t>
        </is>
      </c>
      <c r="E1962" s="11" t="inlineStr"/>
      <c r="F1962" s="11" t="n">
        <v>0</v>
      </c>
      <c r="G1962" s="11">
        <f>E1962-F1962</f>
        <v/>
      </c>
      <c r="H1962" s="11" t="n">
        <v>0</v>
      </c>
      <c r="I1962" s="11" t="n">
        <v>0</v>
      </c>
      <c r="J1962" s="11" t="n">
        <v>0</v>
      </c>
      <c r="K1962" s="4" t="inlineStr">
        <is>
          <t>Stundensätze eingeben</t>
        </is>
      </c>
    </row>
    <row r="1963">
      <c r="A1963" s="4" t="inlineStr">
        <is>
          <t>5845.04 myStorage-BSK-John-Deere-Straße-79-Mannheim-1+2.OG</t>
        </is>
      </c>
      <c r="B1963" s="4" t="inlineStr">
        <is>
          <t>● (p) Pos.1 Fortschr. BSK</t>
        </is>
      </c>
      <c r="C1963" s="4" t="inlineStr">
        <is>
          <t>Pauschale</t>
        </is>
      </c>
      <c r="D1963" s="10" t="inlineStr">
        <is>
          <t>⚠ Manual erforderlich</t>
        </is>
      </c>
      <c r="E1963" s="11" t="inlineStr"/>
      <c r="F1963" s="11" t="n">
        <v>0</v>
      </c>
      <c r="G1963" s="11">
        <f>E1963-F1963</f>
        <v/>
      </c>
      <c r="H1963" s="11" t="n">
        <v>0</v>
      </c>
      <c r="I1963" s="11" t="n">
        <v>0</v>
      </c>
      <c r="J1963" s="11" t="n">
        <v>0</v>
      </c>
      <c r="K1963" s="4" t="inlineStr">
        <is>
          <t>Stundensätze eingeben</t>
        </is>
      </c>
    </row>
    <row r="1964">
      <c r="A1964" s="4" t="inlineStr">
        <is>
          <t>5845.04 myStorage-BSK-John-Deere-Straße-79-Mannheim-1+2.OG</t>
        </is>
      </c>
      <c r="B1964" s="4" t="inlineStr">
        <is>
          <t>● (p) Pos.2 OPTIONAL Teilnahme an Abstimmungstermin</t>
        </is>
      </c>
      <c r="C1964" s="4" t="inlineStr">
        <is>
          <t>Pauschale</t>
        </is>
      </c>
      <c r="D1964" s="10" t="inlineStr">
        <is>
          <t>⚠ Manual erforderlich</t>
        </is>
      </c>
      <c r="E1964" s="11" t="inlineStr"/>
      <c r="F1964" s="11" t="n">
        <v>0</v>
      </c>
      <c r="G1964" s="11">
        <f>E1964-F1964</f>
        <v/>
      </c>
      <c r="H1964" s="11" t="n">
        <v>0</v>
      </c>
      <c r="I1964" s="11" t="n">
        <v>0</v>
      </c>
      <c r="J1964" s="11" t="n">
        <v>0</v>
      </c>
      <c r="K1964" s="4" t="inlineStr">
        <is>
          <t>Stundensätze eingeben</t>
        </is>
      </c>
    </row>
    <row r="1965">
      <c r="A1965" s="4" t="inlineStr">
        <is>
          <t>5845.04 myStorage-BSK-John-Deere-Straße-79-Mannheim-1+2.OG</t>
        </is>
      </c>
      <c r="B1965" s="4" t="inlineStr">
        <is>
          <t>● (aN) Pos.3 Objektüberwachung</t>
        </is>
      </c>
      <c r="C1965" s="4" t="inlineStr">
        <is>
          <t>Nachweis</t>
        </is>
      </c>
      <c r="D1965" s="10" t="inlineStr">
        <is>
          <t>⚠ Manual erforderlich</t>
        </is>
      </c>
      <c r="E1965" s="11" t="inlineStr"/>
      <c r="F1965" s="11" t="n">
        <v>0</v>
      </c>
      <c r="G1965" s="11">
        <f>E1965-F1965</f>
        <v/>
      </c>
      <c r="H1965" s="11" t="n">
        <v/>
      </c>
      <c r="I1965" s="11" t="n">
        <v/>
      </c>
      <c r="J1965" s="11" t="n">
        <v/>
      </c>
      <c r="K1965" s="4" t="inlineStr">
        <is>
          <t>Stundensätze eingeben</t>
        </is>
      </c>
    </row>
    <row r="1966">
      <c r="A1966" s="4" t="inlineStr">
        <is>
          <t>5845.04 myStorage-BSK-John-Deere-Straße-79-Mannheim-1+2.OG</t>
        </is>
      </c>
      <c r="B1966" s="4" t="inlineStr">
        <is>
          <t>● (p) Pos.4 FRP</t>
        </is>
      </c>
      <c r="C1966" s="4" t="inlineStr">
        <is>
          <t>Pauschale</t>
        </is>
      </c>
      <c r="D1966" s="10" t="inlineStr">
        <is>
          <t>⚠ Manual erforderlich</t>
        </is>
      </c>
      <c r="E1966" s="11" t="inlineStr"/>
      <c r="F1966" s="11" t="n">
        <v>0</v>
      </c>
      <c r="G1966" s="11">
        <f>E1966-F1966</f>
        <v/>
      </c>
      <c r="H1966" s="11" t="n">
        <v>0</v>
      </c>
      <c r="I1966" s="11" t="n">
        <v>0</v>
      </c>
      <c r="J1966" s="11" t="n">
        <v>0</v>
      </c>
      <c r="K1966" s="4" t="inlineStr">
        <is>
          <t>Stundensätze eingeben</t>
        </is>
      </c>
    </row>
    <row r="1967">
      <c r="A1967" s="4" t="inlineStr">
        <is>
          <t>5845.04 myStorage-BSK-John-Deere-Straße-79-Mannheim-1+2.OG</t>
        </is>
      </c>
      <c r="B1967" s="4" t="inlineStr">
        <is>
          <t>● (p) Pos.5 FWP</t>
        </is>
      </c>
      <c r="C1967" s="4" t="inlineStr">
        <is>
          <t>Pauschale</t>
        </is>
      </c>
      <c r="D1967" s="10" t="inlineStr">
        <is>
          <t>⚠ Manual erforderlich</t>
        </is>
      </c>
      <c r="E1967" s="11" t="inlineStr"/>
      <c r="F1967" s="11" t="n">
        <v>0</v>
      </c>
      <c r="G1967" s="11">
        <f>E1967-F1967</f>
        <v/>
      </c>
      <c r="H1967" s="11" t="n">
        <v>0</v>
      </c>
      <c r="I1967" s="11" t="n">
        <v>0</v>
      </c>
      <c r="J1967" s="11" t="n">
        <v>0</v>
      </c>
      <c r="K1967" s="4" t="inlineStr">
        <is>
          <t>Stundensätze eingeben</t>
        </is>
      </c>
    </row>
    <row r="1968">
      <c r="A1968" s="4" t="inlineStr">
        <is>
          <t>5848.02 BSK-Höhnerweg-2-4-Weinheim-Freudenberg-Bau142</t>
        </is>
      </c>
      <c r="B1968" s="4" t="inlineStr">
        <is>
          <t>● (a.N.) Pos. 1 Ortstermine + Besprechungenon (auf Nachweis)</t>
        </is>
      </c>
      <c r="C1968" s="4" t="inlineStr">
        <is>
          <t>Nachweis</t>
        </is>
      </c>
      <c r="D1968" s="10" t="inlineStr">
        <is>
          <t>⚠ Manual erforderlich</t>
        </is>
      </c>
      <c r="E1968" s="11" t="inlineStr"/>
      <c r="F1968" s="11" t="n">
        <v>0</v>
      </c>
      <c r="G1968" s="11">
        <f>E1968-F1968</f>
        <v/>
      </c>
      <c r="H1968" s="11" t="n">
        <v/>
      </c>
      <c r="I1968" s="11" t="n">
        <v/>
      </c>
      <c r="J1968" s="11" t="n">
        <v/>
      </c>
      <c r="K1968" s="4" t="inlineStr">
        <is>
          <t>Stundensätze eingeben</t>
        </is>
      </c>
    </row>
    <row r="1969">
      <c r="A1969" s="4" t="inlineStr">
        <is>
          <t>5848.02 BSK-Höhnerweg-2-4-Weinheim-Freudenberg-Bau142</t>
        </is>
      </c>
      <c r="B1969" s="4" t="inlineStr">
        <is>
          <t>● (p.) Pos. 2 Erst. BSK Geb. 142</t>
        </is>
      </c>
      <c r="C1969" s="9" t="inlineStr">
        <is>
          <t>Unbekannt</t>
        </is>
      </c>
      <c r="D1969" s="10" t="inlineStr">
        <is>
          <t>⚠ Manual erforderlich</t>
        </is>
      </c>
      <c r="E1969" s="11" t="inlineStr"/>
      <c r="F1969" s="11" t="n">
        <v>0</v>
      </c>
      <c r="G1969" s="11">
        <f>E1969-F1969</f>
        <v/>
      </c>
      <c r="H1969" s="11" t="n">
        <v/>
      </c>
      <c r="I1969" s="11" t="n">
        <v/>
      </c>
      <c r="J1969" s="11" t="n">
        <v/>
      </c>
      <c r="K1969" s="4" t="inlineStr">
        <is>
          <t>Abrechnungsart wählen; Stundensätze eingeben</t>
        </is>
      </c>
    </row>
    <row r="1970">
      <c r="A1970" s="4" t="inlineStr">
        <is>
          <t>5850.01 Unionstraße-3-Hamm-Sonar</t>
        </is>
      </c>
      <c r="B1970" s="4" t="inlineStr">
        <is>
          <t>● Leistungen bis 12.03.21 (pauschal)</t>
        </is>
      </c>
      <c r="C1970" s="9" t="inlineStr">
        <is>
          <t>Unbekannt</t>
        </is>
      </c>
      <c r="D1970" s="10" t="inlineStr">
        <is>
          <t>⚠ Manual erforderlich</t>
        </is>
      </c>
      <c r="E1970" s="11" t="inlineStr"/>
      <c r="F1970" s="11" t="n">
        <v>0</v>
      </c>
      <c r="G1970" s="11">
        <f>E1970-F1970</f>
        <v/>
      </c>
      <c r="H1970" s="11" t="n">
        <v/>
      </c>
      <c r="I1970" s="11" t="n">
        <v/>
      </c>
      <c r="J1970" s="11" t="n">
        <v/>
      </c>
      <c r="K1970" s="4" t="inlineStr">
        <is>
          <t>Abrechnungsart wählen; Stundensätze eingeben</t>
        </is>
      </c>
    </row>
    <row r="1971">
      <c r="A1971" s="4" t="inlineStr">
        <is>
          <t>5850.01 Unionstraße-3-Hamm-Sonar</t>
        </is>
      </c>
      <c r="B1971" s="4" t="inlineStr">
        <is>
          <t>● Beratung + Baubegleitung (auf Nachweis)</t>
        </is>
      </c>
      <c r="C1971" s="9" t="inlineStr">
        <is>
          <t>Unbekannt</t>
        </is>
      </c>
      <c r="D1971" s="10" t="inlineStr">
        <is>
          <t>⚠ Manual erforderlich</t>
        </is>
      </c>
      <c r="E1971" s="11" t="inlineStr"/>
      <c r="F1971" s="11" t="n">
        <v>0</v>
      </c>
      <c r="G1971" s="11">
        <f>E1971-F1971</f>
        <v/>
      </c>
      <c r="H1971" s="11" t="n">
        <v/>
      </c>
      <c r="I1971" s="11" t="n">
        <v/>
      </c>
      <c r="J1971" s="11" t="n">
        <v/>
      </c>
      <c r="K1971" s="4" t="inlineStr">
        <is>
          <t>Abrechnungsart wählen; Stundensätze eingeben</t>
        </is>
      </c>
    </row>
    <row r="1972">
      <c r="A1972" s="4" t="inlineStr">
        <is>
          <t>5850.01 Unionstraße-3-Hamm-Sonar</t>
        </is>
      </c>
      <c r="B1972" s="4" t="inlineStr">
        <is>
          <t>● Fortschr. BSK (pauschal)</t>
        </is>
      </c>
      <c r="C1972" s="9" t="inlineStr">
        <is>
          <t>Unbekannt</t>
        </is>
      </c>
      <c r="D1972" s="10" t="inlineStr">
        <is>
          <t>⚠ Manual erforderlich</t>
        </is>
      </c>
      <c r="E1972" s="11" t="inlineStr"/>
      <c r="F1972" s="11" t="n">
        <v>0</v>
      </c>
      <c r="G1972" s="11">
        <f>E1972-F1972</f>
        <v/>
      </c>
      <c r="H1972" s="11" t="n">
        <v/>
      </c>
      <c r="I1972" s="11" t="n">
        <v/>
      </c>
      <c r="J1972" s="11" t="n">
        <v/>
      </c>
      <c r="K1972" s="4" t="inlineStr">
        <is>
          <t>Abrechnungsart wählen; Stundensätze eingeben</t>
        </is>
      </c>
    </row>
    <row r="1973">
      <c r="A1973" s="4" t="inlineStr">
        <is>
          <t>5850.02 Pläne-Unionstraße-3-Hamm-Sonar</t>
        </is>
      </c>
      <c r="B1973" s="4" t="inlineStr">
        <is>
          <t>● FW-Pläne (pauschal)</t>
        </is>
      </c>
      <c r="C1973" s="9" t="inlineStr">
        <is>
          <t>Unbekannt</t>
        </is>
      </c>
      <c r="D1973" s="10" t="inlineStr">
        <is>
          <t>⚠ Manual erforderlich</t>
        </is>
      </c>
      <c r="E1973" s="11" t="inlineStr"/>
      <c r="F1973" s="11" t="n">
        <v>0</v>
      </c>
      <c r="G1973" s="11">
        <f>E1973-F1973</f>
        <v/>
      </c>
      <c r="H1973" s="11" t="n">
        <v/>
      </c>
      <c r="I1973" s="11" t="n">
        <v/>
      </c>
      <c r="J1973" s="11" t="n">
        <v/>
      </c>
      <c r="K1973" s="4" t="inlineStr">
        <is>
          <t>Abrechnungsart wählen; Stundensätze eingeben</t>
        </is>
      </c>
    </row>
    <row r="1974">
      <c r="A1974" s="4" t="inlineStr">
        <is>
          <t>5850.02 Pläne-Unionstraße-3-Hamm-Sonar</t>
        </is>
      </c>
      <c r="B1974" s="4" t="inlineStr">
        <is>
          <t>● FuR-Pläne (pauschal)</t>
        </is>
      </c>
      <c r="C1974" s="9" t="inlineStr">
        <is>
          <t>Unbekannt</t>
        </is>
      </c>
      <c r="D1974" s="10" t="inlineStr">
        <is>
          <t>⚠ Manual erforderlich</t>
        </is>
      </c>
      <c r="E1974" s="11" t="inlineStr"/>
      <c r="F1974" s="11" t="n">
        <v>0</v>
      </c>
      <c r="G1974" s="11">
        <f>E1974-F1974</f>
        <v/>
      </c>
      <c r="H1974" s="11" t="n">
        <v/>
      </c>
      <c r="I1974" s="11" t="n">
        <v/>
      </c>
      <c r="J1974" s="11" t="n">
        <v/>
      </c>
      <c r="K1974" s="4" t="inlineStr">
        <is>
          <t>Abrechnungsart wählen; Stundensätze eingeben</t>
        </is>
      </c>
    </row>
    <row r="1975">
      <c r="A1975" s="4" t="inlineStr">
        <is>
          <t>5850.03 BAB-Unionstraße-3-Hamm-Sonar</t>
        </is>
      </c>
      <c r="B1975" s="4" t="inlineStr">
        <is>
          <t>● Beratung + Baubegleitung (auf Nachweis)</t>
        </is>
      </c>
      <c r="C1975" s="9" t="inlineStr">
        <is>
          <t>Unbekannt</t>
        </is>
      </c>
      <c r="D1975" s="10" t="inlineStr">
        <is>
          <t>⚠ Manual erforderlich</t>
        </is>
      </c>
      <c r="E1975" s="11" t="inlineStr"/>
      <c r="F1975" s="11" t="n">
        <v>0</v>
      </c>
      <c r="G1975" s="11">
        <f>E1975-F1975</f>
        <v/>
      </c>
      <c r="H1975" s="11" t="n">
        <v/>
      </c>
      <c r="I1975" s="11" t="n">
        <v/>
      </c>
      <c r="J1975" s="11" t="n">
        <v/>
      </c>
      <c r="K1975" s="4" t="inlineStr">
        <is>
          <t>Abrechnungsart wählen; Stundensätze eingeben</t>
        </is>
      </c>
    </row>
    <row r="1976">
      <c r="A1976" s="4" t="inlineStr">
        <is>
          <t>5850.03 BAB-Unionstraße-3-Hamm-Sonar</t>
        </is>
      </c>
      <c r="B1976" s="4" t="inlineStr">
        <is>
          <t>● (p) Brandschutztechnische Stellungnahme</t>
        </is>
      </c>
      <c r="C1976" s="4" t="inlineStr">
        <is>
          <t>Pauschale</t>
        </is>
      </c>
      <c r="D1976" s="10" t="inlineStr">
        <is>
          <t>⚠ Manual erforderlich</t>
        </is>
      </c>
      <c r="E1976" s="11" t="inlineStr"/>
      <c r="F1976" s="11" t="n">
        <v>0</v>
      </c>
      <c r="G1976" s="11">
        <f>E1976-F1976</f>
        <v/>
      </c>
      <c r="H1976" s="11" t="n">
        <v>0</v>
      </c>
      <c r="I1976" s="11" t="n">
        <v>0</v>
      </c>
      <c r="J1976" s="11" t="n">
        <v>0</v>
      </c>
      <c r="K1976" s="4" t="inlineStr">
        <is>
          <t>Stundensätze eingeben</t>
        </is>
      </c>
    </row>
    <row r="1977">
      <c r="A1977" s="4" t="inlineStr">
        <is>
          <t>5858 Fraport-RV-Ersatzgebäude-Geb550</t>
        </is>
      </c>
      <c r="B1977" s="4" t="inlineStr">
        <is>
          <t>● 3000-Entwurfsplanung</t>
        </is>
      </c>
      <c r="C1977" s="9" t="inlineStr">
        <is>
          <t>Unbekannt</t>
        </is>
      </c>
      <c r="D1977" s="10" t="inlineStr">
        <is>
          <t>⚠ Manual erforderlich</t>
        </is>
      </c>
      <c r="E1977" s="11" t="inlineStr"/>
      <c r="F1977" s="11" t="n">
        <v>0</v>
      </c>
      <c r="G1977" s="11">
        <f>E1977-F1977</f>
        <v/>
      </c>
      <c r="H1977" s="11" t="n">
        <v/>
      </c>
      <c r="I1977" s="11" t="n">
        <v/>
      </c>
      <c r="J1977" s="11" t="n">
        <v/>
      </c>
      <c r="K1977" s="4" t="inlineStr">
        <is>
          <t>Abrechnungsart wählen; Stundensätze eingeben</t>
        </is>
      </c>
    </row>
    <row r="1978">
      <c r="A1978" s="4" t="inlineStr">
        <is>
          <t>5858 Fraport-RV-Ersatzgebäude-Geb550</t>
        </is>
      </c>
      <c r="B1978" s="4" t="inlineStr">
        <is>
          <t>● 4000-Genehmigungsplanung</t>
        </is>
      </c>
      <c r="C1978" s="9" t="inlineStr">
        <is>
          <t>Unbekannt</t>
        </is>
      </c>
      <c r="D1978" s="10" t="inlineStr">
        <is>
          <t>⚠ Manual erforderlich</t>
        </is>
      </c>
      <c r="E1978" s="11" t="inlineStr"/>
      <c r="F1978" s="11" t="n">
        <v>0</v>
      </c>
      <c r="G1978" s="11">
        <f>E1978-F1978</f>
        <v/>
      </c>
      <c r="H1978" s="11" t="n">
        <v/>
      </c>
      <c r="I1978" s="11" t="n">
        <v/>
      </c>
      <c r="J1978" s="11" t="n">
        <v/>
      </c>
      <c r="K1978" s="4" t="inlineStr">
        <is>
          <t>Abrechnungsart wählen; Stundensätze eingeben</t>
        </is>
      </c>
    </row>
    <row r="1979">
      <c r="A1979" s="4" t="inlineStr">
        <is>
          <t>5858 Fraport-RV-Ersatzgebäude-Geb550</t>
        </is>
      </c>
      <c r="B1979" s="4" t="inlineStr">
        <is>
          <t>● 8000-Objektüberwachung</t>
        </is>
      </c>
      <c r="C1979" s="9" t="inlineStr">
        <is>
          <t>Unbekannt</t>
        </is>
      </c>
      <c r="D1979" s="10" t="inlineStr">
        <is>
          <t>⚠ Manual erforderlich</t>
        </is>
      </c>
      <c r="E1979" s="11" t="inlineStr"/>
      <c r="F1979" s="11" t="n">
        <v>0</v>
      </c>
      <c r="G1979" s="11">
        <f>E1979-F1979</f>
        <v/>
      </c>
      <c r="H1979" s="11" t="n">
        <v/>
      </c>
      <c r="I1979" s="11" t="n">
        <v/>
      </c>
      <c r="J1979" s="11" t="n">
        <v/>
      </c>
      <c r="K1979" s="4" t="inlineStr">
        <is>
          <t>Abrechnungsart wählen; Stundensätze eingeben</t>
        </is>
      </c>
    </row>
    <row r="1980">
      <c r="A1980" s="4" t="inlineStr">
        <is>
          <t>5858 Fraport-RV-Ersatzgebäude-Geb550</t>
        </is>
      </c>
      <c r="B1980" s="4" t="inlineStr">
        <is>
          <t>● (a.N.) FWP + FRP (OHNE Rahmen)</t>
        </is>
      </c>
      <c r="C1980" s="4" t="inlineStr">
        <is>
          <t>Nachweis</t>
        </is>
      </c>
      <c r="D1980" s="10" t="inlineStr">
        <is>
          <t>⚠ Manual erforderlich</t>
        </is>
      </c>
      <c r="E1980" s="11" t="inlineStr"/>
      <c r="F1980" s="11" t="n">
        <v>0</v>
      </c>
      <c r="G1980" s="11">
        <f>E1980-F1980</f>
        <v/>
      </c>
      <c r="H1980" s="11" t="n">
        <v/>
      </c>
      <c r="I1980" s="11" t="n">
        <v/>
      </c>
      <c r="J1980" s="11" t="n">
        <v/>
      </c>
      <c r="K1980" s="4" t="inlineStr">
        <is>
          <t>Stundensätze eingeben</t>
        </is>
      </c>
    </row>
    <row r="1981">
      <c r="A1981" s="4" t="inlineStr">
        <is>
          <t>5862.01 BAB-Karpfenweg-10-12-Frankfurt</t>
        </is>
      </c>
      <c r="B1981" s="4" t="inlineStr">
        <is>
          <t>● 7000-Mitwirkung bei der Vergabe</t>
        </is>
      </c>
      <c r="C1981" s="9" t="inlineStr">
        <is>
          <t>Unbekannt</t>
        </is>
      </c>
      <c r="D1981" s="10" t="inlineStr">
        <is>
          <t>⚠ Manual erforderlich</t>
        </is>
      </c>
      <c r="E1981" s="11" t="inlineStr"/>
      <c r="F1981" s="11" t="n">
        <v>0</v>
      </c>
      <c r="G1981" s="11">
        <f>E1981-F1981</f>
        <v/>
      </c>
      <c r="H1981" s="11" t="n">
        <v/>
      </c>
      <c r="I1981" s="11" t="n">
        <v/>
      </c>
      <c r="J1981" s="11" t="n">
        <v/>
      </c>
      <c r="K1981" s="4" t="inlineStr">
        <is>
          <t>Abrechnungsart wählen; Stundensätze eingeben</t>
        </is>
      </c>
    </row>
    <row r="1982">
      <c r="A1982" s="4" t="inlineStr">
        <is>
          <t>5862.01 BAB-Karpfenweg-10-12-Frankfurt</t>
        </is>
      </c>
      <c r="B1982" s="4" t="inlineStr">
        <is>
          <t>● 8000-Objektüberwachung</t>
        </is>
      </c>
      <c r="C1982" s="9" t="inlineStr">
        <is>
          <t>Unbekannt</t>
        </is>
      </c>
      <c r="D1982" s="10" t="inlineStr">
        <is>
          <t>⚠ Manual erforderlich</t>
        </is>
      </c>
      <c r="E1982" s="11" t="inlineStr"/>
      <c r="F1982" s="11" t="n">
        <v>0</v>
      </c>
      <c r="G1982" s="11">
        <f>E1982-F1982</f>
        <v/>
      </c>
      <c r="H1982" s="11" t="n">
        <v/>
      </c>
      <c r="I1982" s="11" t="n">
        <v/>
      </c>
      <c r="J1982" s="11" t="n">
        <v/>
      </c>
      <c r="K1982" s="4" t="inlineStr">
        <is>
          <t>Abrechnungsart wählen; Stundensätze eingeben</t>
        </is>
      </c>
    </row>
    <row r="1983">
      <c r="A1983" s="4" t="inlineStr">
        <is>
          <t>5864.01 Pläne-Donaustraße-1-Memmingen</t>
        </is>
      </c>
      <c r="B1983" s="4" t="inlineStr">
        <is>
          <t>● 1000-Grundlagenermittlung</t>
        </is>
      </c>
      <c r="C1983" s="9" t="inlineStr">
        <is>
          <t>Unbekannt</t>
        </is>
      </c>
      <c r="D1983" s="10" t="inlineStr">
        <is>
          <t>⚠ Manual erforderlich</t>
        </is>
      </c>
      <c r="E1983" s="11" t="inlineStr"/>
      <c r="F1983" s="11" t="n">
        <v>0</v>
      </c>
      <c r="G1983" s="11">
        <f>E1983-F1983</f>
        <v/>
      </c>
      <c r="H1983" s="11" t="n">
        <v/>
      </c>
      <c r="I1983" s="11" t="n">
        <v/>
      </c>
      <c r="J1983" s="11" t="n">
        <v/>
      </c>
      <c r="K1983" s="4" t="inlineStr">
        <is>
          <t>Abrechnungsart wählen; Stundensätze eingeben</t>
        </is>
      </c>
    </row>
    <row r="1984">
      <c r="A1984" s="4" t="inlineStr">
        <is>
          <t>5864.01 Pläne-Donaustraße-1-Memmingen</t>
        </is>
      </c>
      <c r="B1984" s="4" t="inlineStr">
        <is>
          <t>● 8000-Objektüberwachung</t>
        </is>
      </c>
      <c r="C1984" s="9" t="inlineStr">
        <is>
          <t>Unbekannt</t>
        </is>
      </c>
      <c r="D1984" s="10" t="inlineStr">
        <is>
          <t>⚠ Manual erforderlich</t>
        </is>
      </c>
      <c r="E1984" s="11" t="inlineStr"/>
      <c r="F1984" s="11" t="n">
        <v>0</v>
      </c>
      <c r="G1984" s="11">
        <f>E1984-F1984</f>
        <v/>
      </c>
      <c r="H1984" s="11" t="n">
        <v/>
      </c>
      <c r="I1984" s="11" t="n">
        <v/>
      </c>
      <c r="J1984" s="11" t="n">
        <v/>
      </c>
      <c r="K1984" s="4" t="inlineStr">
        <is>
          <t>Abrechnungsart wählen; Stundensätze eingeben</t>
        </is>
      </c>
    </row>
    <row r="1985">
      <c r="A1985" s="4" t="inlineStr">
        <is>
          <t>5864.01 Pläne-Donaustraße-1-Memmingen</t>
        </is>
      </c>
      <c r="B1985" s="4" t="inlineStr">
        <is>
          <t>● 9000-Objektbetreuung und Dokumentation</t>
        </is>
      </c>
      <c r="C1985" s="9" t="inlineStr">
        <is>
          <t>Unbekannt</t>
        </is>
      </c>
      <c r="D1985" s="10" t="inlineStr">
        <is>
          <t>⚠ Manual erforderlich</t>
        </is>
      </c>
      <c r="E1985" s="11" t="inlineStr"/>
      <c r="F1985" s="11" t="n">
        <v>0</v>
      </c>
      <c r="G1985" s="11">
        <f>E1985-F1985</f>
        <v/>
      </c>
      <c r="H1985" s="11" t="n">
        <v/>
      </c>
      <c r="I1985" s="11" t="n">
        <v/>
      </c>
      <c r="J1985" s="11" t="n">
        <v/>
      </c>
      <c r="K1985" s="4" t="inlineStr">
        <is>
          <t>Abrechnungsart wählen; Stundensätze eingeben</t>
        </is>
      </c>
    </row>
    <row r="1986">
      <c r="A1986" s="4" t="inlineStr">
        <is>
          <t>5864.02 TekturBSK-Donaustraße-1-Memmingen</t>
        </is>
      </c>
      <c r="B1986" s="4" t="inlineStr">
        <is>
          <t>● • 4309-Fortschreibung Brandschutzkonzept / Tektur</t>
        </is>
      </c>
      <c r="C1986" s="9" t="inlineStr">
        <is>
          <t>Unbekannt</t>
        </is>
      </c>
      <c r="D1986" s="10" t="inlineStr">
        <is>
          <t>⚠ Manual erforderlich</t>
        </is>
      </c>
      <c r="E1986" s="11" t="inlineStr"/>
      <c r="F1986" s="11" t="n">
        <v>0</v>
      </c>
      <c r="G1986" s="11">
        <f>E1986-F1986</f>
        <v/>
      </c>
      <c r="H1986" s="11" t="n">
        <v/>
      </c>
      <c r="I1986" s="11" t="n">
        <v/>
      </c>
      <c r="J1986" s="11" t="n">
        <v/>
      </c>
      <c r="K1986" s="4" t="inlineStr">
        <is>
          <t>Abrechnungsart wählen; Stundensätze eingeben</t>
        </is>
      </c>
    </row>
    <row r="1987">
      <c r="A1987" s="4" t="inlineStr">
        <is>
          <t>5864.02 TekturBSK-Donaustraße-1-Memmingen</t>
        </is>
      </c>
      <c r="B1987" s="4" t="inlineStr">
        <is>
          <t>● • 4302-Ortstermine, Besprechung Behörde, Feuerwehr etc...</t>
        </is>
      </c>
      <c r="C1987" s="9" t="inlineStr">
        <is>
          <t>Unbekannt</t>
        </is>
      </c>
      <c r="D1987" s="10" t="inlineStr">
        <is>
          <t>⚠ Manual erforderlich</t>
        </is>
      </c>
      <c r="E1987" s="11" t="inlineStr"/>
      <c r="F1987" s="11" t="n">
        <v>0</v>
      </c>
      <c r="G1987" s="11">
        <f>E1987-F1987</f>
        <v/>
      </c>
      <c r="H1987" s="11" t="n">
        <v/>
      </c>
      <c r="I1987" s="11" t="n">
        <v/>
      </c>
      <c r="J1987" s="11" t="n">
        <v/>
      </c>
      <c r="K1987" s="4" t="inlineStr">
        <is>
          <t>Abrechnungsart wählen; Stundensätze eingeben</t>
        </is>
      </c>
    </row>
    <row r="1988">
      <c r="A1988" s="4" t="inlineStr">
        <is>
          <t>5864.02 TekturBSK-Donaustraße-1-Memmingen</t>
        </is>
      </c>
      <c r="B1988" s="4" t="inlineStr">
        <is>
          <t>● • 4103-Erarbeiten Brandschutzkonzeptpläne….</t>
        </is>
      </c>
      <c r="C1988" s="9" t="inlineStr">
        <is>
          <t>Unbekannt</t>
        </is>
      </c>
      <c r="D1988" s="10" t="inlineStr">
        <is>
          <t>⚠ Manual erforderlich</t>
        </is>
      </c>
      <c r="E1988" s="11" t="inlineStr"/>
      <c r="F1988" s="11" t="n">
        <v>0</v>
      </c>
      <c r="G1988" s="11">
        <f>E1988-F1988</f>
        <v/>
      </c>
      <c r="H1988" s="11" t="n">
        <v/>
      </c>
      <c r="I1988" s="11" t="n">
        <v/>
      </c>
      <c r="J1988" s="11" t="n">
        <v/>
      </c>
      <c r="K1988" s="4" t="inlineStr">
        <is>
          <t>Abrechnungsart wählen; Stundensätze eingeben</t>
        </is>
      </c>
    </row>
    <row r="1989">
      <c r="A1989" s="4" t="inlineStr">
        <is>
          <t>5864.02 TekturBSK-Donaustraße-1-Memmingen</t>
        </is>
      </c>
      <c r="B1989" s="4" t="inlineStr">
        <is>
          <t>● • 1200-Bestandserfassung vor Ort....</t>
        </is>
      </c>
      <c r="C1989" s="9" t="inlineStr">
        <is>
          <t>Unbekannt</t>
        </is>
      </c>
      <c r="D1989" s="10" t="inlineStr">
        <is>
          <t>⚠ Manual erforderlich</t>
        </is>
      </c>
      <c r="E1989" s="11" t="inlineStr"/>
      <c r="F1989" s="11" t="n">
        <v>0</v>
      </c>
      <c r="G1989" s="11">
        <f>E1989-F1989</f>
        <v/>
      </c>
      <c r="H1989" s="11" t="n">
        <v/>
      </c>
      <c r="I1989" s="11" t="n">
        <v/>
      </c>
      <c r="J1989" s="11" t="n">
        <v/>
      </c>
      <c r="K1989" s="4" t="inlineStr">
        <is>
          <t>Abrechnungsart wählen; Stundensätze eingeben</t>
        </is>
      </c>
    </row>
    <row r="1990">
      <c r="A1990" s="4" t="inlineStr">
        <is>
          <t>5864.02 TekturBSK-Donaustraße-1-Memmingen</t>
        </is>
      </c>
      <c r="B1990" s="4" t="inlineStr">
        <is>
          <t>● • 1101-Zusammenstellen Ergebnisse….</t>
        </is>
      </c>
      <c r="C1990" s="9" t="inlineStr">
        <is>
          <t>Unbekannt</t>
        </is>
      </c>
      <c r="D1990" s="10" t="inlineStr">
        <is>
          <t>⚠ Manual erforderlich</t>
        </is>
      </c>
      <c r="E1990" s="11" t="inlineStr"/>
      <c r="F1990" s="11" t="n">
        <v>0</v>
      </c>
      <c r="G1990" s="11">
        <f>E1990-F1990</f>
        <v/>
      </c>
      <c r="H1990" s="11" t="n">
        <v/>
      </c>
      <c r="I1990" s="11" t="n">
        <v/>
      </c>
      <c r="J1990" s="11" t="n">
        <v/>
      </c>
      <c r="K1990" s="4" t="inlineStr">
        <is>
          <t>Abrechnungsart wählen; Stundensätze eingeben</t>
        </is>
      </c>
    </row>
    <row r="1991">
      <c r="A1991" s="4" t="inlineStr">
        <is>
          <t>5864.02 TekturBSK-Donaustraße-1-Memmingen</t>
        </is>
      </c>
      <c r="B1991" s="4" t="inlineStr">
        <is>
          <t>● • 2302-Beratungsleistungen in der Planungsphase...</t>
        </is>
      </c>
      <c r="C1991" s="9" t="inlineStr">
        <is>
          <t>Unbekannt</t>
        </is>
      </c>
      <c r="D1991" s="10" t="inlineStr">
        <is>
          <t>⚠ Manual erforderlich</t>
        </is>
      </c>
      <c r="E1991" s="11" t="inlineStr"/>
      <c r="F1991" s="11" t="n">
        <v>0</v>
      </c>
      <c r="G1991" s="11">
        <f>E1991-F1991</f>
        <v/>
      </c>
      <c r="H1991" s="11" t="n">
        <v/>
      </c>
      <c r="I1991" s="11" t="n">
        <v/>
      </c>
      <c r="J1991" s="11" t="n">
        <v/>
      </c>
      <c r="K1991" s="4" t="inlineStr">
        <is>
          <t>Abrechnungsart wählen; Stundensätze eingeben</t>
        </is>
      </c>
    </row>
    <row r="1992">
      <c r="A1992" s="4" t="inlineStr">
        <is>
          <t>5864.02 TekturBSK-Donaustraße-1-Memmingen</t>
        </is>
      </c>
      <c r="B1992" s="4" t="inlineStr">
        <is>
          <t>● • 2103-Vorabstimmungen Behörden….</t>
        </is>
      </c>
      <c r="C1992" s="9" t="inlineStr">
        <is>
          <t>Unbekannt</t>
        </is>
      </c>
      <c r="D1992" s="10" t="inlineStr">
        <is>
          <t>⚠ Manual erforderlich</t>
        </is>
      </c>
      <c r="E1992" s="11" t="inlineStr"/>
      <c r="F1992" s="11" t="n">
        <v>0</v>
      </c>
      <c r="G1992" s="11">
        <f>E1992-F1992</f>
        <v/>
      </c>
      <c r="H1992" s="11" t="n">
        <v/>
      </c>
      <c r="I1992" s="11" t="n">
        <v/>
      </c>
      <c r="J1992" s="11" t="n">
        <v/>
      </c>
      <c r="K1992" s="4" t="inlineStr">
        <is>
          <t>Abrechnungsart wählen; Stundensätze eingeben</t>
        </is>
      </c>
    </row>
    <row r="1993">
      <c r="A1993" s="4" t="inlineStr">
        <is>
          <t>5867 Henry-Dunant-Straße-1-Groß-Gerau-DRK</t>
        </is>
      </c>
      <c r="B1993" s="4" t="inlineStr">
        <is>
          <t>● 1000-Grundlagenermittlung</t>
        </is>
      </c>
      <c r="C1993" s="9" t="inlineStr">
        <is>
          <t>Unbekannt</t>
        </is>
      </c>
      <c r="D1993" s="10" t="inlineStr">
        <is>
          <t>⚠ Manual erforderlich</t>
        </is>
      </c>
      <c r="E1993" s="11" t="inlineStr"/>
      <c r="F1993" s="11" t="n">
        <v>0</v>
      </c>
      <c r="G1993" s="11">
        <f>E1993-F1993</f>
        <v/>
      </c>
      <c r="H1993" s="11" t="n">
        <v/>
      </c>
      <c r="I1993" s="11" t="n">
        <v/>
      </c>
      <c r="J1993" s="11" t="n">
        <v/>
      </c>
      <c r="K1993" s="4" t="inlineStr">
        <is>
          <t>Abrechnungsart wählen; Stundensätze eingeben</t>
        </is>
      </c>
    </row>
    <row r="1994">
      <c r="A1994" s="4" t="inlineStr">
        <is>
          <t>5867 Henry-Dunant-Straße-1-Groß-Gerau-DRK</t>
        </is>
      </c>
      <c r="B1994" s="4" t="inlineStr">
        <is>
          <t>● 2000-Vorplanung</t>
        </is>
      </c>
      <c r="C1994" s="9" t="inlineStr">
        <is>
          <t>Unbekannt</t>
        </is>
      </c>
      <c r="D1994" s="10" t="inlineStr">
        <is>
          <t>⚠ Manual erforderlich</t>
        </is>
      </c>
      <c r="E1994" s="11" t="inlineStr"/>
      <c r="F1994" s="11" t="n">
        <v>0</v>
      </c>
      <c r="G1994" s="11">
        <f>E1994-F1994</f>
        <v/>
      </c>
      <c r="H1994" s="11" t="n">
        <v/>
      </c>
      <c r="I1994" s="11" t="n">
        <v/>
      </c>
      <c r="J1994" s="11" t="n">
        <v/>
      </c>
      <c r="K1994" s="4" t="inlineStr">
        <is>
          <t>Abrechnungsart wählen; Stundensätze eingeben</t>
        </is>
      </c>
    </row>
    <row r="1995">
      <c r="A1995" s="4" t="inlineStr">
        <is>
          <t>5867 Henry-Dunant-Straße-1-Groß-Gerau-DRK</t>
        </is>
      </c>
      <c r="B1995" s="4" t="inlineStr">
        <is>
          <t>● 3000-Entwurfsplanung</t>
        </is>
      </c>
      <c r="C1995" s="9" t="inlineStr">
        <is>
          <t>Unbekannt</t>
        </is>
      </c>
      <c r="D1995" s="10" t="inlineStr">
        <is>
          <t>⚠ Manual erforderlich</t>
        </is>
      </c>
      <c r="E1995" s="11" t="inlineStr"/>
      <c r="F1995" s="11" t="n">
        <v>0</v>
      </c>
      <c r="G1995" s="11">
        <f>E1995-F1995</f>
        <v/>
      </c>
      <c r="H1995" s="11" t="n">
        <v/>
      </c>
      <c r="I1995" s="11" t="n">
        <v/>
      </c>
      <c r="J1995" s="11" t="n">
        <v/>
      </c>
      <c r="K1995" s="4" t="inlineStr">
        <is>
          <t>Abrechnungsart wählen; Stundensätze eingeben</t>
        </is>
      </c>
    </row>
    <row r="1996">
      <c r="A1996" s="4" t="inlineStr">
        <is>
          <t>5867 Henry-Dunant-Straße-1-Groß-Gerau-DRK</t>
        </is>
      </c>
      <c r="B1996" s="4" t="inlineStr">
        <is>
          <t>● 4000-Genehmigungsplanung</t>
        </is>
      </c>
      <c r="C1996" s="9" t="inlineStr">
        <is>
          <t>Unbekannt</t>
        </is>
      </c>
      <c r="D1996" s="10" t="inlineStr">
        <is>
          <t>⚠ Manual erforderlich</t>
        </is>
      </c>
      <c r="E1996" s="11" t="inlineStr"/>
      <c r="F1996" s="11" t="n">
        <v>0</v>
      </c>
      <c r="G1996" s="11">
        <f>E1996-F1996</f>
        <v/>
      </c>
      <c r="H1996" s="11" t="n">
        <v/>
      </c>
      <c r="I1996" s="11" t="n">
        <v/>
      </c>
      <c r="J1996" s="11" t="n">
        <v/>
      </c>
      <c r="K1996" s="4" t="inlineStr">
        <is>
          <t>Abrechnungsart wählen; Stundensätze eingeben</t>
        </is>
      </c>
    </row>
    <row r="1997">
      <c r="A1997" s="4" t="inlineStr">
        <is>
          <t>5867 Henry-Dunant-Straße-1-Groß-Gerau-DRK</t>
        </is>
      </c>
      <c r="B1997" s="4" t="inlineStr">
        <is>
          <t>● 9000-Objektbetreuung und Dokumentation</t>
        </is>
      </c>
      <c r="C1997" s="9" t="inlineStr">
        <is>
          <t>Unbekannt</t>
        </is>
      </c>
      <c r="D1997" s="10" t="inlineStr">
        <is>
          <t>⚠ Manual erforderlich</t>
        </is>
      </c>
      <c r="E1997" s="11" t="inlineStr"/>
      <c r="F1997" s="11" t="n">
        <v>0</v>
      </c>
      <c r="G1997" s="11">
        <f>E1997-F1997</f>
        <v/>
      </c>
      <c r="H1997" s="11" t="n">
        <v/>
      </c>
      <c r="I1997" s="11" t="n">
        <v/>
      </c>
      <c r="J1997" s="11" t="n">
        <v/>
      </c>
      <c r="K1997" s="4" t="inlineStr">
        <is>
          <t>Abrechnungsart wählen; Stundensätze eingeben</t>
        </is>
      </c>
    </row>
    <row r="1998">
      <c r="A1998" s="4" t="inlineStr">
        <is>
          <t>5867 Henry-Dunant-Straße-1-Groß-Gerau-DRK</t>
        </is>
      </c>
      <c r="B1998" s="4" t="inlineStr">
        <is>
          <t>● (a.N.) Baubegleitung Brandschutz</t>
        </is>
      </c>
      <c r="C1998" s="4" t="inlineStr">
        <is>
          <t>Nachweis</t>
        </is>
      </c>
      <c r="D1998" s="10" t="inlineStr">
        <is>
          <t>⚠ Manual erforderlich</t>
        </is>
      </c>
      <c r="E1998" s="11" t="inlineStr"/>
      <c r="F1998" s="11" t="n">
        <v>0</v>
      </c>
      <c r="G1998" s="11">
        <f>E1998-F1998</f>
        <v/>
      </c>
      <c r="H1998" s="11" t="n">
        <v/>
      </c>
      <c r="I1998" s="11" t="n">
        <v/>
      </c>
      <c r="J1998" s="11" t="n">
        <v/>
      </c>
      <c r="K1998" s="4" t="inlineStr">
        <is>
          <t>Stundensätze eingeben</t>
        </is>
      </c>
    </row>
    <row r="1999">
      <c r="A1999" s="4" t="inlineStr">
        <is>
          <t>5872 OrgBSK-Laurentiusweg-1-Mainburg-Ilmtalklinik</t>
        </is>
      </c>
      <c r="B1999" s="4" t="inlineStr">
        <is>
          <t>● 2000-Vorplanung</t>
        </is>
      </c>
      <c r="C1999" s="9" t="inlineStr">
        <is>
          <t>Unbekannt</t>
        </is>
      </c>
      <c r="D1999" s="10" t="inlineStr">
        <is>
          <t>⚠ Manual erforderlich</t>
        </is>
      </c>
      <c r="E1999" s="11" t="inlineStr"/>
      <c r="F1999" s="11" t="n">
        <v>0</v>
      </c>
      <c r="G1999" s="11">
        <f>E1999-F1999</f>
        <v/>
      </c>
      <c r="H1999" s="11" t="n">
        <v/>
      </c>
      <c r="I1999" s="11" t="n">
        <v/>
      </c>
      <c r="J1999" s="11" t="n">
        <v/>
      </c>
      <c r="K1999" s="4" t="inlineStr">
        <is>
          <t>Abrechnungsart wählen; Stundensätze eingeben</t>
        </is>
      </c>
    </row>
    <row r="2000">
      <c r="A2000" s="4" t="inlineStr">
        <is>
          <t>5872 OrgBSK-Laurentiusweg-1-Mainburg-Ilmtalklinik</t>
        </is>
      </c>
      <c r="B2000" s="4" t="inlineStr">
        <is>
          <t>● 3000-Entwurfsplanung</t>
        </is>
      </c>
      <c r="C2000" s="9" t="inlineStr">
        <is>
          <t>Unbekannt</t>
        </is>
      </c>
      <c r="D2000" s="10" t="inlineStr">
        <is>
          <t>⚠ Manual erforderlich</t>
        </is>
      </c>
      <c r="E2000" s="11" t="inlineStr"/>
      <c r="F2000" s="11" t="n">
        <v>0</v>
      </c>
      <c r="G2000" s="11">
        <f>E2000-F2000</f>
        <v/>
      </c>
      <c r="H2000" s="11" t="n">
        <v/>
      </c>
      <c r="I2000" s="11" t="n">
        <v/>
      </c>
      <c r="J2000" s="11" t="n">
        <v/>
      </c>
      <c r="K2000" s="4" t="inlineStr">
        <is>
          <t>Abrechnungsart wählen; Stundensätze eingeben</t>
        </is>
      </c>
    </row>
    <row r="2001">
      <c r="A2001" s="4" t="inlineStr">
        <is>
          <t>5872 OrgBSK-Laurentiusweg-1-Mainburg-Ilmtalklinik</t>
        </is>
      </c>
      <c r="B2001" s="4" t="inlineStr">
        <is>
          <t>● (aN) NAT 01</t>
        </is>
      </c>
      <c r="C2001" s="4" t="inlineStr">
        <is>
          <t>Nachweis</t>
        </is>
      </c>
      <c r="D2001" s="10" t="inlineStr">
        <is>
          <t>⚠ Manual erforderlich</t>
        </is>
      </c>
      <c r="E2001" s="11" t="inlineStr"/>
      <c r="F2001" s="11" t="n">
        <v>0</v>
      </c>
      <c r="G2001" s="11">
        <f>E2001-F2001</f>
        <v/>
      </c>
      <c r="H2001" s="11" t="n">
        <v/>
      </c>
      <c r="I2001" s="11" t="n">
        <v/>
      </c>
      <c r="J2001" s="11" t="n">
        <v/>
      </c>
      <c r="K2001" s="4" t="inlineStr">
        <is>
          <t>Stundensätze eingeben</t>
        </is>
      </c>
    </row>
    <row r="2002">
      <c r="A2002" s="4" t="inlineStr">
        <is>
          <t>5872.01 Laurentiusweg-1-Mainburg-Ilmtalklinik</t>
        </is>
      </c>
      <c r="B2002" s="4" t="inlineStr">
        <is>
          <t>● Pos.1 Planungsbegl. Zielplanung (Gesamtklinik) (pauschal)</t>
        </is>
      </c>
      <c r="C2002" s="9" t="inlineStr">
        <is>
          <t>Unbekannt</t>
        </is>
      </c>
      <c r="D2002" s="10" t="inlineStr">
        <is>
          <t>⚠ Manual erforderlich</t>
        </is>
      </c>
      <c r="E2002" s="11" t="inlineStr"/>
      <c r="F2002" s="11" t="n">
        <v>0</v>
      </c>
      <c r="G2002" s="11">
        <f>E2002-F2002</f>
        <v/>
      </c>
      <c r="H2002" s="11" t="n">
        <v/>
      </c>
      <c r="I2002" s="11" t="n">
        <v/>
      </c>
      <c r="J2002" s="11" t="n">
        <v/>
      </c>
      <c r="K2002" s="4" t="inlineStr">
        <is>
          <t>Abrechnungsart wählen; Stundensätze eingeben</t>
        </is>
      </c>
    </row>
    <row r="2003">
      <c r="A2003" s="4" t="inlineStr">
        <is>
          <t>5872.01 Laurentiusweg-1-Mainburg-Ilmtalklinik</t>
        </is>
      </c>
      <c r="B2003" s="4" t="inlineStr">
        <is>
          <t>● Pos.2 Planungsbegl. LP 1+2 BA1+2 (pauschal)</t>
        </is>
      </c>
      <c r="C2003" s="9" t="inlineStr">
        <is>
          <t>Unbekannt</t>
        </is>
      </c>
      <c r="D2003" s="10" t="inlineStr">
        <is>
          <t>⚠ Manual erforderlich</t>
        </is>
      </c>
      <c r="E2003" s="11" t="inlineStr"/>
      <c r="F2003" s="11" t="n">
        <v>0</v>
      </c>
      <c r="G2003" s="11">
        <f>E2003-F2003</f>
        <v/>
      </c>
      <c r="H2003" s="11" t="n">
        <v/>
      </c>
      <c r="I2003" s="11" t="n">
        <v/>
      </c>
      <c r="J2003" s="11" t="n">
        <v/>
      </c>
      <c r="K2003" s="4" t="inlineStr">
        <is>
          <t>Abrechnungsart wählen; Stundensätze eingeben</t>
        </is>
      </c>
    </row>
    <row r="2004">
      <c r="A2004" s="4" t="inlineStr">
        <is>
          <t>5872.01 Laurentiusweg-1-Mainburg-Ilmtalklinik</t>
        </is>
      </c>
      <c r="B2004" s="4" t="inlineStr">
        <is>
          <t>● Pos.3 Planungsbegl. LP 3+4 + BSN BA1+2 (pauschal)</t>
        </is>
      </c>
      <c r="C2004" s="9" t="inlineStr">
        <is>
          <t>Unbekannt</t>
        </is>
      </c>
      <c r="D2004" s="10" t="inlineStr">
        <is>
          <t>⚠ Manual erforderlich</t>
        </is>
      </c>
      <c r="E2004" s="11" t="inlineStr"/>
      <c r="F2004" s="11" t="n">
        <v>0</v>
      </c>
      <c r="G2004" s="11">
        <f>E2004-F2004</f>
        <v/>
      </c>
      <c r="H2004" s="11" t="n">
        <v/>
      </c>
      <c r="I2004" s="11" t="n">
        <v/>
      </c>
      <c r="J2004" s="11" t="n">
        <v/>
      </c>
      <c r="K2004" s="4" t="inlineStr">
        <is>
          <t>Abrechnungsart wählen; Stundensätze eingeben</t>
        </is>
      </c>
    </row>
    <row r="2005">
      <c r="A2005" s="4" t="inlineStr">
        <is>
          <t>5872.01 Laurentiusweg-1-Mainburg-Ilmtalklinik</t>
        </is>
      </c>
      <c r="B2005" s="4" t="inlineStr">
        <is>
          <t>● Pos.4 Planungsbegl. LP5 (pauschal)</t>
        </is>
      </c>
      <c r="C2005" s="9" t="inlineStr">
        <is>
          <t>Unbekannt</t>
        </is>
      </c>
      <c r="D2005" s="10" t="inlineStr">
        <is>
          <t>⚠ Manual erforderlich</t>
        </is>
      </c>
      <c r="E2005" s="11" t="inlineStr"/>
      <c r="F2005" s="11" t="n">
        <v>0</v>
      </c>
      <c r="G2005" s="11">
        <f>E2005-F2005</f>
        <v/>
      </c>
      <c r="H2005" s="11" t="n">
        <v/>
      </c>
      <c r="I2005" s="11" t="n">
        <v/>
      </c>
      <c r="J2005" s="11" t="n">
        <v/>
      </c>
      <c r="K2005" s="4" t="inlineStr">
        <is>
          <t>Abrechnungsart wählen; Stundensätze eingeben</t>
        </is>
      </c>
    </row>
    <row r="2006">
      <c r="A2006" s="4" t="inlineStr">
        <is>
          <t>5872.01 Laurentiusweg-1-Mainburg-Ilmtalklinik</t>
        </is>
      </c>
      <c r="B2006" s="4" t="inlineStr">
        <is>
          <t>● Tagespauschalen für Ortstermine (pauschal)</t>
        </is>
      </c>
      <c r="C2006" s="9" t="inlineStr">
        <is>
          <t>Unbekannt</t>
        </is>
      </c>
      <c r="D2006" s="10" t="inlineStr">
        <is>
          <t>⚠ Manual erforderlich</t>
        </is>
      </c>
      <c r="E2006" s="11" t="inlineStr"/>
      <c r="F2006" s="11" t="n">
        <v>0</v>
      </c>
      <c r="G2006" s="11">
        <f>E2006-F2006</f>
        <v/>
      </c>
      <c r="H2006" s="11" t="n">
        <v/>
      </c>
      <c r="I2006" s="11" t="n">
        <v/>
      </c>
      <c r="J2006" s="11" t="n">
        <v/>
      </c>
      <c r="K2006" s="4" t="inlineStr">
        <is>
          <t>Abrechnungsart wählen; Stundensätze eingeben</t>
        </is>
      </c>
    </row>
    <row r="2007">
      <c r="A2007" s="4" t="inlineStr">
        <is>
          <t>5872.02 Ilmtalklinik-AHO-KH-Mainburg-Laurentiusweg-1-Mainburg-BA1</t>
        </is>
      </c>
      <c r="B2007" s="4" t="inlineStr">
        <is>
          <t>● (p) Pos.1: - Brandschutztechn. Planungsbegl. LP 1+2</t>
        </is>
      </c>
      <c r="C2007" s="4" t="inlineStr">
        <is>
          <t>Pauschale</t>
        </is>
      </c>
      <c r="D2007" s="10" t="inlineStr">
        <is>
          <t>⚠ Manual erforderlich</t>
        </is>
      </c>
      <c r="E2007" s="11" t="inlineStr"/>
      <c r="F2007" s="11" t="n">
        <v>0</v>
      </c>
      <c r="G2007" s="11">
        <f>E2007-F2007</f>
        <v/>
      </c>
      <c r="H2007" s="11" t="n">
        <v>0</v>
      </c>
      <c r="I2007" s="11" t="n">
        <v>0</v>
      </c>
      <c r="J2007" s="11" t="n">
        <v>0</v>
      </c>
      <c r="K2007" s="4" t="inlineStr">
        <is>
          <t>Stundensätze eingeben</t>
        </is>
      </c>
    </row>
    <row r="2008">
      <c r="A2008" s="4" t="inlineStr">
        <is>
          <t>5872.02 Ilmtalklinik-AHO-KH-Mainburg-Laurentiusweg-1-Mainburg-BA1</t>
        </is>
      </c>
      <c r="B2008" s="4" t="inlineStr">
        <is>
          <t>● (p) Pos.2: - Brandschutztechn. Planungsbegl. LP 3+4</t>
        </is>
      </c>
      <c r="C2008" s="4" t="inlineStr">
        <is>
          <t>Pauschale</t>
        </is>
      </c>
      <c r="D2008" s="10" t="inlineStr">
        <is>
          <t>⚠ Manual erforderlich</t>
        </is>
      </c>
      <c r="E2008" s="11" t="inlineStr"/>
      <c r="F2008" s="11" t="n">
        <v>0</v>
      </c>
      <c r="G2008" s="11">
        <f>E2008-F2008</f>
        <v/>
      </c>
      <c r="H2008" s="11" t="n">
        <v>0</v>
      </c>
      <c r="I2008" s="11" t="n">
        <v>0</v>
      </c>
      <c r="J2008" s="11" t="n">
        <v>0</v>
      </c>
      <c r="K2008" s="4" t="inlineStr">
        <is>
          <t>Stundensätze eingeben</t>
        </is>
      </c>
    </row>
    <row r="2009">
      <c r="A2009" s="4" t="inlineStr">
        <is>
          <t>5872.02 Ilmtalklinik-AHO-KH-Mainburg-Laurentiusweg-1-Mainburg-BA1</t>
        </is>
      </c>
      <c r="B2009" s="4" t="inlineStr">
        <is>
          <t>● (a.N.) Pos. 3 - Beratungen i.R.d. Ausführungsplanung - LP 5</t>
        </is>
      </c>
      <c r="C2009" s="4" t="inlineStr">
        <is>
          <t>Nachweis</t>
        </is>
      </c>
      <c r="D2009" s="10" t="inlineStr">
        <is>
          <t>⚠ Manual erforderlich</t>
        </is>
      </c>
      <c r="E2009" s="11" t="inlineStr"/>
      <c r="F2009" s="11" t="n">
        <v>0</v>
      </c>
      <c r="G2009" s="11">
        <f>E2009-F2009</f>
        <v/>
      </c>
      <c r="H2009" s="11" t="n">
        <v/>
      </c>
      <c r="I2009" s="11" t="n">
        <v/>
      </c>
      <c r="J2009" s="11" t="n">
        <v/>
      </c>
      <c r="K2009" s="4" t="inlineStr">
        <is>
          <t>Stundensätze eingeben</t>
        </is>
      </c>
    </row>
    <row r="2010">
      <c r="A2010" s="4" t="inlineStr">
        <is>
          <t>5872.02 Ilmtalklinik-AHO-KH-Mainburg-Laurentiusweg-1-Mainburg-BA1</t>
        </is>
      </c>
      <c r="B2010" s="4" t="inlineStr">
        <is>
          <t>● (p) Pos.3a:  Projektbesprechungen (4 Stück)</t>
        </is>
      </c>
      <c r="C2010" s="4" t="inlineStr">
        <is>
          <t>Pauschale</t>
        </is>
      </c>
      <c r="D2010" s="10" t="inlineStr">
        <is>
          <t>⚠ Manual erforderlich</t>
        </is>
      </c>
      <c r="E2010" s="11" t="inlineStr"/>
      <c r="F2010" s="11" t="n">
        <v>0</v>
      </c>
      <c r="G2010" s="11">
        <f>E2010-F2010</f>
        <v/>
      </c>
      <c r="H2010" s="11" t="n">
        <v>0</v>
      </c>
      <c r="I2010" s="11" t="n">
        <v>0</v>
      </c>
      <c r="J2010" s="11" t="n">
        <v>0</v>
      </c>
      <c r="K2010" s="4" t="inlineStr">
        <is>
          <t>Stundensätze eingeben</t>
        </is>
      </c>
    </row>
    <row r="2011">
      <c r="A2011" s="4" t="inlineStr">
        <is>
          <t>5872.02 Ilmtalklinik-AHO-KH-Mainburg-Laurentiusweg-1-Mainburg-BA1</t>
        </is>
      </c>
      <c r="B2011" s="4" t="inlineStr">
        <is>
          <t>● (p) Pos.4 - Erstellung einer Brandschutz-Steuermatrix - Optional</t>
        </is>
      </c>
      <c r="C2011" s="4" t="inlineStr">
        <is>
          <t>Pauschale</t>
        </is>
      </c>
      <c r="D2011" s="10" t="inlineStr">
        <is>
          <t>⚠ Manual erforderlich</t>
        </is>
      </c>
      <c r="E2011" s="11" t="inlineStr"/>
      <c r="F2011" s="11" t="n">
        <v>0</v>
      </c>
      <c r="G2011" s="11">
        <f>E2011-F2011</f>
        <v/>
      </c>
      <c r="H2011" s="11" t="n">
        <v>0</v>
      </c>
      <c r="I2011" s="11" t="n">
        <v>0</v>
      </c>
      <c r="J2011" s="11" t="n">
        <v>0</v>
      </c>
      <c r="K2011" s="4" t="inlineStr">
        <is>
          <t>Stundensätze eingeben</t>
        </is>
      </c>
    </row>
    <row r="2012">
      <c r="A2012" s="4" t="inlineStr">
        <is>
          <t>5872.02 Ilmtalklinik-AHO-KH-Mainburg-Laurentiusweg-1-Mainburg-BA1</t>
        </is>
      </c>
      <c r="B2012" s="4" t="inlineStr">
        <is>
          <t>● NAT.01</t>
        </is>
      </c>
      <c r="C2012" s="9" t="inlineStr">
        <is>
          <t>Unbekannt</t>
        </is>
      </c>
      <c r="D2012" s="10" t="inlineStr">
        <is>
          <t>⚠ Manual erforderlich</t>
        </is>
      </c>
      <c r="E2012" s="11" t="inlineStr"/>
      <c r="F2012" s="11" t="n">
        <v>0</v>
      </c>
      <c r="G2012" s="11">
        <f>E2012-F2012</f>
        <v/>
      </c>
      <c r="H2012" s="11" t="n">
        <v/>
      </c>
      <c r="I2012" s="11" t="n">
        <v/>
      </c>
      <c r="J2012" s="11" t="n">
        <v/>
      </c>
      <c r="K2012" s="4" t="inlineStr">
        <is>
          <t>Abrechnungsart wählen; Stundensätze eingeben</t>
        </is>
      </c>
    </row>
    <row r="2013">
      <c r="A2013" s="4" t="inlineStr">
        <is>
          <t>5875.02 Halle-W-Homburger-Straße-117-125-Zweibrücken-Container</t>
        </is>
      </c>
      <c r="B2013" s="4" t="inlineStr">
        <is>
          <t>● Brandschutzkonzept Halle W (auf Nachweis)</t>
        </is>
      </c>
      <c r="C2013" s="9" t="inlineStr">
        <is>
          <t>Unbekannt</t>
        </is>
      </c>
      <c r="D2013" s="10" t="inlineStr">
        <is>
          <t>⚠ Manual erforderlich</t>
        </is>
      </c>
      <c r="E2013" s="11" t="inlineStr"/>
      <c r="F2013" s="11" t="n">
        <v>0</v>
      </c>
      <c r="G2013" s="11">
        <f>E2013-F2013</f>
        <v/>
      </c>
      <c r="H2013" s="11" t="n">
        <v/>
      </c>
      <c r="I2013" s="11" t="n">
        <v/>
      </c>
      <c r="J2013" s="11" t="n">
        <v/>
      </c>
      <c r="K2013" s="4" t="inlineStr">
        <is>
          <t>Abrechnungsart wählen; Stundensätze eingeben</t>
        </is>
      </c>
    </row>
    <row r="2014">
      <c r="A2014" s="4" t="inlineStr">
        <is>
          <t>5875.031 John Deere-BAB-Homburger-Straße-117-125-Zweibrücken-Keller-Halle-B</t>
        </is>
      </c>
      <c r="B2014" s="4" t="inlineStr">
        <is>
          <t>● (aN) Pos.1 Baubegleitende Brandschutzberatung und Qualitätsüberwachung</t>
        </is>
      </c>
      <c r="C2014" s="4" t="inlineStr">
        <is>
          <t>Nachweis</t>
        </is>
      </c>
      <c r="D2014" s="10" t="inlineStr">
        <is>
          <t>⚠ Manual erforderlich</t>
        </is>
      </c>
      <c r="E2014" s="11" t="inlineStr"/>
      <c r="F2014" s="11" t="n">
        <v>0</v>
      </c>
      <c r="G2014" s="11">
        <f>E2014-F2014</f>
        <v/>
      </c>
      <c r="H2014" s="11" t="n">
        <v/>
      </c>
      <c r="I2014" s="11" t="n">
        <v/>
      </c>
      <c r="J2014" s="11" t="n">
        <v/>
      </c>
      <c r="K2014" s="4" t="inlineStr">
        <is>
          <t>Stundensätze eingeben</t>
        </is>
      </c>
    </row>
    <row r="2015">
      <c r="A2015" s="4" t="inlineStr">
        <is>
          <t>5875.061 John-Deere-Werk-Halle-N-HomburgerStr117-125-Zweibrücken</t>
        </is>
      </c>
      <c r="B2015" s="4" t="inlineStr">
        <is>
          <t>● (aN) Pos. 1 Ortstermin, Abstimmungen und BTB (SV)</t>
        </is>
      </c>
      <c r="C2015" s="4" t="inlineStr">
        <is>
          <t>Nachweis</t>
        </is>
      </c>
      <c r="D2015" s="10" t="inlineStr">
        <is>
          <t>⚠ Manual erforderlich</t>
        </is>
      </c>
      <c r="E2015" s="11" t="inlineStr"/>
      <c r="F2015" s="11" t="n">
        <v>0</v>
      </c>
      <c r="G2015" s="11">
        <f>E2015-F2015</f>
        <v/>
      </c>
      <c r="H2015" s="11" t="n">
        <v/>
      </c>
      <c r="I2015" s="11" t="n">
        <v/>
      </c>
      <c r="J2015" s="11" t="n">
        <v/>
      </c>
      <c r="K2015" s="4" t="inlineStr">
        <is>
          <t>Stundensätze eingeben</t>
        </is>
      </c>
    </row>
    <row r="2016">
      <c r="A2016" s="4" t="inlineStr">
        <is>
          <t>5875.061 John-Deere-Werk-Halle-N-HomburgerStr117-125-Zweibrücken</t>
        </is>
      </c>
      <c r="B2016" s="4" t="inlineStr">
        <is>
          <t>● (p) Pos. 2 Erstellung eines Brandschutzkonzeptes</t>
        </is>
      </c>
      <c r="C2016" s="4" t="inlineStr">
        <is>
          <t>Pauschale</t>
        </is>
      </c>
      <c r="D2016" s="10" t="inlineStr">
        <is>
          <t>⚠ Manual erforderlich</t>
        </is>
      </c>
      <c r="E2016" s="11" t="inlineStr"/>
      <c r="F2016" s="11" t="n">
        <v>0</v>
      </c>
      <c r="G2016" s="11">
        <f>E2016-F2016</f>
        <v/>
      </c>
      <c r="H2016" s="11" t="n">
        <v>0</v>
      </c>
      <c r="I2016" s="11" t="n">
        <v>0</v>
      </c>
      <c r="J2016" s="11" t="n">
        <v>0</v>
      </c>
      <c r="K2016" s="4" t="inlineStr">
        <is>
          <t>Stundensätze eingeben</t>
        </is>
      </c>
    </row>
    <row r="2017">
      <c r="A2017" s="4" t="inlineStr">
        <is>
          <t>5875.061 John-Deere-Werk-Halle-N-HomburgerStr117-125-Zweibrücken</t>
        </is>
      </c>
      <c r="B2017" s="4" t="inlineStr">
        <is>
          <t>● (aN) Pos. 3 Baubegleitende Brandschutzberatung und Qualitätsüberwachung (SV)</t>
        </is>
      </c>
      <c r="C2017" s="4" t="inlineStr">
        <is>
          <t>Nachweis</t>
        </is>
      </c>
      <c r="D2017" s="10" t="inlineStr">
        <is>
          <t>⚠ Manual erforderlich</t>
        </is>
      </c>
      <c r="E2017" s="11" t="inlineStr"/>
      <c r="F2017" s="11" t="n">
        <v>0</v>
      </c>
      <c r="G2017" s="11">
        <f>E2017-F2017</f>
        <v/>
      </c>
      <c r="H2017" s="11" t="n">
        <v/>
      </c>
      <c r="I2017" s="11" t="n">
        <v/>
      </c>
      <c r="J2017" s="11" t="n">
        <v/>
      </c>
      <c r="K2017" s="4" t="inlineStr">
        <is>
          <t>Stundensätze eingeben</t>
        </is>
      </c>
    </row>
    <row r="2018">
      <c r="A2018" s="4" t="inlineStr">
        <is>
          <t>5875.07 BAB-Halle-R-Homburger-Straße-117-125-Zweibrücken-Container</t>
        </is>
      </c>
      <c r="B2018" s="4" t="inlineStr">
        <is>
          <t>● (aN) BAB Trafostation Halle R</t>
        </is>
      </c>
      <c r="C2018" s="4" t="inlineStr">
        <is>
          <t>Nachweis</t>
        </is>
      </c>
      <c r="D2018" s="10" t="inlineStr">
        <is>
          <t>⚠ Manual erforderlich</t>
        </is>
      </c>
      <c r="E2018" s="11" t="inlineStr"/>
      <c r="F2018" s="11" t="n">
        <v>0</v>
      </c>
      <c r="G2018" s="11">
        <f>E2018-F2018</f>
        <v/>
      </c>
      <c r="H2018" s="11" t="n">
        <v/>
      </c>
      <c r="I2018" s="11" t="n">
        <v/>
      </c>
      <c r="J2018" s="11" t="n">
        <v/>
      </c>
      <c r="K2018" s="4" t="inlineStr">
        <is>
          <t>Stundensätze eingeben</t>
        </is>
      </c>
    </row>
    <row r="2019">
      <c r="A2019" s="4" t="inlineStr">
        <is>
          <t>5875.071 John-Deere-BSK-Halle-R-HomburgerStr117-125-Zweibrücken-Pausencontainer</t>
        </is>
      </c>
      <c r="B2019" s="4" t="inlineStr">
        <is>
          <t>● (p) Pos. 1 BSK</t>
        </is>
      </c>
      <c r="C2019" s="4" t="inlineStr">
        <is>
          <t>Pauschale</t>
        </is>
      </c>
      <c r="D2019" s="10" t="inlineStr">
        <is>
          <t>⚠ Manual erforderlich</t>
        </is>
      </c>
      <c r="E2019" s="11" t="inlineStr"/>
      <c r="F2019" s="11" t="n">
        <v>0</v>
      </c>
      <c r="G2019" s="11">
        <f>E2019-F2019</f>
        <v/>
      </c>
      <c r="H2019" s="11" t="n">
        <v>0</v>
      </c>
      <c r="I2019" s="11" t="n">
        <v>0</v>
      </c>
      <c r="J2019" s="11" t="n">
        <v>0</v>
      </c>
      <c r="K2019" s="4" t="inlineStr">
        <is>
          <t>Stundensätze eingeben</t>
        </is>
      </c>
    </row>
    <row r="2020">
      <c r="A2020" s="4" t="inlineStr">
        <is>
          <t>5875.071 John-Deere-BSK-Halle-R-HomburgerStr117-125-Zweibrücken-Pausencontainer</t>
        </is>
      </c>
      <c r="B2020" s="4" t="inlineStr">
        <is>
          <t>● (aN) Pos. 2 BTB</t>
        </is>
      </c>
      <c r="C2020" s="4" t="inlineStr">
        <is>
          <t>Nachweis</t>
        </is>
      </c>
      <c r="D2020" s="10" t="inlineStr">
        <is>
          <t>⚠ Manual erforderlich</t>
        </is>
      </c>
      <c r="E2020" s="11" t="inlineStr"/>
      <c r="F2020" s="11" t="n">
        <v>0</v>
      </c>
      <c r="G2020" s="11">
        <f>E2020-F2020</f>
        <v/>
      </c>
      <c r="H2020" s="11" t="n">
        <v/>
      </c>
      <c r="I2020" s="11" t="n">
        <v/>
      </c>
      <c r="J2020" s="11" t="n">
        <v/>
      </c>
      <c r="K2020" s="4" t="inlineStr">
        <is>
          <t>Stundensätze eingeben</t>
        </is>
      </c>
    </row>
    <row r="2021">
      <c r="A2021" s="4" t="inlineStr">
        <is>
          <t>5875.071 John-Deere-BSK-Halle-R-HomburgerStr117-125-Zweibrücken-Pausencontainer</t>
        </is>
      </c>
      <c r="B2021" s="4" t="inlineStr">
        <is>
          <t>● (aN) Einreichung Bauantrag Showroom</t>
        </is>
      </c>
      <c r="C2021" s="4" t="inlineStr">
        <is>
          <t>Nachweis</t>
        </is>
      </c>
      <c r="D2021" s="10" t="inlineStr">
        <is>
          <t>⚠ Manual erforderlich</t>
        </is>
      </c>
      <c r="E2021" s="11" t="inlineStr"/>
      <c r="F2021" s="11" t="n">
        <v>0</v>
      </c>
      <c r="G2021" s="11">
        <f>E2021-F2021</f>
        <v/>
      </c>
      <c r="H2021" s="11" t="n">
        <v/>
      </c>
      <c r="I2021" s="11" t="n">
        <v/>
      </c>
      <c r="J2021" s="11" t="n">
        <v/>
      </c>
      <c r="K2021" s="4" t="inlineStr">
        <is>
          <t>Stundensätze eingeben</t>
        </is>
      </c>
    </row>
    <row r="2022">
      <c r="A2022" s="4" t="inlineStr">
        <is>
          <t>5875.09 BTB-Werk-HomburgerStr117-125-Zweibrücken</t>
        </is>
      </c>
      <c r="B2022" s="4" t="inlineStr">
        <is>
          <t>● (aN) Pos. 1 Brandschutztechnische Beratungsleistungen</t>
        </is>
      </c>
      <c r="C2022" s="4" t="inlineStr">
        <is>
          <t>Nachweis</t>
        </is>
      </c>
      <c r="D2022" s="10" t="inlineStr">
        <is>
          <t>⚠ Manual erforderlich</t>
        </is>
      </c>
      <c r="E2022" s="11" t="inlineStr"/>
      <c r="F2022" s="11" t="n">
        <v>0</v>
      </c>
      <c r="G2022" s="11">
        <f>E2022-F2022</f>
        <v/>
      </c>
      <c r="H2022" s="11" t="n">
        <v/>
      </c>
      <c r="I2022" s="11" t="n">
        <v/>
      </c>
      <c r="J2022" s="11" t="n">
        <v/>
      </c>
      <c r="K2022" s="4" t="inlineStr">
        <is>
          <t>Stundensätze eingeben</t>
        </is>
      </c>
    </row>
    <row r="2023">
      <c r="A2023" s="4" t="inlineStr">
        <is>
          <t>5875.10 John-Deere-BSK-Halle-U-HomburgerStr117-125-Zweibrücken</t>
        </is>
      </c>
      <c r="B2023" s="4" t="inlineStr">
        <is>
          <t>● (p) Pos. 1 Erstellung eines Brandschutzkonzeptes</t>
        </is>
      </c>
      <c r="C2023" s="4" t="inlineStr">
        <is>
          <t>Pauschale</t>
        </is>
      </c>
      <c r="D2023" s="10" t="inlineStr">
        <is>
          <t>⚠ Manual erforderlich</t>
        </is>
      </c>
      <c r="E2023" s="11" t="inlineStr"/>
      <c r="F2023" s="11" t="n">
        <v>0</v>
      </c>
      <c r="G2023" s="11">
        <f>E2023-F2023</f>
        <v/>
      </c>
      <c r="H2023" s="11" t="n">
        <v>0</v>
      </c>
      <c r="I2023" s="11" t="n">
        <v>0</v>
      </c>
      <c r="J2023" s="11" t="n">
        <v>0</v>
      </c>
      <c r="K2023" s="4" t="inlineStr">
        <is>
          <t>Stundensätze eingeben</t>
        </is>
      </c>
    </row>
    <row r="2024">
      <c r="A2024" s="4" t="inlineStr">
        <is>
          <t>5875.10 John-Deere-BSK-Halle-U-HomburgerStr117-125-Zweibrücken</t>
        </is>
      </c>
      <c r="B2024" s="4" t="inlineStr">
        <is>
          <t>● (aN) Pos. 2 Beratungsleistungen und Abnahme</t>
        </is>
      </c>
      <c r="C2024" s="4" t="inlineStr">
        <is>
          <t>Nachweis</t>
        </is>
      </c>
      <c r="D2024" s="10" t="inlineStr">
        <is>
          <t>⚠ Manual erforderlich</t>
        </is>
      </c>
      <c r="E2024" s="11" t="inlineStr"/>
      <c r="F2024" s="11" t="n">
        <v>0</v>
      </c>
      <c r="G2024" s="11">
        <f>E2024-F2024</f>
        <v/>
      </c>
      <c r="H2024" s="11" t="n">
        <v/>
      </c>
      <c r="I2024" s="11" t="n">
        <v/>
      </c>
      <c r="J2024" s="11" t="n">
        <v/>
      </c>
      <c r="K2024" s="4" t="inlineStr">
        <is>
          <t>Stundensätze eingeben</t>
        </is>
      </c>
    </row>
    <row r="2025">
      <c r="A2025" s="4" t="inlineStr">
        <is>
          <t>5875.11 John-Deere-BSK-Halle-V-HomburgerStr117-125-Zweibrücken-Pausencontainer</t>
        </is>
      </c>
      <c r="B2025" s="4" t="inlineStr">
        <is>
          <t>● (p) Pos.1 Erstellung BSK</t>
        </is>
      </c>
      <c r="C2025" s="4" t="inlineStr">
        <is>
          <t>Pauschale</t>
        </is>
      </c>
      <c r="D2025" s="10" t="inlineStr">
        <is>
          <t>⚠ Manual erforderlich</t>
        </is>
      </c>
      <c r="E2025" s="11" t="inlineStr"/>
      <c r="F2025" s="11" t="n">
        <v>0</v>
      </c>
      <c r="G2025" s="11">
        <f>E2025-F2025</f>
        <v/>
      </c>
      <c r="H2025" s="11" t="n">
        <v>0</v>
      </c>
      <c r="I2025" s="11" t="n">
        <v>0</v>
      </c>
      <c r="J2025" s="11" t="n">
        <v>0</v>
      </c>
      <c r="K2025" s="4" t="inlineStr">
        <is>
          <t>Stundensätze eingeben</t>
        </is>
      </c>
    </row>
    <row r="2026">
      <c r="A2026" s="4" t="inlineStr">
        <is>
          <t>5875.11 John-Deere-BSK-Halle-V-HomburgerStr117-125-Zweibrücken-Pausencontainer</t>
        </is>
      </c>
      <c r="B2026" s="4" t="inlineStr">
        <is>
          <t>● (aN) Pos.2 Beratungslstg. u. Abnahme</t>
        </is>
      </c>
      <c r="C2026" s="4" t="inlineStr">
        <is>
          <t>Nachweis</t>
        </is>
      </c>
      <c r="D2026" s="10" t="inlineStr">
        <is>
          <t>⚠ Manual erforderlich</t>
        </is>
      </c>
      <c r="E2026" s="11" t="inlineStr"/>
      <c r="F2026" s="11" t="n">
        <v>0</v>
      </c>
      <c r="G2026" s="11">
        <f>E2026-F2026</f>
        <v/>
      </c>
      <c r="H2026" s="11" t="n">
        <v/>
      </c>
      <c r="I2026" s="11" t="n">
        <v/>
      </c>
      <c r="J2026" s="11" t="n">
        <v/>
      </c>
      <c r="K2026" s="4" t="inlineStr">
        <is>
          <t>Stundensätze eingeben</t>
        </is>
      </c>
    </row>
    <row r="2027">
      <c r="A2027" s="4" t="inlineStr">
        <is>
          <t>5875.12 John-Deere-BSK-Halle-X-HomburgerStr117-125-Zweibrücken-Pausencontainer</t>
        </is>
      </c>
      <c r="B2027" s="4" t="inlineStr">
        <is>
          <t>● (p) Pos.1 Erstellung BSK</t>
        </is>
      </c>
      <c r="C2027" s="4" t="inlineStr">
        <is>
          <t>Pauschale</t>
        </is>
      </c>
      <c r="D2027" s="10" t="inlineStr">
        <is>
          <t>⚠ Manual erforderlich</t>
        </is>
      </c>
      <c r="E2027" s="11" t="inlineStr"/>
      <c r="F2027" s="11" t="n">
        <v>0</v>
      </c>
      <c r="G2027" s="11">
        <f>E2027-F2027</f>
        <v/>
      </c>
      <c r="H2027" s="11" t="n">
        <v>0</v>
      </c>
      <c r="I2027" s="11" t="n">
        <v>0</v>
      </c>
      <c r="J2027" s="11" t="n">
        <v>0</v>
      </c>
      <c r="K2027" s="4" t="inlineStr">
        <is>
          <t>Stundensätze eingeben</t>
        </is>
      </c>
    </row>
    <row r="2028">
      <c r="A2028" s="4" t="inlineStr">
        <is>
          <t>5875.12 John-Deere-BSK-Halle-X-HomburgerStr117-125-Zweibrücken-Pausencontainer</t>
        </is>
      </c>
      <c r="B2028" s="4" t="inlineStr">
        <is>
          <t>● (aN) Pos.2 Beratungslstg. u. Abnahme</t>
        </is>
      </c>
      <c r="C2028" s="4" t="inlineStr">
        <is>
          <t>Nachweis</t>
        </is>
      </c>
      <c r="D2028" s="10" t="inlineStr">
        <is>
          <t>⚠ Manual erforderlich</t>
        </is>
      </c>
      <c r="E2028" s="11" t="inlineStr"/>
      <c r="F2028" s="11" t="n">
        <v>0</v>
      </c>
      <c r="G2028" s="11">
        <f>E2028-F2028</f>
        <v/>
      </c>
      <c r="H2028" s="11" t="n">
        <v/>
      </c>
      <c r="I2028" s="11" t="n">
        <v/>
      </c>
      <c r="J2028" s="11" t="n">
        <v/>
      </c>
      <c r="K2028" s="4" t="inlineStr">
        <is>
          <t>Stundensätze eingeben</t>
        </is>
      </c>
    </row>
    <row r="2029">
      <c r="A2029" s="4" t="inlineStr">
        <is>
          <t>5875.12 John-Deere-BSK-Halle-X-HomburgerStr117-125-Zweibrücken-Pausencontainer</t>
        </is>
      </c>
      <c r="B2029" s="4" t="inlineStr">
        <is>
          <t>● (aN) Pos. 3 Erw. BSK um Bestandshallen X und Z</t>
        </is>
      </c>
      <c r="C2029" s="4" t="inlineStr">
        <is>
          <t>Nachweis</t>
        </is>
      </c>
      <c r="D2029" s="10" t="inlineStr">
        <is>
          <t>⚠ Manual erforderlich</t>
        </is>
      </c>
      <c r="E2029" s="11" t="inlineStr"/>
      <c r="F2029" s="11" t="n">
        <v>0</v>
      </c>
      <c r="G2029" s="11">
        <f>E2029-F2029</f>
        <v/>
      </c>
      <c r="H2029" s="11" t="n">
        <v/>
      </c>
      <c r="I2029" s="11" t="n">
        <v/>
      </c>
      <c r="J2029" s="11" t="n">
        <v/>
      </c>
      <c r="K2029" s="4" t="inlineStr">
        <is>
          <t>Stundensätze eingeben</t>
        </is>
      </c>
    </row>
    <row r="2030">
      <c r="A2030" s="4" t="inlineStr">
        <is>
          <t>5875.13 John-Deere-BSK-Halle-V-HomburgerStr117-125-Zweibrücken</t>
        </is>
      </c>
      <c r="B2030" s="4" t="inlineStr">
        <is>
          <t>● (p) Pos.1 Erstellung BSK</t>
        </is>
      </c>
      <c r="C2030" s="4" t="inlineStr">
        <is>
          <t>Pauschale</t>
        </is>
      </c>
      <c r="D2030" s="10" t="inlineStr">
        <is>
          <t>⚠ Manual erforderlich</t>
        </is>
      </c>
      <c r="E2030" s="11" t="inlineStr"/>
      <c r="F2030" s="11" t="n">
        <v>0</v>
      </c>
      <c r="G2030" s="11">
        <f>E2030-F2030</f>
        <v/>
      </c>
      <c r="H2030" s="11" t="n">
        <v>0</v>
      </c>
      <c r="I2030" s="11" t="n">
        <v>0</v>
      </c>
      <c r="J2030" s="11" t="n">
        <v>0</v>
      </c>
      <c r="K2030" s="4" t="inlineStr">
        <is>
          <t>Stundensätze eingeben</t>
        </is>
      </c>
    </row>
    <row r="2031">
      <c r="A2031" s="4" t="inlineStr">
        <is>
          <t>5875.13 John-Deere-BSK-Halle-V-HomburgerStr117-125-Zweibrücken</t>
        </is>
      </c>
      <c r="B2031" s="4" t="inlineStr">
        <is>
          <t>● (aN) Pos.2 Beratungslstg. u. Abnahme</t>
        </is>
      </c>
      <c r="C2031" s="4" t="inlineStr">
        <is>
          <t>Nachweis</t>
        </is>
      </c>
      <c r="D2031" s="10" t="inlineStr">
        <is>
          <t>⚠ Manual erforderlich</t>
        </is>
      </c>
      <c r="E2031" s="11" t="inlineStr"/>
      <c r="F2031" s="11" t="n">
        <v>0</v>
      </c>
      <c r="G2031" s="11">
        <f>E2031-F2031</f>
        <v/>
      </c>
      <c r="H2031" s="11" t="n">
        <v/>
      </c>
      <c r="I2031" s="11" t="n">
        <v/>
      </c>
      <c r="J2031" s="11" t="n">
        <v/>
      </c>
      <c r="K2031" s="4" t="inlineStr">
        <is>
          <t>Stundensätze eingeben</t>
        </is>
      </c>
    </row>
    <row r="2032">
      <c r="A2032" s="4" t="inlineStr">
        <is>
          <t>5875.13 John-Deere-BSK-Halle-V-HomburgerStr117-125-Zweibrücken</t>
        </is>
      </c>
      <c r="B2032" s="4" t="inlineStr">
        <is>
          <t>● (aN) Pos. 3 BAB</t>
        </is>
      </c>
      <c r="C2032" s="4" t="inlineStr">
        <is>
          <t>Nachweis</t>
        </is>
      </c>
      <c r="D2032" s="10" t="inlineStr">
        <is>
          <t>⚠ Manual erforderlich</t>
        </is>
      </c>
      <c r="E2032" s="11" t="inlineStr"/>
      <c r="F2032" s="11" t="n">
        <v>0</v>
      </c>
      <c r="G2032" s="11">
        <f>E2032-F2032</f>
        <v/>
      </c>
      <c r="H2032" s="11" t="n">
        <v/>
      </c>
      <c r="I2032" s="11" t="n">
        <v/>
      </c>
      <c r="J2032" s="11" t="n">
        <v/>
      </c>
      <c r="K2032" s="4" t="inlineStr">
        <is>
          <t>Stundensätze eingeben</t>
        </is>
      </c>
    </row>
    <row r="2033">
      <c r="A2033" s="4" t="inlineStr">
        <is>
          <t>5875.14 John-Deere-BSK-Pausencontainer-Ostfabrik-HomburgerStr117-125-Zweibrücken</t>
        </is>
      </c>
      <c r="B2033" s="4" t="inlineStr">
        <is>
          <t>● (aN) Pos. 1 Erstellung eines Brandschutzkonzeptes (SV)</t>
        </is>
      </c>
      <c r="C2033" s="4" t="inlineStr">
        <is>
          <t>Nachweis</t>
        </is>
      </c>
      <c r="D2033" s="10" t="inlineStr">
        <is>
          <t>⚠ Manual erforderlich</t>
        </is>
      </c>
      <c r="E2033" s="11" t="inlineStr"/>
      <c r="F2033" s="11" t="n">
        <v>0</v>
      </c>
      <c r="G2033" s="11">
        <f>E2033-F2033</f>
        <v/>
      </c>
      <c r="H2033" s="11" t="n">
        <v/>
      </c>
      <c r="I2033" s="11" t="n">
        <v/>
      </c>
      <c r="J2033" s="11" t="n">
        <v/>
      </c>
      <c r="K2033" s="4" t="inlineStr">
        <is>
          <t>Stundensätze eingeben</t>
        </is>
      </c>
    </row>
    <row r="2034">
      <c r="A2034" s="4" t="inlineStr">
        <is>
          <t>5875.14 John-Deere-BSK-Pausencontainer-Ostfabrik-HomburgerStr117-125-Zweibrücken</t>
        </is>
      </c>
      <c r="B2034" s="4" t="inlineStr">
        <is>
          <t>● (aN) Pos. 2 Beratung und Abnahme (SV)</t>
        </is>
      </c>
      <c r="C2034" s="4" t="inlineStr">
        <is>
          <t>Nachweis</t>
        </is>
      </c>
      <c r="D2034" s="10" t="inlineStr">
        <is>
          <t>⚠ Manual erforderlich</t>
        </is>
      </c>
      <c r="E2034" s="11" t="inlineStr"/>
      <c r="F2034" s="11" t="n">
        <v>0</v>
      </c>
      <c r="G2034" s="11">
        <f>E2034-F2034</f>
        <v/>
      </c>
      <c r="H2034" s="11" t="n">
        <v/>
      </c>
      <c r="I2034" s="11" t="n">
        <v/>
      </c>
      <c r="J2034" s="11" t="n">
        <v/>
      </c>
      <c r="K2034" s="4" t="inlineStr">
        <is>
          <t>Stundensätze eingeben</t>
        </is>
      </c>
    </row>
    <row r="2035">
      <c r="A2035" s="4" t="inlineStr">
        <is>
          <t>5875.14 John-Deere-BSK-Pausencontainer-Ostfabrik-HomburgerStr117-125-Zweibrücken</t>
        </is>
      </c>
      <c r="B2035" s="4" t="inlineStr">
        <is>
          <t>● (p) Pos. 3 Auftragsbearbeitung / Administrative Tätigkeiten zur Projektunterstützung (ADM)</t>
        </is>
      </c>
      <c r="C2035" s="4" t="inlineStr">
        <is>
          <t>Pauschale</t>
        </is>
      </c>
      <c r="D2035" s="10" t="inlineStr">
        <is>
          <t>⚠ Manual erforderlich</t>
        </is>
      </c>
      <c r="E2035" s="11" t="inlineStr"/>
      <c r="F2035" s="11" t="n">
        <v>0</v>
      </c>
      <c r="G2035" s="11">
        <f>E2035-F2035</f>
        <v/>
      </c>
      <c r="H2035" s="11" t="n">
        <v>0</v>
      </c>
      <c r="I2035" s="11" t="n">
        <v>0</v>
      </c>
      <c r="J2035" s="11" t="n">
        <v>0</v>
      </c>
      <c r="K2035" s="4" t="inlineStr">
        <is>
          <t>Stundensätze eingeben</t>
        </is>
      </c>
    </row>
    <row r="2036">
      <c r="A2036" s="4" t="inlineStr">
        <is>
          <t>5876 Eppelheimer-Straße-12-Heidelberg-Hotel-Easy-Living</t>
        </is>
      </c>
      <c r="B2036" s="4" t="inlineStr">
        <is>
          <t>● 1000-Grundlagenermittlung</t>
        </is>
      </c>
      <c r="C2036" s="9" t="inlineStr">
        <is>
          <t>Unbekannt</t>
        </is>
      </c>
      <c r="D2036" s="10" t="inlineStr">
        <is>
          <t>⚠ Manual erforderlich</t>
        </is>
      </c>
      <c r="E2036" s="11" t="inlineStr"/>
      <c r="F2036" s="11" t="n">
        <v>0</v>
      </c>
      <c r="G2036" s="11">
        <f>E2036-F2036</f>
        <v/>
      </c>
      <c r="H2036" s="11" t="n">
        <v/>
      </c>
      <c r="I2036" s="11" t="n">
        <v/>
      </c>
      <c r="J2036" s="11" t="n">
        <v/>
      </c>
      <c r="K2036" s="4" t="inlineStr">
        <is>
          <t>Abrechnungsart wählen; Stundensätze eingeben</t>
        </is>
      </c>
    </row>
    <row r="2037">
      <c r="A2037" s="4" t="inlineStr">
        <is>
          <t>5876 Eppelheimer-Straße-12-Heidelberg-Hotel-Easy-Living</t>
        </is>
      </c>
      <c r="B2037" s="4" t="inlineStr">
        <is>
          <t>● 2000-Vorplanung</t>
        </is>
      </c>
      <c r="C2037" s="9" t="inlineStr">
        <is>
          <t>Unbekannt</t>
        </is>
      </c>
      <c r="D2037" s="10" t="inlineStr">
        <is>
          <t>⚠ Manual erforderlich</t>
        </is>
      </c>
      <c r="E2037" s="11" t="inlineStr"/>
      <c r="F2037" s="11" t="n">
        <v>0</v>
      </c>
      <c r="G2037" s="11">
        <f>E2037-F2037</f>
        <v/>
      </c>
      <c r="H2037" s="11" t="n">
        <v/>
      </c>
      <c r="I2037" s="11" t="n">
        <v/>
      </c>
      <c r="J2037" s="11" t="n">
        <v/>
      </c>
      <c r="K2037" s="4" t="inlineStr">
        <is>
          <t>Abrechnungsart wählen; Stundensätze eingeben</t>
        </is>
      </c>
    </row>
    <row r="2038">
      <c r="A2038" s="4" t="inlineStr">
        <is>
          <t>5876 Eppelheimer-Straße-12-Heidelberg-Hotel-Easy-Living</t>
        </is>
      </c>
      <c r="B2038" s="4" t="inlineStr">
        <is>
          <t>● 3000-Entwurfsplanung</t>
        </is>
      </c>
      <c r="C2038" s="9" t="inlineStr">
        <is>
          <t>Unbekannt</t>
        </is>
      </c>
      <c r="D2038" s="10" t="inlineStr">
        <is>
          <t>⚠ Manual erforderlich</t>
        </is>
      </c>
      <c r="E2038" s="11" t="inlineStr"/>
      <c r="F2038" s="11" t="n">
        <v>0</v>
      </c>
      <c r="G2038" s="11">
        <f>E2038-F2038</f>
        <v/>
      </c>
      <c r="H2038" s="11" t="n">
        <v/>
      </c>
      <c r="I2038" s="11" t="n">
        <v/>
      </c>
      <c r="J2038" s="11" t="n">
        <v/>
      </c>
      <c r="K2038" s="4" t="inlineStr">
        <is>
          <t>Abrechnungsart wählen; Stundensätze eingeben</t>
        </is>
      </c>
    </row>
    <row r="2039">
      <c r="A2039" s="4" t="inlineStr">
        <is>
          <t>5876 Eppelheimer-Straße-12-Heidelberg-Hotel-Easy-Living</t>
        </is>
      </c>
      <c r="B2039" s="4" t="inlineStr">
        <is>
          <t>● 4000-Genehmigungsplanung</t>
        </is>
      </c>
      <c r="C2039" s="9" t="inlineStr">
        <is>
          <t>Unbekannt</t>
        </is>
      </c>
      <c r="D2039" s="10" t="inlineStr">
        <is>
          <t>⚠ Manual erforderlich</t>
        </is>
      </c>
      <c r="E2039" s="11" t="inlineStr"/>
      <c r="F2039" s="11" t="n">
        <v>0</v>
      </c>
      <c r="G2039" s="11">
        <f>E2039-F2039</f>
        <v/>
      </c>
      <c r="H2039" s="11" t="n">
        <v/>
      </c>
      <c r="I2039" s="11" t="n">
        <v/>
      </c>
      <c r="J2039" s="11" t="n">
        <v/>
      </c>
      <c r="K2039" s="4" t="inlineStr">
        <is>
          <t>Abrechnungsart wählen; Stundensätze eingeben</t>
        </is>
      </c>
    </row>
    <row r="2040">
      <c r="A2040" s="4" t="inlineStr">
        <is>
          <t>5876 Eppelheimer-Straße-12-Heidelberg-Hotel-Easy-Living</t>
        </is>
      </c>
      <c r="B2040" s="4" t="inlineStr">
        <is>
          <t>● 5000-Ausführungsplanung</t>
        </is>
      </c>
      <c r="C2040" s="9" t="inlineStr">
        <is>
          <t>Unbekannt</t>
        </is>
      </c>
      <c r="D2040" s="10" t="inlineStr">
        <is>
          <t>⚠ Manual erforderlich</t>
        </is>
      </c>
      <c r="E2040" s="11" t="inlineStr"/>
      <c r="F2040" s="11" t="n">
        <v>0</v>
      </c>
      <c r="G2040" s="11">
        <f>E2040-F2040</f>
        <v/>
      </c>
      <c r="H2040" s="11" t="n">
        <v/>
      </c>
      <c r="I2040" s="11" t="n">
        <v/>
      </c>
      <c r="J2040" s="11" t="n">
        <v/>
      </c>
      <c r="K2040" s="4" t="inlineStr">
        <is>
          <t>Abrechnungsart wählen; Stundensätze eingeben</t>
        </is>
      </c>
    </row>
    <row r="2041">
      <c r="A2041" s="4" t="inlineStr">
        <is>
          <t>5876 Eppelheimer-Straße-12-Heidelberg-Hotel-Easy-Living</t>
        </is>
      </c>
      <c r="B2041" s="4" t="inlineStr">
        <is>
          <t>● 8000 - Objektüberwachung</t>
        </is>
      </c>
      <c r="C2041" s="9" t="inlineStr">
        <is>
          <t>Unbekannt</t>
        </is>
      </c>
      <c r="D2041" s="10" t="inlineStr">
        <is>
          <t>⚠ Manual erforderlich</t>
        </is>
      </c>
      <c r="E2041" s="11" t="inlineStr"/>
      <c r="F2041" s="11" t="n">
        <v>0</v>
      </c>
      <c r="G2041" s="11">
        <f>E2041-F2041</f>
        <v/>
      </c>
      <c r="H2041" s="11" t="n">
        <v/>
      </c>
      <c r="I2041" s="11" t="n">
        <v/>
      </c>
      <c r="J2041" s="11" t="n">
        <v/>
      </c>
      <c r="K2041" s="4" t="inlineStr">
        <is>
          <t>Abrechnungsart wählen; Stundensätze eingeben</t>
        </is>
      </c>
    </row>
    <row r="2042">
      <c r="A2042" s="4" t="inlineStr">
        <is>
          <t>5877.04 NAT02-BSK-FFM-Ost-Anpassung-DB</t>
        </is>
      </c>
      <c r="B2042" s="4" t="inlineStr">
        <is>
          <t>● (p) Pos. 1 - Anpassung BSK</t>
        </is>
      </c>
      <c r="C2042" s="4" t="inlineStr">
        <is>
          <t>Pauschale</t>
        </is>
      </c>
      <c r="D2042" s="10" t="inlineStr">
        <is>
          <t>⚠ Manual erforderlich</t>
        </is>
      </c>
      <c r="E2042" s="11" t="inlineStr"/>
      <c r="F2042" s="11" t="n">
        <v>0</v>
      </c>
      <c r="G2042" s="11">
        <f>E2042-F2042</f>
        <v/>
      </c>
      <c r="H2042" s="11" t="n">
        <v>0</v>
      </c>
      <c r="I2042" s="11" t="n">
        <v>0</v>
      </c>
      <c r="J2042" s="11" t="n">
        <v>0</v>
      </c>
      <c r="K2042" s="4" t="inlineStr">
        <is>
          <t>Stundensätze eingeben</t>
        </is>
      </c>
    </row>
    <row r="2043">
      <c r="A2043" s="4" t="inlineStr">
        <is>
          <t>5877.04 NAT02-BSK-FFM-Ost-Anpassung-DB</t>
        </is>
      </c>
      <c r="B2043" s="4" t="inlineStr">
        <is>
          <t>● (p) Pos.2 - Abstimmungstermin</t>
        </is>
      </c>
      <c r="C2043" s="4" t="inlineStr">
        <is>
          <t>Pauschale</t>
        </is>
      </c>
      <c r="D2043" s="10" t="inlineStr">
        <is>
          <t>⚠ Manual erforderlich</t>
        </is>
      </c>
      <c r="E2043" s="11" t="inlineStr"/>
      <c r="F2043" s="11" t="n">
        <v>0</v>
      </c>
      <c r="G2043" s="11">
        <f>E2043-F2043</f>
        <v/>
      </c>
      <c r="H2043" s="11" t="n">
        <v>0</v>
      </c>
      <c r="I2043" s="11" t="n">
        <v>0</v>
      </c>
      <c r="J2043" s="11" t="n">
        <v>0</v>
      </c>
      <c r="K2043" s="4" t="inlineStr">
        <is>
          <t>Stundensätze eingeben</t>
        </is>
      </c>
    </row>
    <row r="2044">
      <c r="A2044" s="4" t="inlineStr">
        <is>
          <t>5877.04 NAT02-BSK-FFM-Ost-Anpassung-DB</t>
        </is>
      </c>
      <c r="B2044" s="4" t="inlineStr">
        <is>
          <t>● (p) Pos.3 - Anpassung Brandschutzkonzeptpläne</t>
        </is>
      </c>
      <c r="C2044" s="4" t="inlineStr">
        <is>
          <t>Pauschale</t>
        </is>
      </c>
      <c r="D2044" s="10" t="inlineStr">
        <is>
          <t>⚠ Manual erforderlich</t>
        </is>
      </c>
      <c r="E2044" s="11" t="inlineStr"/>
      <c r="F2044" s="11" t="n">
        <v>0</v>
      </c>
      <c r="G2044" s="11">
        <f>E2044-F2044</f>
        <v/>
      </c>
      <c r="H2044" s="11" t="n">
        <v>0</v>
      </c>
      <c r="I2044" s="11" t="n">
        <v>0</v>
      </c>
      <c r="J2044" s="11" t="n">
        <v>0</v>
      </c>
      <c r="K2044" s="4" t="inlineStr">
        <is>
          <t>Stundensätze eingeben</t>
        </is>
      </c>
    </row>
    <row r="2045">
      <c r="A2045" s="4" t="inlineStr">
        <is>
          <t>5877.05 NAT03-BSK-FFM-Ost-Anpassung-DB</t>
        </is>
      </c>
      <c r="B2045" s="4" t="inlineStr">
        <is>
          <t>● (p) Pos. 1 BST</t>
        </is>
      </c>
      <c r="C2045" s="4" t="inlineStr">
        <is>
          <t>Pauschale</t>
        </is>
      </c>
      <c r="D2045" s="10" t="inlineStr">
        <is>
          <t>⚠ Manual erforderlich</t>
        </is>
      </c>
      <c r="E2045" s="11" t="inlineStr"/>
      <c r="F2045" s="11" t="n">
        <v>0</v>
      </c>
      <c r="G2045" s="11">
        <f>E2045-F2045</f>
        <v/>
      </c>
      <c r="H2045" s="11" t="n">
        <v>0</v>
      </c>
      <c r="I2045" s="11" t="n">
        <v>0</v>
      </c>
      <c r="J2045" s="11" t="n">
        <v>0</v>
      </c>
      <c r="K2045" s="4" t="inlineStr">
        <is>
          <t>Stundensätze eingeben</t>
        </is>
      </c>
    </row>
    <row r="2046">
      <c r="A2046" s="4" t="inlineStr">
        <is>
          <t>5877.05 NAT03-BSK-FFM-Ost-Anpassung-DB</t>
        </is>
      </c>
      <c r="B2046" s="4" t="inlineStr">
        <is>
          <t>● (p) Pos.2 Fortschr.BSK</t>
        </is>
      </c>
      <c r="C2046" s="4" t="inlineStr">
        <is>
          <t>Pauschale</t>
        </is>
      </c>
      <c r="D2046" s="10" t="inlineStr">
        <is>
          <t>⚠ Manual erforderlich</t>
        </is>
      </c>
      <c r="E2046" s="11" t="inlineStr"/>
      <c r="F2046" s="11" t="n">
        <v>0</v>
      </c>
      <c r="G2046" s="11">
        <f>E2046-F2046</f>
        <v/>
      </c>
      <c r="H2046" s="11" t="n">
        <v>0</v>
      </c>
      <c r="I2046" s="11" t="n">
        <v>0</v>
      </c>
      <c r="J2046" s="11" t="n">
        <v>0</v>
      </c>
      <c r="K2046" s="4" t="inlineStr">
        <is>
          <t>Stundensätze eingeben</t>
        </is>
      </c>
    </row>
    <row r="2047">
      <c r="A2047" s="4" t="inlineStr">
        <is>
          <t>5877.06 BSK-FFM-Ost-Fortschr-BSK-DB</t>
        </is>
      </c>
      <c r="B2047" s="4" t="inlineStr">
        <is>
          <t>● (p) Pos.1 Brandschutztechnische Stellungnahme</t>
        </is>
      </c>
      <c r="C2047" s="4" t="inlineStr">
        <is>
          <t>Pauschale</t>
        </is>
      </c>
      <c r="D2047" s="10" t="inlineStr">
        <is>
          <t>⚠ Manual erforderlich</t>
        </is>
      </c>
      <c r="E2047" s="11" t="inlineStr"/>
      <c r="F2047" s="11" t="n">
        <v>0</v>
      </c>
      <c r="G2047" s="11">
        <f>E2047-F2047</f>
        <v/>
      </c>
      <c r="H2047" s="11" t="n">
        <v>0</v>
      </c>
      <c r="I2047" s="11" t="n">
        <v>0</v>
      </c>
      <c r="J2047" s="11" t="n">
        <v>0</v>
      </c>
      <c r="K2047" s="4" t="inlineStr">
        <is>
          <t>Stundensätze eingeben</t>
        </is>
      </c>
    </row>
    <row r="2048">
      <c r="A2048" s="4" t="inlineStr">
        <is>
          <t>5877.06 BSK-FFM-Ost-Fortschr-BSK-DB</t>
        </is>
      </c>
      <c r="B2048" s="4" t="inlineStr">
        <is>
          <t>● (p) Pos.2 Fortschreibung Brandschutzkonzept (78h SV / 1h Admin) 9.425€ / 10.850€</t>
        </is>
      </c>
      <c r="C2048" s="4" t="inlineStr">
        <is>
          <t>Pauschale</t>
        </is>
      </c>
      <c r="D2048" s="10" t="inlineStr">
        <is>
          <t>⚠ Manual erforderlich</t>
        </is>
      </c>
      <c r="E2048" s="11" t="inlineStr"/>
      <c r="F2048" s="11" t="n">
        <v>0</v>
      </c>
      <c r="G2048" s="11">
        <f>E2048-F2048</f>
        <v/>
      </c>
      <c r="H2048" s="11" t="n">
        <v>0</v>
      </c>
      <c r="I2048" s="11" t="n">
        <v>0</v>
      </c>
      <c r="J2048" s="11" t="n">
        <v>0</v>
      </c>
      <c r="K2048" s="4" t="inlineStr">
        <is>
          <t>Stundensätze eingeben</t>
        </is>
      </c>
    </row>
    <row r="2049">
      <c r="A2049" s="4" t="inlineStr">
        <is>
          <t>5877.06 BSK-FFM-Ost-Fortschr-BSK-DB</t>
        </is>
      </c>
      <c r="B2049" s="4" t="inlineStr">
        <is>
          <t>● (p) Pos.3 Rauchgassimulation</t>
        </is>
      </c>
      <c r="C2049" s="4" t="inlineStr">
        <is>
          <t>Pauschale</t>
        </is>
      </c>
      <c r="D2049" s="10" t="inlineStr">
        <is>
          <t>⚠ Manual erforderlich</t>
        </is>
      </c>
      <c r="E2049" s="11" t="inlineStr"/>
      <c r="F2049" s="11" t="n">
        <v>0</v>
      </c>
      <c r="G2049" s="11">
        <f>E2049-F2049</f>
        <v/>
      </c>
      <c r="H2049" s="11" t="n">
        <v>0</v>
      </c>
      <c r="I2049" s="11" t="n">
        <v>0</v>
      </c>
      <c r="J2049" s="11" t="n">
        <v>0</v>
      </c>
      <c r="K2049" s="4" t="inlineStr">
        <is>
          <t>Stundensätze eingeben</t>
        </is>
      </c>
    </row>
    <row r="2050">
      <c r="A2050" s="4" t="inlineStr">
        <is>
          <t>5877.06 BSK-FFM-Ost-Fortschr-BSK-DB</t>
        </is>
      </c>
      <c r="B2050" s="4" t="inlineStr">
        <is>
          <t>● (p) Pos.4 Evakuierungssimulation</t>
        </is>
      </c>
      <c r="C2050" s="4" t="inlineStr">
        <is>
          <t>Pauschale</t>
        </is>
      </c>
      <c r="D2050" s="10" t="inlineStr">
        <is>
          <t>⚠ Manual erforderlich</t>
        </is>
      </c>
      <c r="E2050" s="11" t="inlineStr"/>
      <c r="F2050" s="11" t="n">
        <v>0</v>
      </c>
      <c r="G2050" s="11">
        <f>E2050-F2050</f>
        <v/>
      </c>
      <c r="H2050" s="11" t="n">
        <v>0</v>
      </c>
      <c r="I2050" s="11" t="n">
        <v>0</v>
      </c>
      <c r="J2050" s="11" t="n">
        <v>0</v>
      </c>
      <c r="K2050" s="4" t="inlineStr">
        <is>
          <t>Stundensätze eingeben</t>
        </is>
      </c>
    </row>
    <row r="2051">
      <c r="A2051" s="4" t="inlineStr">
        <is>
          <t>5882 Bischofsheimer-Kerb-Bischofsheim</t>
        </is>
      </c>
      <c r="B2051" s="4" t="inlineStr">
        <is>
          <t>● 3000-Entwurfsplanung</t>
        </is>
      </c>
      <c r="C2051" s="9" t="inlineStr">
        <is>
          <t>Unbekannt</t>
        </is>
      </c>
      <c r="D2051" s="10" t="inlineStr">
        <is>
          <t>⚠ Manual erforderlich</t>
        </is>
      </c>
      <c r="E2051" s="11" t="inlineStr"/>
      <c r="F2051" s="11" t="n">
        <v>0</v>
      </c>
      <c r="G2051" s="11">
        <f>E2051-F2051</f>
        <v/>
      </c>
      <c r="H2051" s="11" t="n">
        <v/>
      </c>
      <c r="I2051" s="11" t="n">
        <v/>
      </c>
      <c r="J2051" s="11" t="n">
        <v/>
      </c>
      <c r="K2051" s="4" t="inlineStr">
        <is>
          <t>Abrechnungsart wählen; Stundensätze eingeben</t>
        </is>
      </c>
    </row>
    <row r="2052">
      <c r="A2052" s="4" t="inlineStr">
        <is>
          <t>5883 E&amp;S-BSK-Hotel-Hirschgasse-3-Heidelberg</t>
        </is>
      </c>
      <c r="B2052" s="4" t="inlineStr">
        <is>
          <t>● 1000-Grundlagenermittlung</t>
        </is>
      </c>
      <c r="C2052" s="9" t="inlineStr">
        <is>
          <t>Unbekannt</t>
        </is>
      </c>
      <c r="D2052" s="10" t="inlineStr">
        <is>
          <t>⚠ Manual erforderlich</t>
        </is>
      </c>
      <c r="E2052" s="11" t="inlineStr"/>
      <c r="F2052" s="11" t="n">
        <v>0</v>
      </c>
      <c r="G2052" s="11">
        <f>E2052-F2052</f>
        <v/>
      </c>
      <c r="H2052" s="11" t="n">
        <v/>
      </c>
      <c r="I2052" s="11" t="n">
        <v/>
      </c>
      <c r="J2052" s="11" t="n">
        <v/>
      </c>
      <c r="K2052" s="4" t="inlineStr">
        <is>
          <t>Abrechnungsart wählen; Stundensätze eingeben</t>
        </is>
      </c>
    </row>
    <row r="2053">
      <c r="A2053" s="4" t="inlineStr">
        <is>
          <t>5883 E&amp;S-BSK-Hotel-Hirschgasse-3-Heidelberg</t>
        </is>
      </c>
      <c r="B2053" s="4" t="inlineStr">
        <is>
          <t>● 2000-Vorplanung</t>
        </is>
      </c>
      <c r="C2053" s="9" t="inlineStr">
        <is>
          <t>Unbekannt</t>
        </is>
      </c>
      <c r="D2053" s="10" t="inlineStr">
        <is>
          <t>⚠ Manual erforderlich</t>
        </is>
      </c>
      <c r="E2053" s="11" t="inlineStr"/>
      <c r="F2053" s="11" t="n">
        <v>0</v>
      </c>
      <c r="G2053" s="11">
        <f>E2053-F2053</f>
        <v/>
      </c>
      <c r="H2053" s="11" t="n">
        <v/>
      </c>
      <c r="I2053" s="11" t="n">
        <v/>
      </c>
      <c r="J2053" s="11" t="n">
        <v/>
      </c>
      <c r="K2053" s="4" t="inlineStr">
        <is>
          <t>Abrechnungsart wählen; Stundensätze eingeben</t>
        </is>
      </c>
    </row>
    <row r="2054">
      <c r="A2054" s="4" t="inlineStr">
        <is>
          <t>5883 E&amp;S-BSK-Hotel-Hirschgasse-3-Heidelberg</t>
        </is>
      </c>
      <c r="B2054" s="4" t="inlineStr">
        <is>
          <t>● 3000-Entwurfsplanung</t>
        </is>
      </c>
      <c r="C2054" s="9" t="inlineStr">
        <is>
          <t>Unbekannt</t>
        </is>
      </c>
      <c r="D2054" s="10" t="inlineStr">
        <is>
          <t>⚠ Manual erforderlich</t>
        </is>
      </c>
      <c r="E2054" s="11" t="inlineStr"/>
      <c r="F2054" s="11" t="n">
        <v>0</v>
      </c>
      <c r="G2054" s="11">
        <f>E2054-F2054</f>
        <v/>
      </c>
      <c r="H2054" s="11" t="n">
        <v/>
      </c>
      <c r="I2054" s="11" t="n">
        <v/>
      </c>
      <c r="J2054" s="11" t="n">
        <v/>
      </c>
      <c r="K2054" s="4" t="inlineStr">
        <is>
          <t>Abrechnungsart wählen; Stundensätze eingeben</t>
        </is>
      </c>
    </row>
    <row r="2055">
      <c r="A2055" s="4" t="inlineStr">
        <is>
          <t>5883 E&amp;S-BSK-Hotel-Hirschgasse-3-Heidelberg</t>
        </is>
      </c>
      <c r="B2055" s="4" t="inlineStr">
        <is>
          <t>● 4000-Genehmigungsplanung</t>
        </is>
      </c>
      <c r="C2055" s="9" t="inlineStr">
        <is>
          <t>Unbekannt</t>
        </is>
      </c>
      <c r="D2055" s="10" t="inlineStr">
        <is>
          <t>⚠ Manual erforderlich</t>
        </is>
      </c>
      <c r="E2055" s="11" t="inlineStr"/>
      <c r="F2055" s="11" t="n">
        <v>0</v>
      </c>
      <c r="G2055" s="11">
        <f>E2055-F2055</f>
        <v/>
      </c>
      <c r="H2055" s="11" t="n">
        <v/>
      </c>
      <c r="I2055" s="11" t="n">
        <v/>
      </c>
      <c r="J2055" s="11" t="n">
        <v/>
      </c>
      <c r="K2055" s="4" t="inlineStr">
        <is>
          <t>Abrechnungsart wählen; Stundensätze eingeben</t>
        </is>
      </c>
    </row>
    <row r="2056">
      <c r="A2056" s="4" t="inlineStr">
        <is>
          <t>5883 E&amp;S-BSK-Hotel-Hirschgasse-3-Heidelberg</t>
        </is>
      </c>
      <c r="B2056" s="4" t="inlineStr">
        <is>
          <t>● (aN) Pos. 2 Beratung + BAB</t>
        </is>
      </c>
      <c r="C2056" s="4" t="inlineStr">
        <is>
          <t>Nachweis</t>
        </is>
      </c>
      <c r="D2056" s="10" t="inlineStr">
        <is>
          <t>⚠ Manual erforderlich</t>
        </is>
      </c>
      <c r="E2056" s="11" t="inlineStr"/>
      <c r="F2056" s="11" t="n">
        <v>0</v>
      </c>
      <c r="G2056" s="11">
        <f>E2056-F2056</f>
        <v/>
      </c>
      <c r="H2056" s="11" t="n">
        <v/>
      </c>
      <c r="I2056" s="11" t="n">
        <v/>
      </c>
      <c r="J2056" s="11" t="n">
        <v/>
      </c>
      <c r="K2056" s="4" t="inlineStr">
        <is>
          <t>Stundensätze eingeben</t>
        </is>
      </c>
    </row>
    <row r="2057">
      <c r="A2057" s="4" t="inlineStr">
        <is>
          <t>5888 BSN-ImGestütErlenhof3-BadHomburg</t>
        </is>
      </c>
      <c r="B2057" s="4" t="inlineStr">
        <is>
          <t>● • ‧ 4202-Fortschreiben BSK aufgrund Vorprüfung Behörden</t>
        </is>
      </c>
      <c r="C2057" s="9" t="inlineStr">
        <is>
          <t>Unbekannt</t>
        </is>
      </c>
      <c r="D2057" s="10" t="inlineStr">
        <is>
          <t>⚠ Manual erforderlich</t>
        </is>
      </c>
      <c r="E2057" s="11" t="inlineStr"/>
      <c r="F2057" s="11" t="n">
        <v>0</v>
      </c>
      <c r="G2057" s="11">
        <f>E2057-F2057</f>
        <v/>
      </c>
      <c r="H2057" s="11" t="n">
        <v/>
      </c>
      <c r="I2057" s="11" t="n">
        <v/>
      </c>
      <c r="J2057" s="11" t="n">
        <v/>
      </c>
      <c r="K2057" s="4" t="inlineStr">
        <is>
          <t>Abrechnungsart wählen; Stundensätze eingeben</t>
        </is>
      </c>
    </row>
    <row r="2058">
      <c r="A2058" s="4" t="inlineStr">
        <is>
          <t>5888 BSN-ImGestütErlenhof3-BadHomburg</t>
        </is>
      </c>
      <c r="B2058" s="4" t="inlineStr">
        <is>
          <t>● • ‧ 4302-Ortstermine, Besprechung Behörde, Feuerwehr etc...</t>
        </is>
      </c>
      <c r="C2058" s="9" t="inlineStr">
        <is>
          <t>Unbekannt</t>
        </is>
      </c>
      <c r="D2058" s="10" t="inlineStr">
        <is>
          <t>⚠ Manual erforderlich</t>
        </is>
      </c>
      <c r="E2058" s="11" t="inlineStr"/>
      <c r="F2058" s="11" t="n">
        <v>0</v>
      </c>
      <c r="G2058" s="11">
        <f>E2058-F2058</f>
        <v/>
      </c>
      <c r="H2058" s="11" t="n">
        <v/>
      </c>
      <c r="I2058" s="11" t="n">
        <v/>
      </c>
      <c r="J2058" s="11" t="n">
        <v/>
      </c>
      <c r="K2058" s="4" t="inlineStr">
        <is>
          <t>Abrechnungsart wählen; Stundensätze eingeben</t>
        </is>
      </c>
    </row>
    <row r="2059">
      <c r="A2059" s="4" t="inlineStr">
        <is>
          <t>5888 BSN-ImGestütErlenhof3-BadHomburg</t>
        </is>
      </c>
      <c r="B2059" s="4" t="inlineStr">
        <is>
          <t>● • ‧ 4105-Zusammenstellung Unterlagen für Einreichung bei BA….</t>
        </is>
      </c>
      <c r="C2059" s="9" t="inlineStr">
        <is>
          <t>Unbekannt</t>
        </is>
      </c>
      <c r="D2059" s="10" t="inlineStr">
        <is>
          <t>⚠ Manual erforderlich</t>
        </is>
      </c>
      <c r="E2059" s="11" t="inlineStr"/>
      <c r="F2059" s="11" t="n">
        <v>0</v>
      </c>
      <c r="G2059" s="11">
        <f>E2059-F2059</f>
        <v/>
      </c>
      <c r="H2059" s="11" t="n">
        <v/>
      </c>
      <c r="I2059" s="11" t="n">
        <v/>
      </c>
      <c r="J2059" s="11" t="n">
        <v/>
      </c>
      <c r="K2059" s="4" t="inlineStr">
        <is>
          <t>Abrechnungsart wählen; Stundensätze eingeben</t>
        </is>
      </c>
    </row>
    <row r="2060">
      <c r="A2060" s="4" t="inlineStr">
        <is>
          <t>5888 BSN-ImGestütErlenhof3-BadHomburg</t>
        </is>
      </c>
      <c r="B2060" s="4" t="inlineStr">
        <is>
          <t>● • ‧ 8200-Prüfen der Ausführung - system. stichprobenart. Kontrolle (Stufe 2)….</t>
        </is>
      </c>
      <c r="C2060" s="9" t="inlineStr">
        <is>
          <t>Unbekannt</t>
        </is>
      </c>
      <c r="D2060" s="10" t="inlineStr">
        <is>
          <t>⚠ Manual erforderlich</t>
        </is>
      </c>
      <c r="E2060" s="11" t="inlineStr"/>
      <c r="F2060" s="11" t="n">
        <v>0</v>
      </c>
      <c r="G2060" s="11">
        <f>E2060-F2060</f>
        <v/>
      </c>
      <c r="H2060" s="11" t="n">
        <v/>
      </c>
      <c r="I2060" s="11" t="n">
        <v/>
      </c>
      <c r="J2060" s="11" t="n">
        <v/>
      </c>
      <c r="K2060" s="4" t="inlineStr">
        <is>
          <t>Abrechnungsart wählen; Stundensätze eingeben</t>
        </is>
      </c>
    </row>
    <row r="2061">
      <c r="A2061" s="4" t="inlineStr">
        <is>
          <t>5888 BSN-ImGestütErlenhof3-BadHomburg</t>
        </is>
      </c>
      <c r="B2061" s="4" t="inlineStr">
        <is>
          <t>● 3000-Entwurfsplanung</t>
        </is>
      </c>
      <c r="C2061" s="9" t="inlineStr">
        <is>
          <t>Unbekannt</t>
        </is>
      </c>
      <c r="D2061" s="10" t="inlineStr">
        <is>
          <t>⚠ Manual erforderlich</t>
        </is>
      </c>
      <c r="E2061" s="11" t="inlineStr"/>
      <c r="F2061" s="11" t="n">
        <v>0</v>
      </c>
      <c r="G2061" s="11">
        <f>E2061-F2061</f>
        <v/>
      </c>
      <c r="H2061" s="11" t="n">
        <v/>
      </c>
      <c r="I2061" s="11" t="n">
        <v/>
      </c>
      <c r="J2061" s="11" t="n">
        <v/>
      </c>
      <c r="K2061" s="4" t="inlineStr">
        <is>
          <t>Abrechnungsart wählen; Stundensätze eingeben</t>
        </is>
      </c>
    </row>
    <row r="2062">
      <c r="A2062" s="4" t="inlineStr">
        <is>
          <t>5889 Kleyerstraße-75-89-Telehouse-Geb-C0</t>
        </is>
      </c>
      <c r="B2062" s="4" t="inlineStr">
        <is>
          <t>● 1000-Grundlagenermittlung</t>
        </is>
      </c>
      <c r="C2062" s="9" t="inlineStr">
        <is>
          <t>Unbekannt</t>
        </is>
      </c>
      <c r="D2062" s="10" t="inlineStr">
        <is>
          <t>⚠ Manual erforderlich</t>
        </is>
      </c>
      <c r="E2062" s="11" t="inlineStr"/>
      <c r="F2062" s="11" t="n">
        <v>0</v>
      </c>
      <c r="G2062" s="11">
        <f>E2062-F2062</f>
        <v/>
      </c>
      <c r="H2062" s="11" t="n">
        <v/>
      </c>
      <c r="I2062" s="11" t="n">
        <v/>
      </c>
      <c r="J2062" s="11" t="n">
        <v/>
      </c>
      <c r="K2062" s="4" t="inlineStr">
        <is>
          <t>Abrechnungsart wählen; Stundensätze eingeben</t>
        </is>
      </c>
    </row>
    <row r="2063">
      <c r="A2063" s="4" t="inlineStr">
        <is>
          <t>5889 Kleyerstraße-75-89-Telehouse-Geb-C0</t>
        </is>
      </c>
      <c r="B2063" s="4" t="inlineStr">
        <is>
          <t>● 2000-Vorplanung</t>
        </is>
      </c>
      <c r="C2063" s="9" t="inlineStr">
        <is>
          <t>Unbekannt</t>
        </is>
      </c>
      <c r="D2063" s="10" t="inlineStr">
        <is>
          <t>⚠ Manual erforderlich</t>
        </is>
      </c>
      <c r="E2063" s="11" t="inlineStr"/>
      <c r="F2063" s="11" t="n">
        <v>0</v>
      </c>
      <c r="G2063" s="11">
        <f>E2063-F2063</f>
        <v/>
      </c>
      <c r="H2063" s="11" t="n">
        <v/>
      </c>
      <c r="I2063" s="11" t="n">
        <v/>
      </c>
      <c r="J2063" s="11" t="n">
        <v/>
      </c>
      <c r="K2063" s="4" t="inlineStr">
        <is>
          <t>Abrechnungsart wählen; Stundensätze eingeben</t>
        </is>
      </c>
    </row>
    <row r="2064">
      <c r="A2064" s="4" t="inlineStr">
        <is>
          <t>5889 Kleyerstraße-75-89-Telehouse-Geb-C0</t>
        </is>
      </c>
      <c r="B2064" s="4" t="inlineStr">
        <is>
          <t>● 3000-Entwurfsplanung</t>
        </is>
      </c>
      <c r="C2064" s="9" t="inlineStr">
        <is>
          <t>Unbekannt</t>
        </is>
      </c>
      <c r="D2064" s="10" t="inlineStr">
        <is>
          <t>⚠ Manual erforderlich</t>
        </is>
      </c>
      <c r="E2064" s="11" t="inlineStr"/>
      <c r="F2064" s="11" t="n">
        <v>0</v>
      </c>
      <c r="G2064" s="11">
        <f>E2064-F2064</f>
        <v/>
      </c>
      <c r="H2064" s="11" t="n">
        <v/>
      </c>
      <c r="I2064" s="11" t="n">
        <v/>
      </c>
      <c r="J2064" s="11" t="n">
        <v/>
      </c>
      <c r="K2064" s="4" t="inlineStr">
        <is>
          <t>Abrechnungsart wählen; Stundensätze eingeben</t>
        </is>
      </c>
    </row>
    <row r="2065">
      <c r="A2065" s="4" t="inlineStr">
        <is>
          <t>5889 Kleyerstraße-75-89-Telehouse-Geb-C0</t>
        </is>
      </c>
      <c r="B2065" s="4" t="inlineStr">
        <is>
          <t>● 4000-Genehmigungsplanung</t>
        </is>
      </c>
      <c r="C2065" s="9" t="inlineStr">
        <is>
          <t>Unbekannt</t>
        </is>
      </c>
      <c r="D2065" s="10" t="inlineStr">
        <is>
          <t>⚠ Manual erforderlich</t>
        </is>
      </c>
      <c r="E2065" s="11" t="inlineStr"/>
      <c r="F2065" s="11" t="n">
        <v>0</v>
      </c>
      <c r="G2065" s="11">
        <f>E2065-F2065</f>
        <v/>
      </c>
      <c r="H2065" s="11" t="n">
        <v/>
      </c>
      <c r="I2065" s="11" t="n">
        <v/>
      </c>
      <c r="J2065" s="11" t="n">
        <v/>
      </c>
      <c r="K2065" s="4" t="inlineStr">
        <is>
          <t>Abrechnungsart wählen; Stundensätze eingeben</t>
        </is>
      </c>
    </row>
    <row r="2066">
      <c r="A2066" s="4" t="inlineStr">
        <is>
          <t>5889 Kleyerstraße-75-89-Telehouse-Geb-C0</t>
        </is>
      </c>
      <c r="B2066" s="4" t="inlineStr">
        <is>
          <t>● 8000-Objektüberwachung</t>
        </is>
      </c>
      <c r="C2066" s="9" t="inlineStr">
        <is>
          <t>Unbekannt</t>
        </is>
      </c>
      <c r="D2066" s="10" t="inlineStr">
        <is>
          <t>⚠ Manual erforderlich</t>
        </is>
      </c>
      <c r="E2066" s="11" t="inlineStr"/>
      <c r="F2066" s="11" t="n">
        <v>0</v>
      </c>
      <c r="G2066" s="11">
        <f>E2066-F2066</f>
        <v/>
      </c>
      <c r="H2066" s="11" t="n">
        <v/>
      </c>
      <c r="I2066" s="11" t="n">
        <v/>
      </c>
      <c r="J2066" s="11" t="n">
        <v/>
      </c>
      <c r="K2066" s="4" t="inlineStr">
        <is>
          <t>Abrechnungsart wählen; Stundensätze eingeben</t>
        </is>
      </c>
    </row>
    <row r="2067">
      <c r="A2067" s="4" t="inlineStr">
        <is>
          <t>5899.01 RV-BTB-Haus-3-Dag-Hammarskjöld-Weg-1-5-Eschborn</t>
        </is>
      </c>
      <c r="B2067" s="4" t="inlineStr">
        <is>
          <t>● 2000-Vorplanung</t>
        </is>
      </c>
      <c r="C2067" s="9" t="inlineStr">
        <is>
          <t>Unbekannt</t>
        </is>
      </c>
      <c r="D2067" s="10" t="inlineStr">
        <is>
          <t>⚠ Manual erforderlich</t>
        </is>
      </c>
      <c r="E2067" s="11" t="inlineStr"/>
      <c r="F2067" s="11" t="n">
        <v>0</v>
      </c>
      <c r="G2067" s="11">
        <f>E2067-F2067</f>
        <v/>
      </c>
      <c r="H2067" s="11" t="n">
        <v/>
      </c>
      <c r="I2067" s="11" t="n">
        <v/>
      </c>
      <c r="J2067" s="11" t="n">
        <v/>
      </c>
      <c r="K2067" s="4" t="inlineStr">
        <is>
          <t>Abrechnungsart wählen; Stundensätze eingeben</t>
        </is>
      </c>
    </row>
    <row r="2068">
      <c r="A2068" s="4" t="inlineStr">
        <is>
          <t>5899.02 RV-BTB-Haus-3-Dag-Hammarskjöld-Weg-1-5-Eschborn</t>
        </is>
      </c>
      <c r="B2068" s="4" t="inlineStr">
        <is>
          <t>● (a.N.) Beratung</t>
        </is>
      </c>
      <c r="C2068" s="4" t="inlineStr">
        <is>
          <t>Nachweis</t>
        </is>
      </c>
      <c r="D2068" s="10" t="inlineStr">
        <is>
          <t>⚠ Manual erforderlich</t>
        </is>
      </c>
      <c r="E2068" s="11" t="inlineStr"/>
      <c r="F2068" s="11" t="n">
        <v>0</v>
      </c>
      <c r="G2068" s="11">
        <f>E2068-F2068</f>
        <v/>
      </c>
      <c r="H2068" s="11" t="n">
        <v/>
      </c>
      <c r="I2068" s="11" t="n">
        <v/>
      </c>
      <c r="J2068" s="11" t="n">
        <v/>
      </c>
      <c r="K2068" s="4" t="inlineStr">
        <is>
          <t>Stundensätze eingeben</t>
        </is>
      </c>
    </row>
    <row r="2069">
      <c r="A2069" s="4" t="inlineStr">
        <is>
          <t>5902 DFS-Konzeption-Brandschutzmanagement</t>
        </is>
      </c>
      <c r="B2069" s="4" t="inlineStr">
        <is>
          <t>● 2000-Vorplanung</t>
        </is>
      </c>
      <c r="C2069" s="9" t="inlineStr">
        <is>
          <t>Unbekannt</t>
        </is>
      </c>
      <c r="D2069" s="10" t="inlineStr">
        <is>
          <t>⚠ Manual erforderlich</t>
        </is>
      </c>
      <c r="E2069" s="11" t="inlineStr"/>
      <c r="F2069" s="11" t="n">
        <v>0</v>
      </c>
      <c r="G2069" s="11">
        <f>E2069-F2069</f>
        <v/>
      </c>
      <c r="H2069" s="11" t="n">
        <v/>
      </c>
      <c r="I2069" s="11" t="n">
        <v/>
      </c>
      <c r="J2069" s="11" t="n">
        <v/>
      </c>
      <c r="K2069" s="4" t="inlineStr">
        <is>
          <t>Abrechnungsart wählen; Stundensätze eingeben</t>
        </is>
      </c>
    </row>
    <row r="2070">
      <c r="A2070" s="4" t="inlineStr">
        <is>
          <t>5902 DFS-Konzeption-Brandschutzmanagement</t>
        </is>
      </c>
      <c r="B2070" s="4" t="inlineStr">
        <is>
          <t>● 2022 (auf Nachweis)</t>
        </is>
      </c>
      <c r="C2070" s="9" t="inlineStr">
        <is>
          <t>Unbekannt</t>
        </is>
      </c>
      <c r="D2070" s="10" t="inlineStr">
        <is>
          <t>⚠ Manual erforderlich</t>
        </is>
      </c>
      <c r="E2070" s="11" t="inlineStr"/>
      <c r="F2070" s="11" t="n">
        <v>0</v>
      </c>
      <c r="G2070" s="11">
        <f>E2070-F2070</f>
        <v/>
      </c>
      <c r="H2070" s="11" t="n">
        <v/>
      </c>
      <c r="I2070" s="11" t="n">
        <v/>
      </c>
      <c r="J2070" s="11" t="n">
        <v/>
      </c>
      <c r="K2070" s="4" t="inlineStr">
        <is>
          <t>Abrechnungsart wählen; Stundensätze eingeben</t>
        </is>
      </c>
    </row>
    <row r="2071">
      <c r="A2071" s="4" t="inlineStr">
        <is>
          <t>5902 DFS-Konzeption-Brandschutzmanagement</t>
        </is>
      </c>
      <c r="B2071" s="4" t="inlineStr">
        <is>
          <t>● 2023 (auf Nachweis)</t>
        </is>
      </c>
      <c r="C2071" s="9" t="inlineStr">
        <is>
          <t>Unbekannt</t>
        </is>
      </c>
      <c r="D2071" s="10" t="inlineStr">
        <is>
          <t>⚠ Manual erforderlich</t>
        </is>
      </c>
      <c r="E2071" s="11" t="inlineStr"/>
      <c r="F2071" s="11" t="n">
        <v>0</v>
      </c>
      <c r="G2071" s="11">
        <f>E2071-F2071</f>
        <v/>
      </c>
      <c r="H2071" s="11" t="n">
        <v/>
      </c>
      <c r="I2071" s="11" t="n">
        <v/>
      </c>
      <c r="J2071" s="11" t="n">
        <v/>
      </c>
      <c r="K2071" s="4" t="inlineStr">
        <is>
          <t>Abrechnungsart wählen; Stundensätze eingeben</t>
        </is>
      </c>
    </row>
    <row r="2072">
      <c r="A2072" s="4" t="inlineStr">
        <is>
          <t>5902 DFS-Konzeption-Brandschutzmanagement</t>
        </is>
      </c>
      <c r="B2072" s="4" t="inlineStr">
        <is>
          <t>● 2024 (auf Nachweis)</t>
        </is>
      </c>
      <c r="C2072" s="9" t="inlineStr">
        <is>
          <t>Unbekannt</t>
        </is>
      </c>
      <c r="D2072" s="10" t="inlineStr">
        <is>
          <t>⚠ Manual erforderlich</t>
        </is>
      </c>
      <c r="E2072" s="11" t="inlineStr"/>
      <c r="F2072" s="11" t="n">
        <v>0</v>
      </c>
      <c r="G2072" s="11">
        <f>E2072-F2072</f>
        <v/>
      </c>
      <c r="H2072" s="11" t="n">
        <v/>
      </c>
      <c r="I2072" s="11" t="n">
        <v/>
      </c>
      <c r="J2072" s="11" t="n">
        <v/>
      </c>
      <c r="K2072" s="4" t="inlineStr">
        <is>
          <t>Abrechnungsart wählen; Stundensätze eingeben</t>
        </is>
      </c>
    </row>
    <row r="2073">
      <c r="A2073" s="4" t="inlineStr">
        <is>
          <t>5902 DFS-Konzeption-Brandschutzmanagement</t>
        </is>
      </c>
      <c r="B2073" s="4" t="inlineStr">
        <is>
          <t>● BSB 2025 (a.N.)</t>
        </is>
      </c>
      <c r="C2073" s="4" t="inlineStr">
        <is>
          <t>Nachweis</t>
        </is>
      </c>
      <c r="D2073" s="10" t="inlineStr">
        <is>
          <t>⚠ Manual erforderlich</t>
        </is>
      </c>
      <c r="E2073" s="11" t="inlineStr"/>
      <c r="F2073" s="11" t="n">
        <v>0</v>
      </c>
      <c r="G2073" s="11">
        <f>E2073-F2073</f>
        <v/>
      </c>
      <c r="H2073" s="11" t="n">
        <v/>
      </c>
      <c r="I2073" s="11" t="n">
        <v/>
      </c>
      <c r="J2073" s="11" t="n">
        <v/>
      </c>
      <c r="K2073" s="4" t="inlineStr">
        <is>
          <t>Stundensätze eingeben</t>
        </is>
      </c>
    </row>
    <row r="2074">
      <c r="A2074" s="4" t="inlineStr">
        <is>
          <t>5902.001 DFS-Überarbeitung-BSO-div-Liegenschaften</t>
        </is>
      </c>
      <c r="B2074" s="4" t="inlineStr">
        <is>
          <t>● (aN) Pos. 1 Prüfung BSO (mehrere Liegenschaften)</t>
        </is>
      </c>
      <c r="C2074" s="4" t="inlineStr">
        <is>
          <t>Nachweis</t>
        </is>
      </c>
      <c r="D2074" s="10" t="inlineStr">
        <is>
          <t>⚠ Manual erforderlich</t>
        </is>
      </c>
      <c r="E2074" s="11" t="inlineStr"/>
      <c r="F2074" s="11" t="n">
        <v>0</v>
      </c>
      <c r="G2074" s="11">
        <f>E2074-F2074</f>
        <v/>
      </c>
      <c r="H2074" s="11" t="n">
        <v/>
      </c>
      <c r="I2074" s="11" t="n">
        <v/>
      </c>
      <c r="J2074" s="11" t="n">
        <v/>
      </c>
      <c r="K2074" s="4" t="inlineStr">
        <is>
          <t>Stundensätze eingeben</t>
        </is>
      </c>
    </row>
    <row r="2075">
      <c r="A2075" s="4" t="inlineStr">
        <is>
          <t>5902.001 DFS-Überarbeitung-BSO-div-Liegenschaften</t>
        </is>
      </c>
      <c r="B2075" s="4" t="inlineStr">
        <is>
          <t>● (aN) Pos. 2a Überarb. BSO - Control Center</t>
        </is>
      </c>
      <c r="C2075" s="4" t="inlineStr">
        <is>
          <t>Nachweis</t>
        </is>
      </c>
      <c r="D2075" s="10" t="inlineStr">
        <is>
          <t>⚠ Manual erforderlich</t>
        </is>
      </c>
      <c r="E2075" s="11" t="inlineStr"/>
      <c r="F2075" s="11" t="n">
        <v>0</v>
      </c>
      <c r="G2075" s="11">
        <f>E2075-F2075</f>
        <v/>
      </c>
      <c r="H2075" s="11" t="n">
        <v/>
      </c>
      <c r="I2075" s="11" t="n">
        <v/>
      </c>
      <c r="J2075" s="11" t="n">
        <v/>
      </c>
      <c r="K2075" s="4" t="inlineStr">
        <is>
          <t>Stundensätze eingeben</t>
        </is>
      </c>
    </row>
    <row r="2076">
      <c r="A2076" s="4" t="inlineStr">
        <is>
          <t>5902.001 DFS-Überarbeitung-BSO-div-Liegenschaften</t>
        </is>
      </c>
      <c r="B2076" s="4" t="inlineStr">
        <is>
          <t>● (aN) Pos. 2b Überarb. BSO - Forschungszentrum</t>
        </is>
      </c>
      <c r="C2076" s="4" t="inlineStr">
        <is>
          <t>Nachweis</t>
        </is>
      </c>
      <c r="D2076" s="10" t="inlineStr">
        <is>
          <t>⚠ Manual erforderlich</t>
        </is>
      </c>
      <c r="E2076" s="11" t="inlineStr"/>
      <c r="F2076" s="11" t="n">
        <v>0</v>
      </c>
      <c r="G2076" s="11">
        <f>E2076-F2076</f>
        <v/>
      </c>
      <c r="H2076" s="11" t="n">
        <v/>
      </c>
      <c r="I2076" s="11" t="n">
        <v/>
      </c>
      <c r="J2076" s="11" t="n">
        <v/>
      </c>
      <c r="K2076" s="4" t="inlineStr">
        <is>
          <t>Stundensätze eingeben</t>
        </is>
      </c>
    </row>
    <row r="2077">
      <c r="A2077" s="4" t="inlineStr">
        <is>
          <t>5902.001 DFS-Überarbeitung-BSO-div-Liegenschaften</t>
        </is>
      </c>
      <c r="B2077" s="4" t="inlineStr">
        <is>
          <t>● (aN) Pos. 2c Überarb. BSO - Logistischer Dienst</t>
        </is>
      </c>
      <c r="C2077" s="4" t="inlineStr">
        <is>
          <t>Nachweis</t>
        </is>
      </c>
      <c r="D2077" s="10" t="inlineStr">
        <is>
          <t>⚠ Manual erforderlich</t>
        </is>
      </c>
      <c r="E2077" s="11" t="inlineStr"/>
      <c r="F2077" s="11" t="n">
        <v>0</v>
      </c>
      <c r="G2077" s="11">
        <f>E2077-F2077</f>
        <v/>
      </c>
      <c r="H2077" s="11" t="n">
        <v/>
      </c>
      <c r="I2077" s="11" t="n">
        <v/>
      </c>
      <c r="J2077" s="11" t="n">
        <v/>
      </c>
      <c r="K2077" s="4" t="inlineStr">
        <is>
          <t>Stundensätze eingeben</t>
        </is>
      </c>
    </row>
    <row r="2078">
      <c r="A2078" s="4" t="inlineStr">
        <is>
          <t>5902.001 DFS-Überarbeitung-BSO-div-Liegenschaften</t>
        </is>
      </c>
      <c r="B2078" s="4" t="inlineStr">
        <is>
          <t>● (aN) Pos. 2d Überarb. BSO - Systemhaus</t>
        </is>
      </c>
      <c r="C2078" s="4" t="inlineStr">
        <is>
          <t>Nachweis</t>
        </is>
      </c>
      <c r="D2078" s="10" t="inlineStr">
        <is>
          <t>⚠ Manual erforderlich</t>
        </is>
      </c>
      <c r="E2078" s="11" t="inlineStr"/>
      <c r="F2078" s="11" t="n">
        <v>0</v>
      </c>
      <c r="G2078" s="11">
        <f>E2078-F2078</f>
        <v/>
      </c>
      <c r="H2078" s="11" t="n">
        <v/>
      </c>
      <c r="I2078" s="11" t="n">
        <v/>
      </c>
      <c r="J2078" s="11" t="n">
        <v/>
      </c>
      <c r="K2078" s="4" t="inlineStr">
        <is>
          <t>Stundensätze eingeben</t>
        </is>
      </c>
    </row>
    <row r="2079">
      <c r="A2079" s="4" t="inlineStr">
        <is>
          <t>5902.001 DFS-Überarbeitung-BSO-div-Liegenschaften</t>
        </is>
      </c>
      <c r="B2079" s="4" t="inlineStr">
        <is>
          <t>● (aN) Pos. 2e Überarb. BSO - Technikzentrum</t>
        </is>
      </c>
      <c r="C2079" s="4" t="inlineStr">
        <is>
          <t>Nachweis</t>
        </is>
      </c>
      <c r="D2079" s="10" t="inlineStr">
        <is>
          <t>⚠ Manual erforderlich</t>
        </is>
      </c>
      <c r="E2079" s="11" t="inlineStr"/>
      <c r="F2079" s="11" t="n">
        <v>0</v>
      </c>
      <c r="G2079" s="11">
        <f>E2079-F2079</f>
        <v/>
      </c>
      <c r="H2079" s="11" t="n">
        <v/>
      </c>
      <c r="I2079" s="11" t="n">
        <v/>
      </c>
      <c r="J2079" s="11" t="n">
        <v/>
      </c>
      <c r="K2079" s="4" t="inlineStr">
        <is>
          <t>Stundensätze eingeben</t>
        </is>
      </c>
    </row>
    <row r="2080">
      <c r="A2080" s="4" t="inlineStr">
        <is>
          <t>5902.001 DFS-Überarbeitung-BSO-div-Liegenschaften</t>
        </is>
      </c>
      <c r="B2080" s="4" t="inlineStr">
        <is>
          <t>● (aN) Pos. 2f Überarb. BSO - Tower Süd Frankfurt</t>
        </is>
      </c>
      <c r="C2080" s="4" t="inlineStr">
        <is>
          <t>Nachweis</t>
        </is>
      </c>
      <c r="D2080" s="10" t="inlineStr">
        <is>
          <t>⚠ Manual erforderlich</t>
        </is>
      </c>
      <c r="E2080" s="11" t="inlineStr"/>
      <c r="F2080" s="11" t="n">
        <v>0</v>
      </c>
      <c r="G2080" s="11">
        <f>E2080-F2080</f>
        <v/>
      </c>
      <c r="H2080" s="11" t="n">
        <v/>
      </c>
      <c r="I2080" s="11" t="n">
        <v/>
      </c>
      <c r="J2080" s="11" t="n">
        <v/>
      </c>
      <c r="K2080" s="4" t="inlineStr">
        <is>
          <t>Stundensätze eingeben</t>
        </is>
      </c>
    </row>
    <row r="2081">
      <c r="A2081" s="4" t="inlineStr">
        <is>
          <t>5902.001 DFS-Überarbeitung-BSO-div-Liegenschaften</t>
        </is>
      </c>
      <c r="B2081" s="4" t="inlineStr">
        <is>
          <t>● (aN) Pos. 2g Überarb. BSO - Tower Nord Frankfurt</t>
        </is>
      </c>
      <c r="C2081" s="4" t="inlineStr">
        <is>
          <t>Nachweis</t>
        </is>
      </c>
      <c r="D2081" s="10" t="inlineStr">
        <is>
          <t>⚠ Manual erforderlich</t>
        </is>
      </c>
      <c r="E2081" s="11" t="inlineStr"/>
      <c r="F2081" s="11" t="n">
        <v>0</v>
      </c>
      <c r="G2081" s="11">
        <f>E2081-F2081</f>
        <v/>
      </c>
      <c r="H2081" s="11" t="n">
        <v/>
      </c>
      <c r="I2081" s="11" t="n">
        <v/>
      </c>
      <c r="J2081" s="11" t="n">
        <v/>
      </c>
      <c r="K2081" s="4" t="inlineStr">
        <is>
          <t>Stundensätze eingeben</t>
        </is>
      </c>
    </row>
    <row r="2082">
      <c r="A2082" s="4" t="inlineStr">
        <is>
          <t>5902.001 DFS-Überarbeitung-BSO-div-Liegenschaften</t>
        </is>
      </c>
      <c r="B2082" s="4" t="inlineStr">
        <is>
          <t>● (aN) Pos. 2h Überarb. BSO - Akademie</t>
        </is>
      </c>
      <c r="C2082" s="4" t="inlineStr">
        <is>
          <t>Nachweis</t>
        </is>
      </c>
      <c r="D2082" s="10" t="inlineStr">
        <is>
          <t>⚠ Manual erforderlich</t>
        </is>
      </c>
      <c r="E2082" s="11" t="inlineStr"/>
      <c r="F2082" s="11" t="n">
        <v>0</v>
      </c>
      <c r="G2082" s="11">
        <f>E2082-F2082</f>
        <v/>
      </c>
      <c r="H2082" s="11" t="n">
        <v/>
      </c>
      <c r="I2082" s="11" t="n">
        <v/>
      </c>
      <c r="J2082" s="11" t="n">
        <v/>
      </c>
      <c r="K2082" s="4" t="inlineStr">
        <is>
          <t>Stundensätze eingeben</t>
        </is>
      </c>
    </row>
    <row r="2083">
      <c r="A2083" s="4" t="inlineStr">
        <is>
          <t>5902.001 DFS-Überarbeitung-BSO-div-Liegenschaften</t>
        </is>
      </c>
      <c r="B2083" s="4" t="inlineStr">
        <is>
          <t>● (aN) Pos. 2i Überarb. BSO - Unternehmenszentrale</t>
        </is>
      </c>
      <c r="C2083" s="4" t="inlineStr">
        <is>
          <t>Nachweis</t>
        </is>
      </c>
      <c r="D2083" s="10" t="inlineStr">
        <is>
          <t>⚠ Manual erforderlich</t>
        </is>
      </c>
      <c r="E2083" s="11" t="inlineStr"/>
      <c r="F2083" s="11" t="n">
        <v>0</v>
      </c>
      <c r="G2083" s="11">
        <f>E2083-F2083</f>
        <v/>
      </c>
      <c r="H2083" s="11" t="n">
        <v/>
      </c>
      <c r="I2083" s="11" t="n">
        <v/>
      </c>
      <c r="J2083" s="11" t="n">
        <v/>
      </c>
      <c r="K2083" s="4" t="inlineStr">
        <is>
          <t>Stundensätze eingeben</t>
        </is>
      </c>
    </row>
    <row r="2084">
      <c r="A2084" s="4" t="inlineStr">
        <is>
          <t>5902.002 DFS-Laufkarten-Langen</t>
        </is>
      </c>
      <c r="B2084" s="4" t="inlineStr">
        <is>
          <t>● (p) Erstellung Feuerwehrlaufkarte MG30 - Radaranlage Modautal</t>
        </is>
      </c>
      <c r="C2084" s="4" t="inlineStr">
        <is>
          <t>Pauschale</t>
        </is>
      </c>
      <c r="D2084" s="10" t="inlineStr">
        <is>
          <t>⚠ Manual erforderlich</t>
        </is>
      </c>
      <c r="E2084" s="11" t="inlineStr"/>
      <c r="F2084" s="11" t="n">
        <v>0</v>
      </c>
      <c r="G2084" s="11">
        <f>E2084-F2084</f>
        <v/>
      </c>
      <c r="H2084" s="11" t="n">
        <v>0</v>
      </c>
      <c r="I2084" s="11" t="n">
        <v>0</v>
      </c>
      <c r="J2084" s="11" t="n">
        <v>0</v>
      </c>
      <c r="K2084" s="4" t="inlineStr">
        <is>
          <t>Stundensätze eingeben</t>
        </is>
      </c>
    </row>
    <row r="2085">
      <c r="A2085" s="4" t="inlineStr">
        <is>
          <t>5902.002 DFS-Laufkarten-Langen</t>
        </is>
      </c>
      <c r="B2085" s="4" t="inlineStr">
        <is>
          <t>● (p) Erstellung Feuerwehrlaufkarte MG4528 - Akademie Langen</t>
        </is>
      </c>
      <c r="C2085" s="4" t="inlineStr">
        <is>
          <t>Pauschale</t>
        </is>
      </c>
      <c r="D2085" s="10" t="inlineStr">
        <is>
          <t>⚠ Manual erforderlich</t>
        </is>
      </c>
      <c r="E2085" s="11" t="inlineStr"/>
      <c r="F2085" s="11" t="n">
        <v>0</v>
      </c>
      <c r="G2085" s="11">
        <f>E2085-F2085</f>
        <v/>
      </c>
      <c r="H2085" s="11" t="n">
        <v>0</v>
      </c>
      <c r="I2085" s="11" t="n">
        <v>0</v>
      </c>
      <c r="J2085" s="11" t="n">
        <v>0</v>
      </c>
      <c r="K2085" s="4" t="inlineStr">
        <is>
          <t>Stundensätze eingeben</t>
        </is>
      </c>
    </row>
    <row r="2086">
      <c r="A2086" s="4" t="inlineStr">
        <is>
          <t>5902.05 BSB-DFS-001-Unternehmenszentrale-Langen</t>
        </is>
      </c>
      <c r="B2086" s="4" t="inlineStr">
        <is>
          <t>● Brandschutzbeauftragter 2021 (auf Nachweis)</t>
        </is>
      </c>
      <c r="C2086" s="9" t="inlineStr">
        <is>
          <t>Unbekannt</t>
        </is>
      </c>
      <c r="D2086" s="10" t="inlineStr">
        <is>
          <t>⚠ Manual erforderlich</t>
        </is>
      </c>
      <c r="E2086" s="11" t="inlineStr"/>
      <c r="F2086" s="11" t="n">
        <v>0</v>
      </c>
      <c r="G2086" s="11">
        <f>E2086-F2086</f>
        <v/>
      </c>
      <c r="H2086" s="11" t="n">
        <v/>
      </c>
      <c r="I2086" s="11" t="n">
        <v/>
      </c>
      <c r="J2086" s="11" t="n">
        <v/>
      </c>
      <c r="K2086" s="4" t="inlineStr">
        <is>
          <t>Abrechnungsart wählen; Stundensätze eingeben</t>
        </is>
      </c>
    </row>
    <row r="2087">
      <c r="A2087" s="4" t="inlineStr">
        <is>
          <t>5902.05 BSB-DFS-001-Unternehmenszentrale-Langen</t>
        </is>
      </c>
      <c r="B2087" s="4" t="inlineStr">
        <is>
          <t>● BSB 2022 (auf Nachweis)</t>
        </is>
      </c>
      <c r="C2087" s="9" t="inlineStr">
        <is>
          <t>Unbekannt</t>
        </is>
      </c>
      <c r="D2087" s="10" t="inlineStr">
        <is>
          <t>⚠ Manual erforderlich</t>
        </is>
      </c>
      <c r="E2087" s="11" t="inlineStr"/>
      <c r="F2087" s="11" t="n">
        <v>0</v>
      </c>
      <c r="G2087" s="11">
        <f>E2087-F2087</f>
        <v/>
      </c>
      <c r="H2087" s="11" t="n">
        <v/>
      </c>
      <c r="I2087" s="11" t="n">
        <v/>
      </c>
      <c r="J2087" s="11" t="n">
        <v/>
      </c>
      <c r="K2087" s="4" t="inlineStr">
        <is>
          <t>Abrechnungsart wählen; Stundensätze eingeben</t>
        </is>
      </c>
    </row>
    <row r="2088">
      <c r="A2088" s="4" t="inlineStr">
        <is>
          <t>5902.05 BSB-DFS-001-Unternehmenszentrale-Langen</t>
        </is>
      </c>
      <c r="B2088" s="4" t="inlineStr">
        <is>
          <t>● BSB 2023 (auf Nachweis)</t>
        </is>
      </c>
      <c r="C2088" s="9" t="inlineStr">
        <is>
          <t>Unbekannt</t>
        </is>
      </c>
      <c r="D2088" s="10" t="inlineStr">
        <is>
          <t>⚠ Manual erforderlich</t>
        </is>
      </c>
      <c r="E2088" s="11" t="inlineStr"/>
      <c r="F2088" s="11" t="n">
        <v>0</v>
      </c>
      <c r="G2088" s="11">
        <f>E2088-F2088</f>
        <v/>
      </c>
      <c r="H2088" s="11" t="n">
        <v/>
      </c>
      <c r="I2088" s="11" t="n">
        <v/>
      </c>
      <c r="J2088" s="11" t="n">
        <v/>
      </c>
      <c r="K2088" s="4" t="inlineStr">
        <is>
          <t>Abrechnungsart wählen; Stundensätze eingeben</t>
        </is>
      </c>
    </row>
    <row r="2089">
      <c r="A2089" s="4" t="inlineStr">
        <is>
          <t>5902.05 BSB-DFS-001-Unternehmenszentrale-Langen</t>
        </is>
      </c>
      <c r="B2089" s="4" t="inlineStr">
        <is>
          <t>● Mängel-/Maßnahmeneinarbeitung FOT (auf Nachweis)</t>
        </is>
      </c>
      <c r="C2089" s="9" t="inlineStr">
        <is>
          <t>Unbekannt</t>
        </is>
      </c>
      <c r="D2089" s="10" t="inlineStr">
        <is>
          <t>⚠ Manual erforderlich</t>
        </is>
      </c>
      <c r="E2089" s="11" t="inlineStr"/>
      <c r="F2089" s="11" t="n">
        <v>0</v>
      </c>
      <c r="G2089" s="11">
        <f>E2089-F2089</f>
        <v/>
      </c>
      <c r="H2089" s="11" t="n">
        <v/>
      </c>
      <c r="I2089" s="11" t="n">
        <v/>
      </c>
      <c r="J2089" s="11" t="n">
        <v/>
      </c>
      <c r="K2089" s="4" t="inlineStr">
        <is>
          <t>Abrechnungsart wählen; Stundensätze eingeben</t>
        </is>
      </c>
    </row>
    <row r="2090">
      <c r="A2090" s="4" t="inlineStr">
        <is>
          <t>5902.05 BSB-DFS-001-Unternehmenszentrale-Langen</t>
        </is>
      </c>
      <c r="B2090" s="4" t="inlineStr">
        <is>
          <t>● BSB 2024 (auf Nachweis)</t>
        </is>
      </c>
      <c r="C2090" s="9" t="inlineStr">
        <is>
          <t>Unbekannt</t>
        </is>
      </c>
      <c r="D2090" s="10" t="inlineStr">
        <is>
          <t>⚠ Manual erforderlich</t>
        </is>
      </c>
      <c r="E2090" s="11" t="inlineStr"/>
      <c r="F2090" s="11" t="n">
        <v>0</v>
      </c>
      <c r="G2090" s="11">
        <f>E2090-F2090</f>
        <v/>
      </c>
      <c r="H2090" s="11" t="n">
        <v/>
      </c>
      <c r="I2090" s="11" t="n">
        <v/>
      </c>
      <c r="J2090" s="11" t="n">
        <v/>
      </c>
      <c r="K2090" s="4" t="inlineStr">
        <is>
          <t>Abrechnungsart wählen; Stundensätze eingeben</t>
        </is>
      </c>
    </row>
    <row r="2091">
      <c r="A2091" s="4" t="inlineStr">
        <is>
          <t>5902.05 BSB-DFS-001-Unternehmenszentrale-Langen</t>
        </is>
      </c>
      <c r="B2091" s="4" t="inlineStr">
        <is>
          <t>● BSB 2025 (a.N.)</t>
        </is>
      </c>
      <c r="C2091" s="4" t="inlineStr">
        <is>
          <t>Nachweis</t>
        </is>
      </c>
      <c r="D2091" s="10" t="inlineStr">
        <is>
          <t>⚠ Manual erforderlich</t>
        </is>
      </c>
      <c r="E2091" s="11" t="inlineStr"/>
      <c r="F2091" s="11" t="n">
        <v>0</v>
      </c>
      <c r="G2091" s="11">
        <f>E2091-F2091</f>
        <v/>
      </c>
      <c r="H2091" s="11" t="n">
        <v/>
      </c>
      <c r="I2091" s="11" t="n">
        <v/>
      </c>
      <c r="J2091" s="11" t="n">
        <v/>
      </c>
      <c r="K2091" s="4" t="inlineStr">
        <is>
          <t>Stundensätze eingeben</t>
        </is>
      </c>
    </row>
    <row r="2092">
      <c r="A2092" s="4" t="inlineStr">
        <is>
          <t>5902.06 BSB-DFS-002-Akademie-Langen</t>
        </is>
      </c>
      <c r="B2092" s="4" t="inlineStr">
        <is>
          <t>● BSB 2023 (auf Nachweis)</t>
        </is>
      </c>
      <c r="C2092" s="9" t="inlineStr">
        <is>
          <t>Unbekannt</t>
        </is>
      </c>
      <c r="D2092" s="10" t="inlineStr">
        <is>
          <t>⚠ Manual erforderlich</t>
        </is>
      </c>
      <c r="E2092" s="11" t="inlineStr"/>
      <c r="F2092" s="11" t="n">
        <v>0</v>
      </c>
      <c r="G2092" s="11">
        <f>E2092-F2092</f>
        <v/>
      </c>
      <c r="H2092" s="11" t="n">
        <v/>
      </c>
      <c r="I2092" s="11" t="n">
        <v/>
      </c>
      <c r="J2092" s="11" t="n">
        <v/>
      </c>
      <c r="K2092" s="4" t="inlineStr">
        <is>
          <t>Abrechnungsart wählen; Stundensätze eingeben</t>
        </is>
      </c>
    </row>
    <row r="2093">
      <c r="A2093" s="4" t="inlineStr">
        <is>
          <t>5902.06 BSB-DFS-002-Akademie-Langen</t>
        </is>
      </c>
      <c r="B2093" s="4" t="inlineStr">
        <is>
          <t>● BSB 2022 (auf Nachweis)</t>
        </is>
      </c>
      <c r="C2093" s="9" t="inlineStr">
        <is>
          <t>Unbekannt</t>
        </is>
      </c>
      <c r="D2093" s="10" t="inlineStr">
        <is>
          <t>⚠ Manual erforderlich</t>
        </is>
      </c>
      <c r="E2093" s="11" t="inlineStr"/>
      <c r="F2093" s="11" t="n">
        <v>0</v>
      </c>
      <c r="G2093" s="11">
        <f>E2093-F2093</f>
        <v/>
      </c>
      <c r="H2093" s="11" t="n">
        <v/>
      </c>
      <c r="I2093" s="11" t="n">
        <v/>
      </c>
      <c r="J2093" s="11" t="n">
        <v/>
      </c>
      <c r="K2093" s="4" t="inlineStr">
        <is>
          <t>Abrechnungsart wählen; Stundensätze eingeben</t>
        </is>
      </c>
    </row>
    <row r="2094">
      <c r="A2094" s="4" t="inlineStr">
        <is>
          <t>5902.06 BSB-DFS-002-Akademie-Langen</t>
        </is>
      </c>
      <c r="B2094" s="4" t="inlineStr">
        <is>
          <t>● Brandschutzbeauftragter 2021 (auf Nachweis)</t>
        </is>
      </c>
      <c r="C2094" s="9" t="inlineStr">
        <is>
          <t>Unbekannt</t>
        </is>
      </c>
      <c r="D2094" s="10" t="inlineStr">
        <is>
          <t>⚠ Manual erforderlich</t>
        </is>
      </c>
      <c r="E2094" s="11" t="inlineStr"/>
      <c r="F2094" s="11" t="n">
        <v>0</v>
      </c>
      <c r="G2094" s="11">
        <f>E2094-F2094</f>
        <v/>
      </c>
      <c r="H2094" s="11" t="n">
        <v/>
      </c>
      <c r="I2094" s="11" t="n">
        <v/>
      </c>
      <c r="J2094" s="11" t="n">
        <v/>
      </c>
      <c r="K2094" s="4" t="inlineStr">
        <is>
          <t>Abrechnungsart wählen; Stundensätze eingeben</t>
        </is>
      </c>
    </row>
    <row r="2095">
      <c r="A2095" s="4" t="inlineStr">
        <is>
          <t>5902.06 BSB-DFS-002-Akademie-Langen</t>
        </is>
      </c>
      <c r="B2095" s="4" t="inlineStr">
        <is>
          <t>● Mängel-/Maßnahmeneinarbeitung FOT (auf Nachweis)</t>
        </is>
      </c>
      <c r="C2095" s="9" t="inlineStr">
        <is>
          <t>Unbekannt</t>
        </is>
      </c>
      <c r="D2095" s="10" t="inlineStr">
        <is>
          <t>⚠ Manual erforderlich</t>
        </is>
      </c>
      <c r="E2095" s="11" t="inlineStr"/>
      <c r="F2095" s="11" t="n">
        <v>0</v>
      </c>
      <c r="G2095" s="11">
        <f>E2095-F2095</f>
        <v/>
      </c>
      <c r="H2095" s="11" t="n">
        <v/>
      </c>
      <c r="I2095" s="11" t="n">
        <v/>
      </c>
      <c r="J2095" s="11" t="n">
        <v/>
      </c>
      <c r="K2095" s="4" t="inlineStr">
        <is>
          <t>Abrechnungsart wählen; Stundensätze eingeben</t>
        </is>
      </c>
    </row>
    <row r="2096">
      <c r="A2096" s="4" t="inlineStr">
        <is>
          <t>5902.06 BSB-DFS-002-Akademie-Langen</t>
        </is>
      </c>
      <c r="B2096" s="4" t="inlineStr">
        <is>
          <t>● BSB 2024 (auf Nachweis)</t>
        </is>
      </c>
      <c r="C2096" s="9" t="inlineStr">
        <is>
          <t>Unbekannt</t>
        </is>
      </c>
      <c r="D2096" s="10" t="inlineStr">
        <is>
          <t>⚠ Manual erforderlich</t>
        </is>
      </c>
      <c r="E2096" s="11" t="inlineStr"/>
      <c r="F2096" s="11" t="n">
        <v>0</v>
      </c>
      <c r="G2096" s="11">
        <f>E2096-F2096</f>
        <v/>
      </c>
      <c r="H2096" s="11" t="n">
        <v/>
      </c>
      <c r="I2096" s="11" t="n">
        <v/>
      </c>
      <c r="J2096" s="11" t="n">
        <v/>
      </c>
      <c r="K2096" s="4" t="inlineStr">
        <is>
          <t>Abrechnungsart wählen; Stundensätze eingeben</t>
        </is>
      </c>
    </row>
    <row r="2097">
      <c r="A2097" s="4" t="inlineStr">
        <is>
          <t>5902.06 BSB-DFS-002-Akademie-Langen</t>
        </is>
      </c>
      <c r="B2097" s="4" t="inlineStr">
        <is>
          <t>● BSB 2025</t>
        </is>
      </c>
      <c r="C2097" s="9" t="inlineStr">
        <is>
          <t>Unbekannt</t>
        </is>
      </c>
      <c r="D2097" s="10" t="inlineStr">
        <is>
          <t>⚠ Manual erforderlich</t>
        </is>
      </c>
      <c r="E2097" s="11" t="inlineStr"/>
      <c r="F2097" s="11" t="n">
        <v>0</v>
      </c>
      <c r="G2097" s="11">
        <f>E2097-F2097</f>
        <v/>
      </c>
      <c r="H2097" s="11" t="n">
        <v/>
      </c>
      <c r="I2097" s="11" t="n">
        <v/>
      </c>
      <c r="J2097" s="11" t="n">
        <v/>
      </c>
      <c r="K2097" s="4" t="inlineStr">
        <is>
          <t>Abrechnungsart wählen; Stundensätze eingeben</t>
        </is>
      </c>
    </row>
    <row r="2098">
      <c r="A2098" s="4" t="inlineStr">
        <is>
          <t>5902.07 BSB-DFS-003-Control-Center-Langen</t>
        </is>
      </c>
      <c r="B2098" s="4" t="inlineStr">
        <is>
          <t>● BSB 2023 (a.N.)</t>
        </is>
      </c>
      <c r="C2098" s="4" t="inlineStr">
        <is>
          <t>Nachweis</t>
        </is>
      </c>
      <c r="D2098" s="10" t="inlineStr">
        <is>
          <t>⚠ Manual erforderlich</t>
        </is>
      </c>
      <c r="E2098" s="11" t="inlineStr"/>
      <c r="F2098" s="11" t="n">
        <v>0</v>
      </c>
      <c r="G2098" s="11">
        <f>E2098-F2098</f>
        <v/>
      </c>
      <c r="H2098" s="11" t="n">
        <v/>
      </c>
      <c r="I2098" s="11" t="n">
        <v/>
      </c>
      <c r="J2098" s="11" t="n">
        <v/>
      </c>
      <c r="K2098" s="4" t="inlineStr">
        <is>
          <t>Stundensätze eingeben</t>
        </is>
      </c>
    </row>
    <row r="2099">
      <c r="A2099" s="4" t="inlineStr">
        <is>
          <t>5902.07 BSB-DFS-003-Control-Center-Langen</t>
        </is>
      </c>
      <c r="B2099" s="4" t="inlineStr">
        <is>
          <t>● Brandschutzbeauftragter 2021 (auf Nachweis)</t>
        </is>
      </c>
      <c r="C2099" s="9" t="inlineStr">
        <is>
          <t>Unbekannt</t>
        </is>
      </c>
      <c r="D2099" s="10" t="inlineStr">
        <is>
          <t>⚠ Manual erforderlich</t>
        </is>
      </c>
      <c r="E2099" s="11" t="inlineStr"/>
      <c r="F2099" s="11" t="n">
        <v>0</v>
      </c>
      <c r="G2099" s="11">
        <f>E2099-F2099</f>
        <v/>
      </c>
      <c r="H2099" s="11" t="n">
        <v/>
      </c>
      <c r="I2099" s="11" t="n">
        <v/>
      </c>
      <c r="J2099" s="11" t="n">
        <v/>
      </c>
      <c r="K2099" s="4" t="inlineStr">
        <is>
          <t>Abrechnungsart wählen; Stundensätze eingeben</t>
        </is>
      </c>
    </row>
    <row r="2100">
      <c r="A2100" s="4" t="inlineStr">
        <is>
          <t>5902.07 BSB-DFS-003-Control-Center-Langen</t>
        </is>
      </c>
      <c r="B2100" s="4" t="inlineStr">
        <is>
          <t>● Mängel-/Maßnahmeneinarbeitung FOT (auf Nachweis)</t>
        </is>
      </c>
      <c r="C2100" s="9" t="inlineStr">
        <is>
          <t>Unbekannt</t>
        </is>
      </c>
      <c r="D2100" s="10" t="inlineStr">
        <is>
          <t>⚠ Manual erforderlich</t>
        </is>
      </c>
      <c r="E2100" s="11" t="inlineStr"/>
      <c r="F2100" s="11" t="n">
        <v>0</v>
      </c>
      <c r="G2100" s="11">
        <f>E2100-F2100</f>
        <v/>
      </c>
      <c r="H2100" s="11" t="n">
        <v/>
      </c>
      <c r="I2100" s="11" t="n">
        <v/>
      </c>
      <c r="J2100" s="11" t="n">
        <v/>
      </c>
      <c r="K2100" s="4" t="inlineStr">
        <is>
          <t>Abrechnungsart wählen; Stundensätze eingeben</t>
        </is>
      </c>
    </row>
    <row r="2101">
      <c r="A2101" s="4" t="inlineStr">
        <is>
          <t>5902.07 BSB-DFS-003-Control-Center-Langen</t>
        </is>
      </c>
      <c r="B2101" s="4" t="inlineStr">
        <is>
          <t>● BSB 2022 (auf Nachweis)</t>
        </is>
      </c>
      <c r="C2101" s="9" t="inlineStr">
        <is>
          <t>Unbekannt</t>
        </is>
      </c>
      <c r="D2101" s="10" t="inlineStr">
        <is>
          <t>⚠ Manual erforderlich</t>
        </is>
      </c>
      <c r="E2101" s="11" t="inlineStr"/>
      <c r="F2101" s="11" t="n">
        <v>0</v>
      </c>
      <c r="G2101" s="11">
        <f>E2101-F2101</f>
        <v/>
      </c>
      <c r="H2101" s="11" t="n">
        <v/>
      </c>
      <c r="I2101" s="11" t="n">
        <v/>
      </c>
      <c r="J2101" s="11" t="n">
        <v/>
      </c>
      <c r="K2101" s="4" t="inlineStr">
        <is>
          <t>Abrechnungsart wählen; Stundensätze eingeben</t>
        </is>
      </c>
    </row>
    <row r="2102">
      <c r="A2102" s="4" t="inlineStr">
        <is>
          <t>5902.07 BSB-DFS-003-Control-Center-Langen</t>
        </is>
      </c>
      <c r="B2102" s="4" t="inlineStr">
        <is>
          <t>● BSB 2024 (a.N.)</t>
        </is>
      </c>
      <c r="C2102" s="4" t="inlineStr">
        <is>
          <t>Nachweis</t>
        </is>
      </c>
      <c r="D2102" s="10" t="inlineStr">
        <is>
          <t>⚠ Manual erforderlich</t>
        </is>
      </c>
      <c r="E2102" s="11" t="inlineStr"/>
      <c r="F2102" s="11" t="n">
        <v>0</v>
      </c>
      <c r="G2102" s="11">
        <f>E2102-F2102</f>
        <v/>
      </c>
      <c r="H2102" s="11" t="n">
        <v/>
      </c>
      <c r="I2102" s="11" t="n">
        <v/>
      </c>
      <c r="J2102" s="11" t="n">
        <v/>
      </c>
      <c r="K2102" s="4" t="inlineStr">
        <is>
          <t>Stundensätze eingeben</t>
        </is>
      </c>
    </row>
    <row r="2103">
      <c r="A2103" s="4" t="inlineStr">
        <is>
          <t>5902.07 BSB-DFS-003-Control-Center-Langen</t>
        </is>
      </c>
      <c r="B2103" s="4" t="inlineStr">
        <is>
          <t>● BSB 2025</t>
        </is>
      </c>
      <c r="C2103" s="9" t="inlineStr">
        <is>
          <t>Unbekannt</t>
        </is>
      </c>
      <c r="D2103" s="10" t="inlineStr">
        <is>
          <t>⚠ Manual erforderlich</t>
        </is>
      </c>
      <c r="E2103" s="11" t="inlineStr"/>
      <c r="F2103" s="11" t="n">
        <v>0</v>
      </c>
      <c r="G2103" s="11">
        <f>E2103-F2103</f>
        <v/>
      </c>
      <c r="H2103" s="11" t="n">
        <v/>
      </c>
      <c r="I2103" s="11" t="n">
        <v/>
      </c>
      <c r="J2103" s="11" t="n">
        <v/>
      </c>
      <c r="K2103" s="4" t="inlineStr">
        <is>
          <t>Abrechnungsart wählen; Stundensätze eingeben</t>
        </is>
      </c>
    </row>
    <row r="2104">
      <c r="A2104" s="4" t="inlineStr">
        <is>
          <t>5902.08 BSB-DFS-004-Systemhaus-Langen</t>
        </is>
      </c>
      <c r="B2104" s="4" t="inlineStr">
        <is>
          <t>● Brandschutzbeauftragter 2021 (auf Nachweis)</t>
        </is>
      </c>
      <c r="C2104" s="9" t="inlineStr">
        <is>
          <t>Unbekannt</t>
        </is>
      </c>
      <c r="D2104" s="10" t="inlineStr">
        <is>
          <t>⚠ Manual erforderlich</t>
        </is>
      </c>
      <c r="E2104" s="11" t="inlineStr"/>
      <c r="F2104" s="11" t="n">
        <v>0</v>
      </c>
      <c r="G2104" s="11">
        <f>E2104-F2104</f>
        <v/>
      </c>
      <c r="H2104" s="11" t="n">
        <v/>
      </c>
      <c r="I2104" s="11" t="n">
        <v/>
      </c>
      <c r="J2104" s="11" t="n">
        <v/>
      </c>
      <c r="K2104" s="4" t="inlineStr">
        <is>
          <t>Abrechnungsart wählen; Stundensätze eingeben</t>
        </is>
      </c>
    </row>
    <row r="2105">
      <c r="A2105" s="4" t="inlineStr">
        <is>
          <t>5902.08 BSB-DFS-004-Systemhaus-Langen</t>
        </is>
      </c>
      <c r="B2105" s="4" t="inlineStr">
        <is>
          <t>● Mängel-/Maßnahmeneinarbeitung FOT (auf Nachweis)</t>
        </is>
      </c>
      <c r="C2105" s="9" t="inlineStr">
        <is>
          <t>Unbekannt</t>
        </is>
      </c>
      <c r="D2105" s="10" t="inlineStr">
        <is>
          <t>⚠ Manual erforderlich</t>
        </is>
      </c>
      <c r="E2105" s="11" t="inlineStr"/>
      <c r="F2105" s="11" t="n">
        <v>0</v>
      </c>
      <c r="G2105" s="11">
        <f>E2105-F2105</f>
        <v/>
      </c>
      <c r="H2105" s="11" t="n">
        <v/>
      </c>
      <c r="I2105" s="11" t="n">
        <v/>
      </c>
      <c r="J2105" s="11" t="n">
        <v/>
      </c>
      <c r="K2105" s="4" t="inlineStr">
        <is>
          <t>Abrechnungsart wählen; Stundensätze eingeben</t>
        </is>
      </c>
    </row>
    <row r="2106">
      <c r="A2106" s="4" t="inlineStr">
        <is>
          <t>5902.08 BSB-DFS-004-Systemhaus-Langen</t>
        </is>
      </c>
      <c r="B2106" s="4" t="inlineStr">
        <is>
          <t>● • 9302-Aufgaben Brandschutzbeauftragter….</t>
        </is>
      </c>
      <c r="C2106" s="9" t="inlineStr">
        <is>
          <t>Unbekannt</t>
        </is>
      </c>
      <c r="D2106" s="10" t="inlineStr">
        <is>
          <t>⚠ Manual erforderlich</t>
        </is>
      </c>
      <c r="E2106" s="11" t="inlineStr"/>
      <c r="F2106" s="11" t="n">
        <v>0</v>
      </c>
      <c r="G2106" s="11">
        <f>E2106-F2106</f>
        <v/>
      </c>
      <c r="H2106" s="11" t="n">
        <v/>
      </c>
      <c r="I2106" s="11" t="n">
        <v/>
      </c>
      <c r="J2106" s="11" t="n">
        <v/>
      </c>
      <c r="K2106" s="4" t="inlineStr">
        <is>
          <t>Abrechnungsart wählen; Stundensätze eingeben</t>
        </is>
      </c>
    </row>
    <row r="2107">
      <c r="A2107" s="4" t="inlineStr">
        <is>
          <t>5902.08 BSB-DFS-004-Systemhaus-Langen</t>
        </is>
      </c>
      <c r="B2107" s="4" t="inlineStr">
        <is>
          <t>● • Einarbeitung FOT</t>
        </is>
      </c>
      <c r="C2107" s="9" t="inlineStr">
        <is>
          <t>Unbekannt</t>
        </is>
      </c>
      <c r="D2107" s="10" t="inlineStr">
        <is>
          <t>⚠ Manual erforderlich</t>
        </is>
      </c>
      <c r="E2107" s="11" t="inlineStr"/>
      <c r="F2107" s="11" t="n">
        <v>0</v>
      </c>
      <c r="G2107" s="11">
        <f>E2107-F2107</f>
        <v/>
      </c>
      <c r="H2107" s="11" t="n">
        <v/>
      </c>
      <c r="I2107" s="11" t="n">
        <v/>
      </c>
      <c r="J2107" s="11" t="n">
        <v/>
      </c>
      <c r="K2107" s="4" t="inlineStr">
        <is>
          <t>Abrechnungsart wählen; Stundensätze eingeben</t>
        </is>
      </c>
    </row>
    <row r="2108">
      <c r="A2108" s="4" t="inlineStr">
        <is>
          <t>5902.08 BSB-DFS-004-Systemhaus-Langen</t>
        </is>
      </c>
      <c r="B2108" s="4" t="inlineStr">
        <is>
          <t>● BSB 2023 (a.N.)</t>
        </is>
      </c>
      <c r="C2108" s="4" t="inlineStr">
        <is>
          <t>Nachweis</t>
        </is>
      </c>
      <c r="D2108" s="10" t="inlineStr">
        <is>
          <t>⚠ Manual erforderlich</t>
        </is>
      </c>
      <c r="E2108" s="11" t="inlineStr"/>
      <c r="F2108" s="11" t="n">
        <v>0</v>
      </c>
      <c r="G2108" s="11">
        <f>E2108-F2108</f>
        <v/>
      </c>
      <c r="H2108" s="11" t="n">
        <v/>
      </c>
      <c r="I2108" s="11" t="n">
        <v/>
      </c>
      <c r="J2108" s="11" t="n">
        <v/>
      </c>
      <c r="K2108" s="4" t="inlineStr">
        <is>
          <t>Stundensätze eingeben</t>
        </is>
      </c>
    </row>
    <row r="2109">
      <c r="A2109" s="4" t="inlineStr">
        <is>
          <t>5902.08 BSB-DFS-004-Systemhaus-Langen</t>
        </is>
      </c>
      <c r="B2109" s="4" t="inlineStr">
        <is>
          <t>● BSB 2024 (a.N.)</t>
        </is>
      </c>
      <c r="C2109" s="4" t="inlineStr">
        <is>
          <t>Nachweis</t>
        </is>
      </c>
      <c r="D2109" s="10" t="inlineStr">
        <is>
          <t>⚠ Manual erforderlich</t>
        </is>
      </c>
      <c r="E2109" s="11" t="inlineStr"/>
      <c r="F2109" s="11" t="n">
        <v>0</v>
      </c>
      <c r="G2109" s="11">
        <f>E2109-F2109</f>
        <v/>
      </c>
      <c r="H2109" s="11" t="n">
        <v/>
      </c>
      <c r="I2109" s="11" t="n">
        <v/>
      </c>
      <c r="J2109" s="11" t="n">
        <v/>
      </c>
      <c r="K2109" s="4" t="inlineStr">
        <is>
          <t>Stundensätze eingeben</t>
        </is>
      </c>
    </row>
    <row r="2110">
      <c r="A2110" s="4" t="inlineStr">
        <is>
          <t>5902.08 BSB-DFS-004-Systemhaus-Langen</t>
        </is>
      </c>
      <c r="B2110" s="4" t="inlineStr">
        <is>
          <t>● BSB 2025 (a.N.)</t>
        </is>
      </c>
      <c r="C2110" s="4" t="inlineStr">
        <is>
          <t>Nachweis</t>
        </is>
      </c>
      <c r="D2110" s="10" t="inlineStr">
        <is>
          <t>⚠ Manual erforderlich</t>
        </is>
      </c>
      <c r="E2110" s="11" t="inlineStr"/>
      <c r="F2110" s="11" t="n">
        <v>0</v>
      </c>
      <c r="G2110" s="11">
        <f>E2110-F2110</f>
        <v/>
      </c>
      <c r="H2110" s="11" t="n">
        <v/>
      </c>
      <c r="I2110" s="11" t="n">
        <v/>
      </c>
      <c r="J2110" s="11" t="n">
        <v/>
      </c>
      <c r="K2110" s="4" t="inlineStr">
        <is>
          <t>Stundensätze eingeben</t>
        </is>
      </c>
    </row>
    <row r="2111">
      <c r="A2111" s="4" t="inlineStr">
        <is>
          <t>5902.09 BSB-DFS-005-Technikzentrum-Langen</t>
        </is>
      </c>
      <c r="B2111" s="4" t="inlineStr">
        <is>
          <t>● Brandschutzbeauftragter 2021 (auf Nachweis)</t>
        </is>
      </c>
      <c r="C2111" s="9" t="inlineStr">
        <is>
          <t>Unbekannt</t>
        </is>
      </c>
      <c r="D2111" s="10" t="inlineStr">
        <is>
          <t>⚠ Manual erforderlich</t>
        </is>
      </c>
      <c r="E2111" s="11" t="inlineStr"/>
      <c r="F2111" s="11" t="n">
        <v>0</v>
      </c>
      <c r="G2111" s="11">
        <f>E2111-F2111</f>
        <v/>
      </c>
      <c r="H2111" s="11" t="n">
        <v/>
      </c>
      <c r="I2111" s="11" t="n">
        <v/>
      </c>
      <c r="J2111" s="11" t="n">
        <v/>
      </c>
      <c r="K2111" s="4" t="inlineStr">
        <is>
          <t>Abrechnungsart wählen; Stundensätze eingeben</t>
        </is>
      </c>
    </row>
    <row r="2112">
      <c r="A2112" s="4" t="inlineStr">
        <is>
          <t>5902.09 BSB-DFS-005-Technikzentrum-Langen</t>
        </is>
      </c>
      <c r="B2112" s="4" t="inlineStr">
        <is>
          <t>● Mängel-/Maßnahmeneinarbeitung FOT (auf Nachweis)</t>
        </is>
      </c>
      <c r="C2112" s="9" t="inlineStr">
        <is>
          <t>Unbekannt</t>
        </is>
      </c>
      <c r="D2112" s="10" t="inlineStr">
        <is>
          <t>⚠ Manual erforderlich</t>
        </is>
      </c>
      <c r="E2112" s="11" t="inlineStr"/>
      <c r="F2112" s="11" t="n">
        <v>0</v>
      </c>
      <c r="G2112" s="11">
        <f>E2112-F2112</f>
        <v/>
      </c>
      <c r="H2112" s="11" t="n">
        <v/>
      </c>
      <c r="I2112" s="11" t="n">
        <v/>
      </c>
      <c r="J2112" s="11" t="n">
        <v/>
      </c>
      <c r="K2112" s="4" t="inlineStr">
        <is>
          <t>Abrechnungsart wählen; Stundensätze eingeben</t>
        </is>
      </c>
    </row>
    <row r="2113">
      <c r="A2113" s="4" t="inlineStr">
        <is>
          <t>5902.09 BSB-DFS-005-Technikzentrum-Langen</t>
        </is>
      </c>
      <c r="B2113" s="4" t="inlineStr">
        <is>
          <t>● BSB 2022 (auf Nachweis)</t>
        </is>
      </c>
      <c r="C2113" s="9" t="inlineStr">
        <is>
          <t>Unbekannt</t>
        </is>
      </c>
      <c r="D2113" s="10" t="inlineStr">
        <is>
          <t>⚠ Manual erforderlich</t>
        </is>
      </c>
      <c r="E2113" s="11" t="inlineStr"/>
      <c r="F2113" s="11" t="n">
        <v>0</v>
      </c>
      <c r="G2113" s="11">
        <f>E2113-F2113</f>
        <v/>
      </c>
      <c r="H2113" s="11" t="n">
        <v/>
      </c>
      <c r="I2113" s="11" t="n">
        <v/>
      </c>
      <c r="J2113" s="11" t="n">
        <v/>
      </c>
      <c r="K2113" s="4" t="inlineStr">
        <is>
          <t>Abrechnungsart wählen; Stundensätze eingeben</t>
        </is>
      </c>
    </row>
    <row r="2114">
      <c r="A2114" s="4" t="inlineStr">
        <is>
          <t>5902.09 BSB-DFS-005-Technikzentrum-Langen</t>
        </is>
      </c>
      <c r="B2114" s="4" t="inlineStr">
        <is>
          <t>● BSB 2023 (a.N.)</t>
        </is>
      </c>
      <c r="C2114" s="4" t="inlineStr">
        <is>
          <t>Nachweis</t>
        </is>
      </c>
      <c r="D2114" s="10" t="inlineStr">
        <is>
          <t>⚠ Manual erforderlich</t>
        </is>
      </c>
      <c r="E2114" s="11" t="inlineStr"/>
      <c r="F2114" s="11" t="n">
        <v>0</v>
      </c>
      <c r="G2114" s="11">
        <f>E2114-F2114</f>
        <v/>
      </c>
      <c r="H2114" s="11" t="n">
        <v/>
      </c>
      <c r="I2114" s="11" t="n">
        <v/>
      </c>
      <c r="J2114" s="11" t="n">
        <v/>
      </c>
      <c r="K2114" s="4" t="inlineStr">
        <is>
          <t>Stundensätze eingeben</t>
        </is>
      </c>
    </row>
    <row r="2115">
      <c r="A2115" s="4" t="inlineStr">
        <is>
          <t>5902.09 BSB-DFS-005-Technikzentrum-Langen</t>
        </is>
      </c>
      <c r="B2115" s="4" t="inlineStr">
        <is>
          <t>● BSB 2024 (a.N.)</t>
        </is>
      </c>
      <c r="C2115" s="4" t="inlineStr">
        <is>
          <t>Nachweis</t>
        </is>
      </c>
      <c r="D2115" s="10" t="inlineStr">
        <is>
          <t>⚠ Manual erforderlich</t>
        </is>
      </c>
      <c r="E2115" s="11" t="inlineStr"/>
      <c r="F2115" s="11" t="n">
        <v>0</v>
      </c>
      <c r="G2115" s="11">
        <f>E2115-F2115</f>
        <v/>
      </c>
      <c r="H2115" s="11" t="n">
        <v/>
      </c>
      <c r="I2115" s="11" t="n">
        <v/>
      </c>
      <c r="J2115" s="11" t="n">
        <v/>
      </c>
      <c r="K2115" s="4" t="inlineStr">
        <is>
          <t>Stundensätze eingeben</t>
        </is>
      </c>
    </row>
    <row r="2116">
      <c r="A2116" s="4" t="inlineStr">
        <is>
          <t>5902.09 BSB-DFS-005-Technikzentrum-Langen</t>
        </is>
      </c>
      <c r="B2116" s="4" t="inlineStr">
        <is>
          <t>● BSB 2025</t>
        </is>
      </c>
      <c r="C2116" s="9" t="inlineStr">
        <is>
          <t>Unbekannt</t>
        </is>
      </c>
      <c r="D2116" s="10" t="inlineStr">
        <is>
          <t>⚠ Manual erforderlich</t>
        </is>
      </c>
      <c r="E2116" s="11" t="inlineStr"/>
      <c r="F2116" s="11" t="n">
        <v>0</v>
      </c>
      <c r="G2116" s="11">
        <f>E2116-F2116</f>
        <v/>
      </c>
      <c r="H2116" s="11" t="n">
        <v/>
      </c>
      <c r="I2116" s="11" t="n">
        <v/>
      </c>
      <c r="J2116" s="11" t="n">
        <v/>
      </c>
      <c r="K2116" s="4" t="inlineStr">
        <is>
          <t>Abrechnungsart wählen; Stundensätze eingeben</t>
        </is>
      </c>
    </row>
    <row r="2117">
      <c r="A2117" s="4" t="inlineStr">
        <is>
          <t>5902.10 BSB-DFS-006-Forschungszentrum-Langen</t>
        </is>
      </c>
      <c r="B2117" s="4" t="inlineStr">
        <is>
          <t>● BSB 2023 (a.N.)</t>
        </is>
      </c>
      <c r="C2117" s="4" t="inlineStr">
        <is>
          <t>Nachweis</t>
        </is>
      </c>
      <c r="D2117" s="10" t="inlineStr">
        <is>
          <t>⚠ Manual erforderlich</t>
        </is>
      </c>
      <c r="E2117" s="11" t="inlineStr"/>
      <c r="F2117" s="11" t="n">
        <v>0</v>
      </c>
      <c r="G2117" s="11">
        <f>E2117-F2117</f>
        <v/>
      </c>
      <c r="H2117" s="11" t="n">
        <v/>
      </c>
      <c r="I2117" s="11" t="n">
        <v/>
      </c>
      <c r="J2117" s="11" t="n">
        <v/>
      </c>
      <c r="K2117" s="4" t="inlineStr">
        <is>
          <t>Stundensätze eingeben</t>
        </is>
      </c>
    </row>
    <row r="2118">
      <c r="A2118" s="4" t="inlineStr">
        <is>
          <t>5902.10 BSB-DFS-006-Forschungszentrum-Langen</t>
        </is>
      </c>
      <c r="B2118" s="4" t="inlineStr">
        <is>
          <t>● Brandschutzbeauftragter 2021 (auf Nachweis)</t>
        </is>
      </c>
      <c r="C2118" s="9" t="inlineStr">
        <is>
          <t>Unbekannt</t>
        </is>
      </c>
      <c r="D2118" s="10" t="inlineStr">
        <is>
          <t>⚠ Manual erforderlich</t>
        </is>
      </c>
      <c r="E2118" s="11" t="inlineStr"/>
      <c r="F2118" s="11" t="n">
        <v>0</v>
      </c>
      <c r="G2118" s="11">
        <f>E2118-F2118</f>
        <v/>
      </c>
      <c r="H2118" s="11" t="n">
        <v/>
      </c>
      <c r="I2118" s="11" t="n">
        <v/>
      </c>
      <c r="J2118" s="11" t="n">
        <v/>
      </c>
      <c r="K2118" s="4" t="inlineStr">
        <is>
          <t>Abrechnungsart wählen; Stundensätze eingeben</t>
        </is>
      </c>
    </row>
    <row r="2119">
      <c r="A2119" s="4" t="inlineStr">
        <is>
          <t>5902.10 BSB-DFS-006-Forschungszentrum-Langen</t>
        </is>
      </c>
      <c r="B2119" s="4" t="inlineStr">
        <is>
          <t>● Mängel-/Maßnahmeneinarbeitung FOT (auf Nachweis)</t>
        </is>
      </c>
      <c r="C2119" s="9" t="inlineStr">
        <is>
          <t>Unbekannt</t>
        </is>
      </c>
      <c r="D2119" s="10" t="inlineStr">
        <is>
          <t>⚠ Manual erforderlich</t>
        </is>
      </c>
      <c r="E2119" s="11" t="inlineStr"/>
      <c r="F2119" s="11" t="n">
        <v>0</v>
      </c>
      <c r="G2119" s="11">
        <f>E2119-F2119</f>
        <v/>
      </c>
      <c r="H2119" s="11" t="n">
        <v/>
      </c>
      <c r="I2119" s="11" t="n">
        <v/>
      </c>
      <c r="J2119" s="11" t="n">
        <v/>
      </c>
      <c r="K2119" s="4" t="inlineStr">
        <is>
          <t>Abrechnungsart wählen; Stundensätze eingeben</t>
        </is>
      </c>
    </row>
    <row r="2120">
      <c r="A2120" s="4" t="inlineStr">
        <is>
          <t>5902.10 BSB-DFS-006-Forschungszentrum-Langen</t>
        </is>
      </c>
      <c r="B2120" s="4" t="inlineStr">
        <is>
          <t>● BSB 2022 (auf Nachweis)</t>
        </is>
      </c>
      <c r="C2120" s="9" t="inlineStr">
        <is>
          <t>Unbekannt</t>
        </is>
      </c>
      <c r="D2120" s="10" t="inlineStr">
        <is>
          <t>⚠ Manual erforderlich</t>
        </is>
      </c>
      <c r="E2120" s="11" t="inlineStr"/>
      <c r="F2120" s="11" t="n">
        <v>0</v>
      </c>
      <c r="G2120" s="11">
        <f>E2120-F2120</f>
        <v/>
      </c>
      <c r="H2120" s="11" t="n">
        <v/>
      </c>
      <c r="I2120" s="11" t="n">
        <v/>
      </c>
      <c r="J2120" s="11" t="n">
        <v/>
      </c>
      <c r="K2120" s="4" t="inlineStr">
        <is>
          <t>Abrechnungsart wählen; Stundensätze eingeben</t>
        </is>
      </c>
    </row>
    <row r="2121">
      <c r="A2121" s="4" t="inlineStr">
        <is>
          <t>5902.10 BSB-DFS-006-Forschungszentrum-Langen</t>
        </is>
      </c>
      <c r="B2121" s="4" t="inlineStr">
        <is>
          <t>● BSB 2024 (a.N.)</t>
        </is>
      </c>
      <c r="C2121" s="4" t="inlineStr">
        <is>
          <t>Nachweis</t>
        </is>
      </c>
      <c r="D2121" s="10" t="inlineStr">
        <is>
          <t>⚠ Manual erforderlich</t>
        </is>
      </c>
      <c r="E2121" s="11" t="inlineStr"/>
      <c r="F2121" s="11" t="n">
        <v>0</v>
      </c>
      <c r="G2121" s="11">
        <f>E2121-F2121</f>
        <v/>
      </c>
      <c r="H2121" s="11" t="n">
        <v/>
      </c>
      <c r="I2121" s="11" t="n">
        <v/>
      </c>
      <c r="J2121" s="11" t="n">
        <v/>
      </c>
      <c r="K2121" s="4" t="inlineStr">
        <is>
          <t>Stundensätze eingeben</t>
        </is>
      </c>
    </row>
    <row r="2122">
      <c r="A2122" s="4" t="inlineStr">
        <is>
          <t>5902.10 BSB-DFS-006-Forschungszentrum-Langen</t>
        </is>
      </c>
      <c r="B2122" s="4" t="inlineStr">
        <is>
          <t>● BSB 2025</t>
        </is>
      </c>
      <c r="C2122" s="9" t="inlineStr">
        <is>
          <t>Unbekannt</t>
        </is>
      </c>
      <c r="D2122" s="10" t="inlineStr">
        <is>
          <t>⚠ Manual erforderlich</t>
        </is>
      </c>
      <c r="E2122" s="11" t="inlineStr"/>
      <c r="F2122" s="11" t="n">
        <v>0</v>
      </c>
      <c r="G2122" s="11">
        <f>E2122-F2122</f>
        <v/>
      </c>
      <c r="H2122" s="11" t="n">
        <v/>
      </c>
      <c r="I2122" s="11" t="n">
        <v/>
      </c>
      <c r="J2122" s="11" t="n">
        <v/>
      </c>
      <c r="K2122" s="4" t="inlineStr">
        <is>
          <t>Abrechnungsart wählen; Stundensätze eingeben</t>
        </is>
      </c>
    </row>
    <row r="2123">
      <c r="A2123" s="4" t="inlineStr">
        <is>
          <t>5902.12 BSB-DFS-008-Zentraler-Logistischer-Dienst-NB</t>
        </is>
      </c>
      <c r="B2123" s="4" t="inlineStr">
        <is>
          <t>● BSB 2023 (a.N.)</t>
        </is>
      </c>
      <c r="C2123" s="4" t="inlineStr">
        <is>
          <t>Nachweis</t>
        </is>
      </c>
      <c r="D2123" s="10" t="inlineStr">
        <is>
          <t>⚠ Manual erforderlich</t>
        </is>
      </c>
      <c r="E2123" s="11" t="inlineStr"/>
      <c r="F2123" s="11" t="n">
        <v>0</v>
      </c>
      <c r="G2123" s="11">
        <f>E2123-F2123</f>
        <v/>
      </c>
      <c r="H2123" s="11" t="n">
        <v/>
      </c>
      <c r="I2123" s="11" t="n">
        <v/>
      </c>
      <c r="J2123" s="11" t="n">
        <v/>
      </c>
      <c r="K2123" s="4" t="inlineStr">
        <is>
          <t>Stundensätze eingeben</t>
        </is>
      </c>
    </row>
    <row r="2124">
      <c r="A2124" s="4" t="inlineStr">
        <is>
          <t>5902.12 BSB-DFS-008-Zentraler-Logistischer-Dienst-NB</t>
        </is>
      </c>
      <c r="B2124" s="4" t="inlineStr">
        <is>
          <t>● Brandschutzbeauftragter 2021 (auf Nachweis)</t>
        </is>
      </c>
      <c r="C2124" s="9" t="inlineStr">
        <is>
          <t>Unbekannt</t>
        </is>
      </c>
      <c r="D2124" s="10" t="inlineStr">
        <is>
          <t>⚠ Manual erforderlich</t>
        </is>
      </c>
      <c r="E2124" s="11" t="inlineStr"/>
      <c r="F2124" s="11" t="n">
        <v>0</v>
      </c>
      <c r="G2124" s="11">
        <f>E2124-F2124</f>
        <v/>
      </c>
      <c r="H2124" s="11" t="n">
        <v/>
      </c>
      <c r="I2124" s="11" t="n">
        <v/>
      </c>
      <c r="J2124" s="11" t="n">
        <v/>
      </c>
      <c r="K2124" s="4" t="inlineStr">
        <is>
          <t>Abrechnungsart wählen; Stundensätze eingeben</t>
        </is>
      </c>
    </row>
    <row r="2125">
      <c r="A2125" s="4" t="inlineStr">
        <is>
          <t>5902.12 BSB-DFS-008-Zentraler-Logistischer-Dienst-NB</t>
        </is>
      </c>
      <c r="B2125" s="4" t="inlineStr">
        <is>
          <t>● Mängel-/Maßnahmeneinarbeitung FOT (auf Nachweis)</t>
        </is>
      </c>
      <c r="C2125" s="9" t="inlineStr">
        <is>
          <t>Unbekannt</t>
        </is>
      </c>
      <c r="D2125" s="10" t="inlineStr">
        <is>
          <t>⚠ Manual erforderlich</t>
        </is>
      </c>
      <c r="E2125" s="11" t="inlineStr"/>
      <c r="F2125" s="11" t="n">
        <v>0</v>
      </c>
      <c r="G2125" s="11">
        <f>E2125-F2125</f>
        <v/>
      </c>
      <c r="H2125" s="11" t="n">
        <v/>
      </c>
      <c r="I2125" s="11" t="n">
        <v/>
      </c>
      <c r="J2125" s="11" t="n">
        <v/>
      </c>
      <c r="K2125" s="4" t="inlineStr">
        <is>
          <t>Abrechnungsart wählen; Stundensätze eingeben</t>
        </is>
      </c>
    </row>
    <row r="2126">
      <c r="A2126" s="4" t="inlineStr">
        <is>
          <t>5902.12 BSB-DFS-008-Zentraler-Logistischer-Dienst-NB</t>
        </is>
      </c>
      <c r="B2126" s="4" t="inlineStr">
        <is>
          <t>● BSB 2022 (auf Nachweis)</t>
        </is>
      </c>
      <c r="C2126" s="9" t="inlineStr">
        <is>
          <t>Unbekannt</t>
        </is>
      </c>
      <c r="D2126" s="10" t="inlineStr">
        <is>
          <t>⚠ Manual erforderlich</t>
        </is>
      </c>
      <c r="E2126" s="11" t="inlineStr"/>
      <c r="F2126" s="11" t="n">
        <v>0</v>
      </c>
      <c r="G2126" s="11">
        <f>E2126-F2126</f>
        <v/>
      </c>
      <c r="H2126" s="11" t="n">
        <v/>
      </c>
      <c r="I2126" s="11" t="n">
        <v/>
      </c>
      <c r="J2126" s="11" t="n">
        <v/>
      </c>
      <c r="K2126" s="4" t="inlineStr">
        <is>
          <t>Abrechnungsart wählen; Stundensätze eingeben</t>
        </is>
      </c>
    </row>
    <row r="2127">
      <c r="A2127" s="4" t="inlineStr">
        <is>
          <t>5902.12 BSB-DFS-008-Zentraler-Logistischer-Dienst-NB</t>
        </is>
      </c>
      <c r="B2127" s="4" t="inlineStr">
        <is>
          <t>● BSB 2024 (a.N.)</t>
        </is>
      </c>
      <c r="C2127" s="4" t="inlineStr">
        <is>
          <t>Nachweis</t>
        </is>
      </c>
      <c r="D2127" s="10" t="inlineStr">
        <is>
          <t>⚠ Manual erforderlich</t>
        </is>
      </c>
      <c r="E2127" s="11" t="inlineStr"/>
      <c r="F2127" s="11" t="n">
        <v>0</v>
      </c>
      <c r="G2127" s="11">
        <f>E2127-F2127</f>
        <v/>
      </c>
      <c r="H2127" s="11" t="n">
        <v/>
      </c>
      <c r="I2127" s="11" t="n">
        <v/>
      </c>
      <c r="J2127" s="11" t="n">
        <v/>
      </c>
      <c r="K2127" s="4" t="inlineStr">
        <is>
          <t>Stundensätze eingeben</t>
        </is>
      </c>
    </row>
    <row r="2128">
      <c r="A2128" s="4" t="inlineStr">
        <is>
          <t>5902.12 BSB-DFS-008-Zentraler-Logistischer-Dienst-NB</t>
        </is>
      </c>
      <c r="B2128" s="4" t="inlineStr">
        <is>
          <t>● BSB 2025</t>
        </is>
      </c>
      <c r="C2128" s="9" t="inlineStr">
        <is>
          <t>Unbekannt</t>
        </is>
      </c>
      <c r="D2128" s="10" t="inlineStr">
        <is>
          <t>⚠ Manual erforderlich</t>
        </is>
      </c>
      <c r="E2128" s="11" t="inlineStr"/>
      <c r="F2128" s="11" t="n">
        <v>0</v>
      </c>
      <c r="G2128" s="11">
        <f>E2128-F2128</f>
        <v/>
      </c>
      <c r="H2128" s="11" t="n">
        <v/>
      </c>
      <c r="I2128" s="11" t="n">
        <v/>
      </c>
      <c r="J2128" s="11" t="n">
        <v/>
      </c>
      <c r="K2128" s="4" t="inlineStr">
        <is>
          <t>Abrechnungsart wählen; Stundensätze eingeben</t>
        </is>
      </c>
    </row>
    <row r="2129">
      <c r="A2129" s="4" t="inlineStr">
        <is>
          <t>5902.13 BSB-DFS-009-Control-Center-Bremen-inkl-Tower</t>
        </is>
      </c>
      <c r="B2129" s="4" t="inlineStr">
        <is>
          <t>● BSB 2023 (auf Nachweis)</t>
        </is>
      </c>
      <c r="C2129" s="9" t="inlineStr">
        <is>
          <t>Unbekannt</t>
        </is>
      </c>
      <c r="D2129" s="10" t="inlineStr">
        <is>
          <t>⚠ Manual erforderlich</t>
        </is>
      </c>
      <c r="E2129" s="11" t="inlineStr"/>
      <c r="F2129" s="11" t="n">
        <v>0</v>
      </c>
      <c r="G2129" s="11">
        <f>E2129-F2129</f>
        <v/>
      </c>
      <c r="H2129" s="11" t="n">
        <v/>
      </c>
      <c r="I2129" s="11" t="n">
        <v/>
      </c>
      <c r="J2129" s="11" t="n">
        <v/>
      </c>
      <c r="K2129" s="4" t="inlineStr">
        <is>
          <t>Abrechnungsart wählen; Stundensätze eingeben</t>
        </is>
      </c>
    </row>
    <row r="2130">
      <c r="A2130" s="4" t="inlineStr">
        <is>
          <t>5902.13 BSB-DFS-009-Control-Center-Bremen-inkl-Tower</t>
        </is>
      </c>
      <c r="B2130" s="4" t="inlineStr">
        <is>
          <t>● BSB 2022 (auf Nachweis)</t>
        </is>
      </c>
      <c r="C2130" s="9" t="inlineStr">
        <is>
          <t>Unbekannt</t>
        </is>
      </c>
      <c r="D2130" s="10" t="inlineStr">
        <is>
          <t>⚠ Manual erforderlich</t>
        </is>
      </c>
      <c r="E2130" s="11" t="inlineStr"/>
      <c r="F2130" s="11" t="n">
        <v>0</v>
      </c>
      <c r="G2130" s="11">
        <f>E2130-F2130</f>
        <v/>
      </c>
      <c r="H2130" s="11" t="n">
        <v/>
      </c>
      <c r="I2130" s="11" t="n">
        <v/>
      </c>
      <c r="J2130" s="11" t="n">
        <v/>
      </c>
      <c r="K2130" s="4" t="inlineStr">
        <is>
          <t>Abrechnungsart wählen; Stundensätze eingeben</t>
        </is>
      </c>
    </row>
    <row r="2131">
      <c r="A2131" s="4" t="inlineStr">
        <is>
          <t>5902.13 BSB-DFS-009-Control-Center-Bremen-inkl-Tower</t>
        </is>
      </c>
      <c r="B2131" s="4" t="inlineStr">
        <is>
          <t>● Brandschutzbeauftragter 2021 (auf Nachweis)</t>
        </is>
      </c>
      <c r="C2131" s="9" t="inlineStr">
        <is>
          <t>Unbekannt</t>
        </is>
      </c>
      <c r="D2131" s="10" t="inlineStr">
        <is>
          <t>⚠ Manual erforderlich</t>
        </is>
      </c>
      <c r="E2131" s="11" t="inlineStr"/>
      <c r="F2131" s="11" t="n">
        <v>0</v>
      </c>
      <c r="G2131" s="11">
        <f>E2131-F2131</f>
        <v/>
      </c>
      <c r="H2131" s="11" t="n">
        <v/>
      </c>
      <c r="I2131" s="11" t="n">
        <v/>
      </c>
      <c r="J2131" s="11" t="n">
        <v/>
      </c>
      <c r="K2131" s="4" t="inlineStr">
        <is>
          <t>Abrechnungsart wählen; Stundensätze eingeben</t>
        </is>
      </c>
    </row>
    <row r="2132">
      <c r="A2132" s="4" t="inlineStr">
        <is>
          <t>5902.13 BSB-DFS-009-Control-Center-Bremen-inkl-Tower</t>
        </is>
      </c>
      <c r="B2132" s="4" t="inlineStr">
        <is>
          <t>● Mängel-/Maßnahmeneinarbeitung FOT (auf Nachweis)</t>
        </is>
      </c>
      <c r="C2132" s="9" t="inlineStr">
        <is>
          <t>Unbekannt</t>
        </is>
      </c>
      <c r="D2132" s="10" t="inlineStr">
        <is>
          <t>⚠ Manual erforderlich</t>
        </is>
      </c>
      <c r="E2132" s="11" t="inlineStr"/>
      <c r="F2132" s="11" t="n">
        <v>0</v>
      </c>
      <c r="G2132" s="11">
        <f>E2132-F2132</f>
        <v/>
      </c>
      <c r="H2132" s="11" t="n">
        <v/>
      </c>
      <c r="I2132" s="11" t="n">
        <v/>
      </c>
      <c r="J2132" s="11" t="n">
        <v/>
      </c>
      <c r="K2132" s="4" t="inlineStr">
        <is>
          <t>Abrechnungsart wählen; Stundensätze eingeben</t>
        </is>
      </c>
    </row>
    <row r="2133">
      <c r="A2133" s="4" t="inlineStr">
        <is>
          <t>5902.13 BSB-DFS-009-Control-Center-Bremen-inkl-Tower</t>
        </is>
      </c>
      <c r="B2133" s="4" t="inlineStr">
        <is>
          <t>● BSB 2024</t>
        </is>
      </c>
      <c r="C2133" s="9" t="inlineStr">
        <is>
          <t>Unbekannt</t>
        </is>
      </c>
      <c r="D2133" s="10" t="inlineStr">
        <is>
          <t>⚠ Manual erforderlich</t>
        </is>
      </c>
      <c r="E2133" s="11" t="inlineStr"/>
      <c r="F2133" s="11" t="n">
        <v>0</v>
      </c>
      <c r="G2133" s="11">
        <f>E2133-F2133</f>
        <v/>
      </c>
      <c r="H2133" s="11" t="n">
        <v/>
      </c>
      <c r="I2133" s="11" t="n">
        <v/>
      </c>
      <c r="J2133" s="11" t="n">
        <v/>
      </c>
      <c r="K2133" s="4" t="inlineStr">
        <is>
          <t>Abrechnungsart wählen; Stundensätze eingeben</t>
        </is>
      </c>
    </row>
    <row r="2134">
      <c r="A2134" s="4" t="inlineStr">
        <is>
          <t>5902.13 BSB-DFS-009-Control-Center-Bremen-inkl-Tower</t>
        </is>
      </c>
      <c r="B2134" s="4" t="inlineStr">
        <is>
          <t>● (aN) BSB 2025 (a.N.)</t>
        </is>
      </c>
      <c r="C2134" s="4" t="inlineStr">
        <is>
          <t>Nachweis</t>
        </is>
      </c>
      <c r="D2134" s="10" t="inlineStr">
        <is>
          <t>⚠ Manual erforderlich</t>
        </is>
      </c>
      <c r="E2134" s="11" t="inlineStr"/>
      <c r="F2134" s="11" t="n">
        <v>0</v>
      </c>
      <c r="G2134" s="11">
        <f>E2134-F2134</f>
        <v/>
      </c>
      <c r="H2134" s="11" t="n">
        <v/>
      </c>
      <c r="I2134" s="11" t="n">
        <v/>
      </c>
      <c r="J2134" s="11" t="n">
        <v/>
      </c>
      <c r="K2134" s="4" t="inlineStr">
        <is>
          <t>Stundensätze eingeben</t>
        </is>
      </c>
    </row>
    <row r="2135">
      <c r="A2135" s="4" t="inlineStr">
        <is>
          <t>5902.14 BSB-DFS-010-Control-Center-Karlsruhe</t>
        </is>
      </c>
      <c r="B2135" s="4" t="inlineStr">
        <is>
          <t>● BSB 2023 (a.N.)</t>
        </is>
      </c>
      <c r="C2135" s="4" t="inlineStr">
        <is>
          <t>Nachweis</t>
        </is>
      </c>
      <c r="D2135" s="10" t="inlineStr">
        <is>
          <t>⚠ Manual erforderlich</t>
        </is>
      </c>
      <c r="E2135" s="11" t="inlineStr"/>
      <c r="F2135" s="11" t="n">
        <v>0</v>
      </c>
      <c r="G2135" s="11">
        <f>E2135-F2135</f>
        <v/>
      </c>
      <c r="H2135" s="11" t="n">
        <v/>
      </c>
      <c r="I2135" s="11" t="n">
        <v/>
      </c>
      <c r="J2135" s="11" t="n">
        <v/>
      </c>
      <c r="K2135" s="4" t="inlineStr">
        <is>
          <t>Stundensätze eingeben</t>
        </is>
      </c>
    </row>
    <row r="2136">
      <c r="A2136" s="4" t="inlineStr">
        <is>
          <t>5902.14 BSB-DFS-010-Control-Center-Karlsruhe</t>
        </is>
      </c>
      <c r="B2136" s="4" t="inlineStr">
        <is>
          <t>● BSB 2022 (auf Nachweis)</t>
        </is>
      </c>
      <c r="C2136" s="9" t="inlineStr">
        <is>
          <t>Unbekannt</t>
        </is>
      </c>
      <c r="D2136" s="10" t="inlineStr">
        <is>
          <t>⚠ Manual erforderlich</t>
        </is>
      </c>
      <c r="E2136" s="11" t="inlineStr"/>
      <c r="F2136" s="11" t="n">
        <v>0</v>
      </c>
      <c r="G2136" s="11">
        <f>E2136-F2136</f>
        <v/>
      </c>
      <c r="H2136" s="11" t="n">
        <v/>
      </c>
      <c r="I2136" s="11" t="n">
        <v/>
      </c>
      <c r="J2136" s="11" t="n">
        <v/>
      </c>
      <c r="K2136" s="4" t="inlineStr">
        <is>
          <t>Abrechnungsart wählen; Stundensätze eingeben</t>
        </is>
      </c>
    </row>
    <row r="2137">
      <c r="A2137" s="4" t="inlineStr">
        <is>
          <t>5902.14 BSB-DFS-010-Control-Center-Karlsruhe</t>
        </is>
      </c>
      <c r="B2137" s="4" t="inlineStr">
        <is>
          <t>● Brandschutzbeauftragter 2021 (auf Nachweis)</t>
        </is>
      </c>
      <c r="C2137" s="9" t="inlineStr">
        <is>
          <t>Unbekannt</t>
        </is>
      </c>
      <c r="D2137" s="10" t="inlineStr">
        <is>
          <t>⚠ Manual erforderlich</t>
        </is>
      </c>
      <c r="E2137" s="11" t="inlineStr"/>
      <c r="F2137" s="11" t="n">
        <v>0</v>
      </c>
      <c r="G2137" s="11">
        <f>E2137-F2137</f>
        <v/>
      </c>
      <c r="H2137" s="11" t="n">
        <v/>
      </c>
      <c r="I2137" s="11" t="n">
        <v/>
      </c>
      <c r="J2137" s="11" t="n">
        <v/>
      </c>
      <c r="K2137" s="4" t="inlineStr">
        <is>
          <t>Abrechnungsart wählen; Stundensätze eingeben</t>
        </is>
      </c>
    </row>
    <row r="2138">
      <c r="A2138" s="4" t="inlineStr">
        <is>
          <t>5902.14 BSB-DFS-010-Control-Center-Karlsruhe</t>
        </is>
      </c>
      <c r="B2138" s="4" t="inlineStr">
        <is>
          <t>● Mängel-/Maßnahmeneinarbeitung FOT (auf Nachweis)</t>
        </is>
      </c>
      <c r="C2138" s="9" t="inlineStr">
        <is>
          <t>Unbekannt</t>
        </is>
      </c>
      <c r="D2138" s="10" t="inlineStr">
        <is>
          <t>⚠ Manual erforderlich</t>
        </is>
      </c>
      <c r="E2138" s="11" t="inlineStr"/>
      <c r="F2138" s="11" t="n">
        <v>0</v>
      </c>
      <c r="G2138" s="11">
        <f>E2138-F2138</f>
        <v/>
      </c>
      <c r="H2138" s="11" t="n">
        <v/>
      </c>
      <c r="I2138" s="11" t="n">
        <v/>
      </c>
      <c r="J2138" s="11" t="n">
        <v/>
      </c>
      <c r="K2138" s="4" t="inlineStr">
        <is>
          <t>Abrechnungsart wählen; Stundensätze eingeben</t>
        </is>
      </c>
    </row>
    <row r="2139">
      <c r="A2139" s="4" t="inlineStr">
        <is>
          <t>5902.14 BSB-DFS-010-Control-Center-Karlsruhe</t>
        </is>
      </c>
      <c r="B2139" s="4" t="inlineStr">
        <is>
          <t>● BSB 2024 (a.N.)</t>
        </is>
      </c>
      <c r="C2139" s="4" t="inlineStr">
        <is>
          <t>Nachweis</t>
        </is>
      </c>
      <c r="D2139" s="10" t="inlineStr">
        <is>
          <t>⚠ Manual erforderlich</t>
        </is>
      </c>
      <c r="E2139" s="11" t="inlineStr"/>
      <c r="F2139" s="11" t="n">
        <v>0</v>
      </c>
      <c r="G2139" s="11">
        <f>E2139-F2139</f>
        <v/>
      </c>
      <c r="H2139" s="11" t="n">
        <v/>
      </c>
      <c r="I2139" s="11" t="n">
        <v/>
      </c>
      <c r="J2139" s="11" t="n">
        <v/>
      </c>
      <c r="K2139" s="4" t="inlineStr">
        <is>
          <t>Stundensätze eingeben</t>
        </is>
      </c>
    </row>
    <row r="2140">
      <c r="A2140" s="4" t="inlineStr">
        <is>
          <t>5902.14 BSB-DFS-010-Control-Center-Karlsruhe</t>
        </is>
      </c>
      <c r="B2140" s="4" t="inlineStr">
        <is>
          <t>● BSB 2025</t>
        </is>
      </c>
      <c r="C2140" s="9" t="inlineStr">
        <is>
          <t>Unbekannt</t>
        </is>
      </c>
      <c r="D2140" s="10" t="inlineStr">
        <is>
          <t>⚠ Manual erforderlich</t>
        </is>
      </c>
      <c r="E2140" s="11" t="inlineStr"/>
      <c r="F2140" s="11" t="n">
        <v>0</v>
      </c>
      <c r="G2140" s="11">
        <f>E2140-F2140</f>
        <v/>
      </c>
      <c r="H2140" s="11" t="n">
        <v/>
      </c>
      <c r="I2140" s="11" t="n">
        <v/>
      </c>
      <c r="J2140" s="11" t="n">
        <v/>
      </c>
      <c r="K2140" s="4" t="inlineStr">
        <is>
          <t>Abrechnungsart wählen; Stundensätze eingeben</t>
        </is>
      </c>
    </row>
    <row r="2141">
      <c r="A2141" s="4" t="inlineStr">
        <is>
          <t>5902.141 BSK-DFS-010-Control-Center-Karlsruhe</t>
        </is>
      </c>
      <c r="B2141" s="4" t="inlineStr">
        <is>
          <t>● BSK (pauschal)</t>
        </is>
      </c>
      <c r="C2141" s="9" t="inlineStr">
        <is>
          <t>Unbekannt</t>
        </is>
      </c>
      <c r="D2141" s="10" t="inlineStr">
        <is>
          <t>⚠ Manual erforderlich</t>
        </is>
      </c>
      <c r="E2141" s="11" t="inlineStr"/>
      <c r="F2141" s="11" t="n">
        <v>0</v>
      </c>
      <c r="G2141" s="11">
        <f>E2141-F2141</f>
        <v/>
      </c>
      <c r="H2141" s="11" t="n">
        <v/>
      </c>
      <c r="I2141" s="11" t="n">
        <v/>
      </c>
      <c r="J2141" s="11" t="n">
        <v/>
      </c>
      <c r="K2141" s="4" t="inlineStr">
        <is>
          <t>Abrechnungsart wählen; Stundensätze eingeben</t>
        </is>
      </c>
    </row>
    <row r="2142">
      <c r="A2142" s="4" t="inlineStr">
        <is>
          <t>5902.141 BSK-DFS-010-Control-Center-Karlsruhe</t>
        </is>
      </c>
      <c r="B2142" s="4" t="inlineStr">
        <is>
          <t>● BSK-Pläne (pauschal)</t>
        </is>
      </c>
      <c r="C2142" s="9" t="inlineStr">
        <is>
          <t>Unbekannt</t>
        </is>
      </c>
      <c r="D2142" s="10" t="inlineStr">
        <is>
          <t>⚠ Manual erforderlich</t>
        </is>
      </c>
      <c r="E2142" s="11" t="inlineStr"/>
      <c r="F2142" s="11" t="n">
        <v>0</v>
      </c>
      <c r="G2142" s="11">
        <f>E2142-F2142</f>
        <v/>
      </c>
      <c r="H2142" s="11" t="n">
        <v/>
      </c>
      <c r="I2142" s="11" t="n">
        <v/>
      </c>
      <c r="J2142" s="11" t="n">
        <v/>
      </c>
      <c r="K2142" s="4" t="inlineStr">
        <is>
          <t>Abrechnungsart wählen; Stundensätze eingeben</t>
        </is>
      </c>
    </row>
    <row r="2143">
      <c r="A2143" s="4" t="inlineStr">
        <is>
          <t>5902.15 BSB-DFS-011-Control-Center-München-inkl-Tower</t>
        </is>
      </c>
      <c r="B2143" s="4" t="inlineStr">
        <is>
          <t>● BSB 2021 (auf Nachweis)</t>
        </is>
      </c>
      <c r="C2143" s="9" t="inlineStr">
        <is>
          <t>Unbekannt</t>
        </is>
      </c>
      <c r="D2143" s="10" t="inlineStr">
        <is>
          <t>⚠ Manual erforderlich</t>
        </is>
      </c>
      <c r="E2143" s="11" t="inlineStr"/>
      <c r="F2143" s="11" t="n">
        <v>0</v>
      </c>
      <c r="G2143" s="11">
        <f>E2143-F2143</f>
        <v/>
      </c>
      <c r="H2143" s="11" t="n">
        <v/>
      </c>
      <c r="I2143" s="11" t="n">
        <v/>
      </c>
      <c r="J2143" s="11" t="n">
        <v/>
      </c>
      <c r="K2143" s="4" t="inlineStr">
        <is>
          <t>Abrechnungsart wählen; Stundensätze eingeben</t>
        </is>
      </c>
    </row>
    <row r="2144">
      <c r="A2144" s="4" t="inlineStr">
        <is>
          <t>5902.15 BSB-DFS-011-Control-Center-München-inkl-Tower</t>
        </is>
      </c>
      <c r="B2144" s="4" t="inlineStr">
        <is>
          <t>● BSB 2022 (auf Nachweis)</t>
        </is>
      </c>
      <c r="C2144" s="9" t="inlineStr">
        <is>
          <t>Unbekannt</t>
        </is>
      </c>
      <c r="D2144" s="10" t="inlineStr">
        <is>
          <t>⚠ Manual erforderlich</t>
        </is>
      </c>
      <c r="E2144" s="11" t="inlineStr"/>
      <c r="F2144" s="11" t="n">
        <v>0</v>
      </c>
      <c r="G2144" s="11">
        <f>E2144-F2144</f>
        <v/>
      </c>
      <c r="H2144" s="11" t="n">
        <v/>
      </c>
      <c r="I2144" s="11" t="n">
        <v/>
      </c>
      <c r="J2144" s="11" t="n">
        <v/>
      </c>
      <c r="K2144" s="4" t="inlineStr">
        <is>
          <t>Abrechnungsart wählen; Stundensätze eingeben</t>
        </is>
      </c>
    </row>
    <row r="2145">
      <c r="A2145" s="4" t="inlineStr">
        <is>
          <t>5902.15 BSB-DFS-011-Control-Center-München-inkl-Tower</t>
        </is>
      </c>
      <c r="B2145" s="4" t="inlineStr">
        <is>
          <t>● BSB 2023 (a.N.)</t>
        </is>
      </c>
      <c r="C2145" s="4" t="inlineStr">
        <is>
          <t>Nachweis</t>
        </is>
      </c>
      <c r="D2145" s="10" t="inlineStr">
        <is>
          <t>⚠ Manual erforderlich</t>
        </is>
      </c>
      <c r="E2145" s="11" t="inlineStr"/>
      <c r="F2145" s="11" t="n">
        <v>0</v>
      </c>
      <c r="G2145" s="11">
        <f>E2145-F2145</f>
        <v/>
      </c>
      <c r="H2145" s="11" t="n">
        <v/>
      </c>
      <c r="I2145" s="11" t="n">
        <v/>
      </c>
      <c r="J2145" s="11" t="n">
        <v/>
      </c>
      <c r="K2145" s="4" t="inlineStr">
        <is>
          <t>Stundensätze eingeben</t>
        </is>
      </c>
    </row>
    <row r="2146">
      <c r="A2146" s="4" t="inlineStr">
        <is>
          <t>5902.15 BSB-DFS-011-Control-Center-München-inkl-Tower</t>
        </is>
      </c>
      <c r="B2146" s="4" t="inlineStr">
        <is>
          <t>● BSB 2024 (a.N.)</t>
        </is>
      </c>
      <c r="C2146" s="4" t="inlineStr">
        <is>
          <t>Nachweis</t>
        </is>
      </c>
      <c r="D2146" s="10" t="inlineStr">
        <is>
          <t>⚠ Manual erforderlich</t>
        </is>
      </c>
      <c r="E2146" s="11" t="inlineStr"/>
      <c r="F2146" s="11" t="n">
        <v>0</v>
      </c>
      <c r="G2146" s="11">
        <f>E2146-F2146</f>
        <v/>
      </c>
      <c r="H2146" s="11" t="n">
        <v/>
      </c>
      <c r="I2146" s="11" t="n">
        <v/>
      </c>
      <c r="J2146" s="11" t="n">
        <v/>
      </c>
      <c r="K2146" s="4" t="inlineStr">
        <is>
          <t>Stundensätze eingeben</t>
        </is>
      </c>
    </row>
    <row r="2147">
      <c r="A2147" s="4" t="inlineStr">
        <is>
          <t>5902.15 BSB-DFS-011-Control-Center-München-inkl-Tower</t>
        </is>
      </c>
      <c r="B2147" s="4" t="inlineStr">
        <is>
          <t>● BSB 2025 (aN)</t>
        </is>
      </c>
      <c r="C2147" s="4" t="inlineStr">
        <is>
          <t>Nachweis</t>
        </is>
      </c>
      <c r="D2147" s="10" t="inlineStr">
        <is>
          <t>⚠ Manual erforderlich</t>
        </is>
      </c>
      <c r="E2147" s="11" t="inlineStr"/>
      <c r="F2147" s="11" t="n">
        <v>0</v>
      </c>
      <c r="G2147" s="11">
        <f>E2147-F2147</f>
        <v/>
      </c>
      <c r="H2147" s="11" t="n">
        <v/>
      </c>
      <c r="I2147" s="11" t="n">
        <v/>
      </c>
      <c r="J2147" s="11" t="n">
        <v/>
      </c>
      <c r="K2147" s="4" t="inlineStr">
        <is>
          <t>Stundensätze eingeben</t>
        </is>
      </c>
    </row>
    <row r="2148">
      <c r="A2148" s="4" t="inlineStr">
        <is>
          <t>5902.155 DFS-FortschrBSK-OPS-Center-München</t>
        </is>
      </c>
      <c r="B2148" s="4" t="inlineStr">
        <is>
          <t>● (aN) Pos. 1 Fortschreibung des Brandschutzkonzeptes</t>
        </is>
      </c>
      <c r="C2148" s="4" t="inlineStr">
        <is>
          <t>Nachweis</t>
        </is>
      </c>
      <c r="D2148" s="10" t="inlineStr">
        <is>
          <t>⚠ Manual erforderlich</t>
        </is>
      </c>
      <c r="E2148" s="11" t="inlineStr"/>
      <c r="F2148" s="11" t="n">
        <v>0</v>
      </c>
      <c r="G2148" s="11">
        <f>E2148-F2148</f>
        <v/>
      </c>
      <c r="H2148" s="11" t="n">
        <v/>
      </c>
      <c r="I2148" s="11" t="n">
        <v/>
      </c>
      <c r="J2148" s="11" t="n">
        <v/>
      </c>
      <c r="K2148" s="4" t="inlineStr">
        <is>
          <t>Stundensätze eingeben</t>
        </is>
      </c>
    </row>
    <row r="2149">
      <c r="A2149" s="4" t="inlineStr">
        <is>
          <t>5902.157 DFS-Anp-FRP-011-Control-Center-München</t>
        </is>
      </c>
      <c r="B2149" s="4" t="inlineStr">
        <is>
          <t>● (aN) Pos. 1 Anp. FRP</t>
        </is>
      </c>
      <c r="C2149" s="4" t="inlineStr">
        <is>
          <t>Nachweis</t>
        </is>
      </c>
      <c r="D2149" s="10" t="inlineStr">
        <is>
          <t>⚠ Manual erforderlich</t>
        </is>
      </c>
      <c r="E2149" s="11" t="inlineStr"/>
      <c r="F2149" s="11" t="n">
        <v>0</v>
      </c>
      <c r="G2149" s="11">
        <f>E2149-F2149</f>
        <v/>
      </c>
      <c r="H2149" s="11" t="n">
        <v/>
      </c>
      <c r="I2149" s="11" t="n">
        <v/>
      </c>
      <c r="J2149" s="11" t="n">
        <v/>
      </c>
      <c r="K2149" s="4" t="inlineStr">
        <is>
          <t>Stundensätze eingeben</t>
        </is>
      </c>
    </row>
    <row r="2150">
      <c r="A2150" s="4" t="inlineStr">
        <is>
          <t>5902.16 BSB-DFS-012-Tower-Nord-Frankfurt-inkl-Betriebsgebäude</t>
        </is>
      </c>
      <c r="B2150" s="4" t="inlineStr">
        <is>
          <t>● BSB 2021 (auf Nachweis)</t>
        </is>
      </c>
      <c r="C2150" s="9" t="inlineStr">
        <is>
          <t>Unbekannt</t>
        </is>
      </c>
      <c r="D2150" s="10" t="inlineStr">
        <is>
          <t>⚠ Manual erforderlich</t>
        </is>
      </c>
      <c r="E2150" s="11" t="inlineStr"/>
      <c r="F2150" s="11" t="n">
        <v>0</v>
      </c>
      <c r="G2150" s="11">
        <f>E2150-F2150</f>
        <v/>
      </c>
      <c r="H2150" s="11" t="n">
        <v/>
      </c>
      <c r="I2150" s="11" t="n">
        <v/>
      </c>
      <c r="J2150" s="11" t="n">
        <v/>
      </c>
      <c r="K2150" s="4" t="inlineStr">
        <is>
          <t>Abrechnungsart wählen; Stundensätze eingeben</t>
        </is>
      </c>
    </row>
    <row r="2151">
      <c r="A2151" s="4" t="inlineStr">
        <is>
          <t>5902.16 BSB-DFS-012-Tower-Nord-Frankfurt-inkl-Betriebsgebäude</t>
        </is>
      </c>
      <c r="B2151" s="4" t="inlineStr">
        <is>
          <t>● BSB 2022 (auf Nachweis)</t>
        </is>
      </c>
      <c r="C2151" s="9" t="inlineStr">
        <is>
          <t>Unbekannt</t>
        </is>
      </c>
      <c r="D2151" s="10" t="inlineStr">
        <is>
          <t>⚠ Manual erforderlich</t>
        </is>
      </c>
      <c r="E2151" s="11" t="inlineStr"/>
      <c r="F2151" s="11" t="n">
        <v>0</v>
      </c>
      <c r="G2151" s="11">
        <f>E2151-F2151</f>
        <v/>
      </c>
      <c r="H2151" s="11" t="n">
        <v/>
      </c>
      <c r="I2151" s="11" t="n">
        <v/>
      </c>
      <c r="J2151" s="11" t="n">
        <v/>
      </c>
      <c r="K2151" s="4" t="inlineStr">
        <is>
          <t>Abrechnungsart wählen; Stundensätze eingeben</t>
        </is>
      </c>
    </row>
    <row r="2152">
      <c r="A2152" s="4" t="inlineStr">
        <is>
          <t>5902.16 BSB-DFS-012-Tower-Nord-Frankfurt-inkl-Betriebsgebäude</t>
        </is>
      </c>
      <c r="B2152" s="4" t="inlineStr">
        <is>
          <t>● BSB 2023 (auf Nachweis)</t>
        </is>
      </c>
      <c r="C2152" s="9" t="inlineStr">
        <is>
          <t>Unbekannt</t>
        </is>
      </c>
      <c r="D2152" s="10" t="inlineStr">
        <is>
          <t>⚠ Manual erforderlich</t>
        </is>
      </c>
      <c r="E2152" s="11" t="inlineStr"/>
      <c r="F2152" s="11" t="n">
        <v>0</v>
      </c>
      <c r="G2152" s="11">
        <f>E2152-F2152</f>
        <v/>
      </c>
      <c r="H2152" s="11" t="n">
        <v/>
      </c>
      <c r="I2152" s="11" t="n">
        <v/>
      </c>
      <c r="J2152" s="11" t="n">
        <v/>
      </c>
      <c r="K2152" s="4" t="inlineStr">
        <is>
          <t>Abrechnungsart wählen; Stundensätze eingeben</t>
        </is>
      </c>
    </row>
    <row r="2153">
      <c r="A2153" s="4" t="inlineStr">
        <is>
          <t>5902.16 BSB-DFS-012-Tower-Nord-Frankfurt-inkl-Betriebsgebäude</t>
        </is>
      </c>
      <c r="B2153" s="4" t="inlineStr">
        <is>
          <t>● Mängel-/Maßnahmeneinarbeitung FOT (auf Nachweis)</t>
        </is>
      </c>
      <c r="C2153" s="9" t="inlineStr">
        <is>
          <t>Unbekannt</t>
        </is>
      </c>
      <c r="D2153" s="10" t="inlineStr">
        <is>
          <t>⚠ Manual erforderlich</t>
        </is>
      </c>
      <c r="E2153" s="11" t="inlineStr"/>
      <c r="F2153" s="11" t="n">
        <v>0</v>
      </c>
      <c r="G2153" s="11">
        <f>E2153-F2153</f>
        <v/>
      </c>
      <c r="H2153" s="11" t="n">
        <v/>
      </c>
      <c r="I2153" s="11" t="n">
        <v/>
      </c>
      <c r="J2153" s="11" t="n">
        <v/>
      </c>
      <c r="K2153" s="4" t="inlineStr">
        <is>
          <t>Abrechnungsart wählen; Stundensätze eingeben</t>
        </is>
      </c>
    </row>
    <row r="2154">
      <c r="A2154" s="4" t="inlineStr">
        <is>
          <t>5902.16 BSB-DFS-012-Tower-Nord-Frankfurt-inkl-Betriebsgebäude</t>
        </is>
      </c>
      <c r="B2154" s="4" t="inlineStr">
        <is>
          <t>● BSB 2024 (auf Nachweis)</t>
        </is>
      </c>
      <c r="C2154" s="9" t="inlineStr">
        <is>
          <t>Unbekannt</t>
        </is>
      </c>
      <c r="D2154" s="10" t="inlineStr">
        <is>
          <t>⚠ Manual erforderlich</t>
        </is>
      </c>
      <c r="E2154" s="11" t="inlineStr"/>
      <c r="F2154" s="11" t="n">
        <v>0</v>
      </c>
      <c r="G2154" s="11">
        <f>E2154-F2154</f>
        <v/>
      </c>
      <c r="H2154" s="11" t="n">
        <v/>
      </c>
      <c r="I2154" s="11" t="n">
        <v/>
      </c>
      <c r="J2154" s="11" t="n">
        <v/>
      </c>
      <c r="K2154" s="4" t="inlineStr">
        <is>
          <t>Abrechnungsart wählen; Stundensätze eingeben</t>
        </is>
      </c>
    </row>
    <row r="2155">
      <c r="A2155" s="4" t="inlineStr">
        <is>
          <t>5902.16 BSB-DFS-012-Tower-Nord-Frankfurt-inkl-Betriebsgebäude</t>
        </is>
      </c>
      <c r="B2155" s="4" t="inlineStr">
        <is>
          <t>● BSB 2025 (aN)</t>
        </is>
      </c>
      <c r="C2155" s="4" t="inlineStr">
        <is>
          <t>Nachweis</t>
        </is>
      </c>
      <c r="D2155" s="10" t="inlineStr">
        <is>
          <t>⚠ Manual erforderlich</t>
        </is>
      </c>
      <c r="E2155" s="11" t="inlineStr"/>
      <c r="F2155" s="11" t="n">
        <v>0</v>
      </c>
      <c r="G2155" s="11">
        <f>E2155-F2155</f>
        <v/>
      </c>
      <c r="H2155" s="11" t="n">
        <v/>
      </c>
      <c r="I2155" s="11" t="n">
        <v/>
      </c>
      <c r="J2155" s="11" t="n">
        <v/>
      </c>
      <c r="K2155" s="4" t="inlineStr">
        <is>
          <t>Stundensätze eingeben</t>
        </is>
      </c>
    </row>
    <row r="2156">
      <c r="A2156" s="4" t="inlineStr">
        <is>
          <t>5902.18 BSB-DFS-014-Tower-Düsseldorf-inkl-Betriebsgebäude</t>
        </is>
      </c>
      <c r="B2156" s="4" t="inlineStr">
        <is>
          <t>● BSB 2021 (auf Nachweis)</t>
        </is>
      </c>
      <c r="C2156" s="9" t="inlineStr">
        <is>
          <t>Unbekannt</t>
        </is>
      </c>
      <c r="D2156" s="10" t="inlineStr">
        <is>
          <t>⚠ Manual erforderlich</t>
        </is>
      </c>
      <c r="E2156" s="11" t="inlineStr"/>
      <c r="F2156" s="11" t="n">
        <v>0</v>
      </c>
      <c r="G2156" s="11">
        <f>E2156-F2156</f>
        <v/>
      </c>
      <c r="H2156" s="11" t="n">
        <v/>
      </c>
      <c r="I2156" s="11" t="n">
        <v/>
      </c>
      <c r="J2156" s="11" t="n">
        <v/>
      </c>
      <c r="K2156" s="4" t="inlineStr">
        <is>
          <t>Abrechnungsart wählen; Stundensätze eingeben</t>
        </is>
      </c>
    </row>
    <row r="2157">
      <c r="A2157" s="4" t="inlineStr">
        <is>
          <t>5902.18 BSB-DFS-014-Tower-Düsseldorf-inkl-Betriebsgebäude</t>
        </is>
      </c>
      <c r="B2157" s="4" t="inlineStr">
        <is>
          <t>● BSB 2022 (auf Nachweis)</t>
        </is>
      </c>
      <c r="C2157" s="9" t="inlineStr">
        <is>
          <t>Unbekannt</t>
        </is>
      </c>
      <c r="D2157" s="10" t="inlineStr">
        <is>
          <t>⚠ Manual erforderlich</t>
        </is>
      </c>
      <c r="E2157" s="11" t="inlineStr"/>
      <c r="F2157" s="11" t="n">
        <v>0</v>
      </c>
      <c r="G2157" s="11">
        <f>E2157-F2157</f>
        <v/>
      </c>
      <c r="H2157" s="11" t="n">
        <v/>
      </c>
      <c r="I2157" s="11" t="n">
        <v/>
      </c>
      <c r="J2157" s="11" t="n">
        <v/>
      </c>
      <c r="K2157" s="4" t="inlineStr">
        <is>
          <t>Abrechnungsart wählen; Stundensätze eingeben</t>
        </is>
      </c>
    </row>
    <row r="2158">
      <c r="A2158" s="4" t="inlineStr">
        <is>
          <t>5902.18 BSB-DFS-014-Tower-Düsseldorf-inkl-Betriebsgebäude</t>
        </is>
      </c>
      <c r="B2158" s="4" t="inlineStr">
        <is>
          <t>● BSB 2023 (a.N.)</t>
        </is>
      </c>
      <c r="C2158" s="4" t="inlineStr">
        <is>
          <t>Nachweis</t>
        </is>
      </c>
      <c r="D2158" s="10" t="inlineStr">
        <is>
          <t>⚠ Manual erforderlich</t>
        </is>
      </c>
      <c r="E2158" s="11" t="inlineStr"/>
      <c r="F2158" s="11" t="n">
        <v>0</v>
      </c>
      <c r="G2158" s="11">
        <f>E2158-F2158</f>
        <v/>
      </c>
      <c r="H2158" s="11" t="n">
        <v/>
      </c>
      <c r="I2158" s="11" t="n">
        <v/>
      </c>
      <c r="J2158" s="11" t="n">
        <v/>
      </c>
      <c r="K2158" s="4" t="inlineStr">
        <is>
          <t>Stundensätze eingeben</t>
        </is>
      </c>
    </row>
    <row r="2159">
      <c r="A2159" s="4" t="inlineStr">
        <is>
          <t>5902.18 BSB-DFS-014-Tower-Düsseldorf-inkl-Betriebsgebäude</t>
        </is>
      </c>
      <c r="B2159" s="4" t="inlineStr">
        <is>
          <t>● BSB 2024 (a.N.)</t>
        </is>
      </c>
      <c r="C2159" s="4" t="inlineStr">
        <is>
          <t>Nachweis</t>
        </is>
      </c>
      <c r="D2159" s="10" t="inlineStr">
        <is>
          <t>⚠ Manual erforderlich</t>
        </is>
      </c>
      <c r="E2159" s="11" t="inlineStr"/>
      <c r="F2159" s="11" t="n">
        <v>0</v>
      </c>
      <c r="G2159" s="11">
        <f>E2159-F2159</f>
        <v/>
      </c>
      <c r="H2159" s="11" t="n">
        <v/>
      </c>
      <c r="I2159" s="11" t="n">
        <v/>
      </c>
      <c r="J2159" s="11" t="n">
        <v/>
      </c>
      <c r="K2159" s="4" t="inlineStr">
        <is>
          <t>Stundensätze eingeben</t>
        </is>
      </c>
    </row>
    <row r="2160">
      <c r="A2160" s="4" t="inlineStr">
        <is>
          <t>5902.18 BSB-DFS-014-Tower-Düsseldorf-inkl-Betriebsgebäude</t>
        </is>
      </c>
      <c r="B2160" s="4" t="inlineStr">
        <is>
          <t>● BSB 2024 (a.N.)</t>
        </is>
      </c>
      <c r="C2160" s="4" t="inlineStr">
        <is>
          <t>Nachweis</t>
        </is>
      </c>
      <c r="D2160" s="10" t="inlineStr">
        <is>
          <t>⚠ Manual erforderlich</t>
        </is>
      </c>
      <c r="E2160" s="11" t="inlineStr"/>
      <c r="F2160" s="11" t="n">
        <v>0</v>
      </c>
      <c r="G2160" s="11">
        <f>E2160-F2160</f>
        <v/>
      </c>
      <c r="H2160" s="11" t="n">
        <v/>
      </c>
      <c r="I2160" s="11" t="n">
        <v/>
      </c>
      <c r="J2160" s="11" t="n">
        <v/>
      </c>
      <c r="K2160" s="4" t="inlineStr">
        <is>
          <t>Stundensätze eingeben</t>
        </is>
      </c>
    </row>
    <row r="2161">
      <c r="A2161" s="4" t="inlineStr">
        <is>
          <t>5902.181 DFS-BTB-Tower-Düsseldorf</t>
        </is>
      </c>
      <c r="B2161" s="4" t="inlineStr">
        <is>
          <t>● (aN) Pos. 1 Brandschutztechnische Beratung</t>
        </is>
      </c>
      <c r="C2161" s="4" t="inlineStr">
        <is>
          <t>Nachweis</t>
        </is>
      </c>
      <c r="D2161" s="10" t="inlineStr">
        <is>
          <t>⚠ Manual erforderlich</t>
        </is>
      </c>
      <c r="E2161" s="11" t="inlineStr"/>
      <c r="F2161" s="11" t="n">
        <v>0</v>
      </c>
      <c r="G2161" s="11">
        <f>E2161-F2161</f>
        <v/>
      </c>
      <c r="H2161" s="11" t="n">
        <v/>
      </c>
      <c r="I2161" s="11" t="n">
        <v/>
      </c>
      <c r="J2161" s="11" t="n">
        <v/>
      </c>
      <c r="K2161" s="4" t="inlineStr">
        <is>
          <t>Stundensätze eingeben</t>
        </is>
      </c>
    </row>
    <row r="2162">
      <c r="A2162" s="4" t="inlineStr">
        <is>
          <t>5902.19 BSB-DFS-016-Tower-Berlin-Schönfeld-inkl-Betriebsgebäude</t>
        </is>
      </c>
      <c r="B2162" s="4" t="inlineStr">
        <is>
          <t>● BSB 2021 (auf Nachweis)</t>
        </is>
      </c>
      <c r="C2162" s="9" t="inlineStr">
        <is>
          <t>Unbekannt</t>
        </is>
      </c>
      <c r="D2162" s="10" t="inlineStr">
        <is>
          <t>⚠ Manual erforderlich</t>
        </is>
      </c>
      <c r="E2162" s="11" t="inlineStr"/>
      <c r="F2162" s="11" t="n">
        <v>0</v>
      </c>
      <c r="G2162" s="11">
        <f>E2162-F2162</f>
        <v/>
      </c>
      <c r="H2162" s="11" t="n">
        <v/>
      </c>
      <c r="I2162" s="11" t="n">
        <v/>
      </c>
      <c r="J2162" s="11" t="n">
        <v/>
      </c>
      <c r="K2162" s="4" t="inlineStr">
        <is>
          <t>Abrechnungsart wählen; Stundensätze eingeben</t>
        </is>
      </c>
    </row>
    <row r="2163">
      <c r="A2163" s="4" t="inlineStr">
        <is>
          <t>5902.19 BSB-DFS-016-Tower-Berlin-Schönfeld-inkl-Betriebsgebäude</t>
        </is>
      </c>
      <c r="B2163" s="4" t="inlineStr">
        <is>
          <t>● BSB 2022 (auf Nachweis)</t>
        </is>
      </c>
      <c r="C2163" s="9" t="inlineStr">
        <is>
          <t>Unbekannt</t>
        </is>
      </c>
      <c r="D2163" s="10" t="inlineStr">
        <is>
          <t>⚠ Manual erforderlich</t>
        </is>
      </c>
      <c r="E2163" s="11" t="inlineStr"/>
      <c r="F2163" s="11" t="n">
        <v>0</v>
      </c>
      <c r="G2163" s="11">
        <f>E2163-F2163</f>
        <v/>
      </c>
      <c r="H2163" s="11" t="n">
        <v/>
      </c>
      <c r="I2163" s="11" t="n">
        <v/>
      </c>
      <c r="J2163" s="11" t="n">
        <v/>
      </c>
      <c r="K2163" s="4" t="inlineStr">
        <is>
          <t>Abrechnungsart wählen; Stundensätze eingeben</t>
        </is>
      </c>
    </row>
    <row r="2164">
      <c r="A2164" s="4" t="inlineStr">
        <is>
          <t>5902.19 BSB-DFS-016-Tower-Berlin-Schönfeld-inkl-Betriebsgebäude</t>
        </is>
      </c>
      <c r="B2164" s="4" t="inlineStr">
        <is>
          <t>● BSB 2023 (a.N.)</t>
        </is>
      </c>
      <c r="C2164" s="4" t="inlineStr">
        <is>
          <t>Nachweis</t>
        </is>
      </c>
      <c r="D2164" s="10" t="inlineStr">
        <is>
          <t>⚠ Manual erforderlich</t>
        </is>
      </c>
      <c r="E2164" s="11" t="inlineStr"/>
      <c r="F2164" s="11" t="n">
        <v>0</v>
      </c>
      <c r="G2164" s="11">
        <f>E2164-F2164</f>
        <v/>
      </c>
      <c r="H2164" s="11" t="n">
        <v/>
      </c>
      <c r="I2164" s="11" t="n">
        <v/>
      </c>
      <c r="J2164" s="11" t="n">
        <v/>
      </c>
      <c r="K2164" s="4" t="inlineStr">
        <is>
          <t>Stundensätze eingeben</t>
        </is>
      </c>
    </row>
    <row r="2165">
      <c r="A2165" s="4" t="inlineStr">
        <is>
          <t>5902.19 BSB-DFS-016-Tower-Berlin-Schönfeld-inkl-Betriebsgebäude</t>
        </is>
      </c>
      <c r="B2165" s="4" t="inlineStr">
        <is>
          <t>● BSB 2024 (a.N.)</t>
        </is>
      </c>
      <c r="C2165" s="4" t="inlineStr">
        <is>
          <t>Nachweis</t>
        </is>
      </c>
      <c r="D2165" s="10" t="inlineStr">
        <is>
          <t>⚠ Manual erforderlich</t>
        </is>
      </c>
      <c r="E2165" s="11" t="inlineStr"/>
      <c r="F2165" s="11" t="n">
        <v>0</v>
      </c>
      <c r="G2165" s="11">
        <f>E2165-F2165</f>
        <v/>
      </c>
      <c r="H2165" s="11" t="n">
        <v/>
      </c>
      <c r="I2165" s="11" t="n">
        <v/>
      </c>
      <c r="J2165" s="11" t="n">
        <v/>
      </c>
      <c r="K2165" s="4" t="inlineStr">
        <is>
          <t>Stundensätze eingeben</t>
        </is>
      </c>
    </row>
    <row r="2166">
      <c r="A2166" s="4" t="inlineStr">
        <is>
          <t>5902.19 BSB-DFS-016-Tower-Berlin-Schönfeld-inkl-Betriebsgebäude</t>
        </is>
      </c>
      <c r="B2166" s="4" t="inlineStr">
        <is>
          <t>● (a.N.) Brandschutzbeauftragter 2025</t>
        </is>
      </c>
      <c r="C2166" s="4" t="inlineStr">
        <is>
          <t>Nachweis</t>
        </is>
      </c>
      <c r="D2166" s="10" t="inlineStr">
        <is>
          <t>⚠ Manual erforderlich</t>
        </is>
      </c>
      <c r="E2166" s="11" t="inlineStr"/>
      <c r="F2166" s="11" t="n">
        <v>0</v>
      </c>
      <c r="G2166" s="11">
        <f>E2166-F2166</f>
        <v/>
      </c>
      <c r="H2166" s="11" t="n">
        <v/>
      </c>
      <c r="I2166" s="11" t="n">
        <v/>
      </c>
      <c r="J2166" s="11" t="n">
        <v/>
      </c>
      <c r="K2166" s="4" t="inlineStr">
        <is>
          <t>Stundensätze eingeben</t>
        </is>
      </c>
    </row>
    <row r="2167">
      <c r="A2167" s="4" t="inlineStr">
        <is>
          <t>5902.20 BSB-DFS-017-Tower-Dresden-inkl-Betriebsgebäude</t>
        </is>
      </c>
      <c r="B2167" s="4" t="inlineStr">
        <is>
          <t>● BSB 2021 (auf Nachweis)</t>
        </is>
      </c>
      <c r="C2167" s="9" t="inlineStr">
        <is>
          <t>Unbekannt</t>
        </is>
      </c>
      <c r="D2167" s="10" t="inlineStr">
        <is>
          <t>⚠ Manual erforderlich</t>
        </is>
      </c>
      <c r="E2167" s="11" t="inlineStr"/>
      <c r="F2167" s="11" t="n">
        <v>0</v>
      </c>
      <c r="G2167" s="11">
        <f>E2167-F2167</f>
        <v/>
      </c>
      <c r="H2167" s="11" t="n">
        <v/>
      </c>
      <c r="I2167" s="11" t="n">
        <v/>
      </c>
      <c r="J2167" s="11" t="n">
        <v/>
      </c>
      <c r="K2167" s="4" t="inlineStr">
        <is>
          <t>Abrechnungsart wählen; Stundensätze eingeben</t>
        </is>
      </c>
    </row>
    <row r="2168">
      <c r="A2168" s="4" t="inlineStr">
        <is>
          <t>5902.20 BSB-DFS-017-Tower-Dresden-inkl-Betriebsgebäude</t>
        </is>
      </c>
      <c r="B2168" s="4" t="inlineStr">
        <is>
          <t>● BSB 2022 (auf Nachweis)</t>
        </is>
      </c>
      <c r="C2168" s="9" t="inlineStr">
        <is>
          <t>Unbekannt</t>
        </is>
      </c>
      <c r="D2168" s="10" t="inlineStr">
        <is>
          <t>⚠ Manual erforderlich</t>
        </is>
      </c>
      <c r="E2168" s="11" t="inlineStr"/>
      <c r="F2168" s="11" t="n">
        <v>0</v>
      </c>
      <c r="G2168" s="11">
        <f>E2168-F2168</f>
        <v/>
      </c>
      <c r="H2168" s="11" t="n">
        <v/>
      </c>
      <c r="I2168" s="11" t="n">
        <v/>
      </c>
      <c r="J2168" s="11" t="n">
        <v/>
      </c>
      <c r="K2168" s="4" t="inlineStr">
        <is>
          <t>Abrechnungsart wählen; Stundensätze eingeben</t>
        </is>
      </c>
    </row>
    <row r="2169">
      <c r="A2169" s="4" t="inlineStr">
        <is>
          <t>5902.20 BSB-DFS-017-Tower-Dresden-inkl-Betriebsgebäude</t>
        </is>
      </c>
      <c r="B2169" s="4" t="inlineStr">
        <is>
          <t>● BSB 2023 (a.N.)</t>
        </is>
      </c>
      <c r="C2169" s="4" t="inlineStr">
        <is>
          <t>Nachweis</t>
        </is>
      </c>
      <c r="D2169" s="10" t="inlineStr">
        <is>
          <t>⚠ Manual erforderlich</t>
        </is>
      </c>
      <c r="E2169" s="11" t="inlineStr"/>
      <c r="F2169" s="11" t="n">
        <v>0</v>
      </c>
      <c r="G2169" s="11">
        <f>E2169-F2169</f>
        <v/>
      </c>
      <c r="H2169" s="11" t="n">
        <v/>
      </c>
      <c r="I2169" s="11" t="n">
        <v/>
      </c>
      <c r="J2169" s="11" t="n">
        <v/>
      </c>
      <c r="K2169" s="4" t="inlineStr">
        <is>
          <t>Stundensätze eingeben</t>
        </is>
      </c>
    </row>
    <row r="2170">
      <c r="A2170" s="4" t="inlineStr">
        <is>
          <t>5902.20 BSB-DFS-017-Tower-Dresden-inkl-Betriebsgebäude</t>
        </is>
      </c>
      <c r="B2170" s="4" t="inlineStr">
        <is>
          <t>● BSB 2024 (a.N.)</t>
        </is>
      </c>
      <c r="C2170" s="4" t="inlineStr">
        <is>
          <t>Nachweis</t>
        </is>
      </c>
      <c r="D2170" s="10" t="inlineStr">
        <is>
          <t>⚠ Manual erforderlich</t>
        </is>
      </c>
      <c r="E2170" s="11" t="inlineStr"/>
      <c r="F2170" s="11" t="n">
        <v>0</v>
      </c>
      <c r="G2170" s="11">
        <f>E2170-F2170</f>
        <v/>
      </c>
      <c r="H2170" s="11" t="n">
        <v/>
      </c>
      <c r="I2170" s="11" t="n">
        <v/>
      </c>
      <c r="J2170" s="11" t="n">
        <v/>
      </c>
      <c r="K2170" s="4" t="inlineStr">
        <is>
          <t>Stundensätze eingeben</t>
        </is>
      </c>
    </row>
    <row r="2171">
      <c r="A2171" s="4" t="inlineStr">
        <is>
          <t>5902.20 BSB-DFS-017-Tower-Dresden-inkl-Betriebsgebäude</t>
        </is>
      </c>
      <c r="B2171" s="4" t="inlineStr">
        <is>
          <t>● BSB 2025 (a.N.)</t>
        </is>
      </c>
      <c r="C2171" s="4" t="inlineStr">
        <is>
          <t>Nachweis</t>
        </is>
      </c>
      <c r="D2171" s="10" t="inlineStr">
        <is>
          <t>⚠ Manual erforderlich</t>
        </is>
      </c>
      <c r="E2171" s="11" t="inlineStr"/>
      <c r="F2171" s="11" t="n">
        <v>0</v>
      </c>
      <c r="G2171" s="11">
        <f>E2171-F2171</f>
        <v/>
      </c>
      <c r="H2171" s="11" t="n">
        <v/>
      </c>
      <c r="I2171" s="11" t="n">
        <v/>
      </c>
      <c r="J2171" s="11" t="n">
        <v/>
      </c>
      <c r="K2171" s="4" t="inlineStr">
        <is>
          <t>Stundensätze eingeben</t>
        </is>
      </c>
    </row>
    <row r="2172">
      <c r="A2172" s="4" t="inlineStr">
        <is>
          <t>5902.21 BSB-DFS-019-Tower-Hannover-inkl-Betriebsgebäude</t>
        </is>
      </c>
      <c r="B2172" s="4" t="inlineStr">
        <is>
          <t>● BSB 2023 (a.N.)</t>
        </is>
      </c>
      <c r="C2172" s="4" t="inlineStr">
        <is>
          <t>Nachweis</t>
        </is>
      </c>
      <c r="D2172" s="10" t="inlineStr">
        <is>
          <t>⚠ Manual erforderlich</t>
        </is>
      </c>
      <c r="E2172" s="11" t="inlineStr"/>
      <c r="F2172" s="11" t="n">
        <v>0</v>
      </c>
      <c r="G2172" s="11">
        <f>E2172-F2172</f>
        <v/>
      </c>
      <c r="H2172" s="11" t="n">
        <v/>
      </c>
      <c r="I2172" s="11" t="n">
        <v/>
      </c>
      <c r="J2172" s="11" t="n">
        <v/>
      </c>
      <c r="K2172" s="4" t="inlineStr">
        <is>
          <t>Stundensätze eingeben</t>
        </is>
      </c>
    </row>
    <row r="2173">
      <c r="A2173" s="4" t="inlineStr">
        <is>
          <t>5902.21 BSB-DFS-019-Tower-Hannover-inkl-Betriebsgebäude</t>
        </is>
      </c>
      <c r="B2173" s="4" t="inlineStr">
        <is>
          <t>● BSB 2022 (auf Nachweis)</t>
        </is>
      </c>
      <c r="C2173" s="9" t="inlineStr">
        <is>
          <t>Unbekannt</t>
        </is>
      </c>
      <c r="D2173" s="10" t="inlineStr">
        <is>
          <t>⚠ Manual erforderlich</t>
        </is>
      </c>
      <c r="E2173" s="11" t="inlineStr"/>
      <c r="F2173" s="11" t="n">
        <v>0</v>
      </c>
      <c r="G2173" s="11">
        <f>E2173-F2173</f>
        <v/>
      </c>
      <c r="H2173" s="11" t="n">
        <v/>
      </c>
      <c r="I2173" s="11" t="n">
        <v/>
      </c>
      <c r="J2173" s="11" t="n">
        <v/>
      </c>
      <c r="K2173" s="4" t="inlineStr">
        <is>
          <t>Abrechnungsart wählen; Stundensätze eingeben</t>
        </is>
      </c>
    </row>
    <row r="2174">
      <c r="A2174" s="4" t="inlineStr">
        <is>
          <t>5902.21 BSB-DFS-019-Tower-Hannover-inkl-Betriebsgebäude</t>
        </is>
      </c>
      <c r="B2174" s="4" t="inlineStr">
        <is>
          <t>● Brandschutzbeauftragter 2021 (auf Nachweis)</t>
        </is>
      </c>
      <c r="C2174" s="9" t="inlineStr">
        <is>
          <t>Unbekannt</t>
        </is>
      </c>
      <c r="D2174" s="10" t="inlineStr">
        <is>
          <t>⚠ Manual erforderlich</t>
        </is>
      </c>
      <c r="E2174" s="11" t="inlineStr"/>
      <c r="F2174" s="11" t="n">
        <v>0</v>
      </c>
      <c r="G2174" s="11">
        <f>E2174-F2174</f>
        <v/>
      </c>
      <c r="H2174" s="11" t="n">
        <v/>
      </c>
      <c r="I2174" s="11" t="n">
        <v/>
      </c>
      <c r="J2174" s="11" t="n">
        <v/>
      </c>
      <c r="K2174" s="4" t="inlineStr">
        <is>
          <t>Abrechnungsart wählen; Stundensätze eingeben</t>
        </is>
      </c>
    </row>
    <row r="2175">
      <c r="A2175" s="4" t="inlineStr">
        <is>
          <t>5902.21 BSB-DFS-019-Tower-Hannover-inkl-Betriebsgebäude</t>
        </is>
      </c>
      <c r="B2175" s="4" t="inlineStr">
        <is>
          <t>● BSB 2024 (a.N.)</t>
        </is>
      </c>
      <c r="C2175" s="4" t="inlineStr">
        <is>
          <t>Nachweis</t>
        </is>
      </c>
      <c r="D2175" s="10" t="inlineStr">
        <is>
          <t>⚠ Manual erforderlich</t>
        </is>
      </c>
      <c r="E2175" s="11" t="inlineStr"/>
      <c r="F2175" s="11" t="n">
        <v>0</v>
      </c>
      <c r="G2175" s="11">
        <f>E2175-F2175</f>
        <v/>
      </c>
      <c r="H2175" s="11" t="n">
        <v/>
      </c>
      <c r="I2175" s="11" t="n">
        <v/>
      </c>
      <c r="J2175" s="11" t="n">
        <v/>
      </c>
      <c r="K2175" s="4" t="inlineStr">
        <is>
          <t>Stundensätze eingeben</t>
        </is>
      </c>
    </row>
    <row r="2176">
      <c r="A2176" s="4" t="inlineStr">
        <is>
          <t>5902.21 BSB-DFS-019-Tower-Hannover-inkl-Betriebsgebäude</t>
        </is>
      </c>
      <c r="B2176" s="4" t="inlineStr">
        <is>
          <t>● BSB 2025 (aN)</t>
        </is>
      </c>
      <c r="C2176" s="4" t="inlineStr">
        <is>
          <t>Nachweis</t>
        </is>
      </c>
      <c r="D2176" s="10" t="inlineStr">
        <is>
          <t>⚠ Manual erforderlich</t>
        </is>
      </c>
      <c r="E2176" s="11" t="inlineStr"/>
      <c r="F2176" s="11" t="n">
        <v>0</v>
      </c>
      <c r="G2176" s="11">
        <f>E2176-F2176</f>
        <v/>
      </c>
      <c r="H2176" s="11" t="n">
        <v/>
      </c>
      <c r="I2176" s="11" t="n">
        <v/>
      </c>
      <c r="J2176" s="11" t="n">
        <v/>
      </c>
      <c r="K2176" s="4" t="inlineStr">
        <is>
          <t>Stundensätze eingeben</t>
        </is>
      </c>
    </row>
    <row r="2177">
      <c r="A2177" s="4" t="inlineStr">
        <is>
          <t>5902.22 BSB-DFS-020-Tower-Erfurt-Weimar-inkl-Betriebsgebäude</t>
        </is>
      </c>
      <c r="B2177" s="4" t="inlineStr">
        <is>
          <t>● BSB 2023 (a.N.)</t>
        </is>
      </c>
      <c r="C2177" s="4" t="inlineStr">
        <is>
          <t>Nachweis</t>
        </is>
      </c>
      <c r="D2177" s="10" t="inlineStr">
        <is>
          <t>⚠ Manual erforderlich</t>
        </is>
      </c>
      <c r="E2177" s="11" t="inlineStr"/>
      <c r="F2177" s="11" t="n">
        <v>0</v>
      </c>
      <c r="G2177" s="11">
        <f>E2177-F2177</f>
        <v/>
      </c>
      <c r="H2177" s="11" t="n">
        <v/>
      </c>
      <c r="I2177" s="11" t="n">
        <v/>
      </c>
      <c r="J2177" s="11" t="n">
        <v/>
      </c>
      <c r="K2177" s="4" t="inlineStr">
        <is>
          <t>Stundensätze eingeben</t>
        </is>
      </c>
    </row>
    <row r="2178">
      <c r="A2178" s="4" t="inlineStr">
        <is>
          <t>5902.22 BSB-DFS-020-Tower-Erfurt-Weimar-inkl-Betriebsgebäude</t>
        </is>
      </c>
      <c r="B2178" s="4" t="inlineStr">
        <is>
          <t>● BSB 2022 (auf Nachweis)</t>
        </is>
      </c>
      <c r="C2178" s="9" t="inlineStr">
        <is>
          <t>Unbekannt</t>
        </is>
      </c>
      <c r="D2178" s="10" t="inlineStr">
        <is>
          <t>⚠ Manual erforderlich</t>
        </is>
      </c>
      <c r="E2178" s="11" t="inlineStr"/>
      <c r="F2178" s="11" t="n">
        <v>0</v>
      </c>
      <c r="G2178" s="11">
        <f>E2178-F2178</f>
        <v/>
      </c>
      <c r="H2178" s="11" t="n">
        <v/>
      </c>
      <c r="I2178" s="11" t="n">
        <v/>
      </c>
      <c r="J2178" s="11" t="n">
        <v/>
      </c>
      <c r="K2178" s="4" t="inlineStr">
        <is>
          <t>Abrechnungsart wählen; Stundensätze eingeben</t>
        </is>
      </c>
    </row>
    <row r="2179">
      <c r="A2179" s="4" t="inlineStr">
        <is>
          <t>5902.22 BSB-DFS-020-Tower-Erfurt-Weimar-inkl-Betriebsgebäude</t>
        </is>
      </c>
      <c r="B2179" s="4" t="inlineStr">
        <is>
          <t>● Brandschutzbeauftragter 2021 (auf Nachweis)</t>
        </is>
      </c>
      <c r="C2179" s="9" t="inlineStr">
        <is>
          <t>Unbekannt</t>
        </is>
      </c>
      <c r="D2179" s="10" t="inlineStr">
        <is>
          <t>⚠ Manual erforderlich</t>
        </is>
      </c>
      <c r="E2179" s="11" t="inlineStr"/>
      <c r="F2179" s="11" t="n">
        <v>0</v>
      </c>
      <c r="G2179" s="11">
        <f>E2179-F2179</f>
        <v/>
      </c>
      <c r="H2179" s="11" t="n">
        <v/>
      </c>
      <c r="I2179" s="11" t="n">
        <v/>
      </c>
      <c r="J2179" s="11" t="n">
        <v/>
      </c>
      <c r="K2179" s="4" t="inlineStr">
        <is>
          <t>Abrechnungsart wählen; Stundensätze eingeben</t>
        </is>
      </c>
    </row>
    <row r="2180">
      <c r="A2180" s="4" t="inlineStr">
        <is>
          <t>5902.22 BSB-DFS-020-Tower-Erfurt-Weimar-inkl-Betriebsgebäude</t>
        </is>
      </c>
      <c r="B2180" s="4" t="inlineStr">
        <is>
          <t>● BSB 2024 (a.N.)</t>
        </is>
      </c>
      <c r="C2180" s="4" t="inlineStr">
        <is>
          <t>Nachweis</t>
        </is>
      </c>
      <c r="D2180" s="10" t="inlineStr">
        <is>
          <t>⚠ Manual erforderlich</t>
        </is>
      </c>
      <c r="E2180" s="11" t="inlineStr"/>
      <c r="F2180" s="11" t="n">
        <v>0</v>
      </c>
      <c r="G2180" s="11">
        <f>E2180-F2180</f>
        <v/>
      </c>
      <c r="H2180" s="11" t="n">
        <v/>
      </c>
      <c r="I2180" s="11" t="n">
        <v/>
      </c>
      <c r="J2180" s="11" t="n">
        <v/>
      </c>
      <c r="K2180" s="4" t="inlineStr">
        <is>
          <t>Stundensätze eingeben</t>
        </is>
      </c>
    </row>
    <row r="2181">
      <c r="A2181" s="4" t="inlineStr">
        <is>
          <t>5902.22 BSB-DFS-020-Tower-Erfurt-Weimar-inkl-Betriebsgebäude</t>
        </is>
      </c>
      <c r="B2181" s="4" t="inlineStr">
        <is>
          <t>● BSB 2025 (aN)</t>
        </is>
      </c>
      <c r="C2181" s="4" t="inlineStr">
        <is>
          <t>Nachweis</t>
        </is>
      </c>
      <c r="D2181" s="10" t="inlineStr">
        <is>
          <t>⚠ Manual erforderlich</t>
        </is>
      </c>
      <c r="E2181" s="11" t="inlineStr"/>
      <c r="F2181" s="11" t="n">
        <v>0</v>
      </c>
      <c r="G2181" s="11">
        <f>E2181-F2181</f>
        <v/>
      </c>
      <c r="H2181" s="11" t="n">
        <v/>
      </c>
      <c r="I2181" s="11" t="n">
        <v/>
      </c>
      <c r="J2181" s="11" t="n">
        <v/>
      </c>
      <c r="K2181" s="4" t="inlineStr">
        <is>
          <t>Stundensätze eingeben</t>
        </is>
      </c>
    </row>
    <row r="2182">
      <c r="A2182" s="4" t="inlineStr">
        <is>
          <t>5902.23 BSB-DFS-021-Tower-Köln-Bonn-inkl-Betriebsgebäude</t>
        </is>
      </c>
      <c r="B2182" s="4" t="inlineStr">
        <is>
          <t>● BSB 2023 (a.N.)</t>
        </is>
      </c>
      <c r="C2182" s="4" t="inlineStr">
        <is>
          <t>Nachweis</t>
        </is>
      </c>
      <c r="D2182" s="10" t="inlineStr">
        <is>
          <t>⚠ Manual erforderlich</t>
        </is>
      </c>
      <c r="E2182" s="11" t="inlineStr"/>
      <c r="F2182" s="11" t="n">
        <v>0</v>
      </c>
      <c r="G2182" s="11">
        <f>E2182-F2182</f>
        <v/>
      </c>
      <c r="H2182" s="11" t="n">
        <v/>
      </c>
      <c r="I2182" s="11" t="n">
        <v/>
      </c>
      <c r="J2182" s="11" t="n">
        <v/>
      </c>
      <c r="K2182" s="4" t="inlineStr">
        <is>
          <t>Stundensätze eingeben</t>
        </is>
      </c>
    </row>
    <row r="2183">
      <c r="A2183" s="4" t="inlineStr">
        <is>
          <t>5902.23 BSB-DFS-021-Tower-Köln-Bonn-inkl-Betriebsgebäude</t>
        </is>
      </c>
      <c r="B2183" s="4" t="inlineStr">
        <is>
          <t>● BSB 2022 (auf Nachweis)</t>
        </is>
      </c>
      <c r="C2183" s="9" t="inlineStr">
        <is>
          <t>Unbekannt</t>
        </is>
      </c>
      <c r="D2183" s="10" t="inlineStr">
        <is>
          <t>⚠ Manual erforderlich</t>
        </is>
      </c>
      <c r="E2183" s="11" t="inlineStr"/>
      <c r="F2183" s="11" t="n">
        <v>0</v>
      </c>
      <c r="G2183" s="11">
        <f>E2183-F2183</f>
        <v/>
      </c>
      <c r="H2183" s="11" t="n">
        <v/>
      </c>
      <c r="I2183" s="11" t="n">
        <v/>
      </c>
      <c r="J2183" s="11" t="n">
        <v/>
      </c>
      <c r="K2183" s="4" t="inlineStr">
        <is>
          <t>Abrechnungsart wählen; Stundensätze eingeben</t>
        </is>
      </c>
    </row>
    <row r="2184">
      <c r="A2184" s="4" t="inlineStr">
        <is>
          <t>5902.23 BSB-DFS-021-Tower-Köln-Bonn-inkl-Betriebsgebäude</t>
        </is>
      </c>
      <c r="B2184" s="4" t="inlineStr">
        <is>
          <t>● Brandschutzbeauftragter 2021 (auf Nachweis)</t>
        </is>
      </c>
      <c r="C2184" s="9" t="inlineStr">
        <is>
          <t>Unbekannt</t>
        </is>
      </c>
      <c r="D2184" s="10" t="inlineStr">
        <is>
          <t>⚠ Manual erforderlich</t>
        </is>
      </c>
      <c r="E2184" s="11" t="inlineStr"/>
      <c r="F2184" s="11" t="n">
        <v>0</v>
      </c>
      <c r="G2184" s="11">
        <f>E2184-F2184</f>
        <v/>
      </c>
      <c r="H2184" s="11" t="n">
        <v/>
      </c>
      <c r="I2184" s="11" t="n">
        <v/>
      </c>
      <c r="J2184" s="11" t="n">
        <v/>
      </c>
      <c r="K2184" s="4" t="inlineStr">
        <is>
          <t>Abrechnungsart wählen; Stundensätze eingeben</t>
        </is>
      </c>
    </row>
    <row r="2185">
      <c r="A2185" s="4" t="inlineStr">
        <is>
          <t>5902.23 BSB-DFS-021-Tower-Köln-Bonn-inkl-Betriebsgebäude</t>
        </is>
      </c>
      <c r="B2185" s="4" t="inlineStr">
        <is>
          <t>● BSB 2024 (a.N.)</t>
        </is>
      </c>
      <c r="C2185" s="4" t="inlineStr">
        <is>
          <t>Nachweis</t>
        </is>
      </c>
      <c r="D2185" s="10" t="inlineStr">
        <is>
          <t>⚠ Manual erforderlich</t>
        </is>
      </c>
      <c r="E2185" s="11" t="inlineStr"/>
      <c r="F2185" s="11" t="n">
        <v>0</v>
      </c>
      <c r="G2185" s="11">
        <f>E2185-F2185</f>
        <v/>
      </c>
      <c r="H2185" s="11" t="n">
        <v/>
      </c>
      <c r="I2185" s="11" t="n">
        <v/>
      </c>
      <c r="J2185" s="11" t="n">
        <v/>
      </c>
      <c r="K2185" s="4" t="inlineStr">
        <is>
          <t>Stundensätze eingeben</t>
        </is>
      </c>
    </row>
    <row r="2186">
      <c r="A2186" s="4" t="inlineStr">
        <is>
          <t>5902.23 BSB-DFS-021-Tower-Köln-Bonn-inkl-Betriebsgebäude</t>
        </is>
      </c>
      <c r="B2186" s="4" t="inlineStr">
        <is>
          <t>● BSB 2025 (aN)</t>
        </is>
      </c>
      <c r="C2186" s="4" t="inlineStr">
        <is>
          <t>Nachweis</t>
        </is>
      </c>
      <c r="D2186" s="10" t="inlineStr">
        <is>
          <t>⚠ Manual erforderlich</t>
        </is>
      </c>
      <c r="E2186" s="11" t="inlineStr"/>
      <c r="F2186" s="11" t="n">
        <v>0</v>
      </c>
      <c r="G2186" s="11">
        <f>E2186-F2186</f>
        <v/>
      </c>
      <c r="H2186" s="11" t="n">
        <v/>
      </c>
      <c r="I2186" s="11" t="n">
        <v/>
      </c>
      <c r="J2186" s="11" t="n">
        <v/>
      </c>
      <c r="K2186" s="4" t="inlineStr">
        <is>
          <t>Stundensätze eingeben</t>
        </is>
      </c>
    </row>
    <row r="2187">
      <c r="A2187" s="4" t="inlineStr">
        <is>
          <t>5902.24 BSB-DFS-022-Tower-Leipzig-Halle-inkl-Betriebsgebäude</t>
        </is>
      </c>
      <c r="B2187" s="4" t="inlineStr">
        <is>
          <t>● BSB 2023 (a.N.)</t>
        </is>
      </c>
      <c r="C2187" s="4" t="inlineStr">
        <is>
          <t>Nachweis</t>
        </is>
      </c>
      <c r="D2187" s="10" t="inlineStr">
        <is>
          <t>⚠ Manual erforderlich</t>
        </is>
      </c>
      <c r="E2187" s="11" t="inlineStr"/>
      <c r="F2187" s="11" t="n">
        <v>0</v>
      </c>
      <c r="G2187" s="11">
        <f>E2187-F2187</f>
        <v/>
      </c>
      <c r="H2187" s="11" t="n">
        <v/>
      </c>
      <c r="I2187" s="11" t="n">
        <v/>
      </c>
      <c r="J2187" s="11" t="n">
        <v/>
      </c>
      <c r="K2187" s="4" t="inlineStr">
        <is>
          <t>Stundensätze eingeben</t>
        </is>
      </c>
    </row>
    <row r="2188">
      <c r="A2188" s="4" t="inlineStr">
        <is>
          <t>5902.24 BSB-DFS-022-Tower-Leipzig-Halle-inkl-Betriebsgebäude</t>
        </is>
      </c>
      <c r="B2188" s="4" t="inlineStr">
        <is>
          <t>● BSB 2022 (auf Nachweis)</t>
        </is>
      </c>
      <c r="C2188" s="9" t="inlineStr">
        <is>
          <t>Unbekannt</t>
        </is>
      </c>
      <c r="D2188" s="10" t="inlineStr">
        <is>
          <t>⚠ Manual erforderlich</t>
        </is>
      </c>
      <c r="E2188" s="11" t="inlineStr"/>
      <c r="F2188" s="11" t="n">
        <v>0</v>
      </c>
      <c r="G2188" s="11">
        <f>E2188-F2188</f>
        <v/>
      </c>
      <c r="H2188" s="11" t="n">
        <v/>
      </c>
      <c r="I2188" s="11" t="n">
        <v/>
      </c>
      <c r="J2188" s="11" t="n">
        <v/>
      </c>
      <c r="K2188" s="4" t="inlineStr">
        <is>
          <t>Abrechnungsart wählen; Stundensätze eingeben</t>
        </is>
      </c>
    </row>
    <row r="2189">
      <c r="A2189" s="4" t="inlineStr">
        <is>
          <t>5902.24 BSB-DFS-022-Tower-Leipzig-Halle-inkl-Betriebsgebäude</t>
        </is>
      </c>
      <c r="B2189" s="4" t="inlineStr">
        <is>
          <t>● Brandschutzbeauftragter 2021 (auf Nachweis)</t>
        </is>
      </c>
      <c r="C2189" s="9" t="inlineStr">
        <is>
          <t>Unbekannt</t>
        </is>
      </c>
      <c r="D2189" s="10" t="inlineStr">
        <is>
          <t>⚠ Manual erforderlich</t>
        </is>
      </c>
      <c r="E2189" s="11" t="inlineStr"/>
      <c r="F2189" s="11" t="n">
        <v>0</v>
      </c>
      <c r="G2189" s="11">
        <f>E2189-F2189</f>
        <v/>
      </c>
      <c r="H2189" s="11" t="n">
        <v/>
      </c>
      <c r="I2189" s="11" t="n">
        <v/>
      </c>
      <c r="J2189" s="11" t="n">
        <v/>
      </c>
      <c r="K2189" s="4" t="inlineStr">
        <is>
          <t>Abrechnungsart wählen; Stundensätze eingeben</t>
        </is>
      </c>
    </row>
    <row r="2190">
      <c r="A2190" s="4" t="inlineStr">
        <is>
          <t>5902.24 BSB-DFS-022-Tower-Leipzig-Halle-inkl-Betriebsgebäude</t>
        </is>
      </c>
      <c r="B2190" s="4" t="inlineStr">
        <is>
          <t>● BSB 2024 (a.N.)</t>
        </is>
      </c>
      <c r="C2190" s="4" t="inlineStr">
        <is>
          <t>Nachweis</t>
        </is>
      </c>
      <c r="D2190" s="10" t="inlineStr">
        <is>
          <t>⚠ Manual erforderlich</t>
        </is>
      </c>
      <c r="E2190" s="11" t="inlineStr"/>
      <c r="F2190" s="11" t="n">
        <v>0</v>
      </c>
      <c r="G2190" s="11">
        <f>E2190-F2190</f>
        <v/>
      </c>
      <c r="H2190" s="11" t="n">
        <v/>
      </c>
      <c r="I2190" s="11" t="n">
        <v/>
      </c>
      <c r="J2190" s="11" t="n">
        <v/>
      </c>
      <c r="K2190" s="4" t="inlineStr">
        <is>
          <t>Stundensätze eingeben</t>
        </is>
      </c>
    </row>
    <row r="2191">
      <c r="A2191" s="4" t="inlineStr">
        <is>
          <t>5902.24 BSB-DFS-022-Tower-Leipzig-Halle-inkl-Betriebsgebäude</t>
        </is>
      </c>
      <c r="B2191" s="4" t="inlineStr">
        <is>
          <t>● BSB 2025 (aN)</t>
        </is>
      </c>
      <c r="C2191" s="4" t="inlineStr">
        <is>
          <t>Nachweis</t>
        </is>
      </c>
      <c r="D2191" s="10" t="inlineStr">
        <is>
          <t>⚠ Manual erforderlich</t>
        </is>
      </c>
      <c r="E2191" s="11" t="inlineStr"/>
      <c r="F2191" s="11" t="n">
        <v>0</v>
      </c>
      <c r="G2191" s="11">
        <f>E2191-F2191</f>
        <v/>
      </c>
      <c r="H2191" s="11" t="n">
        <v/>
      </c>
      <c r="I2191" s="11" t="n">
        <v/>
      </c>
      <c r="J2191" s="11" t="n">
        <v/>
      </c>
      <c r="K2191" s="4" t="inlineStr">
        <is>
          <t>Stundensätze eingeben</t>
        </is>
      </c>
    </row>
    <row r="2192">
      <c r="A2192" s="4" t="inlineStr">
        <is>
          <t>5902.25 BSB-DFS-023-Tower-Münster-Osnabrück-inkl-Betriebsgebäude</t>
        </is>
      </c>
      <c r="B2192" s="4" t="inlineStr">
        <is>
          <t>● BSB 2023 (a.N.)</t>
        </is>
      </c>
      <c r="C2192" s="4" t="inlineStr">
        <is>
          <t>Nachweis</t>
        </is>
      </c>
      <c r="D2192" s="10" t="inlineStr">
        <is>
          <t>⚠ Manual erforderlich</t>
        </is>
      </c>
      <c r="E2192" s="11" t="inlineStr"/>
      <c r="F2192" s="11" t="n">
        <v>0</v>
      </c>
      <c r="G2192" s="11">
        <f>E2192-F2192</f>
        <v/>
      </c>
      <c r="H2192" s="11" t="n">
        <v/>
      </c>
      <c r="I2192" s="11" t="n">
        <v/>
      </c>
      <c r="J2192" s="11" t="n">
        <v/>
      </c>
      <c r="K2192" s="4" t="inlineStr">
        <is>
          <t>Stundensätze eingeben</t>
        </is>
      </c>
    </row>
    <row r="2193">
      <c r="A2193" s="4" t="inlineStr">
        <is>
          <t>5902.25 BSB-DFS-023-Tower-Münster-Osnabrück-inkl-Betriebsgebäude</t>
        </is>
      </c>
      <c r="B2193" s="4" t="inlineStr">
        <is>
          <t>● BSB 2022 (auf Nachweis)</t>
        </is>
      </c>
      <c r="C2193" s="9" t="inlineStr">
        <is>
          <t>Unbekannt</t>
        </is>
      </c>
      <c r="D2193" s="10" t="inlineStr">
        <is>
          <t>⚠ Manual erforderlich</t>
        </is>
      </c>
      <c r="E2193" s="11" t="inlineStr"/>
      <c r="F2193" s="11" t="n">
        <v>0</v>
      </c>
      <c r="G2193" s="11">
        <f>E2193-F2193</f>
        <v/>
      </c>
      <c r="H2193" s="11" t="n">
        <v/>
      </c>
      <c r="I2193" s="11" t="n">
        <v/>
      </c>
      <c r="J2193" s="11" t="n">
        <v/>
      </c>
      <c r="K2193" s="4" t="inlineStr">
        <is>
          <t>Abrechnungsart wählen; Stundensätze eingeben</t>
        </is>
      </c>
    </row>
    <row r="2194">
      <c r="A2194" s="4" t="inlineStr">
        <is>
          <t>5902.25 BSB-DFS-023-Tower-Münster-Osnabrück-inkl-Betriebsgebäude</t>
        </is>
      </c>
      <c r="B2194" s="4" t="inlineStr">
        <is>
          <t>● Brandschutzbeauftragter 2021 (auf Nachweis)</t>
        </is>
      </c>
      <c r="C2194" s="9" t="inlineStr">
        <is>
          <t>Unbekannt</t>
        </is>
      </c>
      <c r="D2194" s="10" t="inlineStr">
        <is>
          <t>⚠ Manual erforderlich</t>
        </is>
      </c>
      <c r="E2194" s="11" t="inlineStr"/>
      <c r="F2194" s="11" t="n">
        <v>0</v>
      </c>
      <c r="G2194" s="11">
        <f>E2194-F2194</f>
        <v/>
      </c>
      <c r="H2194" s="11" t="n">
        <v/>
      </c>
      <c r="I2194" s="11" t="n">
        <v/>
      </c>
      <c r="J2194" s="11" t="n">
        <v/>
      </c>
      <c r="K2194" s="4" t="inlineStr">
        <is>
          <t>Abrechnungsart wählen; Stundensätze eingeben</t>
        </is>
      </c>
    </row>
    <row r="2195">
      <c r="A2195" s="4" t="inlineStr">
        <is>
          <t>5902.25 BSB-DFS-023-Tower-Münster-Osnabrück-inkl-Betriebsgebäude</t>
        </is>
      </c>
      <c r="B2195" s="4" t="inlineStr">
        <is>
          <t>● BSB 2024 (a.N.)</t>
        </is>
      </c>
      <c r="C2195" s="4" t="inlineStr">
        <is>
          <t>Nachweis</t>
        </is>
      </c>
      <c r="D2195" s="10" t="inlineStr">
        <is>
          <t>⚠ Manual erforderlich</t>
        </is>
      </c>
      <c r="E2195" s="11" t="inlineStr"/>
      <c r="F2195" s="11" t="n">
        <v>0</v>
      </c>
      <c r="G2195" s="11">
        <f>E2195-F2195</f>
        <v/>
      </c>
      <c r="H2195" s="11" t="n">
        <v/>
      </c>
      <c r="I2195" s="11" t="n">
        <v/>
      </c>
      <c r="J2195" s="11" t="n">
        <v/>
      </c>
      <c r="K2195" s="4" t="inlineStr">
        <is>
          <t>Stundensätze eingeben</t>
        </is>
      </c>
    </row>
    <row r="2196">
      <c r="A2196" s="4" t="inlineStr">
        <is>
          <t>5902.25 BSB-DFS-023-Tower-Münster-Osnabrück-inkl-Betriebsgebäude</t>
        </is>
      </c>
      <c r="B2196" s="4" t="inlineStr">
        <is>
          <t>● BSB 2025 (aN)</t>
        </is>
      </c>
      <c r="C2196" s="4" t="inlineStr">
        <is>
          <t>Nachweis</t>
        </is>
      </c>
      <c r="D2196" s="10" t="inlineStr">
        <is>
          <t>⚠ Manual erforderlich</t>
        </is>
      </c>
      <c r="E2196" s="11" t="inlineStr"/>
      <c r="F2196" s="11" t="n">
        <v>0</v>
      </c>
      <c r="G2196" s="11">
        <f>E2196-F2196</f>
        <v/>
      </c>
      <c r="H2196" s="11" t="n">
        <v/>
      </c>
      <c r="I2196" s="11" t="n">
        <v/>
      </c>
      <c r="J2196" s="11" t="n">
        <v/>
      </c>
      <c r="K2196" s="4" t="inlineStr">
        <is>
          <t>Stundensätze eingeben</t>
        </is>
      </c>
    </row>
    <row r="2197">
      <c r="A2197" s="4" t="inlineStr">
        <is>
          <t>5902.26 BSB-DFS-025-Tower-Saarbrücken-inkl-Betriebsgebäude</t>
        </is>
      </c>
      <c r="B2197" s="4" t="inlineStr">
        <is>
          <t>● Brandschutzbeauftragter 2021 (auf Nachweis)</t>
        </is>
      </c>
      <c r="C2197" s="9" t="inlineStr">
        <is>
          <t>Unbekannt</t>
        </is>
      </c>
      <c r="D2197" s="10" t="inlineStr">
        <is>
          <t>⚠ Manual erforderlich</t>
        </is>
      </c>
      <c r="E2197" s="11" t="inlineStr"/>
      <c r="F2197" s="11" t="n">
        <v>0</v>
      </c>
      <c r="G2197" s="11">
        <f>E2197-F2197</f>
        <v/>
      </c>
      <c r="H2197" s="11" t="n">
        <v/>
      </c>
      <c r="I2197" s="11" t="n">
        <v/>
      </c>
      <c r="J2197" s="11" t="n">
        <v/>
      </c>
      <c r="K2197" s="4" t="inlineStr">
        <is>
          <t>Abrechnungsart wählen; Stundensätze eingeben</t>
        </is>
      </c>
    </row>
    <row r="2198">
      <c r="A2198" s="4" t="inlineStr">
        <is>
          <t>5902.26 BSB-DFS-025-Tower-Saarbrücken-inkl-Betriebsgebäude</t>
        </is>
      </c>
      <c r="B2198" s="4" t="inlineStr">
        <is>
          <t>● Brandschutzbeauftragter 2024 (auf Nachweis)</t>
        </is>
      </c>
      <c r="C2198" s="9" t="inlineStr">
        <is>
          <t>Unbekannt</t>
        </is>
      </c>
      <c r="D2198" s="10" t="inlineStr">
        <is>
          <t>⚠ Manual erforderlich</t>
        </is>
      </c>
      <c r="E2198" s="11" t="inlineStr"/>
      <c r="F2198" s="11" t="n">
        <v>0</v>
      </c>
      <c r="G2198" s="11">
        <f>E2198-F2198</f>
        <v/>
      </c>
      <c r="H2198" s="11" t="n">
        <v/>
      </c>
      <c r="I2198" s="11" t="n">
        <v/>
      </c>
      <c r="J2198" s="11" t="n">
        <v/>
      </c>
      <c r="K2198" s="4" t="inlineStr">
        <is>
          <t>Abrechnungsart wählen; Stundensätze eingeben</t>
        </is>
      </c>
    </row>
    <row r="2199">
      <c r="A2199" s="4" t="inlineStr">
        <is>
          <t>5902.27 BSB-DFS-027-Büromodulanlage-Langen</t>
        </is>
      </c>
      <c r="B2199" s="4" t="inlineStr">
        <is>
          <t>● BSB 2023 (a.N.)</t>
        </is>
      </c>
      <c r="C2199" s="4" t="inlineStr">
        <is>
          <t>Nachweis</t>
        </is>
      </c>
      <c r="D2199" s="10" t="inlineStr">
        <is>
          <t>⚠ Manual erforderlich</t>
        </is>
      </c>
      <c r="E2199" s="11" t="inlineStr"/>
      <c r="F2199" s="11" t="n">
        <v>0</v>
      </c>
      <c r="G2199" s="11">
        <f>E2199-F2199</f>
        <v/>
      </c>
      <c r="H2199" s="11" t="n">
        <v/>
      </c>
      <c r="I2199" s="11" t="n">
        <v/>
      </c>
      <c r="J2199" s="11" t="n">
        <v/>
      </c>
      <c r="K2199" s="4" t="inlineStr">
        <is>
          <t>Stundensätze eingeben</t>
        </is>
      </c>
    </row>
    <row r="2200">
      <c r="A2200" s="4" t="inlineStr">
        <is>
          <t>5902.27 BSB-DFS-027-Büromodulanlage-Langen</t>
        </is>
      </c>
      <c r="B2200" s="4" t="inlineStr">
        <is>
          <t>● BSB 2022 (auf Nachweis)</t>
        </is>
      </c>
      <c r="C2200" s="9" t="inlineStr">
        <is>
          <t>Unbekannt</t>
        </is>
      </c>
      <c r="D2200" s="10" t="inlineStr">
        <is>
          <t>⚠ Manual erforderlich</t>
        </is>
      </c>
      <c r="E2200" s="11" t="inlineStr"/>
      <c r="F2200" s="11" t="n">
        <v>0</v>
      </c>
      <c r="G2200" s="11">
        <f>E2200-F2200</f>
        <v/>
      </c>
      <c r="H2200" s="11" t="n">
        <v/>
      </c>
      <c r="I2200" s="11" t="n">
        <v/>
      </c>
      <c r="J2200" s="11" t="n">
        <v/>
      </c>
      <c r="K2200" s="4" t="inlineStr">
        <is>
          <t>Abrechnungsart wählen; Stundensätze eingeben</t>
        </is>
      </c>
    </row>
    <row r="2201">
      <c r="A2201" s="4" t="inlineStr">
        <is>
          <t>5902.27 BSB-DFS-027-Büromodulanlage-Langen</t>
        </is>
      </c>
      <c r="B2201" s="4" t="inlineStr">
        <is>
          <t>● Brandschutzbeauftragter 2021 (auf Nachweis)</t>
        </is>
      </c>
      <c r="C2201" s="9" t="inlineStr">
        <is>
          <t>Unbekannt</t>
        </is>
      </c>
      <c r="D2201" s="10" t="inlineStr">
        <is>
          <t>⚠ Manual erforderlich</t>
        </is>
      </c>
      <c r="E2201" s="11" t="inlineStr"/>
      <c r="F2201" s="11" t="n">
        <v>0</v>
      </c>
      <c r="G2201" s="11">
        <f>E2201-F2201</f>
        <v/>
      </c>
      <c r="H2201" s="11" t="n">
        <v/>
      </c>
      <c r="I2201" s="11" t="n">
        <v/>
      </c>
      <c r="J2201" s="11" t="n">
        <v/>
      </c>
      <c r="K2201" s="4" t="inlineStr">
        <is>
          <t>Abrechnungsart wählen; Stundensätze eingeben</t>
        </is>
      </c>
    </row>
    <row r="2202">
      <c r="A2202" s="4" t="inlineStr">
        <is>
          <t>5902.27 BSB-DFS-027-Büromodulanlage-Langen</t>
        </is>
      </c>
      <c r="B2202" s="4" t="inlineStr">
        <is>
          <t>● Mängel-/Maßnahmeneinarbeitung FOT (auf Nachweis)</t>
        </is>
      </c>
      <c r="C2202" s="9" t="inlineStr">
        <is>
          <t>Unbekannt</t>
        </is>
      </c>
      <c r="D2202" s="10" t="inlineStr">
        <is>
          <t>⚠ Manual erforderlich</t>
        </is>
      </c>
      <c r="E2202" s="11" t="inlineStr"/>
      <c r="F2202" s="11" t="n">
        <v>0</v>
      </c>
      <c r="G2202" s="11">
        <f>E2202-F2202</f>
        <v/>
      </c>
      <c r="H2202" s="11" t="n">
        <v/>
      </c>
      <c r="I2202" s="11" t="n">
        <v/>
      </c>
      <c r="J2202" s="11" t="n">
        <v/>
      </c>
      <c r="K2202" s="4" t="inlineStr">
        <is>
          <t>Abrechnungsart wählen; Stundensätze eingeben</t>
        </is>
      </c>
    </row>
    <row r="2203">
      <c r="A2203" s="4" t="inlineStr">
        <is>
          <t>5902.27 BSB-DFS-027-Büromodulanlage-Langen</t>
        </is>
      </c>
      <c r="B2203" s="4" t="inlineStr">
        <is>
          <t>● BSB 2024 (a.N.)</t>
        </is>
      </c>
      <c r="C2203" s="4" t="inlineStr">
        <is>
          <t>Nachweis</t>
        </is>
      </c>
      <c r="D2203" s="10" t="inlineStr">
        <is>
          <t>⚠ Manual erforderlich</t>
        </is>
      </c>
      <c r="E2203" s="11" t="inlineStr"/>
      <c r="F2203" s="11" t="n">
        <v>0</v>
      </c>
      <c r="G2203" s="11">
        <f>E2203-F2203</f>
        <v/>
      </c>
      <c r="H2203" s="11" t="n">
        <v/>
      </c>
      <c r="I2203" s="11" t="n">
        <v/>
      </c>
      <c r="J2203" s="11" t="n">
        <v/>
      </c>
      <c r="K2203" s="4" t="inlineStr">
        <is>
          <t>Stundensätze eingeben</t>
        </is>
      </c>
    </row>
    <row r="2204">
      <c r="A2204" s="4" t="inlineStr">
        <is>
          <t>5902.27 BSB-DFS-027-Büromodulanlage-Langen</t>
        </is>
      </c>
      <c r="B2204" s="4" t="inlineStr">
        <is>
          <t>● BSB 2025 (aN)</t>
        </is>
      </c>
      <c r="C2204" s="4" t="inlineStr">
        <is>
          <t>Nachweis</t>
        </is>
      </c>
      <c r="D2204" s="10" t="inlineStr">
        <is>
          <t>⚠ Manual erforderlich</t>
        </is>
      </c>
      <c r="E2204" s="11" t="inlineStr"/>
      <c r="F2204" s="11" t="n">
        <v>0</v>
      </c>
      <c r="G2204" s="11">
        <f>E2204-F2204</f>
        <v/>
      </c>
      <c r="H2204" s="11" t="n">
        <v/>
      </c>
      <c r="I2204" s="11" t="n">
        <v/>
      </c>
      <c r="J2204" s="11" t="n">
        <v/>
      </c>
      <c r="K2204" s="4" t="inlineStr">
        <is>
          <t>Stundensätze eingeben</t>
        </is>
      </c>
    </row>
    <row r="2205">
      <c r="A2205" s="4" t="inlineStr">
        <is>
          <t>5902.28 BSB-DFS-028-Parkhaus-P1-Langen</t>
        </is>
      </c>
      <c r="B2205" s="4" t="inlineStr">
        <is>
          <t>● BSB 2021 (auf Nachweis)</t>
        </is>
      </c>
      <c r="C2205" s="9" t="inlineStr">
        <is>
          <t>Unbekannt</t>
        </is>
      </c>
      <c r="D2205" s="10" t="inlineStr">
        <is>
          <t>⚠ Manual erforderlich</t>
        </is>
      </c>
      <c r="E2205" s="11" t="inlineStr"/>
      <c r="F2205" s="11" t="n">
        <v>0</v>
      </c>
      <c r="G2205" s="11">
        <f>E2205-F2205</f>
        <v/>
      </c>
      <c r="H2205" s="11" t="n">
        <v/>
      </c>
      <c r="I2205" s="11" t="n">
        <v/>
      </c>
      <c r="J2205" s="11" t="n">
        <v/>
      </c>
      <c r="K2205" s="4" t="inlineStr">
        <is>
          <t>Abrechnungsart wählen; Stundensätze eingeben</t>
        </is>
      </c>
    </row>
    <row r="2206">
      <c r="A2206" s="4" t="inlineStr">
        <is>
          <t>5902.28 BSB-DFS-028-Parkhaus-P1-Langen</t>
        </is>
      </c>
      <c r="B2206" s="4" t="inlineStr">
        <is>
          <t>● BSB 2022 (auf Nachweis)</t>
        </is>
      </c>
      <c r="C2206" s="9" t="inlineStr">
        <is>
          <t>Unbekannt</t>
        </is>
      </c>
      <c r="D2206" s="10" t="inlineStr">
        <is>
          <t>⚠ Manual erforderlich</t>
        </is>
      </c>
      <c r="E2206" s="11" t="inlineStr"/>
      <c r="F2206" s="11" t="n">
        <v>0</v>
      </c>
      <c r="G2206" s="11">
        <f>E2206-F2206</f>
        <v/>
      </c>
      <c r="H2206" s="11" t="n">
        <v/>
      </c>
      <c r="I2206" s="11" t="n">
        <v/>
      </c>
      <c r="J2206" s="11" t="n">
        <v/>
      </c>
      <c r="K2206" s="4" t="inlineStr">
        <is>
          <t>Abrechnungsart wählen; Stundensätze eingeben</t>
        </is>
      </c>
    </row>
    <row r="2207">
      <c r="A2207" s="4" t="inlineStr">
        <is>
          <t>5902.28 BSB-DFS-028-Parkhaus-P1-Langen</t>
        </is>
      </c>
      <c r="B2207" s="4" t="inlineStr">
        <is>
          <t>● BSB 2023 (a.N.)</t>
        </is>
      </c>
      <c r="C2207" s="4" t="inlineStr">
        <is>
          <t>Nachweis</t>
        </is>
      </c>
      <c r="D2207" s="10" t="inlineStr">
        <is>
          <t>⚠ Manual erforderlich</t>
        </is>
      </c>
      <c r="E2207" s="11" t="inlineStr"/>
      <c r="F2207" s="11" t="n">
        <v>0</v>
      </c>
      <c r="G2207" s="11">
        <f>E2207-F2207</f>
        <v/>
      </c>
      <c r="H2207" s="11" t="n">
        <v/>
      </c>
      <c r="I2207" s="11" t="n">
        <v/>
      </c>
      <c r="J2207" s="11" t="n">
        <v/>
      </c>
      <c r="K2207" s="4" t="inlineStr">
        <is>
          <t>Stundensätze eingeben</t>
        </is>
      </c>
    </row>
    <row r="2208">
      <c r="A2208" s="4" t="inlineStr">
        <is>
          <t>5902.28 BSB-DFS-028-Parkhaus-P1-Langen</t>
        </is>
      </c>
      <c r="B2208" s="4" t="inlineStr">
        <is>
          <t>● Mängel-/Maßnahmeneinarbeitung FOT (auf Nachweis)</t>
        </is>
      </c>
      <c r="C2208" s="9" t="inlineStr">
        <is>
          <t>Unbekannt</t>
        </is>
      </c>
      <c r="D2208" s="10" t="inlineStr">
        <is>
          <t>⚠ Manual erforderlich</t>
        </is>
      </c>
      <c r="E2208" s="11" t="inlineStr"/>
      <c r="F2208" s="11" t="n">
        <v>0</v>
      </c>
      <c r="G2208" s="11">
        <f>E2208-F2208</f>
        <v/>
      </c>
      <c r="H2208" s="11" t="n">
        <v/>
      </c>
      <c r="I2208" s="11" t="n">
        <v/>
      </c>
      <c r="J2208" s="11" t="n">
        <v/>
      </c>
      <c r="K2208" s="4" t="inlineStr">
        <is>
          <t>Abrechnungsart wählen; Stundensätze eingeben</t>
        </is>
      </c>
    </row>
    <row r="2209">
      <c r="A2209" s="4" t="inlineStr">
        <is>
          <t>5902.28 BSB-DFS-028-Parkhaus-P1-Langen</t>
        </is>
      </c>
      <c r="B2209" s="4" t="inlineStr">
        <is>
          <t>● BSB 2024 (a.N.)</t>
        </is>
      </c>
      <c r="C2209" s="4" t="inlineStr">
        <is>
          <t>Nachweis</t>
        </is>
      </c>
      <c r="D2209" s="10" t="inlineStr">
        <is>
          <t>⚠ Manual erforderlich</t>
        </is>
      </c>
      <c r="E2209" s="11" t="inlineStr"/>
      <c r="F2209" s="11" t="n">
        <v>0</v>
      </c>
      <c r="G2209" s="11">
        <f>E2209-F2209</f>
        <v/>
      </c>
      <c r="H2209" s="11" t="n">
        <v/>
      </c>
      <c r="I2209" s="11" t="n">
        <v/>
      </c>
      <c r="J2209" s="11" t="n">
        <v/>
      </c>
      <c r="K2209" s="4" t="inlineStr">
        <is>
          <t>Stundensätze eingeben</t>
        </is>
      </c>
    </row>
    <row r="2210">
      <c r="A2210" s="4" t="inlineStr">
        <is>
          <t>5902.28 BSB-DFS-028-Parkhaus-P1-Langen</t>
        </is>
      </c>
      <c r="B2210" s="4" t="inlineStr">
        <is>
          <t>● BSB 2025 (aN)</t>
        </is>
      </c>
      <c r="C2210" s="4" t="inlineStr">
        <is>
          <t>Nachweis</t>
        </is>
      </c>
      <c r="D2210" s="10" t="inlineStr">
        <is>
          <t>⚠ Manual erforderlich</t>
        </is>
      </c>
      <c r="E2210" s="11" t="inlineStr"/>
      <c r="F2210" s="11" t="n">
        <v>0</v>
      </c>
      <c r="G2210" s="11">
        <f>E2210-F2210</f>
        <v/>
      </c>
      <c r="H2210" s="11" t="n">
        <v/>
      </c>
      <c r="I2210" s="11" t="n">
        <v/>
      </c>
      <c r="J2210" s="11" t="n">
        <v/>
      </c>
      <c r="K2210" s="4" t="inlineStr">
        <is>
          <t>Stundensätze eingeben</t>
        </is>
      </c>
    </row>
    <row r="2211">
      <c r="A2211" s="4" t="inlineStr">
        <is>
          <t>5902.29 BSB-DFS-NAT029-Parkhaus-P3-Langen</t>
        </is>
      </c>
      <c r="B2211" s="4" t="inlineStr">
        <is>
          <t>● BSB 2021 (auf Nachweis)</t>
        </is>
      </c>
      <c r="C2211" s="9" t="inlineStr">
        <is>
          <t>Unbekannt</t>
        </is>
      </c>
      <c r="D2211" s="10" t="inlineStr">
        <is>
          <t>⚠ Manual erforderlich</t>
        </is>
      </c>
      <c r="E2211" s="11" t="inlineStr"/>
      <c r="F2211" s="11" t="n">
        <v>0</v>
      </c>
      <c r="G2211" s="11">
        <f>E2211-F2211</f>
        <v/>
      </c>
      <c r="H2211" s="11" t="n">
        <v/>
      </c>
      <c r="I2211" s="11" t="n">
        <v/>
      </c>
      <c r="J2211" s="11" t="n">
        <v/>
      </c>
      <c r="K2211" s="4" t="inlineStr">
        <is>
          <t>Abrechnungsart wählen; Stundensätze eingeben</t>
        </is>
      </c>
    </row>
    <row r="2212">
      <c r="A2212" s="4" t="inlineStr">
        <is>
          <t>5902.29 BSB-DFS-NAT029-Parkhaus-P3-Langen</t>
        </is>
      </c>
      <c r="B2212" s="4" t="inlineStr">
        <is>
          <t>● BSB 2022 (auf Nachweis)</t>
        </is>
      </c>
      <c r="C2212" s="9" t="inlineStr">
        <is>
          <t>Unbekannt</t>
        </is>
      </c>
      <c r="D2212" s="10" t="inlineStr">
        <is>
          <t>⚠ Manual erforderlich</t>
        </is>
      </c>
      <c r="E2212" s="11" t="inlineStr"/>
      <c r="F2212" s="11" t="n">
        <v>0</v>
      </c>
      <c r="G2212" s="11">
        <f>E2212-F2212</f>
        <v/>
      </c>
      <c r="H2212" s="11" t="n">
        <v/>
      </c>
      <c r="I2212" s="11" t="n">
        <v/>
      </c>
      <c r="J2212" s="11" t="n">
        <v/>
      </c>
      <c r="K2212" s="4" t="inlineStr">
        <is>
          <t>Abrechnungsart wählen; Stundensätze eingeben</t>
        </is>
      </c>
    </row>
    <row r="2213">
      <c r="A2213" s="4" t="inlineStr">
        <is>
          <t>5902.29 BSB-DFS-NAT029-Parkhaus-P3-Langen</t>
        </is>
      </c>
      <c r="B2213" s="4" t="inlineStr">
        <is>
          <t>● BSB 2023 (a.N.)</t>
        </is>
      </c>
      <c r="C2213" s="4" t="inlineStr">
        <is>
          <t>Nachweis</t>
        </is>
      </c>
      <c r="D2213" s="10" t="inlineStr">
        <is>
          <t>⚠ Manual erforderlich</t>
        </is>
      </c>
      <c r="E2213" s="11" t="inlineStr"/>
      <c r="F2213" s="11" t="n">
        <v>0</v>
      </c>
      <c r="G2213" s="11">
        <f>E2213-F2213</f>
        <v/>
      </c>
      <c r="H2213" s="11" t="n">
        <v/>
      </c>
      <c r="I2213" s="11" t="n">
        <v/>
      </c>
      <c r="J2213" s="11" t="n">
        <v/>
      </c>
      <c r="K2213" s="4" t="inlineStr">
        <is>
          <t>Stundensätze eingeben</t>
        </is>
      </c>
    </row>
    <row r="2214">
      <c r="A2214" s="4" t="inlineStr">
        <is>
          <t>5902.29 BSB-DFS-NAT029-Parkhaus-P3-Langen</t>
        </is>
      </c>
      <c r="B2214" s="4" t="inlineStr">
        <is>
          <t>● Mängel-/Maßnahmeneinarbeitung FOT (auf Nachweis)</t>
        </is>
      </c>
      <c r="C2214" s="9" t="inlineStr">
        <is>
          <t>Unbekannt</t>
        </is>
      </c>
      <c r="D2214" s="10" t="inlineStr">
        <is>
          <t>⚠ Manual erforderlich</t>
        </is>
      </c>
      <c r="E2214" s="11" t="inlineStr"/>
      <c r="F2214" s="11" t="n">
        <v>0</v>
      </c>
      <c r="G2214" s="11">
        <f>E2214-F2214</f>
        <v/>
      </c>
      <c r="H2214" s="11" t="n">
        <v/>
      </c>
      <c r="I2214" s="11" t="n">
        <v/>
      </c>
      <c r="J2214" s="11" t="n">
        <v/>
      </c>
      <c r="K2214" s="4" t="inlineStr">
        <is>
          <t>Abrechnungsart wählen; Stundensätze eingeben</t>
        </is>
      </c>
    </row>
    <row r="2215">
      <c r="A2215" s="4" t="inlineStr">
        <is>
          <t>5902.29 BSB-DFS-NAT029-Parkhaus-P3-Langen</t>
        </is>
      </c>
      <c r="B2215" s="4" t="inlineStr">
        <is>
          <t>● BSB 2024 (a.N.)</t>
        </is>
      </c>
      <c r="C2215" s="4" t="inlineStr">
        <is>
          <t>Nachweis</t>
        </is>
      </c>
      <c r="D2215" s="10" t="inlineStr">
        <is>
          <t>⚠ Manual erforderlich</t>
        </is>
      </c>
      <c r="E2215" s="11" t="inlineStr"/>
      <c r="F2215" s="11" t="n">
        <v>0</v>
      </c>
      <c r="G2215" s="11">
        <f>E2215-F2215</f>
        <v/>
      </c>
      <c r="H2215" s="11" t="n">
        <v/>
      </c>
      <c r="I2215" s="11" t="n">
        <v/>
      </c>
      <c r="J2215" s="11" t="n">
        <v/>
      </c>
      <c r="K2215" s="4" t="inlineStr">
        <is>
          <t>Stundensätze eingeben</t>
        </is>
      </c>
    </row>
    <row r="2216">
      <c r="A2216" s="4" t="inlineStr">
        <is>
          <t>5902.29 BSB-DFS-NAT029-Parkhaus-P3-Langen</t>
        </is>
      </c>
      <c r="B2216" s="4" t="inlineStr">
        <is>
          <t>● BSB 2025 (aN)</t>
        </is>
      </c>
      <c r="C2216" s="4" t="inlineStr">
        <is>
          <t>Nachweis</t>
        </is>
      </c>
      <c r="D2216" s="10" t="inlineStr">
        <is>
          <t>⚠ Manual erforderlich</t>
        </is>
      </c>
      <c r="E2216" s="11" t="inlineStr"/>
      <c r="F2216" s="11" t="n">
        <v>0</v>
      </c>
      <c r="G2216" s="11">
        <f>E2216-F2216</f>
        <v/>
      </c>
      <c r="H2216" s="11" t="n">
        <v/>
      </c>
      <c r="I2216" s="11" t="n">
        <v/>
      </c>
      <c r="J2216" s="11" t="n">
        <v/>
      </c>
      <c r="K2216" s="4" t="inlineStr">
        <is>
          <t>Stundensätze eingeben</t>
        </is>
      </c>
    </row>
    <row r="2217">
      <c r="A2217" s="4" t="inlineStr">
        <is>
          <t>5902.30 BSB-DFS-030-Radarstation-Köln-Bonn</t>
        </is>
      </c>
      <c r="B2217" s="4" t="inlineStr">
        <is>
          <t>● BSB 2023 (a.N.)</t>
        </is>
      </c>
      <c r="C2217" s="4" t="inlineStr">
        <is>
          <t>Nachweis</t>
        </is>
      </c>
      <c r="D2217" s="10" t="inlineStr">
        <is>
          <t>⚠ Manual erforderlich</t>
        </is>
      </c>
      <c r="E2217" s="11" t="inlineStr"/>
      <c r="F2217" s="11" t="n">
        <v>0</v>
      </c>
      <c r="G2217" s="11">
        <f>E2217-F2217</f>
        <v/>
      </c>
      <c r="H2217" s="11" t="n">
        <v/>
      </c>
      <c r="I2217" s="11" t="n">
        <v/>
      </c>
      <c r="J2217" s="11" t="n">
        <v/>
      </c>
      <c r="K2217" s="4" t="inlineStr">
        <is>
          <t>Stundensätze eingeben</t>
        </is>
      </c>
    </row>
    <row r="2218">
      <c r="A2218" s="4" t="inlineStr">
        <is>
          <t>5902.30 BSB-DFS-030-Radarstation-Köln-Bonn</t>
        </is>
      </c>
      <c r="B2218" s="4" t="inlineStr">
        <is>
          <t>● BSB 2022 (auf Nachweis)</t>
        </is>
      </c>
      <c r="C2218" s="9" t="inlineStr">
        <is>
          <t>Unbekannt</t>
        </is>
      </c>
      <c r="D2218" s="10" t="inlineStr">
        <is>
          <t>⚠ Manual erforderlich</t>
        </is>
      </c>
      <c r="E2218" s="11" t="inlineStr"/>
      <c r="F2218" s="11" t="n">
        <v>0</v>
      </c>
      <c r="G2218" s="11">
        <f>E2218-F2218</f>
        <v/>
      </c>
      <c r="H2218" s="11" t="n">
        <v/>
      </c>
      <c r="I2218" s="11" t="n">
        <v/>
      </c>
      <c r="J2218" s="11" t="n">
        <v/>
      </c>
      <c r="K2218" s="4" t="inlineStr">
        <is>
          <t>Abrechnungsart wählen; Stundensätze eingeben</t>
        </is>
      </c>
    </row>
    <row r="2219">
      <c r="A2219" s="4" t="inlineStr">
        <is>
          <t>5902.30 BSB-DFS-030-Radarstation-Köln-Bonn</t>
        </is>
      </c>
      <c r="B2219" s="4" t="inlineStr">
        <is>
          <t>● Brandschutzbeauftragter 2021 (auf Nachweis)</t>
        </is>
      </c>
      <c r="C2219" s="9" t="inlineStr">
        <is>
          <t>Unbekannt</t>
        </is>
      </c>
      <c r="D2219" s="10" t="inlineStr">
        <is>
          <t>⚠ Manual erforderlich</t>
        </is>
      </c>
      <c r="E2219" s="11" t="inlineStr"/>
      <c r="F2219" s="11" t="n">
        <v>0</v>
      </c>
      <c r="G2219" s="11">
        <f>E2219-F2219</f>
        <v/>
      </c>
      <c r="H2219" s="11" t="n">
        <v/>
      </c>
      <c r="I2219" s="11" t="n">
        <v/>
      </c>
      <c r="J2219" s="11" t="n">
        <v/>
      </c>
      <c r="K2219" s="4" t="inlineStr">
        <is>
          <t>Abrechnungsart wählen; Stundensätze eingeben</t>
        </is>
      </c>
    </row>
    <row r="2220">
      <c r="A2220" s="4" t="inlineStr">
        <is>
          <t>5902.30 BSB-DFS-030-Radarstation-Köln-Bonn</t>
        </is>
      </c>
      <c r="B2220" s="4" t="inlineStr">
        <is>
          <t>● BSB 2024 (a.N.)</t>
        </is>
      </c>
      <c r="C2220" s="4" t="inlineStr">
        <is>
          <t>Nachweis</t>
        </is>
      </c>
      <c r="D2220" s="10" t="inlineStr">
        <is>
          <t>⚠ Manual erforderlich</t>
        </is>
      </c>
      <c r="E2220" s="11" t="inlineStr"/>
      <c r="F2220" s="11" t="n">
        <v>0</v>
      </c>
      <c r="G2220" s="11">
        <f>E2220-F2220</f>
        <v/>
      </c>
      <c r="H2220" s="11" t="n">
        <v/>
      </c>
      <c r="I2220" s="11" t="n">
        <v/>
      </c>
      <c r="J2220" s="11" t="n">
        <v/>
      </c>
      <c r="K2220" s="4" t="inlineStr">
        <is>
          <t>Stundensätze eingeben</t>
        </is>
      </c>
    </row>
    <row r="2221">
      <c r="A2221" s="4" t="inlineStr">
        <is>
          <t>5902.30 BSB-DFS-030-Radarstation-Köln-Bonn</t>
        </is>
      </c>
      <c r="B2221" s="4" t="inlineStr">
        <is>
          <t>● BSB 2025 (aN)</t>
        </is>
      </c>
      <c r="C2221" s="4" t="inlineStr">
        <is>
          <t>Nachweis</t>
        </is>
      </c>
      <c r="D2221" s="10" t="inlineStr">
        <is>
          <t>⚠ Manual erforderlich</t>
        </is>
      </c>
      <c r="E2221" s="11" t="inlineStr"/>
      <c r="F2221" s="11" t="n">
        <v>0</v>
      </c>
      <c r="G2221" s="11">
        <f>E2221-F2221</f>
        <v/>
      </c>
      <c r="H2221" s="11" t="n">
        <v/>
      </c>
      <c r="I2221" s="11" t="n">
        <v/>
      </c>
      <c r="J2221" s="11" t="n">
        <v/>
      </c>
      <c r="K2221" s="4" t="inlineStr">
        <is>
          <t>Stundensätze eingeben</t>
        </is>
      </c>
    </row>
    <row r="2222">
      <c r="A2222" s="4" t="inlineStr">
        <is>
          <t>5902.31 BSB-DFS-031-Radarstation-Düsseldorf</t>
        </is>
      </c>
      <c r="B2222" s="4" t="inlineStr">
        <is>
          <t>● BSB 2023 (a.N.)</t>
        </is>
      </c>
      <c r="C2222" s="4" t="inlineStr">
        <is>
          <t>Nachweis</t>
        </is>
      </c>
      <c r="D2222" s="10" t="inlineStr">
        <is>
          <t>⚠ Manual erforderlich</t>
        </is>
      </c>
      <c r="E2222" s="11" t="inlineStr"/>
      <c r="F2222" s="11" t="n">
        <v>0</v>
      </c>
      <c r="G2222" s="11">
        <f>E2222-F2222</f>
        <v/>
      </c>
      <c r="H2222" s="11" t="n">
        <v/>
      </c>
      <c r="I2222" s="11" t="n">
        <v/>
      </c>
      <c r="J2222" s="11" t="n">
        <v/>
      </c>
      <c r="K2222" s="4" t="inlineStr">
        <is>
          <t>Stundensätze eingeben</t>
        </is>
      </c>
    </row>
    <row r="2223">
      <c r="A2223" s="4" t="inlineStr">
        <is>
          <t>5902.31 BSB-DFS-031-Radarstation-Düsseldorf</t>
        </is>
      </c>
      <c r="B2223" s="4" t="inlineStr">
        <is>
          <t>● BSB 2022 (auf Nachweis)</t>
        </is>
      </c>
      <c r="C2223" s="9" t="inlineStr">
        <is>
          <t>Unbekannt</t>
        </is>
      </c>
      <c r="D2223" s="10" t="inlineStr">
        <is>
          <t>⚠ Manual erforderlich</t>
        </is>
      </c>
      <c r="E2223" s="11" t="inlineStr"/>
      <c r="F2223" s="11" t="n">
        <v>0</v>
      </c>
      <c r="G2223" s="11">
        <f>E2223-F2223</f>
        <v/>
      </c>
      <c r="H2223" s="11" t="n">
        <v/>
      </c>
      <c r="I2223" s="11" t="n">
        <v/>
      </c>
      <c r="J2223" s="11" t="n">
        <v/>
      </c>
      <c r="K2223" s="4" t="inlineStr">
        <is>
          <t>Abrechnungsart wählen; Stundensätze eingeben</t>
        </is>
      </c>
    </row>
    <row r="2224">
      <c r="A2224" s="4" t="inlineStr">
        <is>
          <t>5902.31 BSB-DFS-031-Radarstation-Düsseldorf</t>
        </is>
      </c>
      <c r="B2224" s="4" t="inlineStr">
        <is>
          <t>● Brandschutzbeauftragter 2021 (auf Nachweis)</t>
        </is>
      </c>
      <c r="C2224" s="9" t="inlineStr">
        <is>
          <t>Unbekannt</t>
        </is>
      </c>
      <c r="D2224" s="10" t="inlineStr">
        <is>
          <t>⚠ Manual erforderlich</t>
        </is>
      </c>
      <c r="E2224" s="11" t="inlineStr"/>
      <c r="F2224" s="11" t="n">
        <v>0</v>
      </c>
      <c r="G2224" s="11">
        <f>E2224-F2224</f>
        <v/>
      </c>
      <c r="H2224" s="11" t="n">
        <v/>
      </c>
      <c r="I2224" s="11" t="n">
        <v/>
      </c>
      <c r="J2224" s="11" t="n">
        <v/>
      </c>
      <c r="K2224" s="4" t="inlineStr">
        <is>
          <t>Abrechnungsart wählen; Stundensätze eingeben</t>
        </is>
      </c>
    </row>
    <row r="2225">
      <c r="A2225" s="4" t="inlineStr">
        <is>
          <t>5902.31 BSB-DFS-031-Radarstation-Düsseldorf</t>
        </is>
      </c>
      <c r="B2225" s="4" t="inlineStr">
        <is>
          <t>● BSB 2024 (a.N.)</t>
        </is>
      </c>
      <c r="C2225" s="4" t="inlineStr">
        <is>
          <t>Nachweis</t>
        </is>
      </c>
      <c r="D2225" s="10" t="inlineStr">
        <is>
          <t>⚠ Manual erforderlich</t>
        </is>
      </c>
      <c r="E2225" s="11" t="inlineStr"/>
      <c r="F2225" s="11" t="n">
        <v>0</v>
      </c>
      <c r="G2225" s="11">
        <f>E2225-F2225</f>
        <v/>
      </c>
      <c r="H2225" s="11" t="n">
        <v/>
      </c>
      <c r="I2225" s="11" t="n">
        <v/>
      </c>
      <c r="J2225" s="11" t="n">
        <v/>
      </c>
      <c r="K2225" s="4" t="inlineStr">
        <is>
          <t>Stundensätze eingeben</t>
        </is>
      </c>
    </row>
    <row r="2226">
      <c r="A2226" s="4" t="inlineStr">
        <is>
          <t>5902.31 BSB-DFS-031-Radarstation-Düsseldorf</t>
        </is>
      </c>
      <c r="B2226" s="4" t="inlineStr">
        <is>
          <t>● BSB 2025 (aN)</t>
        </is>
      </c>
      <c r="C2226" s="4" t="inlineStr">
        <is>
          <t>Nachweis</t>
        </is>
      </c>
      <c r="D2226" s="10" t="inlineStr">
        <is>
          <t>⚠ Manual erforderlich</t>
        </is>
      </c>
      <c r="E2226" s="11" t="inlineStr"/>
      <c r="F2226" s="11" t="n">
        <v>0</v>
      </c>
      <c r="G2226" s="11">
        <f>E2226-F2226</f>
        <v/>
      </c>
      <c r="H2226" s="11" t="n">
        <v/>
      </c>
      <c r="I2226" s="11" t="n">
        <v/>
      </c>
      <c r="J2226" s="11" t="n">
        <v/>
      </c>
      <c r="K2226" s="4" t="inlineStr">
        <is>
          <t>Stundensätze eingeben</t>
        </is>
      </c>
    </row>
    <row r="2227">
      <c r="A2227" s="4" t="inlineStr">
        <is>
          <t>5902.32 BSB-DFS-032-Radaranlage-AST-Nord-Flughafen-FFM</t>
        </is>
      </c>
      <c r="B2227" s="4" t="inlineStr">
        <is>
          <t>● Brandschutzbeauftragter 2021 (auf Nachweis)</t>
        </is>
      </c>
      <c r="C2227" s="9" t="inlineStr">
        <is>
          <t>Unbekannt</t>
        </is>
      </c>
      <c r="D2227" s="10" t="inlineStr">
        <is>
          <t>⚠ Manual erforderlich</t>
        </is>
      </c>
      <c r="E2227" s="11" t="inlineStr"/>
      <c r="F2227" s="11" t="n">
        <v>0</v>
      </c>
      <c r="G2227" s="11">
        <f>E2227-F2227</f>
        <v/>
      </c>
      <c r="H2227" s="11" t="n">
        <v/>
      </c>
      <c r="I2227" s="11" t="n">
        <v/>
      </c>
      <c r="J2227" s="11" t="n">
        <v/>
      </c>
      <c r="K2227" s="4" t="inlineStr">
        <is>
          <t>Abrechnungsart wählen; Stundensätze eingeben</t>
        </is>
      </c>
    </row>
    <row r="2228">
      <c r="A2228" s="4" t="inlineStr">
        <is>
          <t>5902.32 BSB-DFS-032-Radaranlage-AST-Nord-Flughafen-FFM</t>
        </is>
      </c>
      <c r="B2228" s="4" t="inlineStr">
        <is>
          <t>● Brandschutzbeauftragter 2024 (auf Nachweis)</t>
        </is>
      </c>
      <c r="C2228" s="9" t="inlineStr">
        <is>
          <t>Unbekannt</t>
        </is>
      </c>
      <c r="D2228" s="10" t="inlineStr">
        <is>
          <t>⚠ Manual erforderlich</t>
        </is>
      </c>
      <c r="E2228" s="11" t="inlineStr"/>
      <c r="F2228" s="11" t="n">
        <v>0</v>
      </c>
      <c r="G2228" s="11">
        <f>E2228-F2228</f>
        <v/>
      </c>
      <c r="H2228" s="11" t="n">
        <v/>
      </c>
      <c r="I2228" s="11" t="n">
        <v/>
      </c>
      <c r="J2228" s="11" t="n">
        <v/>
      </c>
      <c r="K2228" s="4" t="inlineStr">
        <is>
          <t>Abrechnungsart wählen; Stundensätze eingeben</t>
        </is>
      </c>
    </row>
    <row r="2229">
      <c r="A2229" s="4" t="inlineStr">
        <is>
          <t>5902.33 BSB-DFS-033-Radaranlage-AST-Süd-Flughafen-FFM</t>
        </is>
      </c>
      <c r="B2229" s="4" t="inlineStr">
        <is>
          <t>● BSB 2023 (auf Nachweis)</t>
        </is>
      </c>
      <c r="C2229" s="9" t="inlineStr">
        <is>
          <t>Unbekannt</t>
        </is>
      </c>
      <c r="D2229" s="10" t="inlineStr">
        <is>
          <t>⚠ Manual erforderlich</t>
        </is>
      </c>
      <c r="E2229" s="11" t="inlineStr"/>
      <c r="F2229" s="11" t="n">
        <v>0</v>
      </c>
      <c r="G2229" s="11">
        <f>E2229-F2229</f>
        <v/>
      </c>
      <c r="H2229" s="11" t="n">
        <v/>
      </c>
      <c r="I2229" s="11" t="n">
        <v/>
      </c>
      <c r="J2229" s="11" t="n">
        <v/>
      </c>
      <c r="K2229" s="4" t="inlineStr">
        <is>
          <t>Abrechnungsart wählen; Stundensätze eingeben</t>
        </is>
      </c>
    </row>
    <row r="2230">
      <c r="A2230" s="4" t="inlineStr">
        <is>
          <t>5902.33 BSB-DFS-033-Radaranlage-AST-Süd-Flughafen-FFM</t>
        </is>
      </c>
      <c r="B2230" s="4" t="inlineStr">
        <is>
          <t>● BSB 2022 (auf Nachweis)</t>
        </is>
      </c>
      <c r="C2230" s="9" t="inlineStr">
        <is>
          <t>Unbekannt</t>
        </is>
      </c>
      <c r="D2230" s="10" t="inlineStr">
        <is>
          <t>⚠ Manual erforderlich</t>
        </is>
      </c>
      <c r="E2230" s="11" t="inlineStr"/>
      <c r="F2230" s="11" t="n">
        <v>0</v>
      </c>
      <c r="G2230" s="11">
        <f>E2230-F2230</f>
        <v/>
      </c>
      <c r="H2230" s="11" t="n">
        <v/>
      </c>
      <c r="I2230" s="11" t="n">
        <v/>
      </c>
      <c r="J2230" s="11" t="n">
        <v/>
      </c>
      <c r="K2230" s="4" t="inlineStr">
        <is>
          <t>Abrechnungsart wählen; Stundensätze eingeben</t>
        </is>
      </c>
    </row>
    <row r="2231">
      <c r="A2231" s="4" t="inlineStr">
        <is>
          <t>5902.33 BSB-DFS-033-Radaranlage-AST-Süd-Flughafen-FFM</t>
        </is>
      </c>
      <c r="B2231" s="4" t="inlineStr">
        <is>
          <t>● Brandschutzbeauftragter 2021 (auf Nachweis)</t>
        </is>
      </c>
      <c r="C2231" s="9" t="inlineStr">
        <is>
          <t>Unbekannt</t>
        </is>
      </c>
      <c r="D2231" s="10" t="inlineStr">
        <is>
          <t>⚠ Manual erforderlich</t>
        </is>
      </c>
      <c r="E2231" s="11" t="inlineStr"/>
      <c r="F2231" s="11" t="n">
        <v>0</v>
      </c>
      <c r="G2231" s="11">
        <f>E2231-F2231</f>
        <v/>
      </c>
      <c r="H2231" s="11" t="n">
        <v/>
      </c>
      <c r="I2231" s="11" t="n">
        <v/>
      </c>
      <c r="J2231" s="11" t="n">
        <v/>
      </c>
      <c r="K2231" s="4" t="inlineStr">
        <is>
          <t>Abrechnungsart wählen; Stundensätze eingeben</t>
        </is>
      </c>
    </row>
    <row r="2232">
      <c r="A2232" s="4" t="inlineStr">
        <is>
          <t>5902.33 BSB-DFS-033-Radaranlage-AST-Süd-Flughafen-FFM</t>
        </is>
      </c>
      <c r="B2232" s="4" t="inlineStr">
        <is>
          <t>● BSB 2024 (auf Nachweis)</t>
        </is>
      </c>
      <c r="C2232" s="9" t="inlineStr">
        <is>
          <t>Unbekannt</t>
        </is>
      </c>
      <c r="D2232" s="10" t="inlineStr">
        <is>
          <t>⚠ Manual erforderlich</t>
        </is>
      </c>
      <c r="E2232" s="11" t="inlineStr"/>
      <c r="F2232" s="11" t="n">
        <v>0</v>
      </c>
      <c r="G2232" s="11">
        <f>E2232-F2232</f>
        <v/>
      </c>
      <c r="H2232" s="11" t="n">
        <v/>
      </c>
      <c r="I2232" s="11" t="n">
        <v/>
      </c>
      <c r="J2232" s="11" t="n">
        <v/>
      </c>
      <c r="K2232" s="4" t="inlineStr">
        <is>
          <t>Abrechnungsart wählen; Stundensätze eingeben</t>
        </is>
      </c>
    </row>
    <row r="2233">
      <c r="A2233" s="4" t="inlineStr">
        <is>
          <t>5902.33 BSB-DFS-033-Radaranlage-AST-Süd-Flughafen-FFM</t>
        </is>
      </c>
      <c r="B2233" s="4" t="inlineStr">
        <is>
          <t>● BSB 2025 (aN)</t>
        </is>
      </c>
      <c r="C2233" s="4" t="inlineStr">
        <is>
          <t>Nachweis</t>
        </is>
      </c>
      <c r="D2233" s="10" t="inlineStr">
        <is>
          <t>⚠ Manual erforderlich</t>
        </is>
      </c>
      <c r="E2233" s="11" t="inlineStr"/>
      <c r="F2233" s="11" t="n">
        <v>0</v>
      </c>
      <c r="G2233" s="11">
        <f>E2233-F2233</f>
        <v/>
      </c>
      <c r="H2233" s="11" t="n">
        <v/>
      </c>
      <c r="I2233" s="11" t="n">
        <v/>
      </c>
      <c r="J2233" s="11" t="n">
        <v/>
      </c>
      <c r="K2233" s="4" t="inlineStr">
        <is>
          <t>Stundensätze eingeben</t>
        </is>
      </c>
    </row>
    <row r="2234">
      <c r="A2234" s="4" t="inlineStr">
        <is>
          <t>5902.34 BSB-DFS-034-Radaranlage-AST-West-Flughafen-FFM</t>
        </is>
      </c>
      <c r="B2234" s="4" t="inlineStr">
        <is>
          <t>● Brandschutzbeauftragter 2021 (auf Nachweis)</t>
        </is>
      </c>
      <c r="C2234" s="9" t="inlineStr">
        <is>
          <t>Unbekannt</t>
        </is>
      </c>
      <c r="D2234" s="10" t="inlineStr">
        <is>
          <t>⚠ Manual erforderlich</t>
        </is>
      </c>
      <c r="E2234" s="11" t="inlineStr"/>
      <c r="F2234" s="11" t="n">
        <v>0</v>
      </c>
      <c r="G2234" s="11">
        <f>E2234-F2234</f>
        <v/>
      </c>
      <c r="H2234" s="11" t="n">
        <v/>
      </c>
      <c r="I2234" s="11" t="n">
        <v/>
      </c>
      <c r="J2234" s="11" t="n">
        <v/>
      </c>
      <c r="K2234" s="4" t="inlineStr">
        <is>
          <t>Abrechnungsart wählen; Stundensätze eingeben</t>
        </is>
      </c>
    </row>
    <row r="2235">
      <c r="A2235" s="4" t="inlineStr">
        <is>
          <t>5902.34 BSB-DFS-034-Radaranlage-AST-West-Flughafen-FFM</t>
        </is>
      </c>
      <c r="B2235" s="4" t="inlineStr">
        <is>
          <t>● Brandschutzbeauftragter 2024 (auf Nachweis)</t>
        </is>
      </c>
      <c r="C2235" s="9" t="inlineStr">
        <is>
          <t>Unbekannt</t>
        </is>
      </c>
      <c r="D2235" s="10" t="inlineStr">
        <is>
          <t>⚠ Manual erforderlich</t>
        </is>
      </c>
      <c r="E2235" s="11" t="inlineStr"/>
      <c r="F2235" s="11" t="n">
        <v>0</v>
      </c>
      <c r="G2235" s="11">
        <f>E2235-F2235</f>
        <v/>
      </c>
      <c r="H2235" s="11" t="n">
        <v/>
      </c>
      <c r="I2235" s="11" t="n">
        <v/>
      </c>
      <c r="J2235" s="11" t="n">
        <v/>
      </c>
      <c r="K2235" s="4" t="inlineStr">
        <is>
          <t>Abrechnungsart wählen; Stundensätze eingeben</t>
        </is>
      </c>
    </row>
    <row r="2236">
      <c r="A2236" s="4" t="inlineStr">
        <is>
          <t>5902.35 BSB-DFS-035-Empfangsstelle-Süd-Flughafen-FFM</t>
        </is>
      </c>
      <c r="B2236" s="4" t="inlineStr">
        <is>
          <t>● Brandschutzbeauftragter 2021 (auf Nachweis)</t>
        </is>
      </c>
      <c r="C2236" s="9" t="inlineStr">
        <is>
          <t>Unbekannt</t>
        </is>
      </c>
      <c r="D2236" s="10" t="inlineStr">
        <is>
          <t>⚠ Manual erforderlich</t>
        </is>
      </c>
      <c r="E2236" s="11" t="inlineStr"/>
      <c r="F2236" s="11" t="n">
        <v>0</v>
      </c>
      <c r="G2236" s="11">
        <f>E2236-F2236</f>
        <v/>
      </c>
      <c r="H2236" s="11" t="n">
        <v/>
      </c>
      <c r="I2236" s="11" t="n">
        <v/>
      </c>
      <c r="J2236" s="11" t="n">
        <v/>
      </c>
      <c r="K2236" s="4" t="inlineStr">
        <is>
          <t>Abrechnungsart wählen; Stundensätze eingeben</t>
        </is>
      </c>
    </row>
    <row r="2237">
      <c r="A2237" s="4" t="inlineStr">
        <is>
          <t>5902.35 BSB-DFS-035-Empfangsstelle-Süd-Flughafen-FFM</t>
        </is>
      </c>
      <c r="B2237" s="4" t="inlineStr">
        <is>
          <t>● Brandschutzbeauftragter 2024 (auf Nachweis)</t>
        </is>
      </c>
      <c r="C2237" s="9" t="inlineStr">
        <is>
          <t>Unbekannt</t>
        </is>
      </c>
      <c r="D2237" s="10" t="inlineStr">
        <is>
          <t>⚠ Manual erforderlich</t>
        </is>
      </c>
      <c r="E2237" s="11" t="inlineStr"/>
      <c r="F2237" s="11" t="n">
        <v>0</v>
      </c>
      <c r="G2237" s="11">
        <f>E2237-F2237</f>
        <v/>
      </c>
      <c r="H2237" s="11" t="n">
        <v/>
      </c>
      <c r="I2237" s="11" t="n">
        <v/>
      </c>
      <c r="J2237" s="11" t="n">
        <v/>
      </c>
      <c r="K2237" s="4" t="inlineStr">
        <is>
          <t>Abrechnungsart wählen; Stundensätze eingeben</t>
        </is>
      </c>
    </row>
    <row r="2238">
      <c r="A2238" s="4" t="inlineStr">
        <is>
          <t>5902.36 BSB-DFS-036-Luftbrücke-Flughafen-FFM</t>
        </is>
      </c>
      <c r="B2238" s="4" t="inlineStr">
        <is>
          <t>● Brandschutzbeauftragter 2021 (auf Nachweis)</t>
        </is>
      </c>
      <c r="C2238" s="9" t="inlineStr">
        <is>
          <t>Unbekannt</t>
        </is>
      </c>
      <c r="D2238" s="10" t="inlineStr">
        <is>
          <t>⚠ Manual erforderlich</t>
        </is>
      </c>
      <c r="E2238" s="11" t="inlineStr"/>
      <c r="F2238" s="11" t="n">
        <v>0</v>
      </c>
      <c r="G2238" s="11">
        <f>E2238-F2238</f>
        <v/>
      </c>
      <c r="H2238" s="11" t="n">
        <v/>
      </c>
      <c r="I2238" s="11" t="n">
        <v/>
      </c>
      <c r="J2238" s="11" t="n">
        <v/>
      </c>
      <c r="K2238" s="4" t="inlineStr">
        <is>
          <t>Abrechnungsart wählen; Stundensätze eingeben</t>
        </is>
      </c>
    </row>
    <row r="2239">
      <c r="A2239" s="4" t="inlineStr">
        <is>
          <t>5902.36 BSB-DFS-036-Luftbrücke-Flughafen-FFM</t>
        </is>
      </c>
      <c r="B2239" s="4" t="inlineStr">
        <is>
          <t>● Brandschutzbeauftragter 2024 (auf Nachweis)</t>
        </is>
      </c>
      <c r="C2239" s="9" t="inlineStr">
        <is>
          <t>Unbekannt</t>
        </is>
      </c>
      <c r="D2239" s="10" t="inlineStr">
        <is>
          <t>⚠ Manual erforderlich</t>
        </is>
      </c>
      <c r="E2239" s="11" t="inlineStr"/>
      <c r="F2239" s="11" t="n">
        <v>0</v>
      </c>
      <c r="G2239" s="11">
        <f>E2239-F2239</f>
        <v/>
      </c>
      <c r="H2239" s="11" t="n">
        <v/>
      </c>
      <c r="I2239" s="11" t="n">
        <v/>
      </c>
      <c r="J2239" s="11" t="n">
        <v/>
      </c>
      <c r="K2239" s="4" t="inlineStr">
        <is>
          <t>Abrechnungsart wählen; Stundensätze eingeben</t>
        </is>
      </c>
    </row>
    <row r="2240">
      <c r="A2240" s="4" t="inlineStr">
        <is>
          <t>5902.37 BSB-DFS-037-Radaranlage-Neukirchen</t>
        </is>
      </c>
      <c r="B2240" s="4" t="inlineStr">
        <is>
          <t>● BSB 2023 (auf Nachweis)</t>
        </is>
      </c>
      <c r="C2240" s="9" t="inlineStr">
        <is>
          <t>Unbekannt</t>
        </is>
      </c>
      <c r="D2240" s="10" t="inlineStr">
        <is>
          <t>⚠ Manual erforderlich</t>
        </is>
      </c>
      <c r="E2240" s="11" t="inlineStr"/>
      <c r="F2240" s="11" t="n">
        <v>0</v>
      </c>
      <c r="G2240" s="11">
        <f>E2240-F2240</f>
        <v/>
      </c>
      <c r="H2240" s="11" t="n">
        <v/>
      </c>
      <c r="I2240" s="11" t="n">
        <v/>
      </c>
      <c r="J2240" s="11" t="n">
        <v/>
      </c>
      <c r="K2240" s="4" t="inlineStr">
        <is>
          <t>Abrechnungsart wählen; Stundensätze eingeben</t>
        </is>
      </c>
    </row>
    <row r="2241">
      <c r="A2241" s="4" t="inlineStr">
        <is>
          <t>5902.37 BSB-DFS-037-Radaranlage-Neukirchen</t>
        </is>
      </c>
      <c r="B2241" s="4" t="inlineStr">
        <is>
          <t>● BSB 2022 (auf Nachweis)</t>
        </is>
      </c>
      <c r="C2241" s="9" t="inlineStr">
        <is>
          <t>Unbekannt</t>
        </is>
      </c>
      <c r="D2241" s="10" t="inlineStr">
        <is>
          <t>⚠ Manual erforderlich</t>
        </is>
      </c>
      <c r="E2241" s="11" t="inlineStr"/>
      <c r="F2241" s="11" t="n">
        <v>0</v>
      </c>
      <c r="G2241" s="11">
        <f>E2241-F2241</f>
        <v/>
      </c>
      <c r="H2241" s="11" t="n">
        <v/>
      </c>
      <c r="I2241" s="11" t="n">
        <v/>
      </c>
      <c r="J2241" s="11" t="n">
        <v/>
      </c>
      <c r="K2241" s="4" t="inlineStr">
        <is>
          <t>Abrechnungsart wählen; Stundensätze eingeben</t>
        </is>
      </c>
    </row>
    <row r="2242">
      <c r="A2242" s="4" t="inlineStr">
        <is>
          <t>5902.37 BSB-DFS-037-Radaranlage-Neukirchen</t>
        </is>
      </c>
      <c r="B2242" s="4" t="inlineStr">
        <is>
          <t>● Brandschutzbeauftragter 2021 (auf Nachweis)</t>
        </is>
      </c>
      <c r="C2242" s="9" t="inlineStr">
        <is>
          <t>Unbekannt</t>
        </is>
      </c>
      <c r="D2242" s="10" t="inlineStr">
        <is>
          <t>⚠ Manual erforderlich</t>
        </is>
      </c>
      <c r="E2242" s="11" t="inlineStr"/>
      <c r="F2242" s="11" t="n">
        <v>0</v>
      </c>
      <c r="G2242" s="11">
        <f>E2242-F2242</f>
        <v/>
      </c>
      <c r="H2242" s="11" t="n">
        <v/>
      </c>
      <c r="I2242" s="11" t="n">
        <v/>
      </c>
      <c r="J2242" s="11" t="n">
        <v/>
      </c>
      <c r="K2242" s="4" t="inlineStr">
        <is>
          <t>Abrechnungsart wählen; Stundensätze eingeben</t>
        </is>
      </c>
    </row>
    <row r="2243">
      <c r="A2243" s="4" t="inlineStr">
        <is>
          <t>5902.37 BSB-DFS-037-Radaranlage-Neukirchen</t>
        </is>
      </c>
      <c r="B2243" s="4" t="inlineStr">
        <is>
          <t>● BSB 2024 (auf Nachweis)</t>
        </is>
      </c>
      <c r="C2243" s="9" t="inlineStr">
        <is>
          <t>Unbekannt</t>
        </is>
      </c>
      <c r="D2243" s="10" t="inlineStr">
        <is>
          <t>⚠ Manual erforderlich</t>
        </is>
      </c>
      <c r="E2243" s="11" t="inlineStr"/>
      <c r="F2243" s="11" t="n">
        <v>0</v>
      </c>
      <c r="G2243" s="11">
        <f>E2243-F2243</f>
        <v/>
      </c>
      <c r="H2243" s="11" t="n">
        <v/>
      </c>
      <c r="I2243" s="11" t="n">
        <v/>
      </c>
      <c r="J2243" s="11" t="n">
        <v/>
      </c>
      <c r="K2243" s="4" t="inlineStr">
        <is>
          <t>Abrechnungsart wählen; Stundensätze eingeben</t>
        </is>
      </c>
    </row>
    <row r="2244">
      <c r="A2244" s="4" t="inlineStr">
        <is>
          <t>5902.37 BSB-DFS-037-Radaranlage-Neukirchen</t>
        </is>
      </c>
      <c r="B2244" s="4" t="inlineStr">
        <is>
          <t>● (a.N.) Brandschutzbeauftragter 2025</t>
        </is>
      </c>
      <c r="C2244" s="4" t="inlineStr">
        <is>
          <t>Nachweis</t>
        </is>
      </c>
      <c r="D2244" s="10" t="inlineStr">
        <is>
          <t>⚠ Manual erforderlich</t>
        </is>
      </c>
      <c r="E2244" s="11" t="inlineStr"/>
      <c r="F2244" s="11" t="n">
        <v>0</v>
      </c>
      <c r="G2244" s="11">
        <f>E2244-F2244</f>
        <v/>
      </c>
      <c r="H2244" s="11" t="n">
        <v/>
      </c>
      <c r="I2244" s="11" t="n">
        <v/>
      </c>
      <c r="J2244" s="11" t="n">
        <v/>
      </c>
      <c r="K2244" s="4" t="inlineStr">
        <is>
          <t>Stundensätze eingeben</t>
        </is>
      </c>
    </row>
    <row r="2245">
      <c r="A2245" s="4" t="inlineStr">
        <is>
          <t>5902.38 BSB-DFS-038-Radaranlage-Pfälzer-Wald</t>
        </is>
      </c>
      <c r="B2245" s="4" t="inlineStr">
        <is>
          <t>● BSB 2024 (auf Nachweis)</t>
        </is>
      </c>
      <c r="C2245" s="9" t="inlineStr">
        <is>
          <t>Unbekannt</t>
        </is>
      </c>
      <c r="D2245" s="10" t="inlineStr">
        <is>
          <t>⚠ Manual erforderlich</t>
        </is>
      </c>
      <c r="E2245" s="11" t="inlineStr"/>
      <c r="F2245" s="11" t="n">
        <v>0</v>
      </c>
      <c r="G2245" s="11">
        <f>E2245-F2245</f>
        <v/>
      </c>
      <c r="H2245" s="11" t="n">
        <v/>
      </c>
      <c r="I2245" s="11" t="n">
        <v/>
      </c>
      <c r="J2245" s="11" t="n">
        <v/>
      </c>
      <c r="K2245" s="4" t="inlineStr">
        <is>
          <t>Abrechnungsart wählen; Stundensätze eingeben</t>
        </is>
      </c>
    </row>
    <row r="2246">
      <c r="A2246" s="4" t="inlineStr">
        <is>
          <t>5902.38 BSB-DFS-038-Radaranlage-Pfälzer-Wald</t>
        </is>
      </c>
      <c r="B2246" s="4" t="inlineStr">
        <is>
          <t>● BSB 2023 (auf Nachweis)</t>
        </is>
      </c>
      <c r="C2246" s="9" t="inlineStr">
        <is>
          <t>Unbekannt</t>
        </is>
      </c>
      <c r="D2246" s="10" t="inlineStr">
        <is>
          <t>⚠ Manual erforderlich</t>
        </is>
      </c>
      <c r="E2246" s="11" t="inlineStr"/>
      <c r="F2246" s="11" t="n">
        <v>0</v>
      </c>
      <c r="G2246" s="11">
        <f>E2246-F2246</f>
        <v/>
      </c>
      <c r="H2246" s="11" t="n">
        <v/>
      </c>
      <c r="I2246" s="11" t="n">
        <v/>
      </c>
      <c r="J2246" s="11" t="n">
        <v/>
      </c>
      <c r="K2246" s="4" t="inlineStr">
        <is>
          <t>Abrechnungsart wählen; Stundensätze eingeben</t>
        </is>
      </c>
    </row>
    <row r="2247">
      <c r="A2247" s="4" t="inlineStr">
        <is>
          <t>5902.38 BSB-DFS-038-Radaranlage-Pfälzer-Wald</t>
        </is>
      </c>
      <c r="B2247" s="4" t="inlineStr">
        <is>
          <t>● BSB 2022 (auf Nachweis)</t>
        </is>
      </c>
      <c r="C2247" s="9" t="inlineStr">
        <is>
          <t>Unbekannt</t>
        </is>
      </c>
      <c r="D2247" s="10" t="inlineStr">
        <is>
          <t>⚠ Manual erforderlich</t>
        </is>
      </c>
      <c r="E2247" s="11" t="inlineStr"/>
      <c r="F2247" s="11" t="n">
        <v>0</v>
      </c>
      <c r="G2247" s="11">
        <f>E2247-F2247</f>
        <v/>
      </c>
      <c r="H2247" s="11" t="n">
        <v/>
      </c>
      <c r="I2247" s="11" t="n">
        <v/>
      </c>
      <c r="J2247" s="11" t="n">
        <v/>
      </c>
      <c r="K2247" s="4" t="inlineStr">
        <is>
          <t>Abrechnungsart wählen; Stundensätze eingeben</t>
        </is>
      </c>
    </row>
    <row r="2248">
      <c r="A2248" s="4" t="inlineStr">
        <is>
          <t>5902.38 BSB-DFS-038-Radaranlage-Pfälzer-Wald</t>
        </is>
      </c>
      <c r="B2248" s="4" t="inlineStr">
        <is>
          <t>● Brandschutzbeauftragter 2021 (auf Nachweis)</t>
        </is>
      </c>
      <c r="C2248" s="9" t="inlineStr">
        <is>
          <t>Unbekannt</t>
        </is>
      </c>
      <c r="D2248" s="10" t="inlineStr">
        <is>
          <t>⚠ Manual erforderlich</t>
        </is>
      </c>
      <c r="E2248" s="11" t="inlineStr"/>
      <c r="F2248" s="11" t="n">
        <v>0</v>
      </c>
      <c r="G2248" s="11">
        <f>E2248-F2248</f>
        <v/>
      </c>
      <c r="H2248" s="11" t="n">
        <v/>
      </c>
      <c r="I2248" s="11" t="n">
        <v/>
      </c>
      <c r="J2248" s="11" t="n">
        <v/>
      </c>
      <c r="K2248" s="4" t="inlineStr">
        <is>
          <t>Abrechnungsart wählen; Stundensätze eingeben</t>
        </is>
      </c>
    </row>
    <row r="2249">
      <c r="A2249" s="4" t="inlineStr">
        <is>
          <t>5902.38 BSB-DFS-038-Radaranlage-Pfälzer-Wald</t>
        </is>
      </c>
      <c r="B2249" s="4" t="inlineStr">
        <is>
          <t>● BSB 2025 (aN)</t>
        </is>
      </c>
      <c r="C2249" s="4" t="inlineStr">
        <is>
          <t>Nachweis</t>
        </is>
      </c>
      <c r="D2249" s="10" t="inlineStr">
        <is>
          <t>⚠ Manual erforderlich</t>
        </is>
      </c>
      <c r="E2249" s="11" t="inlineStr"/>
      <c r="F2249" s="11" t="n">
        <v>0</v>
      </c>
      <c r="G2249" s="11">
        <f>E2249-F2249</f>
        <v/>
      </c>
      <c r="H2249" s="11" t="n">
        <v/>
      </c>
      <c r="I2249" s="11" t="n">
        <v/>
      </c>
      <c r="J2249" s="11" t="n">
        <v/>
      </c>
      <c r="K2249" s="4" t="inlineStr">
        <is>
          <t>Stundensätze eingeben</t>
        </is>
      </c>
    </row>
    <row r="2250">
      <c r="A2250" s="4" t="inlineStr">
        <is>
          <t>5902.39 BSB-DFS-039-Radaranlage-Götzenhain</t>
        </is>
      </c>
      <c r="B2250" s="4" t="inlineStr">
        <is>
          <t>● BSB 2023 (auf Nachweis)</t>
        </is>
      </c>
      <c r="C2250" s="9" t="inlineStr">
        <is>
          <t>Unbekannt</t>
        </is>
      </c>
      <c r="D2250" s="10" t="inlineStr">
        <is>
          <t>⚠ Manual erforderlich</t>
        </is>
      </c>
      <c r="E2250" s="11" t="inlineStr"/>
      <c r="F2250" s="11" t="n">
        <v>0</v>
      </c>
      <c r="G2250" s="11">
        <f>E2250-F2250</f>
        <v/>
      </c>
      <c r="H2250" s="11" t="n">
        <v/>
      </c>
      <c r="I2250" s="11" t="n">
        <v/>
      </c>
      <c r="J2250" s="11" t="n">
        <v/>
      </c>
      <c r="K2250" s="4" t="inlineStr">
        <is>
          <t>Abrechnungsart wählen; Stundensätze eingeben</t>
        </is>
      </c>
    </row>
    <row r="2251">
      <c r="A2251" s="4" t="inlineStr">
        <is>
          <t>5902.39 BSB-DFS-039-Radaranlage-Götzenhain</t>
        </is>
      </c>
      <c r="B2251" s="4" t="inlineStr">
        <is>
          <t>● BSB 2022 (auf Nachweis)</t>
        </is>
      </c>
      <c r="C2251" s="9" t="inlineStr">
        <is>
          <t>Unbekannt</t>
        </is>
      </c>
      <c r="D2251" s="10" t="inlineStr">
        <is>
          <t>⚠ Manual erforderlich</t>
        </is>
      </c>
      <c r="E2251" s="11" t="inlineStr"/>
      <c r="F2251" s="11" t="n">
        <v>0</v>
      </c>
      <c r="G2251" s="11">
        <f>E2251-F2251</f>
        <v/>
      </c>
      <c r="H2251" s="11" t="n">
        <v/>
      </c>
      <c r="I2251" s="11" t="n">
        <v/>
      </c>
      <c r="J2251" s="11" t="n">
        <v/>
      </c>
      <c r="K2251" s="4" t="inlineStr">
        <is>
          <t>Abrechnungsart wählen; Stundensätze eingeben</t>
        </is>
      </c>
    </row>
    <row r="2252">
      <c r="A2252" s="4" t="inlineStr">
        <is>
          <t>5902.39 BSB-DFS-039-Radaranlage-Götzenhain</t>
        </is>
      </c>
      <c r="B2252" s="4" t="inlineStr">
        <is>
          <t>● Brandschutzbeauftragter 2021 (auf Nachweis)</t>
        </is>
      </c>
      <c r="C2252" s="9" t="inlineStr">
        <is>
          <t>Unbekannt</t>
        </is>
      </c>
      <c r="D2252" s="10" t="inlineStr">
        <is>
          <t>⚠ Manual erforderlich</t>
        </is>
      </c>
      <c r="E2252" s="11" t="inlineStr"/>
      <c r="F2252" s="11" t="n">
        <v>0</v>
      </c>
      <c r="G2252" s="11">
        <f>E2252-F2252</f>
        <v/>
      </c>
      <c r="H2252" s="11" t="n">
        <v/>
      </c>
      <c r="I2252" s="11" t="n">
        <v/>
      </c>
      <c r="J2252" s="11" t="n">
        <v/>
      </c>
      <c r="K2252" s="4" t="inlineStr">
        <is>
          <t>Abrechnungsart wählen; Stundensätze eingeben</t>
        </is>
      </c>
    </row>
    <row r="2253">
      <c r="A2253" s="4" t="inlineStr">
        <is>
          <t>5902.39 BSB-DFS-039-Radaranlage-Götzenhain</t>
        </is>
      </c>
      <c r="B2253" s="4" t="inlineStr">
        <is>
          <t>● BSB 2024 (auf Nachweis)</t>
        </is>
      </c>
      <c r="C2253" s="9" t="inlineStr">
        <is>
          <t>Unbekannt</t>
        </is>
      </c>
      <c r="D2253" s="10" t="inlineStr">
        <is>
          <t>⚠ Manual erforderlich</t>
        </is>
      </c>
      <c r="E2253" s="11" t="inlineStr"/>
      <c r="F2253" s="11" t="n">
        <v>0</v>
      </c>
      <c r="G2253" s="11">
        <f>E2253-F2253</f>
        <v/>
      </c>
      <c r="H2253" s="11" t="n">
        <v/>
      </c>
      <c r="I2253" s="11" t="n">
        <v/>
      </c>
      <c r="J2253" s="11" t="n">
        <v/>
      </c>
      <c r="K2253" s="4" t="inlineStr">
        <is>
          <t>Abrechnungsart wählen; Stundensätze eingeben</t>
        </is>
      </c>
    </row>
    <row r="2254">
      <c r="A2254" s="4" t="inlineStr">
        <is>
          <t>5902.39 BSB-DFS-039-Radaranlage-Götzenhain</t>
        </is>
      </c>
      <c r="B2254" s="4" t="inlineStr">
        <is>
          <t>● BSB 2025 (aN)</t>
        </is>
      </c>
      <c r="C2254" s="4" t="inlineStr">
        <is>
          <t>Nachweis</t>
        </is>
      </c>
      <c r="D2254" s="10" t="inlineStr">
        <is>
          <t>⚠ Manual erforderlich</t>
        </is>
      </c>
      <c r="E2254" s="11" t="inlineStr"/>
      <c r="F2254" s="11" t="n">
        <v>0</v>
      </c>
      <c r="G2254" s="11">
        <f>E2254-F2254</f>
        <v/>
      </c>
      <c r="H2254" s="11" t="n">
        <v/>
      </c>
      <c r="I2254" s="11" t="n">
        <v/>
      </c>
      <c r="J2254" s="11" t="n">
        <v/>
      </c>
      <c r="K2254" s="4" t="inlineStr">
        <is>
          <t>Stundensätze eingeben</t>
        </is>
      </c>
    </row>
    <row r="2255">
      <c r="A2255" s="4" t="inlineStr">
        <is>
          <t>5902.40 BSB-DFS-040-Großhaager-Forst</t>
        </is>
      </c>
      <c r="B2255" s="4" t="inlineStr">
        <is>
          <t>● BSB 2024 (auf Nachweis)</t>
        </is>
      </c>
      <c r="C2255" s="9" t="inlineStr">
        <is>
          <t>Unbekannt</t>
        </is>
      </c>
      <c r="D2255" s="10" t="inlineStr">
        <is>
          <t>⚠ Manual erforderlich</t>
        </is>
      </c>
      <c r="E2255" s="11" t="inlineStr"/>
      <c r="F2255" s="11" t="n">
        <v>0</v>
      </c>
      <c r="G2255" s="11">
        <f>E2255-F2255</f>
        <v/>
      </c>
      <c r="H2255" s="11" t="n">
        <v/>
      </c>
      <c r="I2255" s="11" t="n">
        <v/>
      </c>
      <c r="J2255" s="11" t="n">
        <v/>
      </c>
      <c r="K2255" s="4" t="inlineStr">
        <is>
          <t>Abrechnungsart wählen; Stundensätze eingeben</t>
        </is>
      </c>
    </row>
    <row r="2256">
      <c r="A2256" s="4" t="inlineStr">
        <is>
          <t>5902.40 BSB-DFS-040-Großhaager-Forst</t>
        </is>
      </c>
      <c r="B2256" s="4" t="inlineStr">
        <is>
          <t>● BSB 2023 (auf Nachweis)</t>
        </is>
      </c>
      <c r="C2256" s="9" t="inlineStr">
        <is>
          <t>Unbekannt</t>
        </is>
      </c>
      <c r="D2256" s="10" t="inlineStr">
        <is>
          <t>⚠ Manual erforderlich</t>
        </is>
      </c>
      <c r="E2256" s="11" t="inlineStr"/>
      <c r="F2256" s="11" t="n">
        <v>0</v>
      </c>
      <c r="G2256" s="11">
        <f>E2256-F2256</f>
        <v/>
      </c>
      <c r="H2256" s="11" t="n">
        <v/>
      </c>
      <c r="I2256" s="11" t="n">
        <v/>
      </c>
      <c r="J2256" s="11" t="n">
        <v/>
      </c>
      <c r="K2256" s="4" t="inlineStr">
        <is>
          <t>Abrechnungsart wählen; Stundensätze eingeben</t>
        </is>
      </c>
    </row>
    <row r="2257">
      <c r="A2257" s="4" t="inlineStr">
        <is>
          <t>5902.40 BSB-DFS-040-Großhaager-Forst</t>
        </is>
      </c>
      <c r="B2257" s="4" t="inlineStr">
        <is>
          <t>● BSB 2022 (auf Nachweis)</t>
        </is>
      </c>
      <c r="C2257" s="9" t="inlineStr">
        <is>
          <t>Unbekannt</t>
        </is>
      </c>
      <c r="D2257" s="10" t="inlineStr">
        <is>
          <t>⚠ Manual erforderlich</t>
        </is>
      </c>
      <c r="E2257" s="11" t="inlineStr"/>
      <c r="F2257" s="11" t="n">
        <v>0</v>
      </c>
      <c r="G2257" s="11">
        <f>E2257-F2257</f>
        <v/>
      </c>
      <c r="H2257" s="11" t="n">
        <v/>
      </c>
      <c r="I2257" s="11" t="n">
        <v/>
      </c>
      <c r="J2257" s="11" t="n">
        <v/>
      </c>
      <c r="K2257" s="4" t="inlineStr">
        <is>
          <t>Abrechnungsart wählen; Stundensätze eingeben</t>
        </is>
      </c>
    </row>
    <row r="2258">
      <c r="A2258" s="4" t="inlineStr">
        <is>
          <t>5902.40 BSB-DFS-040-Großhaager-Forst</t>
        </is>
      </c>
      <c r="B2258" s="4" t="inlineStr">
        <is>
          <t>● Brandschutzbeauftragter 2021 (auf Nachweis)</t>
        </is>
      </c>
      <c r="C2258" s="9" t="inlineStr">
        <is>
          <t>Unbekannt</t>
        </is>
      </c>
      <c r="D2258" s="10" t="inlineStr">
        <is>
          <t>⚠ Manual erforderlich</t>
        </is>
      </c>
      <c r="E2258" s="11" t="inlineStr"/>
      <c r="F2258" s="11" t="n">
        <v>0</v>
      </c>
      <c r="G2258" s="11">
        <f>E2258-F2258</f>
        <v/>
      </c>
      <c r="H2258" s="11" t="n">
        <v/>
      </c>
      <c r="I2258" s="11" t="n">
        <v/>
      </c>
      <c r="J2258" s="11" t="n">
        <v/>
      </c>
      <c r="K2258" s="4" t="inlineStr">
        <is>
          <t>Abrechnungsart wählen; Stundensätze eingeben</t>
        </is>
      </c>
    </row>
    <row r="2259">
      <c r="A2259" s="4" t="inlineStr">
        <is>
          <t>5902.40 BSB-DFS-040-Großhaager-Forst</t>
        </is>
      </c>
      <c r="B2259" s="4" t="inlineStr">
        <is>
          <t>● BSB 2025 (aN)</t>
        </is>
      </c>
      <c r="C2259" s="4" t="inlineStr">
        <is>
          <t>Nachweis</t>
        </is>
      </c>
      <c r="D2259" s="10" t="inlineStr">
        <is>
          <t>⚠ Manual erforderlich</t>
        </is>
      </c>
      <c r="E2259" s="11" t="inlineStr"/>
      <c r="F2259" s="11" t="n">
        <v>0</v>
      </c>
      <c r="G2259" s="11">
        <f>E2259-F2259</f>
        <v/>
      </c>
      <c r="H2259" s="11" t="n">
        <v/>
      </c>
      <c r="I2259" s="11" t="n">
        <v/>
      </c>
      <c r="J2259" s="11" t="n">
        <v/>
      </c>
      <c r="K2259" s="4" t="inlineStr">
        <is>
          <t>Stundensätze eingeben</t>
        </is>
      </c>
    </row>
    <row r="2260">
      <c r="A2260" s="4" t="inlineStr">
        <is>
          <t>5902.41 BSB-DFS-041-Tower-Flughafen-München</t>
        </is>
      </c>
      <c r="B2260" s="4" t="inlineStr">
        <is>
          <t>● BSB 2024 (auf Nachweis)</t>
        </is>
      </c>
      <c r="C2260" s="9" t="inlineStr">
        <is>
          <t>Unbekannt</t>
        </is>
      </c>
      <c r="D2260" s="10" t="inlineStr">
        <is>
          <t>⚠ Manual erforderlich</t>
        </is>
      </c>
      <c r="E2260" s="11" t="inlineStr"/>
      <c r="F2260" s="11" t="n">
        <v>0</v>
      </c>
      <c r="G2260" s="11">
        <f>E2260-F2260</f>
        <v/>
      </c>
      <c r="H2260" s="11" t="n">
        <v/>
      </c>
      <c r="I2260" s="11" t="n">
        <v/>
      </c>
      <c r="J2260" s="11" t="n">
        <v/>
      </c>
      <c r="K2260" s="4" t="inlineStr">
        <is>
          <t>Abrechnungsart wählen; Stundensätze eingeben</t>
        </is>
      </c>
    </row>
    <row r="2261">
      <c r="A2261" s="4" t="inlineStr">
        <is>
          <t>5902.41 BSB-DFS-041-Tower-Flughafen-München</t>
        </is>
      </c>
      <c r="B2261" s="4" t="inlineStr">
        <is>
          <t>● BSB 2023 (auf Nachweis)</t>
        </is>
      </c>
      <c r="C2261" s="9" t="inlineStr">
        <is>
          <t>Unbekannt</t>
        </is>
      </c>
      <c r="D2261" s="10" t="inlineStr">
        <is>
          <t>⚠ Manual erforderlich</t>
        </is>
      </c>
      <c r="E2261" s="11" t="inlineStr"/>
      <c r="F2261" s="11" t="n">
        <v>0</v>
      </c>
      <c r="G2261" s="11">
        <f>E2261-F2261</f>
        <v/>
      </c>
      <c r="H2261" s="11" t="n">
        <v/>
      </c>
      <c r="I2261" s="11" t="n">
        <v/>
      </c>
      <c r="J2261" s="11" t="n">
        <v/>
      </c>
      <c r="K2261" s="4" t="inlineStr">
        <is>
          <t>Abrechnungsart wählen; Stundensätze eingeben</t>
        </is>
      </c>
    </row>
    <row r="2262">
      <c r="A2262" s="4" t="inlineStr">
        <is>
          <t>5902.41 BSB-DFS-041-Tower-Flughafen-München</t>
        </is>
      </c>
      <c r="B2262" s="4" t="inlineStr">
        <is>
          <t>● BSB 2022 (auf Nachweis)</t>
        </is>
      </c>
      <c r="C2262" s="9" t="inlineStr">
        <is>
          <t>Unbekannt</t>
        </is>
      </c>
      <c r="D2262" s="10" t="inlineStr">
        <is>
          <t>⚠ Manual erforderlich</t>
        </is>
      </c>
      <c r="E2262" s="11" t="inlineStr"/>
      <c r="F2262" s="11" t="n">
        <v>0</v>
      </c>
      <c r="G2262" s="11">
        <f>E2262-F2262</f>
        <v/>
      </c>
      <c r="H2262" s="11" t="n">
        <v/>
      </c>
      <c r="I2262" s="11" t="n">
        <v/>
      </c>
      <c r="J2262" s="11" t="n">
        <v/>
      </c>
      <c r="K2262" s="4" t="inlineStr">
        <is>
          <t>Abrechnungsart wählen; Stundensätze eingeben</t>
        </is>
      </c>
    </row>
    <row r="2263">
      <c r="A2263" s="4" t="inlineStr">
        <is>
          <t>5902.41 BSB-DFS-041-Tower-Flughafen-München</t>
        </is>
      </c>
      <c r="B2263" s="4" t="inlineStr">
        <is>
          <t>● Brandschutzbeauftragter 2021 (auf Nachweis)</t>
        </is>
      </c>
      <c r="C2263" s="9" t="inlineStr">
        <is>
          <t>Unbekannt</t>
        </is>
      </c>
      <c r="D2263" s="10" t="inlineStr">
        <is>
          <t>⚠ Manual erforderlich</t>
        </is>
      </c>
      <c r="E2263" s="11" t="inlineStr"/>
      <c r="F2263" s="11" t="n">
        <v>0</v>
      </c>
      <c r="G2263" s="11">
        <f>E2263-F2263</f>
        <v/>
      </c>
      <c r="H2263" s="11" t="n">
        <v/>
      </c>
      <c r="I2263" s="11" t="n">
        <v/>
      </c>
      <c r="J2263" s="11" t="n">
        <v/>
      </c>
      <c r="K2263" s="4" t="inlineStr">
        <is>
          <t>Abrechnungsart wählen; Stundensätze eingeben</t>
        </is>
      </c>
    </row>
    <row r="2264">
      <c r="A2264" s="4" t="inlineStr">
        <is>
          <t>5902.41 BSB-DFS-041-Tower-Flughafen-München</t>
        </is>
      </c>
      <c r="B2264" s="4" t="inlineStr">
        <is>
          <t>● (a.N.) Brandschutzbeauftragter 2025</t>
        </is>
      </c>
      <c r="C2264" s="4" t="inlineStr">
        <is>
          <t>Nachweis</t>
        </is>
      </c>
      <c r="D2264" s="10" t="inlineStr">
        <is>
          <t>⚠ Manual erforderlich</t>
        </is>
      </c>
      <c r="E2264" s="11" t="inlineStr"/>
      <c r="F2264" s="11" t="n">
        <v>0</v>
      </c>
      <c r="G2264" s="11">
        <f>E2264-F2264</f>
        <v/>
      </c>
      <c r="H2264" s="11" t="n">
        <v/>
      </c>
      <c r="I2264" s="11" t="n">
        <v/>
      </c>
      <c r="J2264" s="11" t="n">
        <v/>
      </c>
      <c r="K2264" s="4" t="inlineStr">
        <is>
          <t>Stundensätze eingeben</t>
        </is>
      </c>
    </row>
    <row r="2265">
      <c r="A2265" s="4" t="inlineStr">
        <is>
          <t>5902.42 BSB-DFS-042-Tower-Stuttgart</t>
        </is>
      </c>
      <c r="B2265" s="4" t="inlineStr">
        <is>
          <t>● Brandschutzbeauftragter 2021 (auf Nachweis)</t>
        </is>
      </c>
      <c r="C2265" s="9" t="inlineStr">
        <is>
          <t>Unbekannt</t>
        </is>
      </c>
      <c r="D2265" s="10" t="inlineStr">
        <is>
          <t>⚠ Manual erforderlich</t>
        </is>
      </c>
      <c r="E2265" s="11" t="inlineStr"/>
      <c r="F2265" s="11" t="n">
        <v>0</v>
      </c>
      <c r="G2265" s="11">
        <f>E2265-F2265</f>
        <v/>
      </c>
      <c r="H2265" s="11" t="n">
        <v/>
      </c>
      <c r="I2265" s="11" t="n">
        <v/>
      </c>
      <c r="J2265" s="11" t="n">
        <v/>
      </c>
      <c r="K2265" s="4" t="inlineStr">
        <is>
          <t>Abrechnungsart wählen; Stundensätze eingeben</t>
        </is>
      </c>
    </row>
    <row r="2266">
      <c r="A2266" s="4" t="inlineStr">
        <is>
          <t>5902.42 BSB-DFS-042-Tower-Stuttgart</t>
        </is>
      </c>
      <c r="B2266" s="4" t="inlineStr">
        <is>
          <t>● BSB 2022 (auf Nachweis)</t>
        </is>
      </c>
      <c r="C2266" s="9" t="inlineStr">
        <is>
          <t>Unbekannt</t>
        </is>
      </c>
      <c r="D2266" s="10" t="inlineStr">
        <is>
          <t>⚠ Manual erforderlich</t>
        </is>
      </c>
      <c r="E2266" s="11" t="inlineStr"/>
      <c r="F2266" s="11" t="n">
        <v>0</v>
      </c>
      <c r="G2266" s="11">
        <f>E2266-F2266</f>
        <v/>
      </c>
      <c r="H2266" s="11" t="n">
        <v/>
      </c>
      <c r="I2266" s="11" t="n">
        <v/>
      </c>
      <c r="J2266" s="11" t="n">
        <v/>
      </c>
      <c r="K2266" s="4" t="inlineStr">
        <is>
          <t>Abrechnungsart wählen; Stundensätze eingeben</t>
        </is>
      </c>
    </row>
    <row r="2267">
      <c r="A2267" s="4" t="inlineStr">
        <is>
          <t>5902.42 BSB-DFS-042-Tower-Stuttgart</t>
        </is>
      </c>
      <c r="B2267" s="4" t="inlineStr">
        <is>
          <t>● BSB 2023 (auf Nachweis)</t>
        </is>
      </c>
      <c r="C2267" s="9" t="inlineStr">
        <is>
          <t>Unbekannt</t>
        </is>
      </c>
      <c r="D2267" s="10" t="inlineStr">
        <is>
          <t>⚠ Manual erforderlich</t>
        </is>
      </c>
      <c r="E2267" s="11" t="inlineStr"/>
      <c r="F2267" s="11" t="n">
        <v>0</v>
      </c>
      <c r="G2267" s="11">
        <f>E2267-F2267</f>
        <v/>
      </c>
      <c r="H2267" s="11" t="n">
        <v/>
      </c>
      <c r="I2267" s="11" t="n">
        <v/>
      </c>
      <c r="J2267" s="11" t="n">
        <v/>
      </c>
      <c r="K2267" s="4" t="inlineStr">
        <is>
          <t>Abrechnungsart wählen; Stundensätze eingeben</t>
        </is>
      </c>
    </row>
    <row r="2268">
      <c r="A2268" s="4" t="inlineStr">
        <is>
          <t>5902.42 BSB-DFS-042-Tower-Stuttgart</t>
        </is>
      </c>
      <c r="B2268" s="4" t="inlineStr">
        <is>
          <t>● Brandschutzbeauftragter 2024 (auf Nachweis)</t>
        </is>
      </c>
      <c r="C2268" s="9" t="inlineStr">
        <is>
          <t>Unbekannt</t>
        </is>
      </c>
      <c r="D2268" s="10" t="inlineStr">
        <is>
          <t>⚠ Manual erforderlich</t>
        </is>
      </c>
      <c r="E2268" s="11" t="inlineStr"/>
      <c r="F2268" s="11" t="n">
        <v>0</v>
      </c>
      <c r="G2268" s="11">
        <f>E2268-F2268</f>
        <v/>
      </c>
      <c r="H2268" s="11" t="n">
        <v/>
      </c>
      <c r="I2268" s="11" t="n">
        <v/>
      </c>
      <c r="J2268" s="11" t="n">
        <v/>
      </c>
      <c r="K2268" s="4" t="inlineStr">
        <is>
          <t>Abrechnungsart wählen; Stundensätze eingeben</t>
        </is>
      </c>
    </row>
    <row r="2269">
      <c r="A2269" s="4" t="inlineStr">
        <is>
          <t>5902.42 BSB-DFS-042-Tower-Stuttgart</t>
        </is>
      </c>
      <c r="B2269" s="4" t="inlineStr">
        <is>
          <t>● (a.N.) Brandschutzbeauftragter 2025</t>
        </is>
      </c>
      <c r="C2269" s="4" t="inlineStr">
        <is>
          <t>Nachweis</t>
        </is>
      </c>
      <c r="D2269" s="10" t="inlineStr">
        <is>
          <t>⚠ Manual erforderlich</t>
        </is>
      </c>
      <c r="E2269" s="11" t="inlineStr"/>
      <c r="F2269" s="11" t="n">
        <v>0</v>
      </c>
      <c r="G2269" s="11">
        <f>E2269-F2269</f>
        <v/>
      </c>
      <c r="H2269" s="11" t="n">
        <v/>
      </c>
      <c r="I2269" s="11" t="n">
        <v/>
      </c>
      <c r="J2269" s="11" t="n">
        <v/>
      </c>
      <c r="K2269" s="4" t="inlineStr">
        <is>
          <t>Stundensätze eingeben</t>
        </is>
      </c>
    </row>
    <row r="2270">
      <c r="A2270" s="4" t="inlineStr">
        <is>
          <t>5902.43 BSB-DFS-043-Tower-Nürnberg</t>
        </is>
      </c>
      <c r="B2270" s="4" t="inlineStr">
        <is>
          <t>● (aN) Brandschutzbeauftragter 2021 (auf Nachweis)</t>
        </is>
      </c>
      <c r="C2270" s="4" t="inlineStr">
        <is>
          <t>Nachweis</t>
        </is>
      </c>
      <c r="D2270" s="10" t="inlineStr">
        <is>
          <t>⚠ Manual erforderlich</t>
        </is>
      </c>
      <c r="E2270" s="11" t="inlineStr"/>
      <c r="F2270" s="11" t="n">
        <v>0</v>
      </c>
      <c r="G2270" s="11">
        <f>E2270-F2270</f>
        <v/>
      </c>
      <c r="H2270" s="11" t="n">
        <v/>
      </c>
      <c r="I2270" s="11" t="n">
        <v/>
      </c>
      <c r="J2270" s="11" t="n">
        <v/>
      </c>
      <c r="K2270" s="4" t="inlineStr">
        <is>
          <t>Stundensätze eingeben</t>
        </is>
      </c>
    </row>
    <row r="2271">
      <c r="A2271" s="4" t="inlineStr">
        <is>
          <t>5902.43 BSB-DFS-043-Tower-Nürnberg</t>
        </is>
      </c>
      <c r="B2271" s="4" t="inlineStr">
        <is>
          <t>● (aN) BSB 2022 (auf Nachweis)</t>
        </is>
      </c>
      <c r="C2271" s="4" t="inlineStr">
        <is>
          <t>Nachweis</t>
        </is>
      </c>
      <c r="D2271" s="10" t="inlineStr">
        <is>
          <t>⚠ Manual erforderlich</t>
        </is>
      </c>
      <c r="E2271" s="11" t="inlineStr"/>
      <c r="F2271" s="11" t="n">
        <v>0</v>
      </c>
      <c r="G2271" s="11">
        <f>E2271-F2271</f>
        <v/>
      </c>
      <c r="H2271" s="11" t="n">
        <v/>
      </c>
      <c r="I2271" s="11" t="n">
        <v/>
      </c>
      <c r="J2271" s="11" t="n">
        <v/>
      </c>
      <c r="K2271" s="4" t="inlineStr">
        <is>
          <t>Stundensätze eingeben</t>
        </is>
      </c>
    </row>
    <row r="2272">
      <c r="A2272" s="4" t="inlineStr">
        <is>
          <t>5902.43 BSB-DFS-043-Tower-Nürnberg</t>
        </is>
      </c>
      <c r="B2272" s="4" t="inlineStr">
        <is>
          <t>● (aN)  BSB 2023 (auf Nachweis)</t>
        </is>
      </c>
      <c r="C2272" s="4" t="inlineStr">
        <is>
          <t>Nachweis</t>
        </is>
      </c>
      <c r="D2272" s="10" t="inlineStr">
        <is>
          <t>⚠ Manual erforderlich</t>
        </is>
      </c>
      <c r="E2272" s="11" t="inlineStr"/>
      <c r="F2272" s="11" t="n">
        <v>0</v>
      </c>
      <c r="G2272" s="11">
        <f>E2272-F2272</f>
        <v/>
      </c>
      <c r="H2272" s="11" t="n">
        <v/>
      </c>
      <c r="I2272" s="11" t="n">
        <v/>
      </c>
      <c r="J2272" s="11" t="n">
        <v/>
      </c>
      <c r="K2272" s="4" t="inlineStr">
        <is>
          <t>Stundensätze eingeben</t>
        </is>
      </c>
    </row>
    <row r="2273">
      <c r="A2273" s="4" t="inlineStr">
        <is>
          <t>5902.43 BSB-DFS-043-Tower-Nürnberg</t>
        </is>
      </c>
      <c r="B2273" s="4" t="inlineStr">
        <is>
          <t>● (aN) Brandschutzbeauftragter 2024 (auf Nachweis)</t>
        </is>
      </c>
      <c r="C2273" s="4" t="inlineStr">
        <is>
          <t>Nachweis</t>
        </is>
      </c>
      <c r="D2273" s="10" t="inlineStr">
        <is>
          <t>⚠ Manual erforderlich</t>
        </is>
      </c>
      <c r="E2273" s="11" t="inlineStr"/>
      <c r="F2273" s="11" t="n">
        <v>0</v>
      </c>
      <c r="G2273" s="11">
        <f>E2273-F2273</f>
        <v/>
      </c>
      <c r="H2273" s="11" t="n">
        <v/>
      </c>
      <c r="I2273" s="11" t="n">
        <v/>
      </c>
      <c r="J2273" s="11" t="n">
        <v/>
      </c>
      <c r="K2273" s="4" t="inlineStr">
        <is>
          <t>Stundensätze eingeben</t>
        </is>
      </c>
    </row>
    <row r="2274">
      <c r="A2274" s="4" t="inlineStr">
        <is>
          <t>5902.43 BSB-DFS-043-Tower-Nürnberg</t>
        </is>
      </c>
      <c r="B2274" s="4" t="inlineStr">
        <is>
          <t>● (a.N.) Brandschutzbeauftragter 2025</t>
        </is>
      </c>
      <c r="C2274" s="4" t="inlineStr">
        <is>
          <t>Nachweis</t>
        </is>
      </c>
      <c r="D2274" s="10" t="inlineStr">
        <is>
          <t>⚠ Manual erforderlich</t>
        </is>
      </c>
      <c r="E2274" s="11" t="inlineStr"/>
      <c r="F2274" s="11" t="n">
        <v>0</v>
      </c>
      <c r="G2274" s="11">
        <f>E2274-F2274</f>
        <v/>
      </c>
      <c r="H2274" s="11" t="n">
        <v/>
      </c>
      <c r="I2274" s="11" t="n">
        <v/>
      </c>
      <c r="J2274" s="11" t="n">
        <v/>
      </c>
      <c r="K2274" s="4" t="inlineStr">
        <is>
          <t>Stundensätze eingeben</t>
        </is>
      </c>
    </row>
    <row r="2275">
      <c r="A2275" s="4" t="inlineStr">
        <is>
          <t>5902.431 BSO-DFS-043-Tower-Nürnberg</t>
        </is>
      </c>
      <c r="B2275" s="4" t="inlineStr">
        <is>
          <t>● BSO A-C (pauschal)</t>
        </is>
      </c>
      <c r="C2275" s="9" t="inlineStr">
        <is>
          <t>Unbekannt</t>
        </is>
      </c>
      <c r="D2275" s="10" t="inlineStr">
        <is>
          <t>⚠ Manual erforderlich</t>
        </is>
      </c>
      <c r="E2275" s="11" t="inlineStr"/>
      <c r="F2275" s="11" t="n">
        <v>0</v>
      </c>
      <c r="G2275" s="11">
        <f>E2275-F2275</f>
        <v/>
      </c>
      <c r="H2275" s="11" t="n">
        <v/>
      </c>
      <c r="I2275" s="11" t="n">
        <v/>
      </c>
      <c r="J2275" s="11" t="n">
        <v/>
      </c>
      <c r="K2275" s="4" t="inlineStr">
        <is>
          <t>Abrechnungsart wählen; Stundensätze eingeben</t>
        </is>
      </c>
    </row>
    <row r="2276">
      <c r="A2276" s="4" t="inlineStr">
        <is>
          <t>5902.44 BSB-DFS-023-Radarstation-Flughafen-Münster-Osnabrück</t>
        </is>
      </c>
      <c r="B2276" s="4" t="inlineStr">
        <is>
          <t>● BSB 2023 (aN)</t>
        </is>
      </c>
      <c r="C2276" s="4" t="inlineStr">
        <is>
          <t>Nachweis</t>
        </is>
      </c>
      <c r="D2276" s="10" t="inlineStr">
        <is>
          <t>⚠ Manual erforderlich</t>
        </is>
      </c>
      <c r="E2276" s="11" t="inlineStr"/>
      <c r="F2276" s="11" t="n">
        <v>0</v>
      </c>
      <c r="G2276" s="11">
        <f>E2276-F2276</f>
        <v/>
      </c>
      <c r="H2276" s="11" t="n">
        <v/>
      </c>
      <c r="I2276" s="11" t="n">
        <v/>
      </c>
      <c r="J2276" s="11" t="n">
        <v/>
      </c>
      <c r="K2276" s="4" t="inlineStr">
        <is>
          <t>Stundensätze eingeben</t>
        </is>
      </c>
    </row>
    <row r="2277">
      <c r="A2277" s="4" t="inlineStr">
        <is>
          <t>5902.44 BSB-DFS-023-Radarstation-Flughafen-Münster-Osnabrück</t>
        </is>
      </c>
      <c r="B2277" s="4" t="inlineStr">
        <is>
          <t>● BSB 2022 (aN)</t>
        </is>
      </c>
      <c r="C2277" s="4" t="inlineStr">
        <is>
          <t>Nachweis</t>
        </is>
      </c>
      <c r="D2277" s="10" t="inlineStr">
        <is>
          <t>⚠ Manual erforderlich</t>
        </is>
      </c>
      <c r="E2277" s="11" t="inlineStr"/>
      <c r="F2277" s="11" t="n">
        <v>0</v>
      </c>
      <c r="G2277" s="11">
        <f>E2277-F2277</f>
        <v/>
      </c>
      <c r="H2277" s="11" t="n">
        <v/>
      </c>
      <c r="I2277" s="11" t="n">
        <v/>
      </c>
      <c r="J2277" s="11" t="n">
        <v/>
      </c>
      <c r="K2277" s="4" t="inlineStr">
        <is>
          <t>Stundensätze eingeben</t>
        </is>
      </c>
    </row>
    <row r="2278">
      <c r="A2278" s="4" t="inlineStr">
        <is>
          <t>5902.44 BSB-DFS-023-Radarstation-Flughafen-Münster-Osnabrück</t>
        </is>
      </c>
      <c r="B2278" s="4" t="inlineStr">
        <is>
          <t>● BSB 2024 (aN)</t>
        </is>
      </c>
      <c r="C2278" s="4" t="inlineStr">
        <is>
          <t>Nachweis</t>
        </is>
      </c>
      <c r="D2278" s="10" t="inlineStr">
        <is>
          <t>⚠ Manual erforderlich</t>
        </is>
      </c>
      <c r="E2278" s="11" t="inlineStr"/>
      <c r="F2278" s="11" t="n">
        <v>0</v>
      </c>
      <c r="G2278" s="11">
        <f>E2278-F2278</f>
        <v/>
      </c>
      <c r="H2278" s="11" t="n">
        <v/>
      </c>
      <c r="I2278" s="11" t="n">
        <v/>
      </c>
      <c r="J2278" s="11" t="n">
        <v/>
      </c>
      <c r="K2278" s="4" t="inlineStr">
        <is>
          <t>Stundensätze eingeben</t>
        </is>
      </c>
    </row>
    <row r="2279">
      <c r="A2279" s="4" t="inlineStr">
        <is>
          <t>5902.44 BSB-DFS-023-Radarstation-Flughafen-Münster-Osnabrück</t>
        </is>
      </c>
      <c r="B2279" s="4" t="inlineStr">
        <is>
          <t>● BSB 2025 (aN)</t>
        </is>
      </c>
      <c r="C2279" s="4" t="inlineStr">
        <is>
          <t>Nachweis</t>
        </is>
      </c>
      <c r="D2279" s="10" t="inlineStr">
        <is>
          <t>⚠ Manual erforderlich</t>
        </is>
      </c>
      <c r="E2279" s="11" t="inlineStr"/>
      <c r="F2279" s="11" t="n">
        <v>0</v>
      </c>
      <c r="G2279" s="11">
        <f>E2279-F2279</f>
        <v/>
      </c>
      <c r="H2279" s="11" t="n">
        <v/>
      </c>
      <c r="I2279" s="11" t="n">
        <v/>
      </c>
      <c r="J2279" s="11" t="n">
        <v/>
      </c>
      <c r="K2279" s="4" t="inlineStr">
        <is>
          <t>Stundensätze eingeben</t>
        </is>
      </c>
    </row>
    <row r="2280">
      <c r="A2280" s="4" t="inlineStr">
        <is>
          <t>5902.46 BSB-DFS-046-Radarstation-Auersberg</t>
        </is>
      </c>
      <c r="B2280" s="4" t="inlineStr">
        <is>
          <t>● BSB 2023 (aN)</t>
        </is>
      </c>
      <c r="C2280" s="4" t="inlineStr">
        <is>
          <t>Nachweis</t>
        </is>
      </c>
      <c r="D2280" s="10" t="inlineStr">
        <is>
          <t>⚠ Manual erforderlich</t>
        </is>
      </c>
      <c r="E2280" s="11" t="inlineStr"/>
      <c r="F2280" s="11" t="n">
        <v>0</v>
      </c>
      <c r="G2280" s="11">
        <f>E2280-F2280</f>
        <v/>
      </c>
      <c r="H2280" s="11" t="n">
        <v/>
      </c>
      <c r="I2280" s="11" t="n">
        <v/>
      </c>
      <c r="J2280" s="11" t="n">
        <v/>
      </c>
      <c r="K2280" s="4" t="inlineStr">
        <is>
          <t>Stundensätze eingeben</t>
        </is>
      </c>
    </row>
    <row r="2281">
      <c r="A2281" s="4" t="inlineStr">
        <is>
          <t>5902.46 BSB-DFS-046-Radarstation-Auersberg</t>
        </is>
      </c>
      <c r="B2281" s="4" t="inlineStr">
        <is>
          <t>● BSB 2024 (aN)</t>
        </is>
      </c>
      <c r="C2281" s="4" t="inlineStr">
        <is>
          <t>Nachweis</t>
        </is>
      </c>
      <c r="D2281" s="10" t="inlineStr">
        <is>
          <t>⚠ Manual erforderlich</t>
        </is>
      </c>
      <c r="E2281" s="11" t="inlineStr"/>
      <c r="F2281" s="11" t="n">
        <v>0</v>
      </c>
      <c r="G2281" s="11">
        <f>E2281-F2281</f>
        <v/>
      </c>
      <c r="H2281" s="11" t="n">
        <v/>
      </c>
      <c r="I2281" s="11" t="n">
        <v/>
      </c>
      <c r="J2281" s="11" t="n">
        <v/>
      </c>
      <c r="K2281" s="4" t="inlineStr">
        <is>
          <t>Stundensätze eingeben</t>
        </is>
      </c>
    </row>
    <row r="2282">
      <c r="A2282" s="4" t="inlineStr">
        <is>
          <t>5902.46 BSB-DFS-046-Radarstation-Auersberg</t>
        </is>
      </c>
      <c r="B2282" s="4" t="inlineStr">
        <is>
          <t>● BSB 2025 (aN)</t>
        </is>
      </c>
      <c r="C2282" s="4" t="inlineStr">
        <is>
          <t>Nachweis</t>
        </is>
      </c>
      <c r="D2282" s="10" t="inlineStr">
        <is>
          <t>⚠ Manual erforderlich</t>
        </is>
      </c>
      <c r="E2282" s="11" t="inlineStr"/>
      <c r="F2282" s="11" t="n">
        <v>0</v>
      </c>
      <c r="G2282" s="11">
        <f>E2282-F2282</f>
        <v/>
      </c>
      <c r="H2282" s="11" t="n">
        <v/>
      </c>
      <c r="I2282" s="11" t="n">
        <v/>
      </c>
      <c r="J2282" s="11" t="n">
        <v/>
      </c>
      <c r="K2282" s="4" t="inlineStr">
        <is>
          <t>Stundensätze eingeben</t>
        </is>
      </c>
    </row>
    <row r="2283">
      <c r="A2283" s="4" t="inlineStr">
        <is>
          <t>5902.48 BSB-DFS-048-Radarstation Lüdenscheid</t>
        </is>
      </c>
      <c r="B2283" s="4" t="inlineStr">
        <is>
          <t>● BSB 2023 (aN)</t>
        </is>
      </c>
      <c r="C2283" s="4" t="inlineStr">
        <is>
          <t>Nachweis</t>
        </is>
      </c>
      <c r="D2283" s="10" t="inlineStr">
        <is>
          <t>⚠ Manual erforderlich</t>
        </is>
      </c>
      <c r="E2283" s="11" t="inlineStr"/>
      <c r="F2283" s="11" t="n">
        <v>0</v>
      </c>
      <c r="G2283" s="11">
        <f>E2283-F2283</f>
        <v/>
      </c>
      <c r="H2283" s="11" t="n">
        <v/>
      </c>
      <c r="I2283" s="11" t="n">
        <v/>
      </c>
      <c r="J2283" s="11" t="n">
        <v/>
      </c>
      <c r="K2283" s="4" t="inlineStr">
        <is>
          <t>Stundensätze eingeben</t>
        </is>
      </c>
    </row>
    <row r="2284">
      <c r="A2284" s="4" t="inlineStr">
        <is>
          <t>5902.48 BSB-DFS-048-Radarstation Lüdenscheid</t>
        </is>
      </c>
      <c r="B2284" s="4" t="inlineStr">
        <is>
          <t>● BSB 2024 (aN)</t>
        </is>
      </c>
      <c r="C2284" s="4" t="inlineStr">
        <is>
          <t>Nachweis</t>
        </is>
      </c>
      <c r="D2284" s="10" t="inlineStr">
        <is>
          <t>⚠ Manual erforderlich</t>
        </is>
      </c>
      <c r="E2284" s="11" t="inlineStr"/>
      <c r="F2284" s="11" t="n">
        <v>0</v>
      </c>
      <c r="G2284" s="11">
        <f>E2284-F2284</f>
        <v/>
      </c>
      <c r="H2284" s="11" t="n">
        <v/>
      </c>
      <c r="I2284" s="11" t="n">
        <v/>
      </c>
      <c r="J2284" s="11" t="n">
        <v/>
      </c>
      <c r="K2284" s="4" t="inlineStr">
        <is>
          <t>Stundensätze eingeben</t>
        </is>
      </c>
    </row>
    <row r="2285">
      <c r="A2285" s="4" t="inlineStr">
        <is>
          <t>5902.48 BSB-DFS-048-Radarstation Lüdenscheid</t>
        </is>
      </c>
      <c r="B2285" s="4" t="inlineStr">
        <is>
          <t>● BSB 2025 (aN)</t>
        </is>
      </c>
      <c r="C2285" s="4" t="inlineStr">
        <is>
          <t>Nachweis</t>
        </is>
      </c>
      <c r="D2285" s="10" t="inlineStr">
        <is>
          <t>⚠ Manual erforderlich</t>
        </is>
      </c>
      <c r="E2285" s="11" t="inlineStr"/>
      <c r="F2285" s="11" t="n">
        <v>0</v>
      </c>
      <c r="G2285" s="11">
        <f>E2285-F2285</f>
        <v/>
      </c>
      <c r="H2285" s="11" t="n">
        <v/>
      </c>
      <c r="I2285" s="11" t="n">
        <v/>
      </c>
      <c r="J2285" s="11" t="n">
        <v/>
      </c>
      <c r="K2285" s="4" t="inlineStr">
        <is>
          <t>Stundensätze eingeben</t>
        </is>
      </c>
    </row>
    <row r="2286">
      <c r="A2286" s="4" t="inlineStr">
        <is>
          <t>5902.50 BSB-DFS-Radarstation-Gosheim</t>
        </is>
      </c>
      <c r="B2286" s="4" t="inlineStr">
        <is>
          <t>● BSB 2025 (aN)</t>
        </is>
      </c>
      <c r="C2286" s="4" t="inlineStr">
        <is>
          <t>Nachweis</t>
        </is>
      </c>
      <c r="D2286" s="10" t="inlineStr">
        <is>
          <t>⚠ Manual erforderlich</t>
        </is>
      </c>
      <c r="E2286" s="11" t="inlineStr"/>
      <c r="F2286" s="11" t="n">
        <v>0</v>
      </c>
      <c r="G2286" s="11">
        <f>E2286-F2286</f>
        <v/>
      </c>
      <c r="H2286" s="11" t="n">
        <v/>
      </c>
      <c r="I2286" s="11" t="n">
        <v/>
      </c>
      <c r="J2286" s="11" t="n">
        <v/>
      </c>
      <c r="K2286" s="4" t="inlineStr">
        <is>
          <t>Stundensätze eingeben</t>
        </is>
      </c>
    </row>
    <row r="2287">
      <c r="A2287" s="4" t="inlineStr">
        <is>
          <t>5902.501 DFS-BSK-NAT042-Radarstation-Gosheim+Sendestelle</t>
        </is>
      </c>
      <c r="B2287" s="4" t="inlineStr">
        <is>
          <t>● (aN) Pos.1 Erstellung BSK für Radarstation und Sendeanlage</t>
        </is>
      </c>
      <c r="C2287" s="4" t="inlineStr">
        <is>
          <t>Nachweis</t>
        </is>
      </c>
      <c r="D2287" s="10" t="inlineStr">
        <is>
          <t>⚠ Manual erforderlich</t>
        </is>
      </c>
      <c r="E2287" s="11" t="inlineStr"/>
      <c r="F2287" s="11" t="n">
        <v>0</v>
      </c>
      <c r="G2287" s="11">
        <f>E2287-F2287</f>
        <v/>
      </c>
      <c r="H2287" s="11" t="n">
        <v/>
      </c>
      <c r="I2287" s="11" t="n">
        <v/>
      </c>
      <c r="J2287" s="11" t="n">
        <v/>
      </c>
      <c r="K2287" s="4" t="inlineStr">
        <is>
          <t>Stundensätze eingeben</t>
        </is>
      </c>
    </row>
    <row r="2288">
      <c r="A2288" s="4" t="inlineStr">
        <is>
          <t>5902.501 DFS-BSK-NAT042-Radarstation-Gosheim+Sendestelle</t>
        </is>
      </c>
      <c r="B2288" s="4" t="inlineStr">
        <is>
          <t>● (aN) Pos.2 Brandschutzkonzeptpläne</t>
        </is>
      </c>
      <c r="C2288" s="4" t="inlineStr">
        <is>
          <t>Nachweis</t>
        </is>
      </c>
      <c r="D2288" s="10" t="inlineStr">
        <is>
          <t>⚠ Manual erforderlich</t>
        </is>
      </c>
      <c r="E2288" s="11" t="inlineStr"/>
      <c r="F2288" s="11" t="n">
        <v>0</v>
      </c>
      <c r="G2288" s="11">
        <f>E2288-F2288</f>
        <v/>
      </c>
      <c r="H2288" s="11" t="n">
        <v/>
      </c>
      <c r="I2288" s="11" t="n">
        <v/>
      </c>
      <c r="J2288" s="11" t="n">
        <v/>
      </c>
      <c r="K2288" s="4" t="inlineStr">
        <is>
          <t>Stundensätze eingeben</t>
        </is>
      </c>
    </row>
    <row r="2289">
      <c r="A2289" s="4" t="inlineStr">
        <is>
          <t>5902.501 DFS-BSK-NAT042-Radarstation-Gosheim+Sendestelle</t>
        </is>
      </c>
      <c r="B2289" s="4" t="inlineStr">
        <is>
          <t>● (aN) Pos.3  Brandschutzkonzeptpläne Digitalisierung</t>
        </is>
      </c>
      <c r="C2289" s="4" t="inlineStr">
        <is>
          <t>Nachweis</t>
        </is>
      </c>
      <c r="D2289" s="10" t="inlineStr">
        <is>
          <t>⚠ Manual erforderlich</t>
        </is>
      </c>
      <c r="E2289" s="11" t="inlineStr"/>
      <c r="F2289" s="11" t="n">
        <v>0</v>
      </c>
      <c r="G2289" s="11">
        <f>E2289-F2289</f>
        <v/>
      </c>
      <c r="H2289" s="11" t="n">
        <v/>
      </c>
      <c r="I2289" s="11" t="n">
        <v/>
      </c>
      <c r="J2289" s="11" t="n">
        <v/>
      </c>
      <c r="K2289" s="4" t="inlineStr">
        <is>
          <t>Stundensätze eingeben</t>
        </is>
      </c>
    </row>
    <row r="2290">
      <c r="A2290" s="4" t="inlineStr">
        <is>
          <t>5902.501 DFS-BSK-NAT042-Radarstation-Gosheim+Sendestelle</t>
        </is>
      </c>
      <c r="B2290" s="4" t="inlineStr">
        <is>
          <t>● (aN) Pos.4 Objektbegehung</t>
        </is>
      </c>
      <c r="C2290" s="4" t="inlineStr">
        <is>
          <t>Nachweis</t>
        </is>
      </c>
      <c r="D2290" s="10" t="inlineStr">
        <is>
          <t>⚠ Manual erforderlich</t>
        </is>
      </c>
      <c r="E2290" s="11" t="inlineStr"/>
      <c r="F2290" s="11" t="n">
        <v>0</v>
      </c>
      <c r="G2290" s="11">
        <f>E2290-F2290</f>
        <v/>
      </c>
      <c r="H2290" s="11" t="n">
        <v/>
      </c>
      <c r="I2290" s="11" t="n">
        <v/>
      </c>
      <c r="J2290" s="11" t="n">
        <v/>
      </c>
      <c r="K2290" s="4" t="inlineStr">
        <is>
          <t>Stundensätze eingeben</t>
        </is>
      </c>
    </row>
    <row r="2291">
      <c r="A2291" s="4" t="inlineStr">
        <is>
          <t>5902.501 DFS-BSK-NAT042-Radarstation-Gosheim+Sendestelle</t>
        </is>
      </c>
      <c r="B2291" s="4" t="inlineStr">
        <is>
          <t>● (p) Pos.5 FWP</t>
        </is>
      </c>
      <c r="C2291" s="4" t="inlineStr">
        <is>
          <t>Pauschale</t>
        </is>
      </c>
      <c r="D2291" s="10" t="inlineStr">
        <is>
          <t>⚠ Manual erforderlich</t>
        </is>
      </c>
      <c r="E2291" s="11" t="inlineStr"/>
      <c r="F2291" s="11" t="n">
        <v>0</v>
      </c>
      <c r="G2291" s="11">
        <f>E2291-F2291</f>
        <v/>
      </c>
      <c r="H2291" s="11" t="n">
        <v>0</v>
      </c>
      <c r="I2291" s="11" t="n">
        <v>0</v>
      </c>
      <c r="J2291" s="11" t="n">
        <v>0</v>
      </c>
      <c r="K2291" s="4" t="inlineStr">
        <is>
          <t>Stundensätze eingeben</t>
        </is>
      </c>
    </row>
    <row r="2292">
      <c r="A2292" s="4" t="inlineStr">
        <is>
          <t>5902.51 NAT-BSO-DFS-CBT</t>
        </is>
      </c>
      <c r="B2292" s="4" t="inlineStr">
        <is>
          <t>● (aN) Pos.1 Überprüfung Computer-Based-Trainings</t>
        </is>
      </c>
      <c r="C2292" s="4" t="inlineStr">
        <is>
          <t>Nachweis</t>
        </is>
      </c>
      <c r="D2292" s="10" t="inlineStr">
        <is>
          <t>⚠ Manual erforderlich</t>
        </is>
      </c>
      <c r="E2292" s="11" t="inlineStr"/>
      <c r="F2292" s="11" t="n">
        <v>0</v>
      </c>
      <c r="G2292" s="11">
        <f>E2292-F2292</f>
        <v/>
      </c>
      <c r="H2292" s="11" t="n">
        <v/>
      </c>
      <c r="I2292" s="11" t="n">
        <v/>
      </c>
      <c r="J2292" s="11" t="n">
        <v/>
      </c>
      <c r="K2292" s="4" t="inlineStr">
        <is>
          <t>Stundensätze eingeben</t>
        </is>
      </c>
    </row>
    <row r="2293">
      <c r="A2293" s="4" t="inlineStr">
        <is>
          <t>5902.51 NAT-BSO-DFS-CBT</t>
        </is>
      </c>
      <c r="B2293" s="4" t="inlineStr">
        <is>
          <t>● (aN) Pos.2 Überarbeitung Computer-Based-Trainings komplett</t>
        </is>
      </c>
      <c r="C2293" s="4" t="inlineStr">
        <is>
          <t>Nachweis</t>
        </is>
      </c>
      <c r="D2293" s="10" t="inlineStr">
        <is>
          <t>⚠ Manual erforderlich</t>
        </is>
      </c>
      <c r="E2293" s="11" t="inlineStr"/>
      <c r="F2293" s="11" t="n">
        <v>0</v>
      </c>
      <c r="G2293" s="11">
        <f>E2293-F2293</f>
        <v/>
      </c>
      <c r="H2293" s="11" t="n">
        <v/>
      </c>
      <c r="I2293" s="11" t="n">
        <v/>
      </c>
      <c r="J2293" s="11" t="n">
        <v/>
      </c>
      <c r="K2293" s="4" t="inlineStr">
        <is>
          <t>Stundensätze eingeben</t>
        </is>
      </c>
    </row>
    <row r="2294">
      <c r="A2294" s="4" t="inlineStr">
        <is>
          <t>5902.52 DFS-NAT041-BSB-Radarstation-Stuttgart</t>
        </is>
      </c>
      <c r="B2294" s="4" t="inlineStr">
        <is>
          <t>● (aN) Pos.1 Stellung BSB</t>
        </is>
      </c>
      <c r="C2294" s="4" t="inlineStr">
        <is>
          <t>Nachweis</t>
        </is>
      </c>
      <c r="D2294" s="10" t="inlineStr">
        <is>
          <t>⚠ Manual erforderlich</t>
        </is>
      </c>
      <c r="E2294" s="11" t="inlineStr"/>
      <c r="F2294" s="11" t="n">
        <v>0</v>
      </c>
      <c r="G2294" s="11">
        <f>E2294-F2294</f>
        <v/>
      </c>
      <c r="H2294" s="11" t="n">
        <v/>
      </c>
      <c r="I2294" s="11" t="n">
        <v/>
      </c>
      <c r="J2294" s="11" t="n">
        <v/>
      </c>
      <c r="K2294" s="4" t="inlineStr">
        <is>
          <t>Stundensätze eingeben</t>
        </is>
      </c>
    </row>
    <row r="2295">
      <c r="A2295" s="4" t="inlineStr">
        <is>
          <t>5908.02 Zech-FWP-Wildparkstadion-Karlsruhe</t>
        </is>
      </c>
      <c r="B2295" s="4" t="inlineStr">
        <is>
          <t>● (p) Pos. 1 Anp. FWP (CAD)</t>
        </is>
      </c>
      <c r="C2295" s="4" t="inlineStr">
        <is>
          <t>Pauschale</t>
        </is>
      </c>
      <c r="D2295" s="10" t="inlineStr">
        <is>
          <t>⚠ Manual erforderlich</t>
        </is>
      </c>
      <c r="E2295" s="11" t="inlineStr"/>
      <c r="F2295" s="11" t="n">
        <v>0</v>
      </c>
      <c r="G2295" s="11">
        <f>E2295-F2295</f>
        <v/>
      </c>
      <c r="H2295" s="11" t="n">
        <v>0</v>
      </c>
      <c r="I2295" s="11" t="n">
        <v>0</v>
      </c>
      <c r="J2295" s="11" t="n">
        <v>0</v>
      </c>
      <c r="K2295" s="4" t="inlineStr">
        <is>
          <t>Stundensätze eingeben</t>
        </is>
      </c>
    </row>
    <row r="2296">
      <c r="A2296" s="4" t="inlineStr">
        <is>
          <t>5909 Beiersdorf-Produktionskomplex</t>
        </is>
      </c>
      <c r="B2296" s="4" t="inlineStr">
        <is>
          <t>● 3000-Entwurfsplanung</t>
        </is>
      </c>
      <c r="C2296" s="9" t="inlineStr">
        <is>
          <t>Unbekannt</t>
        </is>
      </c>
      <c r="D2296" s="10" t="inlineStr">
        <is>
          <t>⚠ Manual erforderlich</t>
        </is>
      </c>
      <c r="E2296" s="11" t="inlineStr"/>
      <c r="F2296" s="11" t="n">
        <v>0</v>
      </c>
      <c r="G2296" s="11">
        <f>E2296-F2296</f>
        <v/>
      </c>
      <c r="H2296" s="11" t="n">
        <v/>
      </c>
      <c r="I2296" s="11" t="n">
        <v/>
      </c>
      <c r="J2296" s="11" t="n">
        <v/>
      </c>
      <c r="K2296" s="4" t="inlineStr">
        <is>
          <t>Abrechnungsart wählen; Stundensätze eingeben</t>
        </is>
      </c>
    </row>
    <row r="2297">
      <c r="A2297" s="4" t="inlineStr">
        <is>
          <t>5909 Beiersdorf-Produktionskomplex</t>
        </is>
      </c>
      <c r="B2297" s="4" t="inlineStr">
        <is>
          <t>● 4000-Genehmigungsplanung</t>
        </is>
      </c>
      <c r="C2297" s="9" t="inlineStr">
        <is>
          <t>Unbekannt</t>
        </is>
      </c>
      <c r="D2297" s="10" t="inlineStr">
        <is>
          <t>⚠ Manual erforderlich</t>
        </is>
      </c>
      <c r="E2297" s="11" t="inlineStr"/>
      <c r="F2297" s="11" t="n">
        <v>0</v>
      </c>
      <c r="G2297" s="11">
        <f>E2297-F2297</f>
        <v/>
      </c>
      <c r="H2297" s="11" t="n">
        <v/>
      </c>
      <c r="I2297" s="11" t="n">
        <v/>
      </c>
      <c r="J2297" s="11" t="n">
        <v/>
      </c>
      <c r="K2297" s="4" t="inlineStr">
        <is>
          <t>Abrechnungsart wählen; Stundensätze eingeben</t>
        </is>
      </c>
    </row>
    <row r="2298">
      <c r="A2298" s="4" t="inlineStr">
        <is>
          <t>5909 Beiersdorf-Produktionskomplex</t>
        </is>
      </c>
      <c r="B2298" s="4" t="inlineStr">
        <is>
          <t>● 5000-Ausführungsplanung</t>
        </is>
      </c>
      <c r="C2298" s="9" t="inlineStr">
        <is>
          <t>Unbekannt</t>
        </is>
      </c>
      <c r="D2298" s="10" t="inlineStr">
        <is>
          <t>⚠ Manual erforderlich</t>
        </is>
      </c>
      <c r="E2298" s="11" t="inlineStr"/>
      <c r="F2298" s="11" t="n">
        <v>0</v>
      </c>
      <c r="G2298" s="11">
        <f>E2298-F2298</f>
        <v/>
      </c>
      <c r="H2298" s="11" t="n">
        <v/>
      </c>
      <c r="I2298" s="11" t="n">
        <v/>
      </c>
      <c r="J2298" s="11" t="n">
        <v/>
      </c>
      <c r="K2298" s="4" t="inlineStr">
        <is>
          <t>Abrechnungsart wählen; Stundensätze eingeben</t>
        </is>
      </c>
    </row>
    <row r="2299">
      <c r="A2299" s="4" t="inlineStr">
        <is>
          <t>5909 Beiersdorf-Produktionskomplex</t>
        </is>
      </c>
      <c r="B2299" s="4" t="inlineStr">
        <is>
          <t>● 8000-Objektüberwachung</t>
        </is>
      </c>
      <c r="C2299" s="9" t="inlineStr">
        <is>
          <t>Unbekannt</t>
        </is>
      </c>
      <c r="D2299" s="10" t="inlineStr">
        <is>
          <t>⚠ Manual erforderlich</t>
        </is>
      </c>
      <c r="E2299" s="11" t="inlineStr"/>
      <c r="F2299" s="11" t="n">
        <v>0</v>
      </c>
      <c r="G2299" s="11">
        <f>E2299-F2299</f>
        <v/>
      </c>
      <c r="H2299" s="11" t="n">
        <v/>
      </c>
      <c r="I2299" s="11" t="n">
        <v/>
      </c>
      <c r="J2299" s="11" t="n">
        <v/>
      </c>
      <c r="K2299" s="4" t="inlineStr">
        <is>
          <t>Abrechnungsart wählen; Stundensätze eingeben</t>
        </is>
      </c>
    </row>
    <row r="2300">
      <c r="A2300" s="4" t="inlineStr">
        <is>
          <t>5909.01 FRP-Beiersdorf-Produktionskomplex</t>
        </is>
      </c>
      <c r="B2300" s="4" t="inlineStr">
        <is>
          <t>● FuR-Pläne (pauschal)</t>
        </is>
      </c>
      <c r="C2300" s="9" t="inlineStr">
        <is>
          <t>Unbekannt</t>
        </is>
      </c>
      <c r="D2300" s="10" t="inlineStr">
        <is>
          <t>⚠ Manual erforderlich</t>
        </is>
      </c>
      <c r="E2300" s="11" t="inlineStr"/>
      <c r="F2300" s="11" t="n">
        <v>0</v>
      </c>
      <c r="G2300" s="11">
        <f>E2300-F2300</f>
        <v/>
      </c>
      <c r="H2300" s="11" t="n">
        <v/>
      </c>
      <c r="I2300" s="11" t="n">
        <v/>
      </c>
      <c r="J2300" s="11" t="n">
        <v/>
      </c>
      <c r="K2300" s="4" t="inlineStr">
        <is>
          <t>Abrechnungsart wählen; Stundensätze eingeben</t>
        </is>
      </c>
    </row>
    <row r="2301">
      <c r="A2301" s="4" t="inlineStr">
        <is>
          <t>5909.03 ioc-Revisionierung-FWP-Beiersdorf-Produktionskomplex</t>
        </is>
      </c>
      <c r="B2301" s="4" t="inlineStr">
        <is>
          <t>● (p) Pos. 1 Revisionierung FWP</t>
        </is>
      </c>
      <c r="C2301" s="4" t="inlineStr">
        <is>
          <t>Pauschale</t>
        </is>
      </c>
      <c r="D2301" s="10" t="inlineStr">
        <is>
          <t>⚠ Manual erforderlich</t>
        </is>
      </c>
      <c r="E2301" s="11" t="inlineStr"/>
      <c r="F2301" s="11" t="n">
        <v>0</v>
      </c>
      <c r="G2301" s="11">
        <f>E2301-F2301</f>
        <v/>
      </c>
      <c r="H2301" s="11" t="n">
        <v>0</v>
      </c>
      <c r="I2301" s="11" t="n">
        <v>0</v>
      </c>
      <c r="J2301" s="11" t="n">
        <v>0</v>
      </c>
      <c r="K2301" s="4" t="inlineStr">
        <is>
          <t>Stundensätze eingeben</t>
        </is>
      </c>
    </row>
    <row r="2302">
      <c r="A2302" s="4" t="inlineStr">
        <is>
          <t>5910.07 Züblin-Roche-BSK-ESSWM-Laborausbau-3.OG-SandhoferStr116-Mannheim</t>
        </is>
      </c>
      <c r="B2302" s="4" t="inlineStr">
        <is>
          <t>● (p) Pos. 1 Fortschr. BSK</t>
        </is>
      </c>
      <c r="C2302" s="4" t="inlineStr">
        <is>
          <t>Pauschale</t>
        </is>
      </c>
      <c r="D2302" s="10" t="inlineStr">
        <is>
          <t>⚠ Manual erforderlich</t>
        </is>
      </c>
      <c r="E2302" s="11" t="inlineStr"/>
      <c r="F2302" s="11" t="n">
        <v>0</v>
      </c>
      <c r="G2302" s="11">
        <f>E2302-F2302</f>
        <v/>
      </c>
      <c r="H2302" s="11" t="n">
        <v>0</v>
      </c>
      <c r="I2302" s="11" t="n">
        <v>0</v>
      </c>
      <c r="J2302" s="11" t="n">
        <v>0</v>
      </c>
      <c r="K2302" s="4" t="inlineStr">
        <is>
          <t>Stundensätze eingeben</t>
        </is>
      </c>
    </row>
    <row r="2303">
      <c r="A2303" s="4" t="inlineStr">
        <is>
          <t>5910.07 Züblin-Roche-BSK-ESSWM-Laborausbau-3.OG-SandhoferStr116-Mannheim</t>
        </is>
      </c>
      <c r="B2303" s="4" t="inlineStr">
        <is>
          <t>● (aN) Erw. Pos. 1 Fortschr. BSK</t>
        </is>
      </c>
      <c r="C2303" s="4" t="inlineStr">
        <is>
          <t>Nachweis</t>
        </is>
      </c>
      <c r="D2303" s="10" t="inlineStr">
        <is>
          <t>⚠ Manual erforderlich</t>
        </is>
      </c>
      <c r="E2303" s="11" t="inlineStr"/>
      <c r="F2303" s="11" t="n">
        <v>0</v>
      </c>
      <c r="G2303" s="11">
        <f>E2303-F2303</f>
        <v/>
      </c>
      <c r="H2303" s="11" t="n">
        <v/>
      </c>
      <c r="I2303" s="11" t="n">
        <v/>
      </c>
      <c r="J2303" s="11" t="n">
        <v/>
      </c>
      <c r="K2303" s="4" t="inlineStr">
        <is>
          <t>Stundensätze eingeben</t>
        </is>
      </c>
    </row>
    <row r="2304">
      <c r="A2304" s="4" t="inlineStr">
        <is>
          <t>5910.07 Züblin-Roche-BSK-ESSWM-Laborausbau-3.OG-SandhoferStr116-Mannheim</t>
        </is>
      </c>
      <c r="B2304" s="4" t="inlineStr">
        <is>
          <t>● (aN) Pos. 2 BTB (SV)</t>
        </is>
      </c>
      <c r="C2304" s="4" t="inlineStr">
        <is>
          <t>Nachweis</t>
        </is>
      </c>
      <c r="D2304" s="10" t="inlineStr">
        <is>
          <t>⚠ Manual erforderlich</t>
        </is>
      </c>
      <c r="E2304" s="11" t="inlineStr"/>
      <c r="F2304" s="11" t="n">
        <v>0</v>
      </c>
      <c r="G2304" s="11">
        <f>E2304-F2304</f>
        <v/>
      </c>
      <c r="H2304" s="11" t="n">
        <v/>
      </c>
      <c r="I2304" s="11" t="n">
        <v/>
      </c>
      <c r="J2304" s="11" t="n">
        <v/>
      </c>
      <c r="K2304" s="4" t="inlineStr">
        <is>
          <t>Stundensätze eingeben</t>
        </is>
      </c>
    </row>
    <row r="2305">
      <c r="A2305" s="4" t="inlineStr">
        <is>
          <t>5910.07 Züblin-Roche-BSK-ESSWM-Laborausbau-3.OG-SandhoferStr116-Mannheim</t>
        </is>
      </c>
      <c r="B2305" s="4" t="inlineStr">
        <is>
          <t>● (p) Pos. 3 Anp. FWP</t>
        </is>
      </c>
      <c r="C2305" s="4" t="inlineStr">
        <is>
          <t>Pauschale</t>
        </is>
      </c>
      <c r="D2305" s="10" t="inlineStr">
        <is>
          <t>⚠ Manual erforderlich</t>
        </is>
      </c>
      <c r="E2305" s="11" t="inlineStr"/>
      <c r="F2305" s="11" t="n">
        <v>0</v>
      </c>
      <c r="G2305" s="11">
        <f>E2305-F2305</f>
        <v/>
      </c>
      <c r="H2305" s="11" t="n">
        <v>0</v>
      </c>
      <c r="I2305" s="11" t="n">
        <v>0</v>
      </c>
      <c r="J2305" s="11" t="n">
        <v>0</v>
      </c>
      <c r="K2305" s="4" t="inlineStr">
        <is>
          <t>Stundensätze eingeben</t>
        </is>
      </c>
    </row>
    <row r="2306">
      <c r="A2306" s="4" t="inlineStr">
        <is>
          <t>5910.07 Züblin-Roche-BSK-ESSWM-Laborausbau-3.OG-SandhoferStr116-Mannheim</t>
        </is>
      </c>
      <c r="B2306" s="4" t="inlineStr">
        <is>
          <t>● (p) Pos. 4 Anp. FRP</t>
        </is>
      </c>
      <c r="C2306" s="4" t="inlineStr">
        <is>
          <t>Pauschale</t>
        </is>
      </c>
      <c r="D2306" s="10" t="inlineStr">
        <is>
          <t>⚠ Manual erforderlich</t>
        </is>
      </c>
      <c r="E2306" s="11" t="inlineStr"/>
      <c r="F2306" s="11" t="n">
        <v>0</v>
      </c>
      <c r="G2306" s="11">
        <f>E2306-F2306</f>
        <v/>
      </c>
      <c r="H2306" s="11" t="n">
        <v>0</v>
      </c>
      <c r="I2306" s="11" t="n">
        <v>0</v>
      </c>
      <c r="J2306" s="11" t="n">
        <v>0</v>
      </c>
      <c r="K2306" s="4" t="inlineStr">
        <is>
          <t>Stundensätze eingeben</t>
        </is>
      </c>
    </row>
    <row r="2307">
      <c r="A2307" s="4" t="inlineStr">
        <is>
          <t>5929.03 Sauter-BTB-Lager-Thermo-Fisher-Im-Steingrund-4-10-Dreieich</t>
        </is>
      </c>
      <c r="B2307" s="4" t="inlineStr">
        <is>
          <t>● (aN) Pos. 1 Brandschutztechnische Beratung (SV)</t>
        </is>
      </c>
      <c r="C2307" s="4" t="inlineStr">
        <is>
          <t>Nachweis</t>
        </is>
      </c>
      <c r="D2307" s="10" t="inlineStr">
        <is>
          <t>⚠ Manual erforderlich</t>
        </is>
      </c>
      <c r="E2307" s="11" t="inlineStr"/>
      <c r="F2307" s="11" t="n">
        <v>0</v>
      </c>
      <c r="G2307" s="11">
        <f>E2307-F2307</f>
        <v/>
      </c>
      <c r="H2307" s="11" t="n">
        <v/>
      </c>
      <c r="I2307" s="11" t="n">
        <v/>
      </c>
      <c r="J2307" s="11" t="n">
        <v/>
      </c>
      <c r="K2307" s="4" t="inlineStr">
        <is>
          <t>Stundensätze eingeben</t>
        </is>
      </c>
    </row>
    <row r="2308">
      <c r="A2308" s="4" t="inlineStr">
        <is>
          <t>5932   Am-Heiligenstock-1-Hofheim</t>
        </is>
      </c>
      <c r="B2308" s="4" t="inlineStr">
        <is>
          <t>● 0001-Sonstiges</t>
        </is>
      </c>
      <c r="C2308" s="9" t="inlineStr">
        <is>
          <t>Unbekannt</t>
        </is>
      </c>
      <c r="D2308" s="10" t="inlineStr">
        <is>
          <t>⚠ Manual erforderlich</t>
        </is>
      </c>
      <c r="E2308" s="11" t="inlineStr"/>
      <c r="F2308" s="11" t="n">
        <v>0</v>
      </c>
      <c r="G2308" s="11">
        <f>E2308-F2308</f>
        <v/>
      </c>
      <c r="H2308" s="11" t="n">
        <v/>
      </c>
      <c r="I2308" s="11" t="n">
        <v/>
      </c>
      <c r="J2308" s="11" t="n">
        <v/>
      </c>
      <c r="K2308" s="4" t="inlineStr">
        <is>
          <t>Abrechnungsart wählen; Stundensätze eingeben</t>
        </is>
      </c>
    </row>
    <row r="2309">
      <c r="A2309" s="4" t="inlineStr">
        <is>
          <t>5932   Am-Heiligenstock-1-Hofheim</t>
        </is>
      </c>
      <c r="B2309" s="4" t="inlineStr">
        <is>
          <t>● 1000-Grundlagenermittlung</t>
        </is>
      </c>
      <c r="C2309" s="9" t="inlineStr">
        <is>
          <t>Unbekannt</t>
        </is>
      </c>
      <c r="D2309" s="10" t="inlineStr">
        <is>
          <t>⚠ Manual erforderlich</t>
        </is>
      </c>
      <c r="E2309" s="11" t="inlineStr"/>
      <c r="F2309" s="11" t="n">
        <v>0</v>
      </c>
      <c r="G2309" s="11">
        <f>E2309-F2309</f>
        <v/>
      </c>
      <c r="H2309" s="11" t="n">
        <v/>
      </c>
      <c r="I2309" s="11" t="n">
        <v/>
      </c>
      <c r="J2309" s="11" t="n">
        <v/>
      </c>
      <c r="K2309" s="4" t="inlineStr">
        <is>
          <t>Abrechnungsart wählen; Stundensätze eingeben</t>
        </is>
      </c>
    </row>
    <row r="2310">
      <c r="A2310" s="4" t="inlineStr">
        <is>
          <t>5932   Am-Heiligenstock-1-Hofheim</t>
        </is>
      </c>
      <c r="B2310" s="4" t="inlineStr">
        <is>
          <t>● 2000-Vorplanung</t>
        </is>
      </c>
      <c r="C2310" s="9" t="inlineStr">
        <is>
          <t>Unbekannt</t>
        </is>
      </c>
      <c r="D2310" s="10" t="inlineStr">
        <is>
          <t>⚠ Manual erforderlich</t>
        </is>
      </c>
      <c r="E2310" s="11" t="inlineStr"/>
      <c r="F2310" s="11" t="n">
        <v>0</v>
      </c>
      <c r="G2310" s="11">
        <f>E2310-F2310</f>
        <v/>
      </c>
      <c r="H2310" s="11" t="n">
        <v/>
      </c>
      <c r="I2310" s="11" t="n">
        <v/>
      </c>
      <c r="J2310" s="11" t="n">
        <v/>
      </c>
      <c r="K2310" s="4" t="inlineStr">
        <is>
          <t>Abrechnungsart wählen; Stundensätze eingeben</t>
        </is>
      </c>
    </row>
    <row r="2311">
      <c r="A2311" s="4" t="inlineStr">
        <is>
          <t>5932   Am-Heiligenstock-1-Hofheim</t>
        </is>
      </c>
      <c r="B2311" s="4" t="inlineStr">
        <is>
          <t>● 3000-Entwurfsplanung</t>
        </is>
      </c>
      <c r="C2311" s="9" t="inlineStr">
        <is>
          <t>Unbekannt</t>
        </is>
      </c>
      <c r="D2311" s="10" t="inlineStr">
        <is>
          <t>⚠ Manual erforderlich</t>
        </is>
      </c>
      <c r="E2311" s="11" t="inlineStr"/>
      <c r="F2311" s="11" t="n">
        <v>0</v>
      </c>
      <c r="G2311" s="11">
        <f>E2311-F2311</f>
        <v/>
      </c>
      <c r="H2311" s="11" t="n">
        <v/>
      </c>
      <c r="I2311" s="11" t="n">
        <v/>
      </c>
      <c r="J2311" s="11" t="n">
        <v/>
      </c>
      <c r="K2311" s="4" t="inlineStr">
        <is>
          <t>Abrechnungsart wählen; Stundensätze eingeben</t>
        </is>
      </c>
    </row>
    <row r="2312">
      <c r="A2312" s="4" t="inlineStr">
        <is>
          <t>5932   Am-Heiligenstock-1-Hofheim</t>
        </is>
      </c>
      <c r="B2312" s="4" t="inlineStr">
        <is>
          <t>● 4000-Genehmigungsplanung</t>
        </is>
      </c>
      <c r="C2312" s="9" t="inlineStr">
        <is>
          <t>Unbekannt</t>
        </is>
      </c>
      <c r="D2312" s="10" t="inlineStr">
        <is>
          <t>⚠ Manual erforderlich</t>
        </is>
      </c>
      <c r="E2312" s="11" t="inlineStr"/>
      <c r="F2312" s="11" t="n">
        <v>0</v>
      </c>
      <c r="G2312" s="11">
        <f>E2312-F2312</f>
        <v/>
      </c>
      <c r="H2312" s="11" t="n">
        <v/>
      </c>
      <c r="I2312" s="11" t="n">
        <v/>
      </c>
      <c r="J2312" s="11" t="n">
        <v/>
      </c>
      <c r="K2312" s="4" t="inlineStr">
        <is>
          <t>Abrechnungsart wählen; Stundensätze eingeben</t>
        </is>
      </c>
    </row>
    <row r="2313">
      <c r="A2313" s="4" t="inlineStr">
        <is>
          <t>5940.05 Optio-BTB-BT-A-TheMove-GatewayGardensSiemens-Frankfurt</t>
        </is>
      </c>
      <c r="B2313" s="4" t="inlineStr">
        <is>
          <t>● (aN) Pos. 1 BTB</t>
        </is>
      </c>
      <c r="C2313" s="4" t="inlineStr">
        <is>
          <t>Nachweis</t>
        </is>
      </c>
      <c r="D2313" s="10" t="inlineStr">
        <is>
          <t>⚠ Manual erforderlich</t>
        </is>
      </c>
      <c r="E2313" s="11" t="inlineStr"/>
      <c r="F2313" s="11" t="n">
        <v>0</v>
      </c>
      <c r="G2313" s="11">
        <f>E2313-F2313</f>
        <v/>
      </c>
      <c r="H2313" s="11" t="n">
        <v/>
      </c>
      <c r="I2313" s="11" t="n">
        <v/>
      </c>
      <c r="J2313" s="11" t="n">
        <v/>
      </c>
      <c r="K2313" s="4" t="inlineStr">
        <is>
          <t>Stundensätze eingeben</t>
        </is>
      </c>
    </row>
    <row r="2314">
      <c r="A2314" s="4" t="inlineStr">
        <is>
          <t>5940.05 Optio-BTB-BT-A-TheMove-GatewayGardensSiemens-Frankfurt</t>
        </is>
      </c>
      <c r="B2314" s="4" t="inlineStr">
        <is>
          <t>● (p) Pos. 2 Fortschr. BSK</t>
        </is>
      </c>
      <c r="C2314" s="4" t="inlineStr">
        <is>
          <t>Pauschale</t>
        </is>
      </c>
      <c r="D2314" s="10" t="inlineStr">
        <is>
          <t>⚠ Manual erforderlich</t>
        </is>
      </c>
      <c r="E2314" s="11" t="inlineStr"/>
      <c r="F2314" s="11" t="n">
        <v>0</v>
      </c>
      <c r="G2314" s="11">
        <f>E2314-F2314</f>
        <v/>
      </c>
      <c r="H2314" s="11" t="n">
        <v>0</v>
      </c>
      <c r="I2314" s="11" t="n">
        <v>0</v>
      </c>
      <c r="J2314" s="11" t="n">
        <v>0</v>
      </c>
      <c r="K2314" s="4" t="inlineStr">
        <is>
          <t>Stundensätze eingeben</t>
        </is>
      </c>
    </row>
    <row r="2315">
      <c r="A2315" s="4" t="inlineStr">
        <is>
          <t>5940.06 KOF-BT_A-Gateway-Gardens-Siemens-Frankfurt</t>
        </is>
      </c>
      <c r="B2315" s="4" t="inlineStr">
        <is>
          <t>● (p) Erstellung Konformität</t>
        </is>
      </c>
      <c r="C2315" s="4" t="inlineStr">
        <is>
          <t>Pauschale</t>
        </is>
      </c>
      <c r="D2315" s="10" t="inlineStr">
        <is>
          <t>⚠ Manual erforderlich</t>
        </is>
      </c>
      <c r="E2315" s="11" t="inlineStr"/>
      <c r="F2315" s="11" t="n">
        <v>0</v>
      </c>
      <c r="G2315" s="11">
        <f>E2315-F2315</f>
        <v/>
      </c>
      <c r="H2315" s="11" t="n">
        <v>0</v>
      </c>
      <c r="I2315" s="11" t="n">
        <v>0</v>
      </c>
      <c r="J2315" s="11" t="n">
        <v>0</v>
      </c>
      <c r="K2315" s="4" t="inlineStr">
        <is>
          <t>Stundensätze eingeben</t>
        </is>
      </c>
    </row>
    <row r="2316">
      <c r="A2316" s="4" t="inlineStr">
        <is>
          <t>5940.07 (eh. 7199.01 Siemens-BST-Gateway-Gardens-De-Saint-Exupéry-Str-5-FFM</t>
        </is>
      </c>
      <c r="B2316" s="4" t="inlineStr">
        <is>
          <t>● (p) Pos. 1 Erstellung einer BST</t>
        </is>
      </c>
      <c r="C2316" s="4" t="inlineStr">
        <is>
          <t>Pauschale</t>
        </is>
      </c>
      <c r="D2316" s="10" t="inlineStr">
        <is>
          <t>⚠ Manual erforderlich</t>
        </is>
      </c>
      <c r="E2316" s="11" t="inlineStr"/>
      <c r="F2316" s="11" t="n">
        <v>0</v>
      </c>
      <c r="G2316" s="11">
        <f>E2316-F2316</f>
        <v/>
      </c>
      <c r="H2316" s="11" t="n">
        <v>0</v>
      </c>
      <c r="I2316" s="11" t="n">
        <v>0</v>
      </c>
      <c r="J2316" s="11" t="n">
        <v>0</v>
      </c>
      <c r="K2316" s="4" t="inlineStr">
        <is>
          <t>Stundensätze eingeben</t>
        </is>
      </c>
    </row>
    <row r="2317">
      <c r="A2317" s="4" t="inlineStr">
        <is>
          <t>5944.02 formica-Garagenpark-NB-Verbindungsstück-Zum-Eisenhammer-Oberhausen-LAER</t>
        </is>
      </c>
      <c r="B2317" s="4" t="inlineStr">
        <is>
          <t>● (p) Pos. 1 Fortschr. BSK</t>
        </is>
      </c>
      <c r="C2317" s="4" t="inlineStr">
        <is>
          <t>Pauschale</t>
        </is>
      </c>
      <c r="D2317" s="10" t="inlineStr">
        <is>
          <t>⚠ Manual erforderlich</t>
        </is>
      </c>
      <c r="E2317" s="11" t="inlineStr"/>
      <c r="F2317" s="11" t="n">
        <v>0</v>
      </c>
      <c r="G2317" s="11">
        <f>E2317-F2317</f>
        <v/>
      </c>
      <c r="H2317" s="11" t="n">
        <v>0</v>
      </c>
      <c r="I2317" s="11" t="n">
        <v>0</v>
      </c>
      <c r="J2317" s="11" t="n">
        <v>0</v>
      </c>
      <c r="K2317" s="4" t="inlineStr">
        <is>
          <t>Stundensätze eingeben</t>
        </is>
      </c>
    </row>
    <row r="2318">
      <c r="A2318" s="4" t="inlineStr">
        <is>
          <t>5946.01 Pläne-Nauheimer-Straße-101-Bad-Cannstatt(Flanders-II)</t>
        </is>
      </c>
      <c r="B2318" s="4" t="inlineStr">
        <is>
          <t>● FW-Pläne (pauschal)</t>
        </is>
      </c>
      <c r="C2318" s="9" t="inlineStr">
        <is>
          <t>Unbekannt</t>
        </is>
      </c>
      <c r="D2318" s="10" t="inlineStr">
        <is>
          <t>⚠ Manual erforderlich</t>
        </is>
      </c>
      <c r="E2318" s="11" t="inlineStr"/>
      <c r="F2318" s="11" t="n">
        <v>0</v>
      </c>
      <c r="G2318" s="11">
        <f>E2318-F2318</f>
        <v/>
      </c>
      <c r="H2318" s="11" t="n">
        <v/>
      </c>
      <c r="I2318" s="11" t="n">
        <v/>
      </c>
      <c r="J2318" s="11" t="n">
        <v/>
      </c>
      <c r="K2318" s="4" t="inlineStr">
        <is>
          <t>Abrechnungsart wählen; Stundensätze eingeben</t>
        </is>
      </c>
    </row>
    <row r="2319">
      <c r="A2319" s="4" t="inlineStr">
        <is>
          <t>5946.01 Pläne-Nauheimer-Straße-101-Bad-Cannstatt(Flanders-II)</t>
        </is>
      </c>
      <c r="B2319" s="4" t="inlineStr">
        <is>
          <t>● FuR-Pläne (pauschal)</t>
        </is>
      </c>
      <c r="C2319" s="9" t="inlineStr">
        <is>
          <t>Unbekannt</t>
        </is>
      </c>
      <c r="D2319" s="10" t="inlineStr">
        <is>
          <t>⚠ Manual erforderlich</t>
        </is>
      </c>
      <c r="E2319" s="11" t="inlineStr"/>
      <c r="F2319" s="11" t="n">
        <v>0</v>
      </c>
      <c r="G2319" s="11">
        <f>E2319-F2319</f>
        <v/>
      </c>
      <c r="H2319" s="11" t="n">
        <v/>
      </c>
      <c r="I2319" s="11" t="n">
        <v/>
      </c>
      <c r="J2319" s="11" t="n">
        <v/>
      </c>
      <c r="K2319" s="4" t="inlineStr">
        <is>
          <t>Abrechnungsart wählen; Stundensätze eingeben</t>
        </is>
      </c>
    </row>
    <row r="2320">
      <c r="A2320" s="4" t="inlineStr">
        <is>
          <t>5947.04 BSK-Diesterwegstr-11-Frankfurt-Gymnasium-Süd-Containertellung</t>
        </is>
      </c>
      <c r="B2320" s="4" t="inlineStr">
        <is>
          <t>● (p) Pos.1 BSK Aufstockung Containeranlage</t>
        </is>
      </c>
      <c r="C2320" s="4" t="inlineStr">
        <is>
          <t>Pauschale</t>
        </is>
      </c>
      <c r="D2320" s="10" t="inlineStr">
        <is>
          <t>⚠ Manual erforderlich</t>
        </is>
      </c>
      <c r="E2320" s="11" t="inlineStr"/>
      <c r="F2320" s="11" t="n">
        <v>0</v>
      </c>
      <c r="G2320" s="11">
        <f>E2320-F2320</f>
        <v/>
      </c>
      <c r="H2320" s="11" t="n">
        <v>0</v>
      </c>
      <c r="I2320" s="11" t="n">
        <v>0</v>
      </c>
      <c r="J2320" s="11" t="n">
        <v>0</v>
      </c>
      <c r="K2320" s="4" t="inlineStr">
        <is>
          <t>Stundensätze eingeben</t>
        </is>
      </c>
    </row>
    <row r="2321">
      <c r="A2321" s="4" t="inlineStr">
        <is>
          <t>5947.04 BSK-Diesterwegstr-11-Frankfurt-Gymnasium-Süd-Containertellung</t>
        </is>
      </c>
      <c r="B2321" s="4" t="inlineStr">
        <is>
          <t>● (a.N.) Pos.2 BAB</t>
        </is>
      </c>
      <c r="C2321" s="4" t="inlineStr">
        <is>
          <t>Nachweis</t>
        </is>
      </c>
      <c r="D2321" s="10" t="inlineStr">
        <is>
          <t>⚠ Manual erforderlich</t>
        </is>
      </c>
      <c r="E2321" s="11" t="inlineStr"/>
      <c r="F2321" s="11" t="n">
        <v>0</v>
      </c>
      <c r="G2321" s="11">
        <f>E2321-F2321</f>
        <v/>
      </c>
      <c r="H2321" s="11" t="n">
        <v/>
      </c>
      <c r="I2321" s="11" t="n">
        <v/>
      </c>
      <c r="J2321" s="11" t="n">
        <v/>
      </c>
      <c r="K2321" s="4" t="inlineStr">
        <is>
          <t>Stundensätze eingeben</t>
        </is>
      </c>
    </row>
    <row r="2322">
      <c r="A2322" s="4" t="inlineStr">
        <is>
          <t>5947.04 BSK-Diesterwegstr-11-Frankfurt-Gymnasium-Süd-Containertellung</t>
        </is>
      </c>
      <c r="B2322" s="4" t="inlineStr">
        <is>
          <t>● (p) NAT001 Pos.1 Nachtragslstg. i.Z.d. Erst. BSK a.G.v. getr. Betrachtung d. Containeranlagen 1u.2</t>
        </is>
      </c>
      <c r="C2322" s="4" t="inlineStr">
        <is>
          <t>Pauschale</t>
        </is>
      </c>
      <c r="D2322" s="10" t="inlineStr">
        <is>
          <t>⚠ Manual erforderlich</t>
        </is>
      </c>
      <c r="E2322" s="11" t="inlineStr"/>
      <c r="F2322" s="11" t="n">
        <v>0</v>
      </c>
      <c r="G2322" s="11">
        <f>E2322-F2322</f>
        <v/>
      </c>
      <c r="H2322" s="11" t="n">
        <v>0</v>
      </c>
      <c r="I2322" s="11" t="n">
        <v>0</v>
      </c>
      <c r="J2322" s="11" t="n">
        <v>0</v>
      </c>
      <c r="K2322" s="4" t="inlineStr">
        <is>
          <t>Stundensätze eingeben</t>
        </is>
      </c>
    </row>
    <row r="2323">
      <c r="A2323" s="4" t="inlineStr">
        <is>
          <t>5947.05 FRP-Diesterwegstr-11-Frankfurt-Gymnasium-Süd-Containeranlagen-1+2</t>
        </is>
      </c>
      <c r="B2323" s="4" t="inlineStr">
        <is>
          <t>● (p) Pos.1 FRP für d. Containeranlagen 1+2 inkl. Objektbegehung</t>
        </is>
      </c>
      <c r="C2323" s="4" t="inlineStr">
        <is>
          <t>Pauschale</t>
        </is>
      </c>
      <c r="D2323" s="10" t="inlineStr">
        <is>
          <t>⚠ Manual erforderlich</t>
        </is>
      </c>
      <c r="E2323" s="11" t="inlineStr"/>
      <c r="F2323" s="11" t="n">
        <v>0</v>
      </c>
      <c r="G2323" s="11">
        <f>E2323-F2323</f>
        <v/>
      </c>
      <c r="H2323" s="11" t="n">
        <v>0</v>
      </c>
      <c r="I2323" s="11" t="n">
        <v>0</v>
      </c>
      <c r="J2323" s="11" t="n">
        <v>0</v>
      </c>
      <c r="K2323" s="4" t="inlineStr">
        <is>
          <t>Stundensätze eingeben</t>
        </is>
      </c>
    </row>
    <row r="2324">
      <c r="A2324" s="4" t="inlineStr">
        <is>
          <t>5947.05 FRP-Diesterwegstr-11-Frankfurt-Gymnasium-Süd-Containeranlagen-1+2</t>
        </is>
      </c>
      <c r="B2324" s="4" t="inlineStr">
        <is>
          <t>● (p) Pos.2 Aktualisierung der BSO in Teilen A-C</t>
        </is>
      </c>
      <c r="C2324" s="4" t="inlineStr">
        <is>
          <t>Pauschale</t>
        </is>
      </c>
      <c r="D2324" s="10" t="inlineStr">
        <is>
          <t>⚠ Manual erforderlich</t>
        </is>
      </c>
      <c r="E2324" s="11" t="inlineStr"/>
      <c r="F2324" s="11" t="n">
        <v>0</v>
      </c>
      <c r="G2324" s="11">
        <f>E2324-F2324</f>
        <v/>
      </c>
      <c r="H2324" s="11" t="n">
        <v>0</v>
      </c>
      <c r="I2324" s="11" t="n">
        <v>0</v>
      </c>
      <c r="J2324" s="11" t="n">
        <v>0</v>
      </c>
      <c r="K2324" s="4" t="inlineStr">
        <is>
          <t>Stundensätze eingeben</t>
        </is>
      </c>
    </row>
    <row r="2325">
      <c r="A2325" s="4" t="inlineStr">
        <is>
          <t>5947.05 FRP-Diesterwegstr-11-Frankfurt-Gymnasium-Süd-Containeranlagen-1+2</t>
        </is>
      </c>
      <c r="B2325" s="4" t="inlineStr">
        <is>
          <t>● zzgl. 12 Alu-Klapprahmen à 40€/Stck = 480€</t>
        </is>
      </c>
      <c r="C2325" s="9" t="inlineStr">
        <is>
          <t>Unbekannt</t>
        </is>
      </c>
      <c r="D2325" s="10" t="inlineStr">
        <is>
          <t>⚠ Manual erforderlich</t>
        </is>
      </c>
      <c r="E2325" s="11" t="inlineStr"/>
      <c r="F2325" s="11" t="n">
        <v>0</v>
      </c>
      <c r="G2325" s="11">
        <f>E2325-F2325</f>
        <v/>
      </c>
      <c r="H2325" s="11" t="n">
        <v/>
      </c>
      <c r="I2325" s="11" t="n">
        <v/>
      </c>
      <c r="J2325" s="11" t="n">
        <v/>
      </c>
      <c r="K2325" s="4" t="inlineStr">
        <is>
          <t>Abrechnungsart wählen; Stundensätze eingeben</t>
        </is>
      </c>
    </row>
    <row r="2326">
      <c r="A2326" s="4" t="inlineStr">
        <is>
          <t>5947.06 NAT-Diesterwegstr-11-Frankfurt-Gymnasium-Süd-Containeranlagen</t>
        </is>
      </c>
      <c r="B2326" s="4" t="inlineStr">
        <is>
          <t>● (aN) Pos.1 Planung Ausstattung mit Feuerlöschern</t>
        </is>
      </c>
      <c r="C2326" s="4" t="inlineStr">
        <is>
          <t>Nachweis</t>
        </is>
      </c>
      <c r="D2326" s="10" t="inlineStr">
        <is>
          <t>⚠ Manual erforderlich</t>
        </is>
      </c>
      <c r="E2326" s="11" t="inlineStr"/>
      <c r="F2326" s="11" t="n">
        <v>0</v>
      </c>
      <c r="G2326" s="11">
        <f>E2326-F2326</f>
        <v/>
      </c>
      <c r="H2326" s="11" t="n">
        <v/>
      </c>
      <c r="I2326" s="11" t="n">
        <v/>
      </c>
      <c r="J2326" s="11" t="n">
        <v/>
      </c>
      <c r="K2326" s="4" t="inlineStr">
        <is>
          <t>Stundensätze eingeben</t>
        </is>
      </c>
    </row>
    <row r="2327">
      <c r="A2327" s="4" t="inlineStr">
        <is>
          <t>5951.01 BSK-Fehlheimer-Straße-86-Bensheim</t>
        </is>
      </c>
      <c r="B2327" s="4" t="inlineStr">
        <is>
          <t>● Brandschutzkonzept (pauschal)</t>
        </is>
      </c>
      <c r="C2327" s="9" t="inlineStr">
        <is>
          <t>Unbekannt</t>
        </is>
      </c>
      <c r="D2327" s="10" t="inlineStr">
        <is>
          <t>⚠ Manual erforderlich</t>
        </is>
      </c>
      <c r="E2327" s="11" t="inlineStr"/>
      <c r="F2327" s="11" t="n">
        <v>0</v>
      </c>
      <c r="G2327" s="11">
        <f>E2327-F2327</f>
        <v/>
      </c>
      <c r="H2327" s="11" t="n">
        <v/>
      </c>
      <c r="I2327" s="11" t="n">
        <v/>
      </c>
      <c r="J2327" s="11" t="n">
        <v/>
      </c>
      <c r="K2327" s="4" t="inlineStr">
        <is>
          <t>Abrechnungsart wählen; Stundensätze eingeben</t>
        </is>
      </c>
    </row>
    <row r="2328">
      <c r="A2328" s="4" t="inlineStr">
        <is>
          <t>5951.01 BSK-Fehlheimer-Straße-86-Bensheim</t>
        </is>
      </c>
      <c r="B2328" s="4" t="inlineStr">
        <is>
          <t>● Baubegleitung (auf Nachweis)</t>
        </is>
      </c>
      <c r="C2328" s="9" t="inlineStr">
        <is>
          <t>Unbekannt</t>
        </is>
      </c>
      <c r="D2328" s="10" t="inlineStr">
        <is>
          <t>⚠ Manual erforderlich</t>
        </is>
      </c>
      <c r="E2328" s="11" t="inlineStr"/>
      <c r="F2328" s="11" t="n">
        <v>0</v>
      </c>
      <c r="G2328" s="11">
        <f>E2328-F2328</f>
        <v/>
      </c>
      <c r="H2328" s="11" t="n">
        <v/>
      </c>
      <c r="I2328" s="11" t="n">
        <v/>
      </c>
      <c r="J2328" s="11" t="n">
        <v/>
      </c>
      <c r="K2328" s="4" t="inlineStr">
        <is>
          <t>Abrechnungsart wählen; Stundensätze eingeben</t>
        </is>
      </c>
    </row>
    <row r="2329">
      <c r="A2329" s="4" t="inlineStr">
        <is>
          <t>5951.01 BSK-Fehlheimer-Straße-86-Bensheim</t>
        </is>
      </c>
      <c r="B2329" s="4" t="inlineStr">
        <is>
          <t>● FuR-Pläne (pauschal)</t>
        </is>
      </c>
      <c r="C2329" s="9" t="inlineStr">
        <is>
          <t>Unbekannt</t>
        </is>
      </c>
      <c r="D2329" s="10" t="inlineStr">
        <is>
          <t>⚠ Manual erforderlich</t>
        </is>
      </c>
      <c r="E2329" s="11" t="inlineStr"/>
      <c r="F2329" s="11" t="n">
        <v>0</v>
      </c>
      <c r="G2329" s="11">
        <f>E2329-F2329</f>
        <v/>
      </c>
      <c r="H2329" s="11" t="n">
        <v/>
      </c>
      <c r="I2329" s="11" t="n">
        <v/>
      </c>
      <c r="J2329" s="11" t="n">
        <v/>
      </c>
      <c r="K2329" s="4" t="inlineStr">
        <is>
          <t>Abrechnungsart wählen; Stundensätze eingeben</t>
        </is>
      </c>
    </row>
    <row r="2330">
      <c r="A2330" s="4" t="inlineStr">
        <is>
          <t>5951.01 BSK-Fehlheimer-Straße-86-Bensheim</t>
        </is>
      </c>
      <c r="B2330" s="4" t="inlineStr">
        <is>
          <t>● FW-Pläne (pauschal)</t>
        </is>
      </c>
      <c r="C2330" s="9" t="inlineStr">
        <is>
          <t>Unbekannt</t>
        </is>
      </c>
      <c r="D2330" s="10" t="inlineStr">
        <is>
          <t>⚠ Manual erforderlich</t>
        </is>
      </c>
      <c r="E2330" s="11" t="inlineStr"/>
      <c r="F2330" s="11" t="n">
        <v>0</v>
      </c>
      <c r="G2330" s="11">
        <f>E2330-F2330</f>
        <v/>
      </c>
      <c r="H2330" s="11" t="n">
        <v/>
      </c>
      <c r="I2330" s="11" t="n">
        <v/>
      </c>
      <c r="J2330" s="11" t="n">
        <v/>
      </c>
      <c r="K2330" s="4" t="inlineStr">
        <is>
          <t>Abrechnungsart wählen; Stundensätze eingeben</t>
        </is>
      </c>
    </row>
    <row r="2331">
      <c r="A2331" s="4" t="inlineStr">
        <is>
          <t>5955 Mosbacher-Straße-55-Wiesbaden-Hauptstaatsarchiv</t>
        </is>
      </c>
      <c r="B2331" s="4" t="inlineStr">
        <is>
          <t>● 1000-Grundlagenermittlung (pauschal)</t>
        </is>
      </c>
      <c r="C2331" s="9" t="inlineStr">
        <is>
          <t>Unbekannt</t>
        </is>
      </c>
      <c r="D2331" s="10" t="inlineStr">
        <is>
          <t>⚠ Manual erforderlich</t>
        </is>
      </c>
      <c r="E2331" s="11" t="inlineStr"/>
      <c r="F2331" s="11" t="n">
        <v>0</v>
      </c>
      <c r="G2331" s="11">
        <f>E2331-F2331</f>
        <v/>
      </c>
      <c r="H2331" s="11" t="n">
        <v/>
      </c>
      <c r="I2331" s="11" t="n">
        <v/>
      </c>
      <c r="J2331" s="11" t="n">
        <v/>
      </c>
      <c r="K2331" s="4" t="inlineStr">
        <is>
          <t>Abrechnungsart wählen; Stundensätze eingeben</t>
        </is>
      </c>
    </row>
    <row r="2332">
      <c r="A2332" s="4" t="inlineStr">
        <is>
          <t>5955 Mosbacher-Straße-55-Wiesbaden-Hauptstaatsarchiv</t>
        </is>
      </c>
      <c r="B2332" s="4" t="inlineStr">
        <is>
          <t>● 2000-Vorplanung (pauschal)</t>
        </is>
      </c>
      <c r="C2332" s="9" t="inlineStr">
        <is>
          <t>Unbekannt</t>
        </is>
      </c>
      <c r="D2332" s="10" t="inlineStr">
        <is>
          <t>⚠ Manual erforderlich</t>
        </is>
      </c>
      <c r="E2332" s="11" t="inlineStr"/>
      <c r="F2332" s="11" t="n">
        <v>0</v>
      </c>
      <c r="G2332" s="11">
        <f>E2332-F2332</f>
        <v/>
      </c>
      <c r="H2332" s="11" t="n">
        <v/>
      </c>
      <c r="I2332" s="11" t="n">
        <v/>
      </c>
      <c r="J2332" s="11" t="n">
        <v/>
      </c>
      <c r="K2332" s="4" t="inlineStr">
        <is>
          <t>Abrechnungsart wählen; Stundensätze eingeben</t>
        </is>
      </c>
    </row>
    <row r="2333">
      <c r="A2333" s="4" t="inlineStr">
        <is>
          <t>5955 Mosbacher-Straße-55-Wiesbaden-Hauptstaatsarchiv</t>
        </is>
      </c>
      <c r="B2333" s="4" t="inlineStr">
        <is>
          <t>● 3000-Entwurfsplanung (pauschal)</t>
        </is>
      </c>
      <c r="C2333" s="9" t="inlineStr">
        <is>
          <t>Unbekannt</t>
        </is>
      </c>
      <c r="D2333" s="10" t="inlineStr">
        <is>
          <t>⚠ Manual erforderlich</t>
        </is>
      </c>
      <c r="E2333" s="11" t="inlineStr"/>
      <c r="F2333" s="11" t="n">
        <v>0</v>
      </c>
      <c r="G2333" s="11">
        <f>E2333-F2333</f>
        <v/>
      </c>
      <c r="H2333" s="11" t="n">
        <v/>
      </c>
      <c r="I2333" s="11" t="n">
        <v/>
      </c>
      <c r="J2333" s="11" t="n">
        <v/>
      </c>
      <c r="K2333" s="4" t="inlineStr">
        <is>
          <t>Abrechnungsart wählen; Stundensätze eingeben</t>
        </is>
      </c>
    </row>
    <row r="2334">
      <c r="A2334" s="4" t="inlineStr">
        <is>
          <t>5955 Mosbacher-Straße-55-Wiesbaden-Hauptstaatsarchiv</t>
        </is>
      </c>
      <c r="B2334" s="4" t="inlineStr">
        <is>
          <t>● 4000-Genehmigungsplanung (pauschal)</t>
        </is>
      </c>
      <c r="C2334" s="9" t="inlineStr">
        <is>
          <t>Unbekannt</t>
        </is>
      </c>
      <c r="D2334" s="10" t="inlineStr">
        <is>
          <t>⚠ Manual erforderlich</t>
        </is>
      </c>
      <c r="E2334" s="11" t="inlineStr"/>
      <c r="F2334" s="11" t="n">
        <v>0</v>
      </c>
      <c r="G2334" s="11">
        <f>E2334-F2334</f>
        <v/>
      </c>
      <c r="H2334" s="11" t="n">
        <v/>
      </c>
      <c r="I2334" s="11" t="n">
        <v/>
      </c>
      <c r="J2334" s="11" t="n">
        <v/>
      </c>
      <c r="K2334" s="4" t="inlineStr">
        <is>
          <t>Abrechnungsart wählen; Stundensätze eingeben</t>
        </is>
      </c>
    </row>
    <row r="2335">
      <c r="A2335" s="4" t="inlineStr">
        <is>
          <t>5955 Mosbacher-Straße-55-Wiesbaden-Hauptstaatsarchiv</t>
        </is>
      </c>
      <c r="B2335" s="4" t="inlineStr">
        <is>
          <t>● Nachtrag Beratung (pauschal)</t>
        </is>
      </c>
      <c r="C2335" s="9" t="inlineStr">
        <is>
          <t>Unbekannt</t>
        </is>
      </c>
      <c r="D2335" s="10" t="inlineStr">
        <is>
          <t>⚠ Manual erforderlich</t>
        </is>
      </c>
      <c r="E2335" s="11" t="inlineStr"/>
      <c r="F2335" s="11" t="n">
        <v>0</v>
      </c>
      <c r="G2335" s="11">
        <f>E2335-F2335</f>
        <v/>
      </c>
      <c r="H2335" s="11" t="n">
        <v/>
      </c>
      <c r="I2335" s="11" t="n">
        <v/>
      </c>
      <c r="J2335" s="11" t="n">
        <v/>
      </c>
      <c r="K2335" s="4" t="inlineStr">
        <is>
          <t>Abrechnungsart wählen; Stundensätze eingeben</t>
        </is>
      </c>
    </row>
    <row r="2336">
      <c r="A2336" s="4" t="inlineStr">
        <is>
          <t>5955 Mosbacher-Straße-55-Wiesbaden-Hauptstaatsarchiv</t>
        </is>
      </c>
      <c r="B2336" s="4" t="inlineStr">
        <is>
          <t>● Entscheidungsgrundlagen/Protokolle 2.1.4 (auf Nachweis)</t>
        </is>
      </c>
      <c r="C2336" s="9" t="inlineStr">
        <is>
          <t>Unbekannt</t>
        </is>
      </c>
      <c r="D2336" s="10" t="inlineStr">
        <is>
          <t>⚠ Manual erforderlich</t>
        </is>
      </c>
      <c r="E2336" s="11" t="inlineStr"/>
      <c r="F2336" s="11" t="n">
        <v>0</v>
      </c>
      <c r="G2336" s="11">
        <f>E2336-F2336</f>
        <v/>
      </c>
      <c r="H2336" s="11" t="n">
        <v/>
      </c>
      <c r="I2336" s="11" t="n">
        <v/>
      </c>
      <c r="J2336" s="11" t="n">
        <v/>
      </c>
      <c r="K2336" s="4" t="inlineStr">
        <is>
          <t>Abrechnungsart wählen; Stundensätze eingeben</t>
        </is>
      </c>
    </row>
    <row r="2337">
      <c r="A2337" s="4" t="inlineStr">
        <is>
          <t>5955 Mosbacher-Straße-55-Wiesbaden-Hauptstaatsarchiv</t>
        </is>
      </c>
      <c r="B2337" s="4" t="inlineStr">
        <is>
          <t>● 5000 - Ausführungsplanung GL 3.2.5 (pauschal)</t>
        </is>
      </c>
      <c r="C2337" s="9" t="inlineStr">
        <is>
          <t>Unbekannt</t>
        </is>
      </c>
      <c r="D2337" s="10" t="inlineStr">
        <is>
          <t>⚠ Manual erforderlich</t>
        </is>
      </c>
      <c r="E2337" s="11" t="inlineStr"/>
      <c r="F2337" s="11" t="n">
        <v>0</v>
      </c>
      <c r="G2337" s="11">
        <f>E2337-F2337</f>
        <v/>
      </c>
      <c r="H2337" s="11" t="n">
        <v/>
      </c>
      <c r="I2337" s="11" t="n">
        <v/>
      </c>
      <c r="J2337" s="11" t="n">
        <v/>
      </c>
      <c r="K2337" s="4" t="inlineStr">
        <is>
          <t>Abrechnungsart wählen; Stundensätze eingeben</t>
        </is>
      </c>
    </row>
    <row r="2338">
      <c r="A2338" s="4" t="inlineStr">
        <is>
          <t>5955 Mosbacher-Straße-55-Wiesbaden-Hauptstaatsarchiv</t>
        </is>
      </c>
      <c r="B2338" s="4" t="inlineStr">
        <is>
          <t>● 5000 - LP 5 BL 3.2.10.4 (pauschal)</t>
        </is>
      </c>
      <c r="C2338" s="9" t="inlineStr">
        <is>
          <t>Unbekannt</t>
        </is>
      </c>
      <c r="D2338" s="10" t="inlineStr">
        <is>
          <t>⚠ Manual erforderlich</t>
        </is>
      </c>
      <c r="E2338" s="11" t="inlineStr"/>
      <c r="F2338" s="11" t="n">
        <v>0</v>
      </c>
      <c r="G2338" s="11">
        <f>E2338-F2338</f>
        <v/>
      </c>
      <c r="H2338" s="11" t="n">
        <v/>
      </c>
      <c r="I2338" s="11" t="n">
        <v/>
      </c>
      <c r="J2338" s="11" t="n">
        <v/>
      </c>
      <c r="K2338" s="4" t="inlineStr">
        <is>
          <t>Abrechnungsart wählen; Stundensätze eingeben</t>
        </is>
      </c>
    </row>
    <row r="2339">
      <c r="A2339" s="4" t="inlineStr">
        <is>
          <t>5955 Mosbacher-Straße-55-Wiesbaden-Hauptstaatsarchiv</t>
        </is>
      </c>
      <c r="B2339" s="4" t="inlineStr">
        <is>
          <t>● 5000 LP 5 BL 3.2.10.5 (pauschal)</t>
        </is>
      </c>
      <c r="C2339" s="9" t="inlineStr">
        <is>
          <t>Unbekannt</t>
        </is>
      </c>
      <c r="D2339" s="10" t="inlineStr">
        <is>
          <t>⚠ Manual erforderlich</t>
        </is>
      </c>
      <c r="E2339" s="11" t="inlineStr"/>
      <c r="F2339" s="11" t="n">
        <v>0</v>
      </c>
      <c r="G2339" s="11">
        <f>E2339-F2339</f>
        <v/>
      </c>
      <c r="H2339" s="11" t="n">
        <v/>
      </c>
      <c r="I2339" s="11" t="n">
        <v/>
      </c>
      <c r="J2339" s="11" t="n">
        <v/>
      </c>
      <c r="K2339" s="4" t="inlineStr">
        <is>
          <t>Abrechnungsart wählen; Stundensätze eingeben</t>
        </is>
      </c>
    </row>
    <row r="2340">
      <c r="A2340" s="4" t="inlineStr">
        <is>
          <t>5955 Mosbacher-Straße-55-Wiesbaden-Hauptstaatsarchiv</t>
        </is>
      </c>
      <c r="B2340" s="4" t="inlineStr">
        <is>
          <t>● 5000 LP 5 BL 3.2.10.6 (pauschal)</t>
        </is>
      </c>
      <c r="C2340" s="9" t="inlineStr">
        <is>
          <t>Unbekannt</t>
        </is>
      </c>
      <c r="D2340" s="10" t="inlineStr">
        <is>
          <t>⚠ Manual erforderlich</t>
        </is>
      </c>
      <c r="E2340" s="11" t="inlineStr"/>
      <c r="F2340" s="11" t="n">
        <v>0</v>
      </c>
      <c r="G2340" s="11">
        <f>E2340-F2340</f>
        <v/>
      </c>
      <c r="H2340" s="11" t="n">
        <v/>
      </c>
      <c r="I2340" s="11" t="n">
        <v/>
      </c>
      <c r="J2340" s="11" t="n">
        <v/>
      </c>
      <c r="K2340" s="4" t="inlineStr">
        <is>
          <t>Abrechnungsart wählen; Stundensätze eingeben</t>
        </is>
      </c>
    </row>
    <row r="2341">
      <c r="A2341" s="4" t="inlineStr">
        <is>
          <t>5955 Mosbacher-Straße-55-Wiesbaden-Hauptstaatsarchiv</t>
        </is>
      </c>
      <c r="B2341" s="4" t="inlineStr">
        <is>
          <t>● 5000 LP 5 BL 3.2.10.8 (pauschal)</t>
        </is>
      </c>
      <c r="C2341" s="9" t="inlineStr">
        <is>
          <t>Unbekannt</t>
        </is>
      </c>
      <c r="D2341" s="10" t="inlineStr">
        <is>
          <t>⚠ Manual erforderlich</t>
        </is>
      </c>
      <c r="E2341" s="11" t="inlineStr"/>
      <c r="F2341" s="11" t="n">
        <v>0</v>
      </c>
      <c r="G2341" s="11">
        <f>E2341-F2341</f>
        <v/>
      </c>
      <c r="H2341" s="11" t="n">
        <v/>
      </c>
      <c r="I2341" s="11" t="n">
        <v/>
      </c>
      <c r="J2341" s="11" t="n">
        <v/>
      </c>
      <c r="K2341" s="4" t="inlineStr">
        <is>
          <t>Abrechnungsart wählen; Stundensätze eingeben</t>
        </is>
      </c>
    </row>
    <row r="2342">
      <c r="A2342" s="4" t="inlineStr">
        <is>
          <t>5955.01 FLA-Mosbacher-Straße-55-Wiesbaden-Hauptstaatsarchiv</t>
        </is>
      </c>
      <c r="B2342" s="4" t="inlineStr">
        <is>
          <t>● 2000-Vorplanung (pauschal)</t>
        </is>
      </c>
      <c r="C2342" s="9" t="inlineStr">
        <is>
          <t>Unbekannt</t>
        </is>
      </c>
      <c r="D2342" s="10" t="inlineStr">
        <is>
          <t>⚠ Manual erforderlich</t>
        </is>
      </c>
      <c r="E2342" s="11" t="inlineStr"/>
      <c r="F2342" s="11" t="n">
        <v>0</v>
      </c>
      <c r="G2342" s="11">
        <f>E2342-F2342</f>
        <v/>
      </c>
      <c r="H2342" s="11" t="n">
        <v/>
      </c>
      <c r="I2342" s="11" t="n">
        <v/>
      </c>
      <c r="J2342" s="11" t="n">
        <v/>
      </c>
      <c r="K2342" s="4" t="inlineStr">
        <is>
          <t>Abrechnungsart wählen; Stundensätze eingeben</t>
        </is>
      </c>
    </row>
    <row r="2343">
      <c r="A2343" s="4" t="inlineStr">
        <is>
          <t>5955.01 FLA-Mosbacher-Straße-55-Wiesbaden-Hauptstaatsarchiv</t>
        </is>
      </c>
      <c r="B2343" s="4" t="inlineStr">
        <is>
          <t>● 3000-Entwurfsplanung (pauschal)</t>
        </is>
      </c>
      <c r="C2343" s="9" t="inlineStr">
        <is>
          <t>Unbekannt</t>
        </is>
      </c>
      <c r="D2343" s="10" t="inlineStr">
        <is>
          <t>⚠ Manual erforderlich</t>
        </is>
      </c>
      <c r="E2343" s="11" t="inlineStr"/>
      <c r="F2343" s="11" t="n">
        <v>0</v>
      </c>
      <c r="G2343" s="11">
        <f>E2343-F2343</f>
        <v/>
      </c>
      <c r="H2343" s="11" t="n">
        <v/>
      </c>
      <c r="I2343" s="11" t="n">
        <v/>
      </c>
      <c r="J2343" s="11" t="n">
        <v/>
      </c>
      <c r="K2343" s="4" t="inlineStr">
        <is>
          <t>Abrechnungsart wählen; Stundensätze eingeben</t>
        </is>
      </c>
    </row>
    <row r="2344">
      <c r="A2344" s="4" t="inlineStr">
        <is>
          <t>5955.01 FLA-Mosbacher-Straße-55-Wiesbaden-Hauptstaatsarchiv</t>
        </is>
      </c>
      <c r="B2344" s="4" t="inlineStr">
        <is>
          <t>● 4000-Genehmigungsplanung (a.N.)</t>
        </is>
      </c>
      <c r="C2344" s="4" t="inlineStr">
        <is>
          <t>Nachweis</t>
        </is>
      </c>
      <c r="D2344" s="10" t="inlineStr">
        <is>
          <t>⚠ Manual erforderlich</t>
        </is>
      </c>
      <c r="E2344" s="11" t="inlineStr"/>
      <c r="F2344" s="11" t="n">
        <v>0</v>
      </c>
      <c r="G2344" s="11">
        <f>E2344-F2344</f>
        <v/>
      </c>
      <c r="H2344" s="11" t="n">
        <v/>
      </c>
      <c r="I2344" s="11" t="n">
        <v/>
      </c>
      <c r="J2344" s="11" t="n">
        <v/>
      </c>
      <c r="K2344" s="4" t="inlineStr">
        <is>
          <t>Stundensätze eingeben</t>
        </is>
      </c>
    </row>
    <row r="2345">
      <c r="A2345" s="4" t="inlineStr">
        <is>
          <t>5955.01 FLA-Mosbacher-Straße-55-Wiesbaden-Hauptstaatsarchiv</t>
        </is>
      </c>
      <c r="B2345" s="4" t="inlineStr">
        <is>
          <t>● 5000-Ausführungsplanung (pauschal)</t>
        </is>
      </c>
      <c r="C2345" s="9" t="inlineStr">
        <is>
          <t>Unbekannt</t>
        </is>
      </c>
      <c r="D2345" s="10" t="inlineStr">
        <is>
          <t>⚠ Manual erforderlich</t>
        </is>
      </c>
      <c r="E2345" s="11" t="inlineStr"/>
      <c r="F2345" s="11" t="n">
        <v>0</v>
      </c>
      <c r="G2345" s="11">
        <f>E2345-F2345</f>
        <v/>
      </c>
      <c r="H2345" s="11" t="n">
        <v/>
      </c>
      <c r="I2345" s="11" t="n">
        <v/>
      </c>
      <c r="J2345" s="11" t="n">
        <v/>
      </c>
      <c r="K2345" s="4" t="inlineStr">
        <is>
          <t>Abrechnungsart wählen; Stundensätze eingeben</t>
        </is>
      </c>
    </row>
    <row r="2346">
      <c r="A2346" s="4" t="inlineStr">
        <is>
          <t>5955.01 FLA-Mosbacher-Straße-55-Wiesbaden-Hauptstaatsarchiv</t>
        </is>
      </c>
      <c r="B2346" s="4" t="inlineStr">
        <is>
          <t>● 6000-Vorbereiten der Vergabe (pauschal)</t>
        </is>
      </c>
      <c r="C2346" s="9" t="inlineStr">
        <is>
          <t>Unbekannt</t>
        </is>
      </c>
      <c r="D2346" s="10" t="inlineStr">
        <is>
          <t>⚠ Manual erforderlich</t>
        </is>
      </c>
      <c r="E2346" s="11" t="inlineStr"/>
      <c r="F2346" s="11" t="n">
        <v>0</v>
      </c>
      <c r="G2346" s="11">
        <f>E2346-F2346</f>
        <v/>
      </c>
      <c r="H2346" s="11" t="n">
        <v/>
      </c>
      <c r="I2346" s="11" t="n">
        <v/>
      </c>
      <c r="J2346" s="11" t="n">
        <v/>
      </c>
      <c r="K2346" s="4" t="inlineStr">
        <is>
          <t>Abrechnungsart wählen; Stundensätze eingeben</t>
        </is>
      </c>
    </row>
    <row r="2347">
      <c r="A2347" s="4" t="inlineStr">
        <is>
          <t>5955.01 FLA-Mosbacher-Straße-55-Wiesbaden-Hauptstaatsarchiv</t>
        </is>
      </c>
      <c r="B2347" s="4" t="inlineStr">
        <is>
          <t>● 7000-Mitwirkung bei der Vergabe (pauschal)</t>
        </is>
      </c>
      <c r="C2347" s="9" t="inlineStr">
        <is>
          <t>Unbekannt</t>
        </is>
      </c>
      <c r="D2347" s="10" t="inlineStr">
        <is>
          <t>⚠ Manual erforderlich</t>
        </is>
      </c>
      <c r="E2347" s="11" t="inlineStr"/>
      <c r="F2347" s="11" t="n">
        <v>0</v>
      </c>
      <c r="G2347" s="11">
        <f>E2347-F2347</f>
        <v/>
      </c>
      <c r="H2347" s="11" t="n">
        <v/>
      </c>
      <c r="I2347" s="11" t="n">
        <v/>
      </c>
      <c r="J2347" s="11" t="n">
        <v/>
      </c>
      <c r="K2347" s="4" t="inlineStr">
        <is>
          <t>Abrechnungsart wählen; Stundensätze eingeben</t>
        </is>
      </c>
    </row>
    <row r="2348">
      <c r="A2348" s="4" t="inlineStr">
        <is>
          <t>5955.01 FLA-Mosbacher-Straße-55-Wiesbaden-Hauptstaatsarchiv</t>
        </is>
      </c>
      <c r="B2348" s="4" t="inlineStr">
        <is>
          <t>● 8000-Objektüberwachung (pauschal)</t>
        </is>
      </c>
      <c r="C2348" s="9" t="inlineStr">
        <is>
          <t>Unbekannt</t>
        </is>
      </c>
      <c r="D2348" s="10" t="inlineStr">
        <is>
          <t>⚠ Manual erforderlich</t>
        </is>
      </c>
      <c r="E2348" s="11" t="inlineStr"/>
      <c r="F2348" s="11" t="n">
        <v>0</v>
      </c>
      <c r="G2348" s="11">
        <f>E2348-F2348</f>
        <v/>
      </c>
      <c r="H2348" s="11" t="n">
        <v/>
      </c>
      <c r="I2348" s="11" t="n">
        <v/>
      </c>
      <c r="J2348" s="11" t="n">
        <v/>
      </c>
      <c r="K2348" s="4" t="inlineStr">
        <is>
          <t>Abrechnungsart wählen; Stundensätze eingeben</t>
        </is>
      </c>
    </row>
    <row r="2349">
      <c r="A2349" s="4" t="inlineStr">
        <is>
          <t>5955.01 FLA-Mosbacher-Straße-55-Wiesbaden-Hauptstaatsarchiv</t>
        </is>
      </c>
      <c r="B2349" s="4" t="inlineStr">
        <is>
          <t>● Zusatzleistungen</t>
        </is>
      </c>
      <c r="C2349" s="9" t="inlineStr">
        <is>
          <t>Unbekannt</t>
        </is>
      </c>
      <c r="D2349" s="10" t="inlineStr">
        <is>
          <t>⚠ Manual erforderlich</t>
        </is>
      </c>
      <c r="E2349" s="11" t="inlineStr"/>
      <c r="F2349" s="11" t="n">
        <v>0</v>
      </c>
      <c r="G2349" s="11">
        <f>E2349-F2349</f>
        <v/>
      </c>
      <c r="H2349" s="11" t="n">
        <v/>
      </c>
      <c r="I2349" s="11" t="n">
        <v/>
      </c>
      <c r="J2349" s="11" t="n">
        <v/>
      </c>
      <c r="K2349" s="4" t="inlineStr">
        <is>
          <t>Abrechnungsart wählen; Stundensätze eingeben</t>
        </is>
      </c>
    </row>
    <row r="2350">
      <c r="A2350" s="4" t="inlineStr">
        <is>
          <t>5955.011 LBIH-FLA-NAT-LP2-8-HSTA-trockene-Steigleitungen-TR1bis3-WI</t>
        </is>
      </c>
      <c r="B2350" s="4" t="inlineStr">
        <is>
          <t>● (p) Pos. 1 Leistungsphase 2 (Vorplanung)</t>
        </is>
      </c>
      <c r="C2350" s="4" t="inlineStr">
        <is>
          <t>Pauschale</t>
        </is>
      </c>
      <c r="D2350" s="10" t="inlineStr">
        <is>
          <t>⚠ Manual erforderlich</t>
        </is>
      </c>
      <c r="E2350" s="11" t="inlineStr"/>
      <c r="F2350" s="11" t="n">
        <v>0</v>
      </c>
      <c r="G2350" s="11">
        <f>E2350-F2350</f>
        <v/>
      </c>
      <c r="H2350" s="11" t="n">
        <v>0</v>
      </c>
      <c r="I2350" s="11" t="n">
        <v>0</v>
      </c>
      <c r="J2350" s="11" t="n">
        <v>0</v>
      </c>
      <c r="K2350" s="4" t="inlineStr">
        <is>
          <t>Stundensätze eingeben</t>
        </is>
      </c>
    </row>
    <row r="2351">
      <c r="A2351" s="4" t="inlineStr">
        <is>
          <t>5955.011 LBIH-FLA-NAT-LP2-8-HSTA-trockene-Steigleitungen-TR1bis3-WI</t>
        </is>
      </c>
      <c r="B2351" s="4" t="inlineStr">
        <is>
          <t>● (p) Pos. 2 Leistungsphase 3 (Entwurfsplanung)</t>
        </is>
      </c>
      <c r="C2351" s="4" t="inlineStr">
        <is>
          <t>Pauschale</t>
        </is>
      </c>
      <c r="D2351" s="10" t="inlineStr">
        <is>
          <t>⚠ Manual erforderlich</t>
        </is>
      </c>
      <c r="E2351" s="11" t="inlineStr"/>
      <c r="F2351" s="11" t="n">
        <v>0</v>
      </c>
      <c r="G2351" s="11">
        <f>E2351-F2351</f>
        <v/>
      </c>
      <c r="H2351" s="11" t="n">
        <v>0</v>
      </c>
      <c r="I2351" s="11" t="n">
        <v>0</v>
      </c>
      <c r="J2351" s="11" t="n">
        <v>0</v>
      </c>
      <c r="K2351" s="4" t="inlineStr">
        <is>
          <t>Stundensätze eingeben</t>
        </is>
      </c>
    </row>
    <row r="2352">
      <c r="A2352" s="4" t="inlineStr">
        <is>
          <t>5955.011 LBIH-FLA-NAT-LP2-8-HSTA-trockene-Steigleitungen-TR1bis3-WI</t>
        </is>
      </c>
      <c r="B2352" s="4" t="inlineStr">
        <is>
          <t>● (p) Pos. 3 Leistungsphase 5 (Ausführungsplanung)</t>
        </is>
      </c>
      <c r="C2352" s="4" t="inlineStr">
        <is>
          <t>Pauschale</t>
        </is>
      </c>
      <c r="D2352" s="10" t="inlineStr">
        <is>
          <t>⚠ Manual erforderlich</t>
        </is>
      </c>
      <c r="E2352" s="11" t="inlineStr"/>
      <c r="F2352" s="11" t="n">
        <v>0</v>
      </c>
      <c r="G2352" s="11">
        <f>E2352-F2352</f>
        <v/>
      </c>
      <c r="H2352" s="11" t="n">
        <v>0</v>
      </c>
      <c r="I2352" s="11" t="n">
        <v>0</v>
      </c>
      <c r="J2352" s="11" t="n">
        <v>0</v>
      </c>
      <c r="K2352" s="4" t="inlineStr">
        <is>
          <t>Stundensätze eingeben</t>
        </is>
      </c>
    </row>
    <row r="2353">
      <c r="A2353" s="4" t="inlineStr">
        <is>
          <t>5955.011 LBIH-FLA-NAT-LP2-8-HSTA-trockene-Steigleitungen-TR1bis3-WI</t>
        </is>
      </c>
      <c r="B2353" s="4" t="inlineStr">
        <is>
          <t>● (p) Pos. 4 Leistungsphase 6 (Vorbereiten der Vergabe)</t>
        </is>
      </c>
      <c r="C2353" s="4" t="inlineStr">
        <is>
          <t>Pauschale</t>
        </is>
      </c>
      <c r="D2353" s="10" t="inlineStr">
        <is>
          <t>⚠ Manual erforderlich</t>
        </is>
      </c>
      <c r="E2353" s="11" t="inlineStr"/>
      <c r="F2353" s="11" t="n">
        <v>0</v>
      </c>
      <c r="G2353" s="11">
        <f>E2353-F2353</f>
        <v/>
      </c>
      <c r="H2353" s="11" t="n">
        <v>0</v>
      </c>
      <c r="I2353" s="11" t="n">
        <v>0</v>
      </c>
      <c r="J2353" s="11" t="n">
        <v>0</v>
      </c>
      <c r="K2353" s="4" t="inlineStr">
        <is>
          <t>Stundensätze eingeben</t>
        </is>
      </c>
    </row>
    <row r="2354">
      <c r="A2354" s="4" t="inlineStr">
        <is>
          <t>5955.011 LBIH-FLA-NAT-LP2-8-HSTA-trockene-Steigleitungen-TR1bis3-WI</t>
        </is>
      </c>
      <c r="B2354" s="4" t="inlineStr">
        <is>
          <t>● (p) Pos. 5 Leistungsphase 7 (Mitwirken bei der Vergabe)</t>
        </is>
      </c>
      <c r="C2354" s="4" t="inlineStr">
        <is>
          <t>Pauschale</t>
        </is>
      </c>
      <c r="D2354" s="10" t="inlineStr">
        <is>
          <t>⚠ Manual erforderlich</t>
        </is>
      </c>
      <c r="E2354" s="11" t="inlineStr"/>
      <c r="F2354" s="11" t="n">
        <v>0</v>
      </c>
      <c r="G2354" s="11">
        <f>E2354-F2354</f>
        <v/>
      </c>
      <c r="H2354" s="11" t="n">
        <v>0</v>
      </c>
      <c r="I2354" s="11" t="n">
        <v>0</v>
      </c>
      <c r="J2354" s="11" t="n">
        <v>0</v>
      </c>
      <c r="K2354" s="4" t="inlineStr">
        <is>
          <t>Stundensätze eingeben</t>
        </is>
      </c>
    </row>
    <row r="2355">
      <c r="A2355" s="4" t="inlineStr">
        <is>
          <t>5955.011 LBIH-FLA-NAT-LP2-8-HSTA-trockene-Steigleitungen-TR1bis3-WI</t>
        </is>
      </c>
      <c r="B2355" s="4" t="inlineStr">
        <is>
          <t>● (p) Pos. 6 Leistungsphase 8 (Objektüberwachung)</t>
        </is>
      </c>
      <c r="C2355" s="4" t="inlineStr">
        <is>
          <t>Pauschale</t>
        </is>
      </c>
      <c r="D2355" s="10" t="inlineStr">
        <is>
          <t>⚠ Manual erforderlich</t>
        </is>
      </c>
      <c r="E2355" s="11" t="inlineStr"/>
      <c r="F2355" s="11" t="n">
        <v>0</v>
      </c>
      <c r="G2355" s="11">
        <f>E2355-F2355</f>
        <v/>
      </c>
      <c r="H2355" s="11" t="n">
        <v>0</v>
      </c>
      <c r="I2355" s="11" t="n">
        <v>0</v>
      </c>
      <c r="J2355" s="11" t="n">
        <v>0</v>
      </c>
      <c r="K2355" s="4" t="inlineStr">
        <is>
          <t>Stundensätze eingeben</t>
        </is>
      </c>
    </row>
    <row r="2356">
      <c r="A2356" s="4" t="inlineStr">
        <is>
          <t>5955.03 Schottkataster-Mosbacher-Straße-55-Wiesbaden-Hauptstaatsarchiv</t>
        </is>
      </c>
      <c r="B2356" s="4" t="inlineStr">
        <is>
          <t>● Erstellung Schottkataster (auf Nachweis)</t>
        </is>
      </c>
      <c r="C2356" s="9" t="inlineStr">
        <is>
          <t>Unbekannt</t>
        </is>
      </c>
      <c r="D2356" s="10" t="inlineStr">
        <is>
          <t>⚠ Manual erforderlich</t>
        </is>
      </c>
      <c r="E2356" s="11" t="inlineStr"/>
      <c r="F2356" s="11" t="n">
        <v>0</v>
      </c>
      <c r="G2356" s="11">
        <f>E2356-F2356</f>
        <v/>
      </c>
      <c r="H2356" s="11" t="n">
        <v/>
      </c>
      <c r="I2356" s="11" t="n">
        <v/>
      </c>
      <c r="J2356" s="11" t="n">
        <v/>
      </c>
      <c r="K2356" s="4" t="inlineStr">
        <is>
          <t>Abrechnungsart wählen; Stundensätze eingeben</t>
        </is>
      </c>
    </row>
    <row r="2357">
      <c r="A2357" s="4" t="inlineStr">
        <is>
          <t>5955.05 Ventilationskonzept-Mosbacher-Straße-55-Wiesbaden-Hauptstaatsarchiv</t>
        </is>
      </c>
      <c r="B2357" s="4" t="inlineStr">
        <is>
          <t>● Taktisches Ventilationskonzept (pauschal)</t>
        </is>
      </c>
      <c r="C2357" s="9" t="inlineStr">
        <is>
          <t>Unbekannt</t>
        </is>
      </c>
      <c r="D2357" s="10" t="inlineStr">
        <is>
          <t>⚠ Manual erforderlich</t>
        </is>
      </c>
      <c r="E2357" s="11" t="inlineStr"/>
      <c r="F2357" s="11" t="n">
        <v>0</v>
      </c>
      <c r="G2357" s="11">
        <f>E2357-F2357</f>
        <v/>
      </c>
      <c r="H2357" s="11" t="n">
        <v/>
      </c>
      <c r="I2357" s="11" t="n">
        <v/>
      </c>
      <c r="J2357" s="11" t="n">
        <v/>
      </c>
      <c r="K2357" s="4" t="inlineStr">
        <is>
          <t>Abrechnungsart wählen; Stundensätze eingeben</t>
        </is>
      </c>
    </row>
    <row r="2358">
      <c r="A2358" s="4" t="inlineStr">
        <is>
          <t>5955.07 3. Zusatzvertrag-LP8-Interimskonzept -Mosbacher-Straße-55-Wiesbaden -Hauptstaatsarchiv</t>
        </is>
      </c>
      <c r="B2358" s="4" t="inlineStr">
        <is>
          <t>● a.N. - LP8- Objektüberwachung zum Interimskonzept (16 Std./Monat und 24 Monate Laufzeit)</t>
        </is>
      </c>
      <c r="C2358" s="9" t="inlineStr">
        <is>
          <t>Unbekannt</t>
        </is>
      </c>
      <c r="D2358" s="10" t="inlineStr">
        <is>
          <t>⚠ Manual erforderlich</t>
        </is>
      </c>
      <c r="E2358" s="11" t="inlineStr"/>
      <c r="F2358" s="11" t="n">
        <v>0</v>
      </c>
      <c r="G2358" s="11">
        <f>E2358-F2358</f>
        <v/>
      </c>
      <c r="H2358" s="11" t="n">
        <v/>
      </c>
      <c r="I2358" s="11" t="n">
        <v/>
      </c>
      <c r="J2358" s="11" t="n">
        <v/>
      </c>
      <c r="K2358" s="4" t="inlineStr">
        <is>
          <t>Abrechnungsart wählen; Stundensätze eingeben</t>
        </is>
      </c>
    </row>
    <row r="2359">
      <c r="A2359" s="4" t="inlineStr">
        <is>
          <t>5955.08 RAK-FWP-Mosbacher-Straße-55-Wiesbaden-Hauptstaatsarchiv</t>
        </is>
      </c>
      <c r="B2359" s="4" t="inlineStr">
        <is>
          <t>● (p) Pos.5a weitere brandschutztechn. Beratungsleistungen zum takt. Ventilationskonzept</t>
        </is>
      </c>
      <c r="C2359" s="4" t="inlineStr">
        <is>
          <t>Pauschale</t>
        </is>
      </c>
      <c r="D2359" s="10" t="inlineStr">
        <is>
          <t>⚠ Manual erforderlich</t>
        </is>
      </c>
      <c r="E2359" s="11" t="inlineStr"/>
      <c r="F2359" s="11" t="n">
        <v>0</v>
      </c>
      <c r="G2359" s="11">
        <f>E2359-F2359</f>
        <v/>
      </c>
      <c r="H2359" s="11" t="n">
        <v/>
      </c>
      <c r="I2359" s="11" t="n">
        <v/>
      </c>
      <c r="J2359" s="11" t="n">
        <v/>
      </c>
      <c r="K2359" s="4" t="inlineStr">
        <is>
          <t>Stundensätze eingeben</t>
        </is>
      </c>
    </row>
    <row r="2360">
      <c r="A2360" s="4" t="inlineStr">
        <is>
          <t>5955.08 RAK-FWP-Mosbacher-Straße-55-Wiesbaden-Hauptstaatsarchiv</t>
        </is>
      </c>
      <c r="B2360" s="4" t="inlineStr">
        <is>
          <t>● (p) Pos. 5b Erstellung von Rauchableitungskarten</t>
        </is>
      </c>
      <c r="C2360" s="4" t="inlineStr">
        <is>
          <t>Pauschale</t>
        </is>
      </c>
      <c r="D2360" s="10" t="inlineStr">
        <is>
          <t>⚠ Manual erforderlich</t>
        </is>
      </c>
      <c r="E2360" s="11" t="inlineStr"/>
      <c r="F2360" s="11" t="n">
        <v>0</v>
      </c>
      <c r="G2360" s="11">
        <f>E2360-F2360</f>
        <v/>
      </c>
      <c r="H2360" s="11" t="n">
        <v>0</v>
      </c>
      <c r="I2360" s="11" t="n">
        <v>0</v>
      </c>
      <c r="J2360" s="11" t="n">
        <v>0</v>
      </c>
      <c r="K2360" s="4" t="inlineStr">
        <is>
          <t>Stundensätze eingeben</t>
        </is>
      </c>
    </row>
    <row r="2361">
      <c r="A2361" s="4" t="inlineStr">
        <is>
          <t>5955.08 RAK-FWP-Mosbacher-Straße-55-Wiesbaden-Hauptstaatsarchiv</t>
        </is>
      </c>
      <c r="B2361" s="4" t="inlineStr">
        <is>
          <t>● (p) Pos.5c Erstellung Feuerwehrplänen</t>
        </is>
      </c>
      <c r="C2361" s="4" t="inlineStr">
        <is>
          <t>Pauschale</t>
        </is>
      </c>
      <c r="D2361" s="10" t="inlineStr">
        <is>
          <t>⚠ Manual erforderlich</t>
        </is>
      </c>
      <c r="E2361" s="11" t="inlineStr"/>
      <c r="F2361" s="11" t="n">
        <v>0</v>
      </c>
      <c r="G2361" s="11">
        <f>E2361-F2361</f>
        <v/>
      </c>
      <c r="H2361" s="11" t="n">
        <v>0</v>
      </c>
      <c r="I2361" s="11" t="n">
        <v>0</v>
      </c>
      <c r="J2361" s="11" t="n">
        <v>0</v>
      </c>
      <c r="K2361" s="4" t="inlineStr">
        <is>
          <t>Stundensätze eingeben</t>
        </is>
      </c>
    </row>
    <row r="2362">
      <c r="A2362" s="4" t="inlineStr">
        <is>
          <t>5955.09 BTB-Klimasplitgeräte-Mosbacher-Straße-55-Wiesbaden</t>
        </is>
      </c>
      <c r="B2362" s="4" t="inlineStr">
        <is>
          <t>● (aN9 Pos.1 BTB zur Baumaßnahme Installation von Klimasplitgeräten</t>
        </is>
      </c>
      <c r="C2362" s="9" t="inlineStr">
        <is>
          <t>Unbekannt</t>
        </is>
      </c>
      <c r="D2362" s="10" t="inlineStr">
        <is>
          <t>⚠ Manual erforderlich</t>
        </is>
      </c>
      <c r="E2362" s="11" t="inlineStr"/>
      <c r="F2362" s="11" t="n">
        <v>0</v>
      </c>
      <c r="G2362" s="11">
        <f>E2362-F2362</f>
        <v/>
      </c>
      <c r="H2362" s="11" t="n">
        <v/>
      </c>
      <c r="I2362" s="11" t="n">
        <v/>
      </c>
      <c r="J2362" s="11" t="n">
        <v/>
      </c>
      <c r="K2362" s="4" t="inlineStr">
        <is>
          <t>Abrechnungsart wählen; Stundensätze eingeben</t>
        </is>
      </c>
    </row>
    <row r="2363">
      <c r="A2363" s="4" t="inlineStr">
        <is>
          <t>5955.10 BTB-Büro+Verwaltungsgebäude-MosbacherStr55-WI</t>
        </is>
      </c>
      <c r="B2363" s="4" t="inlineStr">
        <is>
          <t>● (aN) Pos. 1 BTB zur Baumaßnahme Installation von Netzwerkkabeln LP5/8</t>
        </is>
      </c>
      <c r="C2363" s="4" t="inlineStr">
        <is>
          <t>Nachweis</t>
        </is>
      </c>
      <c r="D2363" s="10" t="inlineStr">
        <is>
          <t>⚠ Manual erforderlich</t>
        </is>
      </c>
      <c r="E2363" s="11" t="inlineStr"/>
      <c r="F2363" s="11" t="n">
        <v>0</v>
      </c>
      <c r="G2363" s="11">
        <f>E2363-F2363</f>
        <v/>
      </c>
      <c r="H2363" s="11" t="n">
        <v/>
      </c>
      <c r="I2363" s="11" t="n">
        <v/>
      </c>
      <c r="J2363" s="11" t="n">
        <v/>
      </c>
      <c r="K2363" s="4" t="inlineStr">
        <is>
          <t>Stundensätze eingeben</t>
        </is>
      </c>
    </row>
    <row r="2364">
      <c r="A2364" s="4" t="inlineStr">
        <is>
          <t>5955.11 BTB-Entfall-Überflurhydrant-MosbacherStr55-WI</t>
        </is>
      </c>
      <c r="B2364" s="4" t="inlineStr">
        <is>
          <t>● (p) Pos. 1 BTB Überflurhydrant</t>
        </is>
      </c>
      <c r="C2364" s="4" t="inlineStr">
        <is>
          <t>Pauschale</t>
        </is>
      </c>
      <c r="D2364" s="10" t="inlineStr">
        <is>
          <t>⚠ Manual erforderlich</t>
        </is>
      </c>
      <c r="E2364" s="11" t="inlineStr"/>
      <c r="F2364" s="11" t="n">
        <v>0</v>
      </c>
      <c r="G2364" s="11">
        <f>E2364-F2364</f>
        <v/>
      </c>
      <c r="H2364" s="11" t="n">
        <v>0</v>
      </c>
      <c r="I2364" s="11" t="n">
        <v>0</v>
      </c>
      <c r="J2364" s="11" t="n">
        <v>0</v>
      </c>
      <c r="K2364" s="4" t="inlineStr">
        <is>
          <t>Stundensätze eingeben</t>
        </is>
      </c>
    </row>
    <row r="2365">
      <c r="A2365" s="4" t="inlineStr">
        <is>
          <t>5958.04 BSB-2024+2025-Bartningstraße-57-Darmstadt-GHV-Gebäude</t>
        </is>
      </c>
      <c r="B2365" s="4" t="inlineStr">
        <is>
          <t>● (aN) BSB 2024</t>
        </is>
      </c>
      <c r="C2365" s="4" t="inlineStr">
        <is>
          <t>Nachweis</t>
        </is>
      </c>
      <c r="D2365" s="10" t="inlineStr">
        <is>
          <t>⚠ Manual erforderlich</t>
        </is>
      </c>
      <c r="E2365" s="11" t="inlineStr"/>
      <c r="F2365" s="11" t="n">
        <v>0</v>
      </c>
      <c r="G2365" s="11">
        <f>E2365-F2365</f>
        <v/>
      </c>
      <c r="H2365" s="11" t="n">
        <v/>
      </c>
      <c r="I2365" s="11" t="n">
        <v/>
      </c>
      <c r="J2365" s="11" t="n">
        <v/>
      </c>
      <c r="K2365" s="4" t="inlineStr">
        <is>
          <t>Stundensätze eingeben</t>
        </is>
      </c>
    </row>
    <row r="2366">
      <c r="A2366" s="4" t="inlineStr">
        <is>
          <t>5958.04 BSB-2024+2025-Bartningstraße-57-Darmstadt-GHV-Gebäude</t>
        </is>
      </c>
      <c r="B2366" s="4" t="inlineStr">
        <is>
          <t>● (aN) BSB 2025</t>
        </is>
      </c>
      <c r="C2366" s="4" t="inlineStr">
        <is>
          <t>Nachweis</t>
        </is>
      </c>
      <c r="D2366" s="10" t="inlineStr">
        <is>
          <t>⚠ Manual erforderlich</t>
        </is>
      </c>
      <c r="E2366" s="11" t="inlineStr"/>
      <c r="F2366" s="11" t="n">
        <v>0</v>
      </c>
      <c r="G2366" s="11">
        <f>E2366-F2366</f>
        <v/>
      </c>
      <c r="H2366" s="11" t="n">
        <v/>
      </c>
      <c r="I2366" s="11" t="n">
        <v/>
      </c>
      <c r="J2366" s="11" t="n">
        <v/>
      </c>
      <c r="K2366" s="4" t="inlineStr">
        <is>
          <t>Stundensätze eingeben</t>
        </is>
      </c>
    </row>
    <row r="2367">
      <c r="A2367" s="4" t="inlineStr">
        <is>
          <t>5967 Dr-Werner-Freyberg-Straße-Laudenbach</t>
        </is>
      </c>
      <c r="B2367" s="4" t="inlineStr">
        <is>
          <t>● 1000-Grundlagenermittlung</t>
        </is>
      </c>
      <c r="C2367" s="9" t="inlineStr">
        <is>
          <t>Unbekannt</t>
        </is>
      </c>
      <c r="D2367" s="10" t="inlineStr">
        <is>
          <t>⚠ Manual erforderlich</t>
        </is>
      </c>
      <c r="E2367" s="11" t="inlineStr"/>
      <c r="F2367" s="11" t="n">
        <v>0</v>
      </c>
      <c r="G2367" s="11">
        <f>E2367-F2367</f>
        <v/>
      </c>
      <c r="H2367" s="11" t="n">
        <v/>
      </c>
      <c r="I2367" s="11" t="n">
        <v/>
      </c>
      <c r="J2367" s="11" t="n">
        <v/>
      </c>
      <c r="K2367" s="4" t="inlineStr">
        <is>
          <t>Abrechnungsart wählen; Stundensätze eingeben</t>
        </is>
      </c>
    </row>
    <row r="2368">
      <c r="A2368" s="4" t="inlineStr">
        <is>
          <t>5967 Dr-Werner-Freyberg-Straße-Laudenbach</t>
        </is>
      </c>
      <c r="B2368" s="4" t="inlineStr">
        <is>
          <t>● 9000-Objektbetreuung und Dokumentation</t>
        </is>
      </c>
      <c r="C2368" s="9" t="inlineStr">
        <is>
          <t>Unbekannt</t>
        </is>
      </c>
      <c r="D2368" s="10" t="inlineStr">
        <is>
          <t>⚠ Manual erforderlich</t>
        </is>
      </c>
      <c r="E2368" s="11" t="inlineStr"/>
      <c r="F2368" s="11" t="n">
        <v>0</v>
      </c>
      <c r="G2368" s="11">
        <f>E2368-F2368</f>
        <v/>
      </c>
      <c r="H2368" s="11" t="n">
        <v/>
      </c>
      <c r="I2368" s="11" t="n">
        <v/>
      </c>
      <c r="J2368" s="11" t="n">
        <v/>
      </c>
      <c r="K2368" s="4" t="inlineStr">
        <is>
          <t>Abrechnungsart wählen; Stundensätze eingeben</t>
        </is>
      </c>
    </row>
    <row r="2369">
      <c r="A2369" s="4" t="inlineStr">
        <is>
          <t>5970.01 BAB-Ostpreußenstraße-16-Friedrichsdorf-Seulberg</t>
        </is>
      </c>
      <c r="B2369" s="4" t="inlineStr">
        <is>
          <t>● (p) Pos.1 baubegl. Brandschutzberatung</t>
        </is>
      </c>
      <c r="C2369" s="4" t="inlineStr">
        <is>
          <t>Pauschale</t>
        </is>
      </c>
      <c r="D2369" s="10" t="inlineStr">
        <is>
          <t>⚠ Manual erforderlich</t>
        </is>
      </c>
      <c r="E2369" s="11" t="inlineStr"/>
      <c r="F2369" s="11" t="n">
        <v>0</v>
      </c>
      <c r="G2369" s="11">
        <f>E2369-F2369</f>
        <v/>
      </c>
      <c r="H2369" s="11" t="n">
        <v>0</v>
      </c>
      <c r="I2369" s="11" t="n">
        <v>0</v>
      </c>
      <c r="J2369" s="11" t="n">
        <v>0</v>
      </c>
      <c r="K2369" s="4" t="inlineStr">
        <is>
          <t>Stundensätze eingeben</t>
        </is>
      </c>
    </row>
    <row r="2370">
      <c r="A2370" s="4" t="inlineStr">
        <is>
          <t>5971.03 OG3-Konrad-Adenauer-Ring-33-Wiesbaden-LKA</t>
        </is>
      </c>
      <c r="B2370" s="4" t="inlineStr">
        <is>
          <t>● Brandschutzkonzept 3. OG (pauschal)</t>
        </is>
      </c>
      <c r="C2370" s="9" t="inlineStr">
        <is>
          <t>Unbekannt</t>
        </is>
      </c>
      <c r="D2370" s="10" t="inlineStr">
        <is>
          <t>⚠ Manual erforderlich</t>
        </is>
      </c>
      <c r="E2370" s="11" t="inlineStr"/>
      <c r="F2370" s="11" t="n">
        <v>0</v>
      </c>
      <c r="G2370" s="11">
        <f>E2370-F2370</f>
        <v/>
      </c>
      <c r="H2370" s="11" t="n">
        <v/>
      </c>
      <c r="I2370" s="11" t="n">
        <v/>
      </c>
      <c r="J2370" s="11" t="n">
        <v/>
      </c>
      <c r="K2370" s="4" t="inlineStr">
        <is>
          <t>Abrechnungsart wählen; Stundensätze eingeben</t>
        </is>
      </c>
    </row>
    <row r="2371">
      <c r="A2371" s="4" t="inlineStr">
        <is>
          <t>5971.03 OG3-Konrad-Adenauer-Ring-33-Wiesbaden-LKA</t>
        </is>
      </c>
      <c r="B2371" s="4" t="inlineStr">
        <is>
          <t>● Baubegleitung 3. OG (auf Nachweis)</t>
        </is>
      </c>
      <c r="C2371" s="9" t="inlineStr">
        <is>
          <t>Unbekannt</t>
        </is>
      </c>
      <c r="D2371" s="10" t="inlineStr">
        <is>
          <t>⚠ Manual erforderlich</t>
        </is>
      </c>
      <c r="E2371" s="11" t="inlineStr"/>
      <c r="F2371" s="11" t="n">
        <v>0</v>
      </c>
      <c r="G2371" s="11">
        <f>E2371-F2371</f>
        <v/>
      </c>
      <c r="H2371" s="11" t="n">
        <v/>
      </c>
      <c r="I2371" s="11" t="n">
        <v/>
      </c>
      <c r="J2371" s="11" t="n">
        <v/>
      </c>
      <c r="K2371" s="4" t="inlineStr">
        <is>
          <t>Abrechnungsart wählen; Stundensätze eingeben</t>
        </is>
      </c>
    </row>
    <row r="2372">
      <c r="A2372" s="4" t="inlineStr">
        <is>
          <t>5971.03 OG3-Konrad-Adenauer-Ring-33-Wiesbaden-LKA</t>
        </is>
      </c>
      <c r="B2372" s="4" t="inlineStr">
        <is>
          <t>● Anpassung FuR-Pläne 3. OG (pauschal)</t>
        </is>
      </c>
      <c r="C2372" s="9" t="inlineStr">
        <is>
          <t>Unbekannt</t>
        </is>
      </c>
      <c r="D2372" s="10" t="inlineStr">
        <is>
          <t>⚠ Manual erforderlich</t>
        </is>
      </c>
      <c r="E2372" s="11" t="inlineStr"/>
      <c r="F2372" s="11" t="n">
        <v>0</v>
      </c>
      <c r="G2372" s="11">
        <f>E2372-F2372</f>
        <v/>
      </c>
      <c r="H2372" s="11" t="n">
        <v/>
      </c>
      <c r="I2372" s="11" t="n">
        <v/>
      </c>
      <c r="J2372" s="11" t="n">
        <v/>
      </c>
      <c r="K2372" s="4" t="inlineStr">
        <is>
          <t>Abrechnungsart wählen; Stundensätze eingeben</t>
        </is>
      </c>
    </row>
    <row r="2373">
      <c r="A2373" s="4" t="inlineStr">
        <is>
          <t>5971.03 OG3-Konrad-Adenauer-Ring-33-Wiesbaden-LKA</t>
        </is>
      </c>
      <c r="B2373" s="4" t="inlineStr">
        <is>
          <t>● Anpassung FW-Pläne (pauschal)</t>
        </is>
      </c>
      <c r="C2373" s="9" t="inlineStr">
        <is>
          <t>Unbekannt</t>
        </is>
      </c>
      <c r="D2373" s="10" t="inlineStr">
        <is>
          <t>⚠ Manual erforderlich</t>
        </is>
      </c>
      <c r="E2373" s="11" t="inlineStr"/>
      <c r="F2373" s="11" t="n">
        <v>0</v>
      </c>
      <c r="G2373" s="11">
        <f>E2373-F2373</f>
        <v/>
      </c>
      <c r="H2373" s="11" t="n">
        <v/>
      </c>
      <c r="I2373" s="11" t="n">
        <v/>
      </c>
      <c r="J2373" s="11" t="n">
        <v/>
      </c>
      <c r="K2373" s="4" t="inlineStr">
        <is>
          <t>Abrechnungsart wählen; Stundensätze eingeben</t>
        </is>
      </c>
    </row>
    <row r="2374">
      <c r="A2374" s="4" t="inlineStr">
        <is>
          <t>5971.03 OG3-Konrad-Adenauer-Ring-33-Wiesbaden-LKA</t>
        </is>
      </c>
      <c r="B2374" s="4" t="inlineStr">
        <is>
          <t>● Anpassung BSK (auf Nachweis)</t>
        </is>
      </c>
      <c r="C2374" s="9" t="inlineStr">
        <is>
          <t>Unbekannt</t>
        </is>
      </c>
      <c r="D2374" s="10" t="inlineStr">
        <is>
          <t>⚠ Manual erforderlich</t>
        </is>
      </c>
      <c r="E2374" s="11" t="inlineStr"/>
      <c r="F2374" s="11" t="n">
        <v>0</v>
      </c>
      <c r="G2374" s="11">
        <f>E2374-F2374</f>
        <v/>
      </c>
      <c r="H2374" s="11" t="n">
        <v/>
      </c>
      <c r="I2374" s="11" t="n">
        <v/>
      </c>
      <c r="J2374" s="11" t="n">
        <v/>
      </c>
      <c r="K2374" s="4" t="inlineStr">
        <is>
          <t>Abrechnungsart wählen; Stundensätze eingeben</t>
        </is>
      </c>
    </row>
    <row r="2375">
      <c r="A2375" s="4" t="inlineStr">
        <is>
          <t>5978 Genfer-Straße-12-Frankfurt</t>
        </is>
      </c>
      <c r="B2375" s="4" t="inlineStr">
        <is>
          <t>● 1000-Grundlagenermittlung</t>
        </is>
      </c>
      <c r="C2375" s="9" t="inlineStr">
        <is>
          <t>Unbekannt</t>
        </is>
      </c>
      <c r="D2375" s="10" t="inlineStr">
        <is>
          <t>⚠ Manual erforderlich</t>
        </is>
      </c>
      <c r="E2375" s="11" t="inlineStr"/>
      <c r="F2375" s="11" t="n">
        <v>0</v>
      </c>
      <c r="G2375" s="11">
        <f>E2375-F2375</f>
        <v/>
      </c>
      <c r="H2375" s="11" t="n">
        <v/>
      </c>
      <c r="I2375" s="11" t="n">
        <v/>
      </c>
      <c r="J2375" s="11" t="n">
        <v/>
      </c>
      <c r="K2375" s="4" t="inlineStr">
        <is>
          <t>Abrechnungsart wählen; Stundensätze eingeben</t>
        </is>
      </c>
    </row>
    <row r="2376">
      <c r="A2376" s="4" t="inlineStr">
        <is>
          <t>5978 Genfer-Straße-12-Frankfurt</t>
        </is>
      </c>
      <c r="B2376" s="4" t="inlineStr">
        <is>
          <t>● 5000-Ausführungsplanung</t>
        </is>
      </c>
      <c r="C2376" s="9" t="inlineStr">
        <is>
          <t>Unbekannt</t>
        </is>
      </c>
      <c r="D2376" s="10" t="inlineStr">
        <is>
          <t>⚠ Manual erforderlich</t>
        </is>
      </c>
      <c r="E2376" s="11" t="inlineStr"/>
      <c r="F2376" s="11" t="n">
        <v>0</v>
      </c>
      <c r="G2376" s="11">
        <f>E2376-F2376</f>
        <v/>
      </c>
      <c r="H2376" s="11" t="n">
        <v/>
      </c>
      <c r="I2376" s="11" t="n">
        <v/>
      </c>
      <c r="J2376" s="11" t="n">
        <v/>
      </c>
      <c r="K2376" s="4" t="inlineStr">
        <is>
          <t>Abrechnungsart wählen; Stundensätze eingeben</t>
        </is>
      </c>
    </row>
    <row r="2377">
      <c r="A2377" s="4" t="inlineStr">
        <is>
          <t>5978 Genfer-Straße-12-Frankfurt</t>
        </is>
      </c>
      <c r="B2377" s="4" t="inlineStr">
        <is>
          <t>● 7000-Mitwirkung bei der Vergabe</t>
        </is>
      </c>
      <c r="C2377" s="9" t="inlineStr">
        <is>
          <t>Unbekannt</t>
        </is>
      </c>
      <c r="D2377" s="10" t="inlineStr">
        <is>
          <t>⚠ Manual erforderlich</t>
        </is>
      </c>
      <c r="E2377" s="11" t="inlineStr"/>
      <c r="F2377" s="11" t="n">
        <v>0</v>
      </c>
      <c r="G2377" s="11">
        <f>E2377-F2377</f>
        <v/>
      </c>
      <c r="H2377" s="11" t="n">
        <v/>
      </c>
      <c r="I2377" s="11" t="n">
        <v/>
      </c>
      <c r="J2377" s="11" t="n">
        <v/>
      </c>
      <c r="K2377" s="4" t="inlineStr">
        <is>
          <t>Abrechnungsart wählen; Stundensätze eingeben</t>
        </is>
      </c>
    </row>
    <row r="2378">
      <c r="A2378" s="4" t="inlineStr">
        <is>
          <t>5978 Genfer-Straße-12-Frankfurt</t>
        </is>
      </c>
      <c r="B2378" s="4" t="inlineStr">
        <is>
          <t>● 8000-Objektüberwachung</t>
        </is>
      </c>
      <c r="C2378" s="9" t="inlineStr">
        <is>
          <t>Unbekannt</t>
        </is>
      </c>
      <c r="D2378" s="10" t="inlineStr">
        <is>
          <t>⚠ Manual erforderlich</t>
        </is>
      </c>
      <c r="E2378" s="11" t="inlineStr"/>
      <c r="F2378" s="11" t="n">
        <v>0</v>
      </c>
      <c r="G2378" s="11">
        <f>E2378-F2378</f>
        <v/>
      </c>
      <c r="H2378" s="11" t="n">
        <v/>
      </c>
      <c r="I2378" s="11" t="n">
        <v/>
      </c>
      <c r="J2378" s="11" t="n">
        <v/>
      </c>
      <c r="K2378" s="4" t="inlineStr">
        <is>
          <t>Abrechnungsart wählen; Stundensätze eingeben</t>
        </is>
      </c>
    </row>
    <row r="2379">
      <c r="A2379" s="4" t="inlineStr">
        <is>
          <t>5978 Genfer-Straße-12-Frankfurt</t>
        </is>
      </c>
      <c r="B2379" s="4" t="inlineStr">
        <is>
          <t>● 9000-Objektbetreuung und Dokumentation</t>
        </is>
      </c>
      <c r="C2379" s="9" t="inlineStr">
        <is>
          <t>Unbekannt</t>
        </is>
      </c>
      <c r="D2379" s="10" t="inlineStr">
        <is>
          <t>⚠ Manual erforderlich</t>
        </is>
      </c>
      <c r="E2379" s="11" t="inlineStr"/>
      <c r="F2379" s="11" t="n">
        <v>0</v>
      </c>
      <c r="G2379" s="11">
        <f>E2379-F2379</f>
        <v/>
      </c>
      <c r="H2379" s="11" t="n">
        <v/>
      </c>
      <c r="I2379" s="11" t="n">
        <v/>
      </c>
      <c r="J2379" s="11" t="n">
        <v/>
      </c>
      <c r="K2379" s="4" t="inlineStr">
        <is>
          <t>Abrechnungsart wählen; Stundensätze eingeben</t>
        </is>
      </c>
    </row>
    <row r="2380">
      <c r="A2380" s="4" t="inlineStr">
        <is>
          <t>5978.01 NAT-01-BSK-Genfer-Straße-12-Frankfurt</t>
        </is>
      </c>
      <c r="B2380" s="4" t="inlineStr">
        <is>
          <t>● (p) Fortschr. BSK</t>
        </is>
      </c>
      <c r="C2380" s="4" t="inlineStr">
        <is>
          <t>Pauschale</t>
        </is>
      </c>
      <c r="D2380" s="10" t="inlineStr">
        <is>
          <t>⚠ Manual erforderlich</t>
        </is>
      </c>
      <c r="E2380" s="11" t="inlineStr"/>
      <c r="F2380" s="11" t="n">
        <v>0</v>
      </c>
      <c r="G2380" s="11">
        <f>E2380-F2380</f>
        <v/>
      </c>
      <c r="H2380" s="11" t="n">
        <v>0</v>
      </c>
      <c r="I2380" s="11" t="n">
        <v>0</v>
      </c>
      <c r="J2380" s="11" t="n">
        <v>0</v>
      </c>
      <c r="K2380" s="4" t="inlineStr">
        <is>
          <t>Stundensätze eingeben</t>
        </is>
      </c>
    </row>
    <row r="2381">
      <c r="A2381" s="4" t="inlineStr">
        <is>
          <t>5978.01 NAT-01-BSK-Genfer-Straße-12-Frankfurt</t>
        </is>
      </c>
      <c r="B2381" s="4" t="inlineStr">
        <is>
          <t>● (p) Erstellung BSO</t>
        </is>
      </c>
      <c r="C2381" s="4" t="inlineStr">
        <is>
          <t>Pauschale</t>
        </is>
      </c>
      <c r="D2381" s="10" t="inlineStr">
        <is>
          <t>⚠ Manual erforderlich</t>
        </is>
      </c>
      <c r="E2381" s="11" t="inlineStr"/>
      <c r="F2381" s="11" t="n">
        <v>0</v>
      </c>
      <c r="G2381" s="11">
        <f>E2381-F2381</f>
        <v/>
      </c>
      <c r="H2381" s="11" t="n">
        <v>0</v>
      </c>
      <c r="I2381" s="11" t="n">
        <v>0</v>
      </c>
      <c r="J2381" s="11" t="n">
        <v>0</v>
      </c>
      <c r="K2381" s="4" t="inlineStr">
        <is>
          <t>Stundensätze eingeben</t>
        </is>
      </c>
    </row>
    <row r="2382">
      <c r="A2382" s="4" t="inlineStr">
        <is>
          <t>5978.01 NAT-01-BSK-Genfer-Straße-12-Frankfurt</t>
        </is>
      </c>
      <c r="B2382" s="4" t="inlineStr">
        <is>
          <t>● (p) FRP</t>
        </is>
      </c>
      <c r="C2382" s="4" t="inlineStr">
        <is>
          <t>Pauschale</t>
        </is>
      </c>
      <c r="D2382" s="10" t="inlineStr">
        <is>
          <t>⚠ Manual erforderlich</t>
        </is>
      </c>
      <c r="E2382" s="11" t="inlineStr"/>
      <c r="F2382" s="11" t="n">
        <v>0</v>
      </c>
      <c r="G2382" s="11">
        <f>E2382-F2382</f>
        <v/>
      </c>
      <c r="H2382" s="11" t="n">
        <v>0</v>
      </c>
      <c r="I2382" s="11" t="n">
        <v>0</v>
      </c>
      <c r="J2382" s="11" t="n">
        <v>0</v>
      </c>
      <c r="K2382" s="4" t="inlineStr">
        <is>
          <t>Stundensätze eingeben</t>
        </is>
      </c>
    </row>
    <row r="2383">
      <c r="A2383" s="4" t="inlineStr">
        <is>
          <t>5978.01 NAT-01-BSK-Genfer-Straße-12-Frankfurt</t>
        </is>
      </c>
      <c r="B2383" s="4" t="inlineStr">
        <is>
          <t>● (p) FWP</t>
        </is>
      </c>
      <c r="C2383" s="4" t="inlineStr">
        <is>
          <t>Pauschale</t>
        </is>
      </c>
      <c r="D2383" s="10" t="inlineStr">
        <is>
          <t>⚠ Manual erforderlich</t>
        </is>
      </c>
      <c r="E2383" s="11" t="inlineStr"/>
      <c r="F2383" s="11" t="n">
        <v>0</v>
      </c>
      <c r="G2383" s="11">
        <f>E2383-F2383</f>
        <v/>
      </c>
      <c r="H2383" s="11" t="n">
        <v>0</v>
      </c>
      <c r="I2383" s="11" t="n">
        <v>0</v>
      </c>
      <c r="J2383" s="11" t="n">
        <v>0</v>
      </c>
      <c r="K2383" s="4" t="inlineStr">
        <is>
          <t>Stundensätze eingeben</t>
        </is>
      </c>
    </row>
    <row r="2384">
      <c r="A2384" s="4" t="inlineStr">
        <is>
          <t>5978.01 NAT-01-BSK-Genfer-Straße-12-Frankfurt</t>
        </is>
      </c>
      <c r="B2384" s="4" t="inlineStr">
        <is>
          <t>● (p) Pos.1 NAT Erstellung FWP+FRP</t>
        </is>
      </c>
      <c r="C2384" s="4" t="inlineStr">
        <is>
          <t>Pauschale</t>
        </is>
      </c>
      <c r="D2384" s="10" t="inlineStr">
        <is>
          <t>⚠ Manual erforderlich</t>
        </is>
      </c>
      <c r="E2384" s="11" t="inlineStr"/>
      <c r="F2384" s="11" t="n">
        <v>0</v>
      </c>
      <c r="G2384" s="11">
        <f>E2384-F2384</f>
        <v/>
      </c>
      <c r="H2384" s="11" t="n">
        <v>0</v>
      </c>
      <c r="I2384" s="11" t="n">
        <v>0</v>
      </c>
      <c r="J2384" s="11" t="n">
        <v>0</v>
      </c>
      <c r="K2384" s="4" t="inlineStr">
        <is>
          <t>Stundensätze eingeben</t>
        </is>
      </c>
    </row>
    <row r="2385">
      <c r="A2385" s="4" t="inlineStr">
        <is>
          <t>5981.02 Nauheimer-Straße-100-Bad-Cannstatt-Gesamtgebäude(Flanders-III)</t>
        </is>
      </c>
      <c r="B2385" s="4" t="inlineStr">
        <is>
          <t>● Begehung Bestand + Teilnahme Besprechungen (auf Nachweis)</t>
        </is>
      </c>
      <c r="C2385" s="9" t="inlineStr">
        <is>
          <t>Unbekannt</t>
        </is>
      </c>
      <c r="D2385" s="10" t="inlineStr">
        <is>
          <t>⚠ Manual erforderlich</t>
        </is>
      </c>
      <c r="E2385" s="11" t="inlineStr"/>
      <c r="F2385" s="11" t="n">
        <v>0</v>
      </c>
      <c r="G2385" s="11">
        <f>E2385-F2385</f>
        <v/>
      </c>
      <c r="H2385" s="11" t="n">
        <v/>
      </c>
      <c r="I2385" s="11" t="n">
        <v/>
      </c>
      <c r="J2385" s="11" t="n">
        <v/>
      </c>
      <c r="K2385" s="4" t="inlineStr">
        <is>
          <t>Abrechnungsart wählen; Stundensätze eingeben</t>
        </is>
      </c>
    </row>
    <row r="2386">
      <c r="A2386" s="4" t="inlineStr">
        <is>
          <t>5981.02 Nauheimer-Straße-100-Bad-Cannstatt-Gesamtgebäude(Flanders-III)</t>
        </is>
      </c>
      <c r="B2386" s="4" t="inlineStr">
        <is>
          <t>● BSK (pauschal)</t>
        </is>
      </c>
      <c r="C2386" s="9" t="inlineStr">
        <is>
          <t>Unbekannt</t>
        </is>
      </c>
      <c r="D2386" s="10" t="inlineStr">
        <is>
          <t>⚠ Manual erforderlich</t>
        </is>
      </c>
      <c r="E2386" s="11" t="inlineStr"/>
      <c r="F2386" s="11" t="n">
        <v>0</v>
      </c>
      <c r="G2386" s="11">
        <f>E2386-F2386</f>
        <v/>
      </c>
      <c r="H2386" s="11" t="n">
        <v/>
      </c>
      <c r="I2386" s="11" t="n">
        <v/>
      </c>
      <c r="J2386" s="11" t="n">
        <v/>
      </c>
      <c r="K2386" s="4" t="inlineStr">
        <is>
          <t>Abrechnungsart wählen; Stundensätze eingeben</t>
        </is>
      </c>
    </row>
    <row r="2387">
      <c r="A2387" s="4" t="inlineStr">
        <is>
          <t>5981.02 Nauheimer-Straße-100-Bad-Cannstatt-Gesamtgebäude(Flanders-III)</t>
        </is>
      </c>
      <c r="B2387" s="4" t="inlineStr">
        <is>
          <t>● Baubegleitung (auf Nachweis)</t>
        </is>
      </c>
      <c r="C2387" s="9" t="inlineStr">
        <is>
          <t>Unbekannt</t>
        </is>
      </c>
      <c r="D2387" s="10" t="inlineStr">
        <is>
          <t>⚠ Manual erforderlich</t>
        </is>
      </c>
      <c r="E2387" s="11" t="inlineStr"/>
      <c r="F2387" s="11" t="n">
        <v>0</v>
      </c>
      <c r="G2387" s="11">
        <f>E2387-F2387</f>
        <v/>
      </c>
      <c r="H2387" s="11" t="n">
        <v/>
      </c>
      <c r="I2387" s="11" t="n">
        <v/>
      </c>
      <c r="J2387" s="11" t="n">
        <v/>
      </c>
      <c r="K2387" s="4" t="inlineStr">
        <is>
          <t>Abrechnungsart wählen; Stundensätze eingeben</t>
        </is>
      </c>
    </row>
    <row r="2388">
      <c r="A2388" s="4" t="inlineStr">
        <is>
          <t>5981.03 DRESO-SigraS-Tektur-BSK-NauheimerStr100-Bad-Cannstadt</t>
        </is>
      </c>
      <c r="B2388" s="4" t="inlineStr">
        <is>
          <t>● (p) Pos. 1 Fortschreibung Brandschutzkonzept</t>
        </is>
      </c>
      <c r="C2388" s="4" t="inlineStr">
        <is>
          <t>Pauschale</t>
        </is>
      </c>
      <c r="D2388" s="10" t="inlineStr">
        <is>
          <t>⚠ Manual erforderlich</t>
        </is>
      </c>
      <c r="E2388" s="11" t="inlineStr"/>
      <c r="F2388" s="11" t="n">
        <v>0</v>
      </c>
      <c r="G2388" s="11">
        <f>E2388-F2388</f>
        <v/>
      </c>
      <c r="H2388" s="11" t="n">
        <v>0</v>
      </c>
      <c r="I2388" s="11" t="n">
        <v>0</v>
      </c>
      <c r="J2388" s="11" t="n">
        <v>0</v>
      </c>
      <c r="K2388" s="4" t="inlineStr">
        <is>
          <t>Stundensätze eingeben</t>
        </is>
      </c>
    </row>
    <row r="2389">
      <c r="A2389" s="4" t="inlineStr">
        <is>
          <t>5981.03 DRESO-SigraS-Tektur-BSK-NauheimerStr100-Bad-Cannstadt</t>
        </is>
      </c>
      <c r="B2389" s="4" t="inlineStr">
        <is>
          <t>● (aN) Pos. 2 Brandschutztechnische Beratung</t>
        </is>
      </c>
      <c r="C2389" s="4" t="inlineStr">
        <is>
          <t>Nachweis</t>
        </is>
      </c>
      <c r="D2389" s="10" t="inlineStr">
        <is>
          <t>⚠ Manual erforderlich</t>
        </is>
      </c>
      <c r="E2389" s="11" t="inlineStr"/>
      <c r="F2389" s="11" t="n">
        <v>0</v>
      </c>
      <c r="G2389" s="11">
        <f>E2389-F2389</f>
        <v/>
      </c>
      <c r="H2389" s="11" t="n">
        <v/>
      </c>
      <c r="I2389" s="11" t="n">
        <v/>
      </c>
      <c r="J2389" s="11" t="n">
        <v/>
      </c>
      <c r="K2389" s="4" t="inlineStr">
        <is>
          <t>Stundensätze eingeben</t>
        </is>
      </c>
    </row>
    <row r="2390">
      <c r="A2390" s="4" t="inlineStr">
        <is>
          <t>5981.03 DRESO-SigraS-Tektur-BSK-NauheimerStr100-Bad-Cannstadt</t>
        </is>
      </c>
      <c r="B2390" s="4" t="inlineStr">
        <is>
          <t>● (p) Pos. 3 Brandschutzordnung</t>
        </is>
      </c>
      <c r="C2390" s="4" t="inlineStr">
        <is>
          <t>Pauschale</t>
        </is>
      </c>
      <c r="D2390" s="10" t="inlineStr">
        <is>
          <t>⚠ Manual erforderlich</t>
        </is>
      </c>
      <c r="E2390" s="11" t="inlineStr"/>
      <c r="F2390" s="11" t="n">
        <v>0</v>
      </c>
      <c r="G2390" s="11">
        <f>E2390-F2390</f>
        <v/>
      </c>
      <c r="H2390" s="11" t="n">
        <v>0</v>
      </c>
      <c r="I2390" s="11" t="n">
        <v>0</v>
      </c>
      <c r="J2390" s="11" t="n">
        <v>0</v>
      </c>
      <c r="K2390" s="4" t="inlineStr">
        <is>
          <t>Stundensätze eingeben</t>
        </is>
      </c>
    </row>
    <row r="2391">
      <c r="A2391" s="4" t="inlineStr">
        <is>
          <t>5983 Klausen-GmbH./.Stadt-Koblenz</t>
        </is>
      </c>
      <c r="B2391" s="4" t="inlineStr">
        <is>
          <t>● 0000-Aquise</t>
        </is>
      </c>
      <c r="C2391" s="9" t="inlineStr">
        <is>
          <t>Unbekannt</t>
        </is>
      </c>
      <c r="D2391" s="10" t="inlineStr">
        <is>
          <t>⚠ Manual erforderlich</t>
        </is>
      </c>
      <c r="E2391" s="11" t="inlineStr"/>
      <c r="F2391" s="11" t="n">
        <v>0</v>
      </c>
      <c r="G2391" s="11">
        <f>E2391-F2391</f>
        <v/>
      </c>
      <c r="H2391" s="11" t="n">
        <v/>
      </c>
      <c r="I2391" s="11" t="n">
        <v/>
      </c>
      <c r="J2391" s="11" t="n">
        <v/>
      </c>
      <c r="K2391" s="4" t="inlineStr">
        <is>
          <t>Abrechnungsart wählen; Stundensätze eingeben</t>
        </is>
      </c>
    </row>
    <row r="2392">
      <c r="A2392" s="4" t="inlineStr">
        <is>
          <t>5983 Klausen-GmbH./.Stadt-Koblenz</t>
        </is>
      </c>
      <c r="B2392" s="4" t="inlineStr">
        <is>
          <t>● 0001-Sonstiges</t>
        </is>
      </c>
      <c r="C2392" s="9" t="inlineStr">
        <is>
          <t>Unbekannt</t>
        </is>
      </c>
      <c r="D2392" s="10" t="inlineStr">
        <is>
          <t>⚠ Manual erforderlich</t>
        </is>
      </c>
      <c r="E2392" s="11" t="inlineStr"/>
      <c r="F2392" s="11" t="n">
        <v>0</v>
      </c>
      <c r="G2392" s="11">
        <f>E2392-F2392</f>
        <v/>
      </c>
      <c r="H2392" s="11" t="n">
        <v/>
      </c>
      <c r="I2392" s="11" t="n">
        <v/>
      </c>
      <c r="J2392" s="11" t="n">
        <v/>
      </c>
      <c r="K2392" s="4" t="inlineStr">
        <is>
          <t>Abrechnungsart wählen; Stundensätze eingeben</t>
        </is>
      </c>
    </row>
    <row r="2393">
      <c r="A2393" s="4" t="inlineStr">
        <is>
          <t>5984.01 QE-WEA-Windpark-Lusshardt-Überarbeitung-BSK</t>
        </is>
      </c>
      <c r="B2393" s="4" t="inlineStr">
        <is>
          <t>● (p) Pos. 1 Überarbeitung Brandschutzkonzept</t>
        </is>
      </c>
      <c r="C2393" s="4" t="inlineStr">
        <is>
          <t>Pauschale</t>
        </is>
      </c>
      <c r="D2393" s="10" t="inlineStr">
        <is>
          <t>⚠ Manual erforderlich</t>
        </is>
      </c>
      <c r="E2393" s="11" t="inlineStr"/>
      <c r="F2393" s="11" t="n">
        <v>0</v>
      </c>
      <c r="G2393" s="11">
        <f>E2393-F2393</f>
        <v/>
      </c>
      <c r="H2393" s="11" t="n">
        <v>0</v>
      </c>
      <c r="I2393" s="11" t="n">
        <v>0</v>
      </c>
      <c r="J2393" s="11" t="n">
        <v>0</v>
      </c>
      <c r="K2393" s="4" t="inlineStr">
        <is>
          <t>Stundensätze eingeben</t>
        </is>
      </c>
    </row>
    <row r="2394">
      <c r="A2394" s="4" t="inlineStr">
        <is>
          <t>5987.03 E&amp;S-BSK-BT-C-Czernyring15-Heidelberg</t>
        </is>
      </c>
      <c r="B2394" s="4" t="inlineStr">
        <is>
          <t>● (p) Pos. 1 Fortschreibung Brandschutzkonzept</t>
        </is>
      </c>
      <c r="C2394" s="4" t="inlineStr">
        <is>
          <t>Pauschale</t>
        </is>
      </c>
      <c r="D2394" s="10" t="inlineStr">
        <is>
          <t>⚠ Manual erforderlich</t>
        </is>
      </c>
      <c r="E2394" s="11" t="inlineStr"/>
      <c r="F2394" s="11" t="n">
        <v>0</v>
      </c>
      <c r="G2394" s="11">
        <f>E2394-F2394</f>
        <v/>
      </c>
      <c r="H2394" s="11" t="n">
        <v>0</v>
      </c>
      <c r="I2394" s="11" t="n">
        <v>0</v>
      </c>
      <c r="J2394" s="11" t="n">
        <v>0</v>
      </c>
      <c r="K2394" s="4" t="inlineStr">
        <is>
          <t>Stundensätze eingeben</t>
        </is>
      </c>
    </row>
    <row r="2395">
      <c r="A2395" s="4" t="inlineStr">
        <is>
          <t>5987.03 E&amp;S-BSK-BT-C-Czernyring15-Heidelberg</t>
        </is>
      </c>
      <c r="B2395" s="4" t="inlineStr">
        <is>
          <t>● (aN) Pos. 2 Beratungsleistung</t>
        </is>
      </c>
      <c r="C2395" s="4" t="inlineStr">
        <is>
          <t>Nachweis</t>
        </is>
      </c>
      <c r="D2395" s="10" t="inlineStr">
        <is>
          <t>⚠ Manual erforderlich</t>
        </is>
      </c>
      <c r="E2395" s="11" t="inlineStr"/>
      <c r="F2395" s="11" t="n">
        <v>0</v>
      </c>
      <c r="G2395" s="11">
        <f>E2395-F2395</f>
        <v/>
      </c>
      <c r="H2395" s="11" t="n">
        <v/>
      </c>
      <c r="I2395" s="11" t="n">
        <v/>
      </c>
      <c r="J2395" s="11" t="n">
        <v/>
      </c>
      <c r="K2395" s="4" t="inlineStr">
        <is>
          <t>Stundensätze eingeben</t>
        </is>
      </c>
    </row>
    <row r="2396">
      <c r="A2396" s="4" t="inlineStr">
        <is>
          <t>5987.04 E&amp;S-BTB+BSK-BT-A+B-Czernyring15-Heidelberg</t>
        </is>
      </c>
      <c r="B2396" s="4" t="inlineStr">
        <is>
          <t>● (aN) Pos. 1 BTB Planungsph. BT A</t>
        </is>
      </c>
      <c r="C2396" s="4" t="inlineStr">
        <is>
          <t>Nachweis</t>
        </is>
      </c>
      <c r="D2396" s="10" t="inlineStr">
        <is>
          <t>⚠ Manual erforderlich</t>
        </is>
      </c>
      <c r="E2396" s="11" t="inlineStr"/>
      <c r="F2396" s="11" t="n">
        <v>0</v>
      </c>
      <c r="G2396" s="11">
        <f>E2396-F2396</f>
        <v/>
      </c>
      <c r="H2396" s="11" t="n">
        <v/>
      </c>
      <c r="I2396" s="11" t="n">
        <v/>
      </c>
      <c r="J2396" s="11" t="n">
        <v/>
      </c>
      <c r="K2396" s="4" t="inlineStr">
        <is>
          <t>Stundensätze eingeben</t>
        </is>
      </c>
    </row>
    <row r="2397">
      <c r="A2397" s="4" t="inlineStr">
        <is>
          <t>5987.04 E&amp;S-BTB+BSK-BT-A+B-Czernyring15-Heidelberg</t>
        </is>
      </c>
      <c r="B2397" s="4" t="inlineStr">
        <is>
          <t>● (aN) Pos. 1 BTB Planungsph. BT B</t>
        </is>
      </c>
      <c r="C2397" s="4" t="inlineStr">
        <is>
          <t>Nachweis</t>
        </is>
      </c>
      <c r="D2397" s="10" t="inlineStr">
        <is>
          <t>⚠ Manual erforderlich</t>
        </is>
      </c>
      <c r="E2397" s="11" t="inlineStr"/>
      <c r="F2397" s="11" t="n">
        <v>0</v>
      </c>
      <c r="G2397" s="11">
        <f>E2397-F2397</f>
        <v/>
      </c>
      <c r="H2397" s="11" t="n">
        <v/>
      </c>
      <c r="I2397" s="11" t="n">
        <v/>
      </c>
      <c r="J2397" s="11" t="n">
        <v/>
      </c>
      <c r="K2397" s="4" t="inlineStr">
        <is>
          <t>Stundensätze eingeben</t>
        </is>
      </c>
    </row>
    <row r="2398">
      <c r="A2398" s="4" t="inlineStr">
        <is>
          <t>5987.04 E&amp;S-BTB+BSK-BT-A+B-Czernyring15-Heidelberg</t>
        </is>
      </c>
      <c r="B2398" s="4" t="inlineStr">
        <is>
          <t>● (p) Pos. 2 Fortschr. BSK v. Rückmeldungen d. Baurechtsbehörde BT A + B</t>
        </is>
      </c>
      <c r="C2398" s="4" t="inlineStr">
        <is>
          <t>Pauschale</t>
        </is>
      </c>
      <c r="D2398" s="10" t="inlineStr">
        <is>
          <t>⚠ Manual erforderlich</t>
        </is>
      </c>
      <c r="E2398" s="11" t="inlineStr"/>
      <c r="F2398" s="11" t="n">
        <v>0</v>
      </c>
      <c r="G2398" s="11">
        <f>E2398-F2398</f>
        <v/>
      </c>
      <c r="H2398" s="11" t="n">
        <v>0</v>
      </c>
      <c r="I2398" s="11" t="n">
        <v>0</v>
      </c>
      <c r="J2398" s="11" t="n">
        <v>0</v>
      </c>
      <c r="K2398" s="4" t="inlineStr">
        <is>
          <t>Stundensätze eingeben</t>
        </is>
      </c>
    </row>
    <row r="2399">
      <c r="A2399" s="4" t="inlineStr">
        <is>
          <t>5987.04 E&amp;S-BTB+BSK-BT-A+B-Czernyring15-Heidelberg</t>
        </is>
      </c>
      <c r="B2399" s="4" t="inlineStr">
        <is>
          <t>● (p) Pos. 3 Fortschr.des BSK aufgrund von Planungsänderungen BT B</t>
        </is>
      </c>
      <c r="C2399" s="4" t="inlineStr">
        <is>
          <t>Pauschale</t>
        </is>
      </c>
      <c r="D2399" s="10" t="inlineStr">
        <is>
          <t>⚠ Manual erforderlich</t>
        </is>
      </c>
      <c r="E2399" s="11" t="inlineStr"/>
      <c r="F2399" s="11" t="n">
        <v>0</v>
      </c>
      <c r="G2399" s="11">
        <f>E2399-F2399</f>
        <v/>
      </c>
      <c r="H2399" s="11" t="n">
        <v>0</v>
      </c>
      <c r="I2399" s="11" t="n">
        <v>0</v>
      </c>
      <c r="J2399" s="11" t="n">
        <v>0</v>
      </c>
      <c r="K2399" s="4" t="inlineStr">
        <is>
          <t>Stundensätze eingeben</t>
        </is>
      </c>
    </row>
    <row r="2400">
      <c r="A2400" s="4" t="inlineStr">
        <is>
          <t>5987.05 E&amp;S-Anp-BSK-BT-B+C-Czernyring15-Heidelberg</t>
        </is>
      </c>
      <c r="B2400" s="4" t="inlineStr">
        <is>
          <t>● (p) Anpassung BSK BT B</t>
        </is>
      </c>
      <c r="C2400" s="4" t="inlineStr">
        <is>
          <t>Pauschale</t>
        </is>
      </c>
      <c r="D2400" s="10" t="inlineStr">
        <is>
          <t>⚠ Manual erforderlich</t>
        </is>
      </c>
      <c r="E2400" s="11" t="inlineStr"/>
      <c r="F2400" s="11" t="n">
        <v>0</v>
      </c>
      <c r="G2400" s="11">
        <f>E2400-F2400</f>
        <v/>
      </c>
      <c r="H2400" s="11" t="n">
        <v>0</v>
      </c>
      <c r="I2400" s="11" t="n">
        <v>0</v>
      </c>
      <c r="J2400" s="11" t="n">
        <v>0</v>
      </c>
      <c r="K2400" s="4" t="inlineStr">
        <is>
          <t>Stundensätze eingeben</t>
        </is>
      </c>
    </row>
    <row r="2401">
      <c r="A2401" s="4" t="inlineStr">
        <is>
          <t>5987.05 E&amp;S-Anp-BSK-BT-B+C-Czernyring15-Heidelberg</t>
        </is>
      </c>
      <c r="B2401" s="4" t="inlineStr">
        <is>
          <t>● (p) Anpassung BSK BT C</t>
        </is>
      </c>
      <c r="C2401" s="4" t="inlineStr">
        <is>
          <t>Pauschale</t>
        </is>
      </c>
      <c r="D2401" s="10" t="inlineStr">
        <is>
          <t>⚠ Manual erforderlich</t>
        </is>
      </c>
      <c r="E2401" s="11" t="inlineStr"/>
      <c r="F2401" s="11" t="n">
        <v>0</v>
      </c>
      <c r="G2401" s="11">
        <f>E2401-F2401</f>
        <v/>
      </c>
      <c r="H2401" s="11" t="n">
        <v>0</v>
      </c>
      <c r="I2401" s="11" t="n">
        <v>0</v>
      </c>
      <c r="J2401" s="11" t="n">
        <v>0</v>
      </c>
      <c r="K2401" s="4" t="inlineStr">
        <is>
          <t>Stundensätze eingeben</t>
        </is>
      </c>
    </row>
    <row r="2402">
      <c r="A2402" s="4" t="inlineStr">
        <is>
          <t>5992 Cohausenstraße-23-Frankfurt</t>
        </is>
      </c>
      <c r="B2402" s="4" t="inlineStr">
        <is>
          <t>● 2000-Vorplanung</t>
        </is>
      </c>
      <c r="C2402" s="9" t="inlineStr">
        <is>
          <t>Unbekannt</t>
        </is>
      </c>
      <c r="D2402" s="10" t="inlineStr">
        <is>
          <t>⚠ Manual erforderlich</t>
        </is>
      </c>
      <c r="E2402" s="11" t="inlineStr"/>
      <c r="F2402" s="11" t="n">
        <v>0</v>
      </c>
      <c r="G2402" s="11">
        <f>E2402-F2402</f>
        <v/>
      </c>
      <c r="H2402" s="11" t="n">
        <v/>
      </c>
      <c r="I2402" s="11" t="n">
        <v/>
      </c>
      <c r="J2402" s="11" t="n">
        <v/>
      </c>
      <c r="K2402" s="4" t="inlineStr">
        <is>
          <t>Abrechnungsart wählen; Stundensätze eingeben</t>
        </is>
      </c>
    </row>
    <row r="2403">
      <c r="A2403" s="4" t="inlineStr">
        <is>
          <t>5993 RV-BTB-Haus-1-Dag-Hammarskjöld-Weg-1-5-Eschborn</t>
        </is>
      </c>
      <c r="B2403" s="4" t="inlineStr">
        <is>
          <t>● 2000-Vorplanung</t>
        </is>
      </c>
      <c r="C2403" s="9" t="inlineStr">
        <is>
          <t>Unbekannt</t>
        </is>
      </c>
      <c r="D2403" s="10" t="inlineStr">
        <is>
          <t>⚠ Manual erforderlich</t>
        </is>
      </c>
      <c r="E2403" s="11" t="inlineStr"/>
      <c r="F2403" s="11" t="n">
        <v>0</v>
      </c>
      <c r="G2403" s="11">
        <f>E2403-F2403</f>
        <v/>
      </c>
      <c r="H2403" s="11" t="n">
        <v/>
      </c>
      <c r="I2403" s="11" t="n">
        <v/>
      </c>
      <c r="J2403" s="11" t="n">
        <v/>
      </c>
      <c r="K2403" s="4" t="inlineStr">
        <is>
          <t>Abrechnungsart wählen; Stundensätze eingeben</t>
        </is>
      </c>
    </row>
    <row r="2404">
      <c r="A2404" s="4" t="inlineStr">
        <is>
          <t>5993.01 RV-BTB-Haus-1-Dag-Hammarskjöld-Weg-1-5-Eschborn</t>
        </is>
      </c>
      <c r="B2404" s="4" t="inlineStr">
        <is>
          <t>● (a.N.) 2000-Vorplanung</t>
        </is>
      </c>
      <c r="C2404" s="4" t="inlineStr">
        <is>
          <t>Nachweis</t>
        </is>
      </c>
      <c r="D2404" s="10" t="inlineStr">
        <is>
          <t>⚠ Manual erforderlich</t>
        </is>
      </c>
      <c r="E2404" s="11" t="inlineStr"/>
      <c r="F2404" s="11" t="n">
        <v>0</v>
      </c>
      <c r="G2404" s="11">
        <f>E2404-F2404</f>
        <v/>
      </c>
      <c r="H2404" s="11" t="n">
        <v/>
      </c>
      <c r="I2404" s="11" t="n">
        <v/>
      </c>
      <c r="J2404" s="11" t="n">
        <v/>
      </c>
      <c r="K2404" s="4" t="inlineStr">
        <is>
          <t>Stundensätze eingeben</t>
        </is>
      </c>
    </row>
    <row r="2405">
      <c r="A2405" s="4" t="inlineStr">
        <is>
          <t>5994 RV-BTB-Haus-4-Dag-Hammarskjöld-Weg-1-5-Eschborn</t>
        </is>
      </c>
      <c r="B2405" s="4" t="inlineStr">
        <is>
          <t>● 2000-Vorplanung</t>
        </is>
      </c>
      <c r="C2405" s="9" t="inlineStr">
        <is>
          <t>Unbekannt</t>
        </is>
      </c>
      <c r="D2405" s="10" t="inlineStr">
        <is>
          <t>⚠ Manual erforderlich</t>
        </is>
      </c>
      <c r="E2405" s="11" t="inlineStr"/>
      <c r="F2405" s="11" t="n">
        <v>0</v>
      </c>
      <c r="G2405" s="11">
        <f>E2405-F2405</f>
        <v/>
      </c>
      <c r="H2405" s="11" t="n">
        <v/>
      </c>
      <c r="I2405" s="11" t="n">
        <v/>
      </c>
      <c r="J2405" s="11" t="n">
        <v/>
      </c>
      <c r="K2405" s="4" t="inlineStr">
        <is>
          <t>Abrechnungsart wählen; Stundensätze eingeben</t>
        </is>
      </c>
    </row>
    <row r="2406">
      <c r="A2406" s="4" t="inlineStr">
        <is>
          <t>5994.01 RV-BTB-Haus-4-Dag-Hammarskjöld-Weg-1-5-Eschborn</t>
        </is>
      </c>
      <c r="B2406" s="4" t="inlineStr">
        <is>
          <t>● (a.N.) Beratung</t>
        </is>
      </c>
      <c r="C2406" s="4" t="inlineStr">
        <is>
          <t>Nachweis</t>
        </is>
      </c>
      <c r="D2406" s="10" t="inlineStr">
        <is>
          <t>⚠ Manual erforderlich</t>
        </is>
      </c>
      <c r="E2406" s="11" t="inlineStr"/>
      <c r="F2406" s="11" t="n">
        <v>0</v>
      </c>
      <c r="G2406" s="11">
        <f>E2406-F2406</f>
        <v/>
      </c>
      <c r="H2406" s="11" t="n">
        <v/>
      </c>
      <c r="I2406" s="11" t="n">
        <v/>
      </c>
      <c r="J2406" s="11" t="n">
        <v/>
      </c>
      <c r="K2406" s="4" t="inlineStr">
        <is>
          <t>Stundensätze eingeben</t>
        </is>
      </c>
    </row>
    <row r="2407">
      <c r="A2407" s="4" t="inlineStr">
        <is>
          <t>5995 RV-BTB-Haus-5-Dag-Hammarskjöld-Weg-1-5-Eschborn</t>
        </is>
      </c>
      <c r="B2407" s="4" t="inlineStr">
        <is>
          <t>● 2000-Vorplanung</t>
        </is>
      </c>
      <c r="C2407" s="9" t="inlineStr">
        <is>
          <t>Unbekannt</t>
        </is>
      </c>
      <c r="D2407" s="10" t="inlineStr">
        <is>
          <t>⚠ Manual erforderlich</t>
        </is>
      </c>
      <c r="E2407" s="11" t="inlineStr"/>
      <c r="F2407" s="11" t="n">
        <v>0</v>
      </c>
      <c r="G2407" s="11">
        <f>E2407-F2407</f>
        <v/>
      </c>
      <c r="H2407" s="11" t="n">
        <v/>
      </c>
      <c r="I2407" s="11" t="n">
        <v/>
      </c>
      <c r="J2407" s="11" t="n">
        <v/>
      </c>
      <c r="K2407" s="4" t="inlineStr">
        <is>
          <t>Abrechnungsart wählen; Stundensätze eingeben</t>
        </is>
      </c>
    </row>
    <row r="2408">
      <c r="A2408" s="4" t="inlineStr">
        <is>
          <t>5995.01 RV-BTB-Haus-5-Dag-Hammarskjöld-Weg-1-5-Eschborn</t>
        </is>
      </c>
      <c r="B2408" s="4" t="inlineStr">
        <is>
          <t>● (a.N.) Beratung</t>
        </is>
      </c>
      <c r="C2408" s="4" t="inlineStr">
        <is>
          <t>Nachweis</t>
        </is>
      </c>
      <c r="D2408" s="10" t="inlineStr">
        <is>
          <t>⚠ Manual erforderlich</t>
        </is>
      </c>
      <c r="E2408" s="11" t="inlineStr"/>
      <c r="F2408" s="11" t="n">
        <v>0</v>
      </c>
      <c r="G2408" s="11">
        <f>E2408-F2408</f>
        <v/>
      </c>
      <c r="H2408" s="11" t="n">
        <v/>
      </c>
      <c r="I2408" s="11" t="n">
        <v/>
      </c>
      <c r="J2408" s="11" t="n">
        <v/>
      </c>
      <c r="K2408" s="4" t="inlineStr">
        <is>
          <t>Stundensätze eingeben</t>
        </is>
      </c>
    </row>
    <row r="2409">
      <c r="A2409" s="4" t="inlineStr">
        <is>
          <t>5996 RV-BTB-Haus-6-Ludwig-Erhard-Straße-30-34-Eschborn</t>
        </is>
      </c>
      <c r="B2409" s="4" t="inlineStr">
        <is>
          <t>● 2000-Vorplanung</t>
        </is>
      </c>
      <c r="C2409" s="9" t="inlineStr">
        <is>
          <t>Unbekannt</t>
        </is>
      </c>
      <c r="D2409" s="10" t="inlineStr">
        <is>
          <t>⚠ Manual erforderlich</t>
        </is>
      </c>
      <c r="E2409" s="11" t="inlineStr"/>
      <c r="F2409" s="11" t="n">
        <v>0</v>
      </c>
      <c r="G2409" s="11">
        <f>E2409-F2409</f>
        <v/>
      </c>
      <c r="H2409" s="11" t="n">
        <v/>
      </c>
      <c r="I2409" s="11" t="n">
        <v/>
      </c>
      <c r="J2409" s="11" t="n">
        <v/>
      </c>
      <c r="K2409" s="4" t="inlineStr">
        <is>
          <t>Abrechnungsart wählen; Stundensätze eingeben</t>
        </is>
      </c>
    </row>
    <row r="2410">
      <c r="A2410" s="4" t="inlineStr">
        <is>
          <t>5997 RV-BTB-Haus-7-Hauptstraße-119-Eschborn</t>
        </is>
      </c>
      <c r="B2410" s="4" t="inlineStr">
        <is>
          <t>● 2000-Vorplanung</t>
        </is>
      </c>
      <c r="C2410" s="9" t="inlineStr">
        <is>
          <t>Unbekannt</t>
        </is>
      </c>
      <c r="D2410" s="10" t="inlineStr">
        <is>
          <t>⚠ Manual erforderlich</t>
        </is>
      </c>
      <c r="E2410" s="11" t="inlineStr"/>
      <c r="F2410" s="11" t="n">
        <v>0</v>
      </c>
      <c r="G2410" s="11">
        <f>E2410-F2410</f>
        <v/>
      </c>
      <c r="H2410" s="11" t="n">
        <v/>
      </c>
      <c r="I2410" s="11" t="n">
        <v/>
      </c>
      <c r="J2410" s="11" t="n">
        <v/>
      </c>
      <c r="K2410" s="4" t="inlineStr">
        <is>
          <t>Abrechnungsart wählen; Stundensätze eingeben</t>
        </is>
      </c>
    </row>
    <row r="2411">
      <c r="A2411" s="4" t="inlineStr">
        <is>
          <t>6016.01 BSK-Funkturm-Innere-Kanalstraße-100-Köln</t>
        </is>
      </c>
      <c r="B2411" s="4" t="inlineStr">
        <is>
          <t>● BSK (auf Nachweis)</t>
        </is>
      </c>
      <c r="C2411" s="9" t="inlineStr">
        <is>
          <t>Unbekannt</t>
        </is>
      </c>
      <c r="D2411" s="10" t="inlineStr">
        <is>
          <t>⚠ Manual erforderlich</t>
        </is>
      </c>
      <c r="E2411" s="11" t="inlineStr"/>
      <c r="F2411" s="11" t="n">
        <v>0</v>
      </c>
      <c r="G2411" s="11">
        <f>E2411-F2411</f>
        <v/>
      </c>
      <c r="H2411" s="11" t="n">
        <v/>
      </c>
      <c r="I2411" s="11" t="n">
        <v/>
      </c>
      <c r="J2411" s="11" t="n">
        <v/>
      </c>
      <c r="K2411" s="4" t="inlineStr">
        <is>
          <t>Abrechnungsart wählen; Stundensätze eingeben</t>
        </is>
      </c>
    </row>
    <row r="2412">
      <c r="A2412" s="4" t="inlineStr">
        <is>
          <t>6016.01 BSK-Funkturm-Innere-Kanalstraße-100-Köln</t>
        </is>
      </c>
      <c r="B2412" s="4" t="inlineStr">
        <is>
          <t>● BSK-Pläne (auf Nachweis)</t>
        </is>
      </c>
      <c r="C2412" s="9" t="inlineStr">
        <is>
          <t>Unbekannt</t>
        </is>
      </c>
      <c r="D2412" s="10" t="inlineStr">
        <is>
          <t>⚠ Manual erforderlich</t>
        </is>
      </c>
      <c r="E2412" s="11" t="inlineStr"/>
      <c r="F2412" s="11" t="n">
        <v>0</v>
      </c>
      <c r="G2412" s="11">
        <f>E2412-F2412</f>
        <v/>
      </c>
      <c r="H2412" s="11" t="n">
        <v/>
      </c>
      <c r="I2412" s="11" t="n">
        <v/>
      </c>
      <c r="J2412" s="11" t="n">
        <v/>
      </c>
      <c r="K2412" s="4" t="inlineStr">
        <is>
          <t>Abrechnungsart wählen; Stundensätze eingeben</t>
        </is>
      </c>
    </row>
    <row r="2413">
      <c r="A2413" s="4" t="inlineStr">
        <is>
          <t>6017.03 Fraport-RV-LP8-Mieterausbau-Bundespolizei-Geb587</t>
        </is>
      </c>
      <c r="B2413" s="4" t="inlineStr">
        <is>
          <t>● Stufe 8 Objektüberwachung (auf Nachweis)</t>
        </is>
      </c>
      <c r="C2413" s="9" t="inlineStr">
        <is>
          <t>Unbekannt</t>
        </is>
      </c>
      <c r="D2413" s="10" t="inlineStr">
        <is>
          <t>⚠ Manual erforderlich</t>
        </is>
      </c>
      <c r="E2413" s="11" t="inlineStr"/>
      <c r="F2413" s="11" t="n">
        <v>0</v>
      </c>
      <c r="G2413" s="11">
        <f>E2413-F2413</f>
        <v/>
      </c>
      <c r="H2413" s="11" t="n">
        <v/>
      </c>
      <c r="I2413" s="11" t="n">
        <v/>
      </c>
      <c r="J2413" s="11" t="n">
        <v/>
      </c>
      <c r="K2413" s="4" t="inlineStr">
        <is>
          <t>Abrechnungsart wählen; Stundensätze eingeben</t>
        </is>
      </c>
    </row>
    <row r="2414">
      <c r="A2414" s="4" t="inlineStr">
        <is>
          <t>6017.03 Fraport-RV-LP8-Mieterausbau-Bundespolizei-Geb587</t>
        </is>
      </c>
      <c r="B2414" s="4" t="inlineStr">
        <is>
          <t>● (a.N.) Brandfallsteuermatrix</t>
        </is>
      </c>
      <c r="C2414" s="4" t="inlineStr">
        <is>
          <t>Nachweis</t>
        </is>
      </c>
      <c r="D2414" s="10" t="inlineStr">
        <is>
          <t>⚠ Manual erforderlich</t>
        </is>
      </c>
      <c r="E2414" s="11" t="inlineStr"/>
      <c r="F2414" s="11" t="n">
        <v>0</v>
      </c>
      <c r="G2414" s="11">
        <f>E2414-F2414</f>
        <v/>
      </c>
      <c r="H2414" s="11" t="n">
        <v/>
      </c>
      <c r="I2414" s="11" t="n">
        <v/>
      </c>
      <c r="J2414" s="11" t="n">
        <v/>
      </c>
      <c r="K2414" s="4" t="inlineStr">
        <is>
          <t>Stundensätze eingeben</t>
        </is>
      </c>
    </row>
    <row r="2415">
      <c r="A2415" s="4" t="inlineStr">
        <is>
          <t>6017.04 Fraport-RV-FuR-Pläne-Mieterausbau-Bundespolizei-Fraport-Geb587</t>
        </is>
      </c>
      <c r="B2415" s="4" t="inlineStr">
        <is>
          <t>● FuR-Pläne (pauschal)</t>
        </is>
      </c>
      <c r="C2415" s="9" t="inlineStr">
        <is>
          <t>Unbekannt</t>
        </is>
      </c>
      <c r="D2415" s="10" t="inlineStr">
        <is>
          <t>⚠ Manual erforderlich</t>
        </is>
      </c>
      <c r="E2415" s="11" t="inlineStr"/>
      <c r="F2415" s="11" t="n">
        <v>0</v>
      </c>
      <c r="G2415" s="11">
        <f>E2415-F2415</f>
        <v/>
      </c>
      <c r="H2415" s="11" t="n">
        <v/>
      </c>
      <c r="I2415" s="11" t="n">
        <v/>
      </c>
      <c r="J2415" s="11" t="n">
        <v/>
      </c>
      <c r="K2415" s="4" t="inlineStr">
        <is>
          <t>Abrechnungsart wählen; Stundensätze eingeben</t>
        </is>
      </c>
    </row>
    <row r="2416">
      <c r="A2416" s="4" t="inlineStr">
        <is>
          <t>6017.05 Fraport-RV-BSK-Interimscontainer-Bundespolizei-Geb587</t>
        </is>
      </c>
      <c r="B2416" s="4" t="inlineStr">
        <is>
          <t>● (a.N.) BSK</t>
        </is>
      </c>
      <c r="C2416" s="4" t="inlineStr">
        <is>
          <t>Nachweis</t>
        </is>
      </c>
      <c r="D2416" s="10" t="inlineStr">
        <is>
          <t>⚠ Manual erforderlich</t>
        </is>
      </c>
      <c r="E2416" s="11" t="inlineStr"/>
      <c r="F2416" s="11" t="n">
        <v>0</v>
      </c>
      <c r="G2416" s="11">
        <f>E2416-F2416</f>
        <v/>
      </c>
      <c r="H2416" s="11" t="n">
        <v/>
      </c>
      <c r="I2416" s="11" t="n">
        <v/>
      </c>
      <c r="J2416" s="11" t="n">
        <v/>
      </c>
      <c r="K2416" s="4" t="inlineStr">
        <is>
          <t>Stundensätze eingeben</t>
        </is>
      </c>
    </row>
    <row r="2417">
      <c r="A2417" s="4" t="inlineStr">
        <is>
          <t>6017.05 Fraport-RV-BSK-Interimscontainer-Bundespolizei-Geb587</t>
        </is>
      </c>
      <c r="B2417" s="4" t="inlineStr">
        <is>
          <t>● FuR-Pläne (pauschal)</t>
        </is>
      </c>
      <c r="C2417" s="9" t="inlineStr">
        <is>
          <t>Unbekannt</t>
        </is>
      </c>
      <c r="D2417" s="10" t="inlineStr">
        <is>
          <t>⚠ Manual erforderlich</t>
        </is>
      </c>
      <c r="E2417" s="11" t="inlineStr"/>
      <c r="F2417" s="11" t="n">
        <v>0</v>
      </c>
      <c r="G2417" s="11">
        <f>E2417-F2417</f>
        <v/>
      </c>
      <c r="H2417" s="11" t="n">
        <v/>
      </c>
      <c r="I2417" s="11" t="n">
        <v/>
      </c>
      <c r="J2417" s="11" t="n">
        <v/>
      </c>
      <c r="K2417" s="4" t="inlineStr">
        <is>
          <t>Abrechnungsart wählen; Stundensätze eingeben</t>
        </is>
      </c>
    </row>
    <row r="2418">
      <c r="A2418" s="4" t="inlineStr">
        <is>
          <t>6017.07 Fraport-RV-LP8-Interimscontainer-Bundespolizei-Geb587</t>
        </is>
      </c>
      <c r="B2418" s="4" t="inlineStr">
        <is>
          <t>● Stufe 8 Objektüberwachung (auf Nachweis)</t>
        </is>
      </c>
      <c r="C2418" s="9" t="inlineStr">
        <is>
          <t>Unbekannt</t>
        </is>
      </c>
      <c r="D2418" s="10" t="inlineStr">
        <is>
          <t>⚠ Manual erforderlich</t>
        </is>
      </c>
      <c r="E2418" s="11" t="inlineStr"/>
      <c r="F2418" s="11" t="n">
        <v>0</v>
      </c>
      <c r="G2418" s="11">
        <f>E2418-F2418</f>
        <v/>
      </c>
      <c r="H2418" s="11" t="n">
        <v/>
      </c>
      <c r="I2418" s="11" t="n">
        <v/>
      </c>
      <c r="J2418" s="11" t="n">
        <v/>
      </c>
      <c r="K2418" s="4" t="inlineStr">
        <is>
          <t>Abrechnungsart wählen; Stundensätze eingeben</t>
        </is>
      </c>
    </row>
    <row r="2419">
      <c r="A2419" s="4" t="inlineStr">
        <is>
          <t>6018.04 Anp-BSK-Cornberger-Tunnel-Cornberg-Technikgeb-Ostkopf-ESTW</t>
        </is>
      </c>
      <c r="B2419" s="4" t="inlineStr">
        <is>
          <t>● (p) Pos. 1 Überarbeitung des bestehenden Brandschutzkonzeptes</t>
        </is>
      </c>
      <c r="C2419" s="4" t="inlineStr">
        <is>
          <t>Pauschale</t>
        </is>
      </c>
      <c r="D2419" s="10" t="inlineStr">
        <is>
          <t>⚠ Manual erforderlich</t>
        </is>
      </c>
      <c r="E2419" s="11" t="inlineStr"/>
      <c r="F2419" s="11" t="n">
        <v>0</v>
      </c>
      <c r="G2419" s="11">
        <f>E2419-F2419</f>
        <v/>
      </c>
      <c r="H2419" s="11" t="n">
        <v>0</v>
      </c>
      <c r="I2419" s="11" t="n">
        <v>0</v>
      </c>
      <c r="J2419" s="11" t="n">
        <v>0</v>
      </c>
      <c r="K2419" s="4" t="inlineStr">
        <is>
          <t>Stundensätze eingeben</t>
        </is>
      </c>
    </row>
    <row r="2420">
      <c r="A2420" s="4" t="inlineStr">
        <is>
          <t>6018.04 Anp-BSK-Cornberger-Tunnel-Cornberg-Technikgeb-Ostkopf-ESTW</t>
        </is>
      </c>
      <c r="B2420" s="4" t="inlineStr">
        <is>
          <t>● (p) Pos. 2 Überarbeitung der Pläne bezüglich des ESTW Technikgebäude Ostkopf</t>
        </is>
      </c>
      <c r="C2420" s="4" t="inlineStr">
        <is>
          <t>Pauschale</t>
        </is>
      </c>
      <c r="D2420" s="10" t="inlineStr">
        <is>
          <t>⚠ Manual erforderlich</t>
        </is>
      </c>
      <c r="E2420" s="11" t="inlineStr"/>
      <c r="F2420" s="11" t="n">
        <v>0</v>
      </c>
      <c r="G2420" s="11">
        <f>E2420-F2420</f>
        <v/>
      </c>
      <c r="H2420" s="11" t="n">
        <v>0</v>
      </c>
      <c r="I2420" s="11" t="n">
        <v>0</v>
      </c>
      <c r="J2420" s="11" t="n">
        <v>0</v>
      </c>
      <c r="K2420" s="4" t="inlineStr">
        <is>
          <t>Stundensätze eingeben</t>
        </is>
      </c>
    </row>
    <row r="2421">
      <c r="A2421" s="4" t="inlineStr">
        <is>
          <t>6024.01 BAB-Nauheimer-Straße-Bad-Cannstatt-TG(Flanders-II)</t>
        </is>
      </c>
      <c r="B2421" s="4" t="inlineStr">
        <is>
          <t>● Baubegleitung (auf Nachweis)</t>
        </is>
      </c>
      <c r="C2421" s="9" t="inlineStr">
        <is>
          <t>Unbekannt</t>
        </is>
      </c>
      <c r="D2421" s="10" t="inlineStr">
        <is>
          <t>⚠ Manual erforderlich</t>
        </is>
      </c>
      <c r="E2421" s="11" t="inlineStr"/>
      <c r="F2421" s="11" t="n">
        <v>0</v>
      </c>
      <c r="G2421" s="11">
        <f>E2421-F2421</f>
        <v/>
      </c>
      <c r="H2421" s="11" t="n">
        <v/>
      </c>
      <c r="I2421" s="11" t="n">
        <v/>
      </c>
      <c r="J2421" s="11" t="n">
        <v/>
      </c>
      <c r="K2421" s="4" t="inlineStr">
        <is>
          <t>Abrechnungsart wählen; Stundensätze eingeben</t>
        </is>
      </c>
    </row>
    <row r="2422">
      <c r="A2422" s="4" t="inlineStr">
        <is>
          <t>6025.01 Ergänzung-BSK-Deckerstraße-35-Bad-Cannstatt(Flanders-III)</t>
        </is>
      </c>
      <c r="B2422" s="4" t="inlineStr">
        <is>
          <t>● Begehung / Besprechungen (auf Nachweis)</t>
        </is>
      </c>
      <c r="C2422" s="9" t="inlineStr">
        <is>
          <t>Unbekannt</t>
        </is>
      </c>
      <c r="D2422" s="10" t="inlineStr">
        <is>
          <t>⚠ Manual erforderlich</t>
        </is>
      </c>
      <c r="E2422" s="11" t="inlineStr"/>
      <c r="F2422" s="11" t="n">
        <v>0</v>
      </c>
      <c r="G2422" s="11">
        <f>E2422-F2422</f>
        <v/>
      </c>
      <c r="H2422" s="11" t="n">
        <v/>
      </c>
      <c r="I2422" s="11" t="n">
        <v/>
      </c>
      <c r="J2422" s="11" t="n">
        <v/>
      </c>
      <c r="K2422" s="4" t="inlineStr">
        <is>
          <t>Abrechnungsart wählen; Stundensätze eingeben</t>
        </is>
      </c>
    </row>
    <row r="2423">
      <c r="A2423" s="4" t="inlineStr">
        <is>
          <t>6025.01 Ergänzung-BSK-Deckerstraße-35-Bad-Cannstatt(Flanders-III)</t>
        </is>
      </c>
      <c r="B2423" s="4" t="inlineStr">
        <is>
          <t>● Ergänzung BSK (pauschal)</t>
        </is>
      </c>
      <c r="C2423" s="9" t="inlineStr">
        <is>
          <t>Unbekannt</t>
        </is>
      </c>
      <c r="D2423" s="10" t="inlineStr">
        <is>
          <t>⚠ Manual erforderlich</t>
        </is>
      </c>
      <c r="E2423" s="11" t="inlineStr"/>
      <c r="F2423" s="11" t="n">
        <v>0</v>
      </c>
      <c r="G2423" s="11">
        <f>E2423-F2423</f>
        <v/>
      </c>
      <c r="H2423" s="11" t="n">
        <v/>
      </c>
      <c r="I2423" s="11" t="n">
        <v/>
      </c>
      <c r="J2423" s="11" t="n">
        <v/>
      </c>
      <c r="K2423" s="4" t="inlineStr">
        <is>
          <t>Abrechnungsart wählen; Stundensätze eingeben</t>
        </is>
      </c>
    </row>
    <row r="2424">
      <c r="A2424" s="4" t="inlineStr">
        <is>
          <t>6025.01 Ergänzung-BSK-Deckerstraße-35-Bad-Cannstatt(Flanders-III)</t>
        </is>
      </c>
      <c r="B2424" s="4" t="inlineStr">
        <is>
          <t>● Baubegleitung (auf Nachweis)</t>
        </is>
      </c>
      <c r="C2424" s="9" t="inlineStr">
        <is>
          <t>Unbekannt</t>
        </is>
      </c>
      <c r="D2424" s="10" t="inlineStr">
        <is>
          <t>⚠ Manual erforderlich</t>
        </is>
      </c>
      <c r="E2424" s="11" t="inlineStr"/>
      <c r="F2424" s="11" t="n">
        <v>0</v>
      </c>
      <c r="G2424" s="11">
        <f>E2424-F2424</f>
        <v/>
      </c>
      <c r="H2424" s="11" t="n">
        <v/>
      </c>
      <c r="I2424" s="11" t="n">
        <v/>
      </c>
      <c r="J2424" s="11" t="n">
        <v/>
      </c>
      <c r="K2424" s="4" t="inlineStr">
        <is>
          <t>Abrechnungsart wählen; Stundensätze eingeben</t>
        </is>
      </c>
    </row>
    <row r="2425">
      <c r="A2425" s="4" t="inlineStr">
        <is>
          <t>6025.01 Ergänzung-BSK-Deckerstraße-35-Bad-Cannstatt(Flanders-III)</t>
        </is>
      </c>
      <c r="B2425" s="4" t="inlineStr">
        <is>
          <t>● Begehung Pläne (auf Nachweis)</t>
        </is>
      </c>
      <c r="C2425" s="9" t="inlineStr">
        <is>
          <t>Unbekannt</t>
        </is>
      </c>
      <c r="D2425" s="10" t="inlineStr">
        <is>
          <t>⚠ Manual erforderlich</t>
        </is>
      </c>
      <c r="E2425" s="11" t="inlineStr"/>
      <c r="F2425" s="11" t="n">
        <v>0</v>
      </c>
      <c r="G2425" s="11">
        <f>E2425-F2425</f>
        <v/>
      </c>
      <c r="H2425" s="11" t="n">
        <v/>
      </c>
      <c r="I2425" s="11" t="n">
        <v/>
      </c>
      <c r="J2425" s="11" t="n">
        <v/>
      </c>
      <c r="K2425" s="4" t="inlineStr">
        <is>
          <t>Abrechnungsart wählen; Stundensätze eingeben</t>
        </is>
      </c>
    </row>
    <row r="2426">
      <c r="A2426" s="4" t="inlineStr">
        <is>
          <t>6025.01 Ergänzung-BSK-Deckerstraße-35-Bad-Cannstatt(Flanders-III)</t>
        </is>
      </c>
      <c r="B2426" s="4" t="inlineStr">
        <is>
          <t>● FW-Pläne (pauschal)</t>
        </is>
      </c>
      <c r="C2426" s="9" t="inlineStr">
        <is>
          <t>Unbekannt</t>
        </is>
      </c>
      <c r="D2426" s="10" t="inlineStr">
        <is>
          <t>⚠ Manual erforderlich</t>
        </is>
      </c>
      <c r="E2426" s="11" t="inlineStr"/>
      <c r="F2426" s="11" t="n">
        <v>0</v>
      </c>
      <c r="G2426" s="11">
        <f>E2426-F2426</f>
        <v/>
      </c>
      <c r="H2426" s="11" t="n">
        <v/>
      </c>
      <c r="I2426" s="11" t="n">
        <v/>
      </c>
      <c r="J2426" s="11" t="n">
        <v/>
      </c>
      <c r="K2426" s="4" t="inlineStr">
        <is>
          <t>Abrechnungsart wählen; Stundensätze eingeben</t>
        </is>
      </c>
    </row>
    <row r="2427">
      <c r="A2427" s="4" t="inlineStr">
        <is>
          <t>6025.01 Ergänzung-BSK-Deckerstraße-35-Bad-Cannstatt(Flanders-III)</t>
        </is>
      </c>
      <c r="B2427" s="4" t="inlineStr">
        <is>
          <t>● FuR-Pläne (pauschal)</t>
        </is>
      </c>
      <c r="C2427" s="9" t="inlineStr">
        <is>
          <t>Unbekannt</t>
        </is>
      </c>
      <c r="D2427" s="10" t="inlineStr">
        <is>
          <t>⚠ Manual erforderlich</t>
        </is>
      </c>
      <c r="E2427" s="11" t="inlineStr"/>
      <c r="F2427" s="11" t="n">
        <v>0</v>
      </c>
      <c r="G2427" s="11">
        <f>E2427-F2427</f>
        <v/>
      </c>
      <c r="H2427" s="11" t="n">
        <v/>
      </c>
      <c r="I2427" s="11" t="n">
        <v/>
      </c>
      <c r="J2427" s="11" t="n">
        <v/>
      </c>
      <c r="K2427" s="4" t="inlineStr">
        <is>
          <t>Abrechnungsart wählen; Stundensätze eingeben</t>
        </is>
      </c>
    </row>
    <row r="2428">
      <c r="A2428" s="4" t="inlineStr">
        <is>
          <t>6032.02 Stundensammler-AG?-BSK-Ascheröder-Str57-Schwalmstadt-Freudenberg</t>
        </is>
      </c>
      <c r="B2428" s="4" t="inlineStr">
        <is>
          <t>● (aN) Pos. 1 BTB inkl. 1 Ortstermin</t>
        </is>
      </c>
      <c r="C2428" s="4" t="inlineStr">
        <is>
          <t>Nachweis</t>
        </is>
      </c>
      <c r="D2428" s="10" t="inlineStr">
        <is>
          <t>⚠ Manual erforderlich</t>
        </is>
      </c>
      <c r="E2428" s="11" t="inlineStr"/>
      <c r="F2428" s="11" t="n">
        <v>0</v>
      </c>
      <c r="G2428" s="11">
        <f>E2428-F2428</f>
        <v/>
      </c>
      <c r="H2428" s="11" t="n">
        <v/>
      </c>
      <c r="I2428" s="11" t="n">
        <v/>
      </c>
      <c r="J2428" s="11" t="n">
        <v/>
      </c>
      <c r="K2428" s="4" t="inlineStr">
        <is>
          <t>Stundensätze eingeben</t>
        </is>
      </c>
    </row>
    <row r="2429">
      <c r="A2429" s="4" t="inlineStr">
        <is>
          <t>6032.02 Stundensammler-AG?-BSK-Ascheröder-Str57-Schwalmstadt-Freudenberg</t>
        </is>
      </c>
      <c r="B2429" s="4" t="inlineStr">
        <is>
          <t>● (p) Pos. 2 Fortschr. BSK</t>
        </is>
      </c>
      <c r="C2429" s="4" t="inlineStr">
        <is>
          <t>Pauschale</t>
        </is>
      </c>
      <c r="D2429" s="10" t="inlineStr">
        <is>
          <t>⚠ Manual erforderlich</t>
        </is>
      </c>
      <c r="E2429" s="11" t="inlineStr"/>
      <c r="F2429" s="11" t="n">
        <v>0</v>
      </c>
      <c r="G2429" s="11">
        <f>E2429-F2429</f>
        <v/>
      </c>
      <c r="H2429" s="11" t="n">
        <v/>
      </c>
      <c r="I2429" s="11" t="n">
        <v/>
      </c>
      <c r="J2429" s="11" t="n">
        <v/>
      </c>
      <c r="K2429" s="4" t="inlineStr">
        <is>
          <t>Stundensätze eingeben</t>
        </is>
      </c>
    </row>
    <row r="2430">
      <c r="A2430" s="4" t="inlineStr">
        <is>
          <t>6036.02 K+K-HPPVO-NAT002-Wdh-LP8-Bahnstraße-3-7-Langen</t>
        </is>
      </c>
      <c r="B2430" s="4" t="inlineStr">
        <is>
          <t>● (p) Pos. 1 Prüfung/Bescheinigung / 2. wiederholte Prüfung BSN</t>
        </is>
      </c>
      <c r="C2430" s="4" t="inlineStr">
        <is>
          <t>Pauschale</t>
        </is>
      </c>
      <c r="D2430" s="10" t="inlineStr">
        <is>
          <t>⚠ Manual erforderlich</t>
        </is>
      </c>
      <c r="E2430" s="11" t="inlineStr"/>
      <c r="F2430" s="11" t="n">
        <v>0</v>
      </c>
      <c r="G2430" s="11">
        <f>E2430-F2430</f>
        <v/>
      </c>
      <c r="H2430" s="11" t="n">
        <v>0</v>
      </c>
      <c r="I2430" s="11" t="n">
        <v>0</v>
      </c>
      <c r="J2430" s="11" t="n">
        <v>0</v>
      </c>
      <c r="K2430" s="4" t="inlineStr">
        <is>
          <t>Stundensätze eingeben</t>
        </is>
      </c>
    </row>
    <row r="2431">
      <c r="A2431" s="4" t="inlineStr">
        <is>
          <t>6036.02 K+K-HPPVO-NAT002-Wdh-LP8-Bahnstraße-3-7-Langen</t>
        </is>
      </c>
      <c r="B2431" s="4" t="inlineStr">
        <is>
          <t>● (aN) Pos. 2 Überwachung und Bescheinigung der übereinstimmenden Bauausführung</t>
        </is>
      </c>
      <c r="C2431" s="4" t="inlineStr">
        <is>
          <t>Nachweis</t>
        </is>
      </c>
      <c r="D2431" s="10" t="inlineStr">
        <is>
          <t>⚠ Manual erforderlich</t>
        </is>
      </c>
      <c r="E2431" s="11" t="inlineStr"/>
      <c r="F2431" s="11" t="n">
        <v>0</v>
      </c>
      <c r="G2431" s="11">
        <f>E2431-F2431</f>
        <v/>
      </c>
      <c r="H2431" s="11" t="n">
        <v/>
      </c>
      <c r="I2431" s="11" t="n">
        <v/>
      </c>
      <c r="J2431" s="11" t="n">
        <v/>
      </c>
      <c r="K2431" s="4" t="inlineStr">
        <is>
          <t>Stundensätze eingeben</t>
        </is>
      </c>
    </row>
    <row r="2432">
      <c r="A2432" s="4" t="inlineStr">
        <is>
          <t>6038 Zinkeysenstraße-2-Langen-Sonnenblumenschule</t>
        </is>
      </c>
      <c r="B2432" s="4" t="inlineStr">
        <is>
          <t>● 1000-Grundlagenermittlung</t>
        </is>
      </c>
      <c r="C2432" s="9" t="inlineStr">
        <is>
          <t>Unbekannt</t>
        </is>
      </c>
      <c r="D2432" s="10" t="inlineStr">
        <is>
          <t>⚠ Manual erforderlich</t>
        </is>
      </c>
      <c r="E2432" s="11" t="inlineStr"/>
      <c r="F2432" s="11" t="n">
        <v>0</v>
      </c>
      <c r="G2432" s="11">
        <f>E2432-F2432</f>
        <v/>
      </c>
      <c r="H2432" s="11" t="n">
        <v/>
      </c>
      <c r="I2432" s="11" t="n">
        <v/>
      </c>
      <c r="J2432" s="11" t="n">
        <v/>
      </c>
      <c r="K2432" s="4" t="inlineStr">
        <is>
          <t>Abrechnungsart wählen; Stundensätze eingeben</t>
        </is>
      </c>
    </row>
    <row r="2433">
      <c r="A2433" s="4" t="inlineStr">
        <is>
          <t>6038 Zinkeysenstraße-2-Langen-Sonnenblumenschule</t>
        </is>
      </c>
      <c r="B2433" s="4" t="inlineStr">
        <is>
          <t>● 2000-Vorplanung</t>
        </is>
      </c>
      <c r="C2433" s="9" t="inlineStr">
        <is>
          <t>Unbekannt</t>
        </is>
      </c>
      <c r="D2433" s="10" t="inlineStr">
        <is>
          <t>⚠ Manual erforderlich</t>
        </is>
      </c>
      <c r="E2433" s="11" t="inlineStr"/>
      <c r="F2433" s="11" t="n">
        <v>0</v>
      </c>
      <c r="G2433" s="11">
        <f>E2433-F2433</f>
        <v/>
      </c>
      <c r="H2433" s="11" t="n">
        <v/>
      </c>
      <c r="I2433" s="11" t="n">
        <v/>
      </c>
      <c r="J2433" s="11" t="n">
        <v/>
      </c>
      <c r="K2433" s="4" t="inlineStr">
        <is>
          <t>Abrechnungsart wählen; Stundensätze eingeben</t>
        </is>
      </c>
    </row>
    <row r="2434">
      <c r="A2434" s="4" t="inlineStr">
        <is>
          <t>6038 Zinkeysenstraße-2-Langen-Sonnenblumenschule</t>
        </is>
      </c>
      <c r="B2434" s="4" t="inlineStr">
        <is>
          <t>● 3000-Entwurfsplanung</t>
        </is>
      </c>
      <c r="C2434" s="9" t="inlineStr">
        <is>
          <t>Unbekannt</t>
        </is>
      </c>
      <c r="D2434" s="10" t="inlineStr">
        <is>
          <t>⚠ Manual erforderlich</t>
        </is>
      </c>
      <c r="E2434" s="11" t="inlineStr"/>
      <c r="F2434" s="11" t="n">
        <v>0</v>
      </c>
      <c r="G2434" s="11">
        <f>E2434-F2434</f>
        <v/>
      </c>
      <c r="H2434" s="11" t="n">
        <v/>
      </c>
      <c r="I2434" s="11" t="n">
        <v/>
      </c>
      <c r="J2434" s="11" t="n">
        <v/>
      </c>
      <c r="K2434" s="4" t="inlineStr">
        <is>
          <t>Abrechnungsart wählen; Stundensätze eingeben</t>
        </is>
      </c>
    </row>
    <row r="2435">
      <c r="A2435" s="4" t="inlineStr">
        <is>
          <t>6038 Zinkeysenstraße-2-Langen-Sonnenblumenschule</t>
        </is>
      </c>
      <c r="B2435" s="4" t="inlineStr">
        <is>
          <t>● 4000-Genehmigungsplanung</t>
        </is>
      </c>
      <c r="C2435" s="9" t="inlineStr">
        <is>
          <t>Unbekannt</t>
        </is>
      </c>
      <c r="D2435" s="10" t="inlineStr">
        <is>
          <t>⚠ Manual erforderlich</t>
        </is>
      </c>
      <c r="E2435" s="11" t="inlineStr"/>
      <c r="F2435" s="11" t="n">
        <v>0</v>
      </c>
      <c r="G2435" s="11">
        <f>E2435-F2435</f>
        <v/>
      </c>
      <c r="H2435" s="11" t="n">
        <v/>
      </c>
      <c r="I2435" s="11" t="n">
        <v/>
      </c>
      <c r="J2435" s="11" t="n">
        <v/>
      </c>
      <c r="K2435" s="4" t="inlineStr">
        <is>
          <t>Abrechnungsart wählen; Stundensätze eingeben</t>
        </is>
      </c>
    </row>
    <row r="2436">
      <c r="A2436" s="4" t="inlineStr">
        <is>
          <t>6038 Zinkeysenstraße-2-Langen-Sonnenblumenschule</t>
        </is>
      </c>
      <c r="B2436" s="4" t="inlineStr">
        <is>
          <t>● 5000-Ausführungsplanung</t>
        </is>
      </c>
      <c r="C2436" s="9" t="inlineStr">
        <is>
          <t>Unbekannt</t>
        </is>
      </c>
      <c r="D2436" s="10" t="inlineStr">
        <is>
          <t>⚠ Manual erforderlich</t>
        </is>
      </c>
      <c r="E2436" s="11" t="inlineStr"/>
      <c r="F2436" s="11" t="n">
        <v>0</v>
      </c>
      <c r="G2436" s="11">
        <f>E2436-F2436</f>
        <v/>
      </c>
      <c r="H2436" s="11" t="n">
        <v/>
      </c>
      <c r="I2436" s="11" t="n">
        <v/>
      </c>
      <c r="J2436" s="11" t="n">
        <v/>
      </c>
      <c r="K2436" s="4" t="inlineStr">
        <is>
          <t>Abrechnungsart wählen; Stundensätze eingeben</t>
        </is>
      </c>
    </row>
    <row r="2437">
      <c r="A2437" s="4" t="inlineStr">
        <is>
          <t>6038 Zinkeysenstraße-2-Langen-Sonnenblumenschule</t>
        </is>
      </c>
      <c r="B2437" s="4" t="inlineStr">
        <is>
          <t>● 8000-Objektüberwachung +  NAT zu GL der Objektüberwachung LP8</t>
        </is>
      </c>
      <c r="C2437" s="9" t="inlineStr">
        <is>
          <t>Unbekannt</t>
        </is>
      </c>
      <c r="D2437" s="10" t="inlineStr">
        <is>
          <t>⚠ Manual erforderlich</t>
        </is>
      </c>
      <c r="E2437" s="11" t="inlineStr"/>
      <c r="F2437" s="11" t="n">
        <v>0</v>
      </c>
      <c r="G2437" s="11">
        <f>E2437-F2437</f>
        <v/>
      </c>
      <c r="H2437" s="11" t="n">
        <v/>
      </c>
      <c r="I2437" s="11" t="n">
        <v/>
      </c>
      <c r="J2437" s="11" t="n">
        <v/>
      </c>
      <c r="K2437" s="4" t="inlineStr">
        <is>
          <t>Abrechnungsart wählen; Stundensätze eingeben</t>
        </is>
      </c>
    </row>
    <row r="2438">
      <c r="A2438" s="4" t="inlineStr">
        <is>
          <t>6038 Zinkeysenstraße-2-Langen-Sonnenblumenschule</t>
        </is>
      </c>
      <c r="B2438" s="4" t="inlineStr">
        <is>
          <t>● Berechnung Löschmitteleinheiten (auf Nachweis)</t>
        </is>
      </c>
      <c r="C2438" s="9" t="inlineStr">
        <is>
          <t>Unbekannt</t>
        </is>
      </c>
      <c r="D2438" s="10" t="inlineStr">
        <is>
          <t>⚠ Manual erforderlich</t>
        </is>
      </c>
      <c r="E2438" s="11" t="inlineStr"/>
      <c r="F2438" s="11" t="n">
        <v>0</v>
      </c>
      <c r="G2438" s="11">
        <f>E2438-F2438</f>
        <v/>
      </c>
      <c r="H2438" s="11" t="n">
        <v/>
      </c>
      <c r="I2438" s="11" t="n">
        <v/>
      </c>
      <c r="J2438" s="11" t="n">
        <v/>
      </c>
      <c r="K2438" s="4" t="inlineStr">
        <is>
          <t>Abrechnungsart wählen; Stundensätze eingeben</t>
        </is>
      </c>
    </row>
    <row r="2439">
      <c r="A2439" s="4" t="inlineStr">
        <is>
          <t>6038 Zinkeysenstraße-2-Langen-Sonnenblumenschule</t>
        </is>
      </c>
      <c r="B2439" s="4" t="inlineStr">
        <is>
          <t>● Räumungskonzept (auf Nachweis)</t>
        </is>
      </c>
      <c r="C2439" s="9" t="inlineStr">
        <is>
          <t>Unbekannt</t>
        </is>
      </c>
      <c r="D2439" s="10" t="inlineStr">
        <is>
          <t>⚠ Manual erforderlich</t>
        </is>
      </c>
      <c r="E2439" s="11" t="inlineStr"/>
      <c r="F2439" s="11" t="n">
        <v>0</v>
      </c>
      <c r="G2439" s="11">
        <f>E2439-F2439</f>
        <v/>
      </c>
      <c r="H2439" s="11" t="n">
        <v/>
      </c>
      <c r="I2439" s="11" t="n">
        <v/>
      </c>
      <c r="J2439" s="11" t="n">
        <v/>
      </c>
      <c r="K2439" s="4" t="inlineStr">
        <is>
          <t>Abrechnungsart wählen; Stundensätze eingeben</t>
        </is>
      </c>
    </row>
    <row r="2440">
      <c r="A2440" s="4" t="inlineStr">
        <is>
          <t>6038 Zinkeysenstraße-2-Langen-Sonnenblumenschule</t>
        </is>
      </c>
      <c r="B2440" s="4" t="inlineStr">
        <is>
          <t>● (p) Pos.2  NT-Tektur BSK inkl. Anpassung BSP</t>
        </is>
      </c>
      <c r="C2440" s="4" t="inlineStr">
        <is>
          <t>Pauschale</t>
        </is>
      </c>
      <c r="D2440" s="10" t="inlineStr">
        <is>
          <t>⚠ Manual erforderlich</t>
        </is>
      </c>
      <c r="E2440" s="11" t="inlineStr"/>
      <c r="F2440" s="11" t="n">
        <v>0</v>
      </c>
      <c r="G2440" s="11">
        <f>E2440-F2440</f>
        <v/>
      </c>
      <c r="H2440" s="11" t="n">
        <v>0</v>
      </c>
      <c r="I2440" s="11" t="n">
        <v>0</v>
      </c>
      <c r="J2440" s="11" t="n">
        <v>0</v>
      </c>
      <c r="K2440" s="4" t="inlineStr">
        <is>
          <t>Stundensätze eingeben</t>
        </is>
      </c>
    </row>
    <row r="2441">
      <c r="A2441" s="4" t="inlineStr">
        <is>
          <t>6038 Zinkeysenstraße-2-Langen-Sonnenblumenschule</t>
        </is>
      </c>
      <c r="B2441" s="4" t="inlineStr">
        <is>
          <t>● (p) Pos.1 NAT04-Fortschr. d. genehm. BSK aufgrund von Änderungen gegenüber d. genehm. Bauausführung</t>
        </is>
      </c>
      <c r="C2441" s="4" t="inlineStr">
        <is>
          <t>Pauschale</t>
        </is>
      </c>
      <c r="D2441" s="10" t="inlineStr">
        <is>
          <t>⚠ Manual erforderlich</t>
        </is>
      </c>
      <c r="E2441" s="11" t="inlineStr"/>
      <c r="F2441" s="11" t="n">
        <v>0</v>
      </c>
      <c r="G2441" s="11">
        <f>E2441-F2441</f>
        <v/>
      </c>
      <c r="H2441" s="11" t="n">
        <v>0</v>
      </c>
      <c r="I2441" s="11" t="n">
        <v>0</v>
      </c>
      <c r="J2441" s="11" t="n">
        <v>0</v>
      </c>
      <c r="K2441" s="4" t="inlineStr">
        <is>
          <t>Stundensätze eingeben</t>
        </is>
      </c>
    </row>
    <row r="2442">
      <c r="A2442" s="4" t="inlineStr">
        <is>
          <t>6038.02  BSK-Bestand-Sonnenblumenschule-Zinkeysenstraße-2-Langen</t>
        </is>
      </c>
      <c r="B2442" s="4" t="inlineStr">
        <is>
          <t>● (a.N.) Brandschutztechn. Abgleich Baugenehmigung mit geplanten Maßnahmen</t>
        </is>
      </c>
      <c r="C2442" s="4" t="inlineStr">
        <is>
          <t>Nachweis</t>
        </is>
      </c>
      <c r="D2442" s="10" t="inlineStr">
        <is>
          <t>⚠ Manual erforderlich</t>
        </is>
      </c>
      <c r="E2442" s="11" t="inlineStr"/>
      <c r="F2442" s="11" t="n">
        <v>0</v>
      </c>
      <c r="G2442" s="11">
        <f>E2442-F2442</f>
        <v/>
      </c>
      <c r="H2442" s="11" t="n">
        <v/>
      </c>
      <c r="I2442" s="11" t="n">
        <v/>
      </c>
      <c r="J2442" s="11" t="n">
        <v/>
      </c>
      <c r="K2442" s="4" t="inlineStr">
        <is>
          <t>Stundensätze eingeben</t>
        </is>
      </c>
    </row>
    <row r="2443">
      <c r="A2443" s="4" t="inlineStr">
        <is>
          <t>6038.02  BSK-Bestand-Sonnenblumenschule-Zinkeysenstraße-2-Langen</t>
        </is>
      </c>
      <c r="B2443" s="4" t="inlineStr">
        <is>
          <t>● (aN) Pos.1 BTB für Bestandsgebäude</t>
        </is>
      </c>
      <c r="C2443" s="4" t="inlineStr">
        <is>
          <t>Nachweis</t>
        </is>
      </c>
      <c r="D2443" s="10" t="inlineStr">
        <is>
          <t>⚠ Manual erforderlich</t>
        </is>
      </c>
      <c r="E2443" s="11" t="inlineStr"/>
      <c r="F2443" s="11" t="n">
        <v>0</v>
      </c>
      <c r="G2443" s="11">
        <f>E2443-F2443</f>
        <v/>
      </c>
      <c r="H2443" s="11" t="n">
        <v/>
      </c>
      <c r="I2443" s="11" t="n">
        <v/>
      </c>
      <c r="J2443" s="11" t="n">
        <v/>
      </c>
      <c r="K2443" s="4" t="inlineStr">
        <is>
          <t>Stundensätze eingeben</t>
        </is>
      </c>
    </row>
    <row r="2444">
      <c r="A2444" s="4" t="inlineStr">
        <is>
          <t>6045.02 LWV-BSK-Windpark-Dreihausen-Nordeck</t>
        </is>
      </c>
      <c r="B2444" s="4" t="inlineStr">
        <is>
          <t>● (p) Pos. 1 Fortschr. BSK</t>
        </is>
      </c>
      <c r="C2444" s="4" t="inlineStr">
        <is>
          <t>Pauschale</t>
        </is>
      </c>
      <c r="D2444" s="10" t="inlineStr">
        <is>
          <t>⚠ Manual erforderlich</t>
        </is>
      </c>
      <c r="E2444" s="11" t="inlineStr"/>
      <c r="F2444" s="11" t="n">
        <v>0</v>
      </c>
      <c r="G2444" s="11">
        <f>E2444-F2444</f>
        <v/>
      </c>
      <c r="H2444" s="11" t="n">
        <v>0</v>
      </c>
      <c r="I2444" s="11" t="n">
        <v>0</v>
      </c>
      <c r="J2444" s="11" t="n">
        <v>0</v>
      </c>
      <c r="K2444" s="4" t="inlineStr">
        <is>
          <t>Stundensätze eingeben</t>
        </is>
      </c>
    </row>
    <row r="2445">
      <c r="A2445" s="4" t="inlineStr">
        <is>
          <t>6045.03 wpd-BSK-Windpark-Dreihausen-Nordeck</t>
        </is>
      </c>
      <c r="B2445" s="4" t="inlineStr">
        <is>
          <t>● (p) Pos. 1 Fortschreibung Brandschutzkonzept</t>
        </is>
      </c>
      <c r="C2445" s="4" t="inlineStr">
        <is>
          <t>Pauschale</t>
        </is>
      </c>
      <c r="D2445" s="10" t="inlineStr">
        <is>
          <t>⚠ Manual erforderlich</t>
        </is>
      </c>
      <c r="E2445" s="11" t="inlineStr"/>
      <c r="F2445" s="11" t="n">
        <v>0</v>
      </c>
      <c r="G2445" s="11">
        <f>E2445-F2445</f>
        <v/>
      </c>
      <c r="H2445" s="11" t="n">
        <v>0</v>
      </c>
      <c r="I2445" s="11" t="n">
        <v>0</v>
      </c>
      <c r="J2445" s="11" t="n">
        <v>0</v>
      </c>
      <c r="K2445" s="4" t="inlineStr">
        <is>
          <t>Stundensätze eingeben</t>
        </is>
      </c>
    </row>
    <row r="2446">
      <c r="A2446" s="4" t="inlineStr">
        <is>
          <t>6047.02 IG-BSN-Wiesstr8-10-Kempten</t>
        </is>
      </c>
      <c r="B2446" s="4" t="inlineStr">
        <is>
          <t>● (p) Pos. 1 Erstellung Brandschutznachweis  925€ /dq</t>
        </is>
      </c>
      <c r="C2446" s="4" t="inlineStr">
        <is>
          <t>Pauschale</t>
        </is>
      </c>
      <c r="D2446" s="10" t="inlineStr">
        <is>
          <t>⚠ Manual erforderlich</t>
        </is>
      </c>
      <c r="E2446" s="11" t="inlineStr"/>
      <c r="F2446" s="11" t="n">
        <v>0</v>
      </c>
      <c r="G2446" s="11">
        <f>E2446-F2446</f>
        <v/>
      </c>
      <c r="H2446" s="11" t="n">
        <v/>
      </c>
      <c r="I2446" s="11" t="n">
        <v/>
      </c>
      <c r="J2446" s="11" t="n">
        <v/>
      </c>
      <c r="K2446" s="4" t="inlineStr">
        <is>
          <t>Stundensätze eingeben</t>
        </is>
      </c>
    </row>
    <row r="2447">
      <c r="A2447" s="4" t="inlineStr">
        <is>
          <t>6053.01 BL-ZL-Steinrehweg-5-Ober-Ramstadt-Georg-Christoph-Lichtenberg-Schule</t>
        </is>
      </c>
      <c r="B2447" s="4" t="inlineStr">
        <is>
          <t>● Besondere / Zusätzliche Leistungen</t>
        </is>
      </c>
      <c r="C2447" s="9" t="inlineStr">
        <is>
          <t>Unbekannt</t>
        </is>
      </c>
      <c r="D2447" s="10" t="inlineStr">
        <is>
          <t>⚠ Manual erforderlich</t>
        </is>
      </c>
      <c r="E2447" s="11" t="inlineStr"/>
      <c r="F2447" s="11" t="n">
        <v>0</v>
      </c>
      <c r="G2447" s="11">
        <f>E2447-F2447</f>
        <v/>
      </c>
      <c r="H2447" s="11" t="n">
        <v/>
      </c>
      <c r="I2447" s="11" t="n">
        <v/>
      </c>
      <c r="J2447" s="11" t="n">
        <v/>
      </c>
      <c r="K2447" s="4" t="inlineStr">
        <is>
          <t>Abrechnungsart wählen; Stundensätze eingeben</t>
        </is>
      </c>
    </row>
    <row r="2448">
      <c r="A2448" s="4" t="inlineStr">
        <is>
          <t>6059.11 BST-Verwaltungsgebäude-Seminariumsgasse-4-6-Gesamtgemeinde-Worms-EKHN</t>
        </is>
      </c>
      <c r="B2448" s="4" t="inlineStr">
        <is>
          <t>● 3000-Entwurfsplanung</t>
        </is>
      </c>
      <c r="C2448" s="9" t="inlineStr">
        <is>
          <t>Unbekannt</t>
        </is>
      </c>
      <c r="D2448" s="10" t="inlineStr">
        <is>
          <t>⚠ Manual erforderlich</t>
        </is>
      </c>
      <c r="E2448" s="11" t="inlineStr"/>
      <c r="F2448" s="11" t="n">
        <v>0</v>
      </c>
      <c r="G2448" s="11">
        <f>E2448-F2448</f>
        <v/>
      </c>
      <c r="H2448" s="11" t="n">
        <v/>
      </c>
      <c r="I2448" s="11" t="n">
        <v/>
      </c>
      <c r="J2448" s="11" t="n">
        <v/>
      </c>
      <c r="K2448" s="4" t="inlineStr">
        <is>
          <t>Abrechnungsart wählen; Stundensätze eingeben</t>
        </is>
      </c>
    </row>
    <row r="2449">
      <c r="A2449" s="4" t="inlineStr">
        <is>
          <t>6059.18 FRP-Gemeindehaus-Worms-Herrnsheim-Gesamtgemeinde-Worms-EKHN</t>
        </is>
      </c>
      <c r="B2449" s="4" t="inlineStr">
        <is>
          <t>● (p) Pos. 1 Erstellung von Flucht- und Rettungsplänen</t>
        </is>
      </c>
      <c r="C2449" s="4" t="inlineStr">
        <is>
          <t>Pauschale</t>
        </is>
      </c>
      <c r="D2449" s="10" t="inlineStr">
        <is>
          <t>⚠ Manual erforderlich</t>
        </is>
      </c>
      <c r="E2449" s="11" t="inlineStr"/>
      <c r="F2449" s="11" t="n">
        <v>0</v>
      </c>
      <c r="G2449" s="11">
        <f>E2449-F2449</f>
        <v/>
      </c>
      <c r="H2449" s="11" t="n">
        <v>0</v>
      </c>
      <c r="I2449" s="11" t="n">
        <v>0</v>
      </c>
      <c r="J2449" s="11" t="n">
        <v>0</v>
      </c>
      <c r="K2449" s="4" t="inlineStr">
        <is>
          <t>Stundensätze eingeben</t>
        </is>
      </c>
    </row>
    <row r="2450">
      <c r="A2450" s="4" t="inlineStr">
        <is>
          <t>6059.18 FRP-Gemeindehaus-Worms-Herrnsheim-Gesamtgemeinde-Worms-EKHN</t>
        </is>
      </c>
      <c r="B2450" s="4" t="inlineStr">
        <is>
          <t>● (p) Pos. 2 Erstellung Brandschutzordnung</t>
        </is>
      </c>
      <c r="C2450" s="4" t="inlineStr">
        <is>
          <t>Pauschale</t>
        </is>
      </c>
      <c r="D2450" s="10" t="inlineStr">
        <is>
          <t>⚠ Manual erforderlich</t>
        </is>
      </c>
      <c r="E2450" s="11" t="inlineStr"/>
      <c r="F2450" s="11" t="n">
        <v>0</v>
      </c>
      <c r="G2450" s="11">
        <f>E2450-F2450</f>
        <v/>
      </c>
      <c r="H2450" s="11" t="n">
        <v/>
      </c>
      <c r="I2450" s="11" t="n">
        <v/>
      </c>
      <c r="J2450" s="11" t="n">
        <v/>
      </c>
      <c r="K2450" s="4" t="inlineStr">
        <is>
          <t>Stundensätze eingeben</t>
        </is>
      </c>
    </row>
    <row r="2451">
      <c r="A2451" s="4" t="inlineStr">
        <is>
          <t>6061 Mörfelder-Landstraße-104-Frankfurt</t>
        </is>
      </c>
      <c r="B2451" s="4" t="inlineStr">
        <is>
          <t>● Anpassung Brandschutznachweis</t>
        </is>
      </c>
      <c r="C2451" s="9" t="inlineStr">
        <is>
          <t>Unbekannt</t>
        </is>
      </c>
      <c r="D2451" s="10" t="inlineStr">
        <is>
          <t>⚠ Manual erforderlich</t>
        </is>
      </c>
      <c r="E2451" s="11" t="inlineStr"/>
      <c r="F2451" s="11" t="n">
        <v>0</v>
      </c>
      <c r="G2451" s="11">
        <f>E2451-F2451</f>
        <v/>
      </c>
      <c r="H2451" s="11" t="n">
        <v/>
      </c>
      <c r="I2451" s="11" t="n">
        <v/>
      </c>
      <c r="J2451" s="11" t="n">
        <v/>
      </c>
      <c r="K2451" s="4" t="inlineStr">
        <is>
          <t>Abrechnungsart wählen; Stundensätze eingeben</t>
        </is>
      </c>
    </row>
    <row r="2452">
      <c r="A2452" s="4" t="inlineStr">
        <is>
          <t>6062.01 ASB-Friedrich-Ebert-Anlage-44-Frankfurt-Rahmenvereinbarung</t>
        </is>
      </c>
      <c r="B2452" s="4" t="inlineStr">
        <is>
          <t>● 1000-Grundlagenermittlung</t>
        </is>
      </c>
      <c r="C2452" s="9" t="inlineStr">
        <is>
          <t>Unbekannt</t>
        </is>
      </c>
      <c r="D2452" s="10" t="inlineStr">
        <is>
          <t>⚠ Manual erforderlich</t>
        </is>
      </c>
      <c r="E2452" s="11" t="inlineStr"/>
      <c r="F2452" s="11" t="n">
        <v>0</v>
      </c>
      <c r="G2452" s="11">
        <f>E2452-F2452</f>
        <v/>
      </c>
      <c r="H2452" s="11" t="n">
        <v/>
      </c>
      <c r="I2452" s="11" t="n">
        <v/>
      </c>
      <c r="J2452" s="11" t="n">
        <v/>
      </c>
      <c r="K2452" s="4" t="inlineStr">
        <is>
          <t>Abrechnungsart wählen; Stundensätze eingeben</t>
        </is>
      </c>
    </row>
    <row r="2453">
      <c r="A2453" s="4" t="inlineStr">
        <is>
          <t>6062.01 ASB-Friedrich-Ebert-Anlage-44-Frankfurt-Rahmenvereinbarung</t>
        </is>
      </c>
      <c r="B2453" s="4" t="inlineStr">
        <is>
          <t>● 3000-Entwurfsplanung</t>
        </is>
      </c>
      <c r="C2453" s="9" t="inlineStr">
        <is>
          <t>Unbekannt</t>
        </is>
      </c>
      <c r="D2453" s="10" t="inlineStr">
        <is>
          <t>⚠ Manual erforderlich</t>
        </is>
      </c>
      <c r="E2453" s="11" t="inlineStr"/>
      <c r="F2453" s="11" t="n">
        <v>0</v>
      </c>
      <c r="G2453" s="11">
        <f>E2453-F2453</f>
        <v/>
      </c>
      <c r="H2453" s="11" t="n">
        <v/>
      </c>
      <c r="I2453" s="11" t="n">
        <v/>
      </c>
      <c r="J2453" s="11" t="n">
        <v/>
      </c>
      <c r="K2453" s="4" t="inlineStr">
        <is>
          <t>Abrechnungsart wählen; Stundensätze eingeben</t>
        </is>
      </c>
    </row>
    <row r="2454">
      <c r="A2454" s="4" t="inlineStr">
        <is>
          <t>6062.01 ASB-Friedrich-Ebert-Anlage-44-Frankfurt-Rahmenvereinbarung</t>
        </is>
      </c>
      <c r="B2454" s="4" t="inlineStr">
        <is>
          <t>● 9000-Objektbetreuung und Dokumentation</t>
        </is>
      </c>
      <c r="C2454" s="9" t="inlineStr">
        <is>
          <t>Unbekannt</t>
        </is>
      </c>
      <c r="D2454" s="10" t="inlineStr">
        <is>
          <t>⚠ Manual erforderlich</t>
        </is>
      </c>
      <c r="E2454" s="11" t="inlineStr"/>
      <c r="F2454" s="11" t="n">
        <v>0</v>
      </c>
      <c r="G2454" s="11">
        <f>E2454-F2454</f>
        <v/>
      </c>
      <c r="H2454" s="11" t="n">
        <v/>
      </c>
      <c r="I2454" s="11" t="n">
        <v/>
      </c>
      <c r="J2454" s="11" t="n">
        <v/>
      </c>
      <c r="K2454" s="4" t="inlineStr">
        <is>
          <t>Abrechnungsart wählen; Stundensätze eingeben</t>
        </is>
      </c>
    </row>
    <row r="2455">
      <c r="A2455" s="4" t="inlineStr">
        <is>
          <t>6063.01 LAER-BSK-Benzstr15-Marl</t>
        </is>
      </c>
      <c r="B2455" s="4" t="inlineStr">
        <is>
          <t>● (p) Pos. 1 Fortschr-BSK</t>
        </is>
      </c>
      <c r="C2455" s="4" t="inlineStr">
        <is>
          <t>Pauschale</t>
        </is>
      </c>
      <c r="D2455" s="10" t="inlineStr">
        <is>
          <t>⚠ Manual erforderlich</t>
        </is>
      </c>
      <c r="E2455" s="11" t="inlineStr"/>
      <c r="F2455" s="11" t="n">
        <v>0</v>
      </c>
      <c r="G2455" s="11">
        <f>E2455-F2455</f>
        <v/>
      </c>
      <c r="H2455" s="11" t="n">
        <v>0</v>
      </c>
      <c r="I2455" s="11" t="n">
        <v>0</v>
      </c>
      <c r="J2455" s="11" t="n">
        <v>0</v>
      </c>
      <c r="K2455" s="4" t="inlineStr">
        <is>
          <t>Stundensätze eingeben</t>
        </is>
      </c>
    </row>
    <row r="2456">
      <c r="A2456" s="4" t="inlineStr">
        <is>
          <t>6064 Bahnhof-Frankfurt-Messe</t>
        </is>
      </c>
      <c r="B2456" s="4" t="inlineStr">
        <is>
          <t>● 1000-Grundlagenermittlung</t>
        </is>
      </c>
      <c r="C2456" s="9" t="inlineStr">
        <is>
          <t>Unbekannt</t>
        </is>
      </c>
      <c r="D2456" s="10" t="inlineStr">
        <is>
          <t>⚠ Manual erforderlich</t>
        </is>
      </c>
      <c r="E2456" s="11" t="inlineStr"/>
      <c r="F2456" s="11" t="n">
        <v>0</v>
      </c>
      <c r="G2456" s="11">
        <f>E2456-F2456</f>
        <v/>
      </c>
      <c r="H2456" s="11" t="n">
        <v/>
      </c>
      <c r="I2456" s="11" t="n">
        <v/>
      </c>
      <c r="J2456" s="11" t="n">
        <v/>
      </c>
      <c r="K2456" s="4" t="inlineStr">
        <is>
          <t>Abrechnungsart wählen; Stundensätze eingeben</t>
        </is>
      </c>
    </row>
    <row r="2457">
      <c r="A2457" s="4" t="inlineStr">
        <is>
          <t>6064 Bahnhof-Frankfurt-Messe</t>
        </is>
      </c>
      <c r="B2457" s="4" t="inlineStr">
        <is>
          <t>● 2000-Vorplanung</t>
        </is>
      </c>
      <c r="C2457" s="9" t="inlineStr">
        <is>
          <t>Unbekannt</t>
        </is>
      </c>
      <c r="D2457" s="10" t="inlineStr">
        <is>
          <t>⚠ Manual erforderlich</t>
        </is>
      </c>
      <c r="E2457" s="11" t="inlineStr"/>
      <c r="F2457" s="11" t="n">
        <v>0</v>
      </c>
      <c r="G2457" s="11">
        <f>E2457-F2457</f>
        <v/>
      </c>
      <c r="H2457" s="11" t="n">
        <v/>
      </c>
      <c r="I2457" s="11" t="n">
        <v/>
      </c>
      <c r="J2457" s="11" t="n">
        <v/>
      </c>
      <c r="K2457" s="4" t="inlineStr">
        <is>
          <t>Abrechnungsart wählen; Stundensätze eingeben</t>
        </is>
      </c>
    </row>
    <row r="2458">
      <c r="A2458" s="4" t="inlineStr">
        <is>
          <t>6064 Bahnhof-Frankfurt-Messe</t>
        </is>
      </c>
      <c r="B2458" s="4" t="inlineStr">
        <is>
          <t>● 3000-Entwurfsplanung</t>
        </is>
      </c>
      <c r="C2458" s="9" t="inlineStr">
        <is>
          <t>Unbekannt</t>
        </is>
      </c>
      <c r="D2458" s="10" t="inlineStr">
        <is>
          <t>⚠ Manual erforderlich</t>
        </is>
      </c>
      <c r="E2458" s="11" t="inlineStr"/>
      <c r="F2458" s="11" t="n">
        <v>0</v>
      </c>
      <c r="G2458" s="11">
        <f>E2458-F2458</f>
        <v/>
      </c>
      <c r="H2458" s="11" t="n">
        <v/>
      </c>
      <c r="I2458" s="11" t="n">
        <v/>
      </c>
      <c r="J2458" s="11" t="n">
        <v/>
      </c>
      <c r="K2458" s="4" t="inlineStr">
        <is>
          <t>Abrechnungsart wählen; Stundensätze eingeben</t>
        </is>
      </c>
    </row>
    <row r="2459">
      <c r="A2459" s="4" t="inlineStr">
        <is>
          <t>6064 Bahnhof-Frankfurt-Messe</t>
        </is>
      </c>
      <c r="B2459" s="4" t="inlineStr">
        <is>
          <t>● 4000-Genehmigungsplanung</t>
        </is>
      </c>
      <c r="C2459" s="9" t="inlineStr">
        <is>
          <t>Unbekannt</t>
        </is>
      </c>
      <c r="D2459" s="10" t="inlineStr">
        <is>
          <t>⚠ Manual erforderlich</t>
        </is>
      </c>
      <c r="E2459" s="11" t="inlineStr"/>
      <c r="F2459" s="11" t="n">
        <v>0</v>
      </c>
      <c r="G2459" s="11">
        <f>E2459-F2459</f>
        <v/>
      </c>
      <c r="H2459" s="11" t="n">
        <v/>
      </c>
      <c r="I2459" s="11" t="n">
        <v/>
      </c>
      <c r="J2459" s="11" t="n">
        <v/>
      </c>
      <c r="K2459" s="4" t="inlineStr">
        <is>
          <t>Abrechnungsart wählen; Stundensätze eingeben</t>
        </is>
      </c>
    </row>
    <row r="2460">
      <c r="A2460" s="4" t="inlineStr">
        <is>
          <t>6070 GML-BSB-Bürgermeister-Grünzweig-Straße-87-Ludwigshafen-MHKW</t>
        </is>
      </c>
      <c r="B2460" s="4" t="inlineStr">
        <is>
          <t>● (aN) BSB 06/2020 - 05/2021 (aN) BSB 1xjährlich</t>
        </is>
      </c>
      <c r="C2460" s="4" t="inlineStr">
        <is>
          <t>Nachweis</t>
        </is>
      </c>
      <c r="D2460" s="10" t="inlineStr">
        <is>
          <t>⚠ Manual erforderlich</t>
        </is>
      </c>
      <c r="E2460" s="11" t="inlineStr"/>
      <c r="F2460" s="11" t="n">
        <v>0</v>
      </c>
      <c r="G2460" s="11">
        <f>E2460-F2460</f>
        <v/>
      </c>
      <c r="H2460" s="11" t="n">
        <v/>
      </c>
      <c r="I2460" s="11" t="n">
        <v/>
      </c>
      <c r="J2460" s="11" t="n">
        <v/>
      </c>
      <c r="K2460" s="4" t="inlineStr">
        <is>
          <t>Stundensätze eingeben</t>
        </is>
      </c>
    </row>
    <row r="2461">
      <c r="A2461" s="4" t="inlineStr">
        <is>
          <t>6070 GML-BSB-Bürgermeister-Grünzweig-Straße-87-Ludwigshafen-MHKW</t>
        </is>
      </c>
      <c r="B2461" s="4" t="inlineStr">
        <is>
          <t>● (aN) BSB 06/2021 - 05/2022 (aN) BSB 1xjährlich</t>
        </is>
      </c>
      <c r="C2461" s="4" t="inlineStr">
        <is>
          <t>Nachweis</t>
        </is>
      </c>
      <c r="D2461" s="10" t="inlineStr">
        <is>
          <t>⚠ Manual erforderlich</t>
        </is>
      </c>
      <c r="E2461" s="11" t="inlineStr"/>
      <c r="F2461" s="11" t="n">
        <v>0</v>
      </c>
      <c r="G2461" s="11">
        <f>E2461-F2461</f>
        <v/>
      </c>
      <c r="H2461" s="11" t="n">
        <v/>
      </c>
      <c r="I2461" s="11" t="n">
        <v/>
      </c>
      <c r="J2461" s="11" t="n">
        <v/>
      </c>
      <c r="K2461" s="4" t="inlineStr">
        <is>
          <t>Stundensätze eingeben</t>
        </is>
      </c>
    </row>
    <row r="2462">
      <c r="A2462" s="4" t="inlineStr">
        <is>
          <t>6070 GML-BSB-Bürgermeister-Grünzweig-Straße-87-Ludwigshafen-MHKW</t>
        </is>
      </c>
      <c r="B2462" s="4" t="inlineStr">
        <is>
          <t>● (aN) BSB 06/2022 - 05/2023 (aN) BSB 1xjährlich</t>
        </is>
      </c>
      <c r="C2462" s="4" t="inlineStr">
        <is>
          <t>Nachweis</t>
        </is>
      </c>
      <c r="D2462" s="10" t="inlineStr">
        <is>
          <t>⚠ Manual erforderlich</t>
        </is>
      </c>
      <c r="E2462" s="11" t="inlineStr"/>
      <c r="F2462" s="11" t="n">
        <v>0</v>
      </c>
      <c r="G2462" s="11">
        <f>E2462-F2462</f>
        <v/>
      </c>
      <c r="H2462" s="11" t="n">
        <v/>
      </c>
      <c r="I2462" s="11" t="n">
        <v/>
      </c>
      <c r="J2462" s="11" t="n">
        <v/>
      </c>
      <c r="K2462" s="4" t="inlineStr">
        <is>
          <t>Stundensätze eingeben</t>
        </is>
      </c>
    </row>
    <row r="2463">
      <c r="A2463" s="4" t="inlineStr">
        <is>
          <t>6070 GML-BSB-Bürgermeister-Grünzweig-Straße-87-Ludwigshafen-MHKW</t>
        </is>
      </c>
      <c r="B2463" s="4" t="inlineStr">
        <is>
          <t>● (aN) BSB 06/2023 - 05/2024 (aN) BSB 1xjährlich</t>
        </is>
      </c>
      <c r="C2463" s="4" t="inlineStr">
        <is>
          <t>Nachweis</t>
        </is>
      </c>
      <c r="D2463" s="10" t="inlineStr">
        <is>
          <t>⚠ Manual erforderlich</t>
        </is>
      </c>
      <c r="E2463" s="11" t="inlineStr"/>
      <c r="F2463" s="11" t="n">
        <v>0</v>
      </c>
      <c r="G2463" s="11">
        <f>E2463-F2463</f>
        <v/>
      </c>
      <c r="H2463" s="11" t="n">
        <v/>
      </c>
      <c r="I2463" s="11" t="n">
        <v/>
      </c>
      <c r="J2463" s="11" t="n">
        <v/>
      </c>
      <c r="K2463" s="4" t="inlineStr">
        <is>
          <t>Stundensätze eingeben</t>
        </is>
      </c>
    </row>
    <row r="2464">
      <c r="A2464" s="4" t="inlineStr">
        <is>
          <t>6070 GML-BSB-Bürgermeister-Grünzweig-Straße-87-Ludwigshafen-MHKW</t>
        </is>
      </c>
      <c r="B2464" s="4" t="inlineStr">
        <is>
          <t>● (aN) BSB 06/2024 - 05/2025</t>
        </is>
      </c>
      <c r="C2464" s="4" t="inlineStr">
        <is>
          <t>Nachweis</t>
        </is>
      </c>
      <c r="D2464" s="10" t="inlineStr">
        <is>
          <t>⚠ Manual erforderlich</t>
        </is>
      </c>
      <c r="E2464" s="11" t="inlineStr"/>
      <c r="F2464" s="11" t="n">
        <v>0</v>
      </c>
      <c r="G2464" s="11">
        <f>E2464-F2464</f>
        <v/>
      </c>
      <c r="H2464" s="11" t="n">
        <v/>
      </c>
      <c r="I2464" s="11" t="n">
        <v/>
      </c>
      <c r="J2464" s="11" t="n">
        <v/>
      </c>
      <c r="K2464" s="4" t="inlineStr">
        <is>
          <t>Stundensätze eingeben</t>
        </is>
      </c>
    </row>
    <row r="2465">
      <c r="A2465" s="4" t="inlineStr">
        <is>
          <t>6070 GML-BSB-Bürgermeister-Grünzweig-Straße-87-Ludwigshafen-MHKW</t>
        </is>
      </c>
      <c r="B2465" s="4" t="inlineStr">
        <is>
          <t>● (aN) BSB 06/2025 - 05/2026</t>
        </is>
      </c>
      <c r="C2465" s="4" t="inlineStr">
        <is>
          <t>Nachweis</t>
        </is>
      </c>
      <c r="D2465" s="10" t="inlineStr">
        <is>
          <t>⚠ Manual erforderlich</t>
        </is>
      </c>
      <c r="E2465" s="11" t="inlineStr"/>
      <c r="F2465" s="11" t="n">
        <v>0</v>
      </c>
      <c r="G2465" s="11">
        <f>E2465-F2465</f>
        <v/>
      </c>
      <c r="H2465" s="11" t="n">
        <v/>
      </c>
      <c r="I2465" s="11" t="n">
        <v/>
      </c>
      <c r="J2465" s="11" t="n">
        <v/>
      </c>
      <c r="K2465" s="4" t="inlineStr">
        <is>
          <t>Stundensätze eingeben</t>
        </is>
      </c>
    </row>
    <row r="2466">
      <c r="A2466" s="4" t="inlineStr">
        <is>
          <t>6075.01 BTB-HH1.2-Vierenkamp-1-Hamburg-Equinix</t>
        </is>
      </c>
      <c r="B2466" s="4" t="inlineStr">
        <is>
          <t>● (aN) Pos.1 BTB - fire safety consulting and construction supervision</t>
        </is>
      </c>
      <c r="C2466" s="4" t="inlineStr">
        <is>
          <t>Nachweis</t>
        </is>
      </c>
      <c r="D2466" s="10" t="inlineStr">
        <is>
          <t>⚠ Manual erforderlich</t>
        </is>
      </c>
      <c r="E2466" s="11" t="inlineStr"/>
      <c r="F2466" s="11" t="n">
        <v>0</v>
      </c>
      <c r="G2466" s="11">
        <f>E2466-F2466</f>
        <v/>
      </c>
      <c r="H2466" s="11" t="n">
        <v/>
      </c>
      <c r="I2466" s="11" t="n">
        <v/>
      </c>
      <c r="J2466" s="11" t="n">
        <v/>
      </c>
      <c r="K2466" s="4" t="inlineStr">
        <is>
          <t>Stundensätze eingeben</t>
        </is>
      </c>
    </row>
    <row r="2467">
      <c r="A2467" s="4" t="inlineStr">
        <is>
          <t>6076.07 BSK-Hugo-Junckers-Str.-5-7-Frankfurt-Interxion-FRA-17-27-Campus-Bauphasen</t>
        </is>
      </c>
      <c r="B2467" s="4" t="inlineStr">
        <is>
          <t>● (p) Grundkonzept Bauphasen</t>
        </is>
      </c>
      <c r="C2467" s="4" t="inlineStr">
        <is>
          <t>Pauschale</t>
        </is>
      </c>
      <c r="D2467" s="10" t="inlineStr">
        <is>
          <t>⚠ Manual erforderlich</t>
        </is>
      </c>
      <c r="E2467" s="11" t="inlineStr"/>
      <c r="F2467" s="11" t="n">
        <v>0</v>
      </c>
      <c r="G2467" s="11">
        <f>E2467-F2467</f>
        <v/>
      </c>
      <c r="H2467" s="11" t="n">
        <v>0</v>
      </c>
      <c r="I2467" s="11" t="n">
        <v>0</v>
      </c>
      <c r="J2467" s="11" t="n">
        <v>0</v>
      </c>
      <c r="K2467" s="4" t="inlineStr">
        <is>
          <t>Stundensätze eingeben</t>
        </is>
      </c>
    </row>
    <row r="2468">
      <c r="A2468" s="4" t="inlineStr">
        <is>
          <t>6076.07 BSK-Hugo-Junckers-Str.-5-7-Frankfurt-Interxion-FRA-17-27-Campus-Bauphasen</t>
        </is>
      </c>
      <c r="B2468" s="4" t="inlineStr">
        <is>
          <t>● (a.N.) NAT01 Grundkonzept Bauphasen Mehrlstg. Teilnahme an Besprechungen</t>
        </is>
      </c>
      <c r="C2468" s="4" t="inlineStr">
        <is>
          <t>Nachweis</t>
        </is>
      </c>
      <c r="D2468" s="10" t="inlineStr">
        <is>
          <t>⚠ Manual erforderlich</t>
        </is>
      </c>
      <c r="E2468" s="11" t="inlineStr"/>
      <c r="F2468" s="11" t="n">
        <v>0</v>
      </c>
      <c r="G2468" s="11">
        <f>E2468-F2468</f>
        <v/>
      </c>
      <c r="H2468" s="11" t="n">
        <v/>
      </c>
      <c r="I2468" s="11" t="n">
        <v/>
      </c>
      <c r="J2468" s="11" t="n">
        <v/>
      </c>
      <c r="K2468" s="4" t="inlineStr">
        <is>
          <t>Stundensätze eingeben</t>
        </is>
      </c>
    </row>
    <row r="2469">
      <c r="A2469" s="4" t="inlineStr">
        <is>
          <t>6076.07 BSK-Hugo-Junckers-Str.-5-7-Frankfurt-Interxion-FRA-17-27-Campus-Bauphasen</t>
        </is>
      </c>
      <c r="B2469" s="4" t="inlineStr">
        <is>
          <t>● (p) Bauphasenkonzept für Inbetriebnahmen</t>
        </is>
      </c>
      <c r="C2469" s="4" t="inlineStr">
        <is>
          <t>Pauschale</t>
        </is>
      </c>
      <c r="D2469" s="10" t="inlineStr">
        <is>
          <t>⚠ Manual erforderlich</t>
        </is>
      </c>
      <c r="E2469" s="11" t="inlineStr"/>
      <c r="F2469" s="11" t="n">
        <v>0</v>
      </c>
      <c r="G2469" s="11">
        <f>E2469-F2469</f>
        <v/>
      </c>
      <c r="H2469" s="11" t="n">
        <v>0</v>
      </c>
      <c r="I2469" s="11" t="n">
        <v>0</v>
      </c>
      <c r="J2469" s="11" t="n">
        <v>0</v>
      </c>
      <c r="K2469" s="4" t="inlineStr">
        <is>
          <t>Stundensätze eingeben</t>
        </is>
      </c>
    </row>
    <row r="2470">
      <c r="A2470" s="4" t="inlineStr">
        <is>
          <t>6076.07 BSK-Hugo-Junckers-Str.-5-7-Frankfurt-Interxion-FRA-17-27-Campus-Bauphasen</t>
        </is>
      </c>
      <c r="B2470" s="4" t="inlineStr">
        <is>
          <t>● (p) zusätzliche Bauphase</t>
        </is>
      </c>
      <c r="C2470" s="4" t="inlineStr">
        <is>
          <t>Pauschale</t>
        </is>
      </c>
      <c r="D2470" s="10" t="inlineStr">
        <is>
          <t>⚠ Manual erforderlich</t>
        </is>
      </c>
      <c r="E2470" s="11" t="inlineStr"/>
      <c r="F2470" s="11" t="n">
        <v>0</v>
      </c>
      <c r="G2470" s="11">
        <f>E2470-F2470</f>
        <v/>
      </c>
      <c r="H2470" s="11" t="n">
        <v>0</v>
      </c>
      <c r="I2470" s="11" t="n">
        <v>0</v>
      </c>
      <c r="J2470" s="11" t="n">
        <v>0</v>
      </c>
      <c r="K2470" s="4" t="inlineStr">
        <is>
          <t>Stundensätze eingeben</t>
        </is>
      </c>
    </row>
    <row r="2471">
      <c r="A2471" s="4" t="inlineStr">
        <is>
          <t>6076.07 BSK-Hugo-Junckers-Str.-5-7-Frankfurt-Interxion-FRA-17-27-Campus-Bauphasen</t>
        </is>
      </c>
      <c r="B2471" s="4" t="inlineStr">
        <is>
          <t>● (p) FWP</t>
        </is>
      </c>
      <c r="C2471" s="4" t="inlineStr">
        <is>
          <t>Pauschale</t>
        </is>
      </c>
      <c r="D2471" s="10" t="inlineStr">
        <is>
          <t>⚠ Manual erforderlich</t>
        </is>
      </c>
      <c r="E2471" s="11" t="inlineStr"/>
      <c r="F2471" s="11" t="n">
        <v>0</v>
      </c>
      <c r="G2471" s="11">
        <f>E2471-F2471</f>
        <v/>
      </c>
      <c r="H2471" s="11" t="n">
        <v>0</v>
      </c>
      <c r="I2471" s="11" t="n">
        <v>0</v>
      </c>
      <c r="J2471" s="11" t="n">
        <v>0</v>
      </c>
      <c r="K2471" s="4" t="inlineStr">
        <is>
          <t>Stundensätze eingeben</t>
        </is>
      </c>
    </row>
    <row r="2472">
      <c r="A2472" s="4" t="inlineStr">
        <is>
          <t>6076.07 BSK-Hugo-Junckers-Str.-5-7-Frankfurt-Interxion-FRA-17-27-Campus-Bauphasen</t>
        </is>
      </c>
      <c r="B2472" s="4" t="inlineStr">
        <is>
          <t>● (a.N.) NAT01 Grundkonzept Bauphasen Mehrlstg. FWP 1.+2. Bauphase</t>
        </is>
      </c>
      <c r="C2472" s="4" t="inlineStr">
        <is>
          <t>Nachweis</t>
        </is>
      </c>
      <c r="D2472" s="10" t="inlineStr">
        <is>
          <t>⚠ Manual erforderlich</t>
        </is>
      </c>
      <c r="E2472" s="11" t="inlineStr"/>
      <c r="F2472" s="11" t="n">
        <v>0</v>
      </c>
      <c r="G2472" s="11">
        <f>E2472-F2472</f>
        <v/>
      </c>
      <c r="H2472" s="11" t="n">
        <v/>
      </c>
      <c r="I2472" s="11" t="n">
        <v/>
      </c>
      <c r="J2472" s="11" t="n">
        <v/>
      </c>
      <c r="K2472" s="4" t="inlineStr">
        <is>
          <t>Stundensätze eingeben</t>
        </is>
      </c>
    </row>
    <row r="2473">
      <c r="A2473" s="4" t="inlineStr">
        <is>
          <t>6076.14 BSK-Interxion-Powerchannel-Hugo-Junkers-Str-5-7-Ffm</t>
        </is>
      </c>
      <c r="B2473" s="4" t="inlineStr">
        <is>
          <t>● (p) Pos.1 Bauzeitliches Brandschutzkonzept FRA50</t>
        </is>
      </c>
      <c r="C2473" s="4" t="inlineStr">
        <is>
          <t>Pauschale</t>
        </is>
      </c>
      <c r="D2473" s="10" t="inlineStr">
        <is>
          <t>⚠ Manual erforderlich</t>
        </is>
      </c>
      <c r="E2473" s="11" t="inlineStr"/>
      <c r="F2473" s="11" t="n">
        <v>0</v>
      </c>
      <c r="G2473" s="11">
        <f>E2473-F2473</f>
        <v/>
      </c>
      <c r="H2473" s="11" t="n">
        <v>0</v>
      </c>
      <c r="I2473" s="11" t="n">
        <v>0</v>
      </c>
      <c r="J2473" s="11" t="n">
        <v>0</v>
      </c>
      <c r="K2473" s="4" t="inlineStr">
        <is>
          <t>Stundensätze eingeben</t>
        </is>
      </c>
    </row>
    <row r="2474">
      <c r="A2474" s="4" t="inlineStr">
        <is>
          <t>6076.15 NAT-BAB-FRA-18-Hugo-Junckers-Strasse-5-7-Ffm-DPR</t>
        </is>
      </c>
      <c r="B2474" s="4" t="inlineStr">
        <is>
          <t>● (aN) Pos.1 BAU 1.+2. Step Construction supervision and fire safety consulting-Septmber 2023 until March 2025</t>
        </is>
      </c>
      <c r="C2474" s="4" t="inlineStr">
        <is>
          <t>Nachweis</t>
        </is>
      </c>
      <c r="D2474" s="10" t="inlineStr">
        <is>
          <t>⚠ Manual erforderlich</t>
        </is>
      </c>
      <c r="E2474" s="11" t="inlineStr"/>
      <c r="F2474" s="11" t="n">
        <v>0</v>
      </c>
      <c r="G2474" s="11">
        <f>E2474-F2474</f>
        <v/>
      </c>
      <c r="H2474" s="11" t="n">
        <v/>
      </c>
      <c r="I2474" s="11" t="n">
        <v/>
      </c>
      <c r="J2474" s="11" t="n">
        <v/>
      </c>
      <c r="K2474" s="4" t="inlineStr">
        <is>
          <t>Stundensätze eingeben</t>
        </is>
      </c>
    </row>
    <row r="2475">
      <c r="A2475" s="4" t="inlineStr">
        <is>
          <t>6076.15 NAT-BAB-FRA-18-Hugo-Junckers-Strasse-5-7-Ffm-DPR</t>
        </is>
      </c>
      <c r="B2475" s="4" t="inlineStr">
        <is>
          <t>● (aN) Pos.1 NAT BAB - Construction supervision and fire safety consulting Feb. 2025- June 2025</t>
        </is>
      </c>
      <c r="C2475" s="4" t="inlineStr">
        <is>
          <t>Nachweis</t>
        </is>
      </c>
      <c r="D2475" s="10" t="inlineStr">
        <is>
          <t>⚠ Manual erforderlich</t>
        </is>
      </c>
      <c r="E2475" s="11" t="inlineStr"/>
      <c r="F2475" s="11" t="n">
        <v>0</v>
      </c>
      <c r="G2475" s="11">
        <f>E2475-F2475</f>
        <v/>
      </c>
      <c r="H2475" s="11" t="n">
        <v/>
      </c>
      <c r="I2475" s="11" t="n">
        <v/>
      </c>
      <c r="J2475" s="11" t="n">
        <v/>
      </c>
      <c r="K2475" s="4" t="inlineStr">
        <is>
          <t>Stundensätze eingeben</t>
        </is>
      </c>
    </row>
    <row r="2476">
      <c r="A2476" s="4" t="inlineStr">
        <is>
          <t>6076.15 NAT-BAB-FRA-18-Hugo-Junckers-Strasse-5-7-Ffm-DPR</t>
        </is>
      </c>
      <c r="B2476" s="4" t="inlineStr">
        <is>
          <t>● (aN) FWP</t>
        </is>
      </c>
      <c r="C2476" s="4" t="inlineStr">
        <is>
          <t>Nachweis</t>
        </is>
      </c>
      <c r="D2476" s="10" t="inlineStr">
        <is>
          <t>⚠ Manual erforderlich</t>
        </is>
      </c>
      <c r="E2476" s="11" t="inlineStr"/>
      <c r="F2476" s="11" t="n">
        <v>0</v>
      </c>
      <c r="G2476" s="11">
        <f>E2476-F2476</f>
        <v/>
      </c>
      <c r="H2476" s="11" t="n">
        <v/>
      </c>
      <c r="I2476" s="11" t="n">
        <v/>
      </c>
      <c r="J2476" s="11" t="n">
        <v/>
      </c>
      <c r="K2476" s="4" t="inlineStr">
        <is>
          <t>Stundensätze eingeben</t>
        </is>
      </c>
    </row>
    <row r="2477">
      <c r="A2477" s="4" t="inlineStr">
        <is>
          <t>6076.15 NAT-BAB-FRA-18-Hugo-Junckers-Strasse-5-7-Ffm-DPR</t>
        </is>
      </c>
      <c r="B2477" s="4" t="inlineStr">
        <is>
          <t>● (aN) FRP</t>
        </is>
      </c>
      <c r="C2477" s="4" t="inlineStr">
        <is>
          <t>Nachweis</t>
        </is>
      </c>
      <c r="D2477" s="10" t="inlineStr">
        <is>
          <t>⚠ Manual erforderlich</t>
        </is>
      </c>
      <c r="E2477" s="11" t="inlineStr"/>
      <c r="F2477" s="11" t="n">
        <v>0</v>
      </c>
      <c r="G2477" s="11">
        <f>E2477-F2477</f>
        <v/>
      </c>
      <c r="H2477" s="11" t="n">
        <v/>
      </c>
      <c r="I2477" s="11" t="n">
        <v/>
      </c>
      <c r="J2477" s="11" t="n">
        <v/>
      </c>
      <c r="K2477" s="4" t="inlineStr">
        <is>
          <t>Stundensätze eingeben</t>
        </is>
      </c>
    </row>
    <row r="2478">
      <c r="A2478" s="4" t="inlineStr">
        <is>
          <t>6076.17 DRESO-BTB-FRA-18-22 -Hugo-Junkers-Str-5-7-FFM-Festpunkte A-D</t>
        </is>
      </c>
      <c r="B2478" s="4" t="inlineStr">
        <is>
          <t>● (a.N.) Pos.1 Stage 1 BTB d. Planungsbeteil</t>
        </is>
      </c>
      <c r="C2478" s="4" t="inlineStr">
        <is>
          <t>Nachweis</t>
        </is>
      </c>
      <c r="D2478" s="10" t="inlineStr">
        <is>
          <t>⚠ Manual erforderlich</t>
        </is>
      </c>
      <c r="E2478" s="11" t="inlineStr"/>
      <c r="F2478" s="11" t="n">
        <v>0</v>
      </c>
      <c r="G2478" s="11">
        <f>E2478-F2478</f>
        <v/>
      </c>
      <c r="H2478" s="11" t="n">
        <v/>
      </c>
      <c r="I2478" s="11" t="n">
        <v/>
      </c>
      <c r="J2478" s="11" t="n">
        <v/>
      </c>
      <c r="K2478" s="4" t="inlineStr">
        <is>
          <t>Stundensätze eingeben</t>
        </is>
      </c>
    </row>
    <row r="2479">
      <c r="A2479" s="4" t="inlineStr">
        <is>
          <t>6076.17 DRESO-BTB-FRA-18-22 -Hugo-Junkers-Str-5-7-FFM-Festpunkte A-D</t>
        </is>
      </c>
      <c r="B2479" s="4" t="inlineStr">
        <is>
          <t>● (a.N.) Pos.2 Stage 2 BTB d. Planungsbeteil.</t>
        </is>
      </c>
      <c r="C2479" s="4" t="inlineStr">
        <is>
          <t>Nachweis</t>
        </is>
      </c>
      <c r="D2479" s="10" t="inlineStr">
        <is>
          <t>⚠ Manual erforderlich</t>
        </is>
      </c>
      <c r="E2479" s="11" t="inlineStr"/>
      <c r="F2479" s="11" t="n">
        <v>0</v>
      </c>
      <c r="G2479" s="11">
        <f>E2479-F2479</f>
        <v/>
      </c>
      <c r="H2479" s="11" t="n">
        <v/>
      </c>
      <c r="I2479" s="11" t="n">
        <v/>
      </c>
      <c r="J2479" s="11" t="n">
        <v/>
      </c>
      <c r="K2479" s="4" t="inlineStr">
        <is>
          <t>Stundensätze eingeben</t>
        </is>
      </c>
    </row>
    <row r="2480">
      <c r="A2480" s="4" t="inlineStr">
        <is>
          <t>6076.17 DRESO-BTB-FRA-18-22 -Hugo-Junkers-Str-5-7-FFM-Festpunkte A-D</t>
        </is>
      </c>
      <c r="B2480" s="4" t="inlineStr">
        <is>
          <t>● (a.N.) Pos.3 Stage 3 BTB d. Planungsbeteil.</t>
        </is>
      </c>
      <c r="C2480" s="4" t="inlineStr">
        <is>
          <t>Nachweis</t>
        </is>
      </c>
      <c r="D2480" s="10" t="inlineStr">
        <is>
          <t>⚠ Manual erforderlich</t>
        </is>
      </c>
      <c r="E2480" s="11" t="inlineStr"/>
      <c r="F2480" s="11" t="n">
        <v>0</v>
      </c>
      <c r="G2480" s="11">
        <f>E2480-F2480</f>
        <v/>
      </c>
      <c r="H2480" s="11" t="n">
        <v/>
      </c>
      <c r="I2480" s="11" t="n">
        <v/>
      </c>
      <c r="J2480" s="11" t="n">
        <v/>
      </c>
      <c r="K2480" s="4" t="inlineStr">
        <is>
          <t>Stundensätze eingeben</t>
        </is>
      </c>
    </row>
    <row r="2481">
      <c r="A2481" s="4" t="inlineStr">
        <is>
          <t>6076.17 DRESO-BTB-FRA-18-22 -Hugo-Junkers-Str-5-7-FFM-Festpunkte A-D</t>
        </is>
      </c>
      <c r="B2481" s="4" t="inlineStr">
        <is>
          <t>● (a.N.) Pos.4 Stage 4 BTB d. Planungsbeteil.</t>
        </is>
      </c>
      <c r="C2481" s="4" t="inlineStr">
        <is>
          <t>Nachweis</t>
        </is>
      </c>
      <c r="D2481" s="10" t="inlineStr">
        <is>
          <t>⚠ Manual erforderlich</t>
        </is>
      </c>
      <c r="E2481" s="11" t="inlineStr"/>
      <c r="F2481" s="11" t="n">
        <v>0</v>
      </c>
      <c r="G2481" s="11">
        <f>E2481-F2481</f>
        <v/>
      </c>
      <c r="H2481" s="11" t="n">
        <v/>
      </c>
      <c r="I2481" s="11" t="n">
        <v/>
      </c>
      <c r="J2481" s="11" t="n">
        <v/>
      </c>
      <c r="K2481" s="4" t="inlineStr">
        <is>
          <t>Stundensätze eingeben</t>
        </is>
      </c>
    </row>
    <row r="2482">
      <c r="A2482" s="4" t="inlineStr">
        <is>
          <t>6076.18 BSK-FRA-18-L6-L7-Hugo-Junckers-Strasse-5-7-Ffm-DPR</t>
        </is>
      </c>
      <c r="B2482" s="4" t="inlineStr">
        <is>
          <t>● (p) Pos.1 BSK - adjustment of fire protection concept for level 6+7</t>
        </is>
      </c>
      <c r="C2482" s="4" t="inlineStr">
        <is>
          <t>Pauschale</t>
        </is>
      </c>
      <c r="D2482" s="10" t="inlineStr">
        <is>
          <t>⚠ Manual erforderlich</t>
        </is>
      </c>
      <c r="E2482" s="11" t="inlineStr"/>
      <c r="F2482" s="11" t="n">
        <v>0</v>
      </c>
      <c r="G2482" s="11">
        <f>E2482-F2482</f>
        <v/>
      </c>
      <c r="H2482" s="11" t="n">
        <v>0</v>
      </c>
      <c r="I2482" s="11" t="n">
        <v>0</v>
      </c>
      <c r="J2482" s="11" t="n">
        <v>0</v>
      </c>
      <c r="K2482" s="4" t="inlineStr">
        <is>
          <t>Stundensätze eingeben</t>
        </is>
      </c>
    </row>
    <row r="2483">
      <c r="A2483" s="4" t="inlineStr">
        <is>
          <t>6076.19 BSK-FRA-19-57-Hugo-Junkers-Strasse-5-7-Ffm</t>
        </is>
      </c>
      <c r="B2483" s="4" t="inlineStr">
        <is>
          <t>● (p) Pos.1 Machbarkeitsstudie - Feasibility study for the redesign of FRA19 and FRA57</t>
        </is>
      </c>
      <c r="C2483" s="4" t="inlineStr">
        <is>
          <t>Pauschale</t>
        </is>
      </c>
      <c r="D2483" s="10" t="inlineStr">
        <is>
          <t>⚠ Manual erforderlich</t>
        </is>
      </c>
      <c r="E2483" s="11" t="inlineStr"/>
      <c r="F2483" s="11" t="n">
        <v>0</v>
      </c>
      <c r="G2483" s="11">
        <f>E2483-F2483</f>
        <v/>
      </c>
      <c r="H2483" s="11" t="n">
        <v>0</v>
      </c>
      <c r="I2483" s="11" t="n">
        <v>0</v>
      </c>
      <c r="J2483" s="11" t="n">
        <v>0</v>
      </c>
      <c r="K2483" s="4" t="inlineStr">
        <is>
          <t>Stundensätze eingeben</t>
        </is>
      </c>
    </row>
    <row r="2484">
      <c r="A2484" s="4" t="inlineStr">
        <is>
          <t>6076.19 BSK-FRA-19-57-Hugo-Junkers-Strasse-5-7-Ffm</t>
        </is>
      </c>
      <c r="B2484" s="4" t="inlineStr">
        <is>
          <t>● (p) Pos.2 BSK - Creating of basic fire protection concept RIBA2 incl. fire protection concept</t>
        </is>
      </c>
      <c r="C2484" s="4" t="inlineStr">
        <is>
          <t>Pauschale</t>
        </is>
      </c>
      <c r="D2484" s="10" t="inlineStr">
        <is>
          <t>⚠ Manual erforderlich</t>
        </is>
      </c>
      <c r="E2484" s="11" t="inlineStr"/>
      <c r="F2484" s="11" t="n">
        <v>0</v>
      </c>
      <c r="G2484" s="11">
        <f>E2484-F2484</f>
        <v/>
      </c>
      <c r="H2484" s="11" t="n">
        <v>0</v>
      </c>
      <c r="I2484" s="11" t="n">
        <v>0</v>
      </c>
      <c r="J2484" s="11" t="n">
        <v>0</v>
      </c>
      <c r="K2484" s="4" t="inlineStr">
        <is>
          <t>Stundensätze eingeben</t>
        </is>
      </c>
    </row>
    <row r="2485">
      <c r="A2485" s="4" t="inlineStr">
        <is>
          <t>6076.19 BSK-FRA-19-57-Hugo-Junkers-Strasse-5-7-Ffm</t>
        </is>
      </c>
      <c r="B2485" s="4" t="inlineStr">
        <is>
          <t>● (p) Pos.3 Anpassung BSK - adjustment of fire protection concept for the redesign of FRA19 and FRA57</t>
        </is>
      </c>
      <c r="C2485" s="4" t="inlineStr">
        <is>
          <t>Pauschale</t>
        </is>
      </c>
      <c r="D2485" s="10" t="inlineStr">
        <is>
          <t>⚠ Manual erforderlich</t>
        </is>
      </c>
      <c r="E2485" s="11" t="inlineStr"/>
      <c r="F2485" s="11" t="n">
        <v>0</v>
      </c>
      <c r="G2485" s="11">
        <f>E2485-F2485</f>
        <v/>
      </c>
      <c r="H2485" s="11" t="n">
        <v>0</v>
      </c>
      <c r="I2485" s="11" t="n">
        <v>0</v>
      </c>
      <c r="J2485" s="11" t="n">
        <v>0</v>
      </c>
      <c r="K2485" s="4" t="inlineStr">
        <is>
          <t>Stundensätze eingeben</t>
        </is>
      </c>
    </row>
    <row r="2486">
      <c r="A2486" s="4" t="inlineStr">
        <is>
          <t>6076.20 BTB-FRA-19-Hugo-Junkers-Straße-5-7-Ffm-Wärmeübergabestation</t>
        </is>
      </c>
      <c r="B2486" s="4" t="inlineStr">
        <is>
          <t>● (aN) Pos.1 Stage 2</t>
        </is>
      </c>
      <c r="C2486" s="4" t="inlineStr">
        <is>
          <t>Nachweis</t>
        </is>
      </c>
      <c r="D2486" s="10" t="inlineStr">
        <is>
          <t>⚠ Manual erforderlich</t>
        </is>
      </c>
      <c r="E2486" s="11" t="inlineStr"/>
      <c r="F2486" s="11" t="n">
        <v>0</v>
      </c>
      <c r="G2486" s="11">
        <f>E2486-F2486</f>
        <v/>
      </c>
      <c r="H2486" s="11" t="n">
        <v/>
      </c>
      <c r="I2486" s="11" t="n">
        <v/>
      </c>
      <c r="J2486" s="11" t="n">
        <v/>
      </c>
      <c r="K2486" s="4" t="inlineStr">
        <is>
          <t>Stundensätze eingeben</t>
        </is>
      </c>
    </row>
    <row r="2487">
      <c r="A2487" s="4" t="inlineStr">
        <is>
          <t>6076.20 BTB-FRA-19-Hugo-Junkers-Straße-5-7-Ffm-Wärmeübergabestation</t>
        </is>
      </c>
      <c r="B2487" s="4" t="inlineStr">
        <is>
          <t>● (p)    Pos.2 Stage 3</t>
        </is>
      </c>
      <c r="C2487" s="4" t="inlineStr">
        <is>
          <t>Pauschale</t>
        </is>
      </c>
      <c r="D2487" s="10" t="inlineStr">
        <is>
          <t>⚠ Manual erforderlich</t>
        </is>
      </c>
      <c r="E2487" s="11" t="inlineStr"/>
      <c r="F2487" s="11" t="n">
        <v>0</v>
      </c>
      <c r="G2487" s="11">
        <f>E2487-F2487</f>
        <v/>
      </c>
      <c r="H2487" s="11" t="n">
        <v>0</v>
      </c>
      <c r="I2487" s="11" t="n">
        <v>0</v>
      </c>
      <c r="J2487" s="11" t="n">
        <v>0</v>
      </c>
      <c r="K2487" s="4" t="inlineStr">
        <is>
          <t>Stundensätze eingeben</t>
        </is>
      </c>
    </row>
    <row r="2488">
      <c r="A2488" s="4" t="inlineStr">
        <is>
          <t>6076.20 BTB-FRA-19-Hugo-Junkers-Straße-5-7-Ffm-Wärmeübergabestation</t>
        </is>
      </c>
      <c r="B2488" s="4" t="inlineStr">
        <is>
          <t>● Pos.3 Anpassung BSK d. Geb. FRA18-22 für die Planungsänderung im Untergeschoss FRA19</t>
        </is>
      </c>
      <c r="C2488" s="9" t="inlineStr">
        <is>
          <t>Unbekannt</t>
        </is>
      </c>
      <c r="D2488" s="10" t="inlineStr">
        <is>
          <t>⚠ Manual erforderlich</t>
        </is>
      </c>
      <c r="E2488" s="11" t="inlineStr"/>
      <c r="F2488" s="11" t="n">
        <v>0</v>
      </c>
      <c r="G2488" s="11">
        <f>E2488-F2488</f>
        <v/>
      </c>
      <c r="H2488" s="11" t="n">
        <v/>
      </c>
      <c r="I2488" s="11" t="n">
        <v/>
      </c>
      <c r="J2488" s="11" t="n">
        <v/>
      </c>
      <c r="K2488" s="4" t="inlineStr">
        <is>
          <t>Abrechnungsart wählen; Stundensätze eingeben</t>
        </is>
      </c>
    </row>
    <row r="2489">
      <c r="A2489" s="4" t="inlineStr">
        <is>
          <t>6076.20 BTB-FRA-19-Hugo-Junkers-Straße-5-7-Ffm-Wärmeübergabestation</t>
        </is>
      </c>
      <c r="B2489" s="4" t="inlineStr">
        <is>
          <t>● (p)  Pos.4 Anpassung FWP + FRP</t>
        </is>
      </c>
      <c r="C2489" s="4" t="inlineStr">
        <is>
          <t>Pauschale</t>
        </is>
      </c>
      <c r="D2489" s="10" t="inlineStr">
        <is>
          <t>⚠ Manual erforderlich</t>
        </is>
      </c>
      <c r="E2489" s="11" t="inlineStr"/>
      <c r="F2489" s="11" t="n">
        <v>0</v>
      </c>
      <c r="G2489" s="11">
        <f>E2489-F2489</f>
        <v/>
      </c>
      <c r="H2489" s="11" t="n">
        <v>0</v>
      </c>
      <c r="I2489" s="11" t="n">
        <v>0</v>
      </c>
      <c r="J2489" s="11" t="n">
        <v>0</v>
      </c>
      <c r="K2489" s="4" t="inlineStr">
        <is>
          <t>Stundensätze eingeben</t>
        </is>
      </c>
    </row>
    <row r="2490">
      <c r="A2490" s="4" t="inlineStr">
        <is>
          <t>6076.20 BTB-FRA-19-Hugo-Junkers-Straße-5-7-Ffm-Wärmeübergabestation</t>
        </is>
      </c>
      <c r="B2490" s="4" t="inlineStr">
        <is>
          <t>● (p) BTB Projektplanung FRA19 Wüst</t>
        </is>
      </c>
      <c r="C2490" s="4" t="inlineStr">
        <is>
          <t>Pauschale</t>
        </is>
      </c>
      <c r="D2490" s="10" t="inlineStr">
        <is>
          <t>⚠ Manual erforderlich</t>
        </is>
      </c>
      <c r="E2490" s="11" t="inlineStr"/>
      <c r="F2490" s="11" t="n">
        <v>0</v>
      </c>
      <c r="G2490" s="11">
        <f>E2490-F2490</f>
        <v/>
      </c>
      <c r="H2490" s="11" t="n">
        <v>0</v>
      </c>
      <c r="I2490" s="11" t="n">
        <v>0</v>
      </c>
      <c r="J2490" s="11" t="n">
        <v>0</v>
      </c>
      <c r="K2490" s="4" t="inlineStr">
        <is>
          <t>Stundensätze eingeben</t>
        </is>
      </c>
    </row>
    <row r="2491">
      <c r="A2491" s="4" t="inlineStr">
        <is>
          <t>6076.21 BSK-FRA-20-Hugo-Junkers-Strasse-5-7-Ffm-Digitalcampus</t>
        </is>
      </c>
      <c r="B2491" s="4" t="inlineStr">
        <is>
          <t>● (p) Pos.1 BSK - adjustment of fire protectiong concept bullding part FRA20</t>
        </is>
      </c>
      <c r="C2491" s="4" t="inlineStr">
        <is>
          <t>Pauschale</t>
        </is>
      </c>
      <c r="D2491" s="10" t="inlineStr">
        <is>
          <t>⚠ Manual erforderlich</t>
        </is>
      </c>
      <c r="E2491" s="11" t="inlineStr"/>
      <c r="F2491" s="11" t="n">
        <v>0</v>
      </c>
      <c r="G2491" s="11">
        <f>E2491-F2491</f>
        <v/>
      </c>
      <c r="H2491" s="11" t="n">
        <v>0</v>
      </c>
      <c r="I2491" s="11" t="n">
        <v>0</v>
      </c>
      <c r="J2491" s="11" t="n">
        <v>0</v>
      </c>
      <c r="K2491" s="4" t="inlineStr">
        <is>
          <t>Stundensätze eingeben</t>
        </is>
      </c>
    </row>
    <row r="2492">
      <c r="A2492" s="4" t="inlineStr">
        <is>
          <t>6076.22 NAT-BSK-HugoJunkersStr-Ffm-FRA-18-22</t>
        </is>
      </c>
      <c r="B2492" s="4" t="inlineStr">
        <is>
          <t>● (p) Pos. 1 Fortschr. BSK FRA 18-22</t>
        </is>
      </c>
      <c r="C2492" s="4" t="inlineStr">
        <is>
          <t>Pauschale</t>
        </is>
      </c>
      <c r="D2492" s="10" t="inlineStr">
        <is>
          <t>⚠ Manual erforderlich</t>
        </is>
      </c>
      <c r="E2492" s="11" t="inlineStr"/>
      <c r="F2492" s="11" t="n">
        <v>0</v>
      </c>
      <c r="G2492" s="11">
        <f>E2492-F2492</f>
        <v/>
      </c>
      <c r="H2492" s="11" t="n">
        <v>0</v>
      </c>
      <c r="I2492" s="11" t="n">
        <v>0</v>
      </c>
      <c r="J2492" s="11" t="n">
        <v>0</v>
      </c>
      <c r="K2492" s="4" t="inlineStr">
        <is>
          <t>Stundensätze eingeben</t>
        </is>
      </c>
    </row>
    <row r="2493">
      <c r="A2493" s="4" t="inlineStr">
        <is>
          <t>6076.23 NAT-BSK-Hugo-Junkers-Straße-5-7-Frankfurt-Interxion-Powerchannel</t>
        </is>
      </c>
      <c r="B2493" s="4" t="inlineStr">
        <is>
          <t>● (p) Pos.1 Bauzeitliches BSK FRA50 (58h SV / 3h Admin) 7.750€ / 8.950€</t>
        </is>
      </c>
      <c r="C2493" s="4" t="inlineStr">
        <is>
          <t>Pauschale</t>
        </is>
      </c>
      <c r="D2493" s="10" t="inlineStr">
        <is>
          <t>⚠ Manual erforderlich</t>
        </is>
      </c>
      <c r="E2493" s="11" t="inlineStr"/>
      <c r="F2493" s="11" t="n">
        <v>0</v>
      </c>
      <c r="G2493" s="11">
        <f>E2493-F2493</f>
        <v/>
      </c>
      <c r="H2493" s="11" t="n">
        <v>0</v>
      </c>
      <c r="I2493" s="11" t="n">
        <v>0</v>
      </c>
      <c r="J2493" s="11" t="n">
        <v>0</v>
      </c>
      <c r="K2493" s="4" t="inlineStr">
        <is>
          <t>Stundensätze eingeben</t>
        </is>
      </c>
    </row>
    <row r="2494">
      <c r="A2494" s="4" t="inlineStr">
        <is>
          <t>6076.24 BAB-Hugo-Junkers-Straße-5-7-Ffm-FRA50-Powerchannels+Campus</t>
        </is>
      </c>
      <c r="B2494" s="4" t="inlineStr">
        <is>
          <t>● (aN) Pos.1 BTB u. Objektüberwachung für Powerchannel und Campus</t>
        </is>
      </c>
      <c r="C2494" s="4" t="inlineStr">
        <is>
          <t>Nachweis</t>
        </is>
      </c>
      <c r="D2494" s="10" t="inlineStr">
        <is>
          <t>⚠ Manual erforderlich</t>
        </is>
      </c>
      <c r="E2494" s="11" t="inlineStr"/>
      <c r="F2494" s="11" t="n">
        <v>0</v>
      </c>
      <c r="G2494" s="11">
        <f>E2494-F2494</f>
        <v/>
      </c>
      <c r="H2494" s="11" t="n">
        <v/>
      </c>
      <c r="I2494" s="11" t="n">
        <v/>
      </c>
      <c r="J2494" s="11" t="n">
        <v/>
      </c>
      <c r="K2494" s="4" t="inlineStr">
        <is>
          <t>Stundensätze eingeben</t>
        </is>
      </c>
    </row>
    <row r="2495">
      <c r="A2495" s="4" t="inlineStr">
        <is>
          <t>6076.25 DPR-BSK-FRA-18-L6-L7-Hugo-Junkers-Straße-3-5-Ffm</t>
        </is>
      </c>
      <c r="B2495" s="4" t="inlineStr">
        <is>
          <t>● (aN) Pos.1 Consulting during the planning phase L6/L7</t>
        </is>
      </c>
      <c r="C2495" s="4" t="inlineStr">
        <is>
          <t>Nachweis</t>
        </is>
      </c>
      <c r="D2495" s="10" t="inlineStr">
        <is>
          <t>⚠ Manual erforderlich</t>
        </is>
      </c>
      <c r="E2495" s="11" t="inlineStr"/>
      <c r="F2495" s="11" t="n">
        <v>0</v>
      </c>
      <c r="G2495" s="11">
        <f>E2495-F2495</f>
        <v/>
      </c>
      <c r="H2495" s="11" t="n">
        <v/>
      </c>
      <c r="I2495" s="11" t="n">
        <v/>
      </c>
      <c r="J2495" s="11" t="n">
        <v/>
      </c>
      <c r="K2495" s="4" t="inlineStr">
        <is>
          <t>Stundensätze eingeben</t>
        </is>
      </c>
    </row>
    <row r="2496">
      <c r="A2496" s="4" t="inlineStr">
        <is>
          <t>6076.25 DPR-BSK-FRA-18-L6-L7-Hugo-Junkers-Straße-3-5-Ffm</t>
        </is>
      </c>
      <c r="B2496" s="4" t="inlineStr">
        <is>
          <t>● (p) Pos.2 Update of fire protection concept  L6/L7</t>
        </is>
      </c>
      <c r="C2496" s="4" t="inlineStr">
        <is>
          <t>Pauschale</t>
        </is>
      </c>
      <c r="D2496" s="10" t="inlineStr">
        <is>
          <t>⚠ Manual erforderlich</t>
        </is>
      </c>
      <c r="E2496" s="11" t="inlineStr"/>
      <c r="F2496" s="11" t="n">
        <v>0</v>
      </c>
      <c r="G2496" s="11">
        <f>E2496-F2496</f>
        <v/>
      </c>
      <c r="H2496" s="11" t="n">
        <v>0</v>
      </c>
      <c r="I2496" s="11" t="n">
        <v>0</v>
      </c>
      <c r="J2496" s="11" t="n">
        <v>0</v>
      </c>
      <c r="K2496" s="4" t="inlineStr">
        <is>
          <t>Stundensätze eingeben</t>
        </is>
      </c>
    </row>
    <row r="2497">
      <c r="A2497" s="4" t="inlineStr">
        <is>
          <t>6076.25 DPR-BSK-FRA-18-L6-L7-Hugo-Junkers-Straße-3-5-Ffm</t>
        </is>
      </c>
      <c r="B2497" s="4" t="inlineStr">
        <is>
          <t>● (p) Pos.3 Adapt fire department plans and escape &amp; rescue route plans L6/lL7</t>
        </is>
      </c>
      <c r="C2497" s="4" t="inlineStr">
        <is>
          <t>Pauschale</t>
        </is>
      </c>
      <c r="D2497" s="10" t="inlineStr">
        <is>
          <t>⚠ Manual erforderlich</t>
        </is>
      </c>
      <c r="E2497" s="11" t="inlineStr"/>
      <c r="F2497" s="11" t="n">
        <v>0</v>
      </c>
      <c r="G2497" s="11">
        <f>E2497-F2497</f>
        <v/>
      </c>
      <c r="H2497" s="11" t="n">
        <v>0</v>
      </c>
      <c r="I2497" s="11" t="n">
        <v>0</v>
      </c>
      <c r="J2497" s="11" t="n">
        <v>0</v>
      </c>
      <c r="K2497" s="4" t="inlineStr">
        <is>
          <t>Stundensätze eingeben</t>
        </is>
      </c>
    </row>
    <row r="2498">
      <c r="A2498" s="4" t="inlineStr">
        <is>
          <t>6076.26 Ethos-BTB-FRA20-RIBA5-RIBA6</t>
        </is>
      </c>
      <c r="B2498" s="4" t="inlineStr">
        <is>
          <t>● (aN) Pos.1 RIBA5-FRA20</t>
        </is>
      </c>
      <c r="C2498" s="4" t="inlineStr">
        <is>
          <t>Nachweis</t>
        </is>
      </c>
      <c r="D2498" s="10" t="inlineStr">
        <is>
          <t>⚠ Manual erforderlich</t>
        </is>
      </c>
      <c r="E2498" s="11" t="inlineStr"/>
      <c r="F2498" s="11" t="n">
        <v>0</v>
      </c>
      <c r="G2498" s="11">
        <f>E2498-F2498</f>
        <v/>
      </c>
      <c r="H2498" s="11" t="n">
        <v/>
      </c>
      <c r="I2498" s="11" t="n">
        <v/>
      </c>
      <c r="J2498" s="11" t="n">
        <v/>
      </c>
      <c r="K2498" s="4" t="inlineStr">
        <is>
          <t>Stundensätze eingeben</t>
        </is>
      </c>
    </row>
    <row r="2499">
      <c r="A2499" s="4" t="inlineStr">
        <is>
          <t>6076.26 Ethos-BTB-FRA20-RIBA5-RIBA6</t>
        </is>
      </c>
      <c r="B2499" s="4" t="inlineStr">
        <is>
          <t>● (aN) Pos.2 RIBA6-FRA20</t>
        </is>
      </c>
      <c r="C2499" s="4" t="inlineStr">
        <is>
          <t>Nachweis</t>
        </is>
      </c>
      <c r="D2499" s="10" t="inlineStr">
        <is>
          <t>⚠ Manual erforderlich</t>
        </is>
      </c>
      <c r="E2499" s="11" t="inlineStr"/>
      <c r="F2499" s="11" t="n">
        <v>0</v>
      </c>
      <c r="G2499" s="11">
        <f>E2499-F2499</f>
        <v/>
      </c>
      <c r="H2499" s="11" t="n">
        <v/>
      </c>
      <c r="I2499" s="11" t="n">
        <v/>
      </c>
      <c r="J2499" s="11" t="n">
        <v/>
      </c>
      <c r="K2499" s="4" t="inlineStr">
        <is>
          <t>Stundensätze eingeben</t>
        </is>
      </c>
    </row>
    <row r="2500">
      <c r="A2500" s="4" t="inlineStr">
        <is>
          <t>6076.27 Mercury-BTB-FRA20-RIBA4-RIBA5-RIBA6</t>
        </is>
      </c>
      <c r="B2500" s="4" t="inlineStr">
        <is>
          <t>● (aN) Pos.1 RIBA 4 - Bi-weekly meetings - FRA20</t>
        </is>
      </c>
      <c r="C2500" s="4" t="inlineStr">
        <is>
          <t>Nachweis</t>
        </is>
      </c>
      <c r="D2500" s="10" t="inlineStr">
        <is>
          <t>⚠ Manual erforderlich</t>
        </is>
      </c>
      <c r="E2500" s="11" t="inlineStr"/>
      <c r="F2500" s="11" t="n">
        <v>0</v>
      </c>
      <c r="G2500" s="11">
        <f>E2500-F2500</f>
        <v/>
      </c>
      <c r="H2500" s="11" t="n">
        <v/>
      </c>
      <c r="I2500" s="11" t="n">
        <v/>
      </c>
      <c r="J2500" s="11" t="n">
        <v/>
      </c>
      <c r="K2500" s="4" t="inlineStr">
        <is>
          <t>Stundensätze eingeben</t>
        </is>
      </c>
    </row>
    <row r="2501">
      <c r="A2501" s="4" t="inlineStr">
        <is>
          <t>6076.27 Mercury-BTB-FRA20-RIBA4-RIBA5-RIBA6</t>
        </is>
      </c>
      <c r="B2501" s="4" t="inlineStr">
        <is>
          <t>● (aN) Pos.2 RIBA 5 FRA20</t>
        </is>
      </c>
      <c r="C2501" s="4" t="inlineStr">
        <is>
          <t>Nachweis</t>
        </is>
      </c>
      <c r="D2501" s="10" t="inlineStr">
        <is>
          <t>⚠ Manual erforderlich</t>
        </is>
      </c>
      <c r="E2501" s="11" t="inlineStr"/>
      <c r="F2501" s="11" t="n">
        <v>0</v>
      </c>
      <c r="G2501" s="11">
        <f>E2501-F2501</f>
        <v/>
      </c>
      <c r="H2501" s="11" t="n">
        <v/>
      </c>
      <c r="I2501" s="11" t="n">
        <v/>
      </c>
      <c r="J2501" s="11" t="n">
        <v/>
      </c>
      <c r="K2501" s="4" t="inlineStr">
        <is>
          <t>Stundensätze eingeben</t>
        </is>
      </c>
    </row>
    <row r="2502">
      <c r="A2502" s="4" t="inlineStr">
        <is>
          <t>6076.27 Mercury-BTB-FRA20-RIBA4-RIBA5-RIBA6</t>
        </is>
      </c>
      <c r="B2502" s="4" t="inlineStr">
        <is>
          <t>● (p) Pos.3 RIBA 6 Fra20</t>
        </is>
      </c>
      <c r="C2502" s="4" t="inlineStr">
        <is>
          <t>Pauschale</t>
        </is>
      </c>
      <c r="D2502" s="10" t="inlineStr">
        <is>
          <t>⚠ Manual erforderlich</t>
        </is>
      </c>
      <c r="E2502" s="11" t="inlineStr"/>
      <c r="F2502" s="11" t="n">
        <v>0</v>
      </c>
      <c r="G2502" s="11">
        <f>E2502-F2502</f>
        <v/>
      </c>
      <c r="H2502" s="11" t="n">
        <v>0</v>
      </c>
      <c r="I2502" s="11" t="n">
        <v>0</v>
      </c>
      <c r="J2502" s="11" t="n">
        <v>0</v>
      </c>
      <c r="K2502" s="4" t="inlineStr">
        <is>
          <t>Stundensätze eingeben</t>
        </is>
      </c>
    </row>
    <row r="2503">
      <c r="A2503" s="4" t="inlineStr">
        <is>
          <t>6076.27 Mercury-BTB-FRA20-RIBA4-RIBA5-RIBA6</t>
        </is>
      </c>
      <c r="B2503" s="4" t="inlineStr">
        <is>
          <t>● (aN) Pos.4 Inspections in RIBA5 period January 2026 - February 2027</t>
        </is>
      </c>
      <c r="C2503" s="4" t="inlineStr">
        <is>
          <t>Nachweis</t>
        </is>
      </c>
      <c r="D2503" s="10" t="inlineStr">
        <is>
          <t>⚠ Manual erforderlich</t>
        </is>
      </c>
      <c r="E2503" s="11" t="inlineStr"/>
      <c r="F2503" s="11" t="n">
        <v>0</v>
      </c>
      <c r="G2503" s="11">
        <f>E2503-F2503</f>
        <v/>
      </c>
      <c r="H2503" s="11" t="n">
        <v/>
      </c>
      <c r="I2503" s="11" t="n">
        <v/>
      </c>
      <c r="J2503" s="11" t="n">
        <v/>
      </c>
      <c r="K2503" s="4" t="inlineStr">
        <is>
          <t>Stundensätze eingeben</t>
        </is>
      </c>
    </row>
    <row r="2504">
      <c r="A2504" s="4" t="inlineStr">
        <is>
          <t>6076.27 Mercury-BTB-FRA20-RIBA4-RIBA5-RIBA6</t>
        </is>
      </c>
      <c r="B2504" s="4" t="inlineStr">
        <is>
          <t>● (p) Pos.5 Updating the fire protection concept</t>
        </is>
      </c>
      <c r="C2504" s="4" t="inlineStr">
        <is>
          <t>Pauschale</t>
        </is>
      </c>
      <c r="D2504" s="10" t="inlineStr">
        <is>
          <t>⚠ Manual erforderlich</t>
        </is>
      </c>
      <c r="E2504" s="11" t="inlineStr"/>
      <c r="F2504" s="11" t="n">
        <v>0</v>
      </c>
      <c r="G2504" s="11">
        <f>E2504-F2504</f>
        <v/>
      </c>
      <c r="H2504" s="11" t="n">
        <v>0</v>
      </c>
      <c r="I2504" s="11" t="n">
        <v>0</v>
      </c>
      <c r="J2504" s="11" t="n">
        <v>0</v>
      </c>
      <c r="K2504" s="4" t="inlineStr">
        <is>
          <t>Stundensätze eingeben</t>
        </is>
      </c>
    </row>
    <row r="2505">
      <c r="A2505" s="4" t="inlineStr">
        <is>
          <t>6076.27 Mercury-BTB-FRA20-RIBA4-RIBA5-RIBA6</t>
        </is>
      </c>
      <c r="B2505" s="4" t="inlineStr">
        <is>
          <t>● (aN) Pos.6 Creating fire department plans</t>
        </is>
      </c>
      <c r="C2505" s="4" t="inlineStr">
        <is>
          <t>Nachweis</t>
        </is>
      </c>
      <c r="D2505" s="10" t="inlineStr">
        <is>
          <t>⚠ Manual erforderlich</t>
        </is>
      </c>
      <c r="E2505" s="11" t="inlineStr"/>
      <c r="F2505" s="11" t="n">
        <v>0</v>
      </c>
      <c r="G2505" s="11">
        <f>E2505-F2505</f>
        <v/>
      </c>
      <c r="H2505" s="11" t="n">
        <v/>
      </c>
      <c r="I2505" s="11" t="n">
        <v/>
      </c>
      <c r="J2505" s="11" t="n">
        <v/>
      </c>
      <c r="K2505" s="4" t="inlineStr">
        <is>
          <t>Stundensätze eingeben</t>
        </is>
      </c>
    </row>
    <row r="2506">
      <c r="A2506" s="4" t="inlineStr">
        <is>
          <t>6076.27 Mercury-BTB-FRA20-RIBA4-RIBA5-RIBA6</t>
        </is>
      </c>
      <c r="B2506" s="4" t="inlineStr">
        <is>
          <t>● (aN) Pos.7 Creating escape and rescue plans</t>
        </is>
      </c>
      <c r="C2506" s="4" t="inlineStr">
        <is>
          <t>Nachweis</t>
        </is>
      </c>
      <c r="D2506" s="10" t="inlineStr">
        <is>
          <t>⚠ Manual erforderlich</t>
        </is>
      </c>
      <c r="E2506" s="11" t="inlineStr"/>
      <c r="F2506" s="11" t="n">
        <v>0</v>
      </c>
      <c r="G2506" s="11">
        <f>E2506-F2506</f>
        <v/>
      </c>
      <c r="H2506" s="11" t="n">
        <v/>
      </c>
      <c r="I2506" s="11" t="n">
        <v/>
      </c>
      <c r="J2506" s="11" t="n">
        <v/>
      </c>
      <c r="K2506" s="4" t="inlineStr">
        <is>
          <t>Stundensätze eingeben</t>
        </is>
      </c>
    </row>
    <row r="2507">
      <c r="A2507" s="4" t="inlineStr">
        <is>
          <t>6077.02 FWP-FRP-Otto-Hahn-Straße-24-Dreieich</t>
        </is>
      </c>
      <c r="B2507" s="4" t="inlineStr">
        <is>
          <t>● (p) Pos. 1 Aktualisierung FRP</t>
        </is>
      </c>
      <c r="C2507" s="4" t="inlineStr">
        <is>
          <t>Pauschale</t>
        </is>
      </c>
      <c r="D2507" s="10" t="inlineStr">
        <is>
          <t>⚠ Manual erforderlich</t>
        </is>
      </c>
      <c r="E2507" s="11" t="inlineStr"/>
      <c r="F2507" s="11" t="n">
        <v>0</v>
      </c>
      <c r="G2507" s="11">
        <f>E2507-F2507</f>
        <v/>
      </c>
      <c r="H2507" s="11" t="n">
        <v>0</v>
      </c>
      <c r="I2507" s="11" t="n">
        <v>0</v>
      </c>
      <c r="J2507" s="11" t="n">
        <v>0</v>
      </c>
      <c r="K2507" s="4" t="inlineStr">
        <is>
          <t>Stundensätze eingeben</t>
        </is>
      </c>
    </row>
    <row r="2508">
      <c r="A2508" s="4" t="inlineStr">
        <is>
          <t>6077.02 FWP-FRP-Otto-Hahn-Straße-24-Dreieich</t>
        </is>
      </c>
      <c r="B2508" s="4" t="inlineStr">
        <is>
          <t>● (p) Pos.2 Aktualisierung FWP</t>
        </is>
      </c>
      <c r="C2508" s="4" t="inlineStr">
        <is>
          <t>Pauschale</t>
        </is>
      </c>
      <c r="D2508" s="10" t="inlineStr">
        <is>
          <t>⚠ Manual erforderlich</t>
        </is>
      </c>
      <c r="E2508" s="11" t="inlineStr"/>
      <c r="F2508" s="11" t="n">
        <v>0</v>
      </c>
      <c r="G2508" s="11">
        <f>E2508-F2508</f>
        <v/>
      </c>
      <c r="H2508" s="11" t="n">
        <v>0</v>
      </c>
      <c r="I2508" s="11" t="n">
        <v>0</v>
      </c>
      <c r="J2508" s="11" t="n">
        <v>0</v>
      </c>
      <c r="K2508" s="4" t="inlineStr">
        <is>
          <t>Stundensätze eingeben</t>
        </is>
      </c>
    </row>
    <row r="2509">
      <c r="A2509" s="4" t="inlineStr">
        <is>
          <t>6079 Kaiser-Friedrich-Ring-75-Wiesbaden-Landeshaus-HMWEVW</t>
        </is>
      </c>
      <c r="B2509" s="4" t="inlineStr">
        <is>
          <t>● 2000-Vorplanung</t>
        </is>
      </c>
      <c r="C2509" s="9" t="inlineStr">
        <is>
          <t>Unbekannt</t>
        </is>
      </c>
      <c r="D2509" s="10" t="inlineStr">
        <is>
          <t>⚠ Manual erforderlich</t>
        </is>
      </c>
      <c r="E2509" s="11" t="inlineStr"/>
      <c r="F2509" s="11" t="n">
        <v>0</v>
      </c>
      <c r="G2509" s="11">
        <f>E2509-F2509</f>
        <v/>
      </c>
      <c r="H2509" s="11" t="n">
        <v/>
      </c>
      <c r="I2509" s="11" t="n">
        <v/>
      </c>
      <c r="J2509" s="11" t="n">
        <v/>
      </c>
      <c r="K2509" s="4" t="inlineStr">
        <is>
          <t>Abrechnungsart wählen; Stundensätze eingeben</t>
        </is>
      </c>
    </row>
    <row r="2510">
      <c r="A2510" s="4" t="inlineStr">
        <is>
          <t>6079.01 BSK-Kaiser-Friedrich-Ring-75-Wiesbaden-Landeshaus-HMWEVW</t>
        </is>
      </c>
      <c r="B2510" s="4" t="inlineStr">
        <is>
          <t>● (p) Pos.1  Fortschr. Brandschutzkonzeptes Kantinenbereich im EG- und Sockelgeschoss</t>
        </is>
      </c>
      <c r="C2510" s="4" t="inlineStr">
        <is>
          <t>Pauschale</t>
        </is>
      </c>
      <c r="D2510" s="10" t="inlineStr">
        <is>
          <t>⚠ Manual erforderlich</t>
        </is>
      </c>
      <c r="E2510" s="11" t="inlineStr"/>
      <c r="F2510" s="11" t="n">
        <v>0</v>
      </c>
      <c r="G2510" s="11">
        <f>E2510-F2510</f>
        <v/>
      </c>
      <c r="H2510" s="11" t="n">
        <v>0</v>
      </c>
      <c r="I2510" s="11" t="n">
        <v>0</v>
      </c>
      <c r="J2510" s="11" t="n">
        <v>0</v>
      </c>
      <c r="K2510" s="4" t="inlineStr">
        <is>
          <t>Stundensätze eingeben</t>
        </is>
      </c>
    </row>
    <row r="2511">
      <c r="A2511" s="4" t="inlineStr">
        <is>
          <t>6079.01 BSK-Kaiser-Friedrich-Ring-75-Wiesbaden-Landeshaus-HMWEVW</t>
        </is>
      </c>
      <c r="B2511" s="4" t="inlineStr">
        <is>
          <t>● (a.N.) Pos.2 brandschutztechn. Beratung</t>
        </is>
      </c>
      <c r="C2511" s="4" t="inlineStr">
        <is>
          <t>Nachweis</t>
        </is>
      </c>
      <c r="D2511" s="10" t="inlineStr">
        <is>
          <t>⚠ Manual erforderlich</t>
        </is>
      </c>
      <c r="E2511" s="11" t="inlineStr"/>
      <c r="F2511" s="11" t="n">
        <v>0</v>
      </c>
      <c r="G2511" s="11">
        <f>E2511-F2511</f>
        <v/>
      </c>
      <c r="H2511" s="11" t="n">
        <v/>
      </c>
      <c r="I2511" s="11" t="n">
        <v/>
      </c>
      <c r="J2511" s="11" t="n">
        <v/>
      </c>
      <c r="K2511" s="4" t="inlineStr">
        <is>
          <t>Stundensätze eingeben</t>
        </is>
      </c>
    </row>
    <row r="2512">
      <c r="A2512" s="4" t="inlineStr">
        <is>
          <t>6079.01 BSK-Kaiser-Friedrich-Ring-75-Wiesbaden-Landeshaus-HMWEVW</t>
        </is>
      </c>
      <c r="B2512" s="4" t="inlineStr">
        <is>
          <t>● (p) Pos.1 Ergänzung BSK zum Umbau der Tankanlage NEA im Sockelgeschoss</t>
        </is>
      </c>
      <c r="C2512" s="4" t="inlineStr">
        <is>
          <t>Pauschale</t>
        </is>
      </c>
      <c r="D2512" s="10" t="inlineStr">
        <is>
          <t>⚠ Manual erforderlich</t>
        </is>
      </c>
      <c r="E2512" s="11" t="inlineStr"/>
      <c r="F2512" s="11" t="n">
        <v>0</v>
      </c>
      <c r="G2512" s="11">
        <f>E2512-F2512</f>
        <v/>
      </c>
      <c r="H2512" s="11" t="n">
        <v>0</v>
      </c>
      <c r="I2512" s="11" t="n">
        <v>0</v>
      </c>
      <c r="J2512" s="11" t="n">
        <v>0</v>
      </c>
      <c r="K2512" s="4" t="inlineStr">
        <is>
          <t>Stundensätze eingeben</t>
        </is>
      </c>
    </row>
    <row r="2513">
      <c r="A2513" s="4" t="inlineStr">
        <is>
          <t>6082.03 GGH-BTB-MTV-A1-Römerstraße-Heidelberg</t>
        </is>
      </c>
      <c r="B2513" s="4" t="inlineStr">
        <is>
          <t>● (aN) Pos. 1 BTB</t>
        </is>
      </c>
      <c r="C2513" s="4" t="inlineStr">
        <is>
          <t>Nachweis</t>
        </is>
      </c>
      <c r="D2513" s="10" t="inlineStr">
        <is>
          <t>⚠ Manual erforderlich</t>
        </is>
      </c>
      <c r="E2513" s="11" t="inlineStr"/>
      <c r="F2513" s="11" t="n">
        <v>0</v>
      </c>
      <c r="G2513" s="11">
        <f>E2513-F2513</f>
        <v/>
      </c>
      <c r="H2513" s="11" t="n">
        <v/>
      </c>
      <c r="I2513" s="11" t="n">
        <v/>
      </c>
      <c r="J2513" s="11" t="n">
        <v/>
      </c>
      <c r="K2513" s="4" t="inlineStr">
        <is>
          <t>Stundensätze eingeben</t>
        </is>
      </c>
    </row>
    <row r="2514">
      <c r="A2514" s="4" t="inlineStr">
        <is>
          <t>6096 Bundespolizei-Bamberg-6AFZBPOL-allg-Aussagen</t>
        </is>
      </c>
      <c r="B2514" s="4" t="inlineStr">
        <is>
          <t>● Brandschutztechn. Stellungnahme (pauschal)</t>
        </is>
      </c>
      <c r="C2514" s="9" t="inlineStr">
        <is>
          <t>Unbekannt</t>
        </is>
      </c>
      <c r="D2514" s="10" t="inlineStr">
        <is>
          <t>⚠ Manual erforderlich</t>
        </is>
      </c>
      <c r="E2514" s="11" t="inlineStr"/>
      <c r="F2514" s="11" t="n">
        <v>0</v>
      </c>
      <c r="G2514" s="11">
        <f>E2514-F2514</f>
        <v/>
      </c>
      <c r="H2514" s="11" t="n">
        <v/>
      </c>
      <c r="I2514" s="11" t="n">
        <v/>
      </c>
      <c r="J2514" s="11" t="n">
        <v/>
      </c>
      <c r="K2514" s="4" t="inlineStr">
        <is>
          <t>Abrechnungsart wählen; Stundensätze eingeben</t>
        </is>
      </c>
    </row>
    <row r="2515">
      <c r="A2515" s="4" t="inlineStr">
        <is>
          <t>6096.02 Bundespolizei-Bamberg-6AFZBPOL-Geb7339</t>
        </is>
      </c>
      <c r="B2515" s="4" t="inlineStr">
        <is>
          <t>● BSK Geb. 7339 (pauschal)</t>
        </is>
      </c>
      <c r="C2515" s="9" t="inlineStr">
        <is>
          <t>Unbekannt</t>
        </is>
      </c>
      <c r="D2515" s="10" t="inlineStr">
        <is>
          <t>⚠ Manual erforderlich</t>
        </is>
      </c>
      <c r="E2515" s="11" t="inlineStr"/>
      <c r="F2515" s="11" t="n">
        <v>0</v>
      </c>
      <c r="G2515" s="11">
        <f>E2515-F2515</f>
        <v/>
      </c>
      <c r="H2515" s="11" t="n">
        <v/>
      </c>
      <c r="I2515" s="11" t="n">
        <v/>
      </c>
      <c r="J2515" s="11" t="n">
        <v/>
      </c>
      <c r="K2515" s="4" t="inlineStr">
        <is>
          <t>Abrechnungsart wählen; Stundensätze eingeben</t>
        </is>
      </c>
    </row>
    <row r="2516">
      <c r="A2516" s="4" t="inlineStr">
        <is>
          <t>6096.02 Bundespolizei-Bamberg-6AFZBPOL-Geb7339</t>
        </is>
      </c>
      <c r="B2516" s="4" t="inlineStr">
        <is>
          <t>● Feuerwehrpläne (pauschal)</t>
        </is>
      </c>
      <c r="C2516" s="9" t="inlineStr">
        <is>
          <t>Unbekannt</t>
        </is>
      </c>
      <c r="D2516" s="10" t="inlineStr">
        <is>
          <t>⚠ Manual erforderlich</t>
        </is>
      </c>
      <c r="E2516" s="11" t="inlineStr"/>
      <c r="F2516" s="11" t="n">
        <v>0</v>
      </c>
      <c r="G2516" s="11">
        <f>E2516-F2516</f>
        <v/>
      </c>
      <c r="H2516" s="11" t="n">
        <v/>
      </c>
      <c r="I2516" s="11" t="n">
        <v/>
      </c>
      <c r="J2516" s="11" t="n">
        <v/>
      </c>
      <c r="K2516" s="4" t="inlineStr">
        <is>
          <t>Abrechnungsart wählen; Stundensätze eingeben</t>
        </is>
      </c>
    </row>
    <row r="2517">
      <c r="A2517" s="4" t="inlineStr">
        <is>
          <t>6096.03 Bundespolizei-Bamberg-6AFZBPOL-Geb7643</t>
        </is>
      </c>
      <c r="B2517" s="4" t="inlineStr">
        <is>
          <t>● BSK Geb. 7643 (pauschal)</t>
        </is>
      </c>
      <c r="C2517" s="9" t="inlineStr">
        <is>
          <t>Unbekannt</t>
        </is>
      </c>
      <c r="D2517" s="10" t="inlineStr">
        <is>
          <t>⚠ Manual erforderlich</t>
        </is>
      </c>
      <c r="E2517" s="11" t="inlineStr"/>
      <c r="F2517" s="11" t="n">
        <v>0</v>
      </c>
      <c r="G2517" s="11">
        <f>E2517-F2517</f>
        <v/>
      </c>
      <c r="H2517" s="11" t="n">
        <v/>
      </c>
      <c r="I2517" s="11" t="n">
        <v/>
      </c>
      <c r="J2517" s="11" t="n">
        <v/>
      </c>
      <c r="K2517" s="4" t="inlineStr">
        <is>
          <t>Abrechnungsart wählen; Stundensätze eingeben</t>
        </is>
      </c>
    </row>
    <row r="2518">
      <c r="A2518" s="4" t="inlineStr">
        <is>
          <t>6096.03 Bundespolizei-Bamberg-6AFZBPOL-Geb7643</t>
        </is>
      </c>
      <c r="B2518" s="4" t="inlineStr">
        <is>
          <t>● Feuerwehrpläne (pauschal)</t>
        </is>
      </c>
      <c r="C2518" s="9" t="inlineStr">
        <is>
          <t>Unbekannt</t>
        </is>
      </c>
      <c r="D2518" s="10" t="inlineStr">
        <is>
          <t>⚠ Manual erforderlich</t>
        </is>
      </c>
      <c r="E2518" s="11" t="inlineStr"/>
      <c r="F2518" s="11" t="n">
        <v>0</v>
      </c>
      <c r="G2518" s="11">
        <f>E2518-F2518</f>
        <v/>
      </c>
      <c r="H2518" s="11" t="n">
        <v/>
      </c>
      <c r="I2518" s="11" t="n">
        <v/>
      </c>
      <c r="J2518" s="11" t="n">
        <v/>
      </c>
      <c r="K2518" s="4" t="inlineStr">
        <is>
          <t>Abrechnungsart wählen; Stundensätze eingeben</t>
        </is>
      </c>
    </row>
    <row r="2519">
      <c r="A2519" s="4" t="inlineStr">
        <is>
          <t>6096.07 Bundespolizei-Bamberg-6AFZBPOL-Geb7732</t>
        </is>
      </c>
      <c r="B2519" s="4" t="inlineStr">
        <is>
          <t>● BSK Geb. 7732 (pauschal)</t>
        </is>
      </c>
      <c r="C2519" s="9" t="inlineStr">
        <is>
          <t>Unbekannt</t>
        </is>
      </c>
      <c r="D2519" s="10" t="inlineStr">
        <is>
          <t>⚠ Manual erforderlich</t>
        </is>
      </c>
      <c r="E2519" s="11" t="inlineStr"/>
      <c r="F2519" s="11" t="n">
        <v>0</v>
      </c>
      <c r="G2519" s="11">
        <f>E2519-F2519</f>
        <v/>
      </c>
      <c r="H2519" s="11" t="n">
        <v/>
      </c>
      <c r="I2519" s="11" t="n">
        <v/>
      </c>
      <c r="J2519" s="11" t="n">
        <v/>
      </c>
      <c r="K2519" s="4" t="inlineStr">
        <is>
          <t>Abrechnungsart wählen; Stundensätze eingeben</t>
        </is>
      </c>
    </row>
    <row r="2520">
      <c r="A2520" s="4" t="inlineStr">
        <is>
          <t>6096.07 Bundespolizei-Bamberg-6AFZBPOL-Geb7732</t>
        </is>
      </c>
      <c r="B2520" s="4" t="inlineStr">
        <is>
          <t>● Feuerwehrpläne (pauschal)</t>
        </is>
      </c>
      <c r="C2520" s="9" t="inlineStr">
        <is>
          <t>Unbekannt</t>
        </is>
      </c>
      <c r="D2520" s="10" t="inlineStr">
        <is>
          <t>⚠ Manual erforderlich</t>
        </is>
      </c>
      <c r="E2520" s="11" t="inlineStr"/>
      <c r="F2520" s="11" t="n">
        <v>0</v>
      </c>
      <c r="G2520" s="11">
        <f>E2520-F2520</f>
        <v/>
      </c>
      <c r="H2520" s="11" t="n">
        <v/>
      </c>
      <c r="I2520" s="11" t="n">
        <v/>
      </c>
      <c r="J2520" s="11" t="n">
        <v/>
      </c>
      <c r="K2520" s="4" t="inlineStr">
        <is>
          <t>Abrechnungsart wählen; Stundensätze eingeben</t>
        </is>
      </c>
    </row>
    <row r="2521">
      <c r="A2521" s="4" t="inlineStr">
        <is>
          <t>6096.08 Bundespolizei-Bamberg-6AFZBPOL-Geb7029</t>
        </is>
      </c>
      <c r="B2521" s="4" t="inlineStr">
        <is>
          <t>● Feuerwehrpläne (pauschal)</t>
        </is>
      </c>
      <c r="C2521" s="9" t="inlineStr">
        <is>
          <t>Unbekannt</t>
        </is>
      </c>
      <c r="D2521" s="10" t="inlineStr">
        <is>
          <t>⚠ Manual erforderlich</t>
        </is>
      </c>
      <c r="E2521" s="11" t="inlineStr"/>
      <c r="F2521" s="11" t="n">
        <v>0</v>
      </c>
      <c r="G2521" s="11">
        <f>E2521-F2521</f>
        <v/>
      </c>
      <c r="H2521" s="11" t="n">
        <v/>
      </c>
      <c r="I2521" s="11" t="n">
        <v/>
      </c>
      <c r="J2521" s="11" t="n">
        <v/>
      </c>
      <c r="K2521" s="4" t="inlineStr">
        <is>
          <t>Abrechnungsart wählen; Stundensätze eingeben</t>
        </is>
      </c>
    </row>
    <row r="2522">
      <c r="A2522" s="4" t="inlineStr">
        <is>
          <t>6096.10 NAT-001-6AFZBPOL-divGeb-BTB-Bundespolizei-Bamberg</t>
        </is>
      </c>
      <c r="B2522" s="4" t="inlineStr">
        <is>
          <t>● (a.N.) BTB</t>
        </is>
      </c>
      <c r="C2522" s="4" t="inlineStr">
        <is>
          <t>Nachweis</t>
        </is>
      </c>
      <c r="D2522" s="10" t="inlineStr">
        <is>
          <t>⚠ Manual erforderlich</t>
        </is>
      </c>
      <c r="E2522" s="11" t="inlineStr"/>
      <c r="F2522" s="11" t="n">
        <v>0</v>
      </c>
      <c r="G2522" s="11">
        <f>E2522-F2522</f>
        <v/>
      </c>
      <c r="H2522" s="11" t="n">
        <v/>
      </c>
      <c r="I2522" s="11" t="n">
        <v/>
      </c>
      <c r="J2522" s="11" t="n">
        <v/>
      </c>
      <c r="K2522" s="4" t="inlineStr">
        <is>
          <t>Stundensätze eingeben</t>
        </is>
      </c>
    </row>
    <row r="2523">
      <c r="A2523" s="4" t="inlineStr">
        <is>
          <t>6096.11 NAT-zu-6096.03,04,06-6AFZBPOL-divGeb-BTB-Bundespolizei-Bamberg</t>
        </is>
      </c>
      <c r="B2523" s="4" t="inlineStr">
        <is>
          <t>● (p) Pos. 1 Tektur Brandschutznachweis Sportzentrum – Gebäude 7680</t>
        </is>
      </c>
      <c r="C2523" s="4" t="inlineStr">
        <is>
          <t>Pauschale</t>
        </is>
      </c>
      <c r="D2523" s="10" t="inlineStr">
        <is>
          <t>⚠ Manual erforderlich</t>
        </is>
      </c>
      <c r="E2523" s="11" t="inlineStr"/>
      <c r="F2523" s="11" t="n">
        <v>0</v>
      </c>
      <c r="G2523" s="11">
        <f>E2523-F2523</f>
        <v/>
      </c>
      <c r="H2523" s="11" t="n">
        <v>0</v>
      </c>
      <c r="I2523" s="11" t="n">
        <v>0</v>
      </c>
      <c r="J2523" s="11" t="n">
        <v>0</v>
      </c>
      <c r="K2523" s="4" t="inlineStr">
        <is>
          <t>Stundensätze eingeben</t>
        </is>
      </c>
    </row>
    <row r="2524">
      <c r="A2524" s="4" t="inlineStr">
        <is>
          <t>6096.11 NAT-zu-6096.03,04,06-6AFZBPOL-divGeb-BTB-Bundespolizei-Bamberg</t>
        </is>
      </c>
      <c r="B2524" s="4" t="inlineStr">
        <is>
          <t>● (p/Stk) Pos. 2 Erstellung von Flucht- und Rettungsplänen für Sonderbauten</t>
        </is>
      </c>
      <c r="C2524" s="9" t="inlineStr">
        <is>
          <t>Unbekannt</t>
        </is>
      </c>
      <c r="D2524" s="10" t="inlineStr">
        <is>
          <t>⚠ Manual erforderlich</t>
        </is>
      </c>
      <c r="E2524" s="11" t="inlineStr"/>
      <c r="F2524" s="11" t="n">
        <v>0</v>
      </c>
      <c r="G2524" s="11">
        <f>E2524-F2524</f>
        <v/>
      </c>
      <c r="H2524" s="11" t="n">
        <v/>
      </c>
      <c r="I2524" s="11" t="n">
        <v/>
      </c>
      <c r="J2524" s="11" t="n">
        <v/>
      </c>
      <c r="K2524" s="4" t="inlineStr">
        <is>
          <t>Abrechnungsart wählen; Stundensätze eingeben</t>
        </is>
      </c>
    </row>
    <row r="2525">
      <c r="A2525" s="4" t="inlineStr">
        <is>
          <t>6096.11 NAT-zu-6096.03,04,06-6AFZBPOL-divGeb-BTB-Bundespolizei-Bamberg</t>
        </is>
      </c>
      <c r="B2525" s="4" t="inlineStr">
        <is>
          <t>● (p/Stk) Pos. 3 Teilnahme an Planungsbesprechungen</t>
        </is>
      </c>
      <c r="C2525" s="9" t="inlineStr">
        <is>
          <t>Unbekannt</t>
        </is>
      </c>
      <c r="D2525" s="10" t="inlineStr">
        <is>
          <t>⚠ Manual erforderlich</t>
        </is>
      </c>
      <c r="E2525" s="11" t="inlineStr"/>
      <c r="F2525" s="11" t="n">
        <v>0</v>
      </c>
      <c r="G2525" s="11">
        <f>E2525-F2525</f>
        <v/>
      </c>
      <c r="H2525" s="11" t="n">
        <v/>
      </c>
      <c r="I2525" s="11" t="n">
        <v/>
      </c>
      <c r="J2525" s="11" t="n">
        <v/>
      </c>
      <c r="K2525" s="4" t="inlineStr">
        <is>
          <t>Abrechnungsart wählen; Stundensätze eingeben</t>
        </is>
      </c>
    </row>
    <row r="2526">
      <c r="A2526" s="4" t="inlineStr">
        <is>
          <t>6096.11 NAT-zu-6096.03,04,06-6AFZBPOL-divGeb-BTB-Bundespolizei-Bamberg</t>
        </is>
      </c>
      <c r="B2526" s="4" t="inlineStr">
        <is>
          <t>● (p/Stk) Pos. 4 Ortstermin Fachkraft Feuerwehr, Flucht- und Rettungspläne</t>
        </is>
      </c>
      <c r="C2526" s="9" t="inlineStr">
        <is>
          <t>Unbekannt</t>
        </is>
      </c>
      <c r="D2526" s="10" t="inlineStr">
        <is>
          <t>⚠ Manual erforderlich</t>
        </is>
      </c>
      <c r="E2526" s="11" t="inlineStr"/>
      <c r="F2526" s="11" t="n">
        <v>0</v>
      </c>
      <c r="G2526" s="11">
        <f>E2526-F2526</f>
        <v/>
      </c>
      <c r="H2526" s="11" t="n">
        <v/>
      </c>
      <c r="I2526" s="11" t="n">
        <v/>
      </c>
      <c r="J2526" s="11" t="n">
        <v/>
      </c>
      <c r="K2526" s="4" t="inlineStr">
        <is>
          <t>Abrechnungsart wählen; Stundensätze eingeben</t>
        </is>
      </c>
    </row>
    <row r="2527">
      <c r="A2527" s="4" t="inlineStr">
        <is>
          <t>6096.11 NAT-zu-6096.03,04,06-6AFZBPOL-divGeb-BTB-Bundespolizei-Bamberg</t>
        </is>
      </c>
      <c r="B2527" s="4" t="inlineStr">
        <is>
          <t>● (p/Stk) Pos. 5 Ortstermin Sachverständiger</t>
        </is>
      </c>
      <c r="C2527" s="9" t="inlineStr">
        <is>
          <t>Unbekannt</t>
        </is>
      </c>
      <c r="D2527" s="10" t="inlineStr">
        <is>
          <t>⚠ Manual erforderlich</t>
        </is>
      </c>
      <c r="E2527" s="11" t="inlineStr"/>
      <c r="F2527" s="11" t="n">
        <v>0</v>
      </c>
      <c r="G2527" s="11">
        <f>E2527-F2527</f>
        <v/>
      </c>
      <c r="H2527" s="11" t="n">
        <v/>
      </c>
      <c r="I2527" s="11" t="n">
        <v/>
      </c>
      <c r="J2527" s="11" t="n">
        <v/>
      </c>
      <c r="K2527" s="4" t="inlineStr">
        <is>
          <t>Abrechnungsart wählen; Stundensätze eingeben</t>
        </is>
      </c>
    </row>
    <row r="2528">
      <c r="A2528" s="4" t="inlineStr">
        <is>
          <t>6096.11 NAT-zu-6096.03,04,06-6AFZBPOL-divGeb-BTB-Bundespolizei-Bamberg</t>
        </is>
      </c>
      <c r="B2528" s="4" t="inlineStr">
        <is>
          <t>● (aN) Pos. 6 Zusätzliche Beratungsleistungen</t>
        </is>
      </c>
      <c r="C2528" s="4" t="inlineStr">
        <is>
          <t>Nachweis</t>
        </is>
      </c>
      <c r="D2528" s="10" t="inlineStr">
        <is>
          <t>⚠ Manual erforderlich</t>
        </is>
      </c>
      <c r="E2528" s="11" t="inlineStr"/>
      <c r="F2528" s="11" t="n">
        <v>0</v>
      </c>
      <c r="G2528" s="11">
        <f>E2528-F2528</f>
        <v/>
      </c>
      <c r="H2528" s="11" t="n">
        <v/>
      </c>
      <c r="I2528" s="11" t="n">
        <v/>
      </c>
      <c r="J2528" s="11" t="n">
        <v/>
      </c>
      <c r="K2528" s="4" t="inlineStr">
        <is>
          <t>Stundensätze eingeben</t>
        </is>
      </c>
    </row>
    <row r="2529">
      <c r="A2529" s="4" t="inlineStr">
        <is>
          <t>6103.01 TDE-BSK-Geb-M-Schornsteine-Kleyerstr75-87-FFM</t>
        </is>
      </c>
      <c r="B2529" s="4" t="inlineStr">
        <is>
          <t>● (p) Pos. 1 Erstellung einer Ergänzung des Brandschutzkonzeptes</t>
        </is>
      </c>
      <c r="C2529" s="4" t="inlineStr">
        <is>
          <t>Pauschale</t>
        </is>
      </c>
      <c r="D2529" s="10" t="inlineStr">
        <is>
          <t>⚠ Manual erforderlich</t>
        </is>
      </c>
      <c r="E2529" s="11" t="inlineStr"/>
      <c r="F2529" s="11" t="n">
        <v>0</v>
      </c>
      <c r="G2529" s="11">
        <f>E2529-F2529</f>
        <v/>
      </c>
      <c r="H2529" s="11" t="n">
        <v/>
      </c>
      <c r="I2529" s="11" t="n">
        <v/>
      </c>
      <c r="J2529" s="11" t="n">
        <v/>
      </c>
      <c r="K2529" s="4" t="inlineStr">
        <is>
          <t>Stundensätze eingeben</t>
        </is>
      </c>
    </row>
    <row r="2530">
      <c r="A2530" s="4" t="inlineStr">
        <is>
          <t>6106.01 KreisBergstrasse-AHO-NB-LGL-Lessinggymnasium-Biedensandstr55-Lampertheim</t>
        </is>
      </c>
      <c r="B2530" s="4" t="inlineStr">
        <is>
          <t>● Pos. 1 LPH 1 Grundlagenermittlung</t>
        </is>
      </c>
      <c r="C2530" s="9" t="inlineStr">
        <is>
          <t>Unbekannt</t>
        </is>
      </c>
      <c r="D2530" s="10" t="inlineStr">
        <is>
          <t>⚠ Manual erforderlich</t>
        </is>
      </c>
      <c r="E2530" s="11" t="inlineStr"/>
      <c r="F2530" s="11" t="n">
        <v>0</v>
      </c>
      <c r="G2530" s="11">
        <f>E2530-F2530</f>
        <v/>
      </c>
      <c r="H2530" s="11" t="n">
        <v/>
      </c>
      <c r="I2530" s="11" t="n">
        <v/>
      </c>
      <c r="J2530" s="11" t="n">
        <v/>
      </c>
      <c r="K2530" s="4" t="inlineStr">
        <is>
          <t>Abrechnungsart wählen; Stundensätze eingeben</t>
        </is>
      </c>
    </row>
    <row r="2531">
      <c r="A2531" s="4" t="inlineStr">
        <is>
          <t>6106.01 KreisBergstrasse-AHO-NB-LGL-Lessinggymnasium-Biedensandstr55-Lampertheim</t>
        </is>
      </c>
      <c r="B2531" s="4" t="inlineStr">
        <is>
          <t>● Pos. 2 LPH 2 Vorplanung</t>
        </is>
      </c>
      <c r="C2531" s="9" t="inlineStr">
        <is>
          <t>Unbekannt</t>
        </is>
      </c>
      <c r="D2531" s="10" t="inlineStr">
        <is>
          <t>⚠ Manual erforderlich</t>
        </is>
      </c>
      <c r="E2531" s="11" t="inlineStr"/>
      <c r="F2531" s="11" t="n">
        <v>0</v>
      </c>
      <c r="G2531" s="11">
        <f>E2531-F2531</f>
        <v/>
      </c>
      <c r="H2531" s="11" t="n">
        <v/>
      </c>
      <c r="I2531" s="11" t="n">
        <v/>
      </c>
      <c r="J2531" s="11" t="n">
        <v/>
      </c>
      <c r="K2531" s="4" t="inlineStr">
        <is>
          <t>Abrechnungsart wählen; Stundensätze eingeben</t>
        </is>
      </c>
    </row>
    <row r="2532">
      <c r="A2532" s="4" t="inlineStr">
        <is>
          <t>6106.01 KreisBergstrasse-AHO-NB-LGL-Lessinggymnasium-Biedensandstr55-Lampertheim</t>
        </is>
      </c>
      <c r="B2532" s="4" t="inlineStr">
        <is>
          <t>● Pos. 3 LPH 3 Entwurfsplanung</t>
        </is>
      </c>
      <c r="C2532" s="9" t="inlineStr">
        <is>
          <t>Unbekannt</t>
        </is>
      </c>
      <c r="D2532" s="10" t="inlineStr">
        <is>
          <t>⚠ Manual erforderlich</t>
        </is>
      </c>
      <c r="E2532" s="11" t="inlineStr"/>
      <c r="F2532" s="11" t="n">
        <v>0</v>
      </c>
      <c r="G2532" s="11">
        <f>E2532-F2532</f>
        <v/>
      </c>
      <c r="H2532" s="11" t="n">
        <v/>
      </c>
      <c r="I2532" s="11" t="n">
        <v/>
      </c>
      <c r="J2532" s="11" t="n">
        <v/>
      </c>
      <c r="K2532" s="4" t="inlineStr">
        <is>
          <t>Abrechnungsart wählen; Stundensätze eingeben</t>
        </is>
      </c>
    </row>
    <row r="2533">
      <c r="A2533" s="4" t="inlineStr">
        <is>
          <t>6106.01 KreisBergstrasse-AHO-NB-LGL-Lessinggymnasium-Biedensandstr55-Lampertheim</t>
        </is>
      </c>
      <c r="B2533" s="4" t="inlineStr">
        <is>
          <t>● Pos. 4 LPH 4 Genehmigungsplanung</t>
        </is>
      </c>
      <c r="C2533" s="9" t="inlineStr">
        <is>
          <t>Unbekannt</t>
        </is>
      </c>
      <c r="D2533" s="10" t="inlineStr">
        <is>
          <t>⚠ Manual erforderlich</t>
        </is>
      </c>
      <c r="E2533" s="11" t="inlineStr"/>
      <c r="F2533" s="11" t="n">
        <v>0</v>
      </c>
      <c r="G2533" s="11">
        <f>E2533-F2533</f>
        <v/>
      </c>
      <c r="H2533" s="11" t="n">
        <v/>
      </c>
      <c r="I2533" s="11" t="n">
        <v/>
      </c>
      <c r="J2533" s="11" t="n">
        <v/>
      </c>
      <c r="K2533" s="4" t="inlineStr">
        <is>
          <t>Abrechnungsart wählen; Stundensätze eingeben</t>
        </is>
      </c>
    </row>
    <row r="2534">
      <c r="A2534" s="4" t="inlineStr">
        <is>
          <t>6106.01 KreisBergstrasse-AHO-NB-LGL-Lessinggymnasium-Biedensandstr55-Lampertheim</t>
        </is>
      </c>
      <c r="B2534" s="4" t="inlineStr">
        <is>
          <t>● Pos. 5 LPH 5 Ausführungsplanung</t>
        </is>
      </c>
      <c r="C2534" s="9" t="inlineStr">
        <is>
          <t>Unbekannt</t>
        </is>
      </c>
      <c r="D2534" s="10" t="inlineStr">
        <is>
          <t>⚠ Manual erforderlich</t>
        </is>
      </c>
      <c r="E2534" s="11" t="inlineStr"/>
      <c r="F2534" s="11" t="n">
        <v>0</v>
      </c>
      <c r="G2534" s="11">
        <f>E2534-F2534</f>
        <v/>
      </c>
      <c r="H2534" s="11" t="n">
        <v/>
      </c>
      <c r="I2534" s="11" t="n">
        <v/>
      </c>
      <c r="J2534" s="11" t="n">
        <v/>
      </c>
      <c r="K2534" s="4" t="inlineStr">
        <is>
          <t>Abrechnungsart wählen; Stundensätze eingeben</t>
        </is>
      </c>
    </row>
    <row r="2535">
      <c r="A2535" s="4" t="inlineStr">
        <is>
          <t>6106.01 KreisBergstrasse-AHO-NB-LGL-Lessinggymnasium-Biedensandstr55-Lampertheim</t>
        </is>
      </c>
      <c r="B2535" s="4" t="inlineStr">
        <is>
          <t>● Pos. 6 LPH 6 Vorbereitung der Vergabe</t>
        </is>
      </c>
      <c r="C2535" s="9" t="inlineStr">
        <is>
          <t>Unbekannt</t>
        </is>
      </c>
      <c r="D2535" s="10" t="inlineStr">
        <is>
          <t>⚠ Manual erforderlich</t>
        </is>
      </c>
      <c r="E2535" s="11" t="inlineStr"/>
      <c r="F2535" s="11" t="n">
        <v>0</v>
      </c>
      <c r="G2535" s="11">
        <f>E2535-F2535</f>
        <v/>
      </c>
      <c r="H2535" s="11" t="n">
        <v/>
      </c>
      <c r="I2535" s="11" t="n">
        <v/>
      </c>
      <c r="J2535" s="11" t="n">
        <v/>
      </c>
      <c r="K2535" s="4" t="inlineStr">
        <is>
          <t>Abrechnungsart wählen; Stundensätze eingeben</t>
        </is>
      </c>
    </row>
    <row r="2536">
      <c r="A2536" s="4" t="inlineStr">
        <is>
          <t>6106.01 KreisBergstrasse-AHO-NB-LGL-Lessinggymnasium-Biedensandstr55-Lampertheim</t>
        </is>
      </c>
      <c r="B2536" s="4" t="inlineStr">
        <is>
          <t>● Pos. 7 LPH 7 Vergabe</t>
        </is>
      </c>
      <c r="C2536" s="9" t="inlineStr">
        <is>
          <t>Unbekannt</t>
        </is>
      </c>
      <c r="D2536" s="10" t="inlineStr">
        <is>
          <t>⚠ Manual erforderlich</t>
        </is>
      </c>
      <c r="E2536" s="11" t="inlineStr"/>
      <c r="F2536" s="11" t="n">
        <v>0</v>
      </c>
      <c r="G2536" s="11">
        <f>E2536-F2536</f>
        <v/>
      </c>
      <c r="H2536" s="11" t="n">
        <v/>
      </c>
      <c r="I2536" s="11" t="n">
        <v/>
      </c>
      <c r="J2536" s="11" t="n">
        <v/>
      </c>
      <c r="K2536" s="4" t="inlineStr">
        <is>
          <t>Abrechnungsart wählen; Stundensätze eingeben</t>
        </is>
      </c>
    </row>
    <row r="2537">
      <c r="A2537" s="4" t="inlineStr">
        <is>
          <t>6106.01 KreisBergstrasse-AHO-NB-LGL-Lessinggymnasium-Biedensandstr55-Lampertheim</t>
        </is>
      </c>
      <c r="B2537" s="4" t="inlineStr">
        <is>
          <t>● (p) LP 8</t>
        </is>
      </c>
      <c r="C2537" s="4" t="inlineStr">
        <is>
          <t>Pauschale</t>
        </is>
      </c>
      <c r="D2537" s="10" t="inlineStr">
        <is>
          <t>⚠ Manual erforderlich</t>
        </is>
      </c>
      <c r="E2537" s="11" t="inlineStr"/>
      <c r="F2537" s="11" t="n">
        <v>0</v>
      </c>
      <c r="G2537" s="11">
        <f>E2537-F2537</f>
        <v/>
      </c>
      <c r="H2537" s="11" t="n">
        <v/>
      </c>
      <c r="I2537" s="11" t="n">
        <v/>
      </c>
      <c r="J2537" s="11" t="n">
        <v/>
      </c>
      <c r="K2537" s="4" t="inlineStr">
        <is>
          <t>Stundensätze eingeben</t>
        </is>
      </c>
    </row>
    <row r="2538">
      <c r="A2538" s="4" t="inlineStr">
        <is>
          <t>6106.01 KreisBergstrasse-AHO-NB-LGL-Lessinggymnasium-Biedensandstr55-Lampertheim</t>
        </is>
      </c>
      <c r="B2538" s="4" t="inlineStr">
        <is>
          <t>● außergewöhnliche Leistungen</t>
        </is>
      </c>
      <c r="C2538" s="9" t="inlineStr">
        <is>
          <t>Unbekannt</t>
        </is>
      </c>
      <c r="D2538" s="10" t="inlineStr">
        <is>
          <t>⚠ Manual erforderlich</t>
        </is>
      </c>
      <c r="E2538" s="11" t="inlineStr"/>
      <c r="F2538" s="11" t="n">
        <v>0</v>
      </c>
      <c r="G2538" s="11">
        <f>E2538-F2538</f>
        <v/>
      </c>
      <c r="H2538" s="11" t="n">
        <v/>
      </c>
      <c r="I2538" s="11" t="n">
        <v/>
      </c>
      <c r="J2538" s="11" t="n">
        <v/>
      </c>
      <c r="K2538" s="4" t="inlineStr">
        <is>
          <t>Abrechnungsart wählen; Stundensätze eingeben</t>
        </is>
      </c>
    </row>
    <row r="2539">
      <c r="A2539" s="4" t="inlineStr">
        <is>
          <t>6108.01 Heraeusstraße-Hanau-Geb630</t>
        </is>
      </c>
      <c r="B2539" s="4" t="inlineStr">
        <is>
          <t>● SV Beratung Geb. 630 (auf Nachweis)</t>
        </is>
      </c>
      <c r="C2539" s="9" t="inlineStr">
        <is>
          <t>Unbekannt</t>
        </is>
      </c>
      <c r="D2539" s="10" t="inlineStr">
        <is>
          <t>⚠ Manual erforderlich</t>
        </is>
      </c>
      <c r="E2539" s="11" t="inlineStr"/>
      <c r="F2539" s="11" t="n">
        <v>0</v>
      </c>
      <c r="G2539" s="11">
        <f>E2539-F2539</f>
        <v/>
      </c>
      <c r="H2539" s="11" t="n">
        <v/>
      </c>
      <c r="I2539" s="11" t="n">
        <v/>
      </c>
      <c r="J2539" s="11" t="n">
        <v/>
      </c>
      <c r="K2539" s="4" t="inlineStr">
        <is>
          <t>Abrechnungsart wählen; Stundensätze eingeben</t>
        </is>
      </c>
    </row>
    <row r="2540">
      <c r="A2540" s="4" t="inlineStr">
        <is>
          <t>6108.01 Heraeusstraße-Hanau-Geb630</t>
        </is>
      </c>
      <c r="B2540" s="4" t="inlineStr">
        <is>
          <t>●  PL Beratung Geb. 630 (auf Nachweis)</t>
        </is>
      </c>
      <c r="C2540" s="9" t="inlineStr">
        <is>
          <t>Unbekannt</t>
        </is>
      </c>
      <c r="D2540" s="10" t="inlineStr">
        <is>
          <t>⚠ Manual erforderlich</t>
        </is>
      </c>
      <c r="E2540" s="11" t="inlineStr"/>
      <c r="F2540" s="11" t="n">
        <v>0</v>
      </c>
      <c r="G2540" s="11">
        <f>E2540-F2540</f>
        <v/>
      </c>
      <c r="H2540" s="11" t="n">
        <v/>
      </c>
      <c r="I2540" s="11" t="n">
        <v/>
      </c>
      <c r="J2540" s="11" t="n">
        <v/>
      </c>
      <c r="K2540" s="4" t="inlineStr">
        <is>
          <t>Abrechnungsart wählen; Stundensätze eingeben</t>
        </is>
      </c>
    </row>
    <row r="2541">
      <c r="A2541" s="4" t="inlineStr">
        <is>
          <t>6111 Ramstein-Air-Base-Geb2356</t>
        </is>
      </c>
      <c r="B2541" s="4" t="inlineStr">
        <is>
          <t>● 1000-Grundlagenermittlung</t>
        </is>
      </c>
      <c r="C2541" s="9" t="inlineStr">
        <is>
          <t>Unbekannt</t>
        </is>
      </c>
      <c r="D2541" s="10" t="inlineStr">
        <is>
          <t>⚠ Manual erforderlich</t>
        </is>
      </c>
      <c r="E2541" s="11" t="inlineStr"/>
      <c r="F2541" s="11" t="n">
        <v>0</v>
      </c>
      <c r="G2541" s="11">
        <f>E2541-F2541</f>
        <v/>
      </c>
      <c r="H2541" s="11" t="n">
        <v/>
      </c>
      <c r="I2541" s="11" t="n">
        <v/>
      </c>
      <c r="J2541" s="11" t="n">
        <v/>
      </c>
      <c r="K2541" s="4" t="inlineStr">
        <is>
          <t>Abrechnungsart wählen; Stundensätze eingeben</t>
        </is>
      </c>
    </row>
    <row r="2542">
      <c r="A2542" s="4" t="inlineStr">
        <is>
          <t>6111 Ramstein-Air-Base-Geb2356</t>
        </is>
      </c>
      <c r="B2542" s="4" t="inlineStr">
        <is>
          <t>● 2000-Vorplanung</t>
        </is>
      </c>
      <c r="C2542" s="9" t="inlineStr">
        <is>
          <t>Unbekannt</t>
        </is>
      </c>
      <c r="D2542" s="10" t="inlineStr">
        <is>
          <t>⚠ Manual erforderlich</t>
        </is>
      </c>
      <c r="E2542" s="11" t="inlineStr"/>
      <c r="F2542" s="11" t="n">
        <v>0</v>
      </c>
      <c r="G2542" s="11">
        <f>E2542-F2542</f>
        <v/>
      </c>
      <c r="H2542" s="11" t="n">
        <v/>
      </c>
      <c r="I2542" s="11" t="n">
        <v/>
      </c>
      <c r="J2542" s="11" t="n">
        <v/>
      </c>
      <c r="K2542" s="4" t="inlineStr">
        <is>
          <t>Abrechnungsart wählen; Stundensätze eingeben</t>
        </is>
      </c>
    </row>
    <row r="2543">
      <c r="A2543" s="4" t="inlineStr">
        <is>
          <t>6111 Ramstein-Air-Base-Geb2356</t>
        </is>
      </c>
      <c r="B2543" s="4" t="inlineStr">
        <is>
          <t>● • (p.) LP3 GL</t>
        </is>
      </c>
      <c r="C2543" s="9" t="inlineStr">
        <is>
          <t>Unbekannt</t>
        </is>
      </c>
      <c r="D2543" s="10" t="inlineStr">
        <is>
          <t>⚠ Manual erforderlich</t>
        </is>
      </c>
      <c r="E2543" s="11" t="inlineStr"/>
      <c r="F2543" s="11" t="n">
        <v>0</v>
      </c>
      <c r="G2543" s="11">
        <f>E2543-F2543</f>
        <v/>
      </c>
      <c r="H2543" s="11" t="n">
        <v/>
      </c>
      <c r="I2543" s="11" t="n">
        <v/>
      </c>
      <c r="J2543" s="11" t="n">
        <v/>
      </c>
      <c r="K2543" s="4" t="inlineStr">
        <is>
          <t>Abrechnungsart wählen; Stundensätze eingeben</t>
        </is>
      </c>
    </row>
    <row r="2544">
      <c r="A2544" s="4" t="inlineStr">
        <is>
          <t>6111 Ramstein-Air-Base-Geb2356</t>
        </is>
      </c>
      <c r="B2544" s="4" t="inlineStr">
        <is>
          <t>● • (p.) LP4 GL</t>
        </is>
      </c>
      <c r="C2544" s="9" t="inlineStr">
        <is>
          <t>Unbekannt</t>
        </is>
      </c>
      <c r="D2544" s="10" t="inlineStr">
        <is>
          <t>⚠ Manual erforderlich</t>
        </is>
      </c>
      <c r="E2544" s="11" t="inlineStr"/>
      <c r="F2544" s="11" t="n">
        <v>0</v>
      </c>
      <c r="G2544" s="11">
        <f>E2544-F2544</f>
        <v/>
      </c>
      <c r="H2544" s="11" t="n">
        <v/>
      </c>
      <c r="I2544" s="11" t="n">
        <v/>
      </c>
      <c r="J2544" s="11" t="n">
        <v/>
      </c>
      <c r="K2544" s="4" t="inlineStr">
        <is>
          <t>Abrechnungsart wählen; Stundensätze eingeben</t>
        </is>
      </c>
    </row>
    <row r="2545">
      <c r="A2545" s="4" t="inlineStr">
        <is>
          <t>6111 Ramstein-Air-Base-Geb2356</t>
        </is>
      </c>
      <c r="B2545" s="4" t="inlineStr">
        <is>
          <t>● • (p.) LP4 BL</t>
        </is>
      </c>
      <c r="C2545" s="9" t="inlineStr">
        <is>
          <t>Unbekannt</t>
        </is>
      </c>
      <c r="D2545" s="10" t="inlineStr">
        <is>
          <t>⚠ Manual erforderlich</t>
        </is>
      </c>
      <c r="E2545" s="11" t="inlineStr"/>
      <c r="F2545" s="11" t="n">
        <v>0</v>
      </c>
      <c r="G2545" s="11">
        <f>E2545-F2545</f>
        <v/>
      </c>
      <c r="H2545" s="11" t="n">
        <v/>
      </c>
      <c r="I2545" s="11" t="n">
        <v/>
      </c>
      <c r="J2545" s="11" t="n">
        <v/>
      </c>
      <c r="K2545" s="4" t="inlineStr">
        <is>
          <t>Abrechnungsart wählen; Stundensätze eingeben</t>
        </is>
      </c>
    </row>
    <row r="2546">
      <c r="A2546" s="4" t="inlineStr">
        <is>
          <t>6111 Ramstein-Air-Base-Geb2356</t>
        </is>
      </c>
      <c r="B2546" s="4" t="inlineStr">
        <is>
          <t>● BAU offen, vorab: LP 5</t>
        </is>
      </c>
      <c r="C2546" s="9" t="inlineStr">
        <is>
          <t>Unbekannt</t>
        </is>
      </c>
      <c r="D2546" s="10" t="inlineStr">
        <is>
          <t>⚠ Manual erforderlich</t>
        </is>
      </c>
      <c r="E2546" s="11" t="inlineStr"/>
      <c r="F2546" s="11" t="n">
        <v>0</v>
      </c>
      <c r="G2546" s="11">
        <f>E2546-F2546</f>
        <v/>
      </c>
      <c r="H2546" s="11" t="n">
        <v/>
      </c>
      <c r="I2546" s="11" t="n">
        <v/>
      </c>
      <c r="J2546" s="11" t="n">
        <v/>
      </c>
      <c r="K2546" s="4" t="inlineStr">
        <is>
          <t>Abrechnungsart wählen; Stundensätze eingeben</t>
        </is>
      </c>
    </row>
    <row r="2547">
      <c r="A2547" s="4" t="inlineStr">
        <is>
          <t>6111.01 US-Vorschriften-Ramstein-Air-Base-Geb2356</t>
        </is>
      </c>
      <c r="B2547" s="4" t="inlineStr">
        <is>
          <t>● 1000-Grundlagenermittlung</t>
        </is>
      </c>
      <c r="C2547" s="9" t="inlineStr">
        <is>
          <t>Unbekannt</t>
        </is>
      </c>
      <c r="D2547" s="10" t="inlineStr">
        <is>
          <t>⚠ Manual erforderlich</t>
        </is>
      </c>
      <c r="E2547" s="11" t="inlineStr"/>
      <c r="F2547" s="11" t="n">
        <v>0</v>
      </c>
      <c r="G2547" s="11">
        <f>E2547-F2547</f>
        <v/>
      </c>
      <c r="H2547" s="11" t="n">
        <v/>
      </c>
      <c r="I2547" s="11" t="n">
        <v/>
      </c>
      <c r="J2547" s="11" t="n">
        <v/>
      </c>
      <c r="K2547" s="4" t="inlineStr">
        <is>
          <t>Abrechnungsart wählen; Stundensätze eingeben</t>
        </is>
      </c>
    </row>
    <row r="2548">
      <c r="A2548" s="4" t="inlineStr">
        <is>
          <t>6111.01 US-Vorschriften-Ramstein-Air-Base-Geb2356</t>
        </is>
      </c>
      <c r="B2548" s="4" t="inlineStr">
        <is>
          <t>● 2000-Vorplanung</t>
        </is>
      </c>
      <c r="C2548" s="9" t="inlineStr">
        <is>
          <t>Unbekannt</t>
        </is>
      </c>
      <c r="D2548" s="10" t="inlineStr">
        <is>
          <t>⚠ Manual erforderlich</t>
        </is>
      </c>
      <c r="E2548" s="11" t="inlineStr"/>
      <c r="F2548" s="11" t="n">
        <v>0</v>
      </c>
      <c r="G2548" s="11">
        <f>E2548-F2548</f>
        <v/>
      </c>
      <c r="H2548" s="11" t="n">
        <v/>
      </c>
      <c r="I2548" s="11" t="n">
        <v/>
      </c>
      <c r="J2548" s="11" t="n">
        <v/>
      </c>
      <c r="K2548" s="4" t="inlineStr">
        <is>
          <t>Abrechnungsart wählen; Stundensätze eingeben</t>
        </is>
      </c>
    </row>
    <row r="2549">
      <c r="A2549" s="4" t="inlineStr">
        <is>
          <t>6111.01 US-Vorschriften-Ramstein-Air-Base-Geb2356</t>
        </is>
      </c>
      <c r="B2549" s="4" t="inlineStr">
        <is>
          <t>● • (p.) LP3 GL</t>
        </is>
      </c>
      <c r="C2549" s="9" t="inlineStr">
        <is>
          <t>Unbekannt</t>
        </is>
      </c>
      <c r="D2549" s="10" t="inlineStr">
        <is>
          <t>⚠ Manual erforderlich</t>
        </is>
      </c>
      <c r="E2549" s="11" t="inlineStr"/>
      <c r="F2549" s="11" t="n">
        <v>0</v>
      </c>
      <c r="G2549" s="11">
        <f>E2549-F2549</f>
        <v/>
      </c>
      <c r="H2549" s="11" t="n">
        <v/>
      </c>
      <c r="I2549" s="11" t="n">
        <v/>
      </c>
      <c r="J2549" s="11" t="n">
        <v/>
      </c>
      <c r="K2549" s="4" t="inlineStr">
        <is>
          <t>Abrechnungsart wählen; Stundensätze eingeben</t>
        </is>
      </c>
    </row>
    <row r="2550">
      <c r="A2550" s="4" t="inlineStr">
        <is>
          <t>6111.01 US-Vorschriften-Ramstein-Air-Base-Geb2356</t>
        </is>
      </c>
      <c r="B2550" s="4" t="inlineStr">
        <is>
          <t>● • (p.) LP4 GL</t>
        </is>
      </c>
      <c r="C2550" s="9" t="inlineStr">
        <is>
          <t>Unbekannt</t>
        </is>
      </c>
      <c r="D2550" s="10" t="inlineStr">
        <is>
          <t>⚠ Manual erforderlich</t>
        </is>
      </c>
      <c r="E2550" s="11" t="inlineStr"/>
      <c r="F2550" s="11" t="n">
        <v>0</v>
      </c>
      <c r="G2550" s="11">
        <f>E2550-F2550</f>
        <v/>
      </c>
      <c r="H2550" s="11" t="n">
        <v/>
      </c>
      <c r="I2550" s="11" t="n">
        <v/>
      </c>
      <c r="J2550" s="11" t="n">
        <v/>
      </c>
      <c r="K2550" s="4" t="inlineStr">
        <is>
          <t>Abrechnungsart wählen; Stundensätze eingeben</t>
        </is>
      </c>
    </row>
    <row r="2551">
      <c r="A2551" s="4" t="inlineStr">
        <is>
          <t>6111.01 US-Vorschriften-Ramstein-Air-Base-Geb2356</t>
        </is>
      </c>
      <c r="B2551" s="4" t="inlineStr">
        <is>
          <t>● • (p.) LP4 BL</t>
        </is>
      </c>
      <c r="C2551" s="9" t="inlineStr">
        <is>
          <t>Unbekannt</t>
        </is>
      </c>
      <c r="D2551" s="10" t="inlineStr">
        <is>
          <t>⚠ Manual erforderlich</t>
        </is>
      </c>
      <c r="E2551" s="11" t="inlineStr"/>
      <c r="F2551" s="11" t="n">
        <v>0</v>
      </c>
      <c r="G2551" s="11">
        <f>E2551-F2551</f>
        <v/>
      </c>
      <c r="H2551" s="11" t="n">
        <v/>
      </c>
      <c r="I2551" s="11" t="n">
        <v/>
      </c>
      <c r="J2551" s="11" t="n">
        <v/>
      </c>
      <c r="K2551" s="4" t="inlineStr">
        <is>
          <t>Abrechnungsart wählen; Stundensätze eingeben</t>
        </is>
      </c>
    </row>
    <row r="2552">
      <c r="A2552" s="4" t="inlineStr">
        <is>
          <t>6111.01 US-Vorschriften-Ramstein-Air-Base-Geb2356</t>
        </is>
      </c>
      <c r="B2552" s="4" t="inlineStr">
        <is>
          <t>● BAU offen, vorab: LP 5</t>
        </is>
      </c>
      <c r="C2552" s="9" t="inlineStr">
        <is>
          <t>Unbekannt</t>
        </is>
      </c>
      <c r="D2552" s="10" t="inlineStr">
        <is>
          <t>⚠ Manual erforderlich</t>
        </is>
      </c>
      <c r="E2552" s="11" t="inlineStr"/>
      <c r="F2552" s="11" t="n">
        <v>0</v>
      </c>
      <c r="G2552" s="11">
        <f>E2552-F2552</f>
        <v/>
      </c>
      <c r="H2552" s="11" t="n">
        <v/>
      </c>
      <c r="I2552" s="11" t="n">
        <v/>
      </c>
      <c r="J2552" s="11" t="n">
        <v/>
      </c>
      <c r="K2552" s="4" t="inlineStr">
        <is>
          <t>Abrechnungsart wählen; Stundensätze eingeben</t>
        </is>
      </c>
    </row>
    <row r="2553">
      <c r="A2553" s="4" t="inlineStr">
        <is>
          <t>6113 Kemptener-Straße-19-23-Senden</t>
        </is>
      </c>
      <c r="B2553" s="4" t="inlineStr">
        <is>
          <t>● Brandschutztechn. Beratung (auf Nachweis)</t>
        </is>
      </c>
      <c r="C2553" s="9" t="inlineStr">
        <is>
          <t>Unbekannt</t>
        </is>
      </c>
      <c r="D2553" s="10" t="inlineStr">
        <is>
          <t>⚠ Manual erforderlich</t>
        </is>
      </c>
      <c r="E2553" s="11" t="inlineStr"/>
      <c r="F2553" s="11" t="n">
        <v>0</v>
      </c>
      <c r="G2553" s="11">
        <f>E2553-F2553</f>
        <v/>
      </c>
      <c r="H2553" s="11" t="n">
        <v/>
      </c>
      <c r="I2553" s="11" t="n">
        <v/>
      </c>
      <c r="J2553" s="11" t="n">
        <v/>
      </c>
      <c r="K2553" s="4" t="inlineStr">
        <is>
          <t>Abrechnungsart wählen; Stundensätze eingeben</t>
        </is>
      </c>
    </row>
    <row r="2554">
      <c r="A2554" s="4" t="inlineStr">
        <is>
          <t>6113.02 WEG-BTB-KemptenerStr19-23-Senden</t>
        </is>
      </c>
      <c r="B2554" s="4" t="inlineStr">
        <is>
          <t>● Brandschutztechn. Beratung (auf Nachweis)</t>
        </is>
      </c>
      <c r="C2554" s="9" t="inlineStr">
        <is>
          <t>Unbekannt</t>
        </is>
      </c>
      <c r="D2554" s="10" t="inlineStr">
        <is>
          <t>⚠ Manual erforderlich</t>
        </is>
      </c>
      <c r="E2554" s="11" t="inlineStr"/>
      <c r="F2554" s="11" t="n">
        <v>0</v>
      </c>
      <c r="G2554" s="11">
        <f>E2554-F2554</f>
        <v/>
      </c>
      <c r="H2554" s="11" t="n">
        <v/>
      </c>
      <c r="I2554" s="11" t="n">
        <v/>
      </c>
      <c r="J2554" s="11" t="n">
        <v/>
      </c>
      <c r="K2554" s="4" t="inlineStr">
        <is>
          <t>Abrechnungsart wählen; Stundensätze eingeben</t>
        </is>
      </c>
    </row>
    <row r="2555">
      <c r="A2555" s="4" t="inlineStr">
        <is>
          <t>6119.01 RMK-EVK-KH-Calw</t>
        </is>
      </c>
      <c r="B2555" s="4" t="inlineStr">
        <is>
          <t>● (p) Pos. Erstellung RMK Calw</t>
        </is>
      </c>
      <c r="C2555" s="4" t="inlineStr">
        <is>
          <t>Pauschale</t>
        </is>
      </c>
      <c r="D2555" s="10" t="inlineStr">
        <is>
          <t>⚠ Manual erforderlich</t>
        </is>
      </c>
      <c r="E2555" s="11" t="inlineStr"/>
      <c r="F2555" s="11" t="n">
        <v>0</v>
      </c>
      <c r="G2555" s="11">
        <f>E2555-F2555</f>
        <v/>
      </c>
      <c r="H2555" s="11" t="n">
        <v>0</v>
      </c>
      <c r="I2555" s="11" t="n">
        <v>0</v>
      </c>
      <c r="J2555" s="11" t="n">
        <v>0</v>
      </c>
      <c r="K2555" s="4" t="inlineStr">
        <is>
          <t>Stundensätze eingeben</t>
        </is>
      </c>
    </row>
    <row r="2556">
      <c r="A2556" s="4" t="inlineStr">
        <is>
          <t>6119.01 RMK-EVK-KH-Calw</t>
        </is>
      </c>
      <c r="B2556" s="4" t="inlineStr">
        <is>
          <t>● (aN) Pos.2 Räumungskonzeptpläne Calw - 5 Stück</t>
        </is>
      </c>
      <c r="C2556" s="4" t="inlineStr">
        <is>
          <t>Nachweis</t>
        </is>
      </c>
      <c r="D2556" s="10" t="inlineStr">
        <is>
          <t>⚠ Manual erforderlich</t>
        </is>
      </c>
      <c r="E2556" s="11" t="inlineStr"/>
      <c r="F2556" s="11" t="n">
        <v>0</v>
      </c>
      <c r="G2556" s="11">
        <f>E2556-F2556</f>
        <v/>
      </c>
      <c r="H2556" s="11" t="n">
        <v/>
      </c>
      <c r="I2556" s="11" t="n">
        <v/>
      </c>
      <c r="J2556" s="11" t="n">
        <v/>
      </c>
      <c r="K2556" s="4" t="inlineStr">
        <is>
          <t>Stundensätze eingeben</t>
        </is>
      </c>
    </row>
    <row r="2557">
      <c r="A2557" s="4" t="inlineStr">
        <is>
          <t>6119.01 RMK-EVK-KH-Calw</t>
        </is>
      </c>
      <c r="B2557" s="4" t="inlineStr">
        <is>
          <t>● (p) Pos. 4 Erstellung Evakuierungskonzept Calw</t>
        </is>
      </c>
      <c r="C2557" s="4" t="inlineStr">
        <is>
          <t>Pauschale</t>
        </is>
      </c>
      <c r="D2557" s="10" t="inlineStr">
        <is>
          <t>⚠ Manual erforderlich</t>
        </is>
      </c>
      <c r="E2557" s="11" t="inlineStr"/>
      <c r="F2557" s="11" t="n">
        <v>0</v>
      </c>
      <c r="G2557" s="11">
        <f>E2557-F2557</f>
        <v/>
      </c>
      <c r="H2557" s="11" t="n">
        <v>0</v>
      </c>
      <c r="I2557" s="11" t="n">
        <v>0</v>
      </c>
      <c r="J2557" s="11" t="n">
        <v>0</v>
      </c>
      <c r="K2557" s="4" t="inlineStr">
        <is>
          <t>Stundensätze eingeben</t>
        </is>
      </c>
    </row>
    <row r="2558">
      <c r="A2558" s="4" t="inlineStr">
        <is>
          <t>6121 Buchrainweg-139-Offenbach</t>
        </is>
      </c>
      <c r="B2558" s="4" t="inlineStr">
        <is>
          <t>● Brandschutznachweis (pauschal)</t>
        </is>
      </c>
      <c r="C2558" s="9" t="inlineStr">
        <is>
          <t>Unbekannt</t>
        </is>
      </c>
      <c r="D2558" s="10" t="inlineStr">
        <is>
          <t>⚠ Manual erforderlich</t>
        </is>
      </c>
      <c r="E2558" s="11" t="inlineStr"/>
      <c r="F2558" s="11" t="n">
        <v>0</v>
      </c>
      <c r="G2558" s="11">
        <f>E2558-F2558</f>
        <v/>
      </c>
      <c r="H2558" s="11" t="n">
        <v/>
      </c>
      <c r="I2558" s="11" t="n">
        <v/>
      </c>
      <c r="J2558" s="11" t="n">
        <v/>
      </c>
      <c r="K2558" s="4" t="inlineStr">
        <is>
          <t>Abrechnungsart wählen; Stundensätze eingeben</t>
        </is>
      </c>
    </row>
    <row r="2559">
      <c r="A2559" s="4" t="inlineStr">
        <is>
          <t>6121 Buchrainweg-139-Offenbach</t>
        </is>
      </c>
      <c r="B2559" s="4" t="inlineStr">
        <is>
          <t>● Brandschutznachweis-Pläne (pauschal)</t>
        </is>
      </c>
      <c r="C2559" s="9" t="inlineStr">
        <is>
          <t>Unbekannt</t>
        </is>
      </c>
      <c r="D2559" s="10" t="inlineStr">
        <is>
          <t>⚠ Manual erforderlich</t>
        </is>
      </c>
      <c r="E2559" s="11" t="inlineStr"/>
      <c r="F2559" s="11" t="n">
        <v>0</v>
      </c>
      <c r="G2559" s="11">
        <f>E2559-F2559</f>
        <v/>
      </c>
      <c r="H2559" s="11" t="n">
        <v/>
      </c>
      <c r="I2559" s="11" t="n">
        <v/>
      </c>
      <c r="J2559" s="11" t="n">
        <v/>
      </c>
      <c r="K2559" s="4" t="inlineStr">
        <is>
          <t>Abrechnungsart wählen; Stundensätze eingeben</t>
        </is>
      </c>
    </row>
    <row r="2560">
      <c r="A2560" s="4" t="inlineStr">
        <is>
          <t>6121 Buchrainweg-139-Offenbach</t>
        </is>
      </c>
      <c r="B2560" s="4" t="inlineStr">
        <is>
          <t>● Baubegleitung (auf Nachweis)</t>
        </is>
      </c>
      <c r="C2560" s="9" t="inlineStr">
        <is>
          <t>Unbekannt</t>
        </is>
      </c>
      <c r="D2560" s="10" t="inlineStr">
        <is>
          <t>⚠ Manual erforderlich</t>
        </is>
      </c>
      <c r="E2560" s="11" t="inlineStr"/>
      <c r="F2560" s="11" t="n">
        <v>0</v>
      </c>
      <c r="G2560" s="11">
        <f>E2560-F2560</f>
        <v/>
      </c>
      <c r="H2560" s="11" t="n">
        <v/>
      </c>
      <c r="I2560" s="11" t="n">
        <v/>
      </c>
      <c r="J2560" s="11" t="n">
        <v/>
      </c>
      <c r="K2560" s="4" t="inlineStr">
        <is>
          <t>Abrechnungsart wählen; Stundensätze eingeben</t>
        </is>
      </c>
    </row>
    <row r="2561">
      <c r="A2561" s="4" t="inlineStr">
        <is>
          <t>6127.01 Brand-BTB-Maingasse5-Dorfprozelten</t>
        </is>
      </c>
      <c r="B2561" s="4" t="inlineStr">
        <is>
          <t>● (aN) Pos. 1 BTB</t>
        </is>
      </c>
      <c r="C2561" s="4" t="inlineStr">
        <is>
          <t>Nachweis</t>
        </is>
      </c>
      <c r="D2561" s="10" t="inlineStr">
        <is>
          <t>⚠ Manual erforderlich</t>
        </is>
      </c>
      <c r="E2561" s="11" t="inlineStr"/>
      <c r="F2561" s="11" t="n">
        <v>0</v>
      </c>
      <c r="G2561" s="11">
        <f>E2561-F2561</f>
        <v/>
      </c>
      <c r="H2561" s="11" t="n">
        <v/>
      </c>
      <c r="I2561" s="11" t="n">
        <v/>
      </c>
      <c r="J2561" s="11" t="n">
        <v/>
      </c>
      <c r="K2561" s="4" t="inlineStr">
        <is>
          <t>Stundensätze eingeben</t>
        </is>
      </c>
    </row>
    <row r="2562">
      <c r="A2562" s="4" t="inlineStr">
        <is>
          <t>6128.01 Nauheimer-Straße-98-Bad-Cannstatt-Gesamtgebäude(Flanders-VI)</t>
        </is>
      </c>
      <c r="B2562" s="4" t="inlineStr">
        <is>
          <t>● Begehung Bestand / Teilnahme Besprechungen Gesamtgebäude (auf Nachweis)</t>
        </is>
      </c>
      <c r="C2562" s="9" t="inlineStr">
        <is>
          <t>Unbekannt</t>
        </is>
      </c>
      <c r="D2562" s="10" t="inlineStr">
        <is>
          <t>⚠ Manual erforderlich</t>
        </is>
      </c>
      <c r="E2562" s="11" t="inlineStr"/>
      <c r="F2562" s="11" t="n">
        <v>0</v>
      </c>
      <c r="G2562" s="11">
        <f>E2562-F2562</f>
        <v/>
      </c>
      <c r="H2562" s="11" t="n">
        <v/>
      </c>
      <c r="I2562" s="11" t="n">
        <v/>
      </c>
      <c r="J2562" s="11" t="n">
        <v/>
      </c>
      <c r="K2562" s="4" t="inlineStr">
        <is>
          <t>Abrechnungsart wählen; Stundensätze eingeben</t>
        </is>
      </c>
    </row>
    <row r="2563">
      <c r="A2563" s="4" t="inlineStr">
        <is>
          <t>6128.01 Nauheimer-Straße-98-Bad-Cannstatt-Gesamtgebäude(Flanders-VI)</t>
        </is>
      </c>
      <c r="B2563" s="4" t="inlineStr">
        <is>
          <t>● BSK Gesamtgebäude (pauschal)</t>
        </is>
      </c>
      <c r="C2563" s="9" t="inlineStr">
        <is>
          <t>Unbekannt</t>
        </is>
      </c>
      <c r="D2563" s="10" t="inlineStr">
        <is>
          <t>⚠ Manual erforderlich</t>
        </is>
      </c>
      <c r="E2563" s="11" t="inlineStr"/>
      <c r="F2563" s="11" t="n">
        <v>0</v>
      </c>
      <c r="G2563" s="11">
        <f>E2563-F2563</f>
        <v/>
      </c>
      <c r="H2563" s="11" t="n">
        <v/>
      </c>
      <c r="I2563" s="11" t="n">
        <v/>
      </c>
      <c r="J2563" s="11" t="n">
        <v/>
      </c>
      <c r="K2563" s="4" t="inlineStr">
        <is>
          <t>Abrechnungsart wählen; Stundensätze eingeben</t>
        </is>
      </c>
    </row>
    <row r="2564">
      <c r="A2564" s="4" t="inlineStr">
        <is>
          <t>6128.01 Nauheimer-Straße-98-Bad-Cannstatt-Gesamtgebäude(Flanders-VI)</t>
        </is>
      </c>
      <c r="B2564" s="4" t="inlineStr">
        <is>
          <t>● Baubegleitung (auf Nachweis)</t>
        </is>
      </c>
      <c r="C2564" s="9" t="inlineStr">
        <is>
          <t>Unbekannt</t>
        </is>
      </c>
      <c r="D2564" s="10" t="inlineStr">
        <is>
          <t>⚠ Manual erforderlich</t>
        </is>
      </c>
      <c r="E2564" s="11" t="inlineStr"/>
      <c r="F2564" s="11" t="n">
        <v>0</v>
      </c>
      <c r="G2564" s="11">
        <f>E2564-F2564</f>
        <v/>
      </c>
      <c r="H2564" s="11" t="n">
        <v/>
      </c>
      <c r="I2564" s="11" t="n">
        <v/>
      </c>
      <c r="J2564" s="11" t="n">
        <v/>
      </c>
      <c r="K2564" s="4" t="inlineStr">
        <is>
          <t>Abrechnungsart wählen; Stundensätze eingeben</t>
        </is>
      </c>
    </row>
    <row r="2565">
      <c r="A2565" s="4" t="inlineStr">
        <is>
          <t>6128.01 Nauheimer-Straße-98-Bad-Cannstatt-Gesamtgebäude(Flanders-VI)</t>
        </is>
      </c>
      <c r="B2565" s="4" t="inlineStr">
        <is>
          <t>● BST Ertüchtigung Flurwände (pauschal)</t>
        </is>
      </c>
      <c r="C2565" s="9" t="inlineStr">
        <is>
          <t>Unbekannt</t>
        </is>
      </c>
      <c r="D2565" s="10" t="inlineStr">
        <is>
          <t>⚠ Manual erforderlich</t>
        </is>
      </c>
      <c r="E2565" s="11" t="inlineStr"/>
      <c r="F2565" s="11" t="n">
        <v>0</v>
      </c>
      <c r="G2565" s="11">
        <f>E2565-F2565</f>
        <v/>
      </c>
      <c r="H2565" s="11" t="n">
        <v/>
      </c>
      <c r="I2565" s="11" t="n">
        <v/>
      </c>
      <c r="J2565" s="11" t="n">
        <v/>
      </c>
      <c r="K2565" s="4" t="inlineStr">
        <is>
          <t>Abrechnungsart wählen; Stundensätze eingeben</t>
        </is>
      </c>
    </row>
    <row r="2566">
      <c r="A2566" s="4" t="inlineStr">
        <is>
          <t>6128.01 Nauheimer-Straße-98-Bad-Cannstatt-Gesamtgebäude(Flanders-VI)</t>
        </is>
      </c>
      <c r="B2566" s="4" t="inlineStr">
        <is>
          <t>● FWP (pauschal)</t>
        </is>
      </c>
      <c r="C2566" s="9" t="inlineStr">
        <is>
          <t>Unbekannt</t>
        </is>
      </c>
      <c r="D2566" s="10" t="inlineStr">
        <is>
          <t>⚠ Manual erforderlich</t>
        </is>
      </c>
      <c r="E2566" s="11" t="inlineStr"/>
      <c r="F2566" s="11" t="n">
        <v>0</v>
      </c>
      <c r="G2566" s="11">
        <f>E2566-F2566</f>
        <v/>
      </c>
      <c r="H2566" s="11" t="n">
        <v/>
      </c>
      <c r="I2566" s="11" t="n">
        <v/>
      </c>
      <c r="J2566" s="11" t="n">
        <v/>
      </c>
      <c r="K2566" s="4" t="inlineStr">
        <is>
          <t>Abrechnungsart wählen; Stundensätze eingeben</t>
        </is>
      </c>
    </row>
    <row r="2567">
      <c r="A2567" s="4" t="inlineStr">
        <is>
          <t>6128.01 Nauheimer-Straße-98-Bad-Cannstatt-Gesamtgebäude(Flanders-VI)</t>
        </is>
      </c>
      <c r="B2567" s="4" t="inlineStr">
        <is>
          <t>● FRP (pauschal)</t>
        </is>
      </c>
      <c r="C2567" s="9" t="inlineStr">
        <is>
          <t>Unbekannt</t>
        </is>
      </c>
      <c r="D2567" s="10" t="inlineStr">
        <is>
          <t>⚠ Manual erforderlich</t>
        </is>
      </c>
      <c r="E2567" s="11" t="inlineStr"/>
      <c r="F2567" s="11" t="n">
        <v>0</v>
      </c>
      <c r="G2567" s="11">
        <f>E2567-F2567</f>
        <v/>
      </c>
      <c r="H2567" s="11" t="n">
        <v/>
      </c>
      <c r="I2567" s="11" t="n">
        <v/>
      </c>
      <c r="J2567" s="11" t="n">
        <v/>
      </c>
      <c r="K2567" s="4" t="inlineStr">
        <is>
          <t>Abrechnungsart wählen; Stundensätze eingeben</t>
        </is>
      </c>
    </row>
    <row r="2568">
      <c r="A2568" s="4" t="inlineStr">
        <is>
          <t>6132 Rohrbacher-Straße-24-Heidelberg</t>
        </is>
      </c>
      <c r="B2568" s="4" t="inlineStr">
        <is>
          <t>● Brandschutztechn. Stellungnahme (pauschal)</t>
        </is>
      </c>
      <c r="C2568" s="9" t="inlineStr">
        <is>
          <t>Unbekannt</t>
        </is>
      </c>
      <c r="D2568" s="10" t="inlineStr">
        <is>
          <t>⚠ Manual erforderlich</t>
        </is>
      </c>
      <c r="E2568" s="11" t="inlineStr"/>
      <c r="F2568" s="11" t="n">
        <v>0</v>
      </c>
      <c r="G2568" s="11">
        <f>E2568-F2568</f>
        <v/>
      </c>
      <c r="H2568" s="11" t="n">
        <v/>
      </c>
      <c r="I2568" s="11" t="n">
        <v/>
      </c>
      <c r="J2568" s="11" t="n">
        <v/>
      </c>
      <c r="K2568" s="4" t="inlineStr">
        <is>
          <t>Abrechnungsart wählen; Stundensätze eingeben</t>
        </is>
      </c>
    </row>
    <row r="2569">
      <c r="A2569" s="4" t="inlineStr">
        <is>
          <t>6132 Rohrbacher-Straße-24-Heidelberg</t>
        </is>
      </c>
      <c r="B2569" s="4" t="inlineStr">
        <is>
          <t>● Abstimmungstermin Behörde (pauschal)</t>
        </is>
      </c>
      <c r="C2569" s="9" t="inlineStr">
        <is>
          <t>Unbekannt</t>
        </is>
      </c>
      <c r="D2569" s="10" t="inlineStr">
        <is>
          <t>⚠ Manual erforderlich</t>
        </is>
      </c>
      <c r="E2569" s="11" t="inlineStr"/>
      <c r="F2569" s="11" t="n">
        <v>0</v>
      </c>
      <c r="G2569" s="11">
        <f>E2569-F2569</f>
        <v/>
      </c>
      <c r="H2569" s="11" t="n">
        <v/>
      </c>
      <c r="I2569" s="11" t="n">
        <v/>
      </c>
      <c r="J2569" s="11" t="n">
        <v/>
      </c>
      <c r="K2569" s="4" t="inlineStr">
        <is>
          <t>Abrechnungsart wählen; Stundensätze eingeben</t>
        </is>
      </c>
    </row>
    <row r="2570">
      <c r="A2570" s="4" t="inlineStr">
        <is>
          <t>6133 Gelber-Berg-1-Schöneck</t>
        </is>
      </c>
      <c r="B2570" s="4" t="inlineStr">
        <is>
          <t>● Fortschr. Brandschutzkonzept + Konformität (auf Nachweis)</t>
        </is>
      </c>
      <c r="C2570" s="9" t="inlineStr">
        <is>
          <t>Unbekannt</t>
        </is>
      </c>
      <c r="D2570" s="10" t="inlineStr">
        <is>
          <t>⚠ Manual erforderlich</t>
        </is>
      </c>
      <c r="E2570" s="11" t="inlineStr"/>
      <c r="F2570" s="11" t="n">
        <v>0</v>
      </c>
      <c r="G2570" s="11">
        <f>E2570-F2570</f>
        <v/>
      </c>
      <c r="H2570" s="11" t="n">
        <v/>
      </c>
      <c r="I2570" s="11" t="n">
        <v/>
      </c>
      <c r="J2570" s="11" t="n">
        <v/>
      </c>
      <c r="K2570" s="4" t="inlineStr">
        <is>
          <t>Abrechnungsart wählen; Stundensätze eingeben</t>
        </is>
      </c>
    </row>
    <row r="2571">
      <c r="A2571" s="4" t="inlineStr">
        <is>
          <t>6133.04 NAT-001-BSK-Hallen-9-12-Gelber-Berg-1-Bruchköbel-Ebbecke</t>
        </is>
      </c>
      <c r="B2571" s="4" t="inlineStr">
        <is>
          <t>● (p) Pos.1 NAT-001-Anpassung BSK</t>
        </is>
      </c>
      <c r="C2571" s="4" t="inlineStr">
        <is>
          <t>Pauschale</t>
        </is>
      </c>
      <c r="D2571" s="10" t="inlineStr">
        <is>
          <t>⚠ Manual erforderlich</t>
        </is>
      </c>
      <c r="E2571" s="11" t="inlineStr"/>
      <c r="F2571" s="11" t="n">
        <v>0</v>
      </c>
      <c r="G2571" s="11">
        <f>E2571-F2571</f>
        <v/>
      </c>
      <c r="H2571" s="11" t="n">
        <v>0</v>
      </c>
      <c r="I2571" s="11" t="n">
        <v>0</v>
      </c>
      <c r="J2571" s="11" t="n">
        <v>0</v>
      </c>
      <c r="K2571" s="4" t="inlineStr">
        <is>
          <t>Stundensätze eingeben</t>
        </is>
      </c>
    </row>
    <row r="2572">
      <c r="A2572" s="4" t="inlineStr">
        <is>
          <t>6133.07 BSK-Gelber-Berg-Schöneck-Halle-8+Zeltanbau-Logistik</t>
        </is>
      </c>
      <c r="B2572" s="4" t="inlineStr">
        <is>
          <t>● (p) Pos.1 Brandschutzkonzept Halle 8 + Zeltanbau Halle Logistik</t>
        </is>
      </c>
      <c r="C2572" s="4" t="inlineStr">
        <is>
          <t>Pauschale</t>
        </is>
      </c>
      <c r="D2572" s="10" t="inlineStr">
        <is>
          <t>⚠ Manual erforderlich</t>
        </is>
      </c>
      <c r="E2572" s="11" t="inlineStr"/>
      <c r="F2572" s="11" t="n">
        <v>0</v>
      </c>
      <c r="G2572" s="11">
        <f>E2572-F2572</f>
        <v/>
      </c>
      <c r="H2572" s="11" t="n">
        <v>0</v>
      </c>
      <c r="I2572" s="11" t="n">
        <v>0</v>
      </c>
      <c r="J2572" s="11" t="n">
        <v>0</v>
      </c>
      <c r="K2572" s="4" t="inlineStr">
        <is>
          <t>Stundensätze eingeben</t>
        </is>
      </c>
    </row>
    <row r="2573">
      <c r="A2573" s="4" t="inlineStr">
        <is>
          <t>6135.09 KOF-Grüner-Weg-37-Hanau-Geb-B001</t>
        </is>
      </c>
      <c r="B2573" s="4" t="inlineStr">
        <is>
          <t>● Abnahme mit Konformitätsbescheinigung (a.N.)</t>
        </is>
      </c>
      <c r="C2573" s="4" t="inlineStr">
        <is>
          <t>Nachweis</t>
        </is>
      </c>
      <c r="D2573" s="10" t="inlineStr">
        <is>
          <t>⚠ Manual erforderlich</t>
        </is>
      </c>
      <c r="E2573" s="11" t="inlineStr"/>
      <c r="F2573" s="11" t="n">
        <v>0</v>
      </c>
      <c r="G2573" s="11">
        <f>E2573-F2573</f>
        <v/>
      </c>
      <c r="H2573" s="11" t="n">
        <v/>
      </c>
      <c r="I2573" s="11" t="n">
        <v/>
      </c>
      <c r="J2573" s="11" t="n">
        <v/>
      </c>
      <c r="K2573" s="4" t="inlineStr">
        <is>
          <t>Stundensätze eingeben</t>
        </is>
      </c>
    </row>
    <row r="2574">
      <c r="A2574" s="4" t="inlineStr">
        <is>
          <t>6135.10 BST-Grüner-Weg-37-Hanau-VAC-Medien</t>
        </is>
      </c>
      <c r="B2574" s="4" t="inlineStr">
        <is>
          <t>● (p) Pos. 1 BST Medienbrücke 1</t>
        </is>
      </c>
      <c r="C2574" s="4" t="inlineStr">
        <is>
          <t>Pauschale</t>
        </is>
      </c>
      <c r="D2574" s="10" t="inlineStr">
        <is>
          <t>⚠ Manual erforderlich</t>
        </is>
      </c>
      <c r="E2574" s="11" t="inlineStr"/>
      <c r="F2574" s="11" t="n">
        <v>0</v>
      </c>
      <c r="G2574" s="11">
        <f>E2574-F2574</f>
        <v/>
      </c>
      <c r="H2574" s="11" t="n">
        <v>0</v>
      </c>
      <c r="I2574" s="11" t="n">
        <v>0</v>
      </c>
      <c r="J2574" s="11" t="n">
        <v>0</v>
      </c>
      <c r="K2574" s="4" t="inlineStr">
        <is>
          <t>Stundensätze eingeben</t>
        </is>
      </c>
    </row>
    <row r="2575">
      <c r="A2575" s="4" t="inlineStr">
        <is>
          <t>6135.10 BST-Grüner-Weg-37-Hanau-VAC-Medien</t>
        </is>
      </c>
      <c r="B2575" s="4" t="inlineStr">
        <is>
          <t>● (p) BST für Medienbrücken 2 und 4-7</t>
        </is>
      </c>
      <c r="C2575" s="4" t="inlineStr">
        <is>
          <t>Pauschale</t>
        </is>
      </c>
      <c r="D2575" s="10" t="inlineStr">
        <is>
          <t>⚠ Manual erforderlich</t>
        </is>
      </c>
      <c r="E2575" s="11" t="inlineStr"/>
      <c r="F2575" s="11" t="n">
        <v>0</v>
      </c>
      <c r="G2575" s="11">
        <f>E2575-F2575</f>
        <v/>
      </c>
      <c r="H2575" s="11" t="n">
        <v>0</v>
      </c>
      <c r="I2575" s="11" t="n">
        <v>0</v>
      </c>
      <c r="J2575" s="11" t="n">
        <v>0</v>
      </c>
      <c r="K2575" s="4" t="inlineStr">
        <is>
          <t>Stundensätze eingeben</t>
        </is>
      </c>
    </row>
    <row r="2576">
      <c r="A2576" s="4" t="inlineStr">
        <is>
          <t>6135.10 BST-Grüner-Weg-37-Hanau-VAC-Medien</t>
        </is>
      </c>
      <c r="B2576" s="4" t="inlineStr">
        <is>
          <t>● (p) Bestandserfassung</t>
        </is>
      </c>
      <c r="C2576" s="4" t="inlineStr">
        <is>
          <t>Pauschale</t>
        </is>
      </c>
      <c r="D2576" s="10" t="inlineStr">
        <is>
          <t>⚠ Manual erforderlich</t>
        </is>
      </c>
      <c r="E2576" s="11" t="inlineStr"/>
      <c r="F2576" s="11" t="n">
        <v>0</v>
      </c>
      <c r="G2576" s="11">
        <f>E2576-F2576</f>
        <v/>
      </c>
      <c r="H2576" s="11" t="n">
        <v>0</v>
      </c>
      <c r="I2576" s="11" t="n">
        <v>0</v>
      </c>
      <c r="J2576" s="11" t="n">
        <v>0</v>
      </c>
      <c r="K2576" s="4" t="inlineStr">
        <is>
          <t>Stundensätze eingeben</t>
        </is>
      </c>
    </row>
    <row r="2577">
      <c r="A2577" s="4" t="inlineStr">
        <is>
          <t>6135.14 Allgem.BTB-VAC-WG I-III-Güner Weg-37-Hanau</t>
        </is>
      </c>
      <c r="B2577" s="4" t="inlineStr">
        <is>
          <t>● (a.N.) WG I-III, Beratungslstg. Brandschutz (intern:frei verfügbares Std.kontingent)</t>
        </is>
      </c>
      <c r="C2577" s="4" t="inlineStr">
        <is>
          <t>Nachweis</t>
        </is>
      </c>
      <c r="D2577" s="10" t="inlineStr">
        <is>
          <t>⚠ Manual erforderlich</t>
        </is>
      </c>
      <c r="E2577" s="11" t="inlineStr"/>
      <c r="F2577" s="11" t="n">
        <v>0</v>
      </c>
      <c r="G2577" s="11">
        <f>E2577-F2577</f>
        <v/>
      </c>
      <c r="H2577" s="11" t="n">
        <v/>
      </c>
      <c r="I2577" s="11" t="n">
        <v/>
      </c>
      <c r="J2577" s="11" t="n">
        <v/>
      </c>
      <c r="K2577" s="4" t="inlineStr">
        <is>
          <t>Stundensätze eingeben</t>
        </is>
      </c>
    </row>
    <row r="2578">
      <c r="A2578" s="4" t="inlineStr">
        <is>
          <t>6135.15 KOF-VAC-Geb-B069-Güner Weg-37-Hanau</t>
        </is>
      </c>
      <c r="B2578" s="4" t="inlineStr">
        <is>
          <t>● (a.N.) -Pos.1-Ausführungsplanung</t>
        </is>
      </c>
      <c r="C2578" s="4" t="inlineStr">
        <is>
          <t>Nachweis</t>
        </is>
      </c>
      <c r="D2578" s="10" t="inlineStr">
        <is>
          <t>⚠ Manual erforderlich</t>
        </is>
      </c>
      <c r="E2578" s="11" t="inlineStr"/>
      <c r="F2578" s="11" t="n">
        <v>0</v>
      </c>
      <c r="G2578" s="11">
        <f>E2578-F2578</f>
        <v/>
      </c>
      <c r="H2578" s="11" t="n">
        <v/>
      </c>
      <c r="I2578" s="11" t="n">
        <v/>
      </c>
      <c r="J2578" s="11" t="n">
        <v/>
      </c>
      <c r="K2578" s="4" t="inlineStr">
        <is>
          <t>Stundensätze eingeben</t>
        </is>
      </c>
    </row>
    <row r="2579">
      <c r="A2579" s="4" t="inlineStr">
        <is>
          <t>6135.15 KOF-VAC-Geb-B069-Güner Weg-37-Hanau</t>
        </is>
      </c>
      <c r="B2579" s="4" t="inlineStr">
        <is>
          <t>● (a.N.) Pos.2 - Objektüberwachung GL Stufe</t>
        </is>
      </c>
      <c r="C2579" s="4" t="inlineStr">
        <is>
          <t>Nachweis</t>
        </is>
      </c>
      <c r="D2579" s="10" t="inlineStr">
        <is>
          <t>⚠ Manual erforderlich</t>
        </is>
      </c>
      <c r="E2579" s="11" t="inlineStr"/>
      <c r="F2579" s="11" t="n">
        <v>0</v>
      </c>
      <c r="G2579" s="11">
        <f>E2579-F2579</f>
        <v/>
      </c>
      <c r="H2579" s="11" t="n">
        <v/>
      </c>
      <c r="I2579" s="11" t="n">
        <v/>
      </c>
      <c r="J2579" s="11" t="n">
        <v/>
      </c>
      <c r="K2579" s="4" t="inlineStr">
        <is>
          <t>Stundensätze eingeben</t>
        </is>
      </c>
    </row>
    <row r="2580">
      <c r="A2580" s="4" t="inlineStr">
        <is>
          <t>6135.16 KOF-VAC-WG I-Rohrbrücke-Güner Weg-37-Hanau</t>
        </is>
      </c>
      <c r="B2580" s="4" t="inlineStr">
        <is>
          <t>● (a.N.) Pos.1 - KOF-Baubegleitung</t>
        </is>
      </c>
      <c r="C2580" s="4" t="inlineStr">
        <is>
          <t>Nachweis</t>
        </is>
      </c>
      <c r="D2580" s="10" t="inlineStr">
        <is>
          <t>⚠ Manual erforderlich</t>
        </is>
      </c>
      <c r="E2580" s="11" t="inlineStr"/>
      <c r="F2580" s="11" t="n">
        <v>0</v>
      </c>
      <c r="G2580" s="11">
        <f>E2580-F2580</f>
        <v/>
      </c>
      <c r="H2580" s="11" t="n">
        <v/>
      </c>
      <c r="I2580" s="11" t="n">
        <v/>
      </c>
      <c r="J2580" s="11" t="n">
        <v/>
      </c>
      <c r="K2580" s="4" t="inlineStr">
        <is>
          <t>Stundensätze eingeben</t>
        </is>
      </c>
    </row>
    <row r="2581">
      <c r="A2581" s="4" t="inlineStr">
        <is>
          <t>6135.17 KOF-VAC-Rohrbrücke-2-Güner Weg-37-Hanau</t>
        </is>
      </c>
      <c r="B2581" s="4" t="inlineStr">
        <is>
          <t>● (a.N.) Pos.1 - Baubegleitung/Erst. Konformität</t>
        </is>
      </c>
      <c r="C2581" s="4" t="inlineStr">
        <is>
          <t>Nachweis</t>
        </is>
      </c>
      <c r="D2581" s="10" t="inlineStr">
        <is>
          <t>⚠ Manual erforderlich</t>
        </is>
      </c>
      <c r="E2581" s="11" t="inlineStr"/>
      <c r="F2581" s="11" t="n">
        <v>0</v>
      </c>
      <c r="G2581" s="11">
        <f>E2581-F2581</f>
        <v/>
      </c>
      <c r="H2581" s="11" t="n">
        <v/>
      </c>
      <c r="I2581" s="11" t="n">
        <v/>
      </c>
      <c r="J2581" s="11" t="n">
        <v/>
      </c>
      <c r="K2581" s="4" t="inlineStr">
        <is>
          <t>Stundensätze eingeben</t>
        </is>
      </c>
    </row>
    <row r="2582">
      <c r="A2582" s="4" t="inlineStr">
        <is>
          <t>6135.18 KOF-VAC-Rohrbrücke-7-Güner Weg-37-Hanau</t>
        </is>
      </c>
      <c r="B2582" s="4" t="inlineStr">
        <is>
          <t>● (a.N.) Pos.1-Baubegleitung (KOF)</t>
        </is>
      </c>
      <c r="C2582" s="4" t="inlineStr">
        <is>
          <t>Nachweis</t>
        </is>
      </c>
      <c r="D2582" s="10" t="inlineStr">
        <is>
          <t>⚠ Manual erforderlich</t>
        </is>
      </c>
      <c r="E2582" s="11" t="inlineStr"/>
      <c r="F2582" s="11" t="n">
        <v>0</v>
      </c>
      <c r="G2582" s="11">
        <f>E2582-F2582</f>
        <v/>
      </c>
      <c r="H2582" s="11" t="n">
        <v/>
      </c>
      <c r="I2582" s="11" t="n">
        <v/>
      </c>
      <c r="J2582" s="11" t="n">
        <v/>
      </c>
      <c r="K2582" s="4" t="inlineStr">
        <is>
          <t>Stundensätze eingeben</t>
        </is>
      </c>
    </row>
    <row r="2583">
      <c r="A2583" s="4" t="inlineStr">
        <is>
          <t>6135.19 BST-VAC-Rohrbrücke-5-Güner Weg-37-Hanau</t>
        </is>
      </c>
      <c r="B2583" s="4" t="inlineStr">
        <is>
          <t>● (p) Pos.1 BST Rohrbrücke 5</t>
        </is>
      </c>
      <c r="C2583" s="4" t="inlineStr">
        <is>
          <t>Pauschale</t>
        </is>
      </c>
      <c r="D2583" s="10" t="inlineStr">
        <is>
          <t>⚠ Manual erforderlich</t>
        </is>
      </c>
      <c r="E2583" s="11" t="inlineStr"/>
      <c r="F2583" s="11" t="n">
        <v>0</v>
      </c>
      <c r="G2583" s="11">
        <f>E2583-F2583</f>
        <v/>
      </c>
      <c r="H2583" s="11" t="n">
        <v>0</v>
      </c>
      <c r="I2583" s="11" t="n">
        <v>0</v>
      </c>
      <c r="J2583" s="11" t="n">
        <v>0</v>
      </c>
      <c r="K2583" s="4" t="inlineStr">
        <is>
          <t>Stundensätze eingeben</t>
        </is>
      </c>
    </row>
    <row r="2584">
      <c r="A2584" s="4" t="inlineStr">
        <is>
          <t>6135.20 KOF-Grüner-Weg-37-Hanau-Rohrbrücke-4</t>
        </is>
      </c>
      <c r="B2584" s="4" t="inlineStr">
        <is>
          <t>● (p) Pos.1 Baubegleitung Rohrbrücke 4</t>
        </is>
      </c>
      <c r="C2584" s="4" t="inlineStr">
        <is>
          <t>Pauschale</t>
        </is>
      </c>
      <c r="D2584" s="10" t="inlineStr">
        <is>
          <t>⚠ Manual erforderlich</t>
        </is>
      </c>
      <c r="E2584" s="11" t="inlineStr"/>
      <c r="F2584" s="11" t="n">
        <v>0</v>
      </c>
      <c r="G2584" s="11">
        <f>E2584-F2584</f>
        <v/>
      </c>
      <c r="H2584" s="11" t="n">
        <v>0</v>
      </c>
      <c r="I2584" s="11" t="n">
        <v>0</v>
      </c>
      <c r="J2584" s="11" t="n">
        <v>0</v>
      </c>
      <c r="K2584" s="4" t="inlineStr">
        <is>
          <t>Stundensätze eingeben</t>
        </is>
      </c>
    </row>
    <row r="2585">
      <c r="A2585" s="4" t="inlineStr">
        <is>
          <t>6135.21 BTB-Grüner-Weg-37-Hanau-Löschanlagen-VAC</t>
        </is>
      </c>
      <c r="B2585" s="4" t="inlineStr">
        <is>
          <t>● (aN) Pos.1 BTB+Abstimmungstermine f. Kompensationsmaßn. bei Wartung/Instandsetzung v. Löschanlagen</t>
        </is>
      </c>
      <c r="C2585" s="4" t="inlineStr">
        <is>
          <t>Nachweis</t>
        </is>
      </c>
      <c r="D2585" s="10" t="inlineStr">
        <is>
          <t>⚠ Manual erforderlich</t>
        </is>
      </c>
      <c r="E2585" s="11" t="inlineStr"/>
      <c r="F2585" s="11" t="n">
        <v>0</v>
      </c>
      <c r="G2585" s="11">
        <f>E2585-F2585</f>
        <v/>
      </c>
      <c r="H2585" s="11" t="n">
        <v/>
      </c>
      <c r="I2585" s="11" t="n">
        <v/>
      </c>
      <c r="J2585" s="11" t="n">
        <v/>
      </c>
      <c r="K2585" s="4" t="inlineStr">
        <is>
          <t>Stundensätze eingeben</t>
        </is>
      </c>
    </row>
    <row r="2586">
      <c r="A2586" s="4" t="inlineStr">
        <is>
          <t>6135.21 BTB-Grüner-Weg-37-Hanau-Löschanlagen-VAC</t>
        </is>
      </c>
      <c r="B2586" s="4" t="inlineStr">
        <is>
          <t>● (p) Pos.2 BST CO-Löschanlage B27/29</t>
        </is>
      </c>
      <c r="C2586" s="4" t="inlineStr">
        <is>
          <t>Pauschale</t>
        </is>
      </c>
      <c r="D2586" s="10" t="inlineStr">
        <is>
          <t>⚠ Manual erforderlich</t>
        </is>
      </c>
      <c r="E2586" s="11" t="inlineStr"/>
      <c r="F2586" s="11" t="n">
        <v>0</v>
      </c>
      <c r="G2586" s="11">
        <f>E2586-F2586</f>
        <v/>
      </c>
      <c r="H2586" s="11" t="n">
        <v>0</v>
      </c>
      <c r="I2586" s="11" t="n">
        <v>0</v>
      </c>
      <c r="J2586" s="11" t="n">
        <v>0</v>
      </c>
      <c r="K2586" s="4" t="inlineStr">
        <is>
          <t>Stundensätze eingeben</t>
        </is>
      </c>
    </row>
    <row r="2587">
      <c r="A2587" s="4" t="inlineStr">
        <is>
          <t>6135.21 BTB-Grüner-Weg-37-Hanau-Löschanlagen-VAC</t>
        </is>
      </c>
      <c r="B2587" s="4" t="inlineStr">
        <is>
          <t>● (p) Pos.3 BST Sprinkleranlage Geb. B17/19</t>
        </is>
      </c>
      <c r="C2587" s="4" t="inlineStr">
        <is>
          <t>Pauschale</t>
        </is>
      </c>
      <c r="D2587" s="10" t="inlineStr">
        <is>
          <t>⚠ Manual erforderlich</t>
        </is>
      </c>
      <c r="E2587" s="11" t="inlineStr"/>
      <c r="F2587" s="11" t="n">
        <v>0</v>
      </c>
      <c r="G2587" s="11">
        <f>E2587-F2587</f>
        <v/>
      </c>
      <c r="H2587" s="11" t="n">
        <v>0</v>
      </c>
      <c r="I2587" s="11" t="n">
        <v>0</v>
      </c>
      <c r="J2587" s="11" t="n">
        <v>0</v>
      </c>
      <c r="K2587" s="4" t="inlineStr">
        <is>
          <t>Stundensätze eingeben</t>
        </is>
      </c>
    </row>
    <row r="2588">
      <c r="A2588" s="4" t="inlineStr">
        <is>
          <t>6137.01 JUWI-WP-Mücke-Anp-BSK</t>
        </is>
      </c>
      <c r="B2588" s="4" t="inlineStr">
        <is>
          <t>● WP Mücke</t>
        </is>
      </c>
      <c r="C2588" s="9" t="inlineStr">
        <is>
          <t>Unbekannt</t>
        </is>
      </c>
      <c r="D2588" s="10" t="inlineStr">
        <is>
          <t>⚠ Manual erforderlich</t>
        </is>
      </c>
      <c r="E2588" s="11" t="inlineStr"/>
      <c r="F2588" s="11" t="n">
        <v>0</v>
      </c>
      <c r="G2588" s="11">
        <f>E2588-F2588</f>
        <v/>
      </c>
      <c r="H2588" s="11" t="n">
        <v/>
      </c>
      <c r="I2588" s="11" t="n">
        <v/>
      </c>
      <c r="J2588" s="11" t="n">
        <v/>
      </c>
      <c r="K2588" s="4" t="inlineStr">
        <is>
          <t>Abrechnungsart wählen; Stundensätze eingeben</t>
        </is>
      </c>
    </row>
    <row r="2589">
      <c r="A2589" s="4" t="inlineStr">
        <is>
          <t>6140.02 BTB-Wächtersbacher-Straße-88-90-Frankfurt-Brandmelde-Lüftungsanlage</t>
        </is>
      </c>
      <c r="B2589" s="4" t="inlineStr">
        <is>
          <t>● (a.N.) Pos.1 BTB Brandmelde- u. Lüftungsanlge</t>
        </is>
      </c>
      <c r="C2589" s="4" t="inlineStr">
        <is>
          <t>Nachweis</t>
        </is>
      </c>
      <c r="D2589" s="10" t="inlineStr">
        <is>
          <t>⚠ Manual erforderlich</t>
        </is>
      </c>
      <c r="E2589" s="11" t="inlineStr"/>
      <c r="F2589" s="11" t="n">
        <v>0</v>
      </c>
      <c r="G2589" s="11">
        <f>E2589-F2589</f>
        <v/>
      </c>
      <c r="H2589" s="11" t="n">
        <v/>
      </c>
      <c r="I2589" s="11" t="n">
        <v/>
      </c>
      <c r="J2589" s="11" t="n">
        <v/>
      </c>
      <c r="K2589" s="4" t="inlineStr">
        <is>
          <t>Stundensätze eingeben</t>
        </is>
      </c>
    </row>
    <row r="2590">
      <c r="A2590" s="4" t="inlineStr">
        <is>
          <t>6140.03 BSK-Wächtersbacher-Straße-88-90-Frankfurt-Trainingsfläche</t>
        </is>
      </c>
      <c r="B2590" s="4" t="inlineStr">
        <is>
          <t>● (p) Pos.1 Fortschr. BSK für die Umnutzung der hinteren Gebäudeeinheit</t>
        </is>
      </c>
      <c r="C2590" s="4" t="inlineStr">
        <is>
          <t>Pauschale</t>
        </is>
      </c>
      <c r="D2590" s="10" t="inlineStr">
        <is>
          <t>⚠ Manual erforderlich</t>
        </is>
      </c>
      <c r="E2590" s="11" t="inlineStr"/>
      <c r="F2590" s="11" t="n">
        <v>0</v>
      </c>
      <c r="G2590" s="11">
        <f>E2590-F2590</f>
        <v/>
      </c>
      <c r="H2590" s="11" t="n">
        <v>0</v>
      </c>
      <c r="I2590" s="11" t="n">
        <v>0</v>
      </c>
      <c r="J2590" s="11" t="n">
        <v>0</v>
      </c>
      <c r="K2590" s="4" t="inlineStr">
        <is>
          <t>Stundensätze eingeben</t>
        </is>
      </c>
    </row>
    <row r="2591">
      <c r="A2591" s="4" t="inlineStr">
        <is>
          <t>6140.03 BSK-Wächtersbacher-Straße-88-90-Frankfurt-Trainingsfläche</t>
        </is>
      </c>
      <c r="B2591" s="4" t="inlineStr">
        <is>
          <t>● (aN) Bestandserfassung vor Ort &amp; Beratungsleistung</t>
        </is>
      </c>
      <c r="C2591" s="4" t="inlineStr">
        <is>
          <t>Nachweis</t>
        </is>
      </c>
      <c r="D2591" s="10" t="inlineStr">
        <is>
          <t>⚠ Manual erforderlich</t>
        </is>
      </c>
      <c r="E2591" s="11" t="inlineStr"/>
      <c r="F2591" s="11" t="n">
        <v>0</v>
      </c>
      <c r="G2591" s="11">
        <f>E2591-F2591</f>
        <v/>
      </c>
      <c r="H2591" s="11" t="n">
        <v/>
      </c>
      <c r="I2591" s="11" t="n">
        <v/>
      </c>
      <c r="J2591" s="11" t="n">
        <v/>
      </c>
      <c r="K2591" s="4" t="inlineStr">
        <is>
          <t>Stundensätze eingeben</t>
        </is>
      </c>
    </row>
    <row r="2592">
      <c r="A2592" s="4" t="inlineStr">
        <is>
          <t>6140.03 BSK-Wächtersbacher-Straße-88-90-Frankfurt-Trainingsfläche</t>
        </is>
      </c>
      <c r="B2592" s="4" t="inlineStr">
        <is>
          <t>● (aN) Pos.3 KOF Brandschutz</t>
        </is>
      </c>
      <c r="C2592" s="4" t="inlineStr">
        <is>
          <t>Nachweis</t>
        </is>
      </c>
      <c r="D2592" s="10" t="inlineStr">
        <is>
          <t>⚠ Manual erforderlich</t>
        </is>
      </c>
      <c r="E2592" s="11" t="inlineStr"/>
      <c r="F2592" s="11" t="n">
        <v>0</v>
      </c>
      <c r="G2592" s="11">
        <f>E2592-F2592</f>
        <v/>
      </c>
      <c r="H2592" s="11" t="n">
        <v/>
      </c>
      <c r="I2592" s="11" t="n">
        <v/>
      </c>
      <c r="J2592" s="11" t="n">
        <v/>
      </c>
      <c r="K2592" s="4" t="inlineStr">
        <is>
          <t>Stundensätze eingeben</t>
        </is>
      </c>
    </row>
    <row r="2593">
      <c r="A2593" s="4" t="inlineStr">
        <is>
          <t>6142 Konrad-Adenauer-Straße-22-Dreieich-Schillerschule-Auslagerung</t>
        </is>
      </c>
      <c r="B2593" s="4" t="inlineStr">
        <is>
          <t>● Erstellung BSK (pauschal)</t>
        </is>
      </c>
      <c r="C2593" s="9" t="inlineStr">
        <is>
          <t>Unbekannt</t>
        </is>
      </c>
      <c r="D2593" s="10" t="inlineStr">
        <is>
          <t>⚠ Manual erforderlich</t>
        </is>
      </c>
      <c r="E2593" s="11" t="inlineStr"/>
      <c r="F2593" s="11" t="n">
        <v>0</v>
      </c>
      <c r="G2593" s="11">
        <f>E2593-F2593</f>
        <v/>
      </c>
      <c r="H2593" s="11" t="n">
        <v/>
      </c>
      <c r="I2593" s="11" t="n">
        <v/>
      </c>
      <c r="J2593" s="11" t="n">
        <v/>
      </c>
      <c r="K2593" s="4" t="inlineStr">
        <is>
          <t>Abrechnungsart wählen; Stundensätze eingeben</t>
        </is>
      </c>
    </row>
    <row r="2594">
      <c r="A2594" s="4" t="inlineStr">
        <is>
          <t>6142 Konrad-Adenauer-Straße-22-Dreieich-Schillerschule-Auslagerung</t>
        </is>
      </c>
      <c r="B2594" s="4" t="inlineStr">
        <is>
          <t>● Erstellung FuR-Pläne (pauschal)</t>
        </is>
      </c>
      <c r="C2594" s="9" t="inlineStr">
        <is>
          <t>Unbekannt</t>
        </is>
      </c>
      <c r="D2594" s="10" t="inlineStr">
        <is>
          <t>⚠ Manual erforderlich</t>
        </is>
      </c>
      <c r="E2594" s="11" t="inlineStr"/>
      <c r="F2594" s="11" t="n">
        <v>0</v>
      </c>
      <c r="G2594" s="11">
        <f>E2594-F2594</f>
        <v/>
      </c>
      <c r="H2594" s="11" t="n">
        <v/>
      </c>
      <c r="I2594" s="11" t="n">
        <v/>
      </c>
      <c r="J2594" s="11" t="n">
        <v/>
      </c>
      <c r="K2594" s="4" t="inlineStr">
        <is>
          <t>Abrechnungsart wählen; Stundensätze eingeben</t>
        </is>
      </c>
    </row>
    <row r="2595">
      <c r="A2595" s="4" t="inlineStr">
        <is>
          <t>6142 Konrad-Adenauer-Straße-22-Dreieich-Schillerschule-Auslagerung</t>
        </is>
      </c>
      <c r="B2595" s="4" t="inlineStr">
        <is>
          <t>● Erstellung FW-Pläne (pauschal)</t>
        </is>
      </c>
      <c r="C2595" s="9" t="inlineStr">
        <is>
          <t>Unbekannt</t>
        </is>
      </c>
      <c r="D2595" s="10" t="inlineStr">
        <is>
          <t>⚠ Manual erforderlich</t>
        </is>
      </c>
      <c r="E2595" s="11" t="inlineStr"/>
      <c r="F2595" s="11" t="n">
        <v>0</v>
      </c>
      <c r="G2595" s="11">
        <f>E2595-F2595</f>
        <v/>
      </c>
      <c r="H2595" s="11" t="n">
        <v/>
      </c>
      <c r="I2595" s="11" t="n">
        <v/>
      </c>
      <c r="J2595" s="11" t="n">
        <v/>
      </c>
      <c r="K2595" s="4" t="inlineStr">
        <is>
          <t>Abrechnungsart wählen; Stundensätze eingeben</t>
        </is>
      </c>
    </row>
    <row r="2596">
      <c r="A2596" s="4" t="inlineStr">
        <is>
          <t>6142.01 BTB-Konrad-Adenauer-Straße-22-Dreieich-Tausch-Georg-Büchner-Schule-zu-Schillerschule</t>
        </is>
      </c>
      <c r="B2596" s="4" t="inlineStr">
        <is>
          <t>● Beratung IST-Zustand (auf Nachweis)</t>
        </is>
      </c>
      <c r="C2596" s="9" t="inlineStr">
        <is>
          <t>Unbekannt</t>
        </is>
      </c>
      <c r="D2596" s="10" t="inlineStr">
        <is>
          <t>⚠ Manual erforderlich</t>
        </is>
      </c>
      <c r="E2596" s="11" t="inlineStr"/>
      <c r="F2596" s="11" t="n">
        <v>0</v>
      </c>
      <c r="G2596" s="11">
        <f>E2596-F2596</f>
        <v/>
      </c>
      <c r="H2596" s="11" t="n">
        <v/>
      </c>
      <c r="I2596" s="11" t="n">
        <v/>
      </c>
      <c r="J2596" s="11" t="n">
        <v/>
      </c>
      <c r="K2596" s="4" t="inlineStr">
        <is>
          <t>Abrechnungsart wählen; Stundensätze eingeben</t>
        </is>
      </c>
    </row>
    <row r="2597">
      <c r="A2597" s="4" t="inlineStr">
        <is>
          <t>6143 Schaberweg-17b-Bad-Homburg</t>
        </is>
      </c>
      <c r="B2597" s="4" t="inlineStr">
        <is>
          <t>● Brandschutznachweis (pauschal)</t>
        </is>
      </c>
      <c r="C2597" s="9" t="inlineStr">
        <is>
          <t>Unbekannt</t>
        </is>
      </c>
      <c r="D2597" s="10" t="inlineStr">
        <is>
          <t>⚠ Manual erforderlich</t>
        </is>
      </c>
      <c r="E2597" s="11" t="inlineStr"/>
      <c r="F2597" s="11" t="n">
        <v>0</v>
      </c>
      <c r="G2597" s="11">
        <f>E2597-F2597</f>
        <v/>
      </c>
      <c r="H2597" s="11" t="n">
        <v/>
      </c>
      <c r="I2597" s="11" t="n">
        <v/>
      </c>
      <c r="J2597" s="11" t="n">
        <v/>
      </c>
      <c r="K2597" s="4" t="inlineStr">
        <is>
          <t>Abrechnungsart wählen; Stundensätze eingeben</t>
        </is>
      </c>
    </row>
    <row r="2598">
      <c r="A2598" s="4" t="inlineStr">
        <is>
          <t>6143 Schaberweg-17b-Bad-Homburg</t>
        </is>
      </c>
      <c r="B2598" s="4" t="inlineStr">
        <is>
          <t>● Baubegleitung (auf Nachweis)</t>
        </is>
      </c>
      <c r="C2598" s="9" t="inlineStr">
        <is>
          <t>Unbekannt</t>
        </is>
      </c>
      <c r="D2598" s="10" t="inlineStr">
        <is>
          <t>⚠ Manual erforderlich</t>
        </is>
      </c>
      <c r="E2598" s="11" t="inlineStr"/>
      <c r="F2598" s="11" t="n">
        <v>0</v>
      </c>
      <c r="G2598" s="11">
        <f>E2598-F2598</f>
        <v/>
      </c>
      <c r="H2598" s="11" t="n">
        <v/>
      </c>
      <c r="I2598" s="11" t="n">
        <v/>
      </c>
      <c r="J2598" s="11" t="n">
        <v/>
      </c>
      <c r="K2598" s="4" t="inlineStr">
        <is>
          <t>Abrechnungsart wählen; Stundensätze eingeben</t>
        </is>
      </c>
    </row>
    <row r="2599">
      <c r="A2599" s="4" t="inlineStr">
        <is>
          <t>6143 Schaberweg-17b-Bad-Homburg</t>
        </is>
      </c>
      <c r="B2599" s="4" t="inlineStr">
        <is>
          <t>● Brandschutzpläne (auf Nachweis)</t>
        </is>
      </c>
      <c r="C2599" s="9" t="inlineStr">
        <is>
          <t>Unbekannt</t>
        </is>
      </c>
      <c r="D2599" s="10" t="inlineStr">
        <is>
          <t>⚠ Manual erforderlich</t>
        </is>
      </c>
      <c r="E2599" s="11" t="inlineStr"/>
      <c r="F2599" s="11" t="n">
        <v>0</v>
      </c>
      <c r="G2599" s="11">
        <f>E2599-F2599</f>
        <v/>
      </c>
      <c r="H2599" s="11" t="n">
        <v/>
      </c>
      <c r="I2599" s="11" t="n">
        <v/>
      </c>
      <c r="J2599" s="11" t="n">
        <v/>
      </c>
      <c r="K2599" s="4" t="inlineStr">
        <is>
          <t>Abrechnungsart wählen; Stundensätze eingeben</t>
        </is>
      </c>
    </row>
    <row r="2600">
      <c r="A2600" s="4" t="inlineStr">
        <is>
          <t>6145 ASB-Borsigallee-14-Frankfurt</t>
        </is>
      </c>
      <c r="B2600" s="4" t="inlineStr">
        <is>
          <t>● (p.) BSK</t>
        </is>
      </c>
      <c r="C2600" s="9" t="inlineStr">
        <is>
          <t>Unbekannt</t>
        </is>
      </c>
      <c r="D2600" s="10" t="inlineStr">
        <is>
          <t>⚠ Manual erforderlich</t>
        </is>
      </c>
      <c r="E2600" s="11" t="inlineStr"/>
      <c r="F2600" s="11" t="n">
        <v>0</v>
      </c>
      <c r="G2600" s="11">
        <f>E2600-F2600</f>
        <v/>
      </c>
      <c r="H2600" s="11" t="n">
        <v/>
      </c>
      <c r="I2600" s="11" t="n">
        <v/>
      </c>
      <c r="J2600" s="11" t="n">
        <v/>
      </c>
      <c r="K2600" s="4" t="inlineStr">
        <is>
          <t>Abrechnungsart wählen; Stundensätze eingeben</t>
        </is>
      </c>
    </row>
    <row r="2601">
      <c r="A2601" s="4" t="inlineStr">
        <is>
          <t>6145 ASB-Borsigallee-14-Frankfurt</t>
        </is>
      </c>
      <c r="B2601" s="4" t="inlineStr">
        <is>
          <t>● (a.N.) LP 8 BTB + Konformitätsbescheinigung (Pos. 2)</t>
        </is>
      </c>
      <c r="C2601" s="4" t="inlineStr">
        <is>
          <t>Nachweis</t>
        </is>
      </c>
      <c r="D2601" s="10" t="inlineStr">
        <is>
          <t>⚠ Manual erforderlich</t>
        </is>
      </c>
      <c r="E2601" s="11" t="inlineStr"/>
      <c r="F2601" s="11" t="n">
        <v>0</v>
      </c>
      <c r="G2601" s="11">
        <f>E2601-F2601</f>
        <v/>
      </c>
      <c r="H2601" s="11" t="n">
        <v/>
      </c>
      <c r="I2601" s="11" t="n">
        <v/>
      </c>
      <c r="J2601" s="11" t="n">
        <v/>
      </c>
      <c r="K2601" s="4" t="inlineStr">
        <is>
          <t>Stundensätze eingeben</t>
        </is>
      </c>
    </row>
    <row r="2602">
      <c r="A2602" s="4" t="inlineStr">
        <is>
          <t>6151.01 SWSTU-BSK-Kesselstr23-Stuttgart</t>
        </is>
      </c>
      <c r="B2602" s="4" t="inlineStr">
        <is>
          <t>● NAT 2024-08-07 Pos. 1 Anp. BSK</t>
        </is>
      </c>
      <c r="C2602" s="9" t="inlineStr">
        <is>
          <t>Unbekannt</t>
        </is>
      </c>
      <c r="D2602" s="10" t="inlineStr">
        <is>
          <t>⚠ Manual erforderlich</t>
        </is>
      </c>
      <c r="E2602" s="11" t="inlineStr"/>
      <c r="F2602" s="11" t="n">
        <v>0</v>
      </c>
      <c r="G2602" s="11">
        <f>E2602-F2602</f>
        <v/>
      </c>
      <c r="H2602" s="11" t="n">
        <v/>
      </c>
      <c r="I2602" s="11" t="n">
        <v/>
      </c>
      <c r="J2602" s="11" t="n">
        <v/>
      </c>
      <c r="K2602" s="4" t="inlineStr">
        <is>
          <t>Abrechnungsart wählen; Stundensätze eingeben</t>
        </is>
      </c>
    </row>
    <row r="2603">
      <c r="A2603" s="4" t="inlineStr">
        <is>
          <t>6151.01 SWSTU-BSK-Kesselstr23-Stuttgart</t>
        </is>
      </c>
      <c r="B2603" s="4" t="inlineStr">
        <is>
          <t>● Begehung Bestand / Teilnahme Besprechungen (auf Nachweis)</t>
        </is>
      </c>
      <c r="C2603" s="9" t="inlineStr">
        <is>
          <t>Unbekannt</t>
        </is>
      </c>
      <c r="D2603" s="10" t="inlineStr">
        <is>
          <t>⚠ Manual erforderlich</t>
        </is>
      </c>
      <c r="E2603" s="11" t="inlineStr"/>
      <c r="F2603" s="11" t="n">
        <v>0</v>
      </c>
      <c r="G2603" s="11">
        <f>E2603-F2603</f>
        <v/>
      </c>
      <c r="H2603" s="11" t="n">
        <v/>
      </c>
      <c r="I2603" s="11" t="n">
        <v/>
      </c>
      <c r="J2603" s="11" t="n">
        <v/>
      </c>
      <c r="K2603" s="4" t="inlineStr">
        <is>
          <t>Abrechnungsart wählen; Stundensätze eingeben</t>
        </is>
      </c>
    </row>
    <row r="2604">
      <c r="A2604" s="4" t="inlineStr">
        <is>
          <t>6151.01 SWSTU-BSK-Kesselstr23-Stuttgart</t>
        </is>
      </c>
      <c r="B2604" s="4" t="inlineStr">
        <is>
          <t>● BSK (pauschal)</t>
        </is>
      </c>
      <c r="C2604" s="9" t="inlineStr">
        <is>
          <t>Unbekannt</t>
        </is>
      </c>
      <c r="D2604" s="10" t="inlineStr">
        <is>
          <t>⚠ Manual erforderlich</t>
        </is>
      </c>
      <c r="E2604" s="11" t="inlineStr"/>
      <c r="F2604" s="11" t="n">
        <v>0</v>
      </c>
      <c r="G2604" s="11">
        <f>E2604-F2604</f>
        <v/>
      </c>
      <c r="H2604" s="11" t="n">
        <v/>
      </c>
      <c r="I2604" s="11" t="n">
        <v/>
      </c>
      <c r="J2604" s="11" t="n">
        <v/>
      </c>
      <c r="K2604" s="4" t="inlineStr">
        <is>
          <t>Abrechnungsart wählen; Stundensätze eingeben</t>
        </is>
      </c>
    </row>
    <row r="2605">
      <c r="A2605" s="4" t="inlineStr">
        <is>
          <t>6151.01 SWSTU-BSK-Kesselstr23-Stuttgart</t>
        </is>
      </c>
      <c r="B2605" s="4" t="inlineStr">
        <is>
          <t>● Baubegleitung (auf Nachweis)</t>
        </is>
      </c>
      <c r="C2605" s="9" t="inlineStr">
        <is>
          <t>Unbekannt</t>
        </is>
      </c>
      <c r="D2605" s="10" t="inlineStr">
        <is>
          <t>⚠ Manual erforderlich</t>
        </is>
      </c>
      <c r="E2605" s="11" t="inlineStr"/>
      <c r="F2605" s="11" t="n">
        <v>0</v>
      </c>
      <c r="G2605" s="11">
        <f>E2605-F2605</f>
        <v/>
      </c>
      <c r="H2605" s="11" t="n">
        <v/>
      </c>
      <c r="I2605" s="11" t="n">
        <v/>
      </c>
      <c r="J2605" s="11" t="n">
        <v/>
      </c>
      <c r="K2605" s="4" t="inlineStr">
        <is>
          <t>Abrechnungsart wählen; Stundensätze eingeben</t>
        </is>
      </c>
    </row>
    <row r="2606">
      <c r="A2606" s="4" t="inlineStr">
        <is>
          <t>6151.01 SWSTU-BSK-Kesselstr23-Stuttgart</t>
        </is>
      </c>
      <c r="B2606" s="4" t="inlineStr">
        <is>
          <t>● FuR-Pläne (pauschal)</t>
        </is>
      </c>
      <c r="C2606" s="9" t="inlineStr">
        <is>
          <t>Unbekannt</t>
        </is>
      </c>
      <c r="D2606" s="10" t="inlineStr">
        <is>
          <t>⚠ Manual erforderlich</t>
        </is>
      </c>
      <c r="E2606" s="11" t="inlineStr"/>
      <c r="F2606" s="11" t="n">
        <v>0</v>
      </c>
      <c r="G2606" s="11">
        <f>E2606-F2606</f>
        <v/>
      </c>
      <c r="H2606" s="11" t="n">
        <v/>
      </c>
      <c r="I2606" s="11" t="n">
        <v/>
      </c>
      <c r="J2606" s="11" t="n">
        <v/>
      </c>
      <c r="K2606" s="4" t="inlineStr">
        <is>
          <t>Abrechnungsart wählen; Stundensätze eingeben</t>
        </is>
      </c>
    </row>
    <row r="2607">
      <c r="A2607" s="4" t="inlineStr">
        <is>
          <t>6151.01 SWSTU-BSK-Kesselstr23-Stuttgart</t>
        </is>
      </c>
      <c r="B2607" s="4" t="inlineStr">
        <is>
          <t>● FW-Pläne (pauschal)</t>
        </is>
      </c>
      <c r="C2607" s="9" t="inlineStr">
        <is>
          <t>Unbekannt</t>
        </is>
      </c>
      <c r="D2607" s="10" t="inlineStr">
        <is>
          <t>⚠ Manual erforderlich</t>
        </is>
      </c>
      <c r="E2607" s="11" t="inlineStr"/>
      <c r="F2607" s="11" t="n">
        <v>0</v>
      </c>
      <c r="G2607" s="11">
        <f>E2607-F2607</f>
        <v/>
      </c>
      <c r="H2607" s="11" t="n">
        <v/>
      </c>
      <c r="I2607" s="11" t="n">
        <v/>
      </c>
      <c r="J2607" s="11" t="n">
        <v/>
      </c>
      <c r="K2607" s="4" t="inlineStr">
        <is>
          <t>Abrechnungsart wählen; Stundensätze eingeben</t>
        </is>
      </c>
    </row>
    <row r="2608">
      <c r="A2608" s="4" t="inlineStr">
        <is>
          <t>6151.01 SWSTU-BSK-Kesselstr23-Stuttgart</t>
        </is>
      </c>
      <c r="B2608" s="4" t="inlineStr">
        <is>
          <t>● BSO A+B (pauschal)</t>
        </is>
      </c>
      <c r="C2608" s="9" t="inlineStr">
        <is>
          <t>Unbekannt</t>
        </is>
      </c>
      <c r="D2608" s="10" t="inlineStr">
        <is>
          <t>⚠ Manual erforderlich</t>
        </is>
      </c>
      <c r="E2608" s="11" t="inlineStr"/>
      <c r="F2608" s="11" t="n">
        <v>0</v>
      </c>
      <c r="G2608" s="11">
        <f>E2608-F2608</f>
        <v/>
      </c>
      <c r="H2608" s="11" t="n">
        <v/>
      </c>
      <c r="I2608" s="11" t="n">
        <v/>
      </c>
      <c r="J2608" s="11" t="n">
        <v/>
      </c>
      <c r="K2608" s="4" t="inlineStr">
        <is>
          <t>Abrechnungsart wählen; Stundensätze eingeben</t>
        </is>
      </c>
    </row>
    <row r="2609">
      <c r="A2609" s="4" t="inlineStr">
        <is>
          <t>6151.05 SWSTU-NAT-BSK-Kesselstr23-Stuttgart</t>
        </is>
      </c>
      <c r="B2609" s="4" t="inlineStr">
        <is>
          <t>● NAT 2024-08-07 Pos. 1 Anp. BSK</t>
        </is>
      </c>
      <c r="C2609" s="9" t="inlineStr">
        <is>
          <t>Unbekannt</t>
        </is>
      </c>
      <c r="D2609" s="10" t="inlineStr">
        <is>
          <t>⚠ Manual erforderlich</t>
        </is>
      </c>
      <c r="E2609" s="11" t="inlineStr"/>
      <c r="F2609" s="11" t="n">
        <v>0</v>
      </c>
      <c r="G2609" s="11">
        <f>E2609-F2609</f>
        <v/>
      </c>
      <c r="H2609" s="11" t="n">
        <v/>
      </c>
      <c r="I2609" s="11" t="n">
        <v/>
      </c>
      <c r="J2609" s="11" t="n">
        <v/>
      </c>
      <c r="K2609" s="4" t="inlineStr">
        <is>
          <t>Abrechnungsart wählen; Stundensätze eingeben</t>
        </is>
      </c>
    </row>
    <row r="2610">
      <c r="A2610" s="4" t="inlineStr">
        <is>
          <t>6151.06 SWS-FRP-Kesselstraße21-23-Stuttgart</t>
        </is>
      </c>
      <c r="B2610" s="4" t="inlineStr">
        <is>
          <t>● (aN) Pos. 2 Überarbeitung FRP</t>
        </is>
      </c>
      <c r="C2610" s="4" t="inlineStr">
        <is>
          <t>Nachweis</t>
        </is>
      </c>
      <c r="D2610" s="10" t="inlineStr">
        <is>
          <t>⚠ Manual erforderlich</t>
        </is>
      </c>
      <c r="E2610" s="11" t="inlineStr"/>
      <c r="F2610" s="11" t="n">
        <v>0</v>
      </c>
      <c r="G2610" s="11">
        <f>E2610-F2610</f>
        <v/>
      </c>
      <c r="H2610" s="11" t="n">
        <v/>
      </c>
      <c r="I2610" s="11" t="n">
        <v/>
      </c>
      <c r="J2610" s="11" t="n">
        <v/>
      </c>
      <c r="K2610" s="4" t="inlineStr">
        <is>
          <t>Stundensätze eingeben</t>
        </is>
      </c>
    </row>
    <row r="2611">
      <c r="A2611" s="4" t="inlineStr">
        <is>
          <t>6151.06 SWS-FRP-Kesselstraße21-23-Stuttgart</t>
        </is>
      </c>
      <c r="B2611" s="4" t="inlineStr">
        <is>
          <t>● (aN) Pos. 1 Begehung vor Ort</t>
        </is>
      </c>
      <c r="C2611" s="4" t="inlineStr">
        <is>
          <t>Nachweis</t>
        </is>
      </c>
      <c r="D2611" s="10" t="inlineStr">
        <is>
          <t>⚠ Manual erforderlich</t>
        </is>
      </c>
      <c r="E2611" s="11" t="inlineStr"/>
      <c r="F2611" s="11" t="n">
        <v>0</v>
      </c>
      <c r="G2611" s="11">
        <f>E2611-F2611</f>
        <v/>
      </c>
      <c r="H2611" s="11" t="n">
        <v/>
      </c>
      <c r="I2611" s="11" t="n">
        <v/>
      </c>
      <c r="J2611" s="11" t="n">
        <v/>
      </c>
      <c r="K2611" s="4" t="inlineStr">
        <is>
          <t>Stundensätze eingeben</t>
        </is>
      </c>
    </row>
    <row r="2612">
      <c r="A2612" s="4" t="inlineStr">
        <is>
          <t>6160.08 BAB-Traforaum-Westerbachstr47-Frankfurt</t>
        </is>
      </c>
      <c r="B2612" s="4" t="inlineStr">
        <is>
          <t>● (aN) Pos. 1 BAB - BT2 Traforaum</t>
        </is>
      </c>
      <c r="C2612" s="4" t="inlineStr">
        <is>
          <t>Nachweis</t>
        </is>
      </c>
      <c r="D2612" s="10" t="inlineStr">
        <is>
          <t>⚠ Manual erforderlich</t>
        </is>
      </c>
      <c r="E2612" s="11" t="inlineStr"/>
      <c r="F2612" s="11" t="n">
        <v>0</v>
      </c>
      <c r="G2612" s="11">
        <f>E2612-F2612</f>
        <v/>
      </c>
      <c r="H2612" s="11" t="n">
        <v/>
      </c>
      <c r="I2612" s="11" t="n">
        <v/>
      </c>
      <c r="J2612" s="11" t="n">
        <v/>
      </c>
      <c r="K2612" s="4" t="inlineStr">
        <is>
          <t>Stundensätze eingeben</t>
        </is>
      </c>
    </row>
    <row r="2613">
      <c r="A2613" s="4" t="inlineStr">
        <is>
          <t>6160.09 Drestate-BSK-NutzungsäBT2-Westerbachstr47-Frankfurt</t>
        </is>
      </c>
      <c r="B2613" s="4" t="inlineStr">
        <is>
          <t>● (p.) Erstellung Brandschutzkonzept</t>
        </is>
      </c>
      <c r="C2613" s="9" t="inlineStr">
        <is>
          <t>Unbekannt</t>
        </is>
      </c>
      <c r="D2613" s="10" t="inlineStr">
        <is>
          <t>⚠ Manual erforderlich</t>
        </is>
      </c>
      <c r="E2613" s="11" t="inlineStr"/>
      <c r="F2613" s="11" t="n">
        <v>0</v>
      </c>
      <c r="G2613" s="11">
        <f>E2613-F2613</f>
        <v/>
      </c>
      <c r="H2613" s="11" t="n">
        <v/>
      </c>
      <c r="I2613" s="11" t="n">
        <v/>
      </c>
      <c r="J2613" s="11" t="n">
        <v/>
      </c>
      <c r="K2613" s="4" t="inlineStr">
        <is>
          <t>Abrechnungsart wählen; Stundensätze eingeben</t>
        </is>
      </c>
    </row>
    <row r="2614">
      <c r="A2614" s="4" t="inlineStr">
        <is>
          <t>6160.10 Drestate-FWP-BT2-Westerbachstr47-Frankfurt</t>
        </is>
      </c>
      <c r="B2614" s="4" t="inlineStr">
        <is>
          <t>● (p) Pos. 1 Feuerwehrplan</t>
        </is>
      </c>
      <c r="C2614" s="4" t="inlineStr">
        <is>
          <t>Pauschale</t>
        </is>
      </c>
      <c r="D2614" s="10" t="inlineStr">
        <is>
          <t>⚠ Manual erforderlich</t>
        </is>
      </c>
      <c r="E2614" s="11" t="inlineStr"/>
      <c r="F2614" s="11" t="n">
        <v>0</v>
      </c>
      <c r="G2614" s="11">
        <f>E2614-F2614</f>
        <v/>
      </c>
      <c r="H2614" s="11" t="n">
        <v>0</v>
      </c>
      <c r="I2614" s="11" t="n">
        <v>0</v>
      </c>
      <c r="J2614" s="11" t="n">
        <v>0</v>
      </c>
      <c r="K2614" s="4" t="inlineStr">
        <is>
          <t>Stundensätze eingeben</t>
        </is>
      </c>
    </row>
    <row r="2615">
      <c r="A2615" s="4" t="inlineStr">
        <is>
          <t>6160.11 BAB-Bistro-Westerbachstr47-Frankfurt</t>
        </is>
      </c>
      <c r="B2615" s="4" t="inlineStr">
        <is>
          <t>● (aN) Pos. 1 Baubegleitende Brandschutzberatung und Qalitätsüberwachung</t>
        </is>
      </c>
      <c r="C2615" s="4" t="inlineStr">
        <is>
          <t>Nachweis</t>
        </is>
      </c>
      <c r="D2615" s="10" t="inlineStr">
        <is>
          <t>⚠ Manual erforderlich</t>
        </is>
      </c>
      <c r="E2615" s="11" t="inlineStr"/>
      <c r="F2615" s="11" t="n">
        <v>0</v>
      </c>
      <c r="G2615" s="11">
        <f>E2615-F2615</f>
        <v/>
      </c>
      <c r="H2615" s="11" t="n">
        <v/>
      </c>
      <c r="I2615" s="11" t="n">
        <v/>
      </c>
      <c r="J2615" s="11" t="n">
        <v/>
      </c>
      <c r="K2615" s="4" t="inlineStr">
        <is>
          <t>Stundensätze eingeben</t>
        </is>
      </c>
    </row>
    <row r="2616">
      <c r="A2616" s="4" t="inlineStr">
        <is>
          <t>6160.12 Drestate-BAB-Sanitätshaus-Westerbachstr47-Frankfurt</t>
        </is>
      </c>
      <c r="B2616" s="4" t="inlineStr">
        <is>
          <t>● (aN) Pos. 1 Baubegleitende Brandschutzberatung und Qalitätsüberwachung</t>
        </is>
      </c>
      <c r="C2616" s="4" t="inlineStr">
        <is>
          <t>Nachweis</t>
        </is>
      </c>
      <c r="D2616" s="10" t="inlineStr">
        <is>
          <t>⚠ Manual erforderlich</t>
        </is>
      </c>
      <c r="E2616" s="11" t="inlineStr"/>
      <c r="F2616" s="11" t="n">
        <v>0</v>
      </c>
      <c r="G2616" s="11">
        <f>E2616-F2616</f>
        <v/>
      </c>
      <c r="H2616" s="11" t="n">
        <v/>
      </c>
      <c r="I2616" s="11" t="n">
        <v/>
      </c>
      <c r="J2616" s="11" t="n">
        <v/>
      </c>
      <c r="K2616" s="4" t="inlineStr">
        <is>
          <t>Stundensätze eingeben</t>
        </is>
      </c>
    </row>
    <row r="2617">
      <c r="A2617" s="4" t="inlineStr">
        <is>
          <t>6164 Schulweg-6-Winterrieden</t>
        </is>
      </c>
      <c r="B2617" s="4" t="inlineStr">
        <is>
          <t>● Beratung Vorplanung (auf Nachweis)</t>
        </is>
      </c>
      <c r="C2617" s="9" t="inlineStr">
        <is>
          <t>Unbekannt</t>
        </is>
      </c>
      <c r="D2617" s="10" t="inlineStr">
        <is>
          <t>⚠ Manual erforderlich</t>
        </is>
      </c>
      <c r="E2617" s="11" t="inlineStr"/>
      <c r="F2617" s="11" t="n">
        <v>0</v>
      </c>
      <c r="G2617" s="11">
        <f>E2617-F2617</f>
        <v/>
      </c>
      <c r="H2617" s="11" t="n">
        <v/>
      </c>
      <c r="I2617" s="11" t="n">
        <v/>
      </c>
      <c r="J2617" s="11" t="n">
        <v/>
      </c>
      <c r="K2617" s="4" t="inlineStr">
        <is>
          <t>Abrechnungsart wählen; Stundensätze eingeben</t>
        </is>
      </c>
    </row>
    <row r="2618">
      <c r="A2618" s="4" t="inlineStr">
        <is>
          <t>6164 Schulweg-6-Winterrieden</t>
        </is>
      </c>
      <c r="B2618" s="4" t="inlineStr">
        <is>
          <t>● Brandschutzkonzept (pauschal)</t>
        </is>
      </c>
      <c r="C2618" s="9" t="inlineStr">
        <is>
          <t>Unbekannt</t>
        </is>
      </c>
      <c r="D2618" s="10" t="inlineStr">
        <is>
          <t>⚠ Manual erforderlich</t>
        </is>
      </c>
      <c r="E2618" s="11" t="inlineStr"/>
      <c r="F2618" s="11" t="n">
        <v>0</v>
      </c>
      <c r="G2618" s="11">
        <f>E2618-F2618</f>
        <v/>
      </c>
      <c r="H2618" s="11" t="n">
        <v/>
      </c>
      <c r="I2618" s="11" t="n">
        <v/>
      </c>
      <c r="J2618" s="11" t="n">
        <v/>
      </c>
      <c r="K2618" s="4" t="inlineStr">
        <is>
          <t>Abrechnungsart wählen; Stundensätze eingeben</t>
        </is>
      </c>
    </row>
    <row r="2619">
      <c r="A2619" s="4" t="inlineStr">
        <is>
          <t>6164 Schulweg-6-Winterrieden</t>
        </is>
      </c>
      <c r="B2619" s="4" t="inlineStr">
        <is>
          <t>● Baubegleitung (auf Nachweis)</t>
        </is>
      </c>
      <c r="C2619" s="9" t="inlineStr">
        <is>
          <t>Unbekannt</t>
        </is>
      </c>
      <c r="D2619" s="10" t="inlineStr">
        <is>
          <t>⚠ Manual erforderlich</t>
        </is>
      </c>
      <c r="E2619" s="11" t="inlineStr"/>
      <c r="F2619" s="11" t="n">
        <v>0</v>
      </c>
      <c r="G2619" s="11">
        <f>E2619-F2619</f>
        <v/>
      </c>
      <c r="H2619" s="11" t="n">
        <v/>
      </c>
      <c r="I2619" s="11" t="n">
        <v/>
      </c>
      <c r="J2619" s="11" t="n">
        <v/>
      </c>
      <c r="K2619" s="4" t="inlineStr">
        <is>
          <t>Abrechnungsart wählen; Stundensätze eingeben</t>
        </is>
      </c>
    </row>
    <row r="2620">
      <c r="A2620" s="4" t="inlineStr">
        <is>
          <t>6181.02 NAT-PHP-Funkturm-Hansastraße-1-Nürnberg-PrüfVBau</t>
        </is>
      </c>
      <c r="B2620" s="4" t="inlineStr">
        <is>
          <t>● (a.N.) NAT Prüf./Besch. Nachweis (Pos. 1)</t>
        </is>
      </c>
      <c r="C2620" s="4" t="inlineStr">
        <is>
          <t>Nachweis</t>
        </is>
      </c>
      <c r="D2620" s="10" t="inlineStr">
        <is>
          <t>⚠ Manual erforderlich</t>
        </is>
      </c>
      <c r="E2620" s="11" t="inlineStr"/>
      <c r="F2620" s="11" t="n">
        <v>0</v>
      </c>
      <c r="G2620" s="11">
        <f>E2620-F2620</f>
        <v/>
      </c>
      <c r="H2620" s="11" t="n">
        <v/>
      </c>
      <c r="I2620" s="11" t="n">
        <v/>
      </c>
      <c r="J2620" s="11" t="n">
        <v/>
      </c>
      <c r="K2620" s="4" t="inlineStr">
        <is>
          <t>Stundensätze eingeben</t>
        </is>
      </c>
    </row>
    <row r="2621">
      <c r="A2621" s="4" t="inlineStr">
        <is>
          <t>6181.02 NAT-PHP-Funkturm-Hansastraße-1-Nürnberg-PrüfVBau</t>
        </is>
      </c>
      <c r="B2621" s="4" t="inlineStr">
        <is>
          <t>● (a.N.) NAT Überwachung Bauausführung (Pos. 2)</t>
        </is>
      </c>
      <c r="C2621" s="4" t="inlineStr">
        <is>
          <t>Nachweis</t>
        </is>
      </c>
      <c r="D2621" s="10" t="inlineStr">
        <is>
          <t>⚠ Manual erforderlich</t>
        </is>
      </c>
      <c r="E2621" s="11" t="inlineStr"/>
      <c r="F2621" s="11" t="n">
        <v>0</v>
      </c>
      <c r="G2621" s="11">
        <f>E2621-F2621</f>
        <v/>
      </c>
      <c r="H2621" s="11" t="n">
        <v/>
      </c>
      <c r="I2621" s="11" t="n">
        <v/>
      </c>
      <c r="J2621" s="11" t="n">
        <v/>
      </c>
      <c r="K2621" s="4" t="inlineStr">
        <is>
          <t>Stundensätze eingeben</t>
        </is>
      </c>
    </row>
    <row r="2622">
      <c r="A2622" s="4" t="inlineStr">
        <is>
          <t>6181.02 NAT-PHP-Funkturm-Hansastraße-1-Nürnberg-PrüfVBau</t>
        </is>
      </c>
      <c r="B2622" s="4" t="inlineStr">
        <is>
          <t>● (a.N.) NAT brandschutzt. Abnahme (Pos. 3)</t>
        </is>
      </c>
      <c r="C2622" s="4" t="inlineStr">
        <is>
          <t>Nachweis</t>
        </is>
      </c>
      <c r="D2622" s="10" t="inlineStr">
        <is>
          <t>⚠ Manual erforderlich</t>
        </is>
      </c>
      <c r="E2622" s="11" t="inlineStr"/>
      <c r="F2622" s="11" t="n">
        <v>0</v>
      </c>
      <c r="G2622" s="11">
        <f>E2622-F2622</f>
        <v/>
      </c>
      <c r="H2622" s="11" t="n">
        <v/>
      </c>
      <c r="I2622" s="11" t="n">
        <v/>
      </c>
      <c r="J2622" s="11" t="n">
        <v/>
      </c>
      <c r="K2622" s="4" t="inlineStr">
        <is>
          <t>Stundensätze eingeben</t>
        </is>
      </c>
    </row>
    <row r="2623">
      <c r="A2623" s="4" t="inlineStr">
        <is>
          <t>6181.03 NAT-02-PHP-Funkturm-Hansastraße-1-Nürnberg-PrüfVBau</t>
        </is>
      </c>
      <c r="B2623" s="4" t="inlineStr">
        <is>
          <t>● (a.N.) Pos.1 NAT Brandschutztechn. Beratung (Planungsphase)</t>
        </is>
      </c>
      <c r="C2623" s="4" t="inlineStr">
        <is>
          <t>Nachweis</t>
        </is>
      </c>
      <c r="D2623" s="10" t="inlineStr">
        <is>
          <t>⚠ Manual erforderlich</t>
        </is>
      </c>
      <c r="E2623" s="11" t="inlineStr"/>
      <c r="F2623" s="11" t="n">
        <v>0</v>
      </c>
      <c r="G2623" s="11">
        <f>E2623-F2623</f>
        <v/>
      </c>
      <c r="H2623" s="11" t="n">
        <v/>
      </c>
      <c r="I2623" s="11" t="n">
        <v/>
      </c>
      <c r="J2623" s="11" t="n">
        <v/>
      </c>
      <c r="K2623" s="4" t="inlineStr">
        <is>
          <t>Stundensätze eingeben</t>
        </is>
      </c>
    </row>
    <row r="2624">
      <c r="A2624" s="4" t="inlineStr">
        <is>
          <t>6181.03 NAT-02-PHP-Funkturm-Hansastraße-1-Nürnberg-PrüfVBau</t>
        </is>
      </c>
      <c r="B2624" s="4" t="inlineStr">
        <is>
          <t>● (a.N.) Pos.2 NAT-Prüfunf+Besch. d. Nachweis auf Vollständig-u.Richtigkeit (Brandschutz I) k</t>
        </is>
      </c>
      <c r="C2624" s="4" t="inlineStr">
        <is>
          <t>Nachweis</t>
        </is>
      </c>
      <c r="D2624" s="10" t="inlineStr">
        <is>
          <t>⚠ Manual erforderlich</t>
        </is>
      </c>
      <c r="E2624" s="11" t="inlineStr"/>
      <c r="F2624" s="11" t="n">
        <v>0</v>
      </c>
      <c r="G2624" s="11">
        <f>E2624-F2624</f>
        <v/>
      </c>
      <c r="H2624" s="11" t="n">
        <v/>
      </c>
      <c r="I2624" s="11" t="n">
        <v/>
      </c>
      <c r="J2624" s="11" t="n">
        <v/>
      </c>
      <c r="K2624" s="4" t="inlineStr">
        <is>
          <t>Stundensätze eingeben</t>
        </is>
      </c>
    </row>
    <row r="2625">
      <c r="A2625" s="4" t="inlineStr">
        <is>
          <t>6181.03 NAT-02-PHP-Funkturm-Hansastraße-1-Nürnberg-PrüfVBau</t>
        </is>
      </c>
      <c r="B2625" s="4" t="inlineStr">
        <is>
          <t>● (a.N.) Pos.3 NAT-Überwachung Bauausführung (Brandschutz III)</t>
        </is>
      </c>
      <c r="C2625" s="4" t="inlineStr">
        <is>
          <t>Nachweis</t>
        </is>
      </c>
      <c r="D2625" s="10" t="inlineStr">
        <is>
          <t>⚠ Manual erforderlich</t>
        </is>
      </c>
      <c r="E2625" s="11" t="inlineStr"/>
      <c r="F2625" s="11" t="n">
        <v>0</v>
      </c>
      <c r="G2625" s="11">
        <f>E2625-F2625</f>
        <v/>
      </c>
      <c r="H2625" s="11" t="n">
        <v/>
      </c>
      <c r="I2625" s="11" t="n">
        <v/>
      </c>
      <c r="J2625" s="11" t="n">
        <v/>
      </c>
      <c r="K2625" s="4" t="inlineStr">
        <is>
          <t>Stundensätze eingeben</t>
        </is>
      </c>
    </row>
    <row r="2626">
      <c r="A2626" s="4" t="inlineStr">
        <is>
          <t>6196.04 BTB-Statistisches-Bundesamt-Gustav-Stresemann-Ring-11-Wiesbaden</t>
        </is>
      </c>
      <c r="B2626" s="4" t="inlineStr">
        <is>
          <t>● (a.N.) BTB</t>
        </is>
      </c>
      <c r="C2626" s="4" t="inlineStr">
        <is>
          <t>Nachweis</t>
        </is>
      </c>
      <c r="D2626" s="10" t="inlineStr">
        <is>
          <t>⚠ Manual erforderlich</t>
        </is>
      </c>
      <c r="E2626" s="11" t="inlineStr"/>
      <c r="F2626" s="11" t="n">
        <v>0</v>
      </c>
      <c r="G2626" s="11">
        <f>E2626-F2626</f>
        <v/>
      </c>
      <c r="H2626" s="11" t="n">
        <v/>
      </c>
      <c r="I2626" s="11" t="n">
        <v/>
      </c>
      <c r="J2626" s="11" t="n">
        <v/>
      </c>
      <c r="K2626" s="4" t="inlineStr">
        <is>
          <t>Stundensätze eingeben</t>
        </is>
      </c>
    </row>
    <row r="2627">
      <c r="A2627" s="4" t="inlineStr">
        <is>
          <t>6196.04 BTB-Statistisches-Bundesamt-Gustav-Stresemann-Ring-11-Wiesbaden</t>
        </is>
      </c>
      <c r="B2627" s="4" t="inlineStr">
        <is>
          <t>● (a.N.) FLA Beratungsleistungen (nachträglich vereinbart /dq)</t>
        </is>
      </c>
      <c r="C2627" s="4" t="inlineStr">
        <is>
          <t>Nachweis</t>
        </is>
      </c>
      <c r="D2627" s="10" t="inlineStr">
        <is>
          <t>⚠ Manual erforderlich</t>
        </is>
      </c>
      <c r="E2627" s="11" t="inlineStr"/>
      <c r="F2627" s="11" t="n">
        <v>0</v>
      </c>
      <c r="G2627" s="11">
        <f>E2627-F2627</f>
        <v/>
      </c>
      <c r="H2627" s="11" t="n">
        <v/>
      </c>
      <c r="I2627" s="11" t="n">
        <v/>
      </c>
      <c r="J2627" s="11" t="n">
        <v/>
      </c>
      <c r="K2627" s="4" t="inlineStr">
        <is>
          <t>Stundensätze eingeben</t>
        </is>
      </c>
    </row>
    <row r="2628">
      <c r="A2628" s="4" t="inlineStr">
        <is>
          <t>6197 Liebigstraße-38-Frankfurt-HPPVO</t>
        </is>
      </c>
      <c r="B2628" s="4" t="inlineStr">
        <is>
          <t>● Prüfung BSN (auf Nachweis)</t>
        </is>
      </c>
      <c r="C2628" s="9" t="inlineStr">
        <is>
          <t>Unbekannt</t>
        </is>
      </c>
      <c r="D2628" s="10" t="inlineStr">
        <is>
          <t>⚠ Manual erforderlich</t>
        </is>
      </c>
      <c r="E2628" s="11" t="inlineStr"/>
      <c r="F2628" s="11" t="n">
        <v>0</v>
      </c>
      <c r="G2628" s="11">
        <f>E2628-F2628</f>
        <v/>
      </c>
      <c r="H2628" s="11" t="n">
        <v/>
      </c>
      <c r="I2628" s="11" t="n">
        <v/>
      </c>
      <c r="J2628" s="11" t="n">
        <v/>
      </c>
      <c r="K2628" s="4" t="inlineStr">
        <is>
          <t>Abrechnungsart wählen; Stundensätze eingeben</t>
        </is>
      </c>
    </row>
    <row r="2629">
      <c r="A2629" s="4" t="inlineStr">
        <is>
          <t>6197 Liebigstraße-38-Frankfurt-HPPVO</t>
        </is>
      </c>
      <c r="B2629" s="4" t="inlineStr">
        <is>
          <t>● Überwachung Bauausführung (auf Nachweis)</t>
        </is>
      </c>
      <c r="C2629" s="9" t="inlineStr">
        <is>
          <t>Unbekannt</t>
        </is>
      </c>
      <c r="D2629" s="10" t="inlineStr">
        <is>
          <t>⚠ Manual erforderlich</t>
        </is>
      </c>
      <c r="E2629" s="11" t="inlineStr"/>
      <c r="F2629" s="11" t="n">
        <v>0</v>
      </c>
      <c r="G2629" s="11">
        <f>E2629-F2629</f>
        <v/>
      </c>
      <c r="H2629" s="11" t="n">
        <v/>
      </c>
      <c r="I2629" s="11" t="n">
        <v/>
      </c>
      <c r="J2629" s="11" t="n">
        <v/>
      </c>
      <c r="K2629" s="4" t="inlineStr">
        <is>
          <t>Abrechnungsart wählen; Stundensätze eingeben</t>
        </is>
      </c>
    </row>
    <row r="2630">
      <c r="A2630" s="4" t="inlineStr">
        <is>
          <t>6207.02 BSK-überarbeitet-KiTa-Schanzenstr55-Eich</t>
        </is>
      </c>
      <c r="B2630" s="4" t="inlineStr">
        <is>
          <t>● (aN) 2 Ortstermine / 2 Abstimmungstermine</t>
        </is>
      </c>
      <c r="C2630" s="4" t="inlineStr">
        <is>
          <t>Nachweis</t>
        </is>
      </c>
      <c r="D2630" s="10" t="inlineStr">
        <is>
          <t>⚠ Manual erforderlich</t>
        </is>
      </c>
      <c r="E2630" s="11" t="inlineStr"/>
      <c r="F2630" s="11" t="n">
        <v>0</v>
      </c>
      <c r="G2630" s="11">
        <f>E2630-F2630</f>
        <v/>
      </c>
      <c r="H2630" s="11" t="n">
        <v/>
      </c>
      <c r="I2630" s="11" t="n">
        <v/>
      </c>
      <c r="J2630" s="11" t="n">
        <v/>
      </c>
      <c r="K2630" s="4" t="inlineStr">
        <is>
          <t>Stundensätze eingeben</t>
        </is>
      </c>
    </row>
    <row r="2631">
      <c r="A2631" s="4" t="inlineStr">
        <is>
          <t>6207.02 BSK-überarbeitet-KiTa-Schanzenstr55-Eich</t>
        </is>
      </c>
      <c r="B2631" s="4" t="inlineStr">
        <is>
          <t>● (p) Erstellung BSK</t>
        </is>
      </c>
      <c r="C2631" s="4" t="inlineStr">
        <is>
          <t>Pauschale</t>
        </is>
      </c>
      <c r="D2631" s="10" t="inlineStr">
        <is>
          <t>⚠ Manual erforderlich</t>
        </is>
      </c>
      <c r="E2631" s="11" t="inlineStr"/>
      <c r="F2631" s="11" t="n">
        <v>0</v>
      </c>
      <c r="G2631" s="11">
        <f>E2631-F2631</f>
        <v/>
      </c>
      <c r="H2631" s="11" t="n">
        <v>0</v>
      </c>
      <c r="I2631" s="11" t="n">
        <v>0</v>
      </c>
      <c r="J2631" s="11" t="n">
        <v>0</v>
      </c>
      <c r="K2631" s="4" t="inlineStr">
        <is>
          <t>Stundensätze eingeben</t>
        </is>
      </c>
    </row>
    <row r="2632">
      <c r="A2632" s="4" t="inlineStr">
        <is>
          <t>6208.05 BSB-2025-Deutsche-Telekom-Allee-7-Darmstadt</t>
        </is>
      </c>
      <c r="B2632" s="4" t="inlineStr">
        <is>
          <t>● (a.N.) Brandschutzbeauftragter 2025</t>
        </is>
      </c>
      <c r="C2632" s="4" t="inlineStr">
        <is>
          <t>Nachweis</t>
        </is>
      </c>
      <c r="D2632" s="10" t="inlineStr">
        <is>
          <t>⚠ Manual erforderlich</t>
        </is>
      </c>
      <c r="E2632" s="11" t="inlineStr"/>
      <c r="F2632" s="11" t="n">
        <v>0</v>
      </c>
      <c r="G2632" s="11">
        <f>E2632-F2632</f>
        <v/>
      </c>
      <c r="H2632" s="11" t="n">
        <v/>
      </c>
      <c r="I2632" s="11" t="n">
        <v/>
      </c>
      <c r="J2632" s="11" t="n">
        <v/>
      </c>
      <c r="K2632" s="4" t="inlineStr">
        <is>
          <t>Stundensätze eingeben</t>
        </is>
      </c>
    </row>
    <row r="2633">
      <c r="A2633" s="4" t="inlineStr">
        <is>
          <t>6209.05 BSB-2025-Deutsche-Telekom-Allee-9-Darmstadt</t>
        </is>
      </c>
      <c r="B2633" s="4" t="inlineStr">
        <is>
          <t>● (a.N.) Brandschutzbeauftragter 2025</t>
        </is>
      </c>
      <c r="C2633" s="4" t="inlineStr">
        <is>
          <t>Nachweis</t>
        </is>
      </c>
      <c r="D2633" s="10" t="inlineStr">
        <is>
          <t>⚠ Manual erforderlich</t>
        </is>
      </c>
      <c r="E2633" s="11" t="inlineStr"/>
      <c r="F2633" s="11" t="n">
        <v>0</v>
      </c>
      <c r="G2633" s="11">
        <f>E2633-F2633</f>
        <v/>
      </c>
      <c r="H2633" s="11" t="n">
        <v/>
      </c>
      <c r="I2633" s="11" t="n">
        <v/>
      </c>
      <c r="J2633" s="11" t="n">
        <v/>
      </c>
      <c r="K2633" s="4" t="inlineStr">
        <is>
          <t>Stundensätze eingeben</t>
        </is>
      </c>
    </row>
    <row r="2634">
      <c r="A2634" s="4" t="inlineStr">
        <is>
          <t>6211.01 Marktstraße-2-Stuttgart-Haus-des-Tourismus</t>
        </is>
      </c>
      <c r="B2634" s="4" t="inlineStr">
        <is>
          <t>● LP1 GL (pauschal)</t>
        </is>
      </c>
      <c r="C2634" s="9" t="inlineStr">
        <is>
          <t>Unbekannt</t>
        </is>
      </c>
      <c r="D2634" s="10" t="inlineStr">
        <is>
          <t>⚠ Manual erforderlich</t>
        </is>
      </c>
      <c r="E2634" s="11" t="inlineStr"/>
      <c r="F2634" s="11" t="n">
        <v>0</v>
      </c>
      <c r="G2634" s="11">
        <f>E2634-F2634</f>
        <v/>
      </c>
      <c r="H2634" s="11" t="n">
        <v/>
      </c>
      <c r="I2634" s="11" t="n">
        <v/>
      </c>
      <c r="J2634" s="11" t="n">
        <v/>
      </c>
      <c r="K2634" s="4" t="inlineStr">
        <is>
          <t>Abrechnungsart wählen; Stundensätze eingeben</t>
        </is>
      </c>
    </row>
    <row r="2635">
      <c r="A2635" s="4" t="inlineStr">
        <is>
          <t>6211.01 Marktstraße-2-Stuttgart-Haus-des-Tourismus</t>
        </is>
      </c>
      <c r="B2635" s="4" t="inlineStr">
        <is>
          <t>● LP2 (pauschal)</t>
        </is>
      </c>
      <c r="C2635" s="9" t="inlineStr">
        <is>
          <t>Unbekannt</t>
        </is>
      </c>
      <c r="D2635" s="10" t="inlineStr">
        <is>
          <t>⚠ Manual erforderlich</t>
        </is>
      </c>
      <c r="E2635" s="11" t="inlineStr"/>
      <c r="F2635" s="11" t="n">
        <v>0</v>
      </c>
      <c r="G2635" s="11">
        <f>E2635-F2635</f>
        <v/>
      </c>
      <c r="H2635" s="11" t="n">
        <v/>
      </c>
      <c r="I2635" s="11" t="n">
        <v/>
      </c>
      <c r="J2635" s="11" t="n">
        <v/>
      </c>
      <c r="K2635" s="4" t="inlineStr">
        <is>
          <t>Abrechnungsart wählen; Stundensätze eingeben</t>
        </is>
      </c>
    </row>
    <row r="2636">
      <c r="A2636" s="4" t="inlineStr">
        <is>
          <t>6211.01 Marktstraße-2-Stuttgart-Haus-des-Tourismus</t>
        </is>
      </c>
      <c r="B2636" s="4" t="inlineStr">
        <is>
          <t>● LP3 (pauschal)</t>
        </is>
      </c>
      <c r="C2636" s="9" t="inlineStr">
        <is>
          <t>Unbekannt</t>
        </is>
      </c>
      <c r="D2636" s="10" t="inlineStr">
        <is>
          <t>⚠ Manual erforderlich</t>
        </is>
      </c>
      <c r="E2636" s="11" t="inlineStr"/>
      <c r="F2636" s="11" t="n">
        <v>0</v>
      </c>
      <c r="G2636" s="11">
        <f>E2636-F2636</f>
        <v/>
      </c>
      <c r="H2636" s="11" t="n">
        <v/>
      </c>
      <c r="I2636" s="11" t="n">
        <v/>
      </c>
      <c r="J2636" s="11" t="n">
        <v/>
      </c>
      <c r="K2636" s="4" t="inlineStr">
        <is>
          <t>Abrechnungsart wählen; Stundensätze eingeben</t>
        </is>
      </c>
    </row>
    <row r="2637">
      <c r="A2637" s="4" t="inlineStr">
        <is>
          <t>6211.01 Marktstraße-2-Stuttgart-Haus-des-Tourismus</t>
        </is>
      </c>
      <c r="B2637" s="4" t="inlineStr">
        <is>
          <t>● LP4 (pauschal)</t>
        </is>
      </c>
      <c r="C2637" s="9" t="inlineStr">
        <is>
          <t>Unbekannt</t>
        </is>
      </c>
      <c r="D2637" s="10" t="inlineStr">
        <is>
          <t>⚠ Manual erforderlich</t>
        </is>
      </c>
      <c r="E2637" s="11" t="inlineStr"/>
      <c r="F2637" s="11" t="n">
        <v>0</v>
      </c>
      <c r="G2637" s="11">
        <f>E2637-F2637</f>
        <v/>
      </c>
      <c r="H2637" s="11" t="n">
        <v/>
      </c>
      <c r="I2637" s="11" t="n">
        <v/>
      </c>
      <c r="J2637" s="11" t="n">
        <v/>
      </c>
      <c r="K2637" s="4" t="inlineStr">
        <is>
          <t>Abrechnungsart wählen; Stundensätze eingeben</t>
        </is>
      </c>
    </row>
    <row r="2638">
      <c r="A2638" s="4" t="inlineStr">
        <is>
          <t>6211.01 Marktstraße-2-Stuttgart-Haus-des-Tourismus</t>
        </is>
      </c>
      <c r="B2638" s="4" t="inlineStr">
        <is>
          <t>● LP 5 + NAT BSK - Fortschr. d. genehmigten BSK (pauschal)</t>
        </is>
      </c>
      <c r="C2638" s="9" t="inlineStr">
        <is>
          <t>Unbekannt</t>
        </is>
      </c>
      <c r="D2638" s="10" t="inlineStr">
        <is>
          <t>⚠ Manual erforderlich</t>
        </is>
      </c>
      <c r="E2638" s="11" t="inlineStr"/>
      <c r="F2638" s="11" t="n">
        <v>0</v>
      </c>
      <c r="G2638" s="11">
        <f>E2638-F2638</f>
        <v/>
      </c>
      <c r="H2638" s="11" t="n">
        <v/>
      </c>
      <c r="I2638" s="11" t="n">
        <v/>
      </c>
      <c r="J2638" s="11" t="n">
        <v/>
      </c>
      <c r="K2638" s="4" t="inlineStr">
        <is>
          <t>Abrechnungsart wählen; Stundensätze eingeben</t>
        </is>
      </c>
    </row>
    <row r="2639">
      <c r="A2639" s="4" t="inlineStr">
        <is>
          <t>6211.01 Marktstraße-2-Stuttgart-Haus-des-Tourismus</t>
        </is>
      </c>
      <c r="B2639" s="4" t="inlineStr">
        <is>
          <t>● LP 8 (pauschal)</t>
        </is>
      </c>
      <c r="C2639" s="9" t="inlineStr">
        <is>
          <t>Unbekannt</t>
        </is>
      </c>
      <c r="D2639" s="10" t="inlineStr">
        <is>
          <t>⚠ Manual erforderlich</t>
        </is>
      </c>
      <c r="E2639" s="11" t="inlineStr"/>
      <c r="F2639" s="11" t="n">
        <v>0</v>
      </c>
      <c r="G2639" s="11">
        <f>E2639-F2639</f>
        <v/>
      </c>
      <c r="H2639" s="11" t="n">
        <v/>
      </c>
      <c r="I2639" s="11" t="n">
        <v/>
      </c>
      <c r="J2639" s="11" t="n">
        <v/>
      </c>
      <c r="K2639" s="4" t="inlineStr">
        <is>
          <t>Abrechnungsart wählen; Stundensätze eingeben</t>
        </is>
      </c>
    </row>
    <row r="2640">
      <c r="A2640" s="4" t="inlineStr">
        <is>
          <t>6211.01 Marktstraße-2-Stuttgart-Haus-des-Tourismus</t>
        </is>
      </c>
      <c r="B2640" s="4" t="inlineStr">
        <is>
          <t>● (aN) LP 8 BL + NAT BSK - zusätzl. Beratungsleistungen i.d. Planungsphase</t>
        </is>
      </c>
      <c r="C2640" s="4" t="inlineStr">
        <is>
          <t>Nachweis</t>
        </is>
      </c>
      <c r="D2640" s="10" t="inlineStr">
        <is>
          <t>⚠ Manual erforderlich</t>
        </is>
      </c>
      <c r="E2640" s="11" t="inlineStr"/>
      <c r="F2640" s="11" t="n">
        <v>0</v>
      </c>
      <c r="G2640" s="11">
        <f>E2640-F2640</f>
        <v/>
      </c>
      <c r="H2640" s="11" t="n">
        <v/>
      </c>
      <c r="I2640" s="11" t="n">
        <v/>
      </c>
      <c r="J2640" s="11" t="n">
        <v/>
      </c>
      <c r="K2640" s="4" t="inlineStr">
        <is>
          <t>Stundensätze eingeben</t>
        </is>
      </c>
    </row>
    <row r="2641">
      <c r="A2641" s="4" t="inlineStr">
        <is>
          <t>6211.01 Marktstraße-2-Stuttgart-Haus-des-Tourismus</t>
        </is>
      </c>
      <c r="B2641" s="4" t="inlineStr">
        <is>
          <t>● FuR-Pläne (pauschal)</t>
        </is>
      </c>
      <c r="C2641" s="9" t="inlineStr">
        <is>
          <t>Unbekannt</t>
        </is>
      </c>
      <c r="D2641" s="10" t="inlineStr">
        <is>
          <t>⚠ Manual erforderlich</t>
        </is>
      </c>
      <c r="E2641" s="11" t="inlineStr"/>
      <c r="F2641" s="11" t="n">
        <v>0</v>
      </c>
      <c r="G2641" s="11">
        <f>E2641-F2641</f>
        <v/>
      </c>
      <c r="H2641" s="11" t="n">
        <v/>
      </c>
      <c r="I2641" s="11" t="n">
        <v/>
      </c>
      <c r="J2641" s="11" t="n">
        <v/>
      </c>
      <c r="K2641" s="4" t="inlineStr">
        <is>
          <t>Abrechnungsart wählen; Stundensätze eingeben</t>
        </is>
      </c>
    </row>
    <row r="2642">
      <c r="A2642" s="4" t="inlineStr">
        <is>
          <t>6211.01 Marktstraße-2-Stuttgart-Haus-des-Tourismus</t>
        </is>
      </c>
      <c r="B2642" s="4" t="inlineStr">
        <is>
          <t>● FW-Pläne (pauschal)</t>
        </is>
      </c>
      <c r="C2642" s="9" t="inlineStr">
        <is>
          <t>Unbekannt</t>
        </is>
      </c>
      <c r="D2642" s="10" t="inlineStr">
        <is>
          <t>⚠ Manual erforderlich</t>
        </is>
      </c>
      <c r="E2642" s="11" t="inlineStr"/>
      <c r="F2642" s="11" t="n">
        <v>0</v>
      </c>
      <c r="G2642" s="11">
        <f>E2642-F2642</f>
        <v/>
      </c>
      <c r="H2642" s="11" t="n">
        <v/>
      </c>
      <c r="I2642" s="11" t="n">
        <v/>
      </c>
      <c r="J2642" s="11" t="n">
        <v/>
      </c>
      <c r="K2642" s="4" t="inlineStr">
        <is>
          <t>Abrechnungsart wählen; Stundensätze eingeben</t>
        </is>
      </c>
    </row>
    <row r="2643">
      <c r="A2643" s="4" t="inlineStr">
        <is>
          <t>6211.01 Marktstraße-2-Stuttgart-Haus-des-Tourismus</t>
        </is>
      </c>
      <c r="B2643" s="4" t="inlineStr">
        <is>
          <t>● BSO A-C (pauschal)</t>
        </is>
      </c>
      <c r="C2643" s="9" t="inlineStr">
        <is>
          <t>Unbekannt</t>
        </is>
      </c>
      <c r="D2643" s="10" t="inlineStr">
        <is>
          <t>⚠ Manual erforderlich</t>
        </is>
      </c>
      <c r="E2643" s="11" t="inlineStr"/>
      <c r="F2643" s="11" t="n">
        <v>0</v>
      </c>
      <c r="G2643" s="11">
        <f>E2643-F2643</f>
        <v/>
      </c>
      <c r="H2643" s="11" t="n">
        <v/>
      </c>
      <c r="I2643" s="11" t="n">
        <v/>
      </c>
      <c r="J2643" s="11" t="n">
        <v/>
      </c>
      <c r="K2643" s="4" t="inlineStr">
        <is>
          <t>Abrechnungsart wählen; Stundensätze eingeben</t>
        </is>
      </c>
    </row>
    <row r="2644">
      <c r="A2644" s="4" t="inlineStr">
        <is>
          <t>6211.01 Marktstraße-2-Stuttgart-Haus-des-Tourismus</t>
        </is>
      </c>
      <c r="B2644" s="4" t="inlineStr">
        <is>
          <t>● Berechnen Löschmitteleinheiten (auf Nachweis)</t>
        </is>
      </c>
      <c r="C2644" s="9" t="inlineStr">
        <is>
          <t>Unbekannt</t>
        </is>
      </c>
      <c r="D2644" s="10" t="inlineStr">
        <is>
          <t>⚠ Manual erforderlich</t>
        </is>
      </c>
      <c r="E2644" s="11" t="inlineStr"/>
      <c r="F2644" s="11" t="n">
        <v>0</v>
      </c>
      <c r="G2644" s="11">
        <f>E2644-F2644</f>
        <v/>
      </c>
      <c r="H2644" s="11" t="n">
        <v/>
      </c>
      <c r="I2644" s="11" t="n">
        <v/>
      </c>
      <c r="J2644" s="11" t="n">
        <v/>
      </c>
      <c r="K2644" s="4" t="inlineStr">
        <is>
          <t>Abrechnungsart wählen; Stundensätze eingeben</t>
        </is>
      </c>
    </row>
    <row r="2645">
      <c r="A2645" s="4" t="inlineStr">
        <is>
          <t>6211.02 RMK-Marktstraße-2-Stuttgart</t>
        </is>
      </c>
      <c r="B2645" s="4" t="inlineStr">
        <is>
          <t>● (p) Pos.1 Erstellung eines Räumungskonzeptes</t>
        </is>
      </c>
      <c r="C2645" s="4" t="inlineStr">
        <is>
          <t>Pauschale</t>
        </is>
      </c>
      <c r="D2645" s="10" t="inlineStr">
        <is>
          <t>⚠ Manual erforderlich</t>
        </is>
      </c>
      <c r="E2645" s="11" t="inlineStr"/>
      <c r="F2645" s="11" t="n">
        <v>0</v>
      </c>
      <c r="G2645" s="11">
        <f>E2645-F2645</f>
        <v/>
      </c>
      <c r="H2645" s="11" t="n">
        <v>0</v>
      </c>
      <c r="I2645" s="11" t="n">
        <v>0</v>
      </c>
      <c r="J2645" s="11" t="n">
        <v>0</v>
      </c>
      <c r="K2645" s="4" t="inlineStr">
        <is>
          <t>Stundensätze eingeben</t>
        </is>
      </c>
    </row>
    <row r="2646">
      <c r="A2646" s="4" t="inlineStr">
        <is>
          <t>6216 Frankfurter-Straße-122-132-Offenbach</t>
        </is>
      </c>
      <c r="B2646" s="4" t="inlineStr">
        <is>
          <t>● Beratung Trennung Trink-/Löschwasser (auf Nachweis)</t>
        </is>
      </c>
      <c r="C2646" s="9" t="inlineStr">
        <is>
          <t>Unbekannt</t>
        </is>
      </c>
      <c r="D2646" s="10" t="inlineStr">
        <is>
          <t>⚠ Manual erforderlich</t>
        </is>
      </c>
      <c r="E2646" s="11" t="inlineStr"/>
      <c r="F2646" s="11" t="n">
        <v>0</v>
      </c>
      <c r="G2646" s="11">
        <f>E2646-F2646</f>
        <v/>
      </c>
      <c r="H2646" s="11" t="n">
        <v/>
      </c>
      <c r="I2646" s="11" t="n">
        <v/>
      </c>
      <c r="J2646" s="11" t="n">
        <v/>
      </c>
      <c r="K2646" s="4" t="inlineStr">
        <is>
          <t>Abrechnungsart wählen; Stundensätze eingeben</t>
        </is>
      </c>
    </row>
    <row r="2647">
      <c r="A2647" s="4" t="inlineStr">
        <is>
          <t>6222.01 Terex-PLA-Austausch-Schaummittel-Industriestr3-Bad-Schönborn</t>
        </is>
      </c>
      <c r="B2647" s="4" t="inlineStr">
        <is>
          <t>● (aN) Pos. 1 Grundlagenermittlung (Fachplaner)</t>
        </is>
      </c>
      <c r="C2647" s="4" t="inlineStr">
        <is>
          <t>Nachweis</t>
        </is>
      </c>
      <c r="D2647" s="10" t="inlineStr">
        <is>
          <t>⚠ Manual erforderlich</t>
        </is>
      </c>
      <c r="E2647" s="11" t="inlineStr"/>
      <c r="F2647" s="11" t="n">
        <v>0</v>
      </c>
      <c r="G2647" s="11">
        <f>E2647-F2647</f>
        <v/>
      </c>
      <c r="H2647" s="11" t="n">
        <v/>
      </c>
      <c r="I2647" s="11" t="n">
        <v/>
      </c>
      <c r="J2647" s="11" t="n">
        <v/>
      </c>
      <c r="K2647" s="4" t="inlineStr">
        <is>
          <t>Stundensätze eingeben</t>
        </is>
      </c>
    </row>
    <row r="2648">
      <c r="A2648" s="4" t="inlineStr">
        <is>
          <t>6222.01 Terex-PLA-Austausch-Schaummittel-Industriestr3-Bad-Schönborn</t>
        </is>
      </c>
      <c r="B2648" s="4" t="inlineStr">
        <is>
          <t>● (p) Pos. 2 Auftragsbearbeitung 100€</t>
        </is>
      </c>
      <c r="C2648" s="4" t="inlineStr">
        <is>
          <t>Pauschale</t>
        </is>
      </c>
      <c r="D2648" s="10" t="inlineStr">
        <is>
          <t>⚠ Manual erforderlich</t>
        </is>
      </c>
      <c r="E2648" s="11" t="inlineStr"/>
      <c r="F2648" s="11" t="n">
        <v>0</v>
      </c>
      <c r="G2648" s="11">
        <f>E2648-F2648</f>
        <v/>
      </c>
      <c r="H2648" s="11" t="n">
        <v>0</v>
      </c>
      <c r="I2648" s="11" t="n">
        <v>0</v>
      </c>
      <c r="J2648" s="11" t="n">
        <v>0</v>
      </c>
      <c r="K2648" s="4" t="inlineStr">
        <is>
          <t>Stundensätze eingeben</t>
        </is>
      </c>
    </row>
    <row r="2649">
      <c r="A2649" s="4" t="inlineStr">
        <is>
          <t>6225 Umspannwerk-Höchst-Schützenbleiche</t>
        </is>
      </c>
      <c r="B2649" s="4" t="inlineStr">
        <is>
          <t>● FW-Pläne (pauschal)</t>
        </is>
      </c>
      <c r="C2649" s="9" t="inlineStr">
        <is>
          <t>Unbekannt</t>
        </is>
      </c>
      <c r="D2649" s="10" t="inlineStr">
        <is>
          <t>⚠ Manual erforderlich</t>
        </is>
      </c>
      <c r="E2649" s="11" t="inlineStr"/>
      <c r="F2649" s="11" t="n">
        <v>0</v>
      </c>
      <c r="G2649" s="11">
        <f>E2649-F2649</f>
        <v/>
      </c>
      <c r="H2649" s="11" t="n">
        <v/>
      </c>
      <c r="I2649" s="11" t="n">
        <v/>
      </c>
      <c r="J2649" s="11" t="n">
        <v/>
      </c>
      <c r="K2649" s="4" t="inlineStr">
        <is>
          <t>Abrechnungsart wählen; Stundensätze eingeben</t>
        </is>
      </c>
    </row>
    <row r="2650">
      <c r="A2650" s="4" t="inlineStr">
        <is>
          <t>6228.03 FWP-DLZ2-Mainzer-Landstraße-151-Frankfurt</t>
        </is>
      </c>
      <c r="B2650" s="4" t="inlineStr">
        <is>
          <t>● (p) Pos.1 Aktualisierung FWP DLZ 2</t>
        </is>
      </c>
      <c r="C2650" s="4" t="inlineStr">
        <is>
          <t>Pauschale</t>
        </is>
      </c>
      <c r="D2650" s="10" t="inlineStr">
        <is>
          <t>⚠ Manual erforderlich</t>
        </is>
      </c>
      <c r="E2650" s="11" t="inlineStr"/>
      <c r="F2650" s="11" t="n">
        <v>0</v>
      </c>
      <c r="G2650" s="11">
        <f>E2650-F2650</f>
        <v/>
      </c>
      <c r="H2650" s="11" t="n">
        <v>0</v>
      </c>
      <c r="I2650" s="11" t="n">
        <v>0</v>
      </c>
      <c r="J2650" s="11" t="n">
        <v>0</v>
      </c>
      <c r="K2650" s="4" t="inlineStr">
        <is>
          <t>Stundensätze eingeben</t>
        </is>
      </c>
    </row>
    <row r="2651">
      <c r="A2651" s="4" t="inlineStr">
        <is>
          <t>6228.03 FWP-DLZ2-Mainzer-Landstraße-151-Frankfurt</t>
        </is>
      </c>
      <c r="B2651" s="4" t="inlineStr">
        <is>
          <t>● (p) Pos.2 Übersendung d. Plandateoien im PDF+DWG-Format</t>
        </is>
      </c>
      <c r="C2651" s="4" t="inlineStr">
        <is>
          <t>Pauschale</t>
        </is>
      </c>
      <c r="D2651" s="10" t="inlineStr">
        <is>
          <t>⚠ Manual erforderlich</t>
        </is>
      </c>
      <c r="E2651" s="11" t="inlineStr"/>
      <c r="F2651" s="11" t="n">
        <v>0</v>
      </c>
      <c r="G2651" s="11">
        <f>E2651-F2651</f>
        <v/>
      </c>
      <c r="H2651" s="11" t="n">
        <v>0</v>
      </c>
      <c r="I2651" s="11" t="n">
        <v>0</v>
      </c>
      <c r="J2651" s="11" t="n">
        <v>0</v>
      </c>
      <c r="K2651" s="4" t="inlineStr">
        <is>
          <t>Stundensätze eingeben</t>
        </is>
      </c>
    </row>
    <row r="2652">
      <c r="A2652" s="4" t="inlineStr">
        <is>
          <t>6231 ASB-Ramonville-Straße-27-Karben-Rahmenvereinbarung</t>
        </is>
      </c>
      <c r="B2652" s="4" t="inlineStr">
        <is>
          <t>● Beratung (auf Nachweis)</t>
        </is>
      </c>
      <c r="C2652" s="9" t="inlineStr">
        <is>
          <t>Unbekannt</t>
        </is>
      </c>
      <c r="D2652" s="10" t="inlineStr">
        <is>
          <t>⚠ Manual erforderlich</t>
        </is>
      </c>
      <c r="E2652" s="11" t="inlineStr"/>
      <c r="F2652" s="11" t="n">
        <v>0</v>
      </c>
      <c r="G2652" s="11">
        <f>E2652-F2652</f>
        <v/>
      </c>
      <c r="H2652" s="11" t="n">
        <v/>
      </c>
      <c r="I2652" s="11" t="n">
        <v/>
      </c>
      <c r="J2652" s="11" t="n">
        <v/>
      </c>
      <c r="K2652" s="4" t="inlineStr">
        <is>
          <t>Abrechnungsart wählen; Stundensätze eingeben</t>
        </is>
      </c>
    </row>
    <row r="2653">
      <c r="A2653" s="4" t="inlineStr">
        <is>
          <t>6231.01 BSK-ASB-Ramonville-Straße-27-Karben</t>
        </is>
      </c>
      <c r="B2653" s="4" t="inlineStr">
        <is>
          <t>● BSK zum Bauantrag (auf Nachweis)</t>
        </is>
      </c>
      <c r="C2653" s="9" t="inlineStr">
        <is>
          <t>Unbekannt</t>
        </is>
      </c>
      <c r="D2653" s="10" t="inlineStr">
        <is>
          <t>⚠ Manual erforderlich</t>
        </is>
      </c>
      <c r="E2653" s="11" t="inlineStr"/>
      <c r="F2653" s="11" t="n">
        <v>0</v>
      </c>
      <c r="G2653" s="11">
        <f>E2653-F2653</f>
        <v/>
      </c>
      <c r="H2653" s="11" t="n">
        <v/>
      </c>
      <c r="I2653" s="11" t="n">
        <v/>
      </c>
      <c r="J2653" s="11" t="n">
        <v/>
      </c>
      <c r="K2653" s="4" t="inlineStr">
        <is>
          <t>Abrechnungsart wählen; Stundensätze eingeben</t>
        </is>
      </c>
    </row>
    <row r="2654">
      <c r="A2654" s="4" t="inlineStr">
        <is>
          <t>6237.02 BTB-Aegidientorplatz-2a-Hannover-Deloitte</t>
        </is>
      </c>
      <c r="B2654" s="4" t="inlineStr">
        <is>
          <t>● Beratung Mängelbeseitigung (auf Nachweis)</t>
        </is>
      </c>
      <c r="C2654" s="9" t="inlineStr">
        <is>
          <t>Unbekannt</t>
        </is>
      </c>
      <c r="D2654" s="10" t="inlineStr">
        <is>
          <t>⚠ Manual erforderlich</t>
        </is>
      </c>
      <c r="E2654" s="11" t="inlineStr"/>
      <c r="F2654" s="11" t="n">
        <v>0</v>
      </c>
      <c r="G2654" s="11">
        <f>E2654-F2654</f>
        <v/>
      </c>
      <c r="H2654" s="11" t="n">
        <v/>
      </c>
      <c r="I2654" s="11" t="n">
        <v/>
      </c>
      <c r="J2654" s="11" t="n">
        <v/>
      </c>
      <c r="K2654" s="4" t="inlineStr">
        <is>
          <t>Abrechnungsart wählen; Stundensätze eingeben</t>
        </is>
      </c>
    </row>
    <row r="2655">
      <c r="A2655" s="4" t="inlineStr">
        <is>
          <t>6238 Korntaler-Straße-1-Stammheim-Stadtteilhaus</t>
        </is>
      </c>
      <c r="B2655" s="4" t="inlineStr">
        <is>
          <t>● (p.) LP 1 (Stufe 1)</t>
        </is>
      </c>
      <c r="C2655" s="9" t="inlineStr">
        <is>
          <t>Unbekannt</t>
        </is>
      </c>
      <c r="D2655" s="10" t="inlineStr">
        <is>
          <t>⚠ Manual erforderlich</t>
        </is>
      </c>
      <c r="E2655" s="11" t="inlineStr"/>
      <c r="F2655" s="11" t="n">
        <v>0</v>
      </c>
      <c r="G2655" s="11">
        <f>E2655-F2655</f>
        <v/>
      </c>
      <c r="H2655" s="11" t="n">
        <v/>
      </c>
      <c r="I2655" s="11" t="n">
        <v/>
      </c>
      <c r="J2655" s="11" t="n">
        <v/>
      </c>
      <c r="K2655" s="4" t="inlineStr">
        <is>
          <t>Abrechnungsart wählen; Stundensätze eingeben</t>
        </is>
      </c>
    </row>
    <row r="2656">
      <c r="A2656" s="4" t="inlineStr">
        <is>
          <t>6238 Korntaler-Straße-1-Stammheim-Stadtteilhaus</t>
        </is>
      </c>
      <c r="B2656" s="4" t="inlineStr">
        <is>
          <t>● (p.) LP 2 (Stufe 1)</t>
        </is>
      </c>
      <c r="C2656" s="9" t="inlineStr">
        <is>
          <t>Unbekannt</t>
        </is>
      </c>
      <c r="D2656" s="10" t="inlineStr">
        <is>
          <t>⚠ Manual erforderlich</t>
        </is>
      </c>
      <c r="E2656" s="11" t="inlineStr"/>
      <c r="F2656" s="11" t="n">
        <v>0</v>
      </c>
      <c r="G2656" s="11">
        <f>E2656-F2656</f>
        <v/>
      </c>
      <c r="H2656" s="11" t="n">
        <v/>
      </c>
      <c r="I2656" s="11" t="n">
        <v/>
      </c>
      <c r="J2656" s="11" t="n">
        <v/>
      </c>
      <c r="K2656" s="4" t="inlineStr">
        <is>
          <t>Abrechnungsart wählen; Stundensätze eingeben</t>
        </is>
      </c>
    </row>
    <row r="2657">
      <c r="A2657" s="4" t="inlineStr">
        <is>
          <t>6238 Korntaler-Straße-1-Stammheim-Stadtteilhaus</t>
        </is>
      </c>
      <c r="B2657" s="4" t="inlineStr">
        <is>
          <t>● (p.) LP 3 (Stufe 1)</t>
        </is>
      </c>
      <c r="C2657" s="9" t="inlineStr">
        <is>
          <t>Unbekannt</t>
        </is>
      </c>
      <c r="D2657" s="10" t="inlineStr">
        <is>
          <t>⚠ Manual erforderlich</t>
        </is>
      </c>
      <c r="E2657" s="11" t="inlineStr"/>
      <c r="F2657" s="11" t="n">
        <v>0</v>
      </c>
      <c r="G2657" s="11">
        <f>E2657-F2657</f>
        <v/>
      </c>
      <c r="H2657" s="11" t="n">
        <v/>
      </c>
      <c r="I2657" s="11" t="n">
        <v/>
      </c>
      <c r="J2657" s="11" t="n">
        <v/>
      </c>
      <c r="K2657" s="4" t="inlineStr">
        <is>
          <t>Abrechnungsart wählen; Stundensätze eingeben</t>
        </is>
      </c>
    </row>
    <row r="2658">
      <c r="A2658" s="4" t="inlineStr">
        <is>
          <t>6238 Korntaler-Straße-1-Stammheim-Stadtteilhaus</t>
        </is>
      </c>
      <c r="B2658" s="4" t="inlineStr">
        <is>
          <t>● (p.) LP 4 (Stufe 1)</t>
        </is>
      </c>
      <c r="C2658" s="9" t="inlineStr">
        <is>
          <t>Unbekannt</t>
        </is>
      </c>
      <c r="D2658" s="10" t="inlineStr">
        <is>
          <t>⚠ Manual erforderlich</t>
        </is>
      </c>
      <c r="E2658" s="11" t="inlineStr"/>
      <c r="F2658" s="11" t="n">
        <v>0</v>
      </c>
      <c r="G2658" s="11">
        <f>E2658-F2658</f>
        <v/>
      </c>
      <c r="H2658" s="11" t="n">
        <v/>
      </c>
      <c r="I2658" s="11" t="n">
        <v/>
      </c>
      <c r="J2658" s="11" t="n">
        <v/>
      </c>
      <c r="K2658" s="4" t="inlineStr">
        <is>
          <t>Abrechnungsart wählen; Stundensätze eingeben</t>
        </is>
      </c>
    </row>
    <row r="2659">
      <c r="A2659" s="4" t="inlineStr">
        <is>
          <t>6238 Korntaler-Straße-1-Stammheim-Stadtteilhaus</t>
        </is>
      </c>
      <c r="B2659" s="4" t="inlineStr">
        <is>
          <t>● (p.) LP 5 (Stufe 2)</t>
        </is>
      </c>
      <c r="C2659" s="9" t="inlineStr">
        <is>
          <t>Unbekannt</t>
        </is>
      </c>
      <c r="D2659" s="10" t="inlineStr">
        <is>
          <t>⚠ Manual erforderlich</t>
        </is>
      </c>
      <c r="E2659" s="11" t="inlineStr"/>
      <c r="F2659" s="11" t="n">
        <v>0</v>
      </c>
      <c r="G2659" s="11">
        <f>E2659-F2659</f>
        <v/>
      </c>
      <c r="H2659" s="11" t="n">
        <v/>
      </c>
      <c r="I2659" s="11" t="n">
        <v/>
      </c>
      <c r="J2659" s="11" t="n">
        <v/>
      </c>
      <c r="K2659" s="4" t="inlineStr">
        <is>
          <t>Abrechnungsart wählen; Stundensätze eingeben</t>
        </is>
      </c>
    </row>
    <row r="2660">
      <c r="A2660" s="4" t="inlineStr">
        <is>
          <t>6238 Korntaler-Straße-1-Stammheim-Stadtteilhaus</t>
        </is>
      </c>
      <c r="B2660" s="4" t="inlineStr">
        <is>
          <t>● (p.) LP 6 (Stufe 2)</t>
        </is>
      </c>
      <c r="C2660" s="9" t="inlineStr">
        <is>
          <t>Unbekannt</t>
        </is>
      </c>
      <c r="D2660" s="10" t="inlineStr">
        <is>
          <t>⚠ Manual erforderlich</t>
        </is>
      </c>
      <c r="E2660" s="11" t="inlineStr"/>
      <c r="F2660" s="11" t="n">
        <v>0</v>
      </c>
      <c r="G2660" s="11">
        <f>E2660-F2660</f>
        <v/>
      </c>
      <c r="H2660" s="11" t="n">
        <v/>
      </c>
      <c r="I2660" s="11" t="n">
        <v/>
      </c>
      <c r="J2660" s="11" t="n">
        <v/>
      </c>
      <c r="K2660" s="4" t="inlineStr">
        <is>
          <t>Abrechnungsart wählen; Stundensätze eingeben</t>
        </is>
      </c>
    </row>
    <row r="2661">
      <c r="A2661" s="4" t="inlineStr">
        <is>
          <t>6238 Korntaler-Straße-1-Stammheim-Stadtteilhaus</t>
        </is>
      </c>
      <c r="B2661" s="4" t="inlineStr">
        <is>
          <t>● (p.) LP 7 (Stufe 3)</t>
        </is>
      </c>
      <c r="C2661" s="9" t="inlineStr">
        <is>
          <t>Unbekannt</t>
        </is>
      </c>
      <c r="D2661" s="10" t="inlineStr">
        <is>
          <t>⚠ Manual erforderlich</t>
        </is>
      </c>
      <c r="E2661" s="11" t="inlineStr"/>
      <c r="F2661" s="11" t="n">
        <v>0</v>
      </c>
      <c r="G2661" s="11">
        <f>E2661-F2661</f>
        <v/>
      </c>
      <c r="H2661" s="11" t="n">
        <v/>
      </c>
      <c r="I2661" s="11" t="n">
        <v/>
      </c>
      <c r="J2661" s="11" t="n">
        <v/>
      </c>
      <c r="K2661" s="4" t="inlineStr">
        <is>
          <t>Abrechnungsart wählen; Stundensätze eingeben</t>
        </is>
      </c>
    </row>
    <row r="2662">
      <c r="A2662" s="4" t="inlineStr">
        <is>
          <t>6238 Korntaler-Straße-1-Stammheim-Stadtteilhaus</t>
        </is>
      </c>
      <c r="B2662" s="4" t="inlineStr">
        <is>
          <t>● (p.) LP 8 (Stufe 3)</t>
        </is>
      </c>
      <c r="C2662" s="9" t="inlineStr">
        <is>
          <t>Unbekannt</t>
        </is>
      </c>
      <c r="D2662" s="10" t="inlineStr">
        <is>
          <t>⚠ Manual erforderlich</t>
        </is>
      </c>
      <c r="E2662" s="11" t="inlineStr"/>
      <c r="F2662" s="11" t="n">
        <v>0</v>
      </c>
      <c r="G2662" s="11">
        <f>E2662-F2662</f>
        <v/>
      </c>
      <c r="H2662" s="11" t="n">
        <v/>
      </c>
      <c r="I2662" s="11" t="n">
        <v/>
      </c>
      <c r="J2662" s="11" t="n">
        <v/>
      </c>
      <c r="K2662" s="4" t="inlineStr">
        <is>
          <t>Abrechnungsart wählen; Stundensätze eingeben</t>
        </is>
      </c>
    </row>
    <row r="2663">
      <c r="A2663" s="4" t="inlineStr">
        <is>
          <t>6238 Korntaler-Straße-1-Stammheim-Stadtteilhaus</t>
        </is>
      </c>
      <c r="B2663" s="4" t="inlineStr">
        <is>
          <t>● (p.) LP 9 (Stufe 3)</t>
        </is>
      </c>
      <c r="C2663" s="9" t="inlineStr">
        <is>
          <t>Unbekannt</t>
        </is>
      </c>
      <c r="D2663" s="10" t="inlineStr">
        <is>
          <t>⚠ Manual erforderlich</t>
        </is>
      </c>
      <c r="E2663" s="11" t="inlineStr"/>
      <c r="F2663" s="11" t="n">
        <v>0</v>
      </c>
      <c r="G2663" s="11">
        <f>E2663-F2663</f>
        <v/>
      </c>
      <c r="H2663" s="11" t="n">
        <v/>
      </c>
      <c r="I2663" s="11" t="n">
        <v/>
      </c>
      <c r="J2663" s="11" t="n">
        <v/>
      </c>
      <c r="K2663" s="4" t="inlineStr">
        <is>
          <t>Abrechnungsart wählen; Stundensätze eingeben</t>
        </is>
      </c>
    </row>
    <row r="2664">
      <c r="A2664" s="4" t="inlineStr">
        <is>
          <t>6242 BTB-Schaberweg-30-38-Bad-Homburg-Ringspann</t>
        </is>
      </c>
      <c r="B2664" s="4" t="inlineStr">
        <is>
          <t>● 3000-Entwurfsplanung</t>
        </is>
      </c>
      <c r="C2664" s="9" t="inlineStr">
        <is>
          <t>Unbekannt</t>
        </is>
      </c>
      <c r="D2664" s="10" t="inlineStr">
        <is>
          <t>⚠ Manual erforderlich</t>
        </is>
      </c>
      <c r="E2664" s="11" t="inlineStr"/>
      <c r="F2664" s="11" t="n">
        <v>0</v>
      </c>
      <c r="G2664" s="11">
        <f>E2664-F2664</f>
        <v/>
      </c>
      <c r="H2664" s="11" t="n">
        <v/>
      </c>
      <c r="I2664" s="11" t="n">
        <v/>
      </c>
      <c r="J2664" s="11" t="n">
        <v/>
      </c>
      <c r="K2664" s="4" t="inlineStr">
        <is>
          <t>Abrechnungsart wählen; Stundensätze eingeben</t>
        </is>
      </c>
    </row>
    <row r="2665">
      <c r="A2665" s="4" t="inlineStr">
        <is>
          <t>6242.02 BSB-2024-2025-Ringspann-Schaberweg-30-38-+11-11a-Bad Homburg</t>
        </is>
      </c>
      <c r="B2665" s="4" t="inlineStr">
        <is>
          <t>● BSB 2024/2025: 0001-Sonstiges</t>
        </is>
      </c>
      <c r="C2665" s="9" t="inlineStr">
        <is>
          <t>Unbekannt</t>
        </is>
      </c>
      <c r="D2665" s="10" t="inlineStr">
        <is>
          <t>⚠ Manual erforderlich</t>
        </is>
      </c>
      <c r="E2665" s="11" t="inlineStr"/>
      <c r="F2665" s="11" t="n">
        <v>0</v>
      </c>
      <c r="G2665" s="11">
        <f>E2665-F2665</f>
        <v/>
      </c>
      <c r="H2665" s="11" t="n">
        <v/>
      </c>
      <c r="I2665" s="11" t="n">
        <v/>
      </c>
      <c r="J2665" s="11" t="n">
        <v/>
      </c>
      <c r="K2665" s="4" t="inlineStr">
        <is>
          <t>Abrechnungsart wählen; Stundensätze eingeben</t>
        </is>
      </c>
    </row>
    <row r="2666">
      <c r="A2666" s="4" t="inlineStr">
        <is>
          <t>6242.02 BSB-2024-2025-Ringspann-Schaberweg-30-38-+11-11a-Bad Homburg</t>
        </is>
      </c>
      <c r="B2666" s="4" t="inlineStr">
        <is>
          <t>● BSB 2024/2025: 9000-Objektbetreuung und Dokumentation</t>
        </is>
      </c>
      <c r="C2666" s="9" t="inlineStr">
        <is>
          <t>Unbekannt</t>
        </is>
      </c>
      <c r="D2666" s="10" t="inlineStr">
        <is>
          <t>⚠ Manual erforderlich</t>
        </is>
      </c>
      <c r="E2666" s="11" t="inlineStr"/>
      <c r="F2666" s="11" t="n">
        <v>0</v>
      </c>
      <c r="G2666" s="11">
        <f>E2666-F2666</f>
        <v/>
      </c>
      <c r="H2666" s="11" t="n">
        <v/>
      </c>
      <c r="I2666" s="11" t="n">
        <v/>
      </c>
      <c r="J2666" s="11" t="n">
        <v/>
      </c>
      <c r="K2666" s="4" t="inlineStr">
        <is>
          <t>Abrechnungsart wählen; Stundensätze eingeben</t>
        </is>
      </c>
    </row>
    <row r="2667">
      <c r="A2667" s="4" t="inlineStr">
        <is>
          <t>6242.02 BSB-2024-2025-Ringspann-Schaberweg-30-38-+11-11a-Bad Homburg</t>
        </is>
      </c>
      <c r="B2667" s="4" t="inlineStr">
        <is>
          <t>● BSB 2025/2026: 0001-Sonstiges</t>
        </is>
      </c>
      <c r="C2667" s="9" t="inlineStr">
        <is>
          <t>Unbekannt</t>
        </is>
      </c>
      <c r="D2667" s="10" t="inlineStr">
        <is>
          <t>⚠ Manual erforderlich</t>
        </is>
      </c>
      <c r="E2667" s="11" t="inlineStr"/>
      <c r="F2667" s="11" t="n">
        <v>0</v>
      </c>
      <c r="G2667" s="11">
        <f>E2667-F2667</f>
        <v/>
      </c>
      <c r="H2667" s="11" t="n">
        <v/>
      </c>
      <c r="I2667" s="11" t="n">
        <v/>
      </c>
      <c r="J2667" s="11" t="n">
        <v/>
      </c>
      <c r="K2667" s="4" t="inlineStr">
        <is>
          <t>Abrechnungsart wählen; Stundensätze eingeben</t>
        </is>
      </c>
    </row>
    <row r="2668">
      <c r="A2668" s="4" t="inlineStr">
        <is>
          <t>6242.02 BSB-2024-2025-Ringspann-Schaberweg-30-38-+11-11a-Bad Homburg</t>
        </is>
      </c>
      <c r="B2668" s="4" t="inlineStr">
        <is>
          <t>● BSB 2025/2026: 9000-Objektbetreuung und Dokumentation</t>
        </is>
      </c>
      <c r="C2668" s="9" t="inlineStr">
        <is>
          <t>Unbekannt</t>
        </is>
      </c>
      <c r="D2668" s="10" t="inlineStr">
        <is>
          <t>⚠ Manual erforderlich</t>
        </is>
      </c>
      <c r="E2668" s="11" t="inlineStr"/>
      <c r="F2668" s="11" t="n">
        <v>0</v>
      </c>
      <c r="G2668" s="11">
        <f>E2668-F2668</f>
        <v/>
      </c>
      <c r="H2668" s="11" t="n">
        <v/>
      </c>
      <c r="I2668" s="11" t="n">
        <v/>
      </c>
      <c r="J2668" s="11" t="n">
        <v/>
      </c>
      <c r="K2668" s="4" t="inlineStr">
        <is>
          <t>Abrechnungsart wählen; Stundensätze eingeben</t>
        </is>
      </c>
    </row>
    <row r="2669">
      <c r="A2669" s="4" t="inlineStr">
        <is>
          <t>6244.01 Königstraße-23-25-Stuttgart</t>
        </is>
      </c>
      <c r="B2669" s="4" t="inlineStr">
        <is>
          <t>● 1000-Grundlagenermittlung</t>
        </is>
      </c>
      <c r="C2669" s="9" t="inlineStr">
        <is>
          <t>Unbekannt</t>
        </is>
      </c>
      <c r="D2669" s="10" t="inlineStr">
        <is>
          <t>⚠ Manual erforderlich</t>
        </is>
      </c>
      <c r="E2669" s="11" t="inlineStr"/>
      <c r="F2669" s="11" t="n">
        <v>0</v>
      </c>
      <c r="G2669" s="11">
        <f>E2669-F2669</f>
        <v/>
      </c>
      <c r="H2669" s="11" t="n">
        <v/>
      </c>
      <c r="I2669" s="11" t="n">
        <v/>
      </c>
      <c r="J2669" s="11" t="n">
        <v/>
      </c>
      <c r="K2669" s="4" t="inlineStr">
        <is>
          <t>Abrechnungsart wählen; Stundensätze eingeben</t>
        </is>
      </c>
    </row>
    <row r="2670">
      <c r="A2670" s="4" t="inlineStr">
        <is>
          <t>6244.01 Königstraße-23-25-Stuttgart</t>
        </is>
      </c>
      <c r="B2670" s="4" t="inlineStr">
        <is>
          <t>● 2000-Vorplanung</t>
        </is>
      </c>
      <c r="C2670" s="9" t="inlineStr">
        <is>
          <t>Unbekannt</t>
        </is>
      </c>
      <c r="D2670" s="10" t="inlineStr">
        <is>
          <t>⚠ Manual erforderlich</t>
        </is>
      </c>
      <c r="E2670" s="11" t="inlineStr"/>
      <c r="F2670" s="11" t="n">
        <v>0</v>
      </c>
      <c r="G2670" s="11">
        <f>E2670-F2670</f>
        <v/>
      </c>
      <c r="H2670" s="11" t="n">
        <v/>
      </c>
      <c r="I2670" s="11" t="n">
        <v/>
      </c>
      <c r="J2670" s="11" t="n">
        <v/>
      </c>
      <c r="K2670" s="4" t="inlineStr">
        <is>
          <t>Abrechnungsart wählen; Stundensätze eingeben</t>
        </is>
      </c>
    </row>
    <row r="2671">
      <c r="A2671" s="4" t="inlineStr">
        <is>
          <t>6244.01 Königstraße-23-25-Stuttgart</t>
        </is>
      </c>
      <c r="B2671" s="4" t="inlineStr">
        <is>
          <t>● 2000-BL-Vorplanung (auf Nachweis)</t>
        </is>
      </c>
      <c r="C2671" s="9" t="inlineStr">
        <is>
          <t>Unbekannt</t>
        </is>
      </c>
      <c r="D2671" s="10" t="inlineStr">
        <is>
          <t>⚠ Manual erforderlich</t>
        </is>
      </c>
      <c r="E2671" s="11" t="inlineStr"/>
      <c r="F2671" s="11" t="n">
        <v>0</v>
      </c>
      <c r="G2671" s="11">
        <f>E2671-F2671</f>
        <v/>
      </c>
      <c r="H2671" s="11" t="n">
        <v/>
      </c>
      <c r="I2671" s="11" t="n">
        <v/>
      </c>
      <c r="J2671" s="11" t="n">
        <v/>
      </c>
      <c r="K2671" s="4" t="inlineStr">
        <is>
          <t>Abrechnungsart wählen; Stundensätze eingeben</t>
        </is>
      </c>
    </row>
    <row r="2672">
      <c r="A2672" s="4" t="inlineStr">
        <is>
          <t>6244.01 Königstraße-23-25-Stuttgart</t>
        </is>
      </c>
      <c r="B2672" s="4" t="inlineStr">
        <is>
          <t>● 3000-Entwurfsplanung</t>
        </is>
      </c>
      <c r="C2672" s="9" t="inlineStr">
        <is>
          <t>Unbekannt</t>
        </is>
      </c>
      <c r="D2672" s="10" t="inlineStr">
        <is>
          <t>⚠ Manual erforderlich</t>
        </is>
      </c>
      <c r="E2672" s="11" t="inlineStr"/>
      <c r="F2672" s="11" t="n">
        <v>0</v>
      </c>
      <c r="G2672" s="11">
        <f>E2672-F2672</f>
        <v/>
      </c>
      <c r="H2672" s="11" t="n">
        <v/>
      </c>
      <c r="I2672" s="11" t="n">
        <v/>
      </c>
      <c r="J2672" s="11" t="n">
        <v/>
      </c>
      <c r="K2672" s="4" t="inlineStr">
        <is>
          <t>Abrechnungsart wählen; Stundensätze eingeben</t>
        </is>
      </c>
    </row>
    <row r="2673">
      <c r="A2673" s="4" t="inlineStr">
        <is>
          <t>6244.01 Königstraße-23-25-Stuttgart</t>
        </is>
      </c>
      <c r="B2673" s="4" t="inlineStr">
        <is>
          <t>● 4000-Genehmigungsplanung</t>
        </is>
      </c>
      <c r="C2673" s="9" t="inlineStr">
        <is>
          <t>Unbekannt</t>
        </is>
      </c>
      <c r="D2673" s="10" t="inlineStr">
        <is>
          <t>⚠ Manual erforderlich</t>
        </is>
      </c>
      <c r="E2673" s="11" t="inlineStr"/>
      <c r="F2673" s="11" t="n">
        <v>0</v>
      </c>
      <c r="G2673" s="11">
        <f>E2673-F2673</f>
        <v/>
      </c>
      <c r="H2673" s="11" t="n">
        <v/>
      </c>
      <c r="I2673" s="11" t="n">
        <v/>
      </c>
      <c r="J2673" s="11" t="n">
        <v/>
      </c>
      <c r="K2673" s="4" t="inlineStr">
        <is>
          <t>Abrechnungsart wählen; Stundensätze eingeben</t>
        </is>
      </c>
    </row>
    <row r="2674">
      <c r="A2674" s="4" t="inlineStr">
        <is>
          <t>6244.01 Königstraße-23-25-Stuttgart</t>
        </is>
      </c>
      <c r="B2674" s="4" t="inlineStr">
        <is>
          <t>● 5000 Ausführungsplanung</t>
        </is>
      </c>
      <c r="C2674" s="9" t="inlineStr">
        <is>
          <t>Unbekannt</t>
        </is>
      </c>
      <c r="D2674" s="10" t="inlineStr">
        <is>
          <t>⚠ Manual erforderlich</t>
        </is>
      </c>
      <c r="E2674" s="11" t="inlineStr"/>
      <c r="F2674" s="11" t="n">
        <v>0</v>
      </c>
      <c r="G2674" s="11">
        <f>E2674-F2674</f>
        <v/>
      </c>
      <c r="H2674" s="11" t="n">
        <v/>
      </c>
      <c r="I2674" s="11" t="n">
        <v/>
      </c>
      <c r="J2674" s="11" t="n">
        <v/>
      </c>
      <c r="K2674" s="4" t="inlineStr">
        <is>
          <t>Abrechnungsart wählen; Stundensätze eingeben</t>
        </is>
      </c>
    </row>
    <row r="2675">
      <c r="A2675" s="4" t="inlineStr">
        <is>
          <t>6244.02 RGS-Königstraße-23-25-Stuttgart</t>
        </is>
      </c>
      <c r="B2675" s="4" t="inlineStr">
        <is>
          <t>● Feuer- u. Rauchgassimulation (pauschal)</t>
        </is>
      </c>
      <c r="C2675" s="9" t="inlineStr">
        <is>
          <t>Unbekannt</t>
        </is>
      </c>
      <c r="D2675" s="10" t="inlineStr">
        <is>
          <t>⚠ Manual erforderlich</t>
        </is>
      </c>
      <c r="E2675" s="11" t="inlineStr"/>
      <c r="F2675" s="11" t="n">
        <v>0</v>
      </c>
      <c r="G2675" s="11">
        <f>E2675-F2675</f>
        <v/>
      </c>
      <c r="H2675" s="11" t="n">
        <v/>
      </c>
      <c r="I2675" s="11" t="n">
        <v/>
      </c>
      <c r="J2675" s="11" t="n">
        <v/>
      </c>
      <c r="K2675" s="4" t="inlineStr">
        <is>
          <t>Abrechnungsart wählen; Stundensätze eingeben</t>
        </is>
      </c>
    </row>
    <row r="2676">
      <c r="A2676" s="4" t="inlineStr">
        <is>
          <t>6244.02 RGS-Königstraße-23-25-Stuttgart</t>
        </is>
      </c>
      <c r="B2676" s="4" t="inlineStr">
        <is>
          <t>● Teilnahme Abstimmungstermine (auf Nachweis)</t>
        </is>
      </c>
      <c r="C2676" s="9" t="inlineStr">
        <is>
          <t>Unbekannt</t>
        </is>
      </c>
      <c r="D2676" s="10" t="inlineStr">
        <is>
          <t>⚠ Manual erforderlich</t>
        </is>
      </c>
      <c r="E2676" s="11" t="inlineStr"/>
      <c r="F2676" s="11" t="n">
        <v>0</v>
      </c>
      <c r="G2676" s="11">
        <f>E2676-F2676</f>
        <v/>
      </c>
      <c r="H2676" s="11" t="n">
        <v/>
      </c>
      <c r="I2676" s="11" t="n">
        <v/>
      </c>
      <c r="J2676" s="11" t="n">
        <v/>
      </c>
      <c r="K2676" s="4" t="inlineStr">
        <is>
          <t>Abrechnungsart wählen; Stundensätze eingeben</t>
        </is>
      </c>
    </row>
    <row r="2677">
      <c r="A2677" s="4" t="inlineStr">
        <is>
          <t>6244.02 RGS-Königstraße-23-25-Stuttgart</t>
        </is>
      </c>
      <c r="B2677" s="4" t="inlineStr">
        <is>
          <t>● zusätzlicher Rechenlauf (pauschal)</t>
        </is>
      </c>
      <c r="C2677" s="9" t="inlineStr">
        <is>
          <t>Unbekannt</t>
        </is>
      </c>
      <c r="D2677" s="10" t="inlineStr">
        <is>
          <t>⚠ Manual erforderlich</t>
        </is>
      </c>
      <c r="E2677" s="11" t="inlineStr"/>
      <c r="F2677" s="11" t="n">
        <v>0</v>
      </c>
      <c r="G2677" s="11">
        <f>E2677-F2677</f>
        <v/>
      </c>
      <c r="H2677" s="11" t="n">
        <v/>
      </c>
      <c r="I2677" s="11" t="n">
        <v/>
      </c>
      <c r="J2677" s="11" t="n">
        <v/>
      </c>
      <c r="K2677" s="4" t="inlineStr">
        <is>
          <t>Abrechnungsart wählen; Stundensätze eingeben</t>
        </is>
      </c>
    </row>
    <row r="2678">
      <c r="A2678" s="4" t="inlineStr">
        <is>
          <t>6246 Baierstraße-12-Bad-Homburg-Kirdorf</t>
        </is>
      </c>
      <c r="B2678" s="4" t="inlineStr">
        <is>
          <t>● Beratung IST-Zustand (auf Nachweis)</t>
        </is>
      </c>
      <c r="C2678" s="9" t="inlineStr">
        <is>
          <t>Unbekannt</t>
        </is>
      </c>
      <c r="D2678" s="10" t="inlineStr">
        <is>
          <t>⚠ Manual erforderlich</t>
        </is>
      </c>
      <c r="E2678" s="11" t="inlineStr"/>
      <c r="F2678" s="11" t="n">
        <v>0</v>
      </c>
      <c r="G2678" s="11">
        <f>E2678-F2678</f>
        <v/>
      </c>
      <c r="H2678" s="11" t="n">
        <v/>
      </c>
      <c r="I2678" s="11" t="n">
        <v/>
      </c>
      <c r="J2678" s="11" t="n">
        <v/>
      </c>
      <c r="K2678" s="4" t="inlineStr">
        <is>
          <t>Abrechnungsart wählen; Stundensätze eingeben</t>
        </is>
      </c>
    </row>
    <row r="2679">
      <c r="A2679" s="4" t="inlineStr">
        <is>
          <t>6246.01 BTB-Baierstraße-12-Bad-Homburg-Kirdorf</t>
        </is>
      </c>
      <c r="B2679" s="4" t="inlineStr">
        <is>
          <t>● (a.N.) Pos.1 BTB zur Badsanierung</t>
        </is>
      </c>
      <c r="C2679" s="4" t="inlineStr">
        <is>
          <t>Nachweis</t>
        </is>
      </c>
      <c r="D2679" s="10" t="inlineStr">
        <is>
          <t>⚠ Manual erforderlich</t>
        </is>
      </c>
      <c r="E2679" s="11" t="inlineStr"/>
      <c r="F2679" s="11" t="n">
        <v>0</v>
      </c>
      <c r="G2679" s="11">
        <f>E2679-F2679</f>
        <v/>
      </c>
      <c r="H2679" s="11" t="n">
        <v/>
      </c>
      <c r="I2679" s="11" t="n">
        <v/>
      </c>
      <c r="J2679" s="11" t="n">
        <v/>
      </c>
      <c r="K2679" s="4" t="inlineStr">
        <is>
          <t>Stundensätze eingeben</t>
        </is>
      </c>
    </row>
    <row r="2680">
      <c r="A2680" s="4" t="inlineStr">
        <is>
          <t>6253 Fraport-RV-Sanitärgebäude-Geb584</t>
        </is>
      </c>
      <c r="B2680" s="4" t="inlineStr">
        <is>
          <t>● • (n.A.) baubegl. Brandschutzberatung</t>
        </is>
      </c>
      <c r="C2680" s="9" t="inlineStr">
        <is>
          <t>Unbekannt</t>
        </is>
      </c>
      <c r="D2680" s="10" t="inlineStr">
        <is>
          <t>⚠ Manual erforderlich</t>
        </is>
      </c>
      <c r="E2680" s="11" t="inlineStr"/>
      <c r="F2680" s="11" t="n">
        <v>0</v>
      </c>
      <c r="G2680" s="11">
        <f>E2680-F2680</f>
        <v/>
      </c>
      <c r="H2680" s="11" t="n">
        <v/>
      </c>
      <c r="I2680" s="11" t="n">
        <v/>
      </c>
      <c r="J2680" s="11" t="n">
        <v/>
      </c>
      <c r="K2680" s="4" t="inlineStr">
        <is>
          <t>Abrechnungsart wählen; Stundensätze eingeben</t>
        </is>
      </c>
    </row>
    <row r="2681">
      <c r="A2681" s="4" t="inlineStr">
        <is>
          <t>6253 Fraport-RV-Sanitärgebäude-Geb584</t>
        </is>
      </c>
      <c r="B2681" s="4" t="inlineStr">
        <is>
          <t>● • (p.) FuR 4 Stk.</t>
        </is>
      </c>
      <c r="C2681" s="9" t="inlineStr">
        <is>
          <t>Unbekannt</t>
        </is>
      </c>
      <c r="D2681" s="10" t="inlineStr">
        <is>
          <t>⚠ Manual erforderlich</t>
        </is>
      </c>
      <c r="E2681" s="11" t="inlineStr"/>
      <c r="F2681" s="11" t="n">
        <v>0</v>
      </c>
      <c r="G2681" s="11">
        <f>E2681-F2681</f>
        <v/>
      </c>
      <c r="H2681" s="11" t="n">
        <v/>
      </c>
      <c r="I2681" s="11" t="n">
        <v/>
      </c>
      <c r="J2681" s="11" t="n">
        <v/>
      </c>
      <c r="K2681" s="4" t="inlineStr">
        <is>
          <t>Abrechnungsart wählen; Stundensätze eingeben</t>
        </is>
      </c>
    </row>
    <row r="2682">
      <c r="A2682" s="4" t="inlineStr">
        <is>
          <t>6253 Fraport-RV-Sanitärgebäude-Geb584</t>
        </is>
      </c>
      <c r="B2682" s="4" t="inlineStr">
        <is>
          <t>● Stufe 1 - Grundlagenermittlung (auf Nachweis)</t>
        </is>
      </c>
      <c r="C2682" s="9" t="inlineStr">
        <is>
          <t>Unbekannt</t>
        </is>
      </c>
      <c r="D2682" s="10" t="inlineStr">
        <is>
          <t>⚠ Manual erforderlich</t>
        </is>
      </c>
      <c r="E2682" s="11" t="inlineStr"/>
      <c r="F2682" s="11" t="n">
        <v>0</v>
      </c>
      <c r="G2682" s="11">
        <f>E2682-F2682</f>
        <v/>
      </c>
      <c r="H2682" s="11" t="n">
        <v/>
      </c>
      <c r="I2682" s="11" t="n">
        <v/>
      </c>
      <c r="J2682" s="11" t="n">
        <v/>
      </c>
      <c r="K2682" s="4" t="inlineStr">
        <is>
          <t>Abrechnungsart wählen; Stundensätze eingeben</t>
        </is>
      </c>
    </row>
    <row r="2683">
      <c r="A2683" s="4" t="inlineStr">
        <is>
          <t>6253 Fraport-RV-Sanitärgebäude-Geb584</t>
        </is>
      </c>
      <c r="B2683" s="4" t="inlineStr">
        <is>
          <t>● Stufe 2 - Vorplanung (auf Nachweis)</t>
        </is>
      </c>
      <c r="C2683" s="9" t="inlineStr">
        <is>
          <t>Unbekannt</t>
        </is>
      </c>
      <c r="D2683" s="10" t="inlineStr">
        <is>
          <t>⚠ Manual erforderlich</t>
        </is>
      </c>
      <c r="E2683" s="11" t="inlineStr"/>
      <c r="F2683" s="11" t="n">
        <v>0</v>
      </c>
      <c r="G2683" s="11">
        <f>E2683-F2683</f>
        <v/>
      </c>
      <c r="H2683" s="11" t="n">
        <v/>
      </c>
      <c r="I2683" s="11" t="n">
        <v/>
      </c>
      <c r="J2683" s="11" t="n">
        <v/>
      </c>
      <c r="K2683" s="4" t="inlineStr">
        <is>
          <t>Abrechnungsart wählen; Stundensätze eingeben</t>
        </is>
      </c>
    </row>
    <row r="2684">
      <c r="A2684" s="4" t="inlineStr">
        <is>
          <t>6253 Fraport-RV-Sanitärgebäude-Geb584</t>
        </is>
      </c>
      <c r="B2684" s="4" t="inlineStr">
        <is>
          <t>● Stufe 3 - Entwurfsplanung (auf Nachweis)</t>
        </is>
      </c>
      <c r="C2684" s="9" t="inlineStr">
        <is>
          <t>Unbekannt</t>
        </is>
      </c>
      <c r="D2684" s="10" t="inlineStr">
        <is>
          <t>⚠ Manual erforderlich</t>
        </is>
      </c>
      <c r="E2684" s="11" t="inlineStr"/>
      <c r="F2684" s="11" t="n">
        <v>0</v>
      </c>
      <c r="G2684" s="11">
        <f>E2684-F2684</f>
        <v/>
      </c>
      <c r="H2684" s="11" t="n">
        <v/>
      </c>
      <c r="I2684" s="11" t="n">
        <v/>
      </c>
      <c r="J2684" s="11" t="n">
        <v/>
      </c>
      <c r="K2684" s="4" t="inlineStr">
        <is>
          <t>Abrechnungsart wählen; Stundensätze eingeben</t>
        </is>
      </c>
    </row>
    <row r="2685">
      <c r="A2685" s="4" t="inlineStr">
        <is>
          <t>6253 Fraport-RV-Sanitärgebäude-Geb584</t>
        </is>
      </c>
      <c r="B2685" s="4" t="inlineStr">
        <is>
          <t>● Stufe 4 - Genehmigungsplanung CAD (auf Nachweis)</t>
        </is>
      </c>
      <c r="C2685" s="9" t="inlineStr">
        <is>
          <t>Unbekannt</t>
        </is>
      </c>
      <c r="D2685" s="10" t="inlineStr">
        <is>
          <t>⚠ Manual erforderlich</t>
        </is>
      </c>
      <c r="E2685" s="11" t="inlineStr"/>
      <c r="F2685" s="11" t="n">
        <v>0</v>
      </c>
      <c r="G2685" s="11">
        <f>E2685-F2685</f>
        <v/>
      </c>
      <c r="H2685" s="11" t="n">
        <v/>
      </c>
      <c r="I2685" s="11" t="n">
        <v/>
      </c>
      <c r="J2685" s="11" t="n">
        <v/>
      </c>
      <c r="K2685" s="4" t="inlineStr">
        <is>
          <t>Abrechnungsart wählen; Stundensätze eingeben</t>
        </is>
      </c>
    </row>
    <row r="2686">
      <c r="A2686" s="4" t="inlineStr">
        <is>
          <t>6253 Fraport-RV-Sanitärgebäude-Geb584</t>
        </is>
      </c>
      <c r="B2686" s="4" t="inlineStr">
        <is>
          <t>● Stufe 4 - Genehmigungsplanung SV (auf Nachweis)</t>
        </is>
      </c>
      <c r="C2686" s="9" t="inlineStr">
        <is>
          <t>Unbekannt</t>
        </is>
      </c>
      <c r="D2686" s="10" t="inlineStr">
        <is>
          <t>⚠ Manual erforderlich</t>
        </is>
      </c>
      <c r="E2686" s="11" t="inlineStr"/>
      <c r="F2686" s="11" t="n">
        <v>0</v>
      </c>
      <c r="G2686" s="11">
        <f>E2686-F2686</f>
        <v/>
      </c>
      <c r="H2686" s="11" t="n">
        <v/>
      </c>
      <c r="I2686" s="11" t="n">
        <v/>
      </c>
      <c r="J2686" s="11" t="n">
        <v/>
      </c>
      <c r="K2686" s="4" t="inlineStr">
        <is>
          <t>Abrechnungsart wählen; Stundensätze eingeben</t>
        </is>
      </c>
    </row>
    <row r="2687">
      <c r="A2687" s="4" t="inlineStr">
        <is>
          <t>6258.02 BSK-Rüsterstraße-1-Frankfurt</t>
        </is>
      </c>
      <c r="B2687" s="4" t="inlineStr">
        <is>
          <t>● (p) Pos.1 - Fortschr. Brandschutzkonzept</t>
        </is>
      </c>
      <c r="C2687" s="4" t="inlineStr">
        <is>
          <t>Pauschale</t>
        </is>
      </c>
      <c r="D2687" s="10" t="inlineStr">
        <is>
          <t>⚠ Manual erforderlich</t>
        </is>
      </c>
      <c r="E2687" s="11" t="inlineStr"/>
      <c r="F2687" s="11" t="n">
        <v>0</v>
      </c>
      <c r="G2687" s="11">
        <f>E2687-F2687</f>
        <v/>
      </c>
      <c r="H2687" s="11" t="n">
        <v>0</v>
      </c>
      <c r="I2687" s="11" t="n">
        <v>0</v>
      </c>
      <c r="J2687" s="11" t="n">
        <v>0</v>
      </c>
      <c r="K2687" s="4" t="inlineStr">
        <is>
          <t>Stundensätze eingeben</t>
        </is>
      </c>
    </row>
    <row r="2688">
      <c r="A2688" s="4" t="inlineStr">
        <is>
          <t>6258.02 BSK-Rüsterstraße-1-Frankfurt</t>
        </is>
      </c>
      <c r="B2688" s="4" t="inlineStr">
        <is>
          <t>● (a.N.) Baubegl. Brandschutzberatung + Qualitätsüberwachung der BM</t>
        </is>
      </c>
      <c r="C2688" s="4" t="inlineStr">
        <is>
          <t>Nachweis</t>
        </is>
      </c>
      <c r="D2688" s="10" t="inlineStr">
        <is>
          <t>⚠ Manual erforderlich</t>
        </is>
      </c>
      <c r="E2688" s="11" t="inlineStr"/>
      <c r="F2688" s="11" t="n">
        <v>0</v>
      </c>
      <c r="G2688" s="11">
        <f>E2688-F2688</f>
        <v/>
      </c>
      <c r="H2688" s="11" t="n">
        <v/>
      </c>
      <c r="I2688" s="11" t="n">
        <v/>
      </c>
      <c r="J2688" s="11" t="n">
        <v/>
      </c>
      <c r="K2688" s="4" t="inlineStr">
        <is>
          <t>Stundensätze eingeben</t>
        </is>
      </c>
    </row>
    <row r="2689">
      <c r="A2689" s="4" t="inlineStr">
        <is>
          <t>6267.01 Fortschr-RMK-Kliniken-Böblingen-Bunsenstraße-120-Böblingen</t>
        </is>
      </c>
      <c r="B2689" s="4" t="inlineStr">
        <is>
          <t>● (a.N.) Fortschr. RMK</t>
        </is>
      </c>
      <c r="C2689" s="4" t="inlineStr">
        <is>
          <t>Nachweis</t>
        </is>
      </c>
      <c r="D2689" s="10" t="inlineStr">
        <is>
          <t>⚠ Manual erforderlich</t>
        </is>
      </c>
      <c r="E2689" s="11" t="inlineStr"/>
      <c r="F2689" s="11" t="n">
        <v>0</v>
      </c>
      <c r="G2689" s="11">
        <f>E2689-F2689</f>
        <v/>
      </c>
      <c r="H2689" s="11" t="n">
        <v/>
      </c>
      <c r="I2689" s="11" t="n">
        <v/>
      </c>
      <c r="J2689" s="11" t="n">
        <v/>
      </c>
      <c r="K2689" s="4" t="inlineStr">
        <is>
          <t>Stundensätze eingeben</t>
        </is>
      </c>
    </row>
    <row r="2690">
      <c r="A2690" s="4" t="inlineStr">
        <is>
          <t>6269 T1-Fraport-VIP-Lounge</t>
        </is>
      </c>
      <c r="B2690" s="4" t="inlineStr">
        <is>
          <t>● FuR-Pläne (pauschal)</t>
        </is>
      </c>
      <c r="C2690" s="9" t="inlineStr">
        <is>
          <t>Unbekannt</t>
        </is>
      </c>
      <c r="D2690" s="10" t="inlineStr">
        <is>
          <t>⚠ Manual erforderlich</t>
        </is>
      </c>
      <c r="E2690" s="11" t="inlineStr"/>
      <c r="F2690" s="11" t="n">
        <v>0</v>
      </c>
      <c r="G2690" s="11">
        <f>E2690-F2690</f>
        <v/>
      </c>
      <c r="H2690" s="11" t="n">
        <v/>
      </c>
      <c r="I2690" s="11" t="n">
        <v/>
      </c>
      <c r="J2690" s="11" t="n">
        <v/>
      </c>
      <c r="K2690" s="4" t="inlineStr">
        <is>
          <t>Abrechnungsart wählen; Stundensätze eingeben</t>
        </is>
      </c>
    </row>
    <row r="2691">
      <c r="A2691" s="4" t="inlineStr">
        <is>
          <t>6269.01 T1-Fraport-VIP-Lounge-FuR</t>
        </is>
      </c>
      <c r="B2691" s="4" t="inlineStr">
        <is>
          <t>● FuR-Pläne Aktualisierung (pauschal)</t>
        </is>
      </c>
      <c r="C2691" s="9" t="inlineStr">
        <is>
          <t>Unbekannt</t>
        </is>
      </c>
      <c r="D2691" s="10" t="inlineStr">
        <is>
          <t>⚠ Manual erforderlich</t>
        </is>
      </c>
      <c r="E2691" s="11" t="inlineStr"/>
      <c r="F2691" s="11" t="n">
        <v>0</v>
      </c>
      <c r="G2691" s="11">
        <f>E2691-F2691</f>
        <v/>
      </c>
      <c r="H2691" s="11" t="n">
        <v/>
      </c>
      <c r="I2691" s="11" t="n">
        <v/>
      </c>
      <c r="J2691" s="11" t="n">
        <v/>
      </c>
      <c r="K2691" s="4" t="inlineStr">
        <is>
          <t>Abrechnungsart wählen; Stundensätze eingeben</t>
        </is>
      </c>
    </row>
    <row r="2692">
      <c r="A2692" s="4" t="inlineStr">
        <is>
          <t>6271 Schwarzwaldstraße-Sinsheim-NB-FW-Gebäude</t>
        </is>
      </c>
      <c r="B2692" s="4" t="inlineStr">
        <is>
          <t>● 1000-Grundlagenermittlung (pauschal)</t>
        </is>
      </c>
      <c r="C2692" s="9" t="inlineStr">
        <is>
          <t>Unbekannt</t>
        </is>
      </c>
      <c r="D2692" s="10" t="inlineStr">
        <is>
          <t>⚠ Manual erforderlich</t>
        </is>
      </c>
      <c r="E2692" s="11" t="inlineStr"/>
      <c r="F2692" s="11" t="n">
        <v>0</v>
      </c>
      <c r="G2692" s="11">
        <f>E2692-F2692</f>
        <v/>
      </c>
      <c r="H2692" s="11" t="n">
        <v/>
      </c>
      <c r="I2692" s="11" t="n">
        <v/>
      </c>
      <c r="J2692" s="11" t="n">
        <v/>
      </c>
      <c r="K2692" s="4" t="inlineStr">
        <is>
          <t>Abrechnungsart wählen; Stundensätze eingeben</t>
        </is>
      </c>
    </row>
    <row r="2693">
      <c r="A2693" s="4" t="inlineStr">
        <is>
          <t>6271 Schwarzwaldstraße-Sinsheim-NB-FW-Gebäude</t>
        </is>
      </c>
      <c r="B2693" s="4" t="inlineStr">
        <is>
          <t>● 2000-Vorplanung (pauschal)</t>
        </is>
      </c>
      <c r="C2693" s="9" t="inlineStr">
        <is>
          <t>Unbekannt</t>
        </is>
      </c>
      <c r="D2693" s="10" t="inlineStr">
        <is>
          <t>⚠ Manual erforderlich</t>
        </is>
      </c>
      <c r="E2693" s="11" t="inlineStr"/>
      <c r="F2693" s="11" t="n">
        <v>0</v>
      </c>
      <c r="G2693" s="11">
        <f>E2693-F2693</f>
        <v/>
      </c>
      <c r="H2693" s="11" t="n">
        <v/>
      </c>
      <c r="I2693" s="11" t="n">
        <v/>
      </c>
      <c r="J2693" s="11" t="n">
        <v/>
      </c>
      <c r="K2693" s="4" t="inlineStr">
        <is>
          <t>Abrechnungsart wählen; Stundensätze eingeben</t>
        </is>
      </c>
    </row>
    <row r="2694">
      <c r="A2694" s="4" t="inlineStr">
        <is>
          <t>6271 Schwarzwaldstraße-Sinsheim-NB-FW-Gebäude</t>
        </is>
      </c>
      <c r="B2694" s="4" t="inlineStr">
        <is>
          <t>● 3000-Entwurfsplanung (pauschal)</t>
        </is>
      </c>
      <c r="C2694" s="9" t="inlineStr">
        <is>
          <t>Unbekannt</t>
        </is>
      </c>
      <c r="D2694" s="10" t="inlineStr">
        <is>
          <t>⚠ Manual erforderlich</t>
        </is>
      </c>
      <c r="E2694" s="11" t="inlineStr"/>
      <c r="F2694" s="11" t="n">
        <v>0</v>
      </c>
      <c r="G2694" s="11">
        <f>E2694-F2694</f>
        <v/>
      </c>
      <c r="H2694" s="11" t="n">
        <v/>
      </c>
      <c r="I2694" s="11" t="n">
        <v/>
      </c>
      <c r="J2694" s="11" t="n">
        <v/>
      </c>
      <c r="K2694" s="4" t="inlineStr">
        <is>
          <t>Abrechnungsart wählen; Stundensätze eingeben</t>
        </is>
      </c>
    </row>
    <row r="2695">
      <c r="A2695" s="4" t="inlineStr">
        <is>
          <t>6271 Schwarzwaldstraße-Sinsheim-NB-FW-Gebäude</t>
        </is>
      </c>
      <c r="B2695" s="4" t="inlineStr">
        <is>
          <t>● 4000-Genehmigungsplanung (pauschal)</t>
        </is>
      </c>
      <c r="C2695" s="9" t="inlineStr">
        <is>
          <t>Unbekannt</t>
        </is>
      </c>
      <c r="D2695" s="10" t="inlineStr">
        <is>
          <t>⚠ Manual erforderlich</t>
        </is>
      </c>
      <c r="E2695" s="11" t="inlineStr"/>
      <c r="F2695" s="11" t="n">
        <v>0</v>
      </c>
      <c r="G2695" s="11">
        <f>E2695-F2695</f>
        <v/>
      </c>
      <c r="H2695" s="11" t="n">
        <v/>
      </c>
      <c r="I2695" s="11" t="n">
        <v/>
      </c>
      <c r="J2695" s="11" t="n">
        <v/>
      </c>
      <c r="K2695" s="4" t="inlineStr">
        <is>
          <t>Abrechnungsart wählen; Stundensätze eingeben</t>
        </is>
      </c>
    </row>
    <row r="2696">
      <c r="A2696" s="4" t="inlineStr">
        <is>
          <t>6271 Schwarzwaldstraße-Sinsheim-NB-FW-Gebäude</t>
        </is>
      </c>
      <c r="B2696" s="4" t="inlineStr">
        <is>
          <t>● 5000-Ausführungsplanung (pauschal)</t>
        </is>
      </c>
      <c r="C2696" s="9" t="inlineStr">
        <is>
          <t>Unbekannt</t>
        </is>
      </c>
      <c r="D2696" s="10" t="inlineStr">
        <is>
          <t>⚠ Manual erforderlich</t>
        </is>
      </c>
      <c r="E2696" s="11" t="inlineStr"/>
      <c r="F2696" s="11" t="n">
        <v>0</v>
      </c>
      <c r="G2696" s="11">
        <f>E2696-F2696</f>
        <v/>
      </c>
      <c r="H2696" s="11" t="n">
        <v/>
      </c>
      <c r="I2696" s="11" t="n">
        <v/>
      </c>
      <c r="J2696" s="11" t="n">
        <v/>
      </c>
      <c r="K2696" s="4" t="inlineStr">
        <is>
          <t>Abrechnungsart wählen; Stundensätze eingeben</t>
        </is>
      </c>
    </row>
    <row r="2697">
      <c r="A2697" s="4" t="inlineStr">
        <is>
          <t>6271 Schwarzwaldstraße-Sinsheim-NB-FW-Gebäude</t>
        </is>
      </c>
      <c r="B2697" s="4" t="inlineStr">
        <is>
          <t>● 8000-Objektüberwachung (pauschal)</t>
        </is>
      </c>
      <c r="C2697" s="9" t="inlineStr">
        <is>
          <t>Unbekannt</t>
        </is>
      </c>
      <c r="D2697" s="10" t="inlineStr">
        <is>
          <t>⚠ Manual erforderlich</t>
        </is>
      </c>
      <c r="E2697" s="11" t="inlineStr"/>
      <c r="F2697" s="11" t="n">
        <v>0</v>
      </c>
      <c r="G2697" s="11">
        <f>E2697-F2697</f>
        <v/>
      </c>
      <c r="H2697" s="11" t="n">
        <v/>
      </c>
      <c r="I2697" s="11" t="n">
        <v/>
      </c>
      <c r="J2697" s="11" t="n">
        <v/>
      </c>
      <c r="K2697" s="4" t="inlineStr">
        <is>
          <t>Abrechnungsart wählen; Stundensätze eingeben</t>
        </is>
      </c>
    </row>
    <row r="2698">
      <c r="A2698" s="4" t="inlineStr">
        <is>
          <t>6271 Schwarzwaldstraße-Sinsheim-NB-FW-Gebäude</t>
        </is>
      </c>
      <c r="B2698" s="4" t="inlineStr">
        <is>
          <t>● 9000-Objektbetreuung und Dokumentation (pauschal)</t>
        </is>
      </c>
      <c r="C2698" s="9" t="inlineStr">
        <is>
          <t>Unbekannt</t>
        </is>
      </c>
      <c r="D2698" s="10" t="inlineStr">
        <is>
          <t>⚠ Manual erforderlich</t>
        </is>
      </c>
      <c r="E2698" s="11" t="inlineStr"/>
      <c r="F2698" s="11" t="n">
        <v>0</v>
      </c>
      <c r="G2698" s="11">
        <f>E2698-F2698</f>
        <v/>
      </c>
      <c r="H2698" s="11" t="n">
        <v/>
      </c>
      <c r="I2698" s="11" t="n">
        <v/>
      </c>
      <c r="J2698" s="11" t="n">
        <v/>
      </c>
      <c r="K2698" s="4" t="inlineStr">
        <is>
          <t>Abrechnungsart wählen; Stundensätze eingeben</t>
        </is>
      </c>
    </row>
    <row r="2699">
      <c r="A2699" s="4" t="inlineStr">
        <is>
          <t>6275.02 d.i.i.-LP3+4-LP5+8-HeerdterSandberg28-Düsseldorf</t>
        </is>
      </c>
      <c r="B2699" s="4" t="inlineStr">
        <is>
          <t>● (p.) Pos. 1 Fortschr. BSK (LP3/4)</t>
        </is>
      </c>
      <c r="C2699" s="9" t="inlineStr">
        <is>
          <t>Unbekannt</t>
        </is>
      </c>
      <c r="D2699" s="10" t="inlineStr">
        <is>
          <t>⚠ Manual erforderlich</t>
        </is>
      </c>
      <c r="E2699" s="11" t="inlineStr"/>
      <c r="F2699" s="11" t="n">
        <v>0</v>
      </c>
      <c r="G2699" s="11">
        <f>E2699-F2699</f>
        <v/>
      </c>
      <c r="H2699" s="11" t="n">
        <v/>
      </c>
      <c r="I2699" s="11" t="n">
        <v/>
      </c>
      <c r="J2699" s="11" t="n">
        <v/>
      </c>
      <c r="K2699" s="4" t="inlineStr">
        <is>
          <t>Abrechnungsart wählen; Stundensätze eingeben</t>
        </is>
      </c>
    </row>
    <row r="2700">
      <c r="A2700" s="4" t="inlineStr">
        <is>
          <t>6275.02 d.i.i.-LP3+4-LP5+8-HeerdterSandberg28-Düsseldorf</t>
        </is>
      </c>
      <c r="B2700" s="4" t="inlineStr">
        <is>
          <t>● (p) Stufe 1: LP5</t>
        </is>
      </c>
      <c r="C2700" s="4" t="inlineStr">
        <is>
          <t>Pauschale</t>
        </is>
      </c>
      <c r="D2700" s="10" t="inlineStr">
        <is>
          <t>⚠ Manual erforderlich</t>
        </is>
      </c>
      <c r="E2700" s="11" t="inlineStr"/>
      <c r="F2700" s="11" t="n">
        <v>0</v>
      </c>
      <c r="G2700" s="11">
        <f>E2700-F2700</f>
        <v/>
      </c>
      <c r="H2700" s="11" t="n">
        <v>0</v>
      </c>
      <c r="I2700" s="11" t="n">
        <v>0</v>
      </c>
      <c r="J2700" s="11" t="n">
        <v>0</v>
      </c>
      <c r="K2700" s="4" t="inlineStr">
        <is>
          <t>Stundensätze eingeben</t>
        </is>
      </c>
    </row>
    <row r="2701">
      <c r="A2701" s="4" t="inlineStr">
        <is>
          <t>6275.02 d.i.i.-LP3+4-LP5+8-HeerdterSandberg28-Düsseldorf</t>
        </is>
      </c>
      <c r="B2701" s="4" t="inlineStr">
        <is>
          <t>● (p) Stufe 2: LP8</t>
        </is>
      </c>
      <c r="C2701" s="4" t="inlineStr">
        <is>
          <t>Pauschale</t>
        </is>
      </c>
      <c r="D2701" s="10" t="inlineStr">
        <is>
          <t>⚠ Manual erforderlich</t>
        </is>
      </c>
      <c r="E2701" s="11" t="inlineStr"/>
      <c r="F2701" s="11" t="n">
        <v>0</v>
      </c>
      <c r="G2701" s="11">
        <f>E2701-F2701</f>
        <v/>
      </c>
      <c r="H2701" s="11" t="n">
        <v/>
      </c>
      <c r="I2701" s="11" t="n">
        <v/>
      </c>
      <c r="J2701" s="11" t="n">
        <v/>
      </c>
      <c r="K2701" s="4" t="inlineStr">
        <is>
          <t>Stundensätze eingeben</t>
        </is>
      </c>
    </row>
    <row r="2702">
      <c r="A2702" s="4" t="inlineStr">
        <is>
          <t>6276 Baumholder-Smith-Barracks-Geb-8412-FW-Fz-Halle</t>
        </is>
      </c>
      <c r="B2702" s="4" t="inlineStr">
        <is>
          <t>● 1.1.10. LP1 GL (pauschal)</t>
        </is>
      </c>
      <c r="C2702" s="9" t="inlineStr">
        <is>
          <t>Unbekannt</t>
        </is>
      </c>
      <c r="D2702" s="10" t="inlineStr">
        <is>
          <t>⚠ Manual erforderlich</t>
        </is>
      </c>
      <c r="E2702" s="11" t="inlineStr"/>
      <c r="F2702" s="11" t="n">
        <v>0</v>
      </c>
      <c r="G2702" s="11">
        <f>E2702-F2702</f>
        <v/>
      </c>
      <c r="H2702" s="11" t="n">
        <v/>
      </c>
      <c r="I2702" s="11" t="n">
        <v/>
      </c>
      <c r="J2702" s="11" t="n">
        <v/>
      </c>
      <c r="K2702" s="4" t="inlineStr">
        <is>
          <t>Abrechnungsart wählen; Stundensätze eingeben</t>
        </is>
      </c>
    </row>
    <row r="2703">
      <c r="A2703" s="4" t="inlineStr">
        <is>
          <t>6276 Baumholder-Smith-Barracks-Geb-8412-FW-Fz-Halle</t>
        </is>
      </c>
      <c r="B2703" s="4" t="inlineStr">
        <is>
          <t>● 1.1.20. LP1 BL (pauschal)</t>
        </is>
      </c>
      <c r="C2703" s="9" t="inlineStr">
        <is>
          <t>Unbekannt</t>
        </is>
      </c>
      <c r="D2703" s="10" t="inlineStr">
        <is>
          <t>⚠ Manual erforderlich</t>
        </is>
      </c>
      <c r="E2703" s="11" t="inlineStr"/>
      <c r="F2703" s="11" t="n">
        <v>0</v>
      </c>
      <c r="G2703" s="11">
        <f>E2703-F2703</f>
        <v/>
      </c>
      <c r="H2703" s="11" t="n">
        <v/>
      </c>
      <c r="I2703" s="11" t="n">
        <v/>
      </c>
      <c r="J2703" s="11" t="n">
        <v/>
      </c>
      <c r="K2703" s="4" t="inlineStr">
        <is>
          <t>Abrechnungsart wählen; Stundensätze eingeben</t>
        </is>
      </c>
    </row>
    <row r="2704">
      <c r="A2704" s="4" t="inlineStr">
        <is>
          <t>6276 Baumholder-Smith-Barracks-Geb-8412-FW-Fz-Halle</t>
        </is>
      </c>
      <c r="B2704" s="4" t="inlineStr">
        <is>
          <t>● 1.1.30. LP4 GL (pauschal)</t>
        </is>
      </c>
      <c r="C2704" s="9" t="inlineStr">
        <is>
          <t>Unbekannt</t>
        </is>
      </c>
      <c r="D2704" s="10" t="inlineStr">
        <is>
          <t>⚠ Manual erforderlich</t>
        </is>
      </c>
      <c r="E2704" s="11" t="inlineStr"/>
      <c r="F2704" s="11" t="n">
        <v>0</v>
      </c>
      <c r="G2704" s="11">
        <f>E2704-F2704</f>
        <v/>
      </c>
      <c r="H2704" s="11" t="n">
        <v/>
      </c>
      <c r="I2704" s="11" t="n">
        <v/>
      </c>
      <c r="J2704" s="11" t="n">
        <v/>
      </c>
      <c r="K2704" s="4" t="inlineStr">
        <is>
          <t>Abrechnungsart wählen; Stundensätze eingeben</t>
        </is>
      </c>
    </row>
    <row r="2705">
      <c r="A2705" s="4" t="inlineStr">
        <is>
          <t>6276 Baumholder-Smith-Barracks-Geb-8412-FW-Fz-Halle</t>
        </is>
      </c>
      <c r="B2705" s="4" t="inlineStr">
        <is>
          <t>● 1.1.50. LP4 BL (pauschal)</t>
        </is>
      </c>
      <c r="C2705" s="9" t="inlineStr">
        <is>
          <t>Unbekannt</t>
        </is>
      </c>
      <c r="D2705" s="10" t="inlineStr">
        <is>
          <t>⚠ Manual erforderlich</t>
        </is>
      </c>
      <c r="E2705" s="11" t="inlineStr"/>
      <c r="F2705" s="11" t="n">
        <v>0</v>
      </c>
      <c r="G2705" s="11">
        <f>E2705-F2705</f>
        <v/>
      </c>
      <c r="H2705" s="11" t="n">
        <v/>
      </c>
      <c r="I2705" s="11" t="n">
        <v/>
      </c>
      <c r="J2705" s="11" t="n">
        <v/>
      </c>
      <c r="K2705" s="4" t="inlineStr">
        <is>
          <t>Abrechnungsart wählen; Stundensätze eingeben</t>
        </is>
      </c>
    </row>
    <row r="2706">
      <c r="A2706" s="4" t="inlineStr">
        <is>
          <t>6277 LBB-Pulaski-Barracks-KL-Outdoor-Recreation-Center-AHO</t>
        </is>
      </c>
      <c r="B2706" s="4" t="inlineStr">
        <is>
          <t>● Stufe 1</t>
        </is>
      </c>
      <c r="C2706" s="9" t="inlineStr">
        <is>
          <t>Unbekannt</t>
        </is>
      </c>
      <c r="D2706" s="10" t="inlineStr">
        <is>
          <t>⚠ Manual erforderlich</t>
        </is>
      </c>
      <c r="E2706" s="11" t="inlineStr"/>
      <c r="F2706" s="11" t="n">
        <v>0</v>
      </c>
      <c r="G2706" s="11">
        <f>E2706-F2706</f>
        <v/>
      </c>
      <c r="H2706" s="11" t="n">
        <v/>
      </c>
      <c r="I2706" s="11" t="n">
        <v/>
      </c>
      <c r="J2706" s="11" t="n">
        <v/>
      </c>
      <c r="K2706" s="4" t="inlineStr">
        <is>
          <t>Abrechnungsart wählen; Stundensätze eingeben</t>
        </is>
      </c>
    </row>
    <row r="2707">
      <c r="A2707" s="4" t="inlineStr">
        <is>
          <t>6277 LBB-Pulaski-Barracks-KL-Outdoor-Recreation-Center-AHO</t>
        </is>
      </c>
      <c r="B2707" s="4" t="inlineStr">
        <is>
          <t>● (p) LP1</t>
        </is>
      </c>
      <c r="C2707" s="4" t="inlineStr">
        <is>
          <t>Pauschale</t>
        </is>
      </c>
      <c r="D2707" s="10" t="inlineStr">
        <is>
          <t>⚠ Manual erforderlich</t>
        </is>
      </c>
      <c r="E2707" s="11" t="inlineStr"/>
      <c r="F2707" s="11" t="n">
        <v>0</v>
      </c>
      <c r="G2707" s="11">
        <f>E2707-F2707</f>
        <v/>
      </c>
      <c r="H2707" s="11" t="n">
        <v>0</v>
      </c>
      <c r="I2707" s="11" t="n">
        <v>0</v>
      </c>
      <c r="J2707" s="11" t="n">
        <v>0</v>
      </c>
      <c r="K2707" s="4" t="inlineStr">
        <is>
          <t>Stundensätze eingeben</t>
        </is>
      </c>
    </row>
    <row r="2708">
      <c r="A2708" s="4" t="inlineStr">
        <is>
          <t>6277 LBB-Pulaski-Barracks-KL-Outdoor-Recreation-Center-AHO</t>
        </is>
      </c>
      <c r="B2708" s="4" t="inlineStr">
        <is>
          <t>● (p) LP1 US (pauschal)</t>
        </is>
      </c>
      <c r="C2708" s="4" t="inlineStr">
        <is>
          <t>Pauschale</t>
        </is>
      </c>
      <c r="D2708" s="10" t="inlineStr">
        <is>
          <t>⚠ Manual erforderlich</t>
        </is>
      </c>
      <c r="E2708" s="11" t="inlineStr"/>
      <c r="F2708" s="11" t="n">
        <v>0</v>
      </c>
      <c r="G2708" s="11">
        <f>E2708-F2708</f>
        <v/>
      </c>
      <c r="H2708" s="11" t="n">
        <v>0</v>
      </c>
      <c r="I2708" s="11" t="n">
        <v>0</v>
      </c>
      <c r="J2708" s="11" t="n">
        <v>0</v>
      </c>
      <c r="K2708" s="4" t="inlineStr">
        <is>
          <t>Stundensätze eingeben</t>
        </is>
      </c>
    </row>
    <row r="2709">
      <c r="A2709" s="4" t="inlineStr">
        <is>
          <t>6277 LBB-Pulaski-Barracks-KL-Outdoor-Recreation-Center-AHO</t>
        </is>
      </c>
      <c r="B2709" s="4" t="inlineStr">
        <is>
          <t>● (p) LP2 (pauschal)</t>
        </is>
      </c>
      <c r="C2709" s="4" t="inlineStr">
        <is>
          <t>Pauschale</t>
        </is>
      </c>
      <c r="D2709" s="10" t="inlineStr">
        <is>
          <t>⚠ Manual erforderlich</t>
        </is>
      </c>
      <c r="E2709" s="11" t="inlineStr"/>
      <c r="F2709" s="11" t="n">
        <v>0</v>
      </c>
      <c r="G2709" s="11">
        <f>E2709-F2709</f>
        <v/>
      </c>
      <c r="H2709" s="11" t="n">
        <v>0</v>
      </c>
      <c r="I2709" s="11" t="n">
        <v>0</v>
      </c>
      <c r="J2709" s="11" t="n">
        <v>0</v>
      </c>
      <c r="K2709" s="4" t="inlineStr">
        <is>
          <t>Stundensätze eingeben</t>
        </is>
      </c>
    </row>
    <row r="2710">
      <c r="A2710" s="4" t="inlineStr">
        <is>
          <t>6277 LBB-Pulaski-Barracks-KL-Outdoor-Recreation-Center-AHO</t>
        </is>
      </c>
      <c r="B2710" s="4" t="inlineStr">
        <is>
          <t>● LP2 US (pauschal)</t>
        </is>
      </c>
      <c r="C2710" s="9" t="inlineStr">
        <is>
          <t>Unbekannt</t>
        </is>
      </c>
      <c r="D2710" s="10" t="inlineStr">
        <is>
          <t>⚠ Manual erforderlich</t>
        </is>
      </c>
      <c r="E2710" s="11" t="inlineStr"/>
      <c r="F2710" s="11" t="n">
        <v>0</v>
      </c>
      <c r="G2710" s="11">
        <f>E2710-F2710</f>
        <v/>
      </c>
      <c r="H2710" s="11" t="n">
        <v/>
      </c>
      <c r="I2710" s="11" t="n">
        <v/>
      </c>
      <c r="J2710" s="11" t="n">
        <v/>
      </c>
      <c r="K2710" s="4" t="inlineStr">
        <is>
          <t>Abrechnungsart wählen; Stundensätze eingeben</t>
        </is>
      </c>
    </row>
    <row r="2711">
      <c r="A2711" s="4" t="inlineStr">
        <is>
          <t>6277 LBB-Pulaski-Barracks-KL-Outdoor-Recreation-Center-AHO</t>
        </is>
      </c>
      <c r="B2711" s="4" t="inlineStr">
        <is>
          <t>● Stufe 2 (LP 3+4)</t>
        </is>
      </c>
      <c r="C2711" s="9" t="inlineStr">
        <is>
          <t>Unbekannt</t>
        </is>
      </c>
      <c r="D2711" s="10" t="inlineStr">
        <is>
          <t>⚠ Manual erforderlich</t>
        </is>
      </c>
      <c r="E2711" s="11" t="inlineStr"/>
      <c r="F2711" s="11" t="n">
        <v>0</v>
      </c>
      <c r="G2711" s="11">
        <f>E2711-F2711</f>
        <v/>
      </c>
      <c r="H2711" s="11" t="n">
        <v/>
      </c>
      <c r="I2711" s="11" t="n">
        <v/>
      </c>
      <c r="J2711" s="11" t="n">
        <v/>
      </c>
      <c r="K2711" s="4" t="inlineStr">
        <is>
          <t>Abrechnungsart wählen; Stundensätze eingeben</t>
        </is>
      </c>
    </row>
    <row r="2712">
      <c r="A2712" s="4" t="inlineStr">
        <is>
          <t>6277 LBB-Pulaski-Barracks-KL-Outdoor-Recreation-Center-AHO</t>
        </is>
      </c>
      <c r="B2712" s="4" t="inlineStr">
        <is>
          <t>● LP3 (pauschal)</t>
        </is>
      </c>
      <c r="C2712" s="9" t="inlineStr">
        <is>
          <t>Unbekannt</t>
        </is>
      </c>
      <c r="D2712" s="10" t="inlineStr">
        <is>
          <t>⚠ Manual erforderlich</t>
        </is>
      </c>
      <c r="E2712" s="11" t="inlineStr"/>
      <c r="F2712" s="11" t="n">
        <v>0</v>
      </c>
      <c r="G2712" s="11">
        <f>E2712-F2712</f>
        <v/>
      </c>
      <c r="H2712" s="11" t="n">
        <v/>
      </c>
      <c r="I2712" s="11" t="n">
        <v/>
      </c>
      <c r="J2712" s="11" t="n">
        <v/>
      </c>
      <c r="K2712" s="4" t="inlineStr">
        <is>
          <t>Abrechnungsart wählen; Stundensätze eingeben</t>
        </is>
      </c>
    </row>
    <row r="2713">
      <c r="A2713" s="4" t="inlineStr">
        <is>
          <t>6277 LBB-Pulaski-Barracks-KL-Outdoor-Recreation-Center-AHO</t>
        </is>
      </c>
      <c r="B2713" s="4" t="inlineStr">
        <is>
          <t>● LP3 US (pauschal)</t>
        </is>
      </c>
      <c r="C2713" s="9" t="inlineStr">
        <is>
          <t>Unbekannt</t>
        </is>
      </c>
      <c r="D2713" s="10" t="inlineStr">
        <is>
          <t>⚠ Manual erforderlich</t>
        </is>
      </c>
      <c r="E2713" s="11" t="inlineStr"/>
      <c r="F2713" s="11" t="n">
        <v>0</v>
      </c>
      <c r="G2713" s="11">
        <f>E2713-F2713</f>
        <v/>
      </c>
      <c r="H2713" s="11" t="n">
        <v/>
      </c>
      <c r="I2713" s="11" t="n">
        <v/>
      </c>
      <c r="J2713" s="11" t="n">
        <v/>
      </c>
      <c r="K2713" s="4" t="inlineStr">
        <is>
          <t>Abrechnungsart wählen; Stundensätze eingeben</t>
        </is>
      </c>
    </row>
    <row r="2714">
      <c r="A2714" s="4" t="inlineStr">
        <is>
          <t>6277 LBB-Pulaski-Barracks-KL-Outdoor-Recreation-Center-AHO</t>
        </is>
      </c>
      <c r="B2714" s="4" t="inlineStr">
        <is>
          <t>● LP4 (pauschal)</t>
        </is>
      </c>
      <c r="C2714" s="9" t="inlineStr">
        <is>
          <t>Unbekannt</t>
        </is>
      </c>
      <c r="D2714" s="10" t="inlineStr">
        <is>
          <t>⚠ Manual erforderlich</t>
        </is>
      </c>
      <c r="E2714" s="11" t="inlineStr"/>
      <c r="F2714" s="11" t="n">
        <v>0</v>
      </c>
      <c r="G2714" s="11">
        <f>E2714-F2714</f>
        <v/>
      </c>
      <c r="H2714" s="11" t="n">
        <v/>
      </c>
      <c r="I2714" s="11" t="n">
        <v/>
      </c>
      <c r="J2714" s="11" t="n">
        <v/>
      </c>
      <c r="K2714" s="4" t="inlineStr">
        <is>
          <t>Abrechnungsart wählen; Stundensätze eingeben</t>
        </is>
      </c>
    </row>
    <row r="2715">
      <c r="A2715" s="4" t="inlineStr">
        <is>
          <t>6277 LBB-Pulaski-Barracks-KL-Outdoor-Recreation-Center-AHO</t>
        </is>
      </c>
      <c r="B2715" s="4" t="inlineStr">
        <is>
          <t>● LP4 US (pauschal)</t>
        </is>
      </c>
      <c r="C2715" s="9" t="inlineStr">
        <is>
          <t>Unbekannt</t>
        </is>
      </c>
      <c r="D2715" s="10" t="inlineStr">
        <is>
          <t>⚠ Manual erforderlich</t>
        </is>
      </c>
      <c r="E2715" s="11" t="inlineStr"/>
      <c r="F2715" s="11" t="n">
        <v>0</v>
      </c>
      <c r="G2715" s="11">
        <f>E2715-F2715</f>
        <v/>
      </c>
      <c r="H2715" s="11" t="n">
        <v/>
      </c>
      <c r="I2715" s="11" t="n">
        <v/>
      </c>
      <c r="J2715" s="11" t="n">
        <v/>
      </c>
      <c r="K2715" s="4" t="inlineStr">
        <is>
          <t>Abrechnungsart wählen; Stundensätze eingeben</t>
        </is>
      </c>
    </row>
    <row r="2716">
      <c r="A2716" s="4" t="inlineStr">
        <is>
          <t>6277 LBB-Pulaski-Barracks-KL-Outdoor-Recreation-Center-AHO</t>
        </is>
      </c>
      <c r="B2716" s="4" t="inlineStr">
        <is>
          <t>● • ‧ LP 5 GL</t>
        </is>
      </c>
      <c r="C2716" s="9" t="inlineStr">
        <is>
          <t>Unbekannt</t>
        </is>
      </c>
      <c r="D2716" s="10" t="inlineStr">
        <is>
          <t>⚠ Manual erforderlich</t>
        </is>
      </c>
      <c r="E2716" s="11" t="inlineStr"/>
      <c r="F2716" s="11" t="n">
        <v>0</v>
      </c>
      <c r="G2716" s="11">
        <f>E2716-F2716</f>
        <v/>
      </c>
      <c r="H2716" s="11" t="n">
        <v/>
      </c>
      <c r="I2716" s="11" t="n">
        <v/>
      </c>
      <c r="J2716" s="11" t="n">
        <v/>
      </c>
      <c r="K2716" s="4" t="inlineStr">
        <is>
          <t>Abrechnungsart wählen; Stundensätze eingeben</t>
        </is>
      </c>
    </row>
    <row r="2717">
      <c r="A2717" s="4" t="inlineStr">
        <is>
          <t>6277 LBB-Pulaski-Barracks-KL-Outdoor-Recreation-Center-AHO</t>
        </is>
      </c>
      <c r="B2717" s="4" t="inlineStr">
        <is>
          <t>● • ‧ LP 5 GL/US</t>
        </is>
      </c>
      <c r="C2717" s="9" t="inlineStr">
        <is>
          <t>Unbekannt</t>
        </is>
      </c>
      <c r="D2717" s="10" t="inlineStr">
        <is>
          <t>⚠ Manual erforderlich</t>
        </is>
      </c>
      <c r="E2717" s="11" t="inlineStr"/>
      <c r="F2717" s="11" t="n">
        <v>0</v>
      </c>
      <c r="G2717" s="11">
        <f>E2717-F2717</f>
        <v/>
      </c>
      <c r="H2717" s="11" t="n">
        <v/>
      </c>
      <c r="I2717" s="11" t="n">
        <v/>
      </c>
      <c r="J2717" s="11" t="n">
        <v/>
      </c>
      <c r="K2717" s="4" t="inlineStr">
        <is>
          <t>Abrechnungsart wählen; Stundensätze eingeben</t>
        </is>
      </c>
    </row>
    <row r="2718">
      <c r="A2718" s="4" t="inlineStr">
        <is>
          <t>6277 LBB-Pulaski-Barracks-KL-Outdoor-Recreation-Center-AHO</t>
        </is>
      </c>
      <c r="B2718" s="4" t="inlineStr">
        <is>
          <t>● • ‧ LP 5 BL</t>
        </is>
      </c>
      <c r="C2718" s="9" t="inlineStr">
        <is>
          <t>Unbekannt</t>
        </is>
      </c>
      <c r="D2718" s="10" t="inlineStr">
        <is>
          <t>⚠ Manual erforderlich</t>
        </is>
      </c>
      <c r="E2718" s="11" t="inlineStr"/>
      <c r="F2718" s="11" t="n">
        <v>0</v>
      </c>
      <c r="G2718" s="11">
        <f>E2718-F2718</f>
        <v/>
      </c>
      <c r="H2718" s="11" t="n">
        <v/>
      </c>
      <c r="I2718" s="11" t="n">
        <v/>
      </c>
      <c r="J2718" s="11" t="n">
        <v/>
      </c>
      <c r="K2718" s="4" t="inlineStr">
        <is>
          <t>Abrechnungsart wählen; Stundensätze eingeben</t>
        </is>
      </c>
    </row>
    <row r="2719">
      <c r="A2719" s="4" t="inlineStr">
        <is>
          <t>6277 LBB-Pulaski-Barracks-KL-Outdoor-Recreation-Center-AHO</t>
        </is>
      </c>
      <c r="B2719" s="4" t="inlineStr">
        <is>
          <t>● • ‧ LP5 BL/US</t>
        </is>
      </c>
      <c r="C2719" s="9" t="inlineStr">
        <is>
          <t>Unbekannt</t>
        </is>
      </c>
      <c r="D2719" s="10" t="inlineStr">
        <is>
          <t>⚠ Manual erforderlich</t>
        </is>
      </c>
      <c r="E2719" s="11" t="inlineStr"/>
      <c r="F2719" s="11" t="n">
        <v>0</v>
      </c>
      <c r="G2719" s="11">
        <f>E2719-F2719</f>
        <v/>
      </c>
      <c r="H2719" s="11" t="n">
        <v/>
      </c>
      <c r="I2719" s="11" t="n">
        <v/>
      </c>
      <c r="J2719" s="11" t="n">
        <v/>
      </c>
      <c r="K2719" s="4" t="inlineStr">
        <is>
          <t>Abrechnungsart wählen; Stundensätze eingeben</t>
        </is>
      </c>
    </row>
    <row r="2720">
      <c r="A2720" s="4" t="inlineStr">
        <is>
          <t>6277 LBB-Pulaski-Barracks-KL-Outdoor-Recreation-Center-AHO</t>
        </is>
      </c>
      <c r="B2720" s="4" t="inlineStr">
        <is>
          <t>● • ‧ LP 6 BL</t>
        </is>
      </c>
      <c r="C2720" s="9" t="inlineStr">
        <is>
          <t>Unbekannt</t>
        </is>
      </c>
      <c r="D2720" s="10" t="inlineStr">
        <is>
          <t>⚠ Manual erforderlich</t>
        </is>
      </c>
      <c r="E2720" s="11" t="inlineStr"/>
      <c r="F2720" s="11" t="n">
        <v>0</v>
      </c>
      <c r="G2720" s="11">
        <f>E2720-F2720</f>
        <v/>
      </c>
      <c r="H2720" s="11" t="n">
        <v/>
      </c>
      <c r="I2720" s="11" t="n">
        <v/>
      </c>
      <c r="J2720" s="11" t="n">
        <v/>
      </c>
      <c r="K2720" s="4" t="inlineStr">
        <is>
          <t>Abrechnungsart wählen; Stundensätze eingeben</t>
        </is>
      </c>
    </row>
    <row r="2721">
      <c r="A2721" s="4" t="inlineStr">
        <is>
          <t>6277 LBB-Pulaski-Barracks-KL-Outdoor-Recreation-Center-AHO</t>
        </is>
      </c>
      <c r="B2721" s="4" t="inlineStr">
        <is>
          <t>● • ‧ LP 6 BL/US</t>
        </is>
      </c>
      <c r="C2721" s="9" t="inlineStr">
        <is>
          <t>Unbekannt</t>
        </is>
      </c>
      <c r="D2721" s="10" t="inlineStr">
        <is>
          <t>⚠ Manual erforderlich</t>
        </is>
      </c>
      <c r="E2721" s="11" t="inlineStr"/>
      <c r="F2721" s="11" t="n">
        <v>0</v>
      </c>
      <c r="G2721" s="11">
        <f>E2721-F2721</f>
        <v/>
      </c>
      <c r="H2721" s="11" t="n">
        <v/>
      </c>
      <c r="I2721" s="11" t="n">
        <v/>
      </c>
      <c r="J2721" s="11" t="n">
        <v/>
      </c>
      <c r="K2721" s="4" t="inlineStr">
        <is>
          <t>Abrechnungsart wählen; Stundensätze eingeben</t>
        </is>
      </c>
    </row>
    <row r="2722">
      <c r="A2722" s="4" t="inlineStr">
        <is>
          <t>6277 LBB-Pulaski-Barracks-KL-Outdoor-Recreation-Center-AHO</t>
        </is>
      </c>
      <c r="B2722" s="4" t="inlineStr">
        <is>
          <t>● • ‧ LP 7 BL</t>
        </is>
      </c>
      <c r="C2722" s="9" t="inlineStr">
        <is>
          <t>Unbekannt</t>
        </is>
      </c>
      <c r="D2722" s="10" t="inlineStr">
        <is>
          <t>⚠ Manual erforderlich</t>
        </is>
      </c>
      <c r="E2722" s="11" t="inlineStr"/>
      <c r="F2722" s="11" t="n">
        <v>0</v>
      </c>
      <c r="G2722" s="11">
        <f>E2722-F2722</f>
        <v/>
      </c>
      <c r="H2722" s="11" t="n">
        <v/>
      </c>
      <c r="I2722" s="11" t="n">
        <v/>
      </c>
      <c r="J2722" s="11" t="n">
        <v/>
      </c>
      <c r="K2722" s="4" t="inlineStr">
        <is>
          <t>Abrechnungsart wählen; Stundensätze eingeben</t>
        </is>
      </c>
    </row>
    <row r="2723">
      <c r="A2723" s="4" t="inlineStr">
        <is>
          <t>6277 LBB-Pulaski-Barracks-KL-Outdoor-Recreation-Center-AHO</t>
        </is>
      </c>
      <c r="B2723" s="4" t="inlineStr">
        <is>
          <t>● • ‧ LP 7 BL/US</t>
        </is>
      </c>
      <c r="C2723" s="9" t="inlineStr">
        <is>
          <t>Unbekannt</t>
        </is>
      </c>
      <c r="D2723" s="10" t="inlineStr">
        <is>
          <t>⚠ Manual erforderlich</t>
        </is>
      </c>
      <c r="E2723" s="11" t="inlineStr"/>
      <c r="F2723" s="11" t="n">
        <v>0</v>
      </c>
      <c r="G2723" s="11">
        <f>E2723-F2723</f>
        <v/>
      </c>
      <c r="H2723" s="11" t="n">
        <v/>
      </c>
      <c r="I2723" s="11" t="n">
        <v/>
      </c>
      <c r="J2723" s="11" t="n">
        <v/>
      </c>
      <c r="K2723" s="4" t="inlineStr">
        <is>
          <t>Abrechnungsart wählen; Stundensätze eingeben</t>
        </is>
      </c>
    </row>
    <row r="2724">
      <c r="A2724" s="4" t="inlineStr">
        <is>
          <t>6277.01 US-Vorschriften-LBB-Pulaski-Barracks-KL-Outdoor-Recreation-Center-AHO</t>
        </is>
      </c>
      <c r="B2724" s="4" t="inlineStr">
        <is>
          <t>● 1000-Grundlagenermittlung</t>
        </is>
      </c>
      <c r="C2724" s="9" t="inlineStr">
        <is>
          <t>Unbekannt</t>
        </is>
      </c>
      <c r="D2724" s="10" t="inlineStr">
        <is>
          <t>⚠ Manual erforderlich</t>
        </is>
      </c>
      <c r="E2724" s="11" t="inlineStr"/>
      <c r="F2724" s="11" t="n">
        <v>0</v>
      </c>
      <c r="G2724" s="11">
        <f>E2724-F2724</f>
        <v/>
      </c>
      <c r="H2724" s="11" t="n">
        <v/>
      </c>
      <c r="I2724" s="11" t="n">
        <v/>
      </c>
      <c r="J2724" s="11" t="n">
        <v/>
      </c>
      <c r="K2724" s="4" t="inlineStr">
        <is>
          <t>Abrechnungsart wählen; Stundensätze eingeben</t>
        </is>
      </c>
    </row>
    <row r="2725">
      <c r="A2725" s="4" t="inlineStr">
        <is>
          <t>6284 Höhnerweg-2-4-Weinheim-Geb-330-Freudenberg</t>
        </is>
      </c>
      <c r="B2725" s="4" t="inlineStr">
        <is>
          <t>● #Best. 4510045167 zu NAT 2025-04-15</t>
        </is>
      </c>
      <c r="C2725" s="9" t="inlineStr">
        <is>
          <t>Unbekannt</t>
        </is>
      </c>
      <c r="D2725" s="10" t="inlineStr">
        <is>
          <t>⚠ Manual erforderlich</t>
        </is>
      </c>
      <c r="E2725" s="11" t="inlineStr"/>
      <c r="F2725" s="11" t="n">
        <v>0</v>
      </c>
      <c r="G2725" s="11">
        <f>E2725-F2725</f>
        <v/>
      </c>
      <c r="H2725" s="11" t="n">
        <v/>
      </c>
      <c r="I2725" s="11" t="n">
        <v/>
      </c>
      <c r="J2725" s="11" t="n">
        <v/>
      </c>
      <c r="K2725" s="4" t="inlineStr">
        <is>
          <t>Abrechnungsart wählen; Stundensätze eingeben</t>
        </is>
      </c>
    </row>
    <row r="2726">
      <c r="A2726" s="4" t="inlineStr">
        <is>
          <t>6284 Höhnerweg-2-4-Weinheim-Geb-330-Freudenberg</t>
        </is>
      </c>
      <c r="B2726" s="4" t="inlineStr">
        <is>
          <t>● Rauchgassimulation 3 Ebenen (pauschal)</t>
        </is>
      </c>
      <c r="C2726" s="9" t="inlineStr">
        <is>
          <t>Unbekannt</t>
        </is>
      </c>
      <c r="D2726" s="10" t="inlineStr">
        <is>
          <t>⚠ Manual erforderlich</t>
        </is>
      </c>
      <c r="E2726" s="11" t="inlineStr"/>
      <c r="F2726" s="11" t="n">
        <v>0</v>
      </c>
      <c r="G2726" s="11">
        <f>E2726-F2726</f>
        <v/>
      </c>
      <c r="H2726" s="11" t="n">
        <v/>
      </c>
      <c r="I2726" s="11" t="n">
        <v/>
      </c>
      <c r="J2726" s="11" t="n">
        <v/>
      </c>
      <c r="K2726" s="4" t="inlineStr">
        <is>
          <t>Abrechnungsart wählen; Stundensätze eingeben</t>
        </is>
      </c>
    </row>
    <row r="2727">
      <c r="A2727" s="4" t="inlineStr">
        <is>
          <t>6284 Höhnerweg-2-4-Weinheim-Geb-330-Freudenberg</t>
        </is>
      </c>
      <c r="B2727" s="4" t="inlineStr">
        <is>
          <t>● Abstimmungstermine (auf Nachweis)</t>
        </is>
      </c>
      <c r="C2727" s="9" t="inlineStr">
        <is>
          <t>Unbekannt</t>
        </is>
      </c>
      <c r="D2727" s="10" t="inlineStr">
        <is>
          <t>⚠ Manual erforderlich</t>
        </is>
      </c>
      <c r="E2727" s="11" t="inlineStr"/>
      <c r="F2727" s="11" t="n">
        <v>0</v>
      </c>
      <c r="G2727" s="11">
        <f>E2727-F2727</f>
        <v/>
      </c>
      <c r="H2727" s="11" t="n">
        <v/>
      </c>
      <c r="I2727" s="11" t="n">
        <v/>
      </c>
      <c r="J2727" s="11" t="n">
        <v/>
      </c>
      <c r="K2727" s="4" t="inlineStr">
        <is>
          <t>Abrechnungsart wählen; Stundensätze eingeben</t>
        </is>
      </c>
    </row>
    <row r="2728">
      <c r="A2728" s="4" t="inlineStr">
        <is>
          <t>6284 Höhnerweg-2-4-Weinheim-Geb-330-Freudenberg</t>
        </is>
      </c>
      <c r="B2728" s="4" t="inlineStr">
        <is>
          <t>● BSK Geb. 330 (pauschal)</t>
        </is>
      </c>
      <c r="C2728" s="9" t="inlineStr">
        <is>
          <t>Unbekannt</t>
        </is>
      </c>
      <c r="D2728" s="10" t="inlineStr">
        <is>
          <t>⚠ Manual erforderlich</t>
        </is>
      </c>
      <c r="E2728" s="11" t="inlineStr"/>
      <c r="F2728" s="11" t="n">
        <v>0</v>
      </c>
      <c r="G2728" s="11">
        <f>E2728-F2728</f>
        <v/>
      </c>
      <c r="H2728" s="11" t="n">
        <v/>
      </c>
      <c r="I2728" s="11" t="n">
        <v/>
      </c>
      <c r="J2728" s="11" t="n">
        <v/>
      </c>
      <c r="K2728" s="4" t="inlineStr">
        <is>
          <t>Abrechnungsart wählen; Stundensätze eingeben</t>
        </is>
      </c>
    </row>
    <row r="2729">
      <c r="A2729" s="4" t="inlineStr">
        <is>
          <t>6284 Höhnerweg-2-4-Weinheim-Geb-330-Freudenberg</t>
        </is>
      </c>
      <c r="B2729" s="4" t="inlineStr">
        <is>
          <t>● Experimentelle Prüfung (pauschal)</t>
        </is>
      </c>
      <c r="C2729" s="9" t="inlineStr">
        <is>
          <t>Unbekannt</t>
        </is>
      </c>
      <c r="D2729" s="10" t="inlineStr">
        <is>
          <t>⚠ Manual erforderlich</t>
        </is>
      </c>
      <c r="E2729" s="11" t="inlineStr"/>
      <c r="F2729" s="11" t="n">
        <v>0</v>
      </c>
      <c r="G2729" s="11">
        <f>E2729-F2729</f>
        <v/>
      </c>
      <c r="H2729" s="11" t="n">
        <v/>
      </c>
      <c r="I2729" s="11" t="n">
        <v/>
      </c>
      <c r="J2729" s="11" t="n">
        <v/>
      </c>
      <c r="K2729" s="4" t="inlineStr">
        <is>
          <t>Abrechnungsart wählen; Stundensätze eingeben</t>
        </is>
      </c>
    </row>
    <row r="2730">
      <c r="A2730" s="4" t="inlineStr">
        <is>
          <t>6285 Opernplatz-14-Frankfurt-Gebäudekomplex-gesamt</t>
        </is>
      </c>
      <c r="B2730" s="4" t="inlineStr">
        <is>
          <t>● Prüfung Brandfallmatrix (auf Nachweis)</t>
        </is>
      </c>
      <c r="C2730" s="9" t="inlineStr">
        <is>
          <t>Unbekannt</t>
        </is>
      </c>
      <c r="D2730" s="10" t="inlineStr">
        <is>
          <t>⚠ Manual erforderlich</t>
        </is>
      </c>
      <c r="E2730" s="11" t="inlineStr"/>
      <c r="F2730" s="11" t="n">
        <v>0</v>
      </c>
      <c r="G2730" s="11">
        <f>E2730-F2730</f>
        <v/>
      </c>
      <c r="H2730" s="11" t="n">
        <v/>
      </c>
      <c r="I2730" s="11" t="n">
        <v/>
      </c>
      <c r="J2730" s="11" t="n">
        <v/>
      </c>
      <c r="K2730" s="4" t="inlineStr">
        <is>
          <t>Abrechnungsart wählen; Stundensätze eingeben</t>
        </is>
      </c>
    </row>
    <row r="2731">
      <c r="A2731" s="4" t="inlineStr">
        <is>
          <t>6285 Opernplatz-14-Frankfurt-Gebäudekomplex-gesamt</t>
        </is>
      </c>
      <c r="B2731" s="4" t="inlineStr">
        <is>
          <t>● WPP - Vorbereitung u. Organisation (auf Nachweis)</t>
        </is>
      </c>
      <c r="C2731" s="9" t="inlineStr">
        <is>
          <t>Unbekannt</t>
        </is>
      </c>
      <c r="D2731" s="10" t="inlineStr">
        <is>
          <t>⚠ Manual erforderlich</t>
        </is>
      </c>
      <c r="E2731" s="11" t="inlineStr"/>
      <c r="F2731" s="11" t="n">
        <v>0</v>
      </c>
      <c r="G2731" s="11">
        <f>E2731-F2731</f>
        <v/>
      </c>
      <c r="H2731" s="11" t="n">
        <v/>
      </c>
      <c r="I2731" s="11" t="n">
        <v/>
      </c>
      <c r="J2731" s="11" t="n">
        <v/>
      </c>
      <c r="K2731" s="4" t="inlineStr">
        <is>
          <t>Abrechnungsart wählen; Stundensätze eingeben</t>
        </is>
      </c>
    </row>
    <row r="2732">
      <c r="A2732" s="4" t="inlineStr">
        <is>
          <t>6285 Opernplatz-14-Frankfurt-Gebäudekomplex-gesamt</t>
        </is>
      </c>
      <c r="B2732" s="4" t="inlineStr">
        <is>
          <t>● WPP - Durchführung (auf Nachweis)</t>
        </is>
      </c>
      <c r="C2732" s="9" t="inlineStr">
        <is>
          <t>Unbekannt</t>
        </is>
      </c>
      <c r="D2732" s="10" t="inlineStr">
        <is>
          <t>⚠ Manual erforderlich</t>
        </is>
      </c>
      <c r="E2732" s="11" t="inlineStr"/>
      <c r="F2732" s="11" t="n">
        <v>0</v>
      </c>
      <c r="G2732" s="11">
        <f>E2732-F2732</f>
        <v/>
      </c>
      <c r="H2732" s="11" t="n">
        <v/>
      </c>
      <c r="I2732" s="11" t="n">
        <v/>
      </c>
      <c r="J2732" s="11" t="n">
        <v/>
      </c>
      <c r="K2732" s="4" t="inlineStr">
        <is>
          <t>Abrechnungsart wählen; Stundensätze eingeben</t>
        </is>
      </c>
    </row>
    <row r="2733">
      <c r="A2733" s="4" t="inlineStr">
        <is>
          <t>6285 Opernplatz-14-Frankfurt-Gebäudekomplex-gesamt</t>
        </is>
      </c>
      <c r="B2733" s="4" t="inlineStr">
        <is>
          <t>● WPP - Dokumentation (auf Nachweis)</t>
        </is>
      </c>
      <c r="C2733" s="9" t="inlineStr">
        <is>
          <t>Unbekannt</t>
        </is>
      </c>
      <c r="D2733" s="10" t="inlineStr">
        <is>
          <t>⚠ Manual erforderlich</t>
        </is>
      </c>
      <c r="E2733" s="11" t="inlineStr"/>
      <c r="F2733" s="11" t="n">
        <v>0</v>
      </c>
      <c r="G2733" s="11">
        <f>E2733-F2733</f>
        <v/>
      </c>
      <c r="H2733" s="11" t="n">
        <v/>
      </c>
      <c r="I2733" s="11" t="n">
        <v/>
      </c>
      <c r="J2733" s="11" t="n">
        <v/>
      </c>
      <c r="K2733" s="4" t="inlineStr">
        <is>
          <t>Abrechnungsart wählen; Stundensätze eingeben</t>
        </is>
      </c>
    </row>
    <row r="2734">
      <c r="A2734" s="4" t="inlineStr">
        <is>
          <t>6285 Opernplatz-14-Frankfurt-Gebäudekomplex-gesamt</t>
        </is>
      </c>
      <c r="B2734" s="4" t="inlineStr">
        <is>
          <t>● (a.N.)NAT-WPP-Pos.2 Prüfsachvertändiger nach TPrüfVO</t>
        </is>
      </c>
      <c r="C2734" s="4" t="inlineStr">
        <is>
          <t>Nachweis</t>
        </is>
      </c>
      <c r="D2734" s="10" t="inlineStr">
        <is>
          <t>⚠ Manual erforderlich</t>
        </is>
      </c>
      <c r="E2734" s="11" t="inlineStr"/>
      <c r="F2734" s="11" t="n">
        <v>0</v>
      </c>
      <c r="G2734" s="11">
        <f>E2734-F2734</f>
        <v/>
      </c>
      <c r="H2734" s="11" t="n">
        <v/>
      </c>
      <c r="I2734" s="11" t="n">
        <v/>
      </c>
      <c r="J2734" s="11" t="n">
        <v/>
      </c>
      <c r="K2734" s="4" t="inlineStr">
        <is>
          <t>Stundensätze eingeben</t>
        </is>
      </c>
    </row>
    <row r="2735">
      <c r="A2735" s="4" t="inlineStr">
        <is>
          <t>6285.04 4-UG-Opernplatz-14-Frankfurt-BAB</t>
        </is>
      </c>
      <c r="B2735" s="4" t="inlineStr">
        <is>
          <t>● Brandschutztechnische Baubegleitung</t>
        </is>
      </c>
      <c r="C2735" s="9" t="inlineStr">
        <is>
          <t>Unbekannt</t>
        </is>
      </c>
      <c r="D2735" s="10" t="inlineStr">
        <is>
          <t>⚠ Manual erforderlich</t>
        </is>
      </c>
      <c r="E2735" s="11" t="inlineStr"/>
      <c r="F2735" s="11" t="n">
        <v>0</v>
      </c>
      <c r="G2735" s="11">
        <f>E2735-F2735</f>
        <v/>
      </c>
      <c r="H2735" s="11" t="n">
        <v/>
      </c>
      <c r="I2735" s="11" t="n">
        <v/>
      </c>
      <c r="J2735" s="11" t="n">
        <v/>
      </c>
      <c r="K2735" s="4" t="inlineStr">
        <is>
          <t>Abrechnungsart wählen; Stundensätze eingeben</t>
        </is>
      </c>
    </row>
    <row r="2736">
      <c r="A2736" s="4" t="inlineStr">
        <is>
          <t>6285.081 NAT-FWP-Opernplatz-14-Frankfurt</t>
        </is>
      </c>
      <c r="B2736" s="4" t="inlineStr">
        <is>
          <t>● (aN) Pos. 1 Objektbegehung mit Bestandsaufnahme d. baul. Umbaumaßnahmen+Veränderungen</t>
        </is>
      </c>
      <c r="C2736" s="4" t="inlineStr">
        <is>
          <t>Nachweis</t>
        </is>
      </c>
      <c r="D2736" s="10" t="inlineStr">
        <is>
          <t>⚠ Manual erforderlich</t>
        </is>
      </c>
      <c r="E2736" s="11" t="inlineStr"/>
      <c r="F2736" s="11" t="n">
        <v>0</v>
      </c>
      <c r="G2736" s="11">
        <f>E2736-F2736</f>
        <v/>
      </c>
      <c r="H2736" s="11" t="n">
        <v/>
      </c>
      <c r="I2736" s="11" t="n">
        <v/>
      </c>
      <c r="J2736" s="11" t="n">
        <v/>
      </c>
      <c r="K2736" s="4" t="inlineStr">
        <is>
          <t>Stundensätze eingeben</t>
        </is>
      </c>
    </row>
    <row r="2737">
      <c r="A2737" s="4" t="inlineStr">
        <is>
          <t>6285.11 NAT-BTB-Opernplatz-14-Ffm-Mängelbeseitigung</t>
        </is>
      </c>
      <c r="B2737" s="4" t="inlineStr">
        <is>
          <t>● (aN) Pos.1 NAT BTB Betreuung der Mängelbeseitigung i.Z.d. 1:1 Prüfung</t>
        </is>
      </c>
      <c r="C2737" s="4" t="inlineStr">
        <is>
          <t>Nachweis</t>
        </is>
      </c>
      <c r="D2737" s="10" t="inlineStr">
        <is>
          <t>⚠ Manual erforderlich</t>
        </is>
      </c>
      <c r="E2737" s="11" t="inlineStr"/>
      <c r="F2737" s="11" t="n">
        <v>0</v>
      </c>
      <c r="G2737" s="11">
        <f>E2737-F2737</f>
        <v/>
      </c>
      <c r="H2737" s="11" t="n">
        <v/>
      </c>
      <c r="I2737" s="11" t="n">
        <v/>
      </c>
      <c r="J2737" s="11" t="n">
        <v/>
      </c>
      <c r="K2737" s="4" t="inlineStr">
        <is>
          <t>Stundensätze eingeben</t>
        </is>
      </c>
    </row>
    <row r="2738">
      <c r="A2738" s="4" t="inlineStr">
        <is>
          <t>6285.13 Clarus-FWP-Opernplatz-14-Frankfurt</t>
        </is>
      </c>
      <c r="B2738" s="4" t="inlineStr">
        <is>
          <t>● (aN) FRP Bereich Casa</t>
        </is>
      </c>
      <c r="C2738" s="4" t="inlineStr">
        <is>
          <t>Nachweis</t>
        </is>
      </c>
      <c r="D2738" s="10" t="inlineStr">
        <is>
          <t>⚠ Manual erforderlich</t>
        </is>
      </c>
      <c r="E2738" s="11" t="inlineStr"/>
      <c r="F2738" s="11" t="n">
        <v>0</v>
      </c>
      <c r="G2738" s="11">
        <f>E2738-F2738</f>
        <v/>
      </c>
      <c r="H2738" s="11" t="n">
        <v/>
      </c>
      <c r="I2738" s="11" t="n">
        <v/>
      </c>
      <c r="J2738" s="11" t="n">
        <v/>
      </c>
      <c r="K2738" s="4" t="inlineStr">
        <is>
          <t>Stundensätze eingeben</t>
        </is>
      </c>
    </row>
    <row r="2739">
      <c r="A2739" s="4" t="inlineStr">
        <is>
          <t>6291.04 BSB-2025-Stresemannallee-30-Frankfurt</t>
        </is>
      </c>
      <c r="B2739" s="4" t="inlineStr">
        <is>
          <t>● (a.N.) BSB 2025</t>
        </is>
      </c>
      <c r="C2739" s="4" t="inlineStr">
        <is>
          <t>Nachweis</t>
        </is>
      </c>
      <c r="D2739" s="10" t="inlineStr">
        <is>
          <t>⚠ Manual erforderlich</t>
        </is>
      </c>
      <c r="E2739" s="11" t="inlineStr"/>
      <c r="F2739" s="11" t="n">
        <v>0</v>
      </c>
      <c r="G2739" s="11">
        <f>E2739-F2739</f>
        <v/>
      </c>
      <c r="H2739" s="11" t="n">
        <v/>
      </c>
      <c r="I2739" s="11" t="n">
        <v/>
      </c>
      <c r="J2739" s="11" t="n">
        <v/>
      </c>
      <c r="K2739" s="4" t="inlineStr">
        <is>
          <t>Stundensätze eingeben</t>
        </is>
      </c>
    </row>
    <row r="2740">
      <c r="A2740" s="4" t="inlineStr">
        <is>
          <t>6292.04 BSB-2025-Am-Hauptbahnhof-6-Frankfurt</t>
        </is>
      </c>
      <c r="B2740" s="4" t="inlineStr">
        <is>
          <t>● (a.N.) BSB 2025</t>
        </is>
      </c>
      <c r="C2740" s="4" t="inlineStr">
        <is>
          <t>Nachweis</t>
        </is>
      </c>
      <c r="D2740" s="10" t="inlineStr">
        <is>
          <t>⚠ Manual erforderlich</t>
        </is>
      </c>
      <c r="E2740" s="11" t="inlineStr"/>
      <c r="F2740" s="11" t="n">
        <v>0</v>
      </c>
      <c r="G2740" s="11">
        <f>E2740-F2740</f>
        <v/>
      </c>
      <c r="H2740" s="11" t="n">
        <v/>
      </c>
      <c r="I2740" s="11" t="n">
        <v/>
      </c>
      <c r="J2740" s="11" t="n">
        <v/>
      </c>
      <c r="K2740" s="4" t="inlineStr">
        <is>
          <t>Stundensätze eingeben</t>
        </is>
      </c>
    </row>
    <row r="2741">
      <c r="A2741" s="4" t="inlineStr">
        <is>
          <t>6296.01 toom-BTB-Bodenseestraße-207-München-Neuaubing-toom-Baumarkt</t>
        </is>
      </c>
      <c r="B2741" s="4" t="inlineStr">
        <is>
          <t>● (a.N.) brandschutztechnische Beratung</t>
        </is>
      </c>
      <c r="C2741" s="4" t="inlineStr">
        <is>
          <t>Nachweis</t>
        </is>
      </c>
      <c r="D2741" s="10" t="inlineStr">
        <is>
          <t>⚠ Manual erforderlich</t>
        </is>
      </c>
      <c r="E2741" s="11" t="inlineStr"/>
      <c r="F2741" s="11" t="n">
        <v>0</v>
      </c>
      <c r="G2741" s="11">
        <f>E2741-F2741</f>
        <v/>
      </c>
      <c r="H2741" s="11" t="n">
        <v/>
      </c>
      <c r="I2741" s="11" t="n">
        <v/>
      </c>
      <c r="J2741" s="11" t="n">
        <v/>
      </c>
      <c r="K2741" s="4" t="inlineStr">
        <is>
          <t>Stundensätze eingeben</t>
        </is>
      </c>
    </row>
    <row r="2742">
      <c r="A2742" s="4" t="inlineStr">
        <is>
          <t>6297 Taunusanlage-21-Frankfurt</t>
        </is>
      </c>
      <c r="B2742" s="4" t="inlineStr">
        <is>
          <t>● Beratung (auf Nachweis)</t>
        </is>
      </c>
      <c r="C2742" s="9" t="inlineStr">
        <is>
          <t>Unbekannt</t>
        </is>
      </c>
      <c r="D2742" s="10" t="inlineStr">
        <is>
          <t>⚠ Manual erforderlich</t>
        </is>
      </c>
      <c r="E2742" s="11" t="inlineStr"/>
      <c r="F2742" s="11" t="n">
        <v>0</v>
      </c>
      <c r="G2742" s="11">
        <f>E2742-F2742</f>
        <v/>
      </c>
      <c r="H2742" s="11" t="n">
        <v/>
      </c>
      <c r="I2742" s="11" t="n">
        <v/>
      </c>
      <c r="J2742" s="11" t="n">
        <v/>
      </c>
      <c r="K2742" s="4" t="inlineStr">
        <is>
          <t>Abrechnungsart wählen; Stundensätze eingeben</t>
        </is>
      </c>
    </row>
    <row r="2743">
      <c r="A2743" s="4" t="inlineStr">
        <is>
          <t>6297.01 BSK-Taunusanlage-21-Frankfurt</t>
        </is>
      </c>
      <c r="B2743" s="4" t="inlineStr">
        <is>
          <t>● (p) Pos.1 Fortschr. BSK</t>
        </is>
      </c>
      <c r="C2743" s="4" t="inlineStr">
        <is>
          <t>Pauschale</t>
        </is>
      </c>
      <c r="D2743" s="10" t="inlineStr">
        <is>
          <t>⚠ Manual erforderlich</t>
        </is>
      </c>
      <c r="E2743" s="11" t="inlineStr"/>
      <c r="F2743" s="11" t="n">
        <v>0</v>
      </c>
      <c r="G2743" s="11">
        <f>E2743-F2743</f>
        <v/>
      </c>
      <c r="H2743" s="11" t="n">
        <v>0</v>
      </c>
      <c r="I2743" s="11" t="n">
        <v>0</v>
      </c>
      <c r="J2743" s="11" t="n">
        <v>0</v>
      </c>
      <c r="K2743" s="4" t="inlineStr">
        <is>
          <t>Stundensätze eingeben</t>
        </is>
      </c>
    </row>
    <row r="2744">
      <c r="A2744" s="4" t="inlineStr">
        <is>
          <t>6297.01 BSK-Taunusanlage-21-Frankfurt</t>
        </is>
      </c>
      <c r="B2744" s="4" t="inlineStr">
        <is>
          <t>● (p) Pos.2 Aktualisierung BSP</t>
        </is>
      </c>
      <c r="C2744" s="4" t="inlineStr">
        <is>
          <t>Pauschale</t>
        </is>
      </c>
      <c r="D2744" s="10" t="inlineStr">
        <is>
          <t>⚠ Manual erforderlich</t>
        </is>
      </c>
      <c r="E2744" s="11" t="inlineStr"/>
      <c r="F2744" s="11" t="n">
        <v>0</v>
      </c>
      <c r="G2744" s="11">
        <f>E2744-F2744</f>
        <v/>
      </c>
      <c r="H2744" s="11" t="n">
        <v>0</v>
      </c>
      <c r="I2744" s="11" t="n">
        <v>0</v>
      </c>
      <c r="J2744" s="11" t="n">
        <v>0</v>
      </c>
      <c r="K2744" s="4" t="inlineStr">
        <is>
          <t>Stundensätze eingeben</t>
        </is>
      </c>
    </row>
    <row r="2745">
      <c r="A2745" s="4" t="inlineStr">
        <is>
          <t>6297.01 BSK-Taunusanlage-21-Frankfurt</t>
        </is>
      </c>
      <c r="B2745" s="4" t="inlineStr">
        <is>
          <t>● (p) Pos.3 Erstellen FWP</t>
        </is>
      </c>
      <c r="C2745" s="4" t="inlineStr">
        <is>
          <t>Pauschale</t>
        </is>
      </c>
      <c r="D2745" s="10" t="inlineStr">
        <is>
          <t>⚠ Manual erforderlich</t>
        </is>
      </c>
      <c r="E2745" s="11" t="inlineStr"/>
      <c r="F2745" s="11" t="n">
        <v>0</v>
      </c>
      <c r="G2745" s="11">
        <f>E2745-F2745</f>
        <v/>
      </c>
      <c r="H2745" s="11" t="n">
        <v>0</v>
      </c>
      <c r="I2745" s="11" t="n">
        <v>0</v>
      </c>
      <c r="J2745" s="11" t="n">
        <v>0</v>
      </c>
      <c r="K2745" s="4" t="inlineStr">
        <is>
          <t>Stundensätze eingeben</t>
        </is>
      </c>
    </row>
    <row r="2746">
      <c r="A2746" s="4" t="inlineStr">
        <is>
          <t>6297.01 BSK-Taunusanlage-21-Frankfurt</t>
        </is>
      </c>
      <c r="B2746" s="4" t="inlineStr">
        <is>
          <t>● (p) Pos.4 Erstellen FRP</t>
        </is>
      </c>
      <c r="C2746" s="4" t="inlineStr">
        <is>
          <t>Pauschale</t>
        </is>
      </c>
      <c r="D2746" s="10" t="inlineStr">
        <is>
          <t>⚠ Manual erforderlich</t>
        </is>
      </c>
      <c r="E2746" s="11" t="inlineStr"/>
      <c r="F2746" s="11" t="n">
        <v>0</v>
      </c>
      <c r="G2746" s="11">
        <f>E2746-F2746</f>
        <v/>
      </c>
      <c r="H2746" s="11" t="n">
        <v>0</v>
      </c>
      <c r="I2746" s="11" t="n">
        <v>0</v>
      </c>
      <c r="J2746" s="11" t="n">
        <v>0</v>
      </c>
      <c r="K2746" s="4" t="inlineStr">
        <is>
          <t>Stundensätze eingeben</t>
        </is>
      </c>
    </row>
    <row r="2747">
      <c r="A2747" s="4" t="inlineStr">
        <is>
          <t>6297.01 BSK-Taunusanlage-21-Frankfurt</t>
        </is>
      </c>
      <c r="B2747" s="4" t="inlineStr">
        <is>
          <t>● (p) Pos.5 Erstellen BSO in den Teilen A+B</t>
        </is>
      </c>
      <c r="C2747" s="4" t="inlineStr">
        <is>
          <t>Pauschale</t>
        </is>
      </c>
      <c r="D2747" s="10" t="inlineStr">
        <is>
          <t>⚠ Manual erforderlich</t>
        </is>
      </c>
      <c r="E2747" s="11" t="inlineStr"/>
      <c r="F2747" s="11" t="n">
        <v>0</v>
      </c>
      <c r="G2747" s="11">
        <f>E2747-F2747</f>
        <v/>
      </c>
      <c r="H2747" s="11" t="n">
        <v>0</v>
      </c>
      <c r="I2747" s="11" t="n">
        <v>0</v>
      </c>
      <c r="J2747" s="11" t="n">
        <v>0</v>
      </c>
      <c r="K2747" s="4" t="inlineStr">
        <is>
          <t>Stundensätze eingeben</t>
        </is>
      </c>
    </row>
    <row r="2748">
      <c r="A2748" s="4" t="inlineStr">
        <is>
          <t>6297.01 BSK-Taunusanlage-21-Frankfurt</t>
        </is>
      </c>
      <c r="B2748" s="4" t="inlineStr">
        <is>
          <t>● (aN) ohne ANG Berechnung Löschmitteleinheiten</t>
        </is>
      </c>
      <c r="C2748" s="4" t="inlineStr">
        <is>
          <t>Nachweis</t>
        </is>
      </c>
      <c r="D2748" s="10" t="inlineStr">
        <is>
          <t>⚠ Manual erforderlich</t>
        </is>
      </c>
      <c r="E2748" s="11" t="inlineStr"/>
      <c r="F2748" s="11" t="n">
        <v>0</v>
      </c>
      <c r="G2748" s="11">
        <f>E2748-F2748</f>
        <v/>
      </c>
      <c r="H2748" s="11" t="n">
        <v/>
      </c>
      <c r="I2748" s="11" t="n">
        <v/>
      </c>
      <c r="J2748" s="11" t="n">
        <v/>
      </c>
      <c r="K2748" s="4" t="inlineStr">
        <is>
          <t>Stundensätze eingeben</t>
        </is>
      </c>
    </row>
    <row r="2749">
      <c r="A2749" s="4" t="inlineStr">
        <is>
          <t>6297.02 2.Fortschr-BSK-Taunusanlage-21-Frankfurt</t>
        </is>
      </c>
      <c r="B2749" s="4" t="inlineStr">
        <is>
          <t>● (p) Pos.1 - 2. Fortschr. BSK aufgrund von Änderungen während der Bauausführung</t>
        </is>
      </c>
      <c r="C2749" s="4" t="inlineStr">
        <is>
          <t>Pauschale</t>
        </is>
      </c>
      <c r="D2749" s="10" t="inlineStr">
        <is>
          <t>⚠ Manual erforderlich</t>
        </is>
      </c>
      <c r="E2749" s="11" t="inlineStr"/>
      <c r="F2749" s="11" t="n">
        <v>0</v>
      </c>
      <c r="G2749" s="11">
        <f>E2749-F2749</f>
        <v/>
      </c>
      <c r="H2749" s="11" t="n">
        <v>0</v>
      </c>
      <c r="I2749" s="11" t="n">
        <v>0</v>
      </c>
      <c r="J2749" s="11" t="n">
        <v>0</v>
      </c>
      <c r="K2749" s="4" t="inlineStr">
        <is>
          <t>Stundensätze eingeben</t>
        </is>
      </c>
    </row>
    <row r="2750">
      <c r="A2750" s="4" t="inlineStr">
        <is>
          <t>6297.02 2.Fortschr-BSK-Taunusanlage-21-Frankfurt</t>
        </is>
      </c>
      <c r="B2750" s="4" t="inlineStr">
        <is>
          <t>● (p) Pos. 2 Erstellen FWP</t>
        </is>
      </c>
      <c r="C2750" s="4" t="inlineStr">
        <is>
          <t>Pauschale</t>
        </is>
      </c>
      <c r="D2750" s="10" t="inlineStr">
        <is>
          <t>⚠ Manual erforderlich</t>
        </is>
      </c>
      <c r="E2750" s="11" t="inlineStr"/>
      <c r="F2750" s="11" t="n">
        <v>0</v>
      </c>
      <c r="G2750" s="11">
        <f>E2750-F2750</f>
        <v/>
      </c>
      <c r="H2750" s="11" t="n">
        <v>0</v>
      </c>
      <c r="I2750" s="11" t="n">
        <v>0</v>
      </c>
      <c r="J2750" s="11" t="n">
        <v>0</v>
      </c>
      <c r="K2750" s="4" t="inlineStr">
        <is>
          <t>Stundensätze eingeben</t>
        </is>
      </c>
    </row>
    <row r="2751">
      <c r="A2751" s="4" t="inlineStr">
        <is>
          <t>6298.01 BST-Kettenhofweg-1-Frankfurt</t>
        </is>
      </c>
      <c r="B2751" s="4" t="inlineStr">
        <is>
          <t>● p - BST</t>
        </is>
      </c>
      <c r="C2751" s="9" t="inlineStr">
        <is>
          <t>Unbekannt</t>
        </is>
      </c>
      <c r="D2751" s="10" t="inlineStr">
        <is>
          <t>⚠ Manual erforderlich</t>
        </is>
      </c>
      <c r="E2751" s="11" t="inlineStr"/>
      <c r="F2751" s="11" t="n">
        <v>0</v>
      </c>
      <c r="G2751" s="11">
        <f>E2751-F2751</f>
        <v/>
      </c>
      <c r="H2751" s="11" t="n">
        <v/>
      </c>
      <c r="I2751" s="11" t="n">
        <v/>
      </c>
      <c r="J2751" s="11" t="n">
        <v/>
      </c>
      <c r="K2751" s="4" t="inlineStr">
        <is>
          <t>Abrechnungsart wählen; Stundensätze eingeben</t>
        </is>
      </c>
    </row>
    <row r="2752">
      <c r="A2752" s="4" t="inlineStr">
        <is>
          <t>6298.01 BST-Kettenhofweg-1-Frankfurt</t>
        </is>
      </c>
      <c r="B2752" s="4" t="inlineStr">
        <is>
          <t>● a.N. - BTB</t>
        </is>
      </c>
      <c r="C2752" s="9" t="inlineStr">
        <is>
          <t>Unbekannt</t>
        </is>
      </c>
      <c r="D2752" s="10" t="inlineStr">
        <is>
          <t>⚠ Manual erforderlich</t>
        </is>
      </c>
      <c r="E2752" s="11" t="inlineStr"/>
      <c r="F2752" s="11" t="n">
        <v>0</v>
      </c>
      <c r="G2752" s="11">
        <f>E2752-F2752</f>
        <v/>
      </c>
      <c r="H2752" s="11" t="n">
        <v/>
      </c>
      <c r="I2752" s="11" t="n">
        <v/>
      </c>
      <c r="J2752" s="11" t="n">
        <v/>
      </c>
      <c r="K2752" s="4" t="inlineStr">
        <is>
          <t>Abrechnungsart wählen; Stundensätze eingeben</t>
        </is>
      </c>
    </row>
    <row r="2753">
      <c r="A2753" s="4" t="inlineStr">
        <is>
          <t>6298.02 FWP+FRP-Kettenhofweg-1-Frankfurt</t>
        </is>
      </c>
      <c r="B2753" s="4" t="inlineStr">
        <is>
          <t>● (p) Pos.1 Erstellung FRP</t>
        </is>
      </c>
      <c r="C2753" s="4" t="inlineStr">
        <is>
          <t>Pauschale</t>
        </is>
      </c>
      <c r="D2753" s="10" t="inlineStr">
        <is>
          <t>⚠ Manual erforderlich</t>
        </is>
      </c>
      <c r="E2753" s="11" t="inlineStr"/>
      <c r="F2753" s="11" t="n">
        <v>0</v>
      </c>
      <c r="G2753" s="11">
        <f>E2753-F2753</f>
        <v/>
      </c>
      <c r="H2753" s="11" t="n">
        <v>0</v>
      </c>
      <c r="I2753" s="11" t="n">
        <v>0</v>
      </c>
      <c r="J2753" s="11" t="n">
        <v>0</v>
      </c>
      <c r="K2753" s="4" t="inlineStr">
        <is>
          <t>Stundensätze eingeben</t>
        </is>
      </c>
    </row>
    <row r="2754">
      <c r="A2754" s="4" t="inlineStr">
        <is>
          <t>6298.02 FWP+FRP-Kettenhofweg-1-Frankfurt</t>
        </is>
      </c>
      <c r="B2754" s="4" t="inlineStr">
        <is>
          <t>● (p) Pos.2 Erstellung FWP</t>
        </is>
      </c>
      <c r="C2754" s="4" t="inlineStr">
        <is>
          <t>Pauschale</t>
        </is>
      </c>
      <c r="D2754" s="10" t="inlineStr">
        <is>
          <t>⚠ Manual erforderlich</t>
        </is>
      </c>
      <c r="E2754" s="11" t="inlineStr"/>
      <c r="F2754" s="11" t="n">
        <v>0</v>
      </c>
      <c r="G2754" s="11">
        <f>E2754-F2754</f>
        <v/>
      </c>
      <c r="H2754" s="11" t="n">
        <v>0</v>
      </c>
      <c r="I2754" s="11" t="n">
        <v>0</v>
      </c>
      <c r="J2754" s="11" t="n">
        <v>0</v>
      </c>
      <c r="K2754" s="4" t="inlineStr">
        <is>
          <t>Stundensätze eingeben</t>
        </is>
      </c>
    </row>
    <row r="2755">
      <c r="A2755" s="4" t="inlineStr">
        <is>
          <t>6298.03 FRP-Kettenhofweg-1-Frankfurt-2+3OG</t>
        </is>
      </c>
      <c r="B2755" s="4" t="inlineStr">
        <is>
          <t>● (p) Pos.1 Aktualisierung FRP 2. +3. OG ohne Begehung</t>
        </is>
      </c>
      <c r="C2755" s="4" t="inlineStr">
        <is>
          <t>Pauschale</t>
        </is>
      </c>
      <c r="D2755" s="10" t="inlineStr">
        <is>
          <t>⚠ Manual erforderlich</t>
        </is>
      </c>
      <c r="E2755" s="11" t="inlineStr"/>
      <c r="F2755" s="11" t="n">
        <v>0</v>
      </c>
      <c r="G2755" s="11">
        <f>E2755-F2755</f>
        <v/>
      </c>
      <c r="H2755" s="11" t="n">
        <v>0</v>
      </c>
      <c r="I2755" s="11" t="n">
        <v>0</v>
      </c>
      <c r="J2755" s="11" t="n">
        <v>0</v>
      </c>
      <c r="K2755" s="4" t="inlineStr">
        <is>
          <t>Stundensätze eingeben</t>
        </is>
      </c>
    </row>
    <row r="2756">
      <c r="A2756" s="4" t="inlineStr">
        <is>
          <t>6298.04 Allianz-BTB-Kettenhofweg-1-Frankfurt-Rauchabzugsanlage-2.UG</t>
        </is>
      </c>
      <c r="B2756" s="4" t="inlineStr">
        <is>
          <t>● (aN) Pos.1 BTB Bew. der festgest. Mängel d. Prüfsachverständigen an der maschinellen Rauchabzugsanlage</t>
        </is>
      </c>
      <c r="C2756" s="4" t="inlineStr">
        <is>
          <t>Nachweis</t>
        </is>
      </c>
      <c r="D2756" s="10" t="inlineStr">
        <is>
          <t>⚠ Manual erforderlich</t>
        </is>
      </c>
      <c r="E2756" s="11" t="inlineStr"/>
      <c r="F2756" s="11" t="n">
        <v>0</v>
      </c>
      <c r="G2756" s="11">
        <f>E2756-F2756</f>
        <v/>
      </c>
      <c r="H2756" s="11" t="n">
        <v/>
      </c>
      <c r="I2756" s="11" t="n">
        <v/>
      </c>
      <c r="J2756" s="11" t="n">
        <v/>
      </c>
      <c r="K2756" s="4" t="inlineStr">
        <is>
          <t>Stundensätze eingeben</t>
        </is>
      </c>
    </row>
    <row r="2757">
      <c r="A2757" s="4" t="inlineStr">
        <is>
          <t>6298.04 Allianz-BTB-Kettenhofweg-1-Frankfurt-Rauchabzugsanlage-2.UG</t>
        </is>
      </c>
      <c r="B2757" s="4" t="inlineStr">
        <is>
          <t>● (p) Pos.2 (optional) Erstellung BSK</t>
        </is>
      </c>
      <c r="C2757" s="4" t="inlineStr">
        <is>
          <t>Pauschale</t>
        </is>
      </c>
      <c r="D2757" s="10" t="inlineStr">
        <is>
          <t>⚠ Manual erforderlich</t>
        </is>
      </c>
      <c r="E2757" s="11" t="inlineStr"/>
      <c r="F2757" s="11" t="n">
        <v>0</v>
      </c>
      <c r="G2757" s="11">
        <f>E2757-F2757</f>
        <v/>
      </c>
      <c r="H2757" s="11" t="n">
        <v>0</v>
      </c>
      <c r="I2757" s="11" t="n">
        <v>0</v>
      </c>
      <c r="J2757" s="11" t="n">
        <v>0</v>
      </c>
      <c r="K2757" s="4" t="inlineStr">
        <is>
          <t>Stundensätze eingeben</t>
        </is>
      </c>
    </row>
    <row r="2758">
      <c r="A2758" s="4" t="inlineStr">
        <is>
          <t>6298.04 Allianz-BTB-Kettenhofweg-1-Frankfurt-Rauchabzugsanlage-2.UG</t>
        </is>
      </c>
      <c r="B2758" s="4" t="inlineStr">
        <is>
          <t>● (p) Pos.3 (optional) Erstellung BSP</t>
        </is>
      </c>
      <c r="C2758" s="4" t="inlineStr">
        <is>
          <t>Pauschale</t>
        </is>
      </c>
      <c r="D2758" s="10" t="inlineStr">
        <is>
          <t>⚠ Manual erforderlich</t>
        </is>
      </c>
      <c r="E2758" s="11" t="inlineStr"/>
      <c r="F2758" s="11" t="n">
        <v>0</v>
      </c>
      <c r="G2758" s="11">
        <f>E2758-F2758</f>
        <v/>
      </c>
      <c r="H2758" s="11" t="n">
        <v>0</v>
      </c>
      <c r="I2758" s="11" t="n">
        <v>0</v>
      </c>
      <c r="J2758" s="11" t="n">
        <v>0</v>
      </c>
      <c r="K2758" s="4" t="inlineStr">
        <is>
          <t>Stundensätze eingeben</t>
        </is>
      </c>
    </row>
    <row r="2759">
      <c r="A2759" s="4" t="inlineStr">
        <is>
          <t>6298.04 Allianz-BTB-Kettenhofweg-1-Frankfurt-Rauchabzugsanlage-2.UG</t>
        </is>
      </c>
      <c r="B2759" s="4" t="inlineStr">
        <is>
          <t>● (aN) Pos.4 (optional) BAB + Qualitätsüberwachung</t>
        </is>
      </c>
      <c r="C2759" s="4" t="inlineStr">
        <is>
          <t>Nachweis</t>
        </is>
      </c>
      <c r="D2759" s="10" t="inlineStr">
        <is>
          <t>⚠ Manual erforderlich</t>
        </is>
      </c>
      <c r="E2759" s="11" t="inlineStr"/>
      <c r="F2759" s="11" t="n">
        <v>0</v>
      </c>
      <c r="G2759" s="11">
        <f>E2759-F2759</f>
        <v/>
      </c>
      <c r="H2759" s="11" t="n">
        <v/>
      </c>
      <c r="I2759" s="11" t="n">
        <v/>
      </c>
      <c r="J2759" s="11" t="n">
        <v/>
      </c>
      <c r="K2759" s="4" t="inlineStr">
        <is>
          <t>Stundensätze eingeben</t>
        </is>
      </c>
    </row>
    <row r="2760">
      <c r="A2760" s="4" t="inlineStr">
        <is>
          <t>6300 Zeissweg-Memmingen-LNG-Tankstelle-PrüfVBau</t>
        </is>
      </c>
      <c r="B2760" s="4" t="inlineStr">
        <is>
          <t>● Prüfung + Bescheinigung (Brandschutz I) (auf Nachweis)</t>
        </is>
      </c>
      <c r="C2760" s="9" t="inlineStr">
        <is>
          <t>Unbekannt</t>
        </is>
      </c>
      <c r="D2760" s="10" t="inlineStr">
        <is>
          <t>⚠ Manual erforderlich</t>
        </is>
      </c>
      <c r="E2760" s="11" t="inlineStr"/>
      <c r="F2760" s="11" t="n">
        <v>0</v>
      </c>
      <c r="G2760" s="11">
        <f>E2760-F2760</f>
        <v/>
      </c>
      <c r="H2760" s="11" t="n">
        <v/>
      </c>
      <c r="I2760" s="11" t="n">
        <v/>
      </c>
      <c r="J2760" s="11" t="n">
        <v/>
      </c>
      <c r="K2760" s="4" t="inlineStr">
        <is>
          <t>Abrechnungsart wählen; Stundensätze eingeben</t>
        </is>
      </c>
    </row>
    <row r="2761">
      <c r="A2761" s="4" t="inlineStr">
        <is>
          <t>6300 Zeissweg-Memmingen-LNG-Tankstelle-PrüfVBau</t>
        </is>
      </c>
      <c r="B2761" s="4" t="inlineStr">
        <is>
          <t>● Überwachung + Bescheinigung Bauausführung (Brandschutz II) (auf Nachweis)</t>
        </is>
      </c>
      <c r="C2761" s="9" t="inlineStr">
        <is>
          <t>Unbekannt</t>
        </is>
      </c>
      <c r="D2761" s="10" t="inlineStr">
        <is>
          <t>⚠ Manual erforderlich</t>
        </is>
      </c>
      <c r="E2761" s="11" t="inlineStr"/>
      <c r="F2761" s="11" t="n">
        <v>0</v>
      </c>
      <c r="G2761" s="11">
        <f>E2761-F2761</f>
        <v/>
      </c>
      <c r="H2761" s="11" t="n">
        <v/>
      </c>
      <c r="I2761" s="11" t="n">
        <v/>
      </c>
      <c r="J2761" s="11" t="n">
        <v/>
      </c>
      <c r="K2761" s="4" t="inlineStr">
        <is>
          <t>Abrechnungsart wählen; Stundensätze eingeben</t>
        </is>
      </c>
    </row>
    <row r="2762">
      <c r="A2762" s="4" t="inlineStr">
        <is>
          <t>6304.01 StBA-Amberg-Truppübungsplatz-Grafenwöhr-Vilseck-Fortschr-BSK-Geb349</t>
        </is>
      </c>
      <c r="B2762" s="4" t="inlineStr">
        <is>
          <t>● (p) Pos. 1 Fortschreibung Brandschutzkonzept ink. Anp. Pläne</t>
        </is>
      </c>
      <c r="C2762" s="4" t="inlineStr">
        <is>
          <t>Pauschale</t>
        </is>
      </c>
      <c r="D2762" s="10" t="inlineStr">
        <is>
          <t>⚠ Manual erforderlich</t>
        </is>
      </c>
      <c r="E2762" s="11" t="inlineStr"/>
      <c r="F2762" s="11" t="n">
        <v>0</v>
      </c>
      <c r="G2762" s="11">
        <f>E2762-F2762</f>
        <v/>
      </c>
      <c r="H2762" s="11" t="n">
        <v>0</v>
      </c>
      <c r="I2762" s="11" t="n">
        <v>0</v>
      </c>
      <c r="J2762" s="11" t="n">
        <v>0</v>
      </c>
      <c r="K2762" s="4" t="inlineStr">
        <is>
          <t>Stundensätze eingeben</t>
        </is>
      </c>
    </row>
    <row r="2763">
      <c r="A2763" s="4" t="inlineStr">
        <is>
          <t>6312 Butzweilerhofallee-Köln-KVNO</t>
        </is>
      </c>
      <c r="B2763" s="4" t="inlineStr">
        <is>
          <t>● Liste Abnahmeunterlagen (pauschal)</t>
        </is>
      </c>
      <c r="C2763" s="9" t="inlineStr">
        <is>
          <t>Unbekannt</t>
        </is>
      </c>
      <c r="D2763" s="10" t="inlineStr">
        <is>
          <t>⚠ Manual erforderlich</t>
        </is>
      </c>
      <c r="E2763" s="11" t="inlineStr"/>
      <c r="F2763" s="11" t="n">
        <v>0</v>
      </c>
      <c r="G2763" s="11">
        <f>E2763-F2763</f>
        <v/>
      </c>
      <c r="H2763" s="11" t="n">
        <v/>
      </c>
      <c r="I2763" s="11" t="n">
        <v/>
      </c>
      <c r="J2763" s="11" t="n">
        <v/>
      </c>
      <c r="K2763" s="4" t="inlineStr">
        <is>
          <t>Abrechnungsart wählen; Stundensätze eingeben</t>
        </is>
      </c>
    </row>
    <row r="2764">
      <c r="A2764" s="4" t="inlineStr">
        <is>
          <t>6312 Butzweilerhofallee-Köln-KVNO</t>
        </is>
      </c>
      <c r="B2764" s="4" t="inlineStr">
        <is>
          <t>● Prüfung Planung auf Übereinstimmung (auf Nachweis)</t>
        </is>
      </c>
      <c r="C2764" s="9" t="inlineStr">
        <is>
          <t>Unbekannt</t>
        </is>
      </c>
      <c r="D2764" s="10" t="inlineStr">
        <is>
          <t>⚠ Manual erforderlich</t>
        </is>
      </c>
      <c r="E2764" s="11" t="inlineStr"/>
      <c r="F2764" s="11" t="n">
        <v>0</v>
      </c>
      <c r="G2764" s="11">
        <f>E2764-F2764</f>
        <v/>
      </c>
      <c r="H2764" s="11" t="n">
        <v/>
      </c>
      <c r="I2764" s="11" t="n">
        <v/>
      </c>
      <c r="J2764" s="11" t="n">
        <v/>
      </c>
      <c r="K2764" s="4" t="inlineStr">
        <is>
          <t>Abrechnungsart wählen; Stundensätze eingeben</t>
        </is>
      </c>
    </row>
    <row r="2765">
      <c r="A2765" s="4" t="inlineStr">
        <is>
          <t>6312 Butzweilerhofallee-Köln-KVNO</t>
        </is>
      </c>
      <c r="B2765" s="4" t="inlineStr">
        <is>
          <t>● Baubegleitung (auf Nachweis)</t>
        </is>
      </c>
      <c r="C2765" s="9" t="inlineStr">
        <is>
          <t>Unbekannt</t>
        </is>
      </c>
      <c r="D2765" s="10" t="inlineStr">
        <is>
          <t>⚠ Manual erforderlich</t>
        </is>
      </c>
      <c r="E2765" s="11" t="inlineStr"/>
      <c r="F2765" s="11" t="n">
        <v>0</v>
      </c>
      <c r="G2765" s="11">
        <f>E2765-F2765</f>
        <v/>
      </c>
      <c r="H2765" s="11" t="n">
        <v/>
      </c>
      <c r="I2765" s="11" t="n">
        <v/>
      </c>
      <c r="J2765" s="11" t="n">
        <v/>
      </c>
      <c r="K2765" s="4" t="inlineStr">
        <is>
          <t>Abrechnungsart wählen; Stundensätze eingeben</t>
        </is>
      </c>
    </row>
    <row r="2766">
      <c r="A2766" s="4" t="inlineStr">
        <is>
          <t>6312 Butzweilerhofallee-Köln-KVNO</t>
        </is>
      </c>
      <c r="B2766" s="4" t="inlineStr">
        <is>
          <t>● FW-Pläne (pauschal)</t>
        </is>
      </c>
      <c r="C2766" s="9" t="inlineStr">
        <is>
          <t>Unbekannt</t>
        </is>
      </c>
      <c r="D2766" s="10" t="inlineStr">
        <is>
          <t>⚠ Manual erforderlich</t>
        </is>
      </c>
      <c r="E2766" s="11" t="inlineStr"/>
      <c r="F2766" s="11" t="n">
        <v>0</v>
      </c>
      <c r="G2766" s="11">
        <f>E2766-F2766</f>
        <v/>
      </c>
      <c r="H2766" s="11" t="n">
        <v/>
      </c>
      <c r="I2766" s="11" t="n">
        <v/>
      </c>
      <c r="J2766" s="11" t="n">
        <v/>
      </c>
      <c r="K2766" s="4" t="inlineStr">
        <is>
          <t>Abrechnungsart wählen; Stundensätze eingeben</t>
        </is>
      </c>
    </row>
    <row r="2767">
      <c r="A2767" s="4" t="inlineStr">
        <is>
          <t>6312 Butzweilerhofallee-Köln-KVNO</t>
        </is>
      </c>
      <c r="B2767" s="4" t="inlineStr">
        <is>
          <t>● Teilnahme Baubesprechungen nach Erfordernis (auf Nachweis)</t>
        </is>
      </c>
      <c r="C2767" s="9" t="inlineStr">
        <is>
          <t>Unbekannt</t>
        </is>
      </c>
      <c r="D2767" s="10" t="inlineStr">
        <is>
          <t>⚠ Manual erforderlich</t>
        </is>
      </c>
      <c r="E2767" s="11" t="inlineStr"/>
      <c r="F2767" s="11" t="n">
        <v>0</v>
      </c>
      <c r="G2767" s="11">
        <f>E2767-F2767</f>
        <v/>
      </c>
      <c r="H2767" s="11" t="n">
        <v/>
      </c>
      <c r="I2767" s="11" t="n">
        <v/>
      </c>
      <c r="J2767" s="11" t="n">
        <v/>
      </c>
      <c r="K2767" s="4" t="inlineStr">
        <is>
          <t>Abrechnungsart wählen; Stundensätze eingeben</t>
        </is>
      </c>
    </row>
    <row r="2768">
      <c r="A2768" s="4" t="inlineStr">
        <is>
          <t>6312 Butzweilerhofallee-Köln-KVNO</t>
        </is>
      </c>
      <c r="B2768" s="4" t="inlineStr">
        <is>
          <t>● • (p) 9101-Fortschreibung Brandschutzkonzept….</t>
        </is>
      </c>
      <c r="C2768" s="4" t="inlineStr">
        <is>
          <t>Pauschale</t>
        </is>
      </c>
      <c r="D2768" s="10" t="inlineStr">
        <is>
          <t>⚠ Manual erforderlich</t>
        </is>
      </c>
      <c r="E2768" s="11" t="inlineStr"/>
      <c r="F2768" s="11" t="n">
        <v>0</v>
      </c>
      <c r="G2768" s="11">
        <f>E2768-F2768</f>
        <v/>
      </c>
      <c r="H2768" s="11" t="n">
        <v>0</v>
      </c>
      <c r="I2768" s="11" t="n">
        <v>0</v>
      </c>
      <c r="J2768" s="11" t="n">
        <v>0</v>
      </c>
      <c r="K2768" s="4" t="inlineStr">
        <is>
          <t>Stundensätze eingeben</t>
        </is>
      </c>
    </row>
    <row r="2769">
      <c r="A2769" s="4" t="inlineStr">
        <is>
          <t>6312 Butzweilerhofallee-Köln-KVNO</t>
        </is>
      </c>
      <c r="B2769" s="4" t="inlineStr">
        <is>
          <t>● • (a.N.) 9101-Fortschreibung Brandschutzkonzept….</t>
        </is>
      </c>
      <c r="C2769" s="4" t="inlineStr">
        <is>
          <t>Nachweis</t>
        </is>
      </c>
      <c r="D2769" s="10" t="inlineStr">
        <is>
          <t>⚠ Manual erforderlich</t>
        </is>
      </c>
      <c r="E2769" s="11" t="inlineStr"/>
      <c r="F2769" s="11" t="n">
        <v>0</v>
      </c>
      <c r="G2769" s="11">
        <f>E2769-F2769</f>
        <v/>
      </c>
      <c r="H2769" s="11" t="n">
        <v/>
      </c>
      <c r="I2769" s="11" t="n">
        <v/>
      </c>
      <c r="J2769" s="11" t="n">
        <v/>
      </c>
      <c r="K2769" s="4" t="inlineStr">
        <is>
          <t>Stundensätze eingeben</t>
        </is>
      </c>
    </row>
    <row r="2770">
      <c r="A2770" s="4" t="inlineStr">
        <is>
          <t>6312 Butzweilerhofallee-Köln-KVNO</t>
        </is>
      </c>
      <c r="B2770" s="4" t="inlineStr">
        <is>
          <t>● Abstimmung u. Zuarbeit Brandfallmatrix (pauschal)</t>
        </is>
      </c>
      <c r="C2770" s="9" t="inlineStr">
        <is>
          <t>Unbekannt</t>
        </is>
      </c>
      <c r="D2770" s="10" t="inlineStr">
        <is>
          <t>⚠ Manual erforderlich</t>
        </is>
      </c>
      <c r="E2770" s="11" t="inlineStr"/>
      <c r="F2770" s="11" t="n">
        <v>0</v>
      </c>
      <c r="G2770" s="11">
        <f>E2770-F2770</f>
        <v/>
      </c>
      <c r="H2770" s="11" t="n">
        <v/>
      </c>
      <c r="I2770" s="11" t="n">
        <v/>
      </c>
      <c r="J2770" s="11" t="n">
        <v/>
      </c>
      <c r="K2770" s="4" t="inlineStr">
        <is>
          <t>Abrechnungsart wählen; Stundensätze eingeben</t>
        </is>
      </c>
    </row>
    <row r="2771">
      <c r="A2771" s="4" t="inlineStr">
        <is>
          <t>6312 Butzweilerhofallee-Köln-KVNO</t>
        </is>
      </c>
      <c r="B2771" s="4" t="inlineStr">
        <is>
          <t>● Erstellung Brandmelde- u. Alarmierungskonzept</t>
        </is>
      </c>
      <c r="C2771" s="9" t="inlineStr">
        <is>
          <t>Unbekannt</t>
        </is>
      </c>
      <c r="D2771" s="10" t="inlineStr">
        <is>
          <t>⚠ Manual erforderlich</t>
        </is>
      </c>
      <c r="E2771" s="11" t="inlineStr"/>
      <c r="F2771" s="11" t="n">
        <v>0</v>
      </c>
      <c r="G2771" s="11">
        <f>E2771-F2771</f>
        <v/>
      </c>
      <c r="H2771" s="11" t="n">
        <v/>
      </c>
      <c r="I2771" s="11" t="n">
        <v/>
      </c>
      <c r="J2771" s="11" t="n">
        <v/>
      </c>
      <c r="K2771" s="4" t="inlineStr">
        <is>
          <t>Abrechnungsart wählen; Stundensätze eingeben</t>
        </is>
      </c>
    </row>
    <row r="2772">
      <c r="A2772" s="4" t="inlineStr">
        <is>
          <t>6312 Butzweilerhofallee-Köln-KVNO</t>
        </is>
      </c>
      <c r="B2772" s="4" t="inlineStr">
        <is>
          <t>● p - BSO Teil A+B (NT1)</t>
        </is>
      </c>
      <c r="C2772" s="9" t="inlineStr">
        <is>
          <t>Unbekannt</t>
        </is>
      </c>
      <c r="D2772" s="10" t="inlineStr">
        <is>
          <t>⚠ Manual erforderlich</t>
        </is>
      </c>
      <c r="E2772" s="11" t="inlineStr"/>
      <c r="F2772" s="11" t="n">
        <v>0</v>
      </c>
      <c r="G2772" s="11">
        <f>E2772-F2772</f>
        <v/>
      </c>
      <c r="H2772" s="11" t="n">
        <v/>
      </c>
      <c r="I2772" s="11" t="n">
        <v/>
      </c>
      <c r="J2772" s="11" t="n">
        <v/>
      </c>
      <c r="K2772" s="4" t="inlineStr">
        <is>
          <t>Abrechnungsart wählen; Stundensätze eingeben</t>
        </is>
      </c>
    </row>
    <row r="2773">
      <c r="A2773" s="4" t="inlineStr">
        <is>
          <t>6312 Butzweilerhofallee-Köln-KVNO</t>
        </is>
      </c>
      <c r="B2773" s="4" t="inlineStr">
        <is>
          <t>● (p) BSO Teil C</t>
        </is>
      </c>
      <c r="C2773" s="4" t="inlineStr">
        <is>
          <t>Pauschale</t>
        </is>
      </c>
      <c r="D2773" s="10" t="inlineStr">
        <is>
          <t>⚠ Manual erforderlich</t>
        </is>
      </c>
      <c r="E2773" s="11" t="inlineStr"/>
      <c r="F2773" s="11" t="n">
        <v>0</v>
      </c>
      <c r="G2773" s="11">
        <f>E2773-F2773</f>
        <v/>
      </c>
      <c r="H2773" s="11" t="n">
        <v>0</v>
      </c>
      <c r="I2773" s="11" t="n">
        <v>0</v>
      </c>
      <c r="J2773" s="11" t="n">
        <v>0</v>
      </c>
      <c r="K2773" s="4" t="inlineStr">
        <is>
          <t>Stundensätze eingeben</t>
        </is>
      </c>
    </row>
    <row r="2774">
      <c r="A2774" s="4" t="inlineStr">
        <is>
          <t>6312 Butzweilerhofallee-Köln-KVNO</t>
        </is>
      </c>
      <c r="B2774" s="4" t="inlineStr">
        <is>
          <t>● p - FRP (NT1)</t>
        </is>
      </c>
      <c r="C2774" s="9" t="inlineStr">
        <is>
          <t>Unbekannt</t>
        </is>
      </c>
      <c r="D2774" s="10" t="inlineStr">
        <is>
          <t>⚠ Manual erforderlich</t>
        </is>
      </c>
      <c r="E2774" s="11" t="inlineStr"/>
      <c r="F2774" s="11" t="n">
        <v>0</v>
      </c>
      <c r="G2774" s="11">
        <f>E2774-F2774</f>
        <v/>
      </c>
      <c r="H2774" s="11" t="n">
        <v/>
      </c>
      <c r="I2774" s="11" t="n">
        <v/>
      </c>
      <c r="J2774" s="11" t="n">
        <v/>
      </c>
      <c r="K2774" s="4" t="inlineStr">
        <is>
          <t>Abrechnungsart wählen; Stundensätze eingeben</t>
        </is>
      </c>
    </row>
    <row r="2775">
      <c r="A2775" s="4" t="inlineStr">
        <is>
          <t>6313.02 BSK+BAB-Otto-Volger-Straße-Sulzbach-Limespark</t>
        </is>
      </c>
      <c r="B2775" s="4" t="inlineStr">
        <is>
          <t>● BSK (pauschal)</t>
        </is>
      </c>
      <c r="C2775" s="9" t="inlineStr">
        <is>
          <t>Unbekannt</t>
        </is>
      </c>
      <c r="D2775" s="10" t="inlineStr">
        <is>
          <t>⚠ Manual erforderlich</t>
        </is>
      </c>
      <c r="E2775" s="11" t="inlineStr"/>
      <c r="F2775" s="11" t="n">
        <v>0</v>
      </c>
      <c r="G2775" s="11">
        <f>E2775-F2775</f>
        <v/>
      </c>
      <c r="H2775" s="11" t="n">
        <v/>
      </c>
      <c r="I2775" s="11" t="n">
        <v/>
      </c>
      <c r="J2775" s="11" t="n">
        <v/>
      </c>
      <c r="K2775" s="4" t="inlineStr">
        <is>
          <t>Abrechnungsart wählen; Stundensätze eingeben</t>
        </is>
      </c>
    </row>
    <row r="2776">
      <c r="A2776" s="4" t="inlineStr">
        <is>
          <t>6313.02 BSK+BAB-Otto-Volger-Straße-Sulzbach-Limespark</t>
        </is>
      </c>
      <c r="B2776" s="4" t="inlineStr">
        <is>
          <t>● Baubegleitung (a.N.)</t>
        </is>
      </c>
      <c r="C2776" s="4" t="inlineStr">
        <is>
          <t>Nachweis</t>
        </is>
      </c>
      <c r="D2776" s="10" t="inlineStr">
        <is>
          <t>⚠ Manual erforderlich</t>
        </is>
      </c>
      <c r="E2776" s="11" t="inlineStr"/>
      <c r="F2776" s="11" t="n">
        <v>0</v>
      </c>
      <c r="G2776" s="11">
        <f>E2776-F2776</f>
        <v/>
      </c>
      <c r="H2776" s="11" t="n">
        <v/>
      </c>
      <c r="I2776" s="11" t="n">
        <v/>
      </c>
      <c r="J2776" s="11" t="n">
        <v/>
      </c>
      <c r="K2776" s="4" t="inlineStr">
        <is>
          <t>Stundensätze eingeben</t>
        </is>
      </c>
    </row>
    <row r="2777">
      <c r="A2777" s="4" t="inlineStr">
        <is>
          <t>6313.031 Main-Elektro-Anp-FWP-FRP-BT-E-Limespark-Sulzbach</t>
        </is>
      </c>
      <c r="B2777" s="4" t="inlineStr">
        <is>
          <t>● (aN) Anpassung FWP/FRP (SV)</t>
        </is>
      </c>
      <c r="C2777" s="4" t="inlineStr">
        <is>
          <t>Nachweis</t>
        </is>
      </c>
      <c r="D2777" s="10" t="inlineStr">
        <is>
          <t>⚠ Manual erforderlich</t>
        </is>
      </c>
      <c r="E2777" s="11" t="inlineStr"/>
      <c r="F2777" s="11" t="n">
        <v>0</v>
      </c>
      <c r="G2777" s="11">
        <f>E2777-F2777</f>
        <v/>
      </c>
      <c r="H2777" s="11" t="n">
        <v/>
      </c>
      <c r="I2777" s="11" t="n">
        <v/>
      </c>
      <c r="J2777" s="11" t="n">
        <v/>
      </c>
      <c r="K2777" s="4" t="inlineStr">
        <is>
          <t>Stundensätze eingeben</t>
        </is>
      </c>
    </row>
    <row r="2778">
      <c r="A2778" s="4" t="inlineStr">
        <is>
          <t>6313.031 Main-Elektro-Anp-FWP-FRP-BT-E-Limespark-Sulzbach</t>
        </is>
      </c>
      <c r="B2778" s="4" t="inlineStr">
        <is>
          <t>● (aN) Anpassung FWP/FRP (CAD)</t>
        </is>
      </c>
      <c r="C2778" s="4" t="inlineStr">
        <is>
          <t>Nachweis</t>
        </is>
      </c>
      <c r="D2778" s="10" t="inlineStr">
        <is>
          <t>⚠ Manual erforderlich</t>
        </is>
      </c>
      <c r="E2778" s="11" t="inlineStr"/>
      <c r="F2778" s="11" t="n">
        <v>0</v>
      </c>
      <c r="G2778" s="11">
        <f>E2778-F2778</f>
        <v/>
      </c>
      <c r="H2778" s="11" t="n">
        <v/>
      </c>
      <c r="I2778" s="11" t="n">
        <v/>
      </c>
      <c r="J2778" s="11" t="n">
        <v/>
      </c>
      <c r="K2778" s="4" t="inlineStr">
        <is>
          <t>Stundensätze eingeben</t>
        </is>
      </c>
    </row>
    <row r="2779">
      <c r="A2779" s="4" t="inlineStr">
        <is>
          <t>6313.031 Main-Elektro-Anp-FWP-FRP-BT-E-Limespark-Sulzbach</t>
        </is>
      </c>
      <c r="B2779" s="4" t="inlineStr">
        <is>
          <t>● (aN) Anpassung FWP/FRP (ADM)</t>
        </is>
      </c>
      <c r="C2779" s="4" t="inlineStr">
        <is>
          <t>Nachweis</t>
        </is>
      </c>
      <c r="D2779" s="10" t="inlineStr">
        <is>
          <t>⚠ Manual erforderlich</t>
        </is>
      </c>
      <c r="E2779" s="11" t="inlineStr"/>
      <c r="F2779" s="11" t="n">
        <v>0</v>
      </c>
      <c r="G2779" s="11">
        <f>E2779-F2779</f>
        <v/>
      </c>
      <c r="H2779" s="11" t="n">
        <v/>
      </c>
      <c r="I2779" s="11" t="n">
        <v/>
      </c>
      <c r="J2779" s="11" t="n">
        <v/>
      </c>
      <c r="K2779" s="4" t="inlineStr">
        <is>
          <t>Stundensätze eingeben</t>
        </is>
      </c>
    </row>
    <row r="2780">
      <c r="A2780" s="4" t="inlineStr">
        <is>
          <t>6313.05 rh-Construction-LG-EnSol-BSK-BAB-Limespark-Sulzbach</t>
        </is>
      </c>
      <c r="B2780" s="4" t="inlineStr">
        <is>
          <t>● (aN) Pos. 1 Abstimmungstermin mit den Behörden und Beratungsleistungen</t>
        </is>
      </c>
      <c r="C2780" s="4" t="inlineStr">
        <is>
          <t>Nachweis</t>
        </is>
      </c>
      <c r="D2780" s="10" t="inlineStr">
        <is>
          <t>⚠ Manual erforderlich</t>
        </is>
      </c>
      <c r="E2780" s="11" t="inlineStr"/>
      <c r="F2780" s="11" t="n">
        <v>0</v>
      </c>
      <c r="G2780" s="11">
        <f>E2780-F2780</f>
        <v/>
      </c>
      <c r="H2780" s="11" t="n">
        <v/>
      </c>
      <c r="I2780" s="11" t="n">
        <v/>
      </c>
      <c r="J2780" s="11" t="n">
        <v/>
      </c>
      <c r="K2780" s="4" t="inlineStr">
        <is>
          <t>Stundensätze eingeben</t>
        </is>
      </c>
    </row>
    <row r="2781">
      <c r="A2781" s="4" t="inlineStr">
        <is>
          <t>6313.05 rh-Construction-LG-EnSol-BSK-BAB-Limespark-Sulzbach</t>
        </is>
      </c>
      <c r="B2781" s="4" t="inlineStr">
        <is>
          <t>● (p) Pos. 2 Fortschreibung Brandschutzkonzept</t>
        </is>
      </c>
      <c r="C2781" s="4" t="inlineStr">
        <is>
          <t>Pauschale</t>
        </is>
      </c>
      <c r="D2781" s="10" t="inlineStr">
        <is>
          <t>⚠ Manual erforderlich</t>
        </is>
      </c>
      <c r="E2781" s="11" t="inlineStr"/>
      <c r="F2781" s="11" t="n">
        <v>0</v>
      </c>
      <c r="G2781" s="11">
        <f>E2781-F2781</f>
        <v/>
      </c>
      <c r="H2781" s="11" t="n">
        <v>0</v>
      </c>
      <c r="I2781" s="11" t="n">
        <v>0</v>
      </c>
      <c r="J2781" s="11" t="n">
        <v>0</v>
      </c>
      <c r="K2781" s="4" t="inlineStr">
        <is>
          <t>Stundensätze eingeben</t>
        </is>
      </c>
    </row>
    <row r="2782">
      <c r="A2782" s="4" t="inlineStr">
        <is>
          <t>6313.05 rh-Construction-LG-EnSol-BSK-BAB-Limespark-Sulzbach</t>
        </is>
      </c>
      <c r="B2782" s="4" t="inlineStr">
        <is>
          <t>● (p) Pos. 3 Brandschutzberatung in der Ausführungsplanung</t>
        </is>
      </c>
      <c r="C2782" s="4" t="inlineStr">
        <is>
          <t>Pauschale</t>
        </is>
      </c>
      <c r="D2782" s="10" t="inlineStr">
        <is>
          <t>⚠ Manual erforderlich</t>
        </is>
      </c>
      <c r="E2782" s="11" t="inlineStr"/>
      <c r="F2782" s="11" t="n">
        <v>0</v>
      </c>
      <c r="G2782" s="11">
        <f>E2782-F2782</f>
        <v/>
      </c>
      <c r="H2782" s="11" t="n">
        <v>0</v>
      </c>
      <c r="I2782" s="11" t="n">
        <v>0</v>
      </c>
      <c r="J2782" s="11" t="n">
        <v>0</v>
      </c>
      <c r="K2782" s="4" t="inlineStr">
        <is>
          <t>Stundensätze eingeben</t>
        </is>
      </c>
    </row>
    <row r="2783">
      <c r="A2783" s="4" t="inlineStr">
        <is>
          <t>6313.06 BSK-Fitseveneleven-Limespark-Sulzbach-1.OG</t>
        </is>
      </c>
      <c r="B2783" s="4" t="inlineStr">
        <is>
          <t>● (aN) Pos.1 Abstimmungstermin mit Behörden + Beratungsleistungen</t>
        </is>
      </c>
      <c r="C2783" s="4" t="inlineStr">
        <is>
          <t>Nachweis</t>
        </is>
      </c>
      <c r="D2783" s="10" t="inlineStr">
        <is>
          <t>⚠ Manual erforderlich</t>
        </is>
      </c>
      <c r="E2783" s="11" t="inlineStr"/>
      <c r="F2783" s="11" t="n">
        <v>0</v>
      </c>
      <c r="G2783" s="11">
        <f>E2783-F2783</f>
        <v/>
      </c>
      <c r="H2783" s="11" t="n">
        <v/>
      </c>
      <c r="I2783" s="11" t="n">
        <v/>
      </c>
      <c r="J2783" s="11" t="n">
        <v/>
      </c>
      <c r="K2783" s="4" t="inlineStr">
        <is>
          <t>Stundensätze eingeben</t>
        </is>
      </c>
    </row>
    <row r="2784">
      <c r="A2784" s="4" t="inlineStr">
        <is>
          <t>6313.06 BSK-Fitseveneleven-Limespark-Sulzbach-1.OG</t>
        </is>
      </c>
      <c r="B2784" s="4" t="inlineStr">
        <is>
          <t>● (p) Pos.2 Fortschr. BSK</t>
        </is>
      </c>
      <c r="C2784" s="4" t="inlineStr">
        <is>
          <t>Pauschale</t>
        </is>
      </c>
      <c r="D2784" s="10" t="inlineStr">
        <is>
          <t>⚠ Manual erforderlich</t>
        </is>
      </c>
      <c r="E2784" s="11" t="inlineStr"/>
      <c r="F2784" s="11" t="n">
        <v>0</v>
      </c>
      <c r="G2784" s="11">
        <f>E2784-F2784</f>
        <v/>
      </c>
      <c r="H2784" s="11" t="n">
        <v>0</v>
      </c>
      <c r="I2784" s="11" t="n">
        <v>0</v>
      </c>
      <c r="J2784" s="11" t="n">
        <v>0</v>
      </c>
      <c r="K2784" s="4" t="inlineStr">
        <is>
          <t>Stundensätze eingeben</t>
        </is>
      </c>
    </row>
    <row r="2785">
      <c r="A2785" s="4" t="inlineStr">
        <is>
          <t>6313.06 BSK-Fitseveneleven-Limespark-Sulzbach-1.OG</t>
        </is>
      </c>
      <c r="B2785" s="4" t="inlineStr">
        <is>
          <t>● (p) Pos.3 Brandschutzberatung i. Ausführungsplanung+Objektüberwachung</t>
        </is>
      </c>
      <c r="C2785" s="4" t="inlineStr">
        <is>
          <t>Pauschale</t>
        </is>
      </c>
      <c r="D2785" s="10" t="inlineStr">
        <is>
          <t>⚠ Manual erforderlich</t>
        </is>
      </c>
      <c r="E2785" s="11" t="inlineStr"/>
      <c r="F2785" s="11" t="n">
        <v>0</v>
      </c>
      <c r="G2785" s="11">
        <f>E2785-F2785</f>
        <v/>
      </c>
      <c r="H2785" s="11" t="n">
        <v>0</v>
      </c>
      <c r="I2785" s="11" t="n">
        <v>0</v>
      </c>
      <c r="J2785" s="11" t="n">
        <v>0</v>
      </c>
      <c r="K2785" s="4" t="inlineStr">
        <is>
          <t>Stundensätze eingeben</t>
        </is>
      </c>
    </row>
    <row r="2786">
      <c r="A2786" s="4" t="inlineStr">
        <is>
          <t>6313.06 BSK-Fitseveneleven-Limespark-Sulzbach-1.OG</t>
        </is>
      </c>
      <c r="B2786" s="4" t="inlineStr">
        <is>
          <t>● (p) Pos.4 Anpassung FRP</t>
        </is>
      </c>
      <c r="C2786" s="4" t="inlineStr">
        <is>
          <t>Pauschale</t>
        </is>
      </c>
      <c r="D2786" s="10" t="inlineStr">
        <is>
          <t>⚠ Manual erforderlich</t>
        </is>
      </c>
      <c r="E2786" s="11" t="inlineStr"/>
      <c r="F2786" s="11" t="n">
        <v>0</v>
      </c>
      <c r="G2786" s="11">
        <f>E2786-F2786</f>
        <v/>
      </c>
      <c r="H2786" s="11" t="n">
        <v>0</v>
      </c>
      <c r="I2786" s="11" t="n">
        <v>0</v>
      </c>
      <c r="J2786" s="11" t="n">
        <v>0</v>
      </c>
      <c r="K2786" s="4" t="inlineStr">
        <is>
          <t>Stundensätze eingeben</t>
        </is>
      </c>
    </row>
    <row r="2787">
      <c r="A2787" s="4" t="inlineStr">
        <is>
          <t>6313.06 BSK-Fitseveneleven-Limespark-Sulzbach-1.OG</t>
        </is>
      </c>
      <c r="B2787" s="4" t="inlineStr">
        <is>
          <t>● (p) Pos.5 Anpassung FWP</t>
        </is>
      </c>
      <c r="C2787" s="4" t="inlineStr">
        <is>
          <t>Pauschale</t>
        </is>
      </c>
      <c r="D2787" s="10" t="inlineStr">
        <is>
          <t>⚠ Manual erforderlich</t>
        </is>
      </c>
      <c r="E2787" s="11" t="inlineStr"/>
      <c r="F2787" s="11" t="n">
        <v>0</v>
      </c>
      <c r="G2787" s="11">
        <f>E2787-F2787</f>
        <v/>
      </c>
      <c r="H2787" s="11" t="n">
        <v>0</v>
      </c>
      <c r="I2787" s="11" t="n">
        <v>0</v>
      </c>
      <c r="J2787" s="11" t="n">
        <v>0</v>
      </c>
      <c r="K2787" s="4" t="inlineStr">
        <is>
          <t>Stundensätze eingeben</t>
        </is>
      </c>
    </row>
    <row r="2788">
      <c r="A2788" s="4" t="inlineStr">
        <is>
          <t>6313.06 BSK-Fitseveneleven-Limespark-Sulzbach-1.OG</t>
        </is>
      </c>
      <c r="B2788" s="4" t="inlineStr">
        <is>
          <t>● (p) Erw. zu Pos. 4 FRP + Pos. 5 FWP: Auslegung Feuerlöscher Standorte</t>
        </is>
      </c>
      <c r="C2788" s="4" t="inlineStr">
        <is>
          <t>Pauschale</t>
        </is>
      </c>
      <c r="D2788" s="10" t="inlineStr">
        <is>
          <t>⚠ Manual erforderlich</t>
        </is>
      </c>
      <c r="E2788" s="11" t="inlineStr"/>
      <c r="F2788" s="11" t="n">
        <v>0</v>
      </c>
      <c r="G2788" s="11">
        <f>E2788-F2788</f>
        <v/>
      </c>
      <c r="H2788" s="11" t="n">
        <v>0</v>
      </c>
      <c r="I2788" s="11" t="n">
        <v>0</v>
      </c>
      <c r="J2788" s="11" t="n">
        <v>0</v>
      </c>
      <c r="K2788" s="4" t="inlineStr">
        <is>
          <t>Stundensätze eingeben</t>
        </is>
      </c>
    </row>
    <row r="2789">
      <c r="A2789" s="4" t="inlineStr">
        <is>
          <t>6313.06 BSK-Fitseveneleven-Limespark-Sulzbach-1.OG</t>
        </is>
      </c>
      <c r="B2789" s="4" t="inlineStr">
        <is>
          <t>● • (p) Pos. 1 Baubegleitende Brandschutzberatung und Qualitätsüberwachung für die Durchführung der Baumaßnahme</t>
        </is>
      </c>
      <c r="C2789" s="4" t="inlineStr">
        <is>
          <t>Pauschale</t>
        </is>
      </c>
      <c r="D2789" s="10" t="inlineStr">
        <is>
          <t>⚠ Manual erforderlich</t>
        </is>
      </c>
      <c r="E2789" s="11" t="inlineStr"/>
      <c r="F2789" s="11" t="n">
        <v>0</v>
      </c>
      <c r="G2789" s="11">
        <f>E2789-F2789</f>
        <v/>
      </c>
      <c r="H2789" s="11" t="n">
        <v>0</v>
      </c>
      <c r="I2789" s="11" t="n">
        <v>0</v>
      </c>
      <c r="J2789" s="11" t="n">
        <v>0</v>
      </c>
      <c r="K2789" s="4" t="inlineStr">
        <is>
          <t>Stundensätze eingeben</t>
        </is>
      </c>
    </row>
    <row r="2790">
      <c r="A2790" s="4" t="inlineStr">
        <is>
          <t>6313.061 Fitseveneleven-BSO-Limespark-Sulzbach-1.OG</t>
        </is>
      </c>
      <c r="B2790" s="4" t="inlineStr">
        <is>
          <t>● • (p) Pos. 2 Brandschutzordnung Teil A-C</t>
        </is>
      </c>
      <c r="C2790" s="4" t="inlineStr">
        <is>
          <t>Pauschale</t>
        </is>
      </c>
      <c r="D2790" s="10" t="inlineStr">
        <is>
          <t>⚠ Manual erforderlich</t>
        </is>
      </c>
      <c r="E2790" s="11" t="inlineStr"/>
      <c r="F2790" s="11" t="n">
        <v>0</v>
      </c>
      <c r="G2790" s="11">
        <f>E2790-F2790</f>
        <v/>
      </c>
      <c r="H2790" s="11" t="n">
        <v>0</v>
      </c>
      <c r="I2790" s="11" t="n">
        <v>0</v>
      </c>
      <c r="J2790" s="11" t="n">
        <v>0</v>
      </c>
      <c r="K2790" s="4" t="inlineStr">
        <is>
          <t>Stundensätze eingeben</t>
        </is>
      </c>
    </row>
    <row r="2791">
      <c r="A2791" s="4" t="inlineStr">
        <is>
          <t>6313.07 SchäferHübner-FWP-FRP-Limespark-Sulzbach-2.OG-BT-E</t>
        </is>
      </c>
      <c r="B2791" s="4" t="inlineStr">
        <is>
          <t>● (p) Pos. 1 Anp. FWP</t>
        </is>
      </c>
      <c r="C2791" s="4" t="inlineStr">
        <is>
          <t>Pauschale</t>
        </is>
      </c>
      <c r="D2791" s="10" t="inlineStr">
        <is>
          <t>⚠ Manual erforderlich</t>
        </is>
      </c>
      <c r="E2791" s="11" t="inlineStr"/>
      <c r="F2791" s="11" t="n">
        <v>0</v>
      </c>
      <c r="G2791" s="11">
        <f>E2791-F2791</f>
        <v/>
      </c>
      <c r="H2791" s="11" t="n">
        <v>0</v>
      </c>
      <c r="I2791" s="11" t="n">
        <v>0</v>
      </c>
      <c r="J2791" s="11" t="n">
        <v>0</v>
      </c>
      <c r="K2791" s="4" t="inlineStr">
        <is>
          <t>Stundensätze eingeben</t>
        </is>
      </c>
    </row>
    <row r="2792">
      <c r="A2792" s="4" t="inlineStr">
        <is>
          <t>6313.07 SchäferHübner-FWP-FRP-Limespark-Sulzbach-2.OG-BT-E</t>
        </is>
      </c>
      <c r="B2792" s="4" t="inlineStr">
        <is>
          <t>● (p) Pos. 2 Anpassung FRP</t>
        </is>
      </c>
      <c r="C2792" s="4" t="inlineStr">
        <is>
          <t>Pauschale</t>
        </is>
      </c>
      <c r="D2792" s="10" t="inlineStr">
        <is>
          <t>⚠ Manual erforderlich</t>
        </is>
      </c>
      <c r="E2792" s="11" t="inlineStr"/>
      <c r="F2792" s="11" t="n">
        <v>0</v>
      </c>
      <c r="G2792" s="11">
        <f>E2792-F2792</f>
        <v/>
      </c>
      <c r="H2792" s="11" t="n">
        <v>0</v>
      </c>
      <c r="I2792" s="11" t="n">
        <v>0</v>
      </c>
      <c r="J2792" s="11" t="n">
        <v>0</v>
      </c>
      <c r="K2792" s="4" t="inlineStr">
        <is>
          <t>Stundensätze eingeben</t>
        </is>
      </c>
    </row>
    <row r="2793">
      <c r="A2793" s="4" t="inlineStr">
        <is>
          <t>6313.100 Quantum-Allgemeine-BTB-Limespark-Sulzbach</t>
        </is>
      </c>
      <c r="B2793" s="4" t="inlineStr">
        <is>
          <t>● • (aN) Pos. 1 Ortstermine</t>
        </is>
      </c>
      <c r="C2793" s="4" t="inlineStr">
        <is>
          <t>Nachweis</t>
        </is>
      </c>
      <c r="D2793" s="10" t="inlineStr">
        <is>
          <t>⚠ Manual erforderlich</t>
        </is>
      </c>
      <c r="E2793" s="11" t="inlineStr"/>
      <c r="F2793" s="11" t="n">
        <v>0</v>
      </c>
      <c r="G2793" s="11">
        <f>E2793-F2793</f>
        <v/>
      </c>
      <c r="H2793" s="11" t="n">
        <v/>
      </c>
      <c r="I2793" s="11" t="n">
        <v/>
      </c>
      <c r="J2793" s="11" t="n">
        <v/>
      </c>
      <c r="K2793" s="4" t="inlineStr">
        <is>
          <t>Stundensätze eingeben</t>
        </is>
      </c>
    </row>
    <row r="2794">
      <c r="A2794" s="4" t="inlineStr">
        <is>
          <t>6313.100 Quantum-Allgemeine-BTB-Limespark-Sulzbach</t>
        </is>
      </c>
      <c r="B2794" s="4" t="inlineStr">
        <is>
          <t>● • (aN) Pos. 2 Brandschutztechnische Beratung und Erarbeitung von Brandschutzdokumenten</t>
        </is>
      </c>
      <c r="C2794" s="4" t="inlineStr">
        <is>
          <t>Nachweis</t>
        </is>
      </c>
      <c r="D2794" s="10" t="inlineStr">
        <is>
          <t>⚠ Manual erforderlich</t>
        </is>
      </c>
      <c r="E2794" s="11" t="inlineStr"/>
      <c r="F2794" s="11" t="n">
        <v>0</v>
      </c>
      <c r="G2794" s="11">
        <f>E2794-F2794</f>
        <v/>
      </c>
      <c r="H2794" s="11" t="n">
        <v/>
      </c>
      <c r="I2794" s="11" t="n">
        <v/>
      </c>
      <c r="J2794" s="11" t="n">
        <v/>
      </c>
      <c r="K2794" s="4" t="inlineStr">
        <is>
          <t>Stundensätze eingeben</t>
        </is>
      </c>
    </row>
    <row r="2795">
      <c r="A2795" s="4" t="inlineStr">
        <is>
          <t>6313.100 Quantum-Allgemeine-BTB-Limespark-Sulzbach</t>
        </is>
      </c>
      <c r="B2795" s="4" t="inlineStr">
        <is>
          <t>● • (aN) Pos. 3 Erarbeiten von Brandschutzplänen (CAD)</t>
        </is>
      </c>
      <c r="C2795" s="4" t="inlineStr">
        <is>
          <t>Nachweis</t>
        </is>
      </c>
      <c r="D2795" s="10" t="inlineStr">
        <is>
          <t>⚠ Manual erforderlich</t>
        </is>
      </c>
      <c r="E2795" s="11" t="inlineStr"/>
      <c r="F2795" s="11" t="n">
        <v>0</v>
      </c>
      <c r="G2795" s="11">
        <f>E2795-F2795</f>
        <v/>
      </c>
      <c r="H2795" s="11" t="n">
        <v/>
      </c>
      <c r="I2795" s="11" t="n">
        <v/>
      </c>
      <c r="J2795" s="11" t="n">
        <v/>
      </c>
      <c r="K2795" s="4" t="inlineStr">
        <is>
          <t>Stundensätze eingeben</t>
        </is>
      </c>
    </row>
    <row r="2796">
      <c r="A2796" s="4" t="inlineStr">
        <is>
          <t>6313.101 Quantum-Röder-BTB-Urologie-Limespark-Sulzbach</t>
        </is>
      </c>
      <c r="B2796" s="4" t="inlineStr">
        <is>
          <t>● • (aN) Pos. 1 Ortstermine</t>
        </is>
      </c>
      <c r="C2796" s="4" t="inlineStr">
        <is>
          <t>Nachweis</t>
        </is>
      </c>
      <c r="D2796" s="10" t="inlineStr">
        <is>
          <t>⚠ Manual erforderlich</t>
        </is>
      </c>
      <c r="E2796" s="11" t="inlineStr"/>
      <c r="F2796" s="11" t="n">
        <v>0</v>
      </c>
      <c r="G2796" s="11">
        <f>E2796-F2796</f>
        <v/>
      </c>
      <c r="H2796" s="11" t="n">
        <v/>
      </c>
      <c r="I2796" s="11" t="n">
        <v/>
      </c>
      <c r="J2796" s="11" t="n">
        <v/>
      </c>
      <c r="K2796" s="4" t="inlineStr">
        <is>
          <t>Stundensätze eingeben</t>
        </is>
      </c>
    </row>
    <row r="2797">
      <c r="A2797" s="4" t="inlineStr">
        <is>
          <t>6313.101 Quantum-Röder-BTB-Urologie-Limespark-Sulzbach</t>
        </is>
      </c>
      <c r="B2797" s="4" t="inlineStr">
        <is>
          <t>● • (aN) Pos. 2 Brandschutztechnische Beratung und Erarbeitung von Brandschutzdokumenten</t>
        </is>
      </c>
      <c r="C2797" s="4" t="inlineStr">
        <is>
          <t>Nachweis</t>
        </is>
      </c>
      <c r="D2797" s="10" t="inlineStr">
        <is>
          <t>⚠ Manual erforderlich</t>
        </is>
      </c>
      <c r="E2797" s="11" t="inlineStr"/>
      <c r="F2797" s="11" t="n">
        <v>0</v>
      </c>
      <c r="G2797" s="11">
        <f>E2797-F2797</f>
        <v/>
      </c>
      <c r="H2797" s="11" t="n">
        <v/>
      </c>
      <c r="I2797" s="11" t="n">
        <v/>
      </c>
      <c r="J2797" s="11" t="n">
        <v/>
      </c>
      <c r="K2797" s="4" t="inlineStr">
        <is>
          <t>Stundensätze eingeben</t>
        </is>
      </c>
    </row>
    <row r="2798">
      <c r="A2798" s="4" t="inlineStr">
        <is>
          <t>6313.101 Quantum-Röder-BTB-Urologie-Limespark-Sulzbach</t>
        </is>
      </c>
      <c r="B2798" s="4" t="inlineStr">
        <is>
          <t>● • (aN) Pos. 3 Erarbeiten von Brandschutzplänen (BSP, FWP, FRP)</t>
        </is>
      </c>
      <c r="C2798" s="4" t="inlineStr">
        <is>
          <t>Nachweis</t>
        </is>
      </c>
      <c r="D2798" s="10" t="inlineStr">
        <is>
          <t>⚠ Manual erforderlich</t>
        </is>
      </c>
      <c r="E2798" s="11" t="inlineStr"/>
      <c r="F2798" s="11" t="n">
        <v>0</v>
      </c>
      <c r="G2798" s="11">
        <f>E2798-F2798</f>
        <v/>
      </c>
      <c r="H2798" s="11" t="n">
        <v/>
      </c>
      <c r="I2798" s="11" t="n">
        <v/>
      </c>
      <c r="J2798" s="11" t="n">
        <v/>
      </c>
      <c r="K2798" s="4" t="inlineStr">
        <is>
          <t>Stundensätze eingeben</t>
        </is>
      </c>
    </row>
    <row r="2799">
      <c r="A2799" s="4" t="inlineStr">
        <is>
          <t>6313.103 Quantum-BTB-Fortschr-BSK-Mietung-DSGF-Limespark-Sulzbach</t>
        </is>
      </c>
      <c r="B2799" s="4" t="inlineStr">
        <is>
          <t>● • (aN) Pos. 1 Ortstermine</t>
        </is>
      </c>
      <c r="C2799" s="4" t="inlineStr">
        <is>
          <t>Nachweis</t>
        </is>
      </c>
      <c r="D2799" s="10" t="inlineStr">
        <is>
          <t>⚠ Manual erforderlich</t>
        </is>
      </c>
      <c r="E2799" s="11" t="inlineStr"/>
      <c r="F2799" s="11" t="n">
        <v>0</v>
      </c>
      <c r="G2799" s="11">
        <f>E2799-F2799</f>
        <v/>
      </c>
      <c r="H2799" s="11" t="n">
        <v/>
      </c>
      <c r="I2799" s="11" t="n">
        <v/>
      </c>
      <c r="J2799" s="11" t="n">
        <v/>
      </c>
      <c r="K2799" s="4" t="inlineStr">
        <is>
          <t>Stundensätze eingeben</t>
        </is>
      </c>
    </row>
    <row r="2800">
      <c r="A2800" s="4" t="inlineStr">
        <is>
          <t>6313.103 Quantum-BTB-Fortschr-BSK-Mietung-DSGF-Limespark-Sulzbach</t>
        </is>
      </c>
      <c r="B2800" s="4" t="inlineStr">
        <is>
          <t>● • (aN) Pos. 2 Brandschutztechnische Beratung und Erarbeitung von Brandschutzdokumenten</t>
        </is>
      </c>
      <c r="C2800" s="4" t="inlineStr">
        <is>
          <t>Nachweis</t>
        </is>
      </c>
      <c r="D2800" s="10" t="inlineStr">
        <is>
          <t>⚠ Manual erforderlich</t>
        </is>
      </c>
      <c r="E2800" s="11" t="inlineStr"/>
      <c r="F2800" s="11" t="n">
        <v>0</v>
      </c>
      <c r="G2800" s="11">
        <f>E2800-F2800</f>
        <v/>
      </c>
      <c r="H2800" s="11" t="n">
        <v/>
      </c>
      <c r="I2800" s="11" t="n">
        <v/>
      </c>
      <c r="J2800" s="11" t="n">
        <v/>
      </c>
      <c r="K2800" s="4" t="inlineStr">
        <is>
          <t>Stundensätze eingeben</t>
        </is>
      </c>
    </row>
    <row r="2801">
      <c r="A2801" s="4" t="inlineStr">
        <is>
          <t>6313.103 Quantum-BTB-Fortschr-BSK-Mietung-DSGF-Limespark-Sulzbach</t>
        </is>
      </c>
      <c r="B2801" s="4" t="inlineStr">
        <is>
          <t>● • (aN) Pos. 3 Erarbeiten von Brandschutzplänen</t>
        </is>
      </c>
      <c r="C2801" s="4" t="inlineStr">
        <is>
          <t>Nachweis</t>
        </is>
      </c>
      <c r="D2801" s="10" t="inlineStr">
        <is>
          <t>⚠ Manual erforderlich</t>
        </is>
      </c>
      <c r="E2801" s="11" t="inlineStr"/>
      <c r="F2801" s="11" t="n">
        <v>0</v>
      </c>
      <c r="G2801" s="11">
        <f>E2801-F2801</f>
        <v/>
      </c>
      <c r="H2801" s="11" t="n">
        <v/>
      </c>
      <c r="I2801" s="11" t="n">
        <v/>
      </c>
      <c r="J2801" s="11" t="n">
        <v/>
      </c>
      <c r="K2801" s="4" t="inlineStr">
        <is>
          <t>Stundensätze eingeben</t>
        </is>
      </c>
    </row>
    <row r="2802">
      <c r="A2802" s="4" t="inlineStr">
        <is>
          <t>6319 Silo-4-Wabern-Südzucker</t>
        </is>
      </c>
      <c r="B2802" s="4" t="inlineStr">
        <is>
          <t>● BSK (pauschal)</t>
        </is>
      </c>
      <c r="C2802" s="9" t="inlineStr">
        <is>
          <t>Unbekannt</t>
        </is>
      </c>
      <c r="D2802" s="10" t="inlineStr">
        <is>
          <t>⚠ Manual erforderlich</t>
        </is>
      </c>
      <c r="E2802" s="11" t="inlineStr"/>
      <c r="F2802" s="11" t="n">
        <v>0</v>
      </c>
      <c r="G2802" s="11">
        <f>E2802-F2802</f>
        <v/>
      </c>
      <c r="H2802" s="11" t="n">
        <v/>
      </c>
      <c r="I2802" s="11" t="n">
        <v/>
      </c>
      <c r="J2802" s="11" t="n">
        <v/>
      </c>
      <c r="K2802" s="4" t="inlineStr">
        <is>
          <t>Abrechnungsart wählen; Stundensätze eingeben</t>
        </is>
      </c>
    </row>
    <row r="2803">
      <c r="A2803" s="4" t="inlineStr">
        <is>
          <t>6319.03 BTB-Südzucker-Homberger-Straße-1-Wabern</t>
        </is>
      </c>
      <c r="B2803" s="4" t="inlineStr">
        <is>
          <t>● (a.N.) Pos.1 BTB + Vorbereitung Audit Bewertung Brandschutztüren</t>
        </is>
      </c>
      <c r="C2803" s="4" t="inlineStr">
        <is>
          <t>Nachweis</t>
        </is>
      </c>
      <c r="D2803" s="10" t="inlineStr">
        <is>
          <t>⚠ Manual erforderlich</t>
        </is>
      </c>
      <c r="E2803" s="11" t="inlineStr"/>
      <c r="F2803" s="11" t="n">
        <v>0</v>
      </c>
      <c r="G2803" s="11">
        <f>E2803-F2803</f>
        <v/>
      </c>
      <c r="H2803" s="11" t="n">
        <v/>
      </c>
      <c r="I2803" s="11" t="n">
        <v/>
      </c>
      <c r="J2803" s="11" t="n">
        <v/>
      </c>
      <c r="K2803" s="4" t="inlineStr">
        <is>
          <t>Stundensätze eingeben</t>
        </is>
      </c>
    </row>
    <row r="2804">
      <c r="A2804" s="4" t="inlineStr">
        <is>
          <t>6319.03 BTB-Südzucker-Homberger-Straße-1-Wabern</t>
        </is>
      </c>
      <c r="B2804" s="4" t="inlineStr">
        <is>
          <t>● (a.N.) Pos.3 BTB zur DAchsanierung i.Zs. mit Brandsanierung Pelletlager</t>
        </is>
      </c>
      <c r="C2804" s="4" t="inlineStr">
        <is>
          <t>Nachweis</t>
        </is>
      </c>
      <c r="D2804" s="10" t="inlineStr">
        <is>
          <t>⚠ Manual erforderlich</t>
        </is>
      </c>
      <c r="E2804" s="11" t="inlineStr"/>
      <c r="F2804" s="11" t="n">
        <v>0</v>
      </c>
      <c r="G2804" s="11">
        <f>E2804-F2804</f>
        <v/>
      </c>
      <c r="H2804" s="11" t="n">
        <v/>
      </c>
      <c r="I2804" s="11" t="n">
        <v/>
      </c>
      <c r="J2804" s="11" t="n">
        <v/>
      </c>
      <c r="K2804" s="4" t="inlineStr">
        <is>
          <t>Stundensätze eingeben</t>
        </is>
      </c>
    </row>
    <row r="2805">
      <c r="A2805" s="4" t="inlineStr">
        <is>
          <t>6319.05 BSK-Silo-Südzucker-Homberger-Straße-1-Wabern</t>
        </is>
      </c>
      <c r="B2805" s="4" t="inlineStr">
        <is>
          <t>● (p) Pos.1 (00020) Fertigstellung BSK-Silo</t>
        </is>
      </c>
      <c r="C2805" s="4" t="inlineStr">
        <is>
          <t>Pauschale</t>
        </is>
      </c>
      <c r="D2805" s="10" t="inlineStr">
        <is>
          <t>⚠ Manual erforderlich</t>
        </is>
      </c>
      <c r="E2805" s="11" t="inlineStr"/>
      <c r="F2805" s="11" t="n">
        <v>0</v>
      </c>
      <c r="G2805" s="11">
        <f>E2805-F2805</f>
        <v/>
      </c>
      <c r="H2805" s="11" t="n">
        <v/>
      </c>
      <c r="I2805" s="11" t="n">
        <v/>
      </c>
      <c r="J2805" s="11" t="n">
        <v/>
      </c>
      <c r="K2805" s="4" t="inlineStr">
        <is>
          <t>Stundensätze eingeben</t>
        </is>
      </c>
    </row>
    <row r="2806">
      <c r="A2806" s="4" t="inlineStr">
        <is>
          <t>6319.05 BSK-Silo-Südzucker-Homberger-Straße-1-Wabern</t>
        </is>
      </c>
      <c r="B2806" s="4" t="inlineStr">
        <is>
          <t>● (a.N.) Pos.2 (00010) Ausführungsplanung zur BM Silo–LPH 5</t>
        </is>
      </c>
      <c r="C2806" s="4" t="inlineStr">
        <is>
          <t>Nachweis</t>
        </is>
      </c>
      <c r="D2806" s="10" t="inlineStr">
        <is>
          <t>⚠ Manual erforderlich</t>
        </is>
      </c>
      <c r="E2806" s="11" t="inlineStr"/>
      <c r="F2806" s="11" t="n">
        <v>0</v>
      </c>
      <c r="G2806" s="11">
        <f>E2806-F2806</f>
        <v/>
      </c>
      <c r="H2806" s="11" t="n">
        <v/>
      </c>
      <c r="I2806" s="11" t="n">
        <v/>
      </c>
      <c r="J2806" s="11" t="n">
        <v/>
      </c>
      <c r="K2806" s="4" t="inlineStr">
        <is>
          <t>Stundensätze eingeben</t>
        </is>
      </c>
    </row>
    <row r="2807">
      <c r="A2807" s="4" t="inlineStr">
        <is>
          <t>6319.05 BSK-Silo-Südzucker-Homberger-Straße-1-Wabern</t>
        </is>
      </c>
      <c r="B2807" s="4" t="inlineStr">
        <is>
          <t>● (a.N.) Pos.3 (00010) Objejktüberwachung– LPH 8</t>
        </is>
      </c>
      <c r="C2807" s="4" t="inlineStr">
        <is>
          <t>Nachweis</t>
        </is>
      </c>
      <c r="D2807" s="10" t="inlineStr">
        <is>
          <t>⚠ Manual erforderlich</t>
        </is>
      </c>
      <c r="E2807" s="11" t="inlineStr"/>
      <c r="F2807" s="11" t="n">
        <v>0</v>
      </c>
      <c r="G2807" s="11">
        <f>E2807-F2807</f>
        <v/>
      </c>
      <c r="H2807" s="11" t="n">
        <v/>
      </c>
      <c r="I2807" s="11" t="n">
        <v/>
      </c>
      <c r="J2807" s="11" t="n">
        <v/>
      </c>
      <c r="K2807" s="4" t="inlineStr">
        <is>
          <t>Stundensätze eingeben</t>
        </is>
      </c>
    </row>
    <row r="2808">
      <c r="A2808" s="4" t="inlineStr">
        <is>
          <t>6319.06 BSB-2025-Südzucker-Homberger-Straße-1-Wabern</t>
        </is>
      </c>
      <c r="B2808" s="4" t="inlineStr">
        <is>
          <t>● (a.N.) Pos.1  BSB 2025 zur Unterstützung d. internen BSB</t>
        </is>
      </c>
      <c r="C2808" s="4" t="inlineStr">
        <is>
          <t>Nachweis</t>
        </is>
      </c>
      <c r="D2808" s="10" t="inlineStr">
        <is>
          <t>⚠ Manual erforderlich</t>
        </is>
      </c>
      <c r="E2808" s="11" t="inlineStr"/>
      <c r="F2808" s="11" t="n">
        <v>0</v>
      </c>
      <c r="G2808" s="11">
        <f>E2808-F2808</f>
        <v/>
      </c>
      <c r="H2808" s="11" t="n">
        <v/>
      </c>
      <c r="I2808" s="11" t="n">
        <v/>
      </c>
      <c r="J2808" s="11" t="n">
        <v/>
      </c>
      <c r="K2808" s="4" t="inlineStr">
        <is>
          <t>Stundensätze eingeben</t>
        </is>
      </c>
    </row>
    <row r="2809">
      <c r="A2809" s="4" t="inlineStr">
        <is>
          <t>6319.07 BSK-Südzucker-Homberger-Straße-1-Wabern-Erweiterung-Lager</t>
        </is>
      </c>
      <c r="B2809" s="4" t="inlineStr">
        <is>
          <t>● (p) Fortschreibung BSK Erweiterung der Lager- und Verladekapazität für Zucker</t>
        </is>
      </c>
      <c r="C2809" s="4" t="inlineStr">
        <is>
          <t>Pauschale</t>
        </is>
      </c>
      <c r="D2809" s="10" t="inlineStr">
        <is>
          <t>⚠ Manual erforderlich</t>
        </is>
      </c>
      <c r="E2809" s="11" t="inlineStr"/>
      <c r="F2809" s="11" t="n">
        <v>0</v>
      </c>
      <c r="G2809" s="11">
        <f>E2809-F2809</f>
        <v/>
      </c>
      <c r="H2809" s="11" t="n">
        <v>0</v>
      </c>
      <c r="I2809" s="11" t="n">
        <v>0</v>
      </c>
      <c r="J2809" s="11" t="n">
        <v>0</v>
      </c>
      <c r="K2809" s="4" t="inlineStr">
        <is>
          <t>Stundensätze eingeben</t>
        </is>
      </c>
    </row>
    <row r="2810">
      <c r="A2810" s="4" t="inlineStr">
        <is>
          <t>6319.08 BTB-Südzucker-Homberger-Straße-1-Wabern-Gaskalkofen</t>
        </is>
      </c>
      <c r="B2810" s="4" t="inlineStr">
        <is>
          <t>● (aN) Pos.1 BTB zum Neubau des Gaskalkofens</t>
        </is>
      </c>
      <c r="C2810" s="4" t="inlineStr">
        <is>
          <t>Nachweis</t>
        </is>
      </c>
      <c r="D2810" s="10" t="inlineStr">
        <is>
          <t>⚠ Manual erforderlich</t>
        </is>
      </c>
      <c r="E2810" s="11" t="inlineStr"/>
      <c r="F2810" s="11" t="n">
        <v>0</v>
      </c>
      <c r="G2810" s="11">
        <f>E2810-F2810</f>
        <v/>
      </c>
      <c r="H2810" s="11" t="n">
        <v/>
      </c>
      <c r="I2810" s="11" t="n">
        <v/>
      </c>
      <c r="J2810" s="11" t="n">
        <v/>
      </c>
      <c r="K2810" s="4" t="inlineStr">
        <is>
          <t>Stundensätze eingeben</t>
        </is>
      </c>
    </row>
    <row r="2811">
      <c r="A2811" s="4" t="inlineStr">
        <is>
          <t>6319.08 BTB-Südzucker-Homberger-Straße-1-Wabern-Gaskalkofen</t>
        </is>
      </c>
      <c r="B2811" s="4" t="inlineStr">
        <is>
          <t>● (p) Pos.2 erstellung BSK als Ausarbeitung + Finalisierung der Planung unter Pos.1</t>
        </is>
      </c>
      <c r="C2811" s="4" t="inlineStr">
        <is>
          <t>Pauschale</t>
        </is>
      </c>
      <c r="D2811" s="10" t="inlineStr">
        <is>
          <t>⚠ Manual erforderlich</t>
        </is>
      </c>
      <c r="E2811" s="11" t="inlineStr"/>
      <c r="F2811" s="11" t="n">
        <v>0</v>
      </c>
      <c r="G2811" s="11">
        <f>E2811-F2811</f>
        <v/>
      </c>
      <c r="H2811" s="11" t="n">
        <v>0</v>
      </c>
      <c r="I2811" s="11" t="n">
        <v>0</v>
      </c>
      <c r="J2811" s="11" t="n">
        <v>0</v>
      </c>
      <c r="K2811" s="4" t="inlineStr">
        <is>
          <t>Stundensätze eingeben</t>
        </is>
      </c>
    </row>
    <row r="2812">
      <c r="A2812" s="4" t="inlineStr">
        <is>
          <t>6322.02 CZ-RV-Varese BA1-Sprinklerschutz_Umbauplanung-Halle_2</t>
        </is>
      </c>
      <c r="B2812" s="4" t="inlineStr">
        <is>
          <t>● (aN) Varese BA1, Sprinklerschutz Umbauplanung, Halle (SV)</t>
        </is>
      </c>
      <c r="C2812" s="4" t="inlineStr">
        <is>
          <t>Nachweis</t>
        </is>
      </c>
      <c r="D2812" s="10" t="inlineStr">
        <is>
          <t>⚠ Manual erforderlich</t>
        </is>
      </c>
      <c r="E2812" s="11" t="inlineStr"/>
      <c r="F2812" s="11" t="n">
        <v>0</v>
      </c>
      <c r="G2812" s="11">
        <f>E2812-F2812</f>
        <v/>
      </c>
      <c r="H2812" s="11" t="n">
        <v/>
      </c>
      <c r="I2812" s="11" t="n">
        <v/>
      </c>
      <c r="J2812" s="11" t="n">
        <v/>
      </c>
      <c r="K2812" s="4" t="inlineStr">
        <is>
          <t>Stundensätze eingeben</t>
        </is>
      </c>
    </row>
    <row r="2813">
      <c r="A2813" s="4" t="inlineStr">
        <is>
          <t>6322.02 CZ-RV-Varese BA1-Sprinklerschutz_Umbauplanung-Halle_2</t>
        </is>
      </c>
      <c r="B2813" s="4" t="inlineStr">
        <is>
          <t>● (aN) Varese BA1, Sprinklerschutz Umbauplanung, Halle 2 (CAD)</t>
        </is>
      </c>
      <c r="C2813" s="4" t="inlineStr">
        <is>
          <t>Nachweis</t>
        </is>
      </c>
      <c r="D2813" s="10" t="inlineStr">
        <is>
          <t>⚠ Manual erforderlich</t>
        </is>
      </c>
      <c r="E2813" s="11" t="inlineStr"/>
      <c r="F2813" s="11" t="n">
        <v>0</v>
      </c>
      <c r="G2813" s="11">
        <f>E2813-F2813</f>
        <v/>
      </c>
      <c r="H2813" s="11" t="n">
        <v/>
      </c>
      <c r="I2813" s="11" t="n">
        <v/>
      </c>
      <c r="J2813" s="11" t="n">
        <v/>
      </c>
      <c r="K2813" s="4" t="inlineStr">
        <is>
          <t>Stundensätze eingeben</t>
        </is>
      </c>
    </row>
    <row r="2814">
      <c r="A2814" s="4" t="inlineStr">
        <is>
          <t>6322.02 CZ-RV-Varese BA1-Sprinklerschutz_Umbauplanung-Halle_2</t>
        </is>
      </c>
      <c r="B2814" s="4" t="inlineStr">
        <is>
          <t>● (aN) Varese BA1, Sprinklerschutz Umbauplanung, Halle 2 (ADM)</t>
        </is>
      </c>
      <c r="C2814" s="4" t="inlineStr">
        <is>
          <t>Nachweis</t>
        </is>
      </c>
      <c r="D2814" s="10" t="inlineStr">
        <is>
          <t>⚠ Manual erforderlich</t>
        </is>
      </c>
      <c r="E2814" s="11" t="inlineStr"/>
      <c r="F2814" s="11" t="n">
        <v>0</v>
      </c>
      <c r="G2814" s="11">
        <f>E2814-F2814</f>
        <v/>
      </c>
      <c r="H2814" s="11" t="n">
        <v/>
      </c>
      <c r="I2814" s="11" t="n">
        <v/>
      </c>
      <c r="J2814" s="11" t="n">
        <v/>
      </c>
      <c r="K2814" s="4" t="inlineStr">
        <is>
          <t>Stundensätze eingeben</t>
        </is>
      </c>
    </row>
    <row r="2815">
      <c r="A2815" s="4" t="inlineStr">
        <is>
          <t>6322.03 CZ_OK_Cremora A</t>
        </is>
      </c>
      <c r="B2815" s="4" t="inlineStr">
        <is>
          <t>● • SV</t>
        </is>
      </c>
      <c r="C2815" s="9" t="inlineStr">
        <is>
          <t>Unbekannt</t>
        </is>
      </c>
      <c r="D2815" s="10" t="inlineStr">
        <is>
          <t>⚠ Manual erforderlich</t>
        </is>
      </c>
      <c r="E2815" s="11" t="inlineStr"/>
      <c r="F2815" s="11" t="n">
        <v>0</v>
      </c>
      <c r="G2815" s="11">
        <f>E2815-F2815</f>
        <v/>
      </c>
      <c r="H2815" s="11" t="n">
        <v/>
      </c>
      <c r="I2815" s="11" t="n">
        <v/>
      </c>
      <c r="J2815" s="11" t="n">
        <v/>
      </c>
      <c r="K2815" s="4" t="inlineStr">
        <is>
          <t>Abrechnungsart wählen; Stundensätze eingeben</t>
        </is>
      </c>
    </row>
    <row r="2816">
      <c r="A2816" s="4" t="inlineStr">
        <is>
          <t>6322.03 CZ_OK_Cremora A</t>
        </is>
      </c>
      <c r="B2816" s="4" t="inlineStr">
        <is>
          <t>● • CAD</t>
        </is>
      </c>
      <c r="C2816" s="9" t="inlineStr">
        <is>
          <t>Unbekannt</t>
        </is>
      </c>
      <c r="D2816" s="10" t="inlineStr">
        <is>
          <t>⚠ Manual erforderlich</t>
        </is>
      </c>
      <c r="E2816" s="11" t="inlineStr"/>
      <c r="F2816" s="11" t="n">
        <v>0</v>
      </c>
      <c r="G2816" s="11">
        <f>E2816-F2816</f>
        <v/>
      </c>
      <c r="H2816" s="11" t="n">
        <v/>
      </c>
      <c r="I2816" s="11" t="n">
        <v/>
      </c>
      <c r="J2816" s="11" t="n">
        <v/>
      </c>
      <c r="K2816" s="4" t="inlineStr">
        <is>
          <t>Abrechnungsart wählen; Stundensätze eingeben</t>
        </is>
      </c>
    </row>
    <row r="2817">
      <c r="A2817" s="4" t="inlineStr">
        <is>
          <t>6322.04 CZ_OK_Varese BA3</t>
        </is>
      </c>
      <c r="B2817" s="4" t="inlineStr">
        <is>
          <t>● • SV</t>
        </is>
      </c>
      <c r="C2817" s="9" t="inlineStr">
        <is>
          <t>Unbekannt</t>
        </is>
      </c>
      <c r="D2817" s="10" t="inlineStr">
        <is>
          <t>⚠ Manual erforderlich</t>
        </is>
      </c>
      <c r="E2817" s="11" t="inlineStr"/>
      <c r="F2817" s="11" t="n">
        <v>0</v>
      </c>
      <c r="G2817" s="11">
        <f>E2817-F2817</f>
        <v/>
      </c>
      <c r="H2817" s="11" t="n">
        <v/>
      </c>
      <c r="I2817" s="11" t="n">
        <v/>
      </c>
      <c r="J2817" s="11" t="n">
        <v/>
      </c>
      <c r="K2817" s="4" t="inlineStr">
        <is>
          <t>Abrechnungsart wählen; Stundensätze eingeben</t>
        </is>
      </c>
    </row>
    <row r="2818">
      <c r="A2818" s="4" t="inlineStr">
        <is>
          <t>6322.04 CZ_OK_Varese BA3</t>
        </is>
      </c>
      <c r="B2818" s="4" t="inlineStr">
        <is>
          <t>● • CAD</t>
        </is>
      </c>
      <c r="C2818" s="9" t="inlineStr">
        <is>
          <t>Unbekannt</t>
        </is>
      </c>
      <c r="D2818" s="10" t="inlineStr">
        <is>
          <t>⚠ Manual erforderlich</t>
        </is>
      </c>
      <c r="E2818" s="11" t="inlineStr"/>
      <c r="F2818" s="11" t="n">
        <v>0</v>
      </c>
      <c r="G2818" s="11">
        <f>E2818-F2818</f>
        <v/>
      </c>
      <c r="H2818" s="11" t="n">
        <v/>
      </c>
      <c r="I2818" s="11" t="n">
        <v/>
      </c>
      <c r="J2818" s="11" t="n">
        <v/>
      </c>
      <c r="K2818" s="4" t="inlineStr">
        <is>
          <t>Abrechnungsart wählen; Stundensätze eingeben</t>
        </is>
      </c>
    </row>
    <row r="2819">
      <c r="A2819" s="4" t="inlineStr">
        <is>
          <t>6324 Rheinstraße-27-Frankfurt-HPPVO</t>
        </is>
      </c>
      <c r="B2819" s="4" t="inlineStr">
        <is>
          <t>● Prüfung Nachweis (pauschal)</t>
        </is>
      </c>
      <c r="C2819" s="9" t="inlineStr">
        <is>
          <t>Unbekannt</t>
        </is>
      </c>
      <c r="D2819" s="10" t="inlineStr">
        <is>
          <t>⚠ Manual erforderlich</t>
        </is>
      </c>
      <c r="E2819" s="11" t="inlineStr"/>
      <c r="F2819" s="11" t="n">
        <v>0</v>
      </c>
      <c r="G2819" s="11">
        <f>E2819-F2819</f>
        <v/>
      </c>
      <c r="H2819" s="11" t="n">
        <v/>
      </c>
      <c r="I2819" s="11" t="n">
        <v/>
      </c>
      <c r="J2819" s="11" t="n">
        <v/>
      </c>
      <c r="K2819" s="4" t="inlineStr">
        <is>
          <t>Abrechnungsart wählen; Stundensätze eingeben</t>
        </is>
      </c>
    </row>
    <row r="2820">
      <c r="A2820" s="4" t="inlineStr">
        <is>
          <t>6324 Rheinstraße-27-Frankfurt-HPPVO</t>
        </is>
      </c>
      <c r="B2820" s="4" t="inlineStr">
        <is>
          <t>● Überwachung Bauausführung (pauschal)</t>
        </is>
      </c>
      <c r="C2820" s="9" t="inlineStr">
        <is>
          <t>Unbekannt</t>
        </is>
      </c>
      <c r="D2820" s="10" t="inlineStr">
        <is>
          <t>⚠ Manual erforderlich</t>
        </is>
      </c>
      <c r="E2820" s="11" t="inlineStr"/>
      <c r="F2820" s="11" t="n">
        <v>0</v>
      </c>
      <c r="G2820" s="11">
        <f>E2820-F2820</f>
        <v/>
      </c>
      <c r="H2820" s="11" t="n">
        <v/>
      </c>
      <c r="I2820" s="11" t="n">
        <v/>
      </c>
      <c r="J2820" s="11" t="n">
        <v/>
      </c>
      <c r="K2820" s="4" t="inlineStr">
        <is>
          <t>Abrechnungsart wählen; Stundensätze eingeben</t>
        </is>
      </c>
    </row>
    <row r="2821">
      <c r="A2821" s="4" t="inlineStr">
        <is>
          <t>6331.02 BSK-Wiesenstraße-17-Sulzbach</t>
        </is>
      </c>
      <c r="B2821" s="4" t="inlineStr">
        <is>
          <t>● (p) Pos.1 Fortschr. BSK</t>
        </is>
      </c>
      <c r="C2821" s="4" t="inlineStr">
        <is>
          <t>Pauschale</t>
        </is>
      </c>
      <c r="D2821" s="10" t="inlineStr">
        <is>
          <t>⚠ Manual erforderlich</t>
        </is>
      </c>
      <c r="E2821" s="11" t="inlineStr"/>
      <c r="F2821" s="11" t="n">
        <v>0</v>
      </c>
      <c r="G2821" s="11">
        <f>E2821-F2821</f>
        <v/>
      </c>
      <c r="H2821" s="11" t="n">
        <v>0</v>
      </c>
      <c r="I2821" s="11" t="n">
        <v>0</v>
      </c>
      <c r="J2821" s="11" t="n">
        <v>0</v>
      </c>
      <c r="K2821" s="4" t="inlineStr">
        <is>
          <t>Stundensätze eingeben</t>
        </is>
      </c>
    </row>
    <row r="2822">
      <c r="A2822" s="4" t="inlineStr">
        <is>
          <t>6331.02 BSK-Wiesenstraße-17-Sulzbach</t>
        </is>
      </c>
      <c r="B2822" s="4" t="inlineStr">
        <is>
          <t>● (aN) Pos.2 BAB</t>
        </is>
      </c>
      <c r="C2822" s="4" t="inlineStr">
        <is>
          <t>Nachweis</t>
        </is>
      </c>
      <c r="D2822" s="10" t="inlineStr">
        <is>
          <t>⚠ Manual erforderlich</t>
        </is>
      </c>
      <c r="E2822" s="11" t="inlineStr"/>
      <c r="F2822" s="11" t="n">
        <v>0</v>
      </c>
      <c r="G2822" s="11">
        <f>E2822-F2822</f>
        <v/>
      </c>
      <c r="H2822" s="11" t="n">
        <v/>
      </c>
      <c r="I2822" s="11" t="n">
        <v/>
      </c>
      <c r="J2822" s="11" t="n">
        <v/>
      </c>
      <c r="K2822" s="4" t="inlineStr">
        <is>
          <t>Stundensätze eingeben</t>
        </is>
      </c>
    </row>
    <row r="2823">
      <c r="A2823" s="4" t="inlineStr">
        <is>
          <t>6334 Marktplatz-1-Ebrach-Justizvollzugsanstalt</t>
        </is>
      </c>
      <c r="B2823" s="4" t="inlineStr">
        <is>
          <t>● Erstellung BSK KG bis OG2 (pauschal)</t>
        </is>
      </c>
      <c r="C2823" s="9" t="inlineStr">
        <is>
          <t>Unbekannt</t>
        </is>
      </c>
      <c r="D2823" s="10" t="inlineStr">
        <is>
          <t>⚠ Manual erforderlich</t>
        </is>
      </c>
      <c r="E2823" s="11" t="inlineStr"/>
      <c r="F2823" s="11" t="n">
        <v>0</v>
      </c>
      <c r="G2823" s="11">
        <f>E2823-F2823</f>
        <v/>
      </c>
      <c r="H2823" s="11" t="n">
        <v/>
      </c>
      <c r="I2823" s="11" t="n">
        <v/>
      </c>
      <c r="J2823" s="11" t="n">
        <v/>
      </c>
      <c r="K2823" s="4" t="inlineStr">
        <is>
          <t>Abrechnungsart wählen; Stundensätze eingeben</t>
        </is>
      </c>
    </row>
    <row r="2824">
      <c r="A2824" s="4" t="inlineStr">
        <is>
          <t>6334 Marktplatz-1-Ebrach-Justizvollzugsanstalt</t>
        </is>
      </c>
      <c r="B2824" s="4" t="inlineStr">
        <is>
          <t>● Einarbeitung BSK 'Sanierung Kaisersaal' (pauschal)</t>
        </is>
      </c>
      <c r="C2824" s="9" t="inlineStr">
        <is>
          <t>Unbekannt</t>
        </is>
      </c>
      <c r="D2824" s="10" t="inlineStr">
        <is>
          <t>⚠ Manual erforderlich</t>
        </is>
      </c>
      <c r="E2824" s="11" t="inlineStr"/>
      <c r="F2824" s="11" t="n">
        <v>0</v>
      </c>
      <c r="G2824" s="11">
        <f>E2824-F2824</f>
        <v/>
      </c>
      <c r="H2824" s="11" t="n">
        <v/>
      </c>
      <c r="I2824" s="11" t="n">
        <v/>
      </c>
      <c r="J2824" s="11" t="n">
        <v/>
      </c>
      <c r="K2824" s="4" t="inlineStr">
        <is>
          <t>Abrechnungsart wählen; Stundensätze eingeben</t>
        </is>
      </c>
    </row>
    <row r="2825">
      <c r="A2825" s="4" t="inlineStr">
        <is>
          <t>6334 Marktplatz-1-Ebrach-Justizvollzugsanstalt</t>
        </is>
      </c>
      <c r="B2825" s="4" t="inlineStr">
        <is>
          <t>● Einarbeitung BSK 'Sanierung Dächer' (pauschal)</t>
        </is>
      </c>
      <c r="C2825" s="9" t="inlineStr">
        <is>
          <t>Unbekannt</t>
        </is>
      </c>
      <c r="D2825" s="10" t="inlineStr">
        <is>
          <t>⚠ Manual erforderlich</t>
        </is>
      </c>
      <c r="E2825" s="11" t="inlineStr"/>
      <c r="F2825" s="11" t="n">
        <v>0</v>
      </c>
      <c r="G2825" s="11">
        <f>E2825-F2825</f>
        <v/>
      </c>
      <c r="H2825" s="11" t="n">
        <v/>
      </c>
      <c r="I2825" s="11" t="n">
        <v/>
      </c>
      <c r="J2825" s="11" t="n">
        <v/>
      </c>
      <c r="K2825" s="4" t="inlineStr">
        <is>
          <t>Abrechnungsart wählen; Stundensätze eingeben</t>
        </is>
      </c>
    </row>
    <row r="2826">
      <c r="A2826" s="4" t="inlineStr">
        <is>
          <t>6334 Marktplatz-1-Ebrach-Justizvollzugsanstalt</t>
        </is>
      </c>
      <c r="B2826" s="4" t="inlineStr">
        <is>
          <t>● Vorstellung + Abstimmung BSK (pauschal)</t>
        </is>
      </c>
      <c r="C2826" s="9" t="inlineStr">
        <is>
          <t>Unbekannt</t>
        </is>
      </c>
      <c r="D2826" s="10" t="inlineStr">
        <is>
          <t>⚠ Manual erforderlich</t>
        </is>
      </c>
      <c r="E2826" s="11" t="inlineStr"/>
      <c r="F2826" s="11" t="n">
        <v>0</v>
      </c>
      <c r="G2826" s="11">
        <f>E2826-F2826</f>
        <v/>
      </c>
      <c r="H2826" s="11" t="n">
        <v/>
      </c>
      <c r="I2826" s="11" t="n">
        <v/>
      </c>
      <c r="J2826" s="11" t="n">
        <v/>
      </c>
      <c r="K2826" s="4" t="inlineStr">
        <is>
          <t>Abrechnungsart wählen; Stundensätze eingeben</t>
        </is>
      </c>
    </row>
    <row r="2827">
      <c r="A2827" s="4" t="inlineStr">
        <is>
          <t>6334 Marktplatz-1-Ebrach-Justizvollzugsanstalt</t>
        </is>
      </c>
      <c r="B2827" s="4" t="inlineStr">
        <is>
          <t>● Ortstermin inkl. An- + Abfahrt (pauschal)</t>
        </is>
      </c>
      <c r="C2827" s="9" t="inlineStr">
        <is>
          <t>Unbekannt</t>
        </is>
      </c>
      <c r="D2827" s="10" t="inlineStr">
        <is>
          <t>⚠ Manual erforderlich</t>
        </is>
      </c>
      <c r="E2827" s="11" t="inlineStr"/>
      <c r="F2827" s="11" t="n">
        <v>0</v>
      </c>
      <c r="G2827" s="11">
        <f>E2827-F2827</f>
        <v/>
      </c>
      <c r="H2827" s="11" t="n">
        <v/>
      </c>
      <c r="I2827" s="11" t="n">
        <v/>
      </c>
      <c r="J2827" s="11" t="n">
        <v/>
      </c>
      <c r="K2827" s="4" t="inlineStr">
        <is>
          <t>Abrechnungsart wählen; Stundensätze eingeben</t>
        </is>
      </c>
    </row>
    <row r="2828">
      <c r="A2828" s="4" t="inlineStr">
        <is>
          <t>6334.01 NAT01-BSK-Marktplatz-1-Ebrach-Justizvollzugsanstalt</t>
        </is>
      </c>
      <c r="B2828" s="4" t="inlineStr">
        <is>
          <t>● (p) Pos.1 - Auswertung der durchgeführten Bestandserfassung</t>
        </is>
      </c>
      <c r="C2828" s="4" t="inlineStr">
        <is>
          <t>Pauschale</t>
        </is>
      </c>
      <c r="D2828" s="10" t="inlineStr">
        <is>
          <t>⚠ Manual erforderlich</t>
        </is>
      </c>
      <c r="E2828" s="11" t="inlineStr"/>
      <c r="F2828" s="11" t="n">
        <v>0</v>
      </c>
      <c r="G2828" s="11">
        <f>E2828-F2828</f>
        <v/>
      </c>
      <c r="H2828" s="11" t="n">
        <v>0</v>
      </c>
      <c r="I2828" s="11" t="n">
        <v>0</v>
      </c>
      <c r="J2828" s="11" t="n">
        <v>0</v>
      </c>
      <c r="K2828" s="4" t="inlineStr">
        <is>
          <t>Stundensätze eingeben</t>
        </is>
      </c>
    </row>
    <row r="2829">
      <c r="A2829" s="4" t="inlineStr">
        <is>
          <t>6334.01 NAT01-BSK-Marktplatz-1-Ebrach-Justizvollzugsanstalt</t>
        </is>
      </c>
      <c r="B2829" s="4" t="inlineStr">
        <is>
          <t>● (p) - Pos.2 - Schnittstellenbetrachtung Konzepte Kaisersaal und Dächer</t>
        </is>
      </c>
      <c r="C2829" s="4" t="inlineStr">
        <is>
          <t>Pauschale</t>
        </is>
      </c>
      <c r="D2829" s="10" t="inlineStr">
        <is>
          <t>⚠ Manual erforderlich</t>
        </is>
      </c>
      <c r="E2829" s="11" t="inlineStr"/>
      <c r="F2829" s="11" t="n">
        <v>0</v>
      </c>
      <c r="G2829" s="11">
        <f>E2829-F2829</f>
        <v/>
      </c>
      <c r="H2829" s="11" t="n">
        <v>0</v>
      </c>
      <c r="I2829" s="11" t="n">
        <v>0</v>
      </c>
      <c r="J2829" s="11" t="n">
        <v>0</v>
      </c>
      <c r="K2829" s="4" t="inlineStr">
        <is>
          <t>Stundensätze eingeben</t>
        </is>
      </c>
    </row>
    <row r="2830">
      <c r="A2830" s="4" t="inlineStr">
        <is>
          <t>6334.01 NAT01-BSK-Marktplatz-1-Ebrach-Justizvollzugsanstalt</t>
        </is>
      </c>
      <c r="B2830" s="4" t="inlineStr">
        <is>
          <t>● (p) Pos.3 - Vorlage Statiker</t>
        </is>
      </c>
      <c r="C2830" s="4" t="inlineStr">
        <is>
          <t>Pauschale</t>
        </is>
      </c>
      <c r="D2830" s="10" t="inlineStr">
        <is>
          <t>⚠ Manual erforderlich</t>
        </is>
      </c>
      <c r="E2830" s="11" t="inlineStr"/>
      <c r="F2830" s="11" t="n">
        <v>0</v>
      </c>
      <c r="G2830" s="11">
        <f>E2830-F2830</f>
        <v/>
      </c>
      <c r="H2830" s="11" t="n">
        <v>0</v>
      </c>
      <c r="I2830" s="11" t="n">
        <v>0</v>
      </c>
      <c r="J2830" s="11" t="n">
        <v>0</v>
      </c>
      <c r="K2830" s="4" t="inlineStr">
        <is>
          <t>Stundensätze eingeben</t>
        </is>
      </c>
    </row>
    <row r="2831">
      <c r="A2831" s="4" t="inlineStr">
        <is>
          <t>6334.01 NAT01-BSK-Marktplatz-1-Ebrach-Justizvollzugsanstalt</t>
        </is>
      </c>
      <c r="B2831" s="4" t="inlineStr">
        <is>
          <t>● (a.N.) Pos. 4 - Brandschutztechn. Beratung</t>
        </is>
      </c>
      <c r="C2831" s="4" t="inlineStr">
        <is>
          <t>Nachweis</t>
        </is>
      </c>
      <c r="D2831" s="10" t="inlineStr">
        <is>
          <t>⚠ Manual erforderlich</t>
        </is>
      </c>
      <c r="E2831" s="11" t="inlineStr"/>
      <c r="F2831" s="11" t="n">
        <v>0</v>
      </c>
      <c r="G2831" s="11">
        <f>E2831-F2831</f>
        <v/>
      </c>
      <c r="H2831" s="11" t="n">
        <v/>
      </c>
      <c r="I2831" s="11" t="n">
        <v/>
      </c>
      <c r="J2831" s="11" t="n">
        <v/>
      </c>
      <c r="K2831" s="4" t="inlineStr">
        <is>
          <t>Stundensätze eingeben</t>
        </is>
      </c>
    </row>
    <row r="2832">
      <c r="A2832" s="4" t="inlineStr">
        <is>
          <t>6334.01 NAT01-BSK-Marktplatz-1-Ebrach-Justizvollzugsanstalt</t>
        </is>
      </c>
      <c r="B2832" s="4" t="inlineStr">
        <is>
          <t>● (a.N.) Ortstermine (5) inkl. an- und Abfahrt</t>
        </is>
      </c>
      <c r="C2832" s="4" t="inlineStr">
        <is>
          <t>Nachweis</t>
        </is>
      </c>
      <c r="D2832" s="10" t="inlineStr">
        <is>
          <t>⚠ Manual erforderlich</t>
        </is>
      </c>
      <c r="E2832" s="11" t="inlineStr"/>
      <c r="F2832" s="11" t="n">
        <v>0</v>
      </c>
      <c r="G2832" s="11">
        <f>E2832-F2832</f>
        <v/>
      </c>
      <c r="H2832" s="11" t="n">
        <v/>
      </c>
      <c r="I2832" s="11" t="n">
        <v/>
      </c>
      <c r="J2832" s="11" t="n">
        <v/>
      </c>
      <c r="K2832" s="4" t="inlineStr">
        <is>
          <t>Stundensätze eingeben</t>
        </is>
      </c>
    </row>
    <row r="2833">
      <c r="A2833" s="4" t="inlineStr">
        <is>
          <t>6334.01 NAT01-BSK-Marktplatz-1-Ebrach-Justizvollzugsanstalt</t>
        </is>
      </c>
      <c r="B2833" s="4" t="inlineStr">
        <is>
          <t>● (p) Pos.6 - Einarbeitung der 4. Teilbaumaßnahme in ganzheitliches Brandschutzkonzept</t>
        </is>
      </c>
      <c r="C2833" s="4" t="inlineStr">
        <is>
          <t>Pauschale</t>
        </is>
      </c>
      <c r="D2833" s="10" t="inlineStr">
        <is>
          <t>⚠ Manual erforderlich</t>
        </is>
      </c>
      <c r="E2833" s="11" t="inlineStr"/>
      <c r="F2833" s="11" t="n">
        <v>0</v>
      </c>
      <c r="G2833" s="11">
        <f>E2833-F2833</f>
        <v/>
      </c>
      <c r="H2833" s="11" t="n">
        <v>0</v>
      </c>
      <c r="I2833" s="11" t="n">
        <v>0</v>
      </c>
      <c r="J2833" s="11" t="n">
        <v>0</v>
      </c>
      <c r="K2833" s="4" t="inlineStr">
        <is>
          <t>Stundensätze eingeben</t>
        </is>
      </c>
    </row>
    <row r="2834">
      <c r="A2834" s="4" t="inlineStr">
        <is>
          <t>6339 Institute-for-Lung-Health-ILH-Gießen</t>
        </is>
      </c>
      <c r="B2834" s="4" t="inlineStr">
        <is>
          <t>● LP1 GL (pauschal)</t>
        </is>
      </c>
      <c r="C2834" s="9" t="inlineStr">
        <is>
          <t>Unbekannt</t>
        </is>
      </c>
      <c r="D2834" s="10" t="inlineStr">
        <is>
          <t>⚠ Manual erforderlich</t>
        </is>
      </c>
      <c r="E2834" s="11" t="inlineStr"/>
      <c r="F2834" s="11" t="n">
        <v>0</v>
      </c>
      <c r="G2834" s="11">
        <f>E2834-F2834</f>
        <v/>
      </c>
      <c r="H2834" s="11" t="n">
        <v/>
      </c>
      <c r="I2834" s="11" t="n">
        <v/>
      </c>
      <c r="J2834" s="11" t="n">
        <v/>
      </c>
      <c r="K2834" s="4" t="inlineStr">
        <is>
          <t>Abrechnungsart wählen; Stundensätze eingeben</t>
        </is>
      </c>
    </row>
    <row r="2835">
      <c r="A2835" s="4" t="inlineStr">
        <is>
          <t>6339 Institute-for-Lung-Health-ILH-Gießen</t>
        </is>
      </c>
      <c r="B2835" s="4" t="inlineStr">
        <is>
          <t>● LP2 GL (pauschal)</t>
        </is>
      </c>
      <c r="C2835" s="9" t="inlineStr">
        <is>
          <t>Unbekannt</t>
        </is>
      </c>
      <c r="D2835" s="10" t="inlineStr">
        <is>
          <t>⚠ Manual erforderlich</t>
        </is>
      </c>
      <c r="E2835" s="11" t="inlineStr"/>
      <c r="F2835" s="11" t="n">
        <v>0</v>
      </c>
      <c r="G2835" s="11">
        <f>E2835-F2835</f>
        <v/>
      </c>
      <c r="H2835" s="11" t="n">
        <v/>
      </c>
      <c r="I2835" s="11" t="n">
        <v/>
      </c>
      <c r="J2835" s="11" t="n">
        <v/>
      </c>
      <c r="K2835" s="4" t="inlineStr">
        <is>
          <t>Abrechnungsart wählen; Stundensätze eingeben</t>
        </is>
      </c>
    </row>
    <row r="2836">
      <c r="A2836" s="4" t="inlineStr">
        <is>
          <t>6339 Institute-for-Lung-Health-ILH-Gießen</t>
        </is>
      </c>
      <c r="B2836" s="4" t="inlineStr">
        <is>
          <t>● LP2 BL (pauschal)</t>
        </is>
      </c>
      <c r="C2836" s="9" t="inlineStr">
        <is>
          <t>Unbekannt</t>
        </is>
      </c>
      <c r="D2836" s="10" t="inlineStr">
        <is>
          <t>⚠ Manual erforderlich</t>
        </is>
      </c>
      <c r="E2836" s="11" t="inlineStr"/>
      <c r="F2836" s="11" t="n">
        <v>0</v>
      </c>
      <c r="G2836" s="11">
        <f>E2836-F2836</f>
        <v/>
      </c>
      <c r="H2836" s="11" t="n">
        <v/>
      </c>
      <c r="I2836" s="11" t="n">
        <v/>
      </c>
      <c r="J2836" s="11" t="n">
        <v/>
      </c>
      <c r="K2836" s="4" t="inlineStr">
        <is>
          <t>Abrechnungsart wählen; Stundensätze eingeben</t>
        </is>
      </c>
    </row>
    <row r="2837">
      <c r="A2837" s="4" t="inlineStr">
        <is>
          <t>6339 Institute-for-Lung-Health-ILH-Gießen</t>
        </is>
      </c>
      <c r="B2837" s="4" t="inlineStr">
        <is>
          <t>● LP3 GL (pauschal)</t>
        </is>
      </c>
      <c r="C2837" s="9" t="inlineStr">
        <is>
          <t>Unbekannt</t>
        </is>
      </c>
      <c r="D2837" s="10" t="inlineStr">
        <is>
          <t>⚠ Manual erforderlich</t>
        </is>
      </c>
      <c r="E2837" s="11" t="inlineStr"/>
      <c r="F2837" s="11" t="n">
        <v>0</v>
      </c>
      <c r="G2837" s="11">
        <f>E2837-F2837</f>
        <v/>
      </c>
      <c r="H2837" s="11" t="n">
        <v/>
      </c>
      <c r="I2837" s="11" t="n">
        <v/>
      </c>
      <c r="J2837" s="11" t="n">
        <v/>
      </c>
      <c r="K2837" s="4" t="inlineStr">
        <is>
          <t>Abrechnungsart wählen; Stundensätze eingeben</t>
        </is>
      </c>
    </row>
    <row r="2838">
      <c r="A2838" s="4" t="inlineStr">
        <is>
          <t>6339 Institute-for-Lung-Health-ILH-Gießen</t>
        </is>
      </c>
      <c r="B2838" s="4" t="inlineStr">
        <is>
          <t>● LP3 BL (pauschal)</t>
        </is>
      </c>
      <c r="C2838" s="9" t="inlineStr">
        <is>
          <t>Unbekannt</t>
        </is>
      </c>
      <c r="D2838" s="10" t="inlineStr">
        <is>
          <t>⚠ Manual erforderlich</t>
        </is>
      </c>
      <c r="E2838" s="11" t="inlineStr"/>
      <c r="F2838" s="11" t="n">
        <v>0</v>
      </c>
      <c r="G2838" s="11">
        <f>E2838-F2838</f>
        <v/>
      </c>
      <c r="H2838" s="11" t="n">
        <v/>
      </c>
      <c r="I2838" s="11" t="n">
        <v/>
      </c>
      <c r="J2838" s="11" t="n">
        <v/>
      </c>
      <c r="K2838" s="4" t="inlineStr">
        <is>
          <t>Abrechnungsart wählen; Stundensätze eingeben</t>
        </is>
      </c>
    </row>
    <row r="2839">
      <c r="A2839" s="4" t="inlineStr">
        <is>
          <t>6339 Institute-for-Lung-Health-ILH-Gießen</t>
        </is>
      </c>
      <c r="B2839" s="4" t="inlineStr">
        <is>
          <t>● LP4 GL (pauschal)</t>
        </is>
      </c>
      <c r="C2839" s="9" t="inlineStr">
        <is>
          <t>Unbekannt</t>
        </is>
      </c>
      <c r="D2839" s="10" t="inlineStr">
        <is>
          <t>⚠ Manual erforderlich</t>
        </is>
      </c>
      <c r="E2839" s="11" t="inlineStr"/>
      <c r="F2839" s="11" t="n">
        <v>0</v>
      </c>
      <c r="G2839" s="11">
        <f>E2839-F2839</f>
        <v/>
      </c>
      <c r="H2839" s="11" t="n">
        <v/>
      </c>
      <c r="I2839" s="11" t="n">
        <v/>
      </c>
      <c r="J2839" s="11" t="n">
        <v/>
      </c>
      <c r="K2839" s="4" t="inlineStr">
        <is>
          <t>Abrechnungsart wählen; Stundensätze eingeben</t>
        </is>
      </c>
    </row>
    <row r="2840">
      <c r="A2840" s="4" t="inlineStr">
        <is>
          <t>6339 Institute-for-Lung-Health-ILH-Gießen</t>
        </is>
      </c>
      <c r="B2840" s="4" t="inlineStr">
        <is>
          <t>● LP4 BL (pauschal)</t>
        </is>
      </c>
      <c r="C2840" s="9" t="inlineStr">
        <is>
          <t>Unbekannt</t>
        </is>
      </c>
      <c r="D2840" s="10" t="inlineStr">
        <is>
          <t>⚠ Manual erforderlich</t>
        </is>
      </c>
      <c r="E2840" s="11" t="inlineStr"/>
      <c r="F2840" s="11" t="n">
        <v>0</v>
      </c>
      <c r="G2840" s="11">
        <f>E2840-F2840</f>
        <v/>
      </c>
      <c r="H2840" s="11" t="n">
        <v/>
      </c>
      <c r="I2840" s="11" t="n">
        <v/>
      </c>
      <c r="J2840" s="11" t="n">
        <v/>
      </c>
      <c r="K2840" s="4" t="inlineStr">
        <is>
          <t>Abrechnungsart wählen; Stundensätze eingeben</t>
        </is>
      </c>
    </row>
    <row r="2841">
      <c r="A2841" s="4" t="inlineStr">
        <is>
          <t>6339 Institute-for-Lung-Health-ILH-Gießen</t>
        </is>
      </c>
      <c r="B2841" s="4" t="inlineStr">
        <is>
          <t>● LP 5 GL (pauschal)</t>
        </is>
      </c>
      <c r="C2841" s="9" t="inlineStr">
        <is>
          <t>Unbekannt</t>
        </is>
      </c>
      <c r="D2841" s="10" t="inlineStr">
        <is>
          <t>⚠ Manual erforderlich</t>
        </is>
      </c>
      <c r="E2841" s="11" t="inlineStr"/>
      <c r="F2841" s="11" t="n">
        <v>0</v>
      </c>
      <c r="G2841" s="11">
        <f>E2841-F2841</f>
        <v/>
      </c>
      <c r="H2841" s="11" t="n">
        <v/>
      </c>
      <c r="I2841" s="11" t="n">
        <v/>
      </c>
      <c r="J2841" s="11" t="n">
        <v/>
      </c>
      <c r="K2841" s="4" t="inlineStr">
        <is>
          <t>Abrechnungsart wählen; Stundensätze eingeben</t>
        </is>
      </c>
    </row>
    <row r="2842">
      <c r="A2842" s="4" t="inlineStr">
        <is>
          <t>6339 Institute-for-Lung-Health-ILH-Gießen</t>
        </is>
      </c>
      <c r="B2842" s="4" t="inlineStr">
        <is>
          <t>● (p) LP 5 BL</t>
        </is>
      </c>
      <c r="C2842" s="4" t="inlineStr">
        <is>
          <t>Pauschale</t>
        </is>
      </c>
      <c r="D2842" s="10" t="inlineStr">
        <is>
          <t>⚠ Manual erforderlich</t>
        </is>
      </c>
      <c r="E2842" s="11" t="inlineStr"/>
      <c r="F2842" s="11" t="n">
        <v>0</v>
      </c>
      <c r="G2842" s="11">
        <f>E2842-F2842</f>
        <v/>
      </c>
      <c r="H2842" s="11" t="n">
        <v>0</v>
      </c>
      <c r="I2842" s="11" t="n">
        <v>0</v>
      </c>
      <c r="J2842" s="11" t="n">
        <v>0</v>
      </c>
      <c r="K2842" s="4" t="inlineStr">
        <is>
          <t>Stundensätze eingeben</t>
        </is>
      </c>
    </row>
    <row r="2843">
      <c r="A2843" s="4" t="inlineStr">
        <is>
          <t>6339 Institute-for-Lung-Health-ILH-Gießen</t>
        </is>
      </c>
      <c r="B2843" s="4" t="inlineStr">
        <is>
          <t>● LP 8 GL (pauschal)</t>
        </is>
      </c>
      <c r="C2843" s="9" t="inlineStr">
        <is>
          <t>Unbekannt</t>
        </is>
      </c>
      <c r="D2843" s="10" t="inlineStr">
        <is>
          <t>⚠ Manual erforderlich</t>
        </is>
      </c>
      <c r="E2843" s="11" t="inlineStr"/>
      <c r="F2843" s="11" t="n">
        <v>0</v>
      </c>
      <c r="G2843" s="11">
        <f>E2843-F2843</f>
        <v/>
      </c>
      <c r="H2843" s="11" t="n">
        <v/>
      </c>
      <c r="I2843" s="11" t="n">
        <v/>
      </c>
      <c r="J2843" s="11" t="n">
        <v/>
      </c>
      <c r="K2843" s="4" t="inlineStr">
        <is>
          <t>Abrechnungsart wählen; Stundensätze eingeben</t>
        </is>
      </c>
    </row>
    <row r="2844">
      <c r="A2844" s="4" t="inlineStr">
        <is>
          <t>6339 Institute-for-Lung-Health-ILH-Gießen</t>
        </is>
      </c>
      <c r="B2844" s="4" t="inlineStr">
        <is>
          <t>● LP 8 BL (pauschal)</t>
        </is>
      </c>
      <c r="C2844" s="9" t="inlineStr">
        <is>
          <t>Unbekannt</t>
        </is>
      </c>
      <c r="D2844" s="10" t="inlineStr">
        <is>
          <t>⚠ Manual erforderlich</t>
        </is>
      </c>
      <c r="E2844" s="11" t="inlineStr"/>
      <c r="F2844" s="11" t="n">
        <v>0</v>
      </c>
      <c r="G2844" s="11">
        <f>E2844-F2844</f>
        <v/>
      </c>
      <c r="H2844" s="11" t="n">
        <v/>
      </c>
      <c r="I2844" s="11" t="n">
        <v/>
      </c>
      <c r="J2844" s="11" t="n">
        <v/>
      </c>
      <c r="K2844" s="4" t="inlineStr">
        <is>
          <t>Abrechnungsart wählen; Stundensätze eingeben</t>
        </is>
      </c>
    </row>
    <row r="2845">
      <c r="A2845" s="4" t="inlineStr">
        <is>
          <t>6341 Geb-07752-Wiesbaden-Housing-Area-Hainerberg</t>
        </is>
      </c>
      <c r="B2845" s="4" t="inlineStr">
        <is>
          <t>● (p) LP2 GL Vorplanung</t>
        </is>
      </c>
      <c r="C2845" s="4" t="inlineStr">
        <is>
          <t>Pauschale</t>
        </is>
      </c>
      <c r="D2845" s="10" t="inlineStr">
        <is>
          <t>⚠ Manual erforderlich</t>
        </is>
      </c>
      <c r="E2845" s="11" t="inlineStr"/>
      <c r="F2845" s="11" t="n">
        <v>0</v>
      </c>
      <c r="G2845" s="11">
        <f>E2845-F2845</f>
        <v/>
      </c>
      <c r="H2845" s="11" t="n">
        <v>0</v>
      </c>
      <c r="I2845" s="11" t="n">
        <v>0</v>
      </c>
      <c r="J2845" s="11" t="n">
        <v>0</v>
      </c>
      <c r="K2845" s="4" t="inlineStr">
        <is>
          <t>Stundensätze eingeben</t>
        </is>
      </c>
    </row>
    <row r="2846">
      <c r="A2846" s="4" t="inlineStr">
        <is>
          <t>6341 Geb-07752-Wiesbaden-Housing-Area-Hainerberg</t>
        </is>
      </c>
      <c r="B2846" s="4" t="inlineStr">
        <is>
          <t>● (p) LP3 Entwurfsplanung</t>
        </is>
      </c>
      <c r="C2846" s="4" t="inlineStr">
        <is>
          <t>Pauschale</t>
        </is>
      </c>
      <c r="D2846" s="10" t="inlineStr">
        <is>
          <t>⚠ Manual erforderlich</t>
        </is>
      </c>
      <c r="E2846" s="11" t="inlineStr"/>
      <c r="F2846" s="11" t="n">
        <v>0</v>
      </c>
      <c r="G2846" s="11">
        <f>E2846-F2846</f>
        <v/>
      </c>
      <c r="H2846" s="11" t="n">
        <v>0</v>
      </c>
      <c r="I2846" s="11" t="n">
        <v>0</v>
      </c>
      <c r="J2846" s="11" t="n">
        <v>0</v>
      </c>
      <c r="K2846" s="4" t="inlineStr">
        <is>
          <t>Stundensätze eingeben</t>
        </is>
      </c>
    </row>
    <row r="2847">
      <c r="A2847" s="4" t="inlineStr">
        <is>
          <t>6341 Geb-07752-Wiesbaden-Housing-Area-Hainerberg</t>
        </is>
      </c>
      <c r="B2847" s="4" t="inlineStr">
        <is>
          <t>● (p) LP4 Genehmigungsplanung</t>
        </is>
      </c>
      <c r="C2847" s="4" t="inlineStr">
        <is>
          <t>Pauschale</t>
        </is>
      </c>
      <c r="D2847" s="10" t="inlineStr">
        <is>
          <t>⚠ Manual erforderlich</t>
        </is>
      </c>
      <c r="E2847" s="11" t="inlineStr"/>
      <c r="F2847" s="11" t="n">
        <v>0</v>
      </c>
      <c r="G2847" s="11">
        <f>E2847-F2847</f>
        <v/>
      </c>
      <c r="H2847" s="11" t="n">
        <v>0</v>
      </c>
      <c r="I2847" s="11" t="n">
        <v>0</v>
      </c>
      <c r="J2847" s="11" t="n">
        <v>0</v>
      </c>
      <c r="K2847" s="4" t="inlineStr">
        <is>
          <t>Stundensätze eingeben</t>
        </is>
      </c>
    </row>
    <row r="2848">
      <c r="A2848" s="4" t="inlineStr">
        <is>
          <t>6341 Geb-07752-Wiesbaden-Housing-Area-Hainerberg</t>
        </is>
      </c>
      <c r="B2848" s="4" t="inlineStr">
        <is>
          <t>● (p) LP 5 Ausführungsplanung</t>
        </is>
      </c>
      <c r="C2848" s="4" t="inlineStr">
        <is>
          <t>Pauschale</t>
        </is>
      </c>
      <c r="D2848" s="10" t="inlineStr">
        <is>
          <t>⚠ Manual erforderlich</t>
        </is>
      </c>
      <c r="E2848" s="11" t="inlineStr"/>
      <c r="F2848" s="11" t="n">
        <v>0</v>
      </c>
      <c r="G2848" s="11">
        <f>E2848-F2848</f>
        <v/>
      </c>
      <c r="H2848" s="11" t="n">
        <v>0</v>
      </c>
      <c r="I2848" s="11" t="n">
        <v>0</v>
      </c>
      <c r="J2848" s="11" t="n">
        <v>0</v>
      </c>
      <c r="K2848" s="4" t="inlineStr">
        <is>
          <t>Stundensätze eingeben</t>
        </is>
      </c>
    </row>
    <row r="2849">
      <c r="A2849" s="4" t="inlineStr">
        <is>
          <t>6342 Rathausplatz-20-Ludwigshafen-Rathaus-Center-Rückbau</t>
        </is>
      </c>
      <c r="B2849" s="4" t="inlineStr">
        <is>
          <t>● Beratung Rückbau (auf Nachweis)</t>
        </is>
      </c>
      <c r="C2849" s="9" t="inlineStr">
        <is>
          <t>Unbekannt</t>
        </is>
      </c>
      <c r="D2849" s="10" t="inlineStr">
        <is>
          <t>⚠ Manual erforderlich</t>
        </is>
      </c>
      <c r="E2849" s="11" t="inlineStr"/>
      <c r="F2849" s="11" t="n">
        <v>0</v>
      </c>
      <c r="G2849" s="11">
        <f>E2849-F2849</f>
        <v/>
      </c>
      <c r="H2849" s="11" t="n">
        <v/>
      </c>
      <c r="I2849" s="11" t="n">
        <v/>
      </c>
      <c r="J2849" s="11" t="n">
        <v/>
      </c>
      <c r="K2849" s="4" t="inlineStr">
        <is>
          <t>Abrechnungsart wählen; Stundensätze eingeben</t>
        </is>
      </c>
    </row>
    <row r="2850">
      <c r="A2850" s="4" t="inlineStr">
        <is>
          <t>6342.01 BSK-Bauzeit-Rathausplatz-20-Ludwigshafen-Rathaus-Center-Rückbau</t>
        </is>
      </c>
      <c r="B2850" s="4" t="inlineStr">
        <is>
          <t>● Beratung + BSK Bauzeit (auf Nachweis)</t>
        </is>
      </c>
      <c r="C2850" s="9" t="inlineStr">
        <is>
          <t>Unbekannt</t>
        </is>
      </c>
      <c r="D2850" s="10" t="inlineStr">
        <is>
          <t>⚠ Manual erforderlich</t>
        </is>
      </c>
      <c r="E2850" s="11" t="inlineStr"/>
      <c r="F2850" s="11" t="n">
        <v>0</v>
      </c>
      <c r="G2850" s="11">
        <f>E2850-F2850</f>
        <v/>
      </c>
      <c r="H2850" s="11" t="n">
        <v/>
      </c>
      <c r="I2850" s="11" t="n">
        <v/>
      </c>
      <c r="J2850" s="11" t="n">
        <v/>
      </c>
      <c r="K2850" s="4" t="inlineStr">
        <is>
          <t>Abrechnungsart wählen; Stundensätze eingeben</t>
        </is>
      </c>
    </row>
    <row r="2851">
      <c r="A2851" s="4" t="inlineStr">
        <is>
          <t>6342.03 BAB-Rathaus-Center-Rathausplatz-20-LU</t>
        </is>
      </c>
      <c r="B2851" s="4" t="inlineStr">
        <is>
          <t>● (aN) BAB + QÜ Baumaßnahme</t>
        </is>
      </c>
      <c r="C2851" s="4" t="inlineStr">
        <is>
          <t>Nachweis</t>
        </is>
      </c>
      <c r="D2851" s="10" t="inlineStr">
        <is>
          <t>⚠ Manual erforderlich</t>
        </is>
      </c>
      <c r="E2851" s="11" t="inlineStr"/>
      <c r="F2851" s="11" t="n">
        <v>0</v>
      </c>
      <c r="G2851" s="11">
        <f>E2851-F2851</f>
        <v/>
      </c>
      <c r="H2851" s="11" t="n">
        <v/>
      </c>
      <c r="I2851" s="11" t="n">
        <v/>
      </c>
      <c r="J2851" s="11" t="n">
        <v/>
      </c>
      <c r="K2851" s="4" t="inlineStr">
        <is>
          <t>Stundensätze eingeben</t>
        </is>
      </c>
    </row>
    <row r="2852">
      <c r="A2852" s="4" t="inlineStr">
        <is>
          <t>6344 Brodenheckstraße-Bitburg-Amtsgericht</t>
        </is>
      </c>
      <c r="B2852" s="4" t="inlineStr">
        <is>
          <t>● 1000-Grundlagenermittlung (pauschal)</t>
        </is>
      </c>
      <c r="C2852" s="9" t="inlineStr">
        <is>
          <t>Unbekannt</t>
        </is>
      </c>
      <c r="D2852" s="10" t="inlineStr">
        <is>
          <t>⚠ Manual erforderlich</t>
        </is>
      </c>
      <c r="E2852" s="11" t="inlineStr"/>
      <c r="F2852" s="11" t="n">
        <v>0</v>
      </c>
      <c r="G2852" s="11">
        <f>E2852-F2852</f>
        <v/>
      </c>
      <c r="H2852" s="11" t="n">
        <v/>
      </c>
      <c r="I2852" s="11" t="n">
        <v/>
      </c>
      <c r="J2852" s="11" t="n">
        <v/>
      </c>
      <c r="K2852" s="4" t="inlineStr">
        <is>
          <t>Abrechnungsart wählen; Stundensätze eingeben</t>
        </is>
      </c>
    </row>
    <row r="2853">
      <c r="A2853" s="4" t="inlineStr">
        <is>
          <t>6344 Brodenheckstraße-Bitburg-Amtsgericht</t>
        </is>
      </c>
      <c r="B2853" s="4" t="inlineStr">
        <is>
          <t>● 2000-Vorplanung (pauschal)</t>
        </is>
      </c>
      <c r="C2853" s="9" t="inlineStr">
        <is>
          <t>Unbekannt</t>
        </is>
      </c>
      <c r="D2853" s="10" t="inlineStr">
        <is>
          <t>⚠ Manual erforderlich</t>
        </is>
      </c>
      <c r="E2853" s="11" t="inlineStr"/>
      <c r="F2853" s="11" t="n">
        <v>0</v>
      </c>
      <c r="G2853" s="11">
        <f>E2853-F2853</f>
        <v/>
      </c>
      <c r="H2853" s="11" t="n">
        <v/>
      </c>
      <c r="I2853" s="11" t="n">
        <v/>
      </c>
      <c r="J2853" s="11" t="n">
        <v/>
      </c>
      <c r="K2853" s="4" t="inlineStr">
        <is>
          <t>Abrechnungsart wählen; Stundensätze eingeben</t>
        </is>
      </c>
    </row>
    <row r="2854">
      <c r="A2854" s="4" t="inlineStr">
        <is>
          <t>6344 Brodenheckstraße-Bitburg-Amtsgericht</t>
        </is>
      </c>
      <c r="B2854" s="4" t="inlineStr">
        <is>
          <t>● LP2 - Leistungen auf Nachweis (auf Nachweis)</t>
        </is>
      </c>
      <c r="C2854" s="9" t="inlineStr">
        <is>
          <t>Unbekannt</t>
        </is>
      </c>
      <c r="D2854" s="10" t="inlineStr">
        <is>
          <t>⚠ Manual erforderlich</t>
        </is>
      </c>
      <c r="E2854" s="11" t="inlineStr"/>
      <c r="F2854" s="11" t="n">
        <v>0</v>
      </c>
      <c r="G2854" s="11">
        <f>E2854-F2854</f>
        <v/>
      </c>
      <c r="H2854" s="11" t="n">
        <v/>
      </c>
      <c r="I2854" s="11" t="n">
        <v/>
      </c>
      <c r="J2854" s="11" t="n">
        <v/>
      </c>
      <c r="K2854" s="4" t="inlineStr">
        <is>
          <t>Abrechnungsart wählen; Stundensätze eingeben</t>
        </is>
      </c>
    </row>
    <row r="2855">
      <c r="A2855" s="4" t="inlineStr">
        <is>
          <t>6344 Brodenheckstraße-Bitburg-Amtsgericht</t>
        </is>
      </c>
      <c r="B2855" s="4" t="inlineStr">
        <is>
          <t>● 3000-Entwurfsplanung (pauschal)</t>
        </is>
      </c>
      <c r="C2855" s="9" t="inlineStr">
        <is>
          <t>Unbekannt</t>
        </is>
      </c>
      <c r="D2855" s="10" t="inlineStr">
        <is>
          <t>⚠ Manual erforderlich</t>
        </is>
      </c>
      <c r="E2855" s="11" t="inlineStr"/>
      <c r="F2855" s="11" t="n">
        <v>0</v>
      </c>
      <c r="G2855" s="11">
        <f>E2855-F2855</f>
        <v/>
      </c>
      <c r="H2855" s="11" t="n">
        <v/>
      </c>
      <c r="I2855" s="11" t="n">
        <v/>
      </c>
      <c r="J2855" s="11" t="n">
        <v/>
      </c>
      <c r="K2855" s="4" t="inlineStr">
        <is>
          <t>Abrechnungsart wählen; Stundensätze eingeben</t>
        </is>
      </c>
    </row>
    <row r="2856">
      <c r="A2856" s="4" t="inlineStr">
        <is>
          <t>6344 Brodenheckstraße-Bitburg-Amtsgericht</t>
        </is>
      </c>
      <c r="B2856" s="4" t="inlineStr">
        <is>
          <t>● LP3 - Leistungen auf Nachweis (auf Nachweis)</t>
        </is>
      </c>
      <c r="C2856" s="9" t="inlineStr">
        <is>
          <t>Unbekannt</t>
        </is>
      </c>
      <c r="D2856" s="10" t="inlineStr">
        <is>
          <t>⚠ Manual erforderlich</t>
        </is>
      </c>
      <c r="E2856" s="11" t="inlineStr"/>
      <c r="F2856" s="11" t="n">
        <v>0</v>
      </c>
      <c r="G2856" s="11">
        <f>E2856-F2856</f>
        <v/>
      </c>
      <c r="H2856" s="11" t="n">
        <v/>
      </c>
      <c r="I2856" s="11" t="n">
        <v/>
      </c>
      <c r="J2856" s="11" t="n">
        <v/>
      </c>
      <c r="K2856" s="4" t="inlineStr">
        <is>
          <t>Abrechnungsart wählen; Stundensätze eingeben</t>
        </is>
      </c>
    </row>
    <row r="2857">
      <c r="A2857" s="4" t="inlineStr">
        <is>
          <t>6344 Brodenheckstraße-Bitburg-Amtsgericht</t>
        </is>
      </c>
      <c r="B2857" s="4" t="inlineStr">
        <is>
          <t>● 4000-Genehmigungsplanung (pauschal)</t>
        </is>
      </c>
      <c r="C2857" s="9" t="inlineStr">
        <is>
          <t>Unbekannt</t>
        </is>
      </c>
      <c r="D2857" s="10" t="inlineStr">
        <is>
          <t>⚠ Manual erforderlich</t>
        </is>
      </c>
      <c r="E2857" s="11" t="inlineStr"/>
      <c r="F2857" s="11" t="n">
        <v>0</v>
      </c>
      <c r="G2857" s="11">
        <f>E2857-F2857</f>
        <v/>
      </c>
      <c r="H2857" s="11" t="n">
        <v/>
      </c>
      <c r="I2857" s="11" t="n">
        <v/>
      </c>
      <c r="J2857" s="11" t="n">
        <v/>
      </c>
      <c r="K2857" s="4" t="inlineStr">
        <is>
          <t>Abrechnungsart wählen; Stundensätze eingeben</t>
        </is>
      </c>
    </row>
    <row r="2858">
      <c r="A2858" s="4" t="inlineStr">
        <is>
          <t>6344 Brodenheckstraße-Bitburg-Amtsgericht</t>
        </is>
      </c>
      <c r="B2858" s="4" t="inlineStr">
        <is>
          <t>● (p.) Wdh. LP 2 GL</t>
        </is>
      </c>
      <c r="C2858" s="9" t="inlineStr">
        <is>
          <t>Unbekannt</t>
        </is>
      </c>
      <c r="D2858" s="10" t="inlineStr">
        <is>
          <t>⚠ Manual erforderlich</t>
        </is>
      </c>
      <c r="E2858" s="11" t="inlineStr"/>
      <c r="F2858" s="11" t="n">
        <v>0</v>
      </c>
      <c r="G2858" s="11">
        <f>E2858-F2858</f>
        <v/>
      </c>
      <c r="H2858" s="11" t="n">
        <v/>
      </c>
      <c r="I2858" s="11" t="n">
        <v/>
      </c>
      <c r="J2858" s="11" t="n">
        <v/>
      </c>
      <c r="K2858" s="4" t="inlineStr">
        <is>
          <t>Abrechnungsart wählen; Stundensätze eingeben</t>
        </is>
      </c>
    </row>
    <row r="2859">
      <c r="A2859" s="4" t="inlineStr">
        <is>
          <t>6355 Koblenzer-Straße-49-Frankfurt-HPPVO</t>
        </is>
      </c>
      <c r="B2859" s="4" t="inlineStr">
        <is>
          <t>● Prüfen Nachweis (auf Nachweis)</t>
        </is>
      </c>
      <c r="C2859" s="9" t="inlineStr">
        <is>
          <t>Unbekannt</t>
        </is>
      </c>
      <c r="D2859" s="10" t="inlineStr">
        <is>
          <t>⚠ Manual erforderlich</t>
        </is>
      </c>
      <c r="E2859" s="11" t="inlineStr"/>
      <c r="F2859" s="11" t="n">
        <v>0</v>
      </c>
      <c r="G2859" s="11">
        <f>E2859-F2859</f>
        <v/>
      </c>
      <c r="H2859" s="11" t="n">
        <v/>
      </c>
      <c r="I2859" s="11" t="n">
        <v/>
      </c>
      <c r="J2859" s="11" t="n">
        <v/>
      </c>
      <c r="K2859" s="4" t="inlineStr">
        <is>
          <t>Abrechnungsart wählen; Stundensätze eingeben</t>
        </is>
      </c>
    </row>
    <row r="2860">
      <c r="A2860" s="4" t="inlineStr">
        <is>
          <t>6355 Koblenzer-Straße-49-Frankfurt-HPPVO</t>
        </is>
      </c>
      <c r="B2860" s="4" t="inlineStr">
        <is>
          <t>● Überwachen Bauausführung (auf Nachweis)</t>
        </is>
      </c>
      <c r="C2860" s="9" t="inlineStr">
        <is>
          <t>Unbekannt</t>
        </is>
      </c>
      <c r="D2860" s="10" t="inlineStr">
        <is>
          <t>⚠ Manual erforderlich</t>
        </is>
      </c>
      <c r="E2860" s="11" t="inlineStr"/>
      <c r="F2860" s="11" t="n">
        <v>0</v>
      </c>
      <c r="G2860" s="11">
        <f>E2860-F2860</f>
        <v/>
      </c>
      <c r="H2860" s="11" t="n">
        <v/>
      </c>
      <c r="I2860" s="11" t="n">
        <v/>
      </c>
      <c r="J2860" s="11" t="n">
        <v/>
      </c>
      <c r="K2860" s="4" t="inlineStr">
        <is>
          <t>Abrechnungsart wählen; Stundensätze eingeben</t>
        </is>
      </c>
    </row>
    <row r="2861">
      <c r="A2861" s="4" t="inlineStr">
        <is>
          <t>6358 Herzogstraße-4-Frankfurt-KiTa</t>
        </is>
      </c>
      <c r="B2861" s="4" t="inlineStr">
        <is>
          <t>● Beratung (auf Nachweis)</t>
        </is>
      </c>
      <c r="C2861" s="9" t="inlineStr">
        <is>
          <t>Unbekannt</t>
        </is>
      </c>
      <c r="D2861" s="10" t="inlineStr">
        <is>
          <t>⚠ Manual erforderlich</t>
        </is>
      </c>
      <c r="E2861" s="11" t="inlineStr"/>
      <c r="F2861" s="11" t="n">
        <v>0</v>
      </c>
      <c r="G2861" s="11">
        <f>E2861-F2861</f>
        <v/>
      </c>
      <c r="H2861" s="11" t="n">
        <v/>
      </c>
      <c r="I2861" s="11" t="n">
        <v/>
      </c>
      <c r="J2861" s="11" t="n">
        <v/>
      </c>
      <c r="K2861" s="4" t="inlineStr">
        <is>
          <t>Abrechnungsart wählen; Stundensätze eingeben</t>
        </is>
      </c>
    </row>
    <row r="2862">
      <c r="A2862" s="4" t="inlineStr">
        <is>
          <t>6358 Herzogstraße-4-Frankfurt-KiTa</t>
        </is>
      </c>
      <c r="B2862" s="4" t="inlineStr">
        <is>
          <t>● BST (auf Nachweis)</t>
        </is>
      </c>
      <c r="C2862" s="9" t="inlineStr">
        <is>
          <t>Unbekannt</t>
        </is>
      </c>
      <c r="D2862" s="10" t="inlineStr">
        <is>
          <t>⚠ Manual erforderlich</t>
        </is>
      </c>
      <c r="E2862" s="11" t="inlineStr"/>
      <c r="F2862" s="11" t="n">
        <v>0</v>
      </c>
      <c r="G2862" s="11">
        <f>E2862-F2862</f>
        <v/>
      </c>
      <c r="H2862" s="11" t="n">
        <v/>
      </c>
      <c r="I2862" s="11" t="n">
        <v/>
      </c>
      <c r="J2862" s="11" t="n">
        <v/>
      </c>
      <c r="K2862" s="4" t="inlineStr">
        <is>
          <t>Abrechnungsart wählen; Stundensätze eingeben</t>
        </is>
      </c>
    </row>
    <row r="2863">
      <c r="A2863" s="4" t="inlineStr">
        <is>
          <t>6359 Grüneburgweg-23a-Frankfurt-HPPVO</t>
        </is>
      </c>
      <c r="B2863" s="4" t="inlineStr">
        <is>
          <t>● Prüfen Nachweis (auf Nachweis)</t>
        </is>
      </c>
      <c r="C2863" s="9" t="inlineStr">
        <is>
          <t>Unbekannt</t>
        </is>
      </c>
      <c r="D2863" s="10" t="inlineStr">
        <is>
          <t>⚠ Manual erforderlich</t>
        </is>
      </c>
      <c r="E2863" s="11" t="inlineStr"/>
      <c r="F2863" s="11" t="n">
        <v>0</v>
      </c>
      <c r="G2863" s="11">
        <f>E2863-F2863</f>
        <v/>
      </c>
      <c r="H2863" s="11" t="n">
        <v/>
      </c>
      <c r="I2863" s="11" t="n">
        <v/>
      </c>
      <c r="J2863" s="11" t="n">
        <v/>
      </c>
      <c r="K2863" s="4" t="inlineStr">
        <is>
          <t>Abrechnungsart wählen; Stundensätze eingeben</t>
        </is>
      </c>
    </row>
    <row r="2864">
      <c r="A2864" s="4" t="inlineStr">
        <is>
          <t>6359 Grüneburgweg-23a-Frankfurt-HPPVO</t>
        </is>
      </c>
      <c r="B2864" s="4" t="inlineStr">
        <is>
          <t>● Überwachen Bauausführung (auf Nachweis)</t>
        </is>
      </c>
      <c r="C2864" s="9" t="inlineStr">
        <is>
          <t>Unbekannt</t>
        </is>
      </c>
      <c r="D2864" s="10" t="inlineStr">
        <is>
          <t>⚠ Manual erforderlich</t>
        </is>
      </c>
      <c r="E2864" s="11" t="inlineStr"/>
      <c r="F2864" s="11" t="n">
        <v>0</v>
      </c>
      <c r="G2864" s="11">
        <f>E2864-F2864</f>
        <v/>
      </c>
      <c r="H2864" s="11" t="n">
        <v/>
      </c>
      <c r="I2864" s="11" t="n">
        <v/>
      </c>
      <c r="J2864" s="11" t="n">
        <v/>
      </c>
      <c r="K2864" s="4" t="inlineStr">
        <is>
          <t>Abrechnungsart wählen; Stundensätze eingeben</t>
        </is>
      </c>
    </row>
    <row r="2865">
      <c r="A2865" s="4" t="inlineStr">
        <is>
          <t>6365.01 TG-AHO-FrankfurterStr90-Offenbach</t>
        </is>
      </c>
      <c r="B2865" s="4" t="inlineStr">
        <is>
          <t>● (p) Pos. 3 LPH 3 Entwurfsplanung</t>
        </is>
      </c>
      <c r="C2865" s="4" t="inlineStr">
        <is>
          <t>Pauschale</t>
        </is>
      </c>
      <c r="D2865" s="10" t="inlineStr">
        <is>
          <t>⚠ Manual erforderlich</t>
        </is>
      </c>
      <c r="E2865" s="11" t="inlineStr"/>
      <c r="F2865" s="11" t="n">
        <v>0</v>
      </c>
      <c r="G2865" s="11">
        <f>E2865-F2865</f>
        <v/>
      </c>
      <c r="H2865" s="11" t="n">
        <v>0</v>
      </c>
      <c r="I2865" s="11" t="n">
        <v>0</v>
      </c>
      <c r="J2865" s="11" t="n">
        <v>0</v>
      </c>
      <c r="K2865" s="4" t="inlineStr">
        <is>
          <t>Stundensätze eingeben</t>
        </is>
      </c>
    </row>
    <row r="2866">
      <c r="A2866" s="4" t="inlineStr">
        <is>
          <t>6365.01 TG-AHO-FrankfurterStr90-Offenbach</t>
        </is>
      </c>
      <c r="B2866" s="4" t="inlineStr">
        <is>
          <t>● (p) Pos. 4 LPH 4 Genehmigungsplanung</t>
        </is>
      </c>
      <c r="C2866" s="4" t="inlineStr">
        <is>
          <t>Pauschale</t>
        </is>
      </c>
      <c r="D2866" s="10" t="inlineStr">
        <is>
          <t>⚠ Manual erforderlich</t>
        </is>
      </c>
      <c r="E2866" s="11" t="inlineStr"/>
      <c r="F2866" s="11" t="n">
        <v>0</v>
      </c>
      <c r="G2866" s="11">
        <f>E2866-F2866</f>
        <v/>
      </c>
      <c r="H2866" s="11" t="n">
        <v>0</v>
      </c>
      <c r="I2866" s="11" t="n">
        <v>0</v>
      </c>
      <c r="J2866" s="11" t="n">
        <v>0</v>
      </c>
      <c r="K2866" s="4" t="inlineStr">
        <is>
          <t>Stundensätze eingeben</t>
        </is>
      </c>
    </row>
    <row r="2867">
      <c r="A2867" s="4" t="inlineStr">
        <is>
          <t>6365.01 TG-AHO-FrankfurterStr90-Offenbach</t>
        </is>
      </c>
      <c r="B2867" s="4" t="inlineStr">
        <is>
          <t>● (p) Pos. 5 LPH 5 Ausführungsplanung</t>
        </is>
      </c>
      <c r="C2867" s="4" t="inlineStr">
        <is>
          <t>Pauschale</t>
        </is>
      </c>
      <c r="D2867" s="10" t="inlineStr">
        <is>
          <t>⚠ Manual erforderlich</t>
        </is>
      </c>
      <c r="E2867" s="11" t="inlineStr"/>
      <c r="F2867" s="11" t="n">
        <v>0</v>
      </c>
      <c r="G2867" s="11">
        <f>E2867-F2867</f>
        <v/>
      </c>
      <c r="H2867" s="11" t="n">
        <v>0</v>
      </c>
      <c r="I2867" s="11" t="n">
        <v>0</v>
      </c>
      <c r="J2867" s="11" t="n">
        <v>0</v>
      </c>
      <c r="K2867" s="4" t="inlineStr">
        <is>
          <t>Stundensätze eingeben</t>
        </is>
      </c>
    </row>
    <row r="2868">
      <c r="A2868" s="4" t="inlineStr">
        <is>
          <t>6365.01 TG-AHO-FrankfurterStr90-Offenbach</t>
        </is>
      </c>
      <c r="B2868" s="4" t="inlineStr">
        <is>
          <t>● (p) Pos. 8 LPH 8 Objektüberwachung</t>
        </is>
      </c>
      <c r="C2868" s="4" t="inlineStr">
        <is>
          <t>Pauschale</t>
        </is>
      </c>
      <c r="D2868" s="10" t="inlineStr">
        <is>
          <t>⚠ Manual erforderlich</t>
        </is>
      </c>
      <c r="E2868" s="11" t="inlineStr"/>
      <c r="F2868" s="11" t="n">
        <v>0</v>
      </c>
      <c r="G2868" s="11">
        <f>E2868-F2868</f>
        <v/>
      </c>
      <c r="H2868" s="11" t="n">
        <v>0</v>
      </c>
      <c r="I2868" s="11" t="n">
        <v>0</v>
      </c>
      <c r="J2868" s="11" t="n">
        <v>0</v>
      </c>
      <c r="K2868" s="4" t="inlineStr">
        <is>
          <t>Stundensätze eingeben</t>
        </is>
      </c>
    </row>
    <row r="2869">
      <c r="A2869" s="4" t="inlineStr">
        <is>
          <t>6365.01 TG-AHO-FrankfurterStr90-Offenbach</t>
        </is>
      </c>
      <c r="B2869" s="4" t="inlineStr">
        <is>
          <t>● (p) Pos. 9 LPH 9 Erstellung von Feuerwehrplänen</t>
        </is>
      </c>
      <c r="C2869" s="4" t="inlineStr">
        <is>
          <t>Pauschale</t>
        </is>
      </c>
      <c r="D2869" s="10" t="inlineStr">
        <is>
          <t>⚠ Manual erforderlich</t>
        </is>
      </c>
      <c r="E2869" s="11" t="inlineStr"/>
      <c r="F2869" s="11" t="n">
        <v>0</v>
      </c>
      <c r="G2869" s="11">
        <f>E2869-F2869</f>
        <v/>
      </c>
      <c r="H2869" s="11" t="n">
        <v>0</v>
      </c>
      <c r="I2869" s="11" t="n">
        <v>0</v>
      </c>
      <c r="J2869" s="11" t="n">
        <v>0</v>
      </c>
      <c r="K2869" s="4" t="inlineStr">
        <is>
          <t>Stundensätze eingeben</t>
        </is>
      </c>
    </row>
    <row r="2870">
      <c r="A2870" s="4" t="inlineStr">
        <is>
          <t>6365.01 TG-AHO-FrankfurterStr90-Offenbach</t>
        </is>
      </c>
      <c r="B2870" s="4" t="inlineStr">
        <is>
          <t>● Pos. 10  LPH 9 Erstellung von Flucht- und Rettungsplänen</t>
        </is>
      </c>
      <c r="C2870" s="9" t="inlineStr">
        <is>
          <t>Unbekannt</t>
        </is>
      </c>
      <c r="D2870" s="10" t="inlineStr">
        <is>
          <t>⚠ Manual erforderlich</t>
        </is>
      </c>
      <c r="E2870" s="11" t="inlineStr"/>
      <c r="F2870" s="11" t="n">
        <v>0</v>
      </c>
      <c r="G2870" s="11">
        <f>E2870-F2870</f>
        <v/>
      </c>
      <c r="H2870" s="11" t="n">
        <v/>
      </c>
      <c r="I2870" s="11" t="n">
        <v/>
      </c>
      <c r="J2870" s="11" t="n">
        <v/>
      </c>
      <c r="K2870" s="4" t="inlineStr">
        <is>
          <t>Abrechnungsart wählen; Stundensätze eingeben</t>
        </is>
      </c>
    </row>
    <row r="2871">
      <c r="A2871" s="4" t="inlineStr">
        <is>
          <t>6365.01 TG-AHO-FrankfurterStr90-Offenbach</t>
        </is>
      </c>
      <c r="B2871" s="4" t="inlineStr">
        <is>
          <t>● Auftragserweiterung per eMail 24-12-30</t>
        </is>
      </c>
      <c r="C2871" s="9" t="inlineStr">
        <is>
          <t>Unbekannt</t>
        </is>
      </c>
      <c r="D2871" s="10" t="inlineStr">
        <is>
          <t>⚠ Manual erforderlich</t>
        </is>
      </c>
      <c r="E2871" s="11" t="inlineStr"/>
      <c r="F2871" s="11" t="n">
        <v>0</v>
      </c>
      <c r="G2871" s="11">
        <f>E2871-F2871</f>
        <v/>
      </c>
      <c r="H2871" s="11" t="n">
        <v/>
      </c>
      <c r="I2871" s="11" t="n">
        <v/>
      </c>
      <c r="J2871" s="11" t="n">
        <v/>
      </c>
      <c r="K2871" s="4" t="inlineStr">
        <is>
          <t>Abrechnungsart wählen; Stundensätze eingeben</t>
        </is>
      </c>
    </row>
    <row r="2872">
      <c r="A2872" s="4" t="inlineStr">
        <is>
          <t>6365.02 FrankfurterStr90-Offenbach-IHK-BTB</t>
        </is>
      </c>
      <c r="B2872" s="4" t="inlineStr">
        <is>
          <t>● (a.N.) Auftragserweiterung per Mail vom 25.06.2024</t>
        </is>
      </c>
      <c r="C2872" s="4" t="inlineStr">
        <is>
          <t>Nachweis</t>
        </is>
      </c>
      <c r="D2872" s="10" t="inlineStr">
        <is>
          <t>⚠ Manual erforderlich</t>
        </is>
      </c>
      <c r="E2872" s="11" t="inlineStr"/>
      <c r="F2872" s="11" t="n">
        <v>0</v>
      </c>
      <c r="G2872" s="11">
        <f>E2872-F2872</f>
        <v/>
      </c>
      <c r="H2872" s="11" t="n">
        <v/>
      </c>
      <c r="I2872" s="11" t="n">
        <v/>
      </c>
      <c r="J2872" s="11" t="n">
        <v/>
      </c>
      <c r="K2872" s="4" t="inlineStr">
        <is>
          <t>Stundensätze eingeben</t>
        </is>
      </c>
    </row>
    <row r="2873">
      <c r="A2873" s="4" t="inlineStr">
        <is>
          <t>6373 Uniklinik-Frankfurt-Haus-23-Umbau-OP</t>
        </is>
      </c>
      <c r="B2873" s="4" t="inlineStr">
        <is>
          <t>● (p) 1000-Grundlagenermittlung BL</t>
        </is>
      </c>
      <c r="C2873" s="4" t="inlineStr">
        <is>
          <t>Pauschale</t>
        </is>
      </c>
      <c r="D2873" s="10" t="inlineStr">
        <is>
          <t>⚠ Manual erforderlich</t>
        </is>
      </c>
      <c r="E2873" s="11" t="inlineStr"/>
      <c r="F2873" s="11" t="n">
        <v>0</v>
      </c>
      <c r="G2873" s="11">
        <f>E2873-F2873</f>
        <v/>
      </c>
      <c r="H2873" s="11" t="n">
        <v>0</v>
      </c>
      <c r="I2873" s="11" t="n">
        <v>0</v>
      </c>
      <c r="J2873" s="11" t="n">
        <v>0</v>
      </c>
      <c r="K2873" s="4" t="inlineStr">
        <is>
          <t>Stundensätze eingeben</t>
        </is>
      </c>
    </row>
    <row r="2874">
      <c r="A2874" s="4" t="inlineStr">
        <is>
          <t>6373 Uniklinik-Frankfurt-Haus-23-Umbau-OP</t>
        </is>
      </c>
      <c r="B2874" s="4" t="inlineStr">
        <is>
          <t>● (p) 2000-Vorplanung - GL</t>
        </is>
      </c>
      <c r="C2874" s="4" t="inlineStr">
        <is>
          <t>Pauschale</t>
        </is>
      </c>
      <c r="D2874" s="10" t="inlineStr">
        <is>
          <t>⚠ Manual erforderlich</t>
        </is>
      </c>
      <c r="E2874" s="11" t="inlineStr"/>
      <c r="F2874" s="11" t="n">
        <v>0</v>
      </c>
      <c r="G2874" s="11">
        <f>E2874-F2874</f>
        <v/>
      </c>
      <c r="H2874" s="11" t="n">
        <v>0</v>
      </c>
      <c r="I2874" s="11" t="n">
        <v>0</v>
      </c>
      <c r="J2874" s="11" t="n">
        <v>0</v>
      </c>
      <c r="K2874" s="4" t="inlineStr">
        <is>
          <t>Stundensätze eingeben</t>
        </is>
      </c>
    </row>
    <row r="2875">
      <c r="A2875" s="4" t="inlineStr">
        <is>
          <t>6373 Uniklinik-Frankfurt-Haus-23-Umbau-OP</t>
        </is>
      </c>
      <c r="B2875" s="4" t="inlineStr">
        <is>
          <t>● (p) 2000-Vorplanung Wiederholung GL</t>
        </is>
      </c>
      <c r="C2875" s="4" t="inlineStr">
        <is>
          <t>Pauschale</t>
        </is>
      </c>
      <c r="D2875" s="10" t="inlineStr">
        <is>
          <t>⚠ Manual erforderlich</t>
        </is>
      </c>
      <c r="E2875" s="11" t="inlineStr"/>
      <c r="F2875" s="11" t="n">
        <v>0</v>
      </c>
      <c r="G2875" s="11">
        <f>E2875-F2875</f>
        <v/>
      </c>
      <c r="H2875" s="11" t="n">
        <v>0</v>
      </c>
      <c r="I2875" s="11" t="n">
        <v>0</v>
      </c>
      <c r="J2875" s="11" t="n">
        <v>0</v>
      </c>
      <c r="K2875" s="4" t="inlineStr">
        <is>
          <t>Stundensätze eingeben</t>
        </is>
      </c>
    </row>
    <row r="2876">
      <c r="A2876" s="4" t="inlineStr">
        <is>
          <t>6373 Uniklinik-Frankfurt-Haus-23-Umbau-OP</t>
        </is>
      </c>
      <c r="B2876" s="4" t="inlineStr">
        <is>
          <t>● (p) 2000-Vorplanung BL - Evakuierungskonzept</t>
        </is>
      </c>
      <c r="C2876" s="4" t="inlineStr">
        <is>
          <t>Pauschale</t>
        </is>
      </c>
      <c r="D2876" s="10" t="inlineStr">
        <is>
          <t>⚠ Manual erforderlich</t>
        </is>
      </c>
      <c r="E2876" s="11" t="inlineStr"/>
      <c r="F2876" s="11" t="n">
        <v>0</v>
      </c>
      <c r="G2876" s="11">
        <f>E2876-F2876</f>
        <v/>
      </c>
      <c r="H2876" s="11" t="n">
        <v>0</v>
      </c>
      <c r="I2876" s="11" t="n">
        <v>0</v>
      </c>
      <c r="J2876" s="11" t="n">
        <v>0</v>
      </c>
      <c r="K2876" s="4" t="inlineStr">
        <is>
          <t>Stundensätze eingeben</t>
        </is>
      </c>
    </row>
    <row r="2877">
      <c r="A2877" s="4" t="inlineStr">
        <is>
          <t>6373 Uniklinik-Frankfurt-Haus-23-Umbau-OP</t>
        </is>
      </c>
      <c r="B2877" s="4" t="inlineStr">
        <is>
          <t>● (p) 3000-Entwurfsplanung - GL</t>
        </is>
      </c>
      <c r="C2877" s="4" t="inlineStr">
        <is>
          <t>Pauschale</t>
        </is>
      </c>
      <c r="D2877" s="10" t="inlineStr">
        <is>
          <t>⚠ Manual erforderlich</t>
        </is>
      </c>
      <c r="E2877" s="11" t="inlineStr"/>
      <c r="F2877" s="11" t="n">
        <v>0</v>
      </c>
      <c r="G2877" s="11">
        <f>E2877-F2877</f>
        <v/>
      </c>
      <c r="H2877" s="11" t="n">
        <v>0</v>
      </c>
      <c r="I2877" s="11" t="n">
        <v>0</v>
      </c>
      <c r="J2877" s="11" t="n">
        <v>0</v>
      </c>
      <c r="K2877" s="4" t="inlineStr">
        <is>
          <t>Stundensätze eingeben</t>
        </is>
      </c>
    </row>
    <row r="2878">
      <c r="A2878" s="4" t="inlineStr">
        <is>
          <t>6373 Uniklinik-Frankfurt-Haus-23-Umbau-OP</t>
        </is>
      </c>
      <c r="B2878" s="4" t="inlineStr">
        <is>
          <t>● (p) 4000-Genehmigungsplanung - GL</t>
        </is>
      </c>
      <c r="C2878" s="4" t="inlineStr">
        <is>
          <t>Pauschale</t>
        </is>
      </c>
      <c r="D2878" s="10" t="inlineStr">
        <is>
          <t>⚠ Manual erforderlich</t>
        </is>
      </c>
      <c r="E2878" s="11" t="inlineStr"/>
      <c r="F2878" s="11" t="n">
        <v>0</v>
      </c>
      <c r="G2878" s="11">
        <f>E2878-F2878</f>
        <v/>
      </c>
      <c r="H2878" s="11" t="n">
        <v>0</v>
      </c>
      <c r="I2878" s="11" t="n">
        <v>0</v>
      </c>
      <c r="J2878" s="11" t="n">
        <v>0</v>
      </c>
      <c r="K2878" s="4" t="inlineStr">
        <is>
          <t>Stundensätze eingeben</t>
        </is>
      </c>
    </row>
    <row r="2879">
      <c r="A2879" s="4" t="inlineStr">
        <is>
          <t>6373 Uniklinik-Frankfurt-Haus-23-Umbau-OP</t>
        </is>
      </c>
      <c r="B2879" s="4" t="inlineStr">
        <is>
          <t>● (p) 5000-Ausführungsplanung GL</t>
        </is>
      </c>
      <c r="C2879" s="4" t="inlineStr">
        <is>
          <t>Pauschale</t>
        </is>
      </c>
      <c r="D2879" s="10" t="inlineStr">
        <is>
          <t>⚠ Manual erforderlich</t>
        </is>
      </c>
      <c r="E2879" s="11" t="inlineStr"/>
      <c r="F2879" s="11" t="n">
        <v>0</v>
      </c>
      <c r="G2879" s="11">
        <f>E2879-F2879</f>
        <v/>
      </c>
      <c r="H2879" s="11" t="n">
        <v>0</v>
      </c>
      <c r="I2879" s="11" t="n">
        <v>0</v>
      </c>
      <c r="J2879" s="11" t="n">
        <v>0</v>
      </c>
      <c r="K2879" s="4" t="inlineStr">
        <is>
          <t>Stundensätze eingeben</t>
        </is>
      </c>
    </row>
    <row r="2880">
      <c r="A2880" s="4" t="inlineStr">
        <is>
          <t>6373 Uniklinik-Frankfurt-Haus-23-Umbau-OP</t>
        </is>
      </c>
      <c r="B2880" s="4" t="inlineStr">
        <is>
          <t>● (p) 5000-Ausführungsplanung - BL</t>
        </is>
      </c>
      <c r="C2880" s="4" t="inlineStr">
        <is>
          <t>Pauschale</t>
        </is>
      </c>
      <c r="D2880" s="10" t="inlineStr">
        <is>
          <t>⚠ Manual erforderlich</t>
        </is>
      </c>
      <c r="E2880" s="11" t="inlineStr"/>
      <c r="F2880" s="11" t="n">
        <v>0</v>
      </c>
      <c r="G2880" s="11">
        <f>E2880-F2880</f>
        <v/>
      </c>
      <c r="H2880" s="11" t="n">
        <v>0</v>
      </c>
      <c r="I2880" s="11" t="n">
        <v>0</v>
      </c>
      <c r="J2880" s="11" t="n">
        <v>0</v>
      </c>
      <c r="K2880" s="4" t="inlineStr">
        <is>
          <t>Stundensätze eingeben</t>
        </is>
      </c>
    </row>
    <row r="2881">
      <c r="A2881" s="4" t="inlineStr">
        <is>
          <t>6373 Uniklinik-Frankfurt-Haus-23-Umbau-OP</t>
        </is>
      </c>
      <c r="B2881" s="4" t="inlineStr">
        <is>
          <t>● (p) 8000-Objektüberwachung - GL</t>
        </is>
      </c>
      <c r="C2881" s="4" t="inlineStr">
        <is>
          <t>Pauschale</t>
        </is>
      </c>
      <c r="D2881" s="10" t="inlineStr">
        <is>
          <t>⚠ Manual erforderlich</t>
        </is>
      </c>
      <c r="E2881" s="11" t="inlineStr"/>
      <c r="F2881" s="11" t="n">
        <v>0</v>
      </c>
      <c r="G2881" s="11">
        <f>E2881-F2881</f>
        <v/>
      </c>
      <c r="H2881" s="11" t="n">
        <v>0</v>
      </c>
      <c r="I2881" s="11" t="n">
        <v>0</v>
      </c>
      <c r="J2881" s="11" t="n">
        <v>0</v>
      </c>
      <c r="K2881" s="4" t="inlineStr">
        <is>
          <t>Stundensätze eingeben</t>
        </is>
      </c>
    </row>
    <row r="2882">
      <c r="A2882" s="4" t="inlineStr">
        <is>
          <t>6375 Rödelheimer-Landstraße-137-Frankfurt-HPPVO</t>
        </is>
      </c>
      <c r="B2882" s="4" t="inlineStr">
        <is>
          <t>● Prüfung Nachweis (auf Nachweis)</t>
        </is>
      </c>
      <c r="C2882" s="9" t="inlineStr">
        <is>
          <t>Unbekannt</t>
        </is>
      </c>
      <c r="D2882" s="10" t="inlineStr">
        <is>
          <t>⚠ Manual erforderlich</t>
        </is>
      </c>
      <c r="E2882" s="11" t="inlineStr"/>
      <c r="F2882" s="11" t="n">
        <v>0</v>
      </c>
      <c r="G2882" s="11">
        <f>E2882-F2882</f>
        <v/>
      </c>
      <c r="H2882" s="11" t="n">
        <v/>
      </c>
      <c r="I2882" s="11" t="n">
        <v/>
      </c>
      <c r="J2882" s="11" t="n">
        <v/>
      </c>
      <c r="K2882" s="4" t="inlineStr">
        <is>
          <t>Abrechnungsart wählen; Stundensätze eingeben</t>
        </is>
      </c>
    </row>
    <row r="2883">
      <c r="A2883" s="4" t="inlineStr">
        <is>
          <t>6375 Rödelheimer-Landstraße-137-Frankfurt-HPPVO</t>
        </is>
      </c>
      <c r="B2883" s="4" t="inlineStr">
        <is>
          <t>● Überwachung Bauausführung (auf Nachweis)</t>
        </is>
      </c>
      <c r="C2883" s="9" t="inlineStr">
        <is>
          <t>Unbekannt</t>
        </is>
      </c>
      <c r="D2883" s="10" t="inlineStr">
        <is>
          <t>⚠ Manual erforderlich</t>
        </is>
      </c>
      <c r="E2883" s="11" t="inlineStr"/>
      <c r="F2883" s="11" t="n">
        <v>0</v>
      </c>
      <c r="G2883" s="11">
        <f>E2883-F2883</f>
        <v/>
      </c>
      <c r="H2883" s="11" t="n">
        <v/>
      </c>
      <c r="I2883" s="11" t="n">
        <v/>
      </c>
      <c r="J2883" s="11" t="n">
        <v/>
      </c>
      <c r="K2883" s="4" t="inlineStr">
        <is>
          <t>Abrechnungsart wählen; Stundensätze eingeben</t>
        </is>
      </c>
    </row>
    <row r="2884">
      <c r="A2884" s="4" t="inlineStr">
        <is>
          <t>6376 Mainzer-Landstraße-127a-Frankfurt-HPPVO</t>
        </is>
      </c>
      <c r="B2884" s="4" t="inlineStr">
        <is>
          <t>● Prüfung Nachweis (auf Nachweis)</t>
        </is>
      </c>
      <c r="C2884" s="9" t="inlineStr">
        <is>
          <t>Unbekannt</t>
        </is>
      </c>
      <c r="D2884" s="10" t="inlineStr">
        <is>
          <t>⚠ Manual erforderlich</t>
        </is>
      </c>
      <c r="E2884" s="11" t="inlineStr"/>
      <c r="F2884" s="11" t="n">
        <v>0</v>
      </c>
      <c r="G2884" s="11">
        <f>E2884-F2884</f>
        <v/>
      </c>
      <c r="H2884" s="11" t="n">
        <v/>
      </c>
      <c r="I2884" s="11" t="n">
        <v/>
      </c>
      <c r="J2884" s="11" t="n">
        <v/>
      </c>
      <c r="K2884" s="4" t="inlineStr">
        <is>
          <t>Abrechnungsart wählen; Stundensätze eingeben</t>
        </is>
      </c>
    </row>
    <row r="2885">
      <c r="A2885" s="4" t="inlineStr">
        <is>
          <t>6376 Mainzer-Landstraße-127a-Frankfurt-HPPVO</t>
        </is>
      </c>
      <c r="B2885" s="4" t="inlineStr">
        <is>
          <t>● Überwachung Bauausführung (auf Nachweis)</t>
        </is>
      </c>
      <c r="C2885" s="9" t="inlineStr">
        <is>
          <t>Unbekannt</t>
        </is>
      </c>
      <c r="D2885" s="10" t="inlineStr">
        <is>
          <t>⚠ Manual erforderlich</t>
        </is>
      </c>
      <c r="E2885" s="11" t="inlineStr"/>
      <c r="F2885" s="11" t="n">
        <v>0</v>
      </c>
      <c r="G2885" s="11">
        <f>E2885-F2885</f>
        <v/>
      </c>
      <c r="H2885" s="11" t="n">
        <v/>
      </c>
      <c r="I2885" s="11" t="n">
        <v/>
      </c>
      <c r="J2885" s="11" t="n">
        <v/>
      </c>
      <c r="K2885" s="4" t="inlineStr">
        <is>
          <t>Abrechnungsart wählen; Stundensätze eingeben</t>
        </is>
      </c>
    </row>
    <row r="2886">
      <c r="A2886" s="4" t="inlineStr">
        <is>
          <t>6376 Mainzer-Landstraße-127a-Frankfurt-HPPVO</t>
        </is>
      </c>
      <c r="B2886" s="4" t="inlineStr">
        <is>
          <t>● Wdh-Leistung (p) Prüfung und Bescheinigung des Brandschutznachweises</t>
        </is>
      </c>
      <c r="C2886" s="4" t="inlineStr">
        <is>
          <t>Pauschale</t>
        </is>
      </c>
      <c r="D2886" s="10" t="inlineStr">
        <is>
          <t>⚠ Manual erforderlich</t>
        </is>
      </c>
      <c r="E2886" s="11" t="inlineStr"/>
      <c r="F2886" s="11" t="n">
        <v>0</v>
      </c>
      <c r="G2886" s="11">
        <f>E2886-F2886</f>
        <v/>
      </c>
      <c r="H2886" s="11" t="n">
        <v/>
      </c>
      <c r="I2886" s="11" t="n">
        <v/>
      </c>
      <c r="J2886" s="11" t="n">
        <v/>
      </c>
      <c r="K2886" s="4" t="inlineStr">
        <is>
          <t>Stundensätze eingeben</t>
        </is>
      </c>
    </row>
    <row r="2887">
      <c r="A2887" s="4" t="inlineStr">
        <is>
          <t>6377 Alemannenstraße-21-Heimsheim-IAV</t>
        </is>
      </c>
      <c r="B2887" s="4" t="inlineStr">
        <is>
          <t>● LP4 BL Einarbeitung (pauschal)</t>
        </is>
      </c>
      <c r="C2887" s="9" t="inlineStr">
        <is>
          <t>Unbekannt</t>
        </is>
      </c>
      <c r="D2887" s="10" t="inlineStr">
        <is>
          <t>⚠ Manual erforderlich</t>
        </is>
      </c>
      <c r="E2887" s="11" t="inlineStr"/>
      <c r="F2887" s="11" t="n">
        <v>0</v>
      </c>
      <c r="G2887" s="11">
        <f>E2887-F2887</f>
        <v/>
      </c>
      <c r="H2887" s="11" t="n">
        <v/>
      </c>
      <c r="I2887" s="11" t="n">
        <v/>
      </c>
      <c r="J2887" s="11" t="n">
        <v/>
      </c>
      <c r="K2887" s="4" t="inlineStr">
        <is>
          <t>Abrechnungsart wählen; Stundensätze eingeben</t>
        </is>
      </c>
    </row>
    <row r="2888">
      <c r="A2888" s="4" t="inlineStr">
        <is>
          <t>6377 Alemannenstraße-21-Heimsheim-IAV</t>
        </is>
      </c>
      <c r="B2888" s="4" t="inlineStr">
        <is>
          <t>● LP4 BL Abstimmungstermine (auf Nachweis)</t>
        </is>
      </c>
      <c r="C2888" s="9" t="inlineStr">
        <is>
          <t>Unbekannt</t>
        </is>
      </c>
      <c r="D2888" s="10" t="inlineStr">
        <is>
          <t>⚠ Manual erforderlich</t>
        </is>
      </c>
      <c r="E2888" s="11" t="inlineStr"/>
      <c r="F2888" s="11" t="n">
        <v>0</v>
      </c>
      <c r="G2888" s="11">
        <f>E2888-F2888</f>
        <v/>
      </c>
      <c r="H2888" s="11" t="n">
        <v/>
      </c>
      <c r="I2888" s="11" t="n">
        <v/>
      </c>
      <c r="J2888" s="11" t="n">
        <v/>
      </c>
      <c r="K2888" s="4" t="inlineStr">
        <is>
          <t>Abrechnungsart wählen; Stundensätze eingeben</t>
        </is>
      </c>
    </row>
    <row r="2889">
      <c r="A2889" s="4" t="inlineStr">
        <is>
          <t>6377 Alemannenstraße-21-Heimsheim-IAV</t>
        </is>
      </c>
      <c r="B2889" s="4" t="inlineStr">
        <is>
          <t>● LP4 BL Fortschr. BSK (pauschal)</t>
        </is>
      </c>
      <c r="C2889" s="9" t="inlineStr">
        <is>
          <t>Unbekannt</t>
        </is>
      </c>
      <c r="D2889" s="10" t="inlineStr">
        <is>
          <t>⚠ Manual erforderlich</t>
        </is>
      </c>
      <c r="E2889" s="11" t="inlineStr"/>
      <c r="F2889" s="11" t="n">
        <v>0</v>
      </c>
      <c r="G2889" s="11">
        <f>E2889-F2889</f>
        <v/>
      </c>
      <c r="H2889" s="11" t="n">
        <v/>
      </c>
      <c r="I2889" s="11" t="n">
        <v/>
      </c>
      <c r="J2889" s="11" t="n">
        <v/>
      </c>
      <c r="K2889" s="4" t="inlineStr">
        <is>
          <t>Abrechnungsart wählen; Stundensätze eingeben</t>
        </is>
      </c>
    </row>
    <row r="2890">
      <c r="A2890" s="4" t="inlineStr">
        <is>
          <t>6377 Alemannenstraße-21-Heimsheim-IAV</t>
        </is>
      </c>
      <c r="B2890" s="4" t="inlineStr">
        <is>
          <t>● LP5 GL (pauschal)</t>
        </is>
      </c>
      <c r="C2890" s="9" t="inlineStr">
        <is>
          <t>Unbekannt</t>
        </is>
      </c>
      <c r="D2890" s="10" t="inlineStr">
        <is>
          <t>⚠ Manual erforderlich</t>
        </is>
      </c>
      <c r="E2890" s="11" t="inlineStr"/>
      <c r="F2890" s="11" t="n">
        <v>0</v>
      </c>
      <c r="G2890" s="11">
        <f>E2890-F2890</f>
        <v/>
      </c>
      <c r="H2890" s="11" t="n">
        <v/>
      </c>
      <c r="I2890" s="11" t="n">
        <v/>
      </c>
      <c r="J2890" s="11" t="n">
        <v/>
      </c>
      <c r="K2890" s="4" t="inlineStr">
        <is>
          <t>Abrechnungsart wählen; Stundensätze eingeben</t>
        </is>
      </c>
    </row>
    <row r="2891">
      <c r="A2891" s="4" t="inlineStr">
        <is>
          <t>6377 Alemannenstraße-21-Heimsheim-IAV</t>
        </is>
      </c>
      <c r="B2891" s="4" t="inlineStr">
        <is>
          <t>● LP8 GL (pauschal)</t>
        </is>
      </c>
      <c r="C2891" s="9" t="inlineStr">
        <is>
          <t>Unbekannt</t>
        </is>
      </c>
      <c r="D2891" s="10" t="inlineStr">
        <is>
          <t>⚠ Manual erforderlich</t>
        </is>
      </c>
      <c r="E2891" s="11" t="inlineStr"/>
      <c r="F2891" s="11" t="n">
        <v>0</v>
      </c>
      <c r="G2891" s="11">
        <f>E2891-F2891</f>
        <v/>
      </c>
      <c r="H2891" s="11" t="n">
        <v/>
      </c>
      <c r="I2891" s="11" t="n">
        <v/>
      </c>
      <c r="J2891" s="11" t="n">
        <v/>
      </c>
      <c r="K2891" s="4" t="inlineStr">
        <is>
          <t>Abrechnungsart wählen; Stundensätze eingeben</t>
        </is>
      </c>
    </row>
    <row r="2892">
      <c r="A2892" s="4" t="inlineStr">
        <is>
          <t>6377 Alemannenstraße-21-Heimsheim-IAV</t>
        </is>
      </c>
      <c r="B2892" s="4" t="inlineStr">
        <is>
          <t>● zusätzl. Leistungen (auf Nachweis)</t>
        </is>
      </c>
      <c r="C2892" s="9" t="inlineStr">
        <is>
          <t>Unbekannt</t>
        </is>
      </c>
      <c r="D2892" s="10" t="inlineStr">
        <is>
          <t>⚠ Manual erforderlich</t>
        </is>
      </c>
      <c r="E2892" s="11" t="inlineStr"/>
      <c r="F2892" s="11" t="n">
        <v>0</v>
      </c>
      <c r="G2892" s="11">
        <f>E2892-F2892</f>
        <v/>
      </c>
      <c r="H2892" s="11" t="n">
        <v/>
      </c>
      <c r="I2892" s="11" t="n">
        <v/>
      </c>
      <c r="J2892" s="11" t="n">
        <v/>
      </c>
      <c r="K2892" s="4" t="inlineStr">
        <is>
          <t>Abrechnungsart wählen; Stundensätze eingeben</t>
        </is>
      </c>
    </row>
    <row r="2893">
      <c r="A2893" s="4" t="inlineStr">
        <is>
          <t>6377.03 sectus-IAV-FRP-Gewerbegebiet-Kammertal-Heimsheim</t>
        </is>
      </c>
      <c r="B2893" s="4" t="inlineStr">
        <is>
          <t>● (p) Pos. 1 Feuerwehrpläne</t>
        </is>
      </c>
      <c r="C2893" s="4" t="inlineStr">
        <is>
          <t>Pauschale</t>
        </is>
      </c>
      <c r="D2893" s="10" t="inlineStr">
        <is>
          <t>⚠ Manual erforderlich</t>
        </is>
      </c>
      <c r="E2893" s="11" t="inlineStr"/>
      <c r="F2893" s="11" t="n">
        <v>0</v>
      </c>
      <c r="G2893" s="11">
        <f>E2893-F2893</f>
        <v/>
      </c>
      <c r="H2893" s="11" t="n">
        <v>0</v>
      </c>
      <c r="I2893" s="11" t="n">
        <v>0</v>
      </c>
      <c r="J2893" s="11" t="n">
        <v>0</v>
      </c>
      <c r="K2893" s="4" t="inlineStr">
        <is>
          <t>Stundensätze eingeben</t>
        </is>
      </c>
    </row>
    <row r="2894">
      <c r="A2894" s="4" t="inlineStr">
        <is>
          <t>6377.04 IAV-BSK-Im-Kammertal10-Heimsheim</t>
        </is>
      </c>
      <c r="B2894" s="4" t="inlineStr">
        <is>
          <t>● (p) Pos. 1 Erstellung eines Brandschutzkonzeptes</t>
        </is>
      </c>
      <c r="C2894" s="4" t="inlineStr">
        <is>
          <t>Pauschale</t>
        </is>
      </c>
      <c r="D2894" s="10" t="inlineStr">
        <is>
          <t>⚠ Manual erforderlich</t>
        </is>
      </c>
      <c r="E2894" s="11" t="inlineStr"/>
      <c r="F2894" s="11" t="n">
        <v>0</v>
      </c>
      <c r="G2894" s="11">
        <f>E2894-F2894</f>
        <v/>
      </c>
      <c r="H2894" s="11" t="n">
        <v>0</v>
      </c>
      <c r="I2894" s="11" t="n">
        <v>0</v>
      </c>
      <c r="J2894" s="11" t="n">
        <v>0</v>
      </c>
      <c r="K2894" s="4" t="inlineStr">
        <is>
          <t>Stundensätze eingeben</t>
        </is>
      </c>
    </row>
    <row r="2895">
      <c r="A2895" s="4" t="inlineStr">
        <is>
          <t>6377.04 IAV-BSK-Im-Kammertal10-Heimsheim</t>
        </is>
      </c>
      <c r="B2895" s="4" t="inlineStr">
        <is>
          <t>● (aN) Pos. 2 Abstimmungstermin</t>
        </is>
      </c>
      <c r="C2895" s="4" t="inlineStr">
        <is>
          <t>Nachweis</t>
        </is>
      </c>
      <c r="D2895" s="10" t="inlineStr">
        <is>
          <t>⚠ Manual erforderlich</t>
        </is>
      </c>
      <c r="E2895" s="11" t="inlineStr"/>
      <c r="F2895" s="11" t="n">
        <v>0</v>
      </c>
      <c r="G2895" s="11">
        <f>E2895-F2895</f>
        <v/>
      </c>
      <c r="H2895" s="11" t="n">
        <v/>
      </c>
      <c r="I2895" s="11" t="n">
        <v/>
      </c>
      <c r="J2895" s="11" t="n">
        <v/>
      </c>
      <c r="K2895" s="4" t="inlineStr">
        <is>
          <t>Stundensätze eingeben</t>
        </is>
      </c>
    </row>
    <row r="2896">
      <c r="A2896" s="4" t="inlineStr">
        <is>
          <t>6384.02 BTB-Am-Kaiserberg-6c-Bad-Nauheim</t>
        </is>
      </c>
      <c r="B2896" s="4" t="inlineStr">
        <is>
          <t>● (a.N.) BTB zur Thematik IST-Situation v.Ort zum letzten Genehmigungsstand</t>
        </is>
      </c>
      <c r="C2896" s="4" t="inlineStr">
        <is>
          <t>Nachweis</t>
        </is>
      </c>
      <c r="D2896" s="10" t="inlineStr">
        <is>
          <t>⚠ Manual erforderlich</t>
        </is>
      </c>
      <c r="E2896" s="11" t="inlineStr"/>
      <c r="F2896" s="11" t="n">
        <v>0</v>
      </c>
      <c r="G2896" s="11">
        <f>E2896-F2896</f>
        <v/>
      </c>
      <c r="H2896" s="11" t="n">
        <v/>
      </c>
      <c r="I2896" s="11" t="n">
        <v/>
      </c>
      <c r="J2896" s="11" t="n">
        <v/>
      </c>
      <c r="K2896" s="4" t="inlineStr">
        <is>
          <t>Stundensätze eingeben</t>
        </is>
      </c>
    </row>
    <row r="2897">
      <c r="A2897" s="4" t="inlineStr">
        <is>
          <t>6388 Alzenauer-Straße-29-Rodenbach</t>
        </is>
      </c>
      <c r="B2897" s="4" t="inlineStr">
        <is>
          <t>● LP1-3 (pauschal)</t>
        </is>
      </c>
      <c r="C2897" s="9" t="inlineStr">
        <is>
          <t>Unbekannt</t>
        </is>
      </c>
      <c r="D2897" s="10" t="inlineStr">
        <is>
          <t>⚠ Manual erforderlich</t>
        </is>
      </c>
      <c r="E2897" s="11" t="inlineStr"/>
      <c r="F2897" s="11" t="n">
        <v>0</v>
      </c>
      <c r="G2897" s="11">
        <f>E2897-F2897</f>
        <v/>
      </c>
      <c r="H2897" s="11" t="n">
        <v/>
      </c>
      <c r="I2897" s="11" t="n">
        <v/>
      </c>
      <c r="J2897" s="11" t="n">
        <v/>
      </c>
      <c r="K2897" s="4" t="inlineStr">
        <is>
          <t>Abrechnungsart wählen; Stundensätze eingeben</t>
        </is>
      </c>
    </row>
    <row r="2898">
      <c r="A2898" s="4" t="inlineStr">
        <is>
          <t>6388 Alzenauer-Straße-29-Rodenbach</t>
        </is>
      </c>
      <c r="B2898" s="4" t="inlineStr">
        <is>
          <t>● LP4 (pauschal)</t>
        </is>
      </c>
      <c r="C2898" s="9" t="inlineStr">
        <is>
          <t>Unbekannt</t>
        </is>
      </c>
      <c r="D2898" s="10" t="inlineStr">
        <is>
          <t>⚠ Manual erforderlich</t>
        </is>
      </c>
      <c r="E2898" s="11" t="inlineStr"/>
      <c r="F2898" s="11" t="n">
        <v>0</v>
      </c>
      <c r="G2898" s="11">
        <f>E2898-F2898</f>
        <v/>
      </c>
      <c r="H2898" s="11" t="n">
        <v/>
      </c>
      <c r="I2898" s="11" t="n">
        <v/>
      </c>
      <c r="J2898" s="11" t="n">
        <v/>
      </c>
      <c r="K2898" s="4" t="inlineStr">
        <is>
          <t>Abrechnungsart wählen; Stundensätze eingeben</t>
        </is>
      </c>
    </row>
    <row r="2899">
      <c r="A2899" s="4" t="inlineStr">
        <is>
          <t>6388 Alzenauer-Straße-29-Rodenbach</t>
        </is>
      </c>
      <c r="B2899" s="4" t="inlineStr">
        <is>
          <t>● LP5 (auf Nachweis)</t>
        </is>
      </c>
      <c r="C2899" s="9" t="inlineStr">
        <is>
          <t>Unbekannt</t>
        </is>
      </c>
      <c r="D2899" s="10" t="inlineStr">
        <is>
          <t>⚠ Manual erforderlich</t>
        </is>
      </c>
      <c r="E2899" s="11" t="inlineStr"/>
      <c r="F2899" s="11" t="n">
        <v>0</v>
      </c>
      <c r="G2899" s="11">
        <f>E2899-F2899</f>
        <v/>
      </c>
      <c r="H2899" s="11" t="n">
        <v/>
      </c>
      <c r="I2899" s="11" t="n">
        <v/>
      </c>
      <c r="J2899" s="11" t="n">
        <v/>
      </c>
      <c r="K2899" s="4" t="inlineStr">
        <is>
          <t>Abrechnungsart wählen; Stundensätze eingeben</t>
        </is>
      </c>
    </row>
    <row r="2900">
      <c r="A2900" s="4" t="inlineStr">
        <is>
          <t>6388 Alzenauer-Straße-29-Rodenbach</t>
        </is>
      </c>
      <c r="B2900" s="4" t="inlineStr">
        <is>
          <t>● LP8 (auf Nachweis)</t>
        </is>
      </c>
      <c r="C2900" s="9" t="inlineStr">
        <is>
          <t>Unbekannt</t>
        </is>
      </c>
      <c r="D2900" s="10" t="inlineStr">
        <is>
          <t>⚠ Manual erforderlich</t>
        </is>
      </c>
      <c r="E2900" s="11" t="inlineStr"/>
      <c r="F2900" s="11" t="n">
        <v>0</v>
      </c>
      <c r="G2900" s="11">
        <f>E2900-F2900</f>
        <v/>
      </c>
      <c r="H2900" s="11" t="n">
        <v/>
      </c>
      <c r="I2900" s="11" t="n">
        <v/>
      </c>
      <c r="J2900" s="11" t="n">
        <v/>
      </c>
      <c r="K2900" s="4" t="inlineStr">
        <is>
          <t>Abrechnungsart wählen; Stundensätze eingeben</t>
        </is>
      </c>
    </row>
    <row r="2901">
      <c r="A2901" s="4" t="inlineStr">
        <is>
          <t>6388.01 NAT-BTB-Alzenauer-Straße-29-Rodenbach</t>
        </is>
      </c>
      <c r="B2901" s="4" t="inlineStr">
        <is>
          <t>● (p) Pos.1 Bereits durchgeführte Begehungen</t>
        </is>
      </c>
      <c r="C2901" s="4" t="inlineStr">
        <is>
          <t>Pauschale</t>
        </is>
      </c>
      <c r="D2901" s="10" t="inlineStr">
        <is>
          <t>⚠ Manual erforderlich</t>
        </is>
      </c>
      <c r="E2901" s="11" t="inlineStr"/>
      <c r="F2901" s="11" t="n">
        <v>0</v>
      </c>
      <c r="G2901" s="11">
        <f>E2901-F2901</f>
        <v/>
      </c>
      <c r="H2901" s="11" t="n">
        <v>0</v>
      </c>
      <c r="I2901" s="11" t="n">
        <v>0</v>
      </c>
      <c r="J2901" s="11" t="n">
        <v>0</v>
      </c>
      <c r="K2901" s="4" t="inlineStr">
        <is>
          <t>Stundensätze eingeben</t>
        </is>
      </c>
    </row>
    <row r="2902">
      <c r="A2902" s="4" t="inlineStr">
        <is>
          <t>6388.01 NAT-BTB-Alzenauer-Straße-29-Rodenbach</t>
        </is>
      </c>
      <c r="B2902" s="4" t="inlineStr">
        <is>
          <t>● (aN) Pos.2 Begehungen</t>
        </is>
      </c>
      <c r="C2902" s="4" t="inlineStr">
        <is>
          <t>Nachweis</t>
        </is>
      </c>
      <c r="D2902" s="10" t="inlineStr">
        <is>
          <t>⚠ Manual erforderlich</t>
        </is>
      </c>
      <c r="E2902" s="11" t="inlineStr"/>
      <c r="F2902" s="11" t="n">
        <v>0</v>
      </c>
      <c r="G2902" s="11">
        <f>E2902-F2902</f>
        <v/>
      </c>
      <c r="H2902" s="11" t="n">
        <v/>
      </c>
      <c r="I2902" s="11" t="n">
        <v/>
      </c>
      <c r="J2902" s="11" t="n">
        <v/>
      </c>
      <c r="K2902" s="4" t="inlineStr">
        <is>
          <t>Stundensätze eingeben</t>
        </is>
      </c>
    </row>
    <row r="2903">
      <c r="A2903" s="4" t="inlineStr">
        <is>
          <t>6390 Zum-Sportplatz-6-Alsfeld-Berfa-Kita-Bechtelsberger-Strolche</t>
        </is>
      </c>
      <c r="B2903" s="4" t="inlineStr">
        <is>
          <t>● 2000-Vorplanung</t>
        </is>
      </c>
      <c r="C2903" s="9" t="inlineStr">
        <is>
          <t>Unbekannt</t>
        </is>
      </c>
      <c r="D2903" s="10" t="inlineStr">
        <is>
          <t>⚠ Manual erforderlich</t>
        </is>
      </c>
      <c r="E2903" s="11" t="inlineStr"/>
      <c r="F2903" s="11" t="n">
        <v>0</v>
      </c>
      <c r="G2903" s="11">
        <f>E2903-F2903</f>
        <v/>
      </c>
      <c r="H2903" s="11" t="n">
        <v/>
      </c>
      <c r="I2903" s="11" t="n">
        <v/>
      </c>
      <c r="J2903" s="11" t="n">
        <v/>
      </c>
      <c r="K2903" s="4" t="inlineStr">
        <is>
          <t>Abrechnungsart wählen; Stundensätze eingeben</t>
        </is>
      </c>
    </row>
    <row r="2904">
      <c r="A2904" s="4" t="inlineStr">
        <is>
          <t>6390 Zum-Sportplatz-6-Alsfeld-Berfa-Kita-Bechtelsberger-Strolche</t>
        </is>
      </c>
      <c r="B2904" s="4" t="inlineStr">
        <is>
          <t>● 3000-Entwurfsplanung</t>
        </is>
      </c>
      <c r="C2904" s="9" t="inlineStr">
        <is>
          <t>Unbekannt</t>
        </is>
      </c>
      <c r="D2904" s="10" t="inlineStr">
        <is>
          <t>⚠ Manual erforderlich</t>
        </is>
      </c>
      <c r="E2904" s="11" t="inlineStr"/>
      <c r="F2904" s="11" t="n">
        <v>0</v>
      </c>
      <c r="G2904" s="11">
        <f>E2904-F2904</f>
        <v/>
      </c>
      <c r="H2904" s="11" t="n">
        <v/>
      </c>
      <c r="I2904" s="11" t="n">
        <v/>
      </c>
      <c r="J2904" s="11" t="n">
        <v/>
      </c>
      <c r="K2904" s="4" t="inlineStr">
        <is>
          <t>Abrechnungsart wählen; Stundensätze eingeben</t>
        </is>
      </c>
    </row>
    <row r="2905">
      <c r="A2905" s="4" t="inlineStr">
        <is>
          <t>6390 Zum-Sportplatz-6-Alsfeld-Berfa-Kita-Bechtelsberger-Strolche</t>
        </is>
      </c>
      <c r="B2905" s="4" t="inlineStr">
        <is>
          <t>● 4000-Genehmigungsplanung</t>
        </is>
      </c>
      <c r="C2905" s="9" t="inlineStr">
        <is>
          <t>Unbekannt</t>
        </is>
      </c>
      <c r="D2905" s="10" t="inlineStr">
        <is>
          <t>⚠ Manual erforderlich</t>
        </is>
      </c>
      <c r="E2905" s="11" t="inlineStr"/>
      <c r="F2905" s="11" t="n">
        <v>0</v>
      </c>
      <c r="G2905" s="11">
        <f>E2905-F2905</f>
        <v/>
      </c>
      <c r="H2905" s="11" t="n">
        <v/>
      </c>
      <c r="I2905" s="11" t="n">
        <v/>
      </c>
      <c r="J2905" s="11" t="n">
        <v/>
      </c>
      <c r="K2905" s="4" t="inlineStr">
        <is>
          <t>Abrechnungsart wählen; Stundensätze eingeben</t>
        </is>
      </c>
    </row>
    <row r="2906">
      <c r="A2906" s="4" t="inlineStr">
        <is>
          <t>6390 Zum-Sportplatz-6-Alsfeld-Berfa-Kita-Bechtelsberger-Strolche</t>
        </is>
      </c>
      <c r="B2906" s="4" t="inlineStr">
        <is>
          <t>● 5000-Ausführungsplanung</t>
        </is>
      </c>
      <c r="C2906" s="9" t="inlineStr">
        <is>
          <t>Unbekannt</t>
        </is>
      </c>
      <c r="D2906" s="10" t="inlineStr">
        <is>
          <t>⚠ Manual erforderlich</t>
        </is>
      </c>
      <c r="E2906" s="11" t="inlineStr"/>
      <c r="F2906" s="11" t="n">
        <v>0</v>
      </c>
      <c r="G2906" s="11">
        <f>E2906-F2906</f>
        <v/>
      </c>
      <c r="H2906" s="11" t="n">
        <v/>
      </c>
      <c r="I2906" s="11" t="n">
        <v/>
      </c>
      <c r="J2906" s="11" t="n">
        <v/>
      </c>
      <c r="K2906" s="4" t="inlineStr">
        <is>
          <t>Abrechnungsart wählen; Stundensätze eingeben</t>
        </is>
      </c>
    </row>
    <row r="2907">
      <c r="A2907" s="4" t="inlineStr">
        <is>
          <t>6390 Zum-Sportplatz-6-Alsfeld-Berfa-Kita-Bechtelsberger-Strolche</t>
        </is>
      </c>
      <c r="B2907" s="4" t="inlineStr">
        <is>
          <t>● 8000-Objektüberwachung</t>
        </is>
      </c>
      <c r="C2907" s="9" t="inlineStr">
        <is>
          <t>Unbekannt</t>
        </is>
      </c>
      <c r="D2907" s="10" t="inlineStr">
        <is>
          <t>⚠ Manual erforderlich</t>
        </is>
      </c>
      <c r="E2907" s="11" t="inlineStr"/>
      <c r="F2907" s="11" t="n">
        <v>0</v>
      </c>
      <c r="G2907" s="11">
        <f>E2907-F2907</f>
        <v/>
      </c>
      <c r="H2907" s="11" t="n">
        <v/>
      </c>
      <c r="I2907" s="11" t="n">
        <v/>
      </c>
      <c r="J2907" s="11" t="n">
        <v/>
      </c>
      <c r="K2907" s="4" t="inlineStr">
        <is>
          <t>Abrechnungsart wählen; Stundensätze eingeben</t>
        </is>
      </c>
    </row>
    <row r="2908">
      <c r="A2908" s="4" t="inlineStr">
        <is>
          <t>6390 Zum-Sportplatz-6-Alsfeld-Berfa-Kita-Bechtelsberger-Strolche</t>
        </is>
      </c>
      <c r="B2908" s="4" t="inlineStr">
        <is>
          <t>● 9000-Objektbetreuung und Dokumentation</t>
        </is>
      </c>
      <c r="C2908" s="9" t="inlineStr">
        <is>
          <t>Unbekannt</t>
        </is>
      </c>
      <c r="D2908" s="10" t="inlineStr">
        <is>
          <t>⚠ Manual erforderlich</t>
        </is>
      </c>
      <c r="E2908" s="11" t="inlineStr"/>
      <c r="F2908" s="11" t="n">
        <v>0</v>
      </c>
      <c r="G2908" s="11">
        <f>E2908-F2908</f>
        <v/>
      </c>
      <c r="H2908" s="11" t="n">
        <v/>
      </c>
      <c r="I2908" s="11" t="n">
        <v/>
      </c>
      <c r="J2908" s="11" t="n">
        <v/>
      </c>
      <c r="K2908" s="4" t="inlineStr">
        <is>
          <t>Abrechnungsart wählen; Stundensätze eingeben</t>
        </is>
      </c>
    </row>
    <row r="2909">
      <c r="A2909" s="4" t="inlineStr">
        <is>
          <t>6390.01 Fortschr-BSK-Zum-Sportplatz-6-Alsfeld-Berfa-Kita-Bechtelsberger-Strolche</t>
        </is>
      </c>
      <c r="B2909" s="4" t="inlineStr">
        <is>
          <t>● (p) Pos.1 Fortschr. BSK</t>
        </is>
      </c>
      <c r="C2909" s="4" t="inlineStr">
        <is>
          <t>Pauschale</t>
        </is>
      </c>
      <c r="D2909" s="10" t="inlineStr">
        <is>
          <t>⚠ Manual erforderlich</t>
        </is>
      </c>
      <c r="E2909" s="11" t="inlineStr"/>
      <c r="F2909" s="11" t="n">
        <v>0</v>
      </c>
      <c r="G2909" s="11">
        <f>E2909-F2909</f>
        <v/>
      </c>
      <c r="H2909" s="11" t="n">
        <v>0</v>
      </c>
      <c r="I2909" s="11" t="n">
        <v>0</v>
      </c>
      <c r="J2909" s="11" t="n">
        <v>0</v>
      </c>
      <c r="K2909" s="4" t="inlineStr">
        <is>
          <t>Stundensätze eingeben</t>
        </is>
      </c>
    </row>
    <row r="2910">
      <c r="A2910" s="4" t="inlineStr">
        <is>
          <t>6392 BAB-Südpfalz-Kaserne-Germersheim</t>
        </is>
      </c>
      <c r="B2910" s="4" t="inlineStr">
        <is>
          <t>● Baubegl. Geb. 2/2a,11,12,42 (auf Nachweis)</t>
        </is>
      </c>
      <c r="C2910" s="9" t="inlineStr">
        <is>
          <t>Unbekannt</t>
        </is>
      </c>
      <c r="D2910" s="10" t="inlineStr">
        <is>
          <t>⚠ Manual erforderlich</t>
        </is>
      </c>
      <c r="E2910" s="11" t="inlineStr"/>
      <c r="F2910" s="11" t="n">
        <v>0</v>
      </c>
      <c r="G2910" s="11">
        <f>E2910-F2910</f>
        <v/>
      </c>
      <c r="H2910" s="11" t="n">
        <v/>
      </c>
      <c r="I2910" s="11" t="n">
        <v/>
      </c>
      <c r="J2910" s="11" t="n">
        <v/>
      </c>
      <c r="K2910" s="4" t="inlineStr">
        <is>
          <t>Abrechnungsart wählen; Stundensätze eingeben</t>
        </is>
      </c>
    </row>
    <row r="2911">
      <c r="A2911" s="4" t="inlineStr">
        <is>
          <t>6392.01 LBB-Landau-KOF-Südpfalz-Kaserne-An-der-Hexenbrücke5-Germersheim</t>
        </is>
      </c>
      <c r="B2911" s="4" t="inlineStr">
        <is>
          <t>● (p) Pos. 1 Qualitätsüberwachung für die Durchführung der Baumaßnahmen Geb. 2/2a, 11, 12, 42</t>
        </is>
      </c>
      <c r="C2911" s="4" t="inlineStr">
        <is>
          <t>Pauschale</t>
        </is>
      </c>
      <c r="D2911" s="10" t="inlineStr">
        <is>
          <t>⚠ Manual erforderlich</t>
        </is>
      </c>
      <c r="E2911" s="11" t="inlineStr"/>
      <c r="F2911" s="11" t="n">
        <v>0</v>
      </c>
      <c r="G2911" s="11">
        <f>E2911-F2911</f>
        <v/>
      </c>
      <c r="H2911" s="11" t="n">
        <v>0</v>
      </c>
      <c r="I2911" s="11" t="n">
        <v>0</v>
      </c>
      <c r="J2911" s="11" t="n">
        <v>0</v>
      </c>
      <c r="K2911" s="4" t="inlineStr">
        <is>
          <t>Stundensätze eingeben</t>
        </is>
      </c>
    </row>
    <row r="2912">
      <c r="A2912" s="4" t="inlineStr">
        <is>
          <t>6397 Truppenübungsplatz-Grafenwöhr-Geb1-4</t>
        </is>
      </c>
      <c r="B2912" s="4" t="inlineStr">
        <is>
          <t>● • Pos.1 - BSK (pauschal)</t>
        </is>
      </c>
      <c r="C2912" s="9" t="inlineStr">
        <is>
          <t>Unbekannt</t>
        </is>
      </c>
      <c r="D2912" s="10" t="inlineStr">
        <is>
          <t>⚠ Manual erforderlich</t>
        </is>
      </c>
      <c r="E2912" s="11" t="inlineStr"/>
      <c r="F2912" s="11" t="n">
        <v>0</v>
      </c>
      <c r="G2912" s="11">
        <f>E2912-F2912</f>
        <v/>
      </c>
      <c r="H2912" s="11" t="n">
        <v/>
      </c>
      <c r="I2912" s="11" t="n">
        <v/>
      </c>
      <c r="J2912" s="11" t="n">
        <v/>
      </c>
      <c r="K2912" s="4" t="inlineStr">
        <is>
          <t>Abrechnungsart wählen; Stundensätze eingeben</t>
        </is>
      </c>
    </row>
    <row r="2913">
      <c r="A2913" s="4" t="inlineStr">
        <is>
          <t>6397 Truppenübungsplatz-Grafenwöhr-Geb1-4</t>
        </is>
      </c>
      <c r="B2913" s="4" t="inlineStr">
        <is>
          <t>● • Pos.2 - Pläne + Summary (pauschal)</t>
        </is>
      </c>
      <c r="C2913" s="9" t="inlineStr">
        <is>
          <t>Unbekannt</t>
        </is>
      </c>
      <c r="D2913" s="10" t="inlineStr">
        <is>
          <t>⚠ Manual erforderlich</t>
        </is>
      </c>
      <c r="E2913" s="11" t="inlineStr"/>
      <c r="F2913" s="11" t="n">
        <v>0</v>
      </c>
      <c r="G2913" s="11">
        <f>E2913-F2913</f>
        <v/>
      </c>
      <c r="H2913" s="11" t="n">
        <v/>
      </c>
      <c r="I2913" s="11" t="n">
        <v/>
      </c>
      <c r="J2913" s="11" t="n">
        <v/>
      </c>
      <c r="K2913" s="4" t="inlineStr">
        <is>
          <t>Abrechnungsart wählen; Stundensätze eingeben</t>
        </is>
      </c>
    </row>
    <row r="2914">
      <c r="A2914" s="4" t="inlineStr">
        <is>
          <t>6397 Truppenübungsplatz-Grafenwöhr-Geb1-4</t>
        </is>
      </c>
      <c r="B2914" s="4" t="inlineStr">
        <is>
          <t>● • Pos.? LP 5 (vorab angelegt)</t>
        </is>
      </c>
      <c r="C2914" s="9" t="inlineStr">
        <is>
          <t>Unbekannt</t>
        </is>
      </c>
      <c r="D2914" s="10" t="inlineStr">
        <is>
          <t>⚠ Manual erforderlich</t>
        </is>
      </c>
      <c r="E2914" s="11" t="inlineStr"/>
      <c r="F2914" s="11" t="n">
        <v>0</v>
      </c>
      <c r="G2914" s="11">
        <f>E2914-F2914</f>
        <v/>
      </c>
      <c r="H2914" s="11" t="n">
        <v/>
      </c>
      <c r="I2914" s="11" t="n">
        <v/>
      </c>
      <c r="J2914" s="11" t="n">
        <v/>
      </c>
      <c r="K2914" s="4" t="inlineStr">
        <is>
          <t>Abrechnungsart wählen; Stundensätze eingeben</t>
        </is>
      </c>
    </row>
    <row r="2915">
      <c r="A2915" s="4" t="inlineStr">
        <is>
          <t>6397 Truppenübungsplatz-Grafenwöhr-Geb1-4</t>
        </is>
      </c>
      <c r="B2915" s="4" t="inlineStr">
        <is>
          <t>● • (aN) NAT Geb. 1</t>
        </is>
      </c>
      <c r="C2915" s="4" t="inlineStr">
        <is>
          <t>Nachweis</t>
        </is>
      </c>
      <c r="D2915" s="10" t="inlineStr">
        <is>
          <t>⚠ Manual erforderlich</t>
        </is>
      </c>
      <c r="E2915" s="11" t="inlineStr"/>
      <c r="F2915" s="11" t="n">
        <v>0</v>
      </c>
      <c r="G2915" s="11">
        <f>E2915-F2915</f>
        <v/>
      </c>
      <c r="H2915" s="11" t="n">
        <v/>
      </c>
      <c r="I2915" s="11" t="n">
        <v/>
      </c>
      <c r="J2915" s="11" t="n">
        <v/>
      </c>
      <c r="K2915" s="4" t="inlineStr">
        <is>
          <t>Stundensätze eingeben</t>
        </is>
      </c>
    </row>
    <row r="2916">
      <c r="A2916" s="4" t="inlineStr">
        <is>
          <t>6397 Truppenübungsplatz-Grafenwöhr-Geb1-4</t>
        </is>
      </c>
      <c r="B2916" s="4" t="inlineStr">
        <is>
          <t>● Geb2 Kantine (Dining Facility)</t>
        </is>
      </c>
      <c r="C2916" s="9" t="inlineStr">
        <is>
          <t>Unbekannt</t>
        </is>
      </c>
      <c r="D2916" s="10" t="inlineStr">
        <is>
          <t>⚠ Manual erforderlich</t>
        </is>
      </c>
      <c r="E2916" s="11" t="inlineStr"/>
      <c r="F2916" s="11" t="n">
        <v>0</v>
      </c>
      <c r="G2916" s="11">
        <f>E2916-F2916</f>
        <v/>
      </c>
      <c r="H2916" s="11" t="n">
        <v/>
      </c>
      <c r="I2916" s="11" t="n">
        <v/>
      </c>
      <c r="J2916" s="11" t="n">
        <v/>
      </c>
      <c r="K2916" s="4" t="inlineStr">
        <is>
          <t>Abrechnungsart wählen; Stundensätze eingeben</t>
        </is>
      </c>
    </row>
    <row r="2917">
      <c r="A2917" s="4" t="inlineStr">
        <is>
          <t>6397 Truppenübungsplatz-Grafenwöhr-Geb1-4</t>
        </is>
      </c>
      <c r="B2917" s="4" t="inlineStr">
        <is>
          <t>● Geb3 Fitnesseinrichtung (Fitness)</t>
        </is>
      </c>
      <c r="C2917" s="9" t="inlineStr">
        <is>
          <t>Unbekannt</t>
        </is>
      </c>
      <c r="D2917" s="10" t="inlineStr">
        <is>
          <t>⚠ Manual erforderlich</t>
        </is>
      </c>
      <c r="E2917" s="11" t="inlineStr"/>
      <c r="F2917" s="11" t="n">
        <v>0</v>
      </c>
      <c r="G2917" s="11">
        <f>E2917-F2917</f>
        <v/>
      </c>
      <c r="H2917" s="11" t="n">
        <v/>
      </c>
      <c r="I2917" s="11" t="n">
        <v/>
      </c>
      <c r="J2917" s="11" t="n">
        <v/>
      </c>
      <c r="K2917" s="4" t="inlineStr">
        <is>
          <t>Abrechnungsart wählen; Stundensätze eingeben</t>
        </is>
      </c>
    </row>
    <row r="2918">
      <c r="A2918" s="4" t="inlineStr">
        <is>
          <t>6397 Truppenübungsplatz-Grafenwöhr-Geb1-4</t>
        </is>
      </c>
      <c r="B2918" s="4" t="inlineStr">
        <is>
          <t>● Geb4 Heizwerk (Heating)</t>
        </is>
      </c>
      <c r="C2918" s="9" t="inlineStr">
        <is>
          <t>Unbekannt</t>
        </is>
      </c>
      <c r="D2918" s="10" t="inlineStr">
        <is>
          <t>⚠ Manual erforderlich</t>
        </is>
      </c>
      <c r="E2918" s="11" t="inlineStr"/>
      <c r="F2918" s="11" t="n">
        <v>0</v>
      </c>
      <c r="G2918" s="11">
        <f>E2918-F2918</f>
        <v/>
      </c>
      <c r="H2918" s="11" t="n">
        <v/>
      </c>
      <c r="I2918" s="11" t="n">
        <v/>
      </c>
      <c r="J2918" s="11" t="n">
        <v/>
      </c>
      <c r="K2918" s="4" t="inlineStr">
        <is>
          <t>Abrechnungsart wählen; Stundensätze eingeben</t>
        </is>
      </c>
    </row>
    <row r="2919">
      <c r="A2919" s="4" t="inlineStr">
        <is>
          <t>6397 Truppenübungsplatz-Grafenwöhr-Geb1-4</t>
        </is>
      </c>
      <c r="B2919" s="4" t="inlineStr">
        <is>
          <t>● (p) Begehungen (je Termin 900,-)</t>
        </is>
      </c>
      <c r="C2919" s="4" t="inlineStr">
        <is>
          <t>Pauschale</t>
        </is>
      </c>
      <c r="D2919" s="10" t="inlineStr">
        <is>
          <t>⚠ Manual erforderlich</t>
        </is>
      </c>
      <c r="E2919" s="11" t="inlineStr"/>
      <c r="F2919" s="11" t="n">
        <v>0</v>
      </c>
      <c r="G2919" s="11">
        <f>E2919-F2919</f>
        <v/>
      </c>
      <c r="H2919" s="11" t="n">
        <v/>
      </c>
      <c r="I2919" s="11" t="n">
        <v/>
      </c>
      <c r="J2919" s="11" t="n">
        <v/>
      </c>
      <c r="K2919" s="4" t="inlineStr">
        <is>
          <t>Stundensätze eingeben</t>
        </is>
      </c>
    </row>
    <row r="2920">
      <c r="A2920" s="4" t="inlineStr">
        <is>
          <t>6402.01 BSK-Eichelkopfstraße-63-65-Gettenbach-Schloss</t>
        </is>
      </c>
      <c r="B2920" s="4" t="inlineStr">
        <is>
          <t>● Erstellung BSK Interimsnutzung (auf Nachweis)-NAT01</t>
        </is>
      </c>
      <c r="C2920" s="9" t="inlineStr">
        <is>
          <t>Unbekannt</t>
        </is>
      </c>
      <c r="D2920" s="10" t="inlineStr">
        <is>
          <t>⚠ Manual erforderlich</t>
        </is>
      </c>
      <c r="E2920" s="11" t="inlineStr"/>
      <c r="F2920" s="11" t="n">
        <v>0</v>
      </c>
      <c r="G2920" s="11">
        <f>E2920-F2920</f>
        <v/>
      </c>
      <c r="H2920" s="11" t="n">
        <v/>
      </c>
      <c r="I2920" s="11" t="n">
        <v/>
      </c>
      <c r="J2920" s="11" t="n">
        <v/>
      </c>
      <c r="K2920" s="4" t="inlineStr">
        <is>
          <t>Abrechnungsart wählen; Stundensätze eingeben</t>
        </is>
      </c>
    </row>
    <row r="2921">
      <c r="A2921" s="4" t="inlineStr">
        <is>
          <t>6402.02 BSK-Wohnheim-Eichelkopfstraße-63-Gettenbach</t>
        </is>
      </c>
      <c r="B2921" s="4" t="inlineStr">
        <is>
          <t>● (a.N.) Erstellung Brandschutzkonzept</t>
        </is>
      </c>
      <c r="C2921" s="4" t="inlineStr">
        <is>
          <t>Nachweis</t>
        </is>
      </c>
      <c r="D2921" s="10" t="inlineStr">
        <is>
          <t>⚠ Manual erforderlich</t>
        </is>
      </c>
      <c r="E2921" s="11" t="inlineStr"/>
      <c r="F2921" s="11" t="n">
        <v>0</v>
      </c>
      <c r="G2921" s="11">
        <f>E2921-F2921</f>
        <v/>
      </c>
      <c r="H2921" s="11" t="n">
        <v/>
      </c>
      <c r="I2921" s="11" t="n">
        <v/>
      </c>
      <c r="J2921" s="11" t="n">
        <v/>
      </c>
      <c r="K2921" s="4" t="inlineStr">
        <is>
          <t>Stundensätze eingeben</t>
        </is>
      </c>
    </row>
    <row r="2922">
      <c r="A2922" s="4" t="inlineStr">
        <is>
          <t>6402.02 BSK-Wohnheim-Eichelkopfstraße-63-Gettenbach</t>
        </is>
      </c>
      <c r="B2922" s="4" t="inlineStr">
        <is>
          <t>● (a.N.) Erarbeiten Brandschutzkonzeptpläne</t>
        </is>
      </c>
      <c r="C2922" s="4" t="inlineStr">
        <is>
          <t>Nachweis</t>
        </is>
      </c>
      <c r="D2922" s="10" t="inlineStr">
        <is>
          <t>⚠ Manual erforderlich</t>
        </is>
      </c>
      <c r="E2922" s="11" t="inlineStr"/>
      <c r="F2922" s="11" t="n">
        <v>0</v>
      </c>
      <c r="G2922" s="11">
        <f>E2922-F2922</f>
        <v/>
      </c>
      <c r="H2922" s="11" t="n">
        <v/>
      </c>
      <c r="I2922" s="11" t="n">
        <v/>
      </c>
      <c r="J2922" s="11" t="n">
        <v/>
      </c>
      <c r="K2922" s="4" t="inlineStr">
        <is>
          <t>Stundensätze eingeben</t>
        </is>
      </c>
    </row>
    <row r="2923">
      <c r="A2923" s="4" t="inlineStr">
        <is>
          <t>6402.03 FRP+FWP-Wohnheim-Eichelkopfstraße-63-Gettenbach</t>
        </is>
      </c>
      <c r="B2923" s="4" t="inlineStr">
        <is>
          <t>● (p) Pos.1 Erstellung FWP</t>
        </is>
      </c>
      <c r="C2923" s="4" t="inlineStr">
        <is>
          <t>Pauschale</t>
        </is>
      </c>
      <c r="D2923" s="10" t="inlineStr">
        <is>
          <t>⚠ Manual erforderlich</t>
        </is>
      </c>
      <c r="E2923" s="11" t="inlineStr"/>
      <c r="F2923" s="11" t="n">
        <v>0</v>
      </c>
      <c r="G2923" s="11">
        <f>E2923-F2923</f>
        <v/>
      </c>
      <c r="H2923" s="11" t="n">
        <v>0</v>
      </c>
      <c r="I2923" s="11" t="n">
        <v>0</v>
      </c>
      <c r="J2923" s="11" t="n">
        <v>0</v>
      </c>
      <c r="K2923" s="4" t="inlineStr">
        <is>
          <t>Stundensätze eingeben</t>
        </is>
      </c>
    </row>
    <row r="2924">
      <c r="A2924" s="4" t="inlineStr">
        <is>
          <t>6402.03 FRP+FWP-Wohnheim-Eichelkopfstraße-63-Gettenbach</t>
        </is>
      </c>
      <c r="B2924" s="4" t="inlineStr">
        <is>
          <t>● (p) Pos.2 Erstellung FRP</t>
        </is>
      </c>
      <c r="C2924" s="4" t="inlineStr">
        <is>
          <t>Pauschale</t>
        </is>
      </c>
      <c r="D2924" s="10" t="inlineStr">
        <is>
          <t>⚠ Manual erforderlich</t>
        </is>
      </c>
      <c r="E2924" s="11" t="inlineStr"/>
      <c r="F2924" s="11" t="n">
        <v>0</v>
      </c>
      <c r="G2924" s="11">
        <f>E2924-F2924</f>
        <v/>
      </c>
      <c r="H2924" s="11" t="n">
        <v>0</v>
      </c>
      <c r="I2924" s="11" t="n">
        <v>0</v>
      </c>
      <c r="J2924" s="11" t="n">
        <v>0</v>
      </c>
      <c r="K2924" s="4" t="inlineStr">
        <is>
          <t>Stundensätze eingeben</t>
        </is>
      </c>
    </row>
    <row r="2925">
      <c r="A2925" s="4" t="inlineStr">
        <is>
          <t>6409 Konrad-Zuse-Straße-Alzenau-HPPVO</t>
        </is>
      </c>
      <c r="B2925" s="4" t="inlineStr">
        <is>
          <t>● Prüfung BSN (pauschal)</t>
        </is>
      </c>
      <c r="C2925" s="9" t="inlineStr">
        <is>
          <t>Unbekannt</t>
        </is>
      </c>
      <c r="D2925" s="10" t="inlineStr">
        <is>
          <t>⚠ Manual erforderlich</t>
        </is>
      </c>
      <c r="E2925" s="11" t="inlineStr"/>
      <c r="F2925" s="11" t="n">
        <v>0</v>
      </c>
      <c r="G2925" s="11">
        <f>E2925-F2925</f>
        <v/>
      </c>
      <c r="H2925" s="11" t="n">
        <v/>
      </c>
      <c r="I2925" s="11" t="n">
        <v/>
      </c>
      <c r="J2925" s="11" t="n">
        <v/>
      </c>
      <c r="K2925" s="4" t="inlineStr">
        <is>
          <t>Abrechnungsart wählen; Stundensätze eingeben</t>
        </is>
      </c>
    </row>
    <row r="2926">
      <c r="A2926" s="4" t="inlineStr">
        <is>
          <t>6409 Konrad-Zuse-Straße-Alzenau-HPPVO</t>
        </is>
      </c>
      <c r="B2926" s="4" t="inlineStr">
        <is>
          <t>● Überwachung Bauausführung (auf Nachweis)</t>
        </is>
      </c>
      <c r="C2926" s="9" t="inlineStr">
        <is>
          <t>Unbekannt</t>
        </is>
      </c>
      <c r="D2926" s="10" t="inlineStr">
        <is>
          <t>⚠ Manual erforderlich</t>
        </is>
      </c>
      <c r="E2926" s="11" t="inlineStr"/>
      <c r="F2926" s="11" t="n">
        <v>0</v>
      </c>
      <c r="G2926" s="11">
        <f>E2926-F2926</f>
        <v/>
      </c>
      <c r="H2926" s="11" t="n">
        <v/>
      </c>
      <c r="I2926" s="11" t="n">
        <v/>
      </c>
      <c r="J2926" s="11" t="n">
        <v/>
      </c>
      <c r="K2926" s="4" t="inlineStr">
        <is>
          <t>Abrechnungsart wählen; Stundensätze eingeben</t>
        </is>
      </c>
    </row>
    <row r="2927">
      <c r="A2927" s="4" t="inlineStr">
        <is>
          <t>6410.01 StBARegensburg-NAT-BSK-Geb852+854-Hohenfels</t>
        </is>
      </c>
      <c r="B2927" s="4" t="inlineStr">
        <is>
          <t>● NAT 2023-05-30</t>
        </is>
      </c>
      <c r="C2927" s="9" t="inlineStr">
        <is>
          <t>Unbekannt</t>
        </is>
      </c>
      <c r="D2927" s="10" t="inlineStr">
        <is>
          <t>⚠ Manual erforderlich</t>
        </is>
      </c>
      <c r="E2927" s="11" t="inlineStr"/>
      <c r="F2927" s="11" t="n">
        <v>0</v>
      </c>
      <c r="G2927" s="11">
        <f>E2927-F2927</f>
        <v/>
      </c>
      <c r="H2927" s="11" t="n">
        <v/>
      </c>
      <c r="I2927" s="11" t="n">
        <v/>
      </c>
      <c r="J2927" s="11" t="n">
        <v/>
      </c>
      <c r="K2927" s="4" t="inlineStr">
        <is>
          <t>Abrechnungsart wählen; Stundensätze eingeben</t>
        </is>
      </c>
    </row>
    <row r="2928">
      <c r="A2928" s="4" t="inlineStr">
        <is>
          <t>6410.02 StBARegensburg-NAT-BSK-BTB-BFM-Geb854-Hohenfels</t>
        </is>
      </c>
      <c r="B2928" s="4" t="inlineStr">
        <is>
          <t>● NAT-BSK-BTB- 002-2025-04-16</t>
        </is>
      </c>
      <c r="C2928" s="9" t="inlineStr">
        <is>
          <t>Unbekannt</t>
        </is>
      </c>
      <c r="D2928" s="10" t="inlineStr">
        <is>
          <t>⚠ Manual erforderlich</t>
        </is>
      </c>
      <c r="E2928" s="11" t="inlineStr"/>
      <c r="F2928" s="11" t="n">
        <v>0</v>
      </c>
      <c r="G2928" s="11">
        <f>E2928-F2928</f>
        <v/>
      </c>
      <c r="H2928" s="11" t="n">
        <v/>
      </c>
      <c r="I2928" s="11" t="n">
        <v/>
      </c>
      <c r="J2928" s="11" t="n">
        <v/>
      </c>
      <c r="K2928" s="4" t="inlineStr">
        <is>
          <t>Abrechnungsart wählen; Stundensätze eingeben</t>
        </is>
      </c>
    </row>
    <row r="2929">
      <c r="A2929" s="4" t="inlineStr">
        <is>
          <t>6410.02 StBARegensburg-NAT-BSK-BTB-BFM-Geb854-Hohenfels</t>
        </is>
      </c>
      <c r="B2929" s="4" t="inlineStr">
        <is>
          <t>● NAT-BFM-002-2025-04-16</t>
        </is>
      </c>
      <c r="C2929" s="9" t="inlineStr">
        <is>
          <t>Unbekannt</t>
        </is>
      </c>
      <c r="D2929" s="10" t="inlineStr">
        <is>
          <t>⚠ Manual erforderlich</t>
        </is>
      </c>
      <c r="E2929" s="11" t="inlineStr"/>
      <c r="F2929" s="11" t="n">
        <v>0</v>
      </c>
      <c r="G2929" s="11">
        <f>E2929-F2929</f>
        <v/>
      </c>
      <c r="H2929" s="11" t="n">
        <v/>
      </c>
      <c r="I2929" s="11" t="n">
        <v/>
      </c>
      <c r="J2929" s="11" t="n">
        <v/>
      </c>
      <c r="K2929" s="4" t="inlineStr">
        <is>
          <t>Abrechnungsart wählen; Stundensätze eingeben</t>
        </is>
      </c>
    </row>
    <row r="2930">
      <c r="A2930" s="4" t="inlineStr">
        <is>
          <t>6411 Turmstraße-10-Ludwigshafen</t>
        </is>
      </c>
      <c r="B2930" s="4" t="inlineStr">
        <is>
          <t>● Beratung (auf Nachweis)</t>
        </is>
      </c>
      <c r="C2930" s="9" t="inlineStr">
        <is>
          <t>Unbekannt</t>
        </is>
      </c>
      <c r="D2930" s="10" t="inlineStr">
        <is>
          <t>⚠ Manual erforderlich</t>
        </is>
      </c>
      <c r="E2930" s="11" t="inlineStr"/>
      <c r="F2930" s="11" t="n">
        <v>0</v>
      </c>
      <c r="G2930" s="11">
        <f>E2930-F2930</f>
        <v/>
      </c>
      <c r="H2930" s="11" t="n">
        <v/>
      </c>
      <c r="I2930" s="11" t="n">
        <v/>
      </c>
      <c r="J2930" s="11" t="n">
        <v/>
      </c>
      <c r="K2930" s="4" t="inlineStr">
        <is>
          <t>Abrechnungsart wählen; Stundensätze eingeben</t>
        </is>
      </c>
    </row>
    <row r="2931">
      <c r="A2931" s="4" t="inlineStr">
        <is>
          <t>6415 Foodbox-Sandhofer-Straße-116-Mannheim-Roche-SCCM</t>
        </is>
      </c>
      <c r="B2931" s="4" t="inlineStr">
        <is>
          <t>● Abstimmungstermine (auf Nachweis)</t>
        </is>
      </c>
      <c r="C2931" s="9" t="inlineStr">
        <is>
          <t>Unbekannt</t>
        </is>
      </c>
      <c r="D2931" s="10" t="inlineStr">
        <is>
          <t>⚠ Manual erforderlich</t>
        </is>
      </c>
      <c r="E2931" s="11" t="inlineStr"/>
      <c r="F2931" s="11" t="n">
        <v>0</v>
      </c>
      <c r="G2931" s="11">
        <f>E2931-F2931</f>
        <v/>
      </c>
      <c r="H2931" s="11" t="n">
        <v/>
      </c>
      <c r="I2931" s="11" t="n">
        <v/>
      </c>
      <c r="J2931" s="11" t="n">
        <v/>
      </c>
      <c r="K2931" s="4" t="inlineStr">
        <is>
          <t>Abrechnungsart wählen; Stundensätze eingeben</t>
        </is>
      </c>
    </row>
    <row r="2932">
      <c r="A2932" s="4" t="inlineStr">
        <is>
          <t>6415 Foodbox-Sandhofer-Straße-116-Mannheim-Roche-SCCM</t>
        </is>
      </c>
      <c r="B2932" s="4" t="inlineStr">
        <is>
          <t>● BSK (pauschal)</t>
        </is>
      </c>
      <c r="C2932" s="9" t="inlineStr">
        <is>
          <t>Unbekannt</t>
        </is>
      </c>
      <c r="D2932" s="10" t="inlineStr">
        <is>
          <t>⚠ Manual erforderlich</t>
        </is>
      </c>
      <c r="E2932" s="11" t="inlineStr"/>
      <c r="F2932" s="11" t="n">
        <v>0</v>
      </c>
      <c r="G2932" s="11">
        <f>E2932-F2932</f>
        <v/>
      </c>
      <c r="H2932" s="11" t="n">
        <v/>
      </c>
      <c r="I2932" s="11" t="n">
        <v/>
      </c>
      <c r="J2932" s="11" t="n">
        <v/>
      </c>
      <c r="K2932" s="4" t="inlineStr">
        <is>
          <t>Abrechnungsart wählen; Stundensätze eingeben</t>
        </is>
      </c>
    </row>
    <row r="2933">
      <c r="A2933" s="4" t="inlineStr">
        <is>
          <t>6415 Foodbox-Sandhofer-Straße-116-Mannheim-Roche-SCCM</t>
        </is>
      </c>
      <c r="B2933" s="4" t="inlineStr">
        <is>
          <t>● Baubegleitung (auf Nachweis)</t>
        </is>
      </c>
      <c r="C2933" s="9" t="inlineStr">
        <is>
          <t>Unbekannt</t>
        </is>
      </c>
      <c r="D2933" s="10" t="inlineStr">
        <is>
          <t>⚠ Manual erforderlich</t>
        </is>
      </c>
      <c r="E2933" s="11" t="inlineStr"/>
      <c r="F2933" s="11" t="n">
        <v>0</v>
      </c>
      <c r="G2933" s="11">
        <f>E2933-F2933</f>
        <v/>
      </c>
      <c r="H2933" s="11" t="n">
        <v/>
      </c>
      <c r="I2933" s="11" t="n">
        <v/>
      </c>
      <c r="J2933" s="11" t="n">
        <v/>
      </c>
      <c r="K2933" s="4" t="inlineStr">
        <is>
          <t>Abrechnungsart wählen; Stundensätze eingeben</t>
        </is>
      </c>
    </row>
    <row r="2934">
      <c r="A2934" s="4" t="inlineStr">
        <is>
          <t>6415 Foodbox-Sandhofer-Straße-116-Mannheim-Roche-SCCM</t>
        </is>
      </c>
      <c r="B2934" s="4" t="inlineStr">
        <is>
          <t>● FW-Pläne (pauschal)</t>
        </is>
      </c>
      <c r="C2934" s="9" t="inlineStr">
        <is>
          <t>Unbekannt</t>
        </is>
      </c>
      <c r="D2934" s="10" t="inlineStr">
        <is>
          <t>⚠ Manual erforderlich</t>
        </is>
      </c>
      <c r="E2934" s="11" t="inlineStr"/>
      <c r="F2934" s="11" t="n">
        <v>0</v>
      </c>
      <c r="G2934" s="11">
        <f>E2934-F2934</f>
        <v/>
      </c>
      <c r="H2934" s="11" t="n">
        <v/>
      </c>
      <c r="I2934" s="11" t="n">
        <v/>
      </c>
      <c r="J2934" s="11" t="n">
        <v/>
      </c>
      <c r="K2934" s="4" t="inlineStr">
        <is>
          <t>Abrechnungsart wählen; Stundensätze eingeben</t>
        </is>
      </c>
    </row>
    <row r="2935">
      <c r="A2935" s="4" t="inlineStr">
        <is>
          <t>6415 Foodbox-Sandhofer-Straße-116-Mannheim-Roche-SCCM</t>
        </is>
      </c>
      <c r="B2935" s="4" t="inlineStr">
        <is>
          <t>● FuR-Pläne (pauschal)</t>
        </is>
      </c>
      <c r="C2935" s="9" t="inlineStr">
        <is>
          <t>Unbekannt</t>
        </is>
      </c>
      <c r="D2935" s="10" t="inlineStr">
        <is>
          <t>⚠ Manual erforderlich</t>
        </is>
      </c>
      <c r="E2935" s="11" t="inlineStr"/>
      <c r="F2935" s="11" t="n">
        <v>0</v>
      </c>
      <c r="G2935" s="11">
        <f>E2935-F2935</f>
        <v/>
      </c>
      <c r="H2935" s="11" t="n">
        <v/>
      </c>
      <c r="I2935" s="11" t="n">
        <v/>
      </c>
      <c r="J2935" s="11" t="n">
        <v/>
      </c>
      <c r="K2935" s="4" t="inlineStr">
        <is>
          <t>Abrechnungsart wählen; Stundensätze eingeben</t>
        </is>
      </c>
    </row>
    <row r="2936">
      <c r="A2936" s="4" t="inlineStr">
        <is>
          <t>6421.02 FLA-Flughafen-Leipzig-FR</t>
        </is>
      </c>
      <c r="B2936" s="4" t="inlineStr">
        <is>
          <t>● LP1 (pauschal)</t>
        </is>
      </c>
      <c r="C2936" s="9" t="inlineStr">
        <is>
          <t>Unbekannt</t>
        </is>
      </c>
      <c r="D2936" s="10" t="inlineStr">
        <is>
          <t>⚠ Manual erforderlich</t>
        </is>
      </c>
      <c r="E2936" s="11" t="inlineStr"/>
      <c r="F2936" s="11" t="n">
        <v>0</v>
      </c>
      <c r="G2936" s="11">
        <f>E2936-F2936</f>
        <v/>
      </c>
      <c r="H2936" s="11" t="n">
        <v/>
      </c>
      <c r="I2936" s="11" t="n">
        <v/>
      </c>
      <c r="J2936" s="11" t="n">
        <v/>
      </c>
      <c r="K2936" s="4" t="inlineStr">
        <is>
          <t>Abrechnungsart wählen; Stundensätze eingeben</t>
        </is>
      </c>
    </row>
    <row r="2937">
      <c r="A2937" s="4" t="inlineStr">
        <is>
          <t>6421.022 FLA-Flughafen-Leipzig-FR-LP3</t>
        </is>
      </c>
      <c r="B2937" s="4" t="inlineStr">
        <is>
          <t>● (p.) LP 3 GL</t>
        </is>
      </c>
      <c r="C2937" s="9" t="inlineStr">
        <is>
          <t>Unbekannt</t>
        </is>
      </c>
      <c r="D2937" s="10" t="inlineStr">
        <is>
          <t>⚠ Manual erforderlich</t>
        </is>
      </c>
      <c r="E2937" s="11" t="inlineStr"/>
      <c r="F2937" s="11" t="n">
        <v>0</v>
      </c>
      <c r="G2937" s="11">
        <f>E2937-F2937</f>
        <v/>
      </c>
      <c r="H2937" s="11" t="n">
        <v/>
      </c>
      <c r="I2937" s="11" t="n">
        <v/>
      </c>
      <c r="J2937" s="11" t="n">
        <v/>
      </c>
      <c r="K2937" s="4" t="inlineStr">
        <is>
          <t>Abrechnungsart wählen; Stundensätze eingeben</t>
        </is>
      </c>
    </row>
    <row r="2938">
      <c r="A2938" s="4" t="inlineStr">
        <is>
          <t>6421.04 Parkgarage-Flughafen-Leipzig</t>
        </is>
      </c>
      <c r="B2938" s="4" t="inlineStr">
        <is>
          <t>● LP 1 + 2 pauschal</t>
        </is>
      </c>
      <c r="C2938" s="9" t="inlineStr">
        <is>
          <t>Unbekannt</t>
        </is>
      </c>
      <c r="D2938" s="10" t="inlineStr">
        <is>
          <t>⚠ Manual erforderlich</t>
        </is>
      </c>
      <c r="E2938" s="11" t="inlineStr"/>
      <c r="F2938" s="11" t="n">
        <v>0</v>
      </c>
      <c r="G2938" s="11">
        <f>E2938-F2938</f>
        <v/>
      </c>
      <c r="H2938" s="11" t="n">
        <v/>
      </c>
      <c r="I2938" s="11" t="n">
        <v/>
      </c>
      <c r="J2938" s="11" t="n">
        <v/>
      </c>
      <c r="K2938" s="4" t="inlineStr">
        <is>
          <t>Abrechnungsart wählen; Stundensätze eingeben</t>
        </is>
      </c>
    </row>
    <row r="2939">
      <c r="A2939" s="4" t="inlineStr">
        <is>
          <t>6421.071 Weerts-NAT-BSK-DtAircraft-Leipzig</t>
        </is>
      </c>
      <c r="B2939" s="4" t="inlineStr">
        <is>
          <t>● (p) Pos. 1 Anp. BSK</t>
        </is>
      </c>
      <c r="C2939" s="4" t="inlineStr">
        <is>
          <t>Pauschale</t>
        </is>
      </c>
      <c r="D2939" s="10" t="inlineStr">
        <is>
          <t>⚠ Manual erforderlich</t>
        </is>
      </c>
      <c r="E2939" s="11" t="inlineStr"/>
      <c r="F2939" s="11" t="n">
        <v>0</v>
      </c>
      <c r="G2939" s="11">
        <f>E2939-F2939</f>
        <v/>
      </c>
      <c r="H2939" s="11" t="n">
        <v>0</v>
      </c>
      <c r="I2939" s="11" t="n">
        <v>0</v>
      </c>
      <c r="J2939" s="11" t="n">
        <v>0</v>
      </c>
      <c r="K2939" s="4" t="inlineStr">
        <is>
          <t>Stundensätze eingeben</t>
        </is>
      </c>
    </row>
    <row r="2940">
      <c r="A2940" s="4" t="inlineStr">
        <is>
          <t>6421.071 Weerts-NAT-BSK-DtAircraft-Leipzig</t>
        </is>
      </c>
      <c r="B2940" s="4" t="inlineStr">
        <is>
          <t>● (aN) Pos. 2 BTB Ausführungsplanung</t>
        </is>
      </c>
      <c r="C2940" s="4" t="inlineStr">
        <is>
          <t>Nachweis</t>
        </is>
      </c>
      <c r="D2940" s="10" t="inlineStr">
        <is>
          <t>⚠ Manual erforderlich</t>
        </is>
      </c>
      <c r="E2940" s="11" t="inlineStr"/>
      <c r="F2940" s="11" t="n">
        <v>0</v>
      </c>
      <c r="G2940" s="11">
        <f>E2940-F2940</f>
        <v/>
      </c>
      <c r="H2940" s="11" t="n">
        <v/>
      </c>
      <c r="I2940" s="11" t="n">
        <v/>
      </c>
      <c r="J2940" s="11" t="n">
        <v/>
      </c>
      <c r="K2940" s="4" t="inlineStr">
        <is>
          <t>Stundensätze eingeben</t>
        </is>
      </c>
    </row>
    <row r="2941">
      <c r="A2941" s="4" t="inlineStr">
        <is>
          <t>6421.08 FLA-BER-FAL-Leipzig</t>
        </is>
      </c>
      <c r="B2941" s="4" t="inlineStr">
        <is>
          <t>● (aN) Pos. 1 Beratungsleistungen Fachplaner</t>
        </is>
      </c>
      <c r="C2941" s="4" t="inlineStr">
        <is>
          <t>Nachweis</t>
        </is>
      </c>
      <c r="D2941" s="10" t="inlineStr">
        <is>
          <t>⚠ Manual erforderlich</t>
        </is>
      </c>
      <c r="E2941" s="11" t="inlineStr"/>
      <c r="F2941" s="11" t="n">
        <v>0</v>
      </c>
      <c r="G2941" s="11">
        <f>E2941-F2941</f>
        <v/>
      </c>
      <c r="H2941" s="11" t="n">
        <v/>
      </c>
      <c r="I2941" s="11" t="n">
        <v/>
      </c>
      <c r="J2941" s="11" t="n">
        <v/>
      </c>
      <c r="K2941" s="4" t="inlineStr">
        <is>
          <t>Stundensätze eingeben</t>
        </is>
      </c>
    </row>
    <row r="2942">
      <c r="A2942" s="4" t="inlineStr">
        <is>
          <t>6424 Hauptstraße-321-Eschborn-KiTa</t>
        </is>
      </c>
      <c r="B2942" s="4" t="inlineStr">
        <is>
          <t>● BSK (pauschal)</t>
        </is>
      </c>
      <c r="C2942" s="9" t="inlineStr">
        <is>
          <t>Unbekannt</t>
        </is>
      </c>
      <c r="D2942" s="10" t="inlineStr">
        <is>
          <t>⚠ Manual erforderlich</t>
        </is>
      </c>
      <c r="E2942" s="11" t="inlineStr"/>
      <c r="F2942" s="11" t="n">
        <v>0</v>
      </c>
      <c r="G2942" s="11">
        <f>E2942-F2942</f>
        <v/>
      </c>
      <c r="H2942" s="11" t="n">
        <v/>
      </c>
      <c r="I2942" s="11" t="n">
        <v/>
      </c>
      <c r="J2942" s="11" t="n">
        <v/>
      </c>
      <c r="K2942" s="4" t="inlineStr">
        <is>
          <t>Abrechnungsart wählen; Stundensätze eingeben</t>
        </is>
      </c>
    </row>
    <row r="2943">
      <c r="A2943" s="4" t="inlineStr">
        <is>
          <t>6424 Hauptstraße-321-Eschborn-KiTa</t>
        </is>
      </c>
      <c r="B2943" s="4" t="inlineStr">
        <is>
          <t>● Baubegleitung (auf Nachweis)</t>
        </is>
      </c>
      <c r="C2943" s="9" t="inlineStr">
        <is>
          <t>Unbekannt</t>
        </is>
      </c>
      <c r="D2943" s="10" t="inlineStr">
        <is>
          <t>⚠ Manual erforderlich</t>
        </is>
      </c>
      <c r="E2943" s="11" t="inlineStr"/>
      <c r="F2943" s="11" t="n">
        <v>0</v>
      </c>
      <c r="G2943" s="11">
        <f>E2943-F2943</f>
        <v/>
      </c>
      <c r="H2943" s="11" t="n">
        <v/>
      </c>
      <c r="I2943" s="11" t="n">
        <v/>
      </c>
      <c r="J2943" s="11" t="n">
        <v/>
      </c>
      <c r="K2943" s="4" t="inlineStr">
        <is>
          <t>Abrechnungsart wählen; Stundensätze eingeben</t>
        </is>
      </c>
    </row>
    <row r="2944">
      <c r="A2944" s="4" t="inlineStr">
        <is>
          <t>6427.01 DtPostDHL-BSK-IPZ-1-Flughafen-Frankfurt</t>
        </is>
      </c>
      <c r="B2944" s="4" t="inlineStr">
        <is>
          <t>● (aN) Pos. 1 Erstellung eines Brandschutzkonzeptes</t>
        </is>
      </c>
      <c r="C2944" s="4" t="inlineStr">
        <is>
          <t>Nachweis</t>
        </is>
      </c>
      <c r="D2944" s="10" t="inlineStr">
        <is>
          <t>⚠ Manual erforderlich</t>
        </is>
      </c>
      <c r="E2944" s="11" t="inlineStr"/>
      <c r="F2944" s="11" t="n">
        <v>0</v>
      </c>
      <c r="G2944" s="11">
        <f>E2944-F2944</f>
        <v/>
      </c>
      <c r="H2944" s="11" t="n">
        <v/>
      </c>
      <c r="I2944" s="11" t="n">
        <v/>
      </c>
      <c r="J2944" s="11" t="n">
        <v/>
      </c>
      <c r="K2944" s="4" t="inlineStr">
        <is>
          <t>Stundensätze eingeben</t>
        </is>
      </c>
    </row>
    <row r="2945">
      <c r="A2945" s="4" t="inlineStr">
        <is>
          <t>6427.01 DtPostDHL-BSK-IPZ-1-Flughafen-Frankfurt</t>
        </is>
      </c>
      <c r="B2945" s="4" t="inlineStr">
        <is>
          <t>● (aN) Pos. 2 Anpassung der Brandschutzkonzeptpläne</t>
        </is>
      </c>
      <c r="C2945" s="4" t="inlineStr">
        <is>
          <t>Nachweis</t>
        </is>
      </c>
      <c r="D2945" s="10" t="inlineStr">
        <is>
          <t>⚠ Manual erforderlich</t>
        </is>
      </c>
      <c r="E2945" s="11" t="inlineStr"/>
      <c r="F2945" s="11" t="n">
        <v>0</v>
      </c>
      <c r="G2945" s="11">
        <f>E2945-F2945</f>
        <v/>
      </c>
      <c r="H2945" s="11" t="n">
        <v/>
      </c>
      <c r="I2945" s="11" t="n">
        <v/>
      </c>
      <c r="J2945" s="11" t="n">
        <v/>
      </c>
      <c r="K2945" s="4" t="inlineStr">
        <is>
          <t>Stundensätze eingeben</t>
        </is>
      </c>
    </row>
    <row r="2946">
      <c r="A2946" s="4" t="inlineStr">
        <is>
          <t>6429 Zollhofstraße-4-Ludwigshafen-LEG</t>
        </is>
      </c>
      <c r="B2946" s="4" t="inlineStr">
        <is>
          <t>● Teilnahme Ortstermine (auf Nachweis)</t>
        </is>
      </c>
      <c r="C2946" s="9" t="inlineStr">
        <is>
          <t>Unbekannt</t>
        </is>
      </c>
      <c r="D2946" s="10" t="inlineStr">
        <is>
          <t>⚠ Manual erforderlich</t>
        </is>
      </c>
      <c r="E2946" s="11" t="inlineStr"/>
      <c r="F2946" s="11" t="n">
        <v>0</v>
      </c>
      <c r="G2946" s="11">
        <f>E2946-F2946</f>
        <v/>
      </c>
      <c r="H2946" s="11" t="n">
        <v/>
      </c>
      <c r="I2946" s="11" t="n">
        <v/>
      </c>
      <c r="J2946" s="11" t="n">
        <v/>
      </c>
      <c r="K2946" s="4" t="inlineStr">
        <is>
          <t>Abrechnungsart wählen; Stundensätze eingeben</t>
        </is>
      </c>
    </row>
    <row r="2947">
      <c r="A2947" s="4" t="inlineStr">
        <is>
          <t>6429 Zollhofstraße-4-Ludwigshafen-LEG</t>
        </is>
      </c>
      <c r="B2947" s="4" t="inlineStr">
        <is>
          <t>● BSK (pauschal)</t>
        </is>
      </c>
      <c r="C2947" s="9" t="inlineStr">
        <is>
          <t>Unbekannt</t>
        </is>
      </c>
      <c r="D2947" s="10" t="inlineStr">
        <is>
          <t>⚠ Manual erforderlich</t>
        </is>
      </c>
      <c r="E2947" s="11" t="inlineStr"/>
      <c r="F2947" s="11" t="n">
        <v>0</v>
      </c>
      <c r="G2947" s="11">
        <f>E2947-F2947</f>
        <v/>
      </c>
      <c r="H2947" s="11" t="n">
        <v/>
      </c>
      <c r="I2947" s="11" t="n">
        <v/>
      </c>
      <c r="J2947" s="11" t="n">
        <v/>
      </c>
      <c r="K2947" s="4" t="inlineStr">
        <is>
          <t>Abrechnungsart wählen; Stundensätze eingeben</t>
        </is>
      </c>
    </row>
    <row r="2948">
      <c r="A2948" s="4" t="inlineStr">
        <is>
          <t>6429 Zollhofstraße-4-Ludwigshafen-LEG</t>
        </is>
      </c>
      <c r="B2948" s="4" t="inlineStr">
        <is>
          <t>● Baubegleitung (auf Nachweis)</t>
        </is>
      </c>
      <c r="C2948" s="9" t="inlineStr">
        <is>
          <t>Unbekannt</t>
        </is>
      </c>
      <c r="D2948" s="10" t="inlineStr">
        <is>
          <t>⚠ Manual erforderlich</t>
        </is>
      </c>
      <c r="E2948" s="11" t="inlineStr"/>
      <c r="F2948" s="11" t="n">
        <v>0</v>
      </c>
      <c r="G2948" s="11">
        <f>E2948-F2948</f>
        <v/>
      </c>
      <c r="H2948" s="11" t="n">
        <v/>
      </c>
      <c r="I2948" s="11" t="n">
        <v/>
      </c>
      <c r="J2948" s="11" t="n">
        <v/>
      </c>
      <c r="K2948" s="4" t="inlineStr">
        <is>
          <t>Abrechnungsart wählen; Stundensätze eingeben</t>
        </is>
      </c>
    </row>
    <row r="2949">
      <c r="A2949" s="4" t="inlineStr">
        <is>
          <t>6429 Zollhofstraße-4-Ludwigshafen-LEG</t>
        </is>
      </c>
      <c r="B2949" s="4" t="inlineStr">
        <is>
          <t>● Maßnahmenkatalog (pauschal)</t>
        </is>
      </c>
      <c r="C2949" s="9" t="inlineStr">
        <is>
          <t>Unbekannt</t>
        </is>
      </c>
      <c r="D2949" s="10" t="inlineStr">
        <is>
          <t>⚠ Manual erforderlich</t>
        </is>
      </c>
      <c r="E2949" s="11" t="inlineStr"/>
      <c r="F2949" s="11" t="n">
        <v>0</v>
      </c>
      <c r="G2949" s="11">
        <f>E2949-F2949</f>
        <v/>
      </c>
      <c r="H2949" s="11" t="n">
        <v/>
      </c>
      <c r="I2949" s="11" t="n">
        <v/>
      </c>
      <c r="J2949" s="11" t="n">
        <v/>
      </c>
      <c r="K2949" s="4" t="inlineStr">
        <is>
          <t>Abrechnungsart wählen; Stundensätze eingeben</t>
        </is>
      </c>
    </row>
    <row r="2950">
      <c r="A2950" s="4" t="inlineStr">
        <is>
          <t>6436 Ottostraße-6-Friedberg</t>
        </is>
      </c>
      <c r="B2950" s="4" t="inlineStr">
        <is>
          <t>● BSK (pauschal)</t>
        </is>
      </c>
      <c r="C2950" s="9" t="inlineStr">
        <is>
          <t>Unbekannt</t>
        </is>
      </c>
      <c r="D2950" s="10" t="inlineStr">
        <is>
          <t>⚠ Manual erforderlich</t>
        </is>
      </c>
      <c r="E2950" s="11" t="inlineStr"/>
      <c r="F2950" s="11" t="n">
        <v>0</v>
      </c>
      <c r="G2950" s="11">
        <f>E2950-F2950</f>
        <v/>
      </c>
      <c r="H2950" s="11" t="n">
        <v/>
      </c>
      <c r="I2950" s="11" t="n">
        <v/>
      </c>
      <c r="J2950" s="11" t="n">
        <v/>
      </c>
      <c r="K2950" s="4" t="inlineStr">
        <is>
          <t>Abrechnungsart wählen; Stundensätze eingeben</t>
        </is>
      </c>
    </row>
    <row r="2951">
      <c r="A2951" s="4" t="inlineStr">
        <is>
          <t>6436 Ottostraße-6-Friedberg</t>
        </is>
      </c>
      <c r="B2951" s="4" t="inlineStr">
        <is>
          <t>● Baubegleitung (auf Nachweis)</t>
        </is>
      </c>
      <c r="C2951" s="9" t="inlineStr">
        <is>
          <t>Unbekannt</t>
        </is>
      </c>
      <c r="D2951" s="10" t="inlineStr">
        <is>
          <t>⚠ Manual erforderlich</t>
        </is>
      </c>
      <c r="E2951" s="11" t="inlineStr"/>
      <c r="F2951" s="11" t="n">
        <v>0</v>
      </c>
      <c r="G2951" s="11">
        <f>E2951-F2951</f>
        <v/>
      </c>
      <c r="H2951" s="11" t="n">
        <v/>
      </c>
      <c r="I2951" s="11" t="n">
        <v/>
      </c>
      <c r="J2951" s="11" t="n">
        <v/>
      </c>
      <c r="K2951" s="4" t="inlineStr">
        <is>
          <t>Abrechnungsart wählen; Stundensätze eingeben</t>
        </is>
      </c>
    </row>
    <row r="2952">
      <c r="A2952" s="4" t="inlineStr">
        <is>
          <t>6444.01 E03-MediTec-Rudolf-Eber-Straße-2-Oberkochen-Zeiss-FLA</t>
        </is>
      </c>
      <c r="B2952" s="4" t="inlineStr">
        <is>
          <t>● 3D-Bestandsaufnahme (auf Nachweis)</t>
        </is>
      </c>
      <c r="C2952" s="9" t="inlineStr">
        <is>
          <t>Unbekannt</t>
        </is>
      </c>
      <c r="D2952" s="10" t="inlineStr">
        <is>
          <t>⚠ Manual erforderlich</t>
        </is>
      </c>
      <c r="E2952" s="11" t="inlineStr"/>
      <c r="F2952" s="11" t="n">
        <v>0</v>
      </c>
      <c r="G2952" s="11">
        <f>E2952-F2952</f>
        <v/>
      </c>
      <c r="H2952" s="11" t="n">
        <v/>
      </c>
      <c r="I2952" s="11" t="n">
        <v/>
      </c>
      <c r="J2952" s="11" t="n">
        <v/>
      </c>
      <c r="K2952" s="4" t="inlineStr">
        <is>
          <t>Abrechnungsart wählen; Stundensätze eingeben</t>
        </is>
      </c>
    </row>
    <row r="2953">
      <c r="A2953" s="4" t="inlineStr">
        <is>
          <t>6444.01 E03-MediTec-Rudolf-Eber-Straße-2-Oberkochen-Zeiss-FLA</t>
        </is>
      </c>
      <c r="B2953" s="4" t="inlineStr">
        <is>
          <t>● LPH 2-4 (auf Nachweis)</t>
        </is>
      </c>
      <c r="C2953" s="9" t="inlineStr">
        <is>
          <t>Unbekannt</t>
        </is>
      </c>
      <c r="D2953" s="10" t="inlineStr">
        <is>
          <t>⚠ Manual erforderlich</t>
        </is>
      </c>
      <c r="E2953" s="11" t="inlineStr"/>
      <c r="F2953" s="11" t="n">
        <v>0</v>
      </c>
      <c r="G2953" s="11">
        <f>E2953-F2953</f>
        <v/>
      </c>
      <c r="H2953" s="11" t="n">
        <v/>
      </c>
      <c r="I2953" s="11" t="n">
        <v/>
      </c>
      <c r="J2953" s="11" t="n">
        <v/>
      </c>
      <c r="K2953" s="4" t="inlineStr">
        <is>
          <t>Abrechnungsart wählen; Stundensätze eingeben</t>
        </is>
      </c>
    </row>
    <row r="2954">
      <c r="A2954" s="4" t="inlineStr">
        <is>
          <t>6444.01 E03-MediTec-Rudolf-Eber-Straße-2-Oberkochen-Zeiss-FLA</t>
        </is>
      </c>
      <c r="B2954" s="4" t="inlineStr">
        <is>
          <t>● 3D-Modell Bestand + LPH 3 (auf Nachweis)-CAD</t>
        </is>
      </c>
      <c r="C2954" s="9" t="inlineStr">
        <is>
          <t>Unbekannt</t>
        </is>
      </c>
      <c r="D2954" s="10" t="inlineStr">
        <is>
          <t>⚠ Manual erforderlich</t>
        </is>
      </c>
      <c r="E2954" s="11" t="inlineStr"/>
      <c r="F2954" s="11" t="n">
        <v>0</v>
      </c>
      <c r="G2954" s="11">
        <f>E2954-F2954</f>
        <v/>
      </c>
      <c r="H2954" s="11" t="n">
        <v/>
      </c>
      <c r="I2954" s="11" t="n">
        <v/>
      </c>
      <c r="J2954" s="11" t="n">
        <v/>
      </c>
      <c r="K2954" s="4" t="inlineStr">
        <is>
          <t>Abrechnungsart wählen; Stundensätze eingeben</t>
        </is>
      </c>
    </row>
    <row r="2955">
      <c r="A2955" s="4" t="inlineStr">
        <is>
          <t>6444.01 E03-MediTec-Rudolf-Eber-Straße-2-Oberkochen-Zeiss-FLA</t>
        </is>
      </c>
      <c r="B2955" s="4" t="inlineStr">
        <is>
          <t>● LPH 5-7 (auf Nachweis)</t>
        </is>
      </c>
      <c r="C2955" s="9" t="inlineStr">
        <is>
          <t>Unbekannt</t>
        </is>
      </c>
      <c r="D2955" s="10" t="inlineStr">
        <is>
          <t>⚠ Manual erforderlich</t>
        </is>
      </c>
      <c r="E2955" s="11" t="inlineStr"/>
      <c r="F2955" s="11" t="n">
        <v>0</v>
      </c>
      <c r="G2955" s="11">
        <f>E2955-F2955</f>
        <v/>
      </c>
      <c r="H2955" s="11" t="n">
        <v/>
      </c>
      <c r="I2955" s="11" t="n">
        <v/>
      </c>
      <c r="J2955" s="11" t="n">
        <v/>
      </c>
      <c r="K2955" s="4" t="inlineStr">
        <is>
          <t>Abrechnungsart wählen; Stundensätze eingeben</t>
        </is>
      </c>
    </row>
    <row r="2956">
      <c r="A2956" s="4" t="inlineStr">
        <is>
          <t>6444.01 E03-MediTec-Rudolf-Eber-Straße-2-Oberkochen-Zeiss-FLA</t>
        </is>
      </c>
      <c r="B2956" s="4" t="inlineStr">
        <is>
          <t>● 3D-Modell LPH 5 (auf Nachweis)-CAD</t>
        </is>
      </c>
      <c r="C2956" s="9" t="inlineStr">
        <is>
          <t>Unbekannt</t>
        </is>
      </c>
      <c r="D2956" s="10" t="inlineStr">
        <is>
          <t>⚠ Manual erforderlich</t>
        </is>
      </c>
      <c r="E2956" s="11" t="inlineStr"/>
      <c r="F2956" s="11" t="n">
        <v>0</v>
      </c>
      <c r="G2956" s="11">
        <f>E2956-F2956</f>
        <v/>
      </c>
      <c r="H2956" s="11" t="n">
        <v/>
      </c>
      <c r="I2956" s="11" t="n">
        <v/>
      </c>
      <c r="J2956" s="11" t="n">
        <v/>
      </c>
      <c r="K2956" s="4" t="inlineStr">
        <is>
          <t>Abrechnungsart wählen; Stundensätze eingeben</t>
        </is>
      </c>
    </row>
    <row r="2957">
      <c r="A2957" s="4" t="inlineStr">
        <is>
          <t>6444.01 E03-MediTec-Rudolf-Eber-Straße-2-Oberkochen-Zeiss-FLA</t>
        </is>
      </c>
      <c r="B2957" s="4" t="inlineStr">
        <is>
          <t>● (a.N.) LPH8-SV</t>
        </is>
      </c>
      <c r="C2957" s="4" t="inlineStr">
        <is>
          <t>Nachweis</t>
        </is>
      </c>
      <c r="D2957" s="10" t="inlineStr">
        <is>
          <t>⚠ Manual erforderlich</t>
        </is>
      </c>
      <c r="E2957" s="11" t="inlineStr"/>
      <c r="F2957" s="11" t="n">
        <v>0</v>
      </c>
      <c r="G2957" s="11">
        <f>E2957-F2957</f>
        <v/>
      </c>
      <c r="H2957" s="11" t="n">
        <v/>
      </c>
      <c r="I2957" s="11" t="n">
        <v/>
      </c>
      <c r="J2957" s="11" t="n">
        <v/>
      </c>
      <c r="K2957" s="4" t="inlineStr">
        <is>
          <t>Stundensätze eingeben</t>
        </is>
      </c>
    </row>
    <row r="2958">
      <c r="A2958" s="4" t="inlineStr">
        <is>
          <t>6457 Fraport-Geb-504-Pläne</t>
        </is>
      </c>
      <c r="B2958" s="4" t="inlineStr">
        <is>
          <t>● FW-Pläne (pauschal)</t>
        </is>
      </c>
      <c r="C2958" s="9" t="inlineStr">
        <is>
          <t>Unbekannt</t>
        </is>
      </c>
      <c r="D2958" s="10" t="inlineStr">
        <is>
          <t>⚠ Manual erforderlich</t>
        </is>
      </c>
      <c r="E2958" s="11" t="inlineStr"/>
      <c r="F2958" s="11" t="n">
        <v>0</v>
      </c>
      <c r="G2958" s="11">
        <f>E2958-F2958</f>
        <v/>
      </c>
      <c r="H2958" s="11" t="n">
        <v/>
      </c>
      <c r="I2958" s="11" t="n">
        <v/>
      </c>
      <c r="J2958" s="11" t="n">
        <v/>
      </c>
      <c r="K2958" s="4" t="inlineStr">
        <is>
          <t>Abrechnungsart wählen; Stundensätze eingeben</t>
        </is>
      </c>
    </row>
    <row r="2959">
      <c r="A2959" s="4" t="inlineStr">
        <is>
          <t>6457 Fraport-Geb-504-Pläne</t>
        </is>
      </c>
      <c r="B2959" s="4" t="inlineStr">
        <is>
          <t>● FuR-Pläne (pauschal)</t>
        </is>
      </c>
      <c r="C2959" s="9" t="inlineStr">
        <is>
          <t>Unbekannt</t>
        </is>
      </c>
      <c r="D2959" s="10" t="inlineStr">
        <is>
          <t>⚠ Manual erforderlich</t>
        </is>
      </c>
      <c r="E2959" s="11" t="inlineStr"/>
      <c r="F2959" s="11" t="n">
        <v>0</v>
      </c>
      <c r="G2959" s="11">
        <f>E2959-F2959</f>
        <v/>
      </c>
      <c r="H2959" s="11" t="n">
        <v/>
      </c>
      <c r="I2959" s="11" t="n">
        <v/>
      </c>
      <c r="J2959" s="11" t="n">
        <v/>
      </c>
      <c r="K2959" s="4" t="inlineStr">
        <is>
          <t>Abrechnungsart wählen; Stundensätze eingeben</t>
        </is>
      </c>
    </row>
    <row r="2960">
      <c r="A2960" s="4" t="inlineStr">
        <is>
          <t>6457 Fraport-Geb-504-Pläne</t>
        </is>
      </c>
      <c r="B2960" s="4" t="inlineStr">
        <is>
          <t>● Std. a.N. (auf Nachweis)</t>
        </is>
      </c>
      <c r="C2960" s="9" t="inlineStr">
        <is>
          <t>Unbekannt</t>
        </is>
      </c>
      <c r="D2960" s="10" t="inlineStr">
        <is>
          <t>⚠ Manual erforderlich</t>
        </is>
      </c>
      <c r="E2960" s="11" t="inlineStr"/>
      <c r="F2960" s="11" t="n">
        <v>0</v>
      </c>
      <c r="G2960" s="11">
        <f>E2960-F2960</f>
        <v/>
      </c>
      <c r="H2960" s="11" t="n">
        <v/>
      </c>
      <c r="I2960" s="11" t="n">
        <v/>
      </c>
      <c r="J2960" s="11" t="n">
        <v/>
      </c>
      <c r="K2960" s="4" t="inlineStr">
        <is>
          <t>Abrechnungsart wählen; Stundensätze eingeben</t>
        </is>
      </c>
    </row>
    <row r="2961">
      <c r="A2961" s="4" t="inlineStr">
        <is>
          <t>6465 Freiherr-vom-Stein-Straße-3-Frankfurt-HPPVO</t>
        </is>
      </c>
      <c r="B2961" s="4" t="inlineStr">
        <is>
          <t>● Prüfung Nachweis (auf Nachweis)</t>
        </is>
      </c>
      <c r="C2961" s="9" t="inlineStr">
        <is>
          <t>Unbekannt</t>
        </is>
      </c>
      <c r="D2961" s="10" t="inlineStr">
        <is>
          <t>⚠ Manual erforderlich</t>
        </is>
      </c>
      <c r="E2961" s="11" t="inlineStr"/>
      <c r="F2961" s="11" t="n">
        <v>0</v>
      </c>
      <c r="G2961" s="11">
        <f>E2961-F2961</f>
        <v/>
      </c>
      <c r="H2961" s="11" t="n">
        <v/>
      </c>
      <c r="I2961" s="11" t="n">
        <v/>
      </c>
      <c r="J2961" s="11" t="n">
        <v/>
      </c>
      <c r="K2961" s="4" t="inlineStr">
        <is>
          <t>Abrechnungsart wählen; Stundensätze eingeben</t>
        </is>
      </c>
    </row>
    <row r="2962">
      <c r="A2962" s="4" t="inlineStr">
        <is>
          <t>6465 Freiherr-vom-Stein-Straße-3-Frankfurt-HPPVO</t>
        </is>
      </c>
      <c r="B2962" s="4" t="inlineStr">
        <is>
          <t>● Überwachung Bauausführung (auf Nachweis)</t>
        </is>
      </c>
      <c r="C2962" s="9" t="inlineStr">
        <is>
          <t>Unbekannt</t>
        </is>
      </c>
      <c r="D2962" s="10" t="inlineStr">
        <is>
          <t>⚠ Manual erforderlich</t>
        </is>
      </c>
      <c r="E2962" s="11" t="inlineStr"/>
      <c r="F2962" s="11" t="n">
        <v>0</v>
      </c>
      <c r="G2962" s="11">
        <f>E2962-F2962</f>
        <v/>
      </c>
      <c r="H2962" s="11" t="n">
        <v/>
      </c>
      <c r="I2962" s="11" t="n">
        <v/>
      </c>
      <c r="J2962" s="11" t="n">
        <v/>
      </c>
      <c r="K2962" s="4" t="inlineStr">
        <is>
          <t>Abrechnungsart wählen; Stundensätze eingeben</t>
        </is>
      </c>
    </row>
    <row r="2963">
      <c r="A2963" s="4" t="inlineStr">
        <is>
          <t>6466.200 BSB-2024-Los1-Asylunterkünfte-Schwaben-Nord</t>
        </is>
      </c>
      <c r="B2963" s="4" t="inlineStr">
        <is>
          <t>● (a.N.) BSB 11/223- 10/24</t>
        </is>
      </c>
      <c r="C2963" s="4" t="inlineStr">
        <is>
          <t>Nachweis</t>
        </is>
      </c>
      <c r="D2963" s="10" t="inlineStr">
        <is>
          <t>⚠ Manual erforderlich</t>
        </is>
      </c>
      <c r="E2963" s="11" t="inlineStr"/>
      <c r="F2963" s="11" t="n">
        <v>0</v>
      </c>
      <c r="G2963" s="11">
        <f>E2963-F2963</f>
        <v/>
      </c>
      <c r="H2963" s="11" t="n">
        <v/>
      </c>
      <c r="I2963" s="11" t="n">
        <v/>
      </c>
      <c r="J2963" s="11" t="n">
        <v/>
      </c>
      <c r="K2963" s="4" t="inlineStr">
        <is>
          <t>Stundensätze eingeben</t>
        </is>
      </c>
    </row>
    <row r="2964">
      <c r="A2964" s="4" t="inlineStr">
        <is>
          <t>6466.200 BSB-2024-Los1-Asylunterkünfte-Schwaben-Nord</t>
        </is>
      </c>
      <c r="B2964" s="4" t="inlineStr">
        <is>
          <t>● (a.N.) zusätzl. Leistungen</t>
        </is>
      </c>
      <c r="C2964" s="4" t="inlineStr">
        <is>
          <t>Nachweis</t>
        </is>
      </c>
      <c r="D2964" s="10" t="inlineStr">
        <is>
          <t>⚠ Manual erforderlich</t>
        </is>
      </c>
      <c r="E2964" s="11" t="inlineStr"/>
      <c r="F2964" s="11" t="n">
        <v>0</v>
      </c>
      <c r="G2964" s="11">
        <f>E2964-F2964</f>
        <v/>
      </c>
      <c r="H2964" s="11" t="n">
        <v/>
      </c>
      <c r="I2964" s="11" t="n">
        <v/>
      </c>
      <c r="J2964" s="11" t="n">
        <v/>
      </c>
      <c r="K2964" s="4" t="inlineStr">
        <is>
          <t>Stundensätze eingeben</t>
        </is>
      </c>
    </row>
    <row r="2965">
      <c r="A2965" s="4" t="inlineStr">
        <is>
          <t>6466.200 BSB-2024-Los1-Asylunterkünfte-Schwaben-Nord</t>
        </is>
      </c>
      <c r="B2965" s="4" t="inlineStr">
        <is>
          <t>● (aN) BSB 11/2024 - 10/2025</t>
        </is>
      </c>
      <c r="C2965" s="4" t="inlineStr">
        <is>
          <t>Nachweis</t>
        </is>
      </c>
      <c r="D2965" s="10" t="inlineStr">
        <is>
          <t>⚠ Manual erforderlich</t>
        </is>
      </c>
      <c r="E2965" s="11" t="inlineStr"/>
      <c r="F2965" s="11" t="n">
        <v>0</v>
      </c>
      <c r="G2965" s="11">
        <f>E2965-F2965</f>
        <v/>
      </c>
      <c r="H2965" s="11" t="n">
        <v/>
      </c>
      <c r="I2965" s="11" t="n">
        <v/>
      </c>
      <c r="J2965" s="11" t="n">
        <v/>
      </c>
      <c r="K2965" s="4" t="inlineStr">
        <is>
          <t>Stundensätze eingeben</t>
        </is>
      </c>
    </row>
    <row r="2966">
      <c r="A2966" s="4" t="inlineStr">
        <is>
          <t>6466.200 BSB-2024-Los1-Asylunterkünfte-Schwaben-Nord</t>
        </is>
      </c>
      <c r="B2966" s="4" t="inlineStr">
        <is>
          <t>● (aN) zuätzl. Leistungen 11/2024 - 10/2025</t>
        </is>
      </c>
      <c r="C2966" s="4" t="inlineStr">
        <is>
          <t>Nachweis</t>
        </is>
      </c>
      <c r="D2966" s="10" t="inlineStr">
        <is>
          <t>⚠ Manual erforderlich</t>
        </is>
      </c>
      <c r="E2966" s="11" t="inlineStr"/>
      <c r="F2966" s="11" t="n">
        <v>0</v>
      </c>
      <c r="G2966" s="11">
        <f>E2966-F2966</f>
        <v/>
      </c>
      <c r="H2966" s="11" t="n">
        <v/>
      </c>
      <c r="I2966" s="11" t="n">
        <v/>
      </c>
      <c r="J2966" s="11" t="n">
        <v/>
      </c>
      <c r="K2966" s="4" t="inlineStr">
        <is>
          <t>Stundensätze eingeben</t>
        </is>
      </c>
    </row>
    <row r="2967">
      <c r="A2967" s="4" t="inlineStr">
        <is>
          <t>6467.200 BSB-2024-Los2-Asylunterkünfte-Schwaben-Mitte</t>
        </is>
      </c>
      <c r="B2967" s="4" t="inlineStr">
        <is>
          <t>● (a.N.) Brandschutzbeauftragter 11/2023 - 10/2024</t>
        </is>
      </c>
      <c r="C2967" s="4" t="inlineStr">
        <is>
          <t>Nachweis</t>
        </is>
      </c>
      <c r="D2967" s="10" t="inlineStr">
        <is>
          <t>⚠ Manual erforderlich</t>
        </is>
      </c>
      <c r="E2967" s="11" t="inlineStr"/>
      <c r="F2967" s="11" t="n">
        <v>0</v>
      </c>
      <c r="G2967" s="11">
        <f>E2967-F2967</f>
        <v/>
      </c>
      <c r="H2967" s="11" t="n">
        <v/>
      </c>
      <c r="I2967" s="11" t="n">
        <v/>
      </c>
      <c r="J2967" s="11" t="n">
        <v/>
      </c>
      <c r="K2967" s="4" t="inlineStr">
        <is>
          <t>Stundensätze eingeben</t>
        </is>
      </c>
    </row>
    <row r="2968">
      <c r="A2968" s="4" t="inlineStr">
        <is>
          <t>6467.200 BSB-2024-Los2-Asylunterkünfte-Schwaben-Mitte</t>
        </is>
      </c>
      <c r="B2968" s="4" t="inlineStr">
        <is>
          <t>● (a.N.) Zusätzl. Leistungen 11/2023 - 10/2024</t>
        </is>
      </c>
      <c r="C2968" s="4" t="inlineStr">
        <is>
          <t>Nachweis</t>
        </is>
      </c>
      <c r="D2968" s="10" t="inlineStr">
        <is>
          <t>⚠ Manual erforderlich</t>
        </is>
      </c>
      <c r="E2968" s="11" t="inlineStr"/>
      <c r="F2968" s="11" t="n">
        <v>0</v>
      </c>
      <c r="G2968" s="11">
        <f>E2968-F2968</f>
        <v/>
      </c>
      <c r="H2968" s="11" t="n">
        <v/>
      </c>
      <c r="I2968" s="11" t="n">
        <v/>
      </c>
      <c r="J2968" s="11" t="n">
        <v/>
      </c>
      <c r="K2968" s="4" t="inlineStr">
        <is>
          <t>Stundensätze eingeben</t>
        </is>
      </c>
    </row>
    <row r="2969">
      <c r="A2969" s="4" t="inlineStr">
        <is>
          <t>6467.200 BSB-2024-Los2-Asylunterkünfte-Schwaben-Mitte</t>
        </is>
      </c>
      <c r="B2969" s="4" t="inlineStr">
        <is>
          <t>● (aN) BSB 11/2024 - 10/2025</t>
        </is>
      </c>
      <c r="C2969" s="4" t="inlineStr">
        <is>
          <t>Nachweis</t>
        </is>
      </c>
      <c r="D2969" s="10" t="inlineStr">
        <is>
          <t>⚠ Manual erforderlich</t>
        </is>
      </c>
      <c r="E2969" s="11" t="inlineStr"/>
      <c r="F2969" s="11" t="n">
        <v>0</v>
      </c>
      <c r="G2969" s="11">
        <f>E2969-F2969</f>
        <v/>
      </c>
      <c r="H2969" s="11" t="n">
        <v/>
      </c>
      <c r="I2969" s="11" t="n">
        <v/>
      </c>
      <c r="J2969" s="11" t="n">
        <v/>
      </c>
      <c r="K2969" s="4" t="inlineStr">
        <is>
          <t>Stundensätze eingeben</t>
        </is>
      </c>
    </row>
    <row r="2970">
      <c r="A2970" s="4" t="inlineStr">
        <is>
          <t>6467.200 BSB-2024-Los2-Asylunterkünfte-Schwaben-Mitte</t>
        </is>
      </c>
      <c r="B2970" s="4" t="inlineStr">
        <is>
          <t>● (aN) zusätzl. Leistungen 11/2024 - 10/2025</t>
        </is>
      </c>
      <c r="C2970" s="4" t="inlineStr">
        <is>
          <t>Nachweis</t>
        </is>
      </c>
      <c r="D2970" s="10" t="inlineStr">
        <is>
          <t>⚠ Manual erforderlich</t>
        </is>
      </c>
      <c r="E2970" s="11" t="inlineStr"/>
      <c r="F2970" s="11" t="n">
        <v>0</v>
      </c>
      <c r="G2970" s="11">
        <f>E2970-F2970</f>
        <v/>
      </c>
      <c r="H2970" s="11" t="n">
        <v/>
      </c>
      <c r="I2970" s="11" t="n">
        <v/>
      </c>
      <c r="J2970" s="11" t="n">
        <v/>
      </c>
      <c r="K2970" s="4" t="inlineStr">
        <is>
          <t>Stundensätze eingeben</t>
        </is>
      </c>
    </row>
    <row r="2971">
      <c r="A2971" s="4" t="inlineStr">
        <is>
          <t>6467.201 RegSchwaben-FRP-Los2-Ottostr2-Augsburg</t>
        </is>
      </c>
      <c r="B2971" s="4" t="inlineStr">
        <is>
          <t>●  (p) Pos. 1 Erstellung Flucht- und Rettungspläne</t>
        </is>
      </c>
      <c r="C2971" s="4" t="inlineStr">
        <is>
          <t>Pauschale</t>
        </is>
      </c>
      <c r="D2971" s="10" t="inlineStr">
        <is>
          <t>⚠ Manual erforderlich</t>
        </is>
      </c>
      <c r="E2971" s="11" t="inlineStr"/>
      <c r="F2971" s="11" t="n">
        <v>0</v>
      </c>
      <c r="G2971" s="11">
        <f>E2971-F2971</f>
        <v/>
      </c>
      <c r="H2971" s="11" t="n">
        <v>0</v>
      </c>
      <c r="I2971" s="11" t="n">
        <v>0</v>
      </c>
      <c r="J2971" s="11" t="n">
        <v>0</v>
      </c>
      <c r="K2971" s="4" t="inlineStr">
        <is>
          <t>Stundensätze eingeben</t>
        </is>
      </c>
    </row>
    <row r="2972">
      <c r="A2972" s="4" t="inlineStr">
        <is>
          <t>6467.202 RegSchwaben-FWP-Los2-Ottostr2-Augsburg</t>
        </is>
      </c>
      <c r="B2972" s="4" t="inlineStr">
        <is>
          <t>● (p) Pos. 1 Erstellung Feuerwehrpläne</t>
        </is>
      </c>
      <c r="C2972" s="4" t="inlineStr">
        <is>
          <t>Pauschale</t>
        </is>
      </c>
      <c r="D2972" s="10" t="inlineStr">
        <is>
          <t>⚠ Manual erforderlich</t>
        </is>
      </c>
      <c r="E2972" s="11" t="inlineStr"/>
      <c r="F2972" s="11" t="n">
        <v>0</v>
      </c>
      <c r="G2972" s="11">
        <f>E2972-F2972</f>
        <v/>
      </c>
      <c r="H2972" s="11" t="n">
        <v/>
      </c>
      <c r="I2972" s="11" t="n">
        <v/>
      </c>
      <c r="J2972" s="11" t="n">
        <v/>
      </c>
      <c r="K2972" s="4" t="inlineStr">
        <is>
          <t>Stundensätze eingeben</t>
        </is>
      </c>
    </row>
    <row r="2973">
      <c r="A2973" s="4" t="inlineStr">
        <is>
          <t>6467.203 RegSchwaben-FRP-Los2-Anker-Mering</t>
        </is>
      </c>
      <c r="B2973" s="4" t="inlineStr">
        <is>
          <t>●  (p) Pos. 1 Erstellung Flucht- und Rettungspläne</t>
        </is>
      </c>
      <c r="C2973" s="4" t="inlineStr">
        <is>
          <t>Pauschale</t>
        </is>
      </c>
      <c r="D2973" s="10" t="inlineStr">
        <is>
          <t>⚠ Manual erforderlich</t>
        </is>
      </c>
      <c r="E2973" s="11" t="inlineStr"/>
      <c r="F2973" s="11" t="n">
        <v>0</v>
      </c>
      <c r="G2973" s="11">
        <f>E2973-F2973</f>
        <v/>
      </c>
      <c r="H2973" s="11" t="n">
        <v>0</v>
      </c>
      <c r="I2973" s="11" t="n">
        <v>0</v>
      </c>
      <c r="J2973" s="11" t="n">
        <v>0</v>
      </c>
      <c r="K2973" s="4" t="inlineStr">
        <is>
          <t>Stundensätze eingeben</t>
        </is>
      </c>
    </row>
    <row r="2974">
      <c r="A2974" s="4" t="inlineStr">
        <is>
          <t>6467.204 RegSchwaben-FWP-Los2-Anker-Mering</t>
        </is>
      </c>
      <c r="B2974" s="4" t="inlineStr">
        <is>
          <t>● (p) Pos. 1 Erstellung von Feuerwehrpläne</t>
        </is>
      </c>
      <c r="C2974" s="4" t="inlineStr">
        <is>
          <t>Pauschale</t>
        </is>
      </c>
      <c r="D2974" s="10" t="inlineStr">
        <is>
          <t>⚠ Manual erforderlich</t>
        </is>
      </c>
      <c r="E2974" s="11" t="inlineStr"/>
      <c r="F2974" s="11" t="n">
        <v>0</v>
      </c>
      <c r="G2974" s="11">
        <f>E2974-F2974</f>
        <v/>
      </c>
      <c r="H2974" s="11" t="n">
        <v>0</v>
      </c>
      <c r="I2974" s="11" t="n">
        <v>0</v>
      </c>
      <c r="J2974" s="11" t="n">
        <v>0</v>
      </c>
      <c r="K2974" s="4" t="inlineStr">
        <is>
          <t>Stundensätze eingeben</t>
        </is>
      </c>
    </row>
    <row r="2975">
      <c r="A2975" s="4" t="inlineStr">
        <is>
          <t>6467.300 BSB-2024/2025-Los2-Asylunterkünfte-Schwaben-Mitte</t>
        </is>
      </c>
      <c r="B2975" s="4" t="inlineStr">
        <is>
          <t>● (a.N.) Brandschutzbeauftragter 11/2024 - 10/2025</t>
        </is>
      </c>
      <c r="C2975" s="4" t="inlineStr">
        <is>
          <t>Nachweis</t>
        </is>
      </c>
      <c r="D2975" s="10" t="inlineStr">
        <is>
          <t>⚠ Manual erforderlich</t>
        </is>
      </c>
      <c r="E2975" s="11" t="inlineStr"/>
      <c r="F2975" s="11" t="n">
        <v>0</v>
      </c>
      <c r="G2975" s="11">
        <f>E2975-F2975</f>
        <v/>
      </c>
      <c r="H2975" s="11" t="n">
        <v/>
      </c>
      <c r="I2975" s="11" t="n">
        <v/>
      </c>
      <c r="J2975" s="11" t="n">
        <v/>
      </c>
      <c r="K2975" s="4" t="inlineStr">
        <is>
          <t>Stundensätze eingeben</t>
        </is>
      </c>
    </row>
    <row r="2976">
      <c r="A2976" s="4" t="inlineStr">
        <is>
          <t>6467.300 BSB-2024/2025-Los2-Asylunterkünfte-Schwaben-Mitte</t>
        </is>
      </c>
      <c r="B2976" s="4" t="inlineStr">
        <is>
          <t>● (a.N.) Zusätzl. Leistungen 11/2024 - 10/2025</t>
        </is>
      </c>
      <c r="C2976" s="4" t="inlineStr">
        <is>
          <t>Nachweis</t>
        </is>
      </c>
      <c r="D2976" s="10" t="inlineStr">
        <is>
          <t>⚠ Manual erforderlich</t>
        </is>
      </c>
      <c r="E2976" s="11" t="inlineStr"/>
      <c r="F2976" s="11" t="n">
        <v>0</v>
      </c>
      <c r="G2976" s="11">
        <f>E2976-F2976</f>
        <v/>
      </c>
      <c r="H2976" s="11" t="n">
        <v/>
      </c>
      <c r="I2976" s="11" t="n">
        <v/>
      </c>
      <c r="J2976" s="11" t="n">
        <v/>
      </c>
      <c r="K2976" s="4" t="inlineStr">
        <is>
          <t>Stundensätze eingeben</t>
        </is>
      </c>
    </row>
    <row r="2977">
      <c r="A2977" s="4" t="inlineStr">
        <is>
          <t>6468.04 Regierung-Schwaben-FWLK-Maler-Lochbihler-Str14-Kempten</t>
        </is>
      </c>
      <c r="B2977" s="4" t="inlineStr">
        <is>
          <t>● Pos. 1 Erstellung von Feuerwehrlaufkarten</t>
        </is>
      </c>
      <c r="C2977" s="9" t="inlineStr">
        <is>
          <t>Unbekannt</t>
        </is>
      </c>
      <c r="D2977" s="10" t="inlineStr">
        <is>
          <t>⚠ Manual erforderlich</t>
        </is>
      </c>
      <c r="E2977" s="11" t="inlineStr"/>
      <c r="F2977" s="11" t="n">
        <v>0</v>
      </c>
      <c r="G2977" s="11">
        <f>E2977-F2977</f>
        <v/>
      </c>
      <c r="H2977" s="11" t="n">
        <v/>
      </c>
      <c r="I2977" s="11" t="n">
        <v/>
      </c>
      <c r="J2977" s="11" t="n">
        <v/>
      </c>
      <c r="K2977" s="4" t="inlineStr">
        <is>
          <t>Abrechnungsart wählen; Stundensätze eingeben</t>
        </is>
      </c>
    </row>
    <row r="2978">
      <c r="A2978" s="4" t="inlineStr">
        <is>
          <t>6468.200 BSB-2024-Los3-Asylunterkünfte-Schwaben-Süd</t>
        </is>
      </c>
      <c r="B2978" s="4" t="inlineStr">
        <is>
          <t>● (aN) BSB 11/2024 - 10/2025</t>
        </is>
      </c>
      <c r="C2978" s="4" t="inlineStr">
        <is>
          <t>Nachweis</t>
        </is>
      </c>
      <c r="D2978" s="10" t="inlineStr">
        <is>
          <t>⚠ Manual erforderlich</t>
        </is>
      </c>
      <c r="E2978" s="11" t="inlineStr"/>
      <c r="F2978" s="11" t="n">
        <v>0</v>
      </c>
      <c r="G2978" s="11">
        <f>E2978-F2978</f>
        <v/>
      </c>
      <c r="H2978" s="11" t="n">
        <v/>
      </c>
      <c r="I2978" s="11" t="n">
        <v/>
      </c>
      <c r="J2978" s="11" t="n">
        <v/>
      </c>
      <c r="K2978" s="4" t="inlineStr">
        <is>
          <t>Stundensätze eingeben</t>
        </is>
      </c>
    </row>
    <row r="2979">
      <c r="A2979" s="4" t="inlineStr">
        <is>
          <t>6468.200 BSB-2024-Los3-Asylunterkünfte-Schwaben-Süd</t>
        </is>
      </c>
      <c r="B2979" s="4" t="inlineStr">
        <is>
          <t>● (a.N.) BSB 2024</t>
        </is>
      </c>
      <c r="C2979" s="4" t="inlineStr">
        <is>
          <t>Nachweis</t>
        </is>
      </c>
      <c r="D2979" s="10" t="inlineStr">
        <is>
          <t>⚠ Manual erforderlich</t>
        </is>
      </c>
      <c r="E2979" s="11" t="inlineStr"/>
      <c r="F2979" s="11" t="n">
        <v>0</v>
      </c>
      <c r="G2979" s="11">
        <f>E2979-F2979</f>
        <v/>
      </c>
      <c r="H2979" s="11" t="n">
        <v/>
      </c>
      <c r="I2979" s="11" t="n">
        <v/>
      </c>
      <c r="J2979" s="11" t="n">
        <v/>
      </c>
      <c r="K2979" s="4" t="inlineStr">
        <is>
          <t>Stundensätze eingeben</t>
        </is>
      </c>
    </row>
    <row r="2980">
      <c r="A2980" s="4" t="inlineStr">
        <is>
          <t>6468.200 BSB-2024-Los3-Asylunterkünfte-Schwaben-Süd</t>
        </is>
      </c>
      <c r="B2980" s="4" t="inlineStr">
        <is>
          <t>● (aN) zusätzl. Leistungen 11/2024 - 10/2025</t>
        </is>
      </c>
      <c r="C2980" s="4" t="inlineStr">
        <is>
          <t>Nachweis</t>
        </is>
      </c>
      <c r="D2980" s="10" t="inlineStr">
        <is>
          <t>⚠ Manual erforderlich</t>
        </is>
      </c>
      <c r="E2980" s="11" t="inlineStr"/>
      <c r="F2980" s="11" t="n">
        <v>0</v>
      </c>
      <c r="G2980" s="11">
        <f>E2980-F2980</f>
        <v/>
      </c>
      <c r="H2980" s="11" t="n">
        <v/>
      </c>
      <c r="I2980" s="11" t="n">
        <v/>
      </c>
      <c r="J2980" s="11" t="n">
        <v/>
      </c>
      <c r="K2980" s="4" t="inlineStr">
        <is>
          <t>Stundensätze eingeben</t>
        </is>
      </c>
    </row>
    <row r="2981">
      <c r="A2981" s="4" t="inlineStr">
        <is>
          <t>6468.200 BSB-2024-Los3-Asylunterkünfte-Schwaben-Süd</t>
        </is>
      </c>
      <c r="B2981" s="4" t="inlineStr">
        <is>
          <t>● (a.N.) Zusätzl. Leistungen 2024</t>
        </is>
      </c>
      <c r="C2981" s="4" t="inlineStr">
        <is>
          <t>Nachweis</t>
        </is>
      </c>
      <c r="D2981" s="10" t="inlineStr">
        <is>
          <t>⚠ Manual erforderlich</t>
        </is>
      </c>
      <c r="E2981" s="11" t="inlineStr"/>
      <c r="F2981" s="11" t="n">
        <v>0</v>
      </c>
      <c r="G2981" s="11">
        <f>E2981-F2981</f>
        <v/>
      </c>
      <c r="H2981" s="11" t="n">
        <v/>
      </c>
      <c r="I2981" s="11" t="n">
        <v/>
      </c>
      <c r="J2981" s="11" t="n">
        <v/>
      </c>
      <c r="K2981" s="4" t="inlineStr">
        <is>
          <t>Stundensätze eingeben</t>
        </is>
      </c>
    </row>
    <row r="2982">
      <c r="A2982" s="4" t="inlineStr">
        <is>
          <t>6474.01 SLK-BAB-SLK-Verwaltungsgebäude</t>
        </is>
      </c>
      <c r="B2982" s="4" t="inlineStr">
        <is>
          <t>● (aN) Pos.5 B AB  und Qualitätsüberwachung</t>
        </is>
      </c>
      <c r="C2982" s="4" t="inlineStr">
        <is>
          <t>Nachweis</t>
        </is>
      </c>
      <c r="D2982" s="10" t="inlineStr">
        <is>
          <t>⚠ Manual erforderlich</t>
        </is>
      </c>
      <c r="E2982" s="11" t="inlineStr"/>
      <c r="F2982" s="11" t="n">
        <v>0</v>
      </c>
      <c r="G2982" s="11">
        <f>E2982-F2982</f>
        <v/>
      </c>
      <c r="H2982" s="11" t="n">
        <v/>
      </c>
      <c r="I2982" s="11" t="n">
        <v/>
      </c>
      <c r="J2982" s="11" t="n">
        <v/>
      </c>
      <c r="K2982" s="4" t="inlineStr">
        <is>
          <t>Stundensätze eingeben</t>
        </is>
      </c>
    </row>
    <row r="2983">
      <c r="A2983" s="4" t="inlineStr">
        <is>
          <t>6481.01 Liebigstraße-43-Frankfurt-HPPVO</t>
        </is>
      </c>
      <c r="B2983" s="4" t="inlineStr">
        <is>
          <t>● • 4301-HPPVO-1. Prüfbericht-Vollständigkeit und Richtigkeit</t>
        </is>
      </c>
      <c r="C2983" s="9" t="inlineStr">
        <is>
          <t>Unbekannt</t>
        </is>
      </c>
      <c r="D2983" s="10" t="inlineStr">
        <is>
          <t>⚠ Manual erforderlich</t>
        </is>
      </c>
      <c r="E2983" s="11" t="inlineStr"/>
      <c r="F2983" s="11" t="n">
        <v>0</v>
      </c>
      <c r="G2983" s="11">
        <f>E2983-F2983</f>
        <v/>
      </c>
      <c r="H2983" s="11" t="n">
        <v/>
      </c>
      <c r="I2983" s="11" t="n">
        <v/>
      </c>
      <c r="J2983" s="11" t="n">
        <v/>
      </c>
      <c r="K2983" s="4" t="inlineStr">
        <is>
          <t>Abrechnungsart wählen; Stundensätze eingeben</t>
        </is>
      </c>
    </row>
    <row r="2984">
      <c r="A2984" s="4" t="inlineStr">
        <is>
          <t>6481.01 Liebigstraße-43-Frankfurt-HPPVO</t>
        </is>
      </c>
      <c r="B2984" s="4" t="inlineStr">
        <is>
          <t>● • LP8-Weiterführende Prüfberichte einschl. Ortstermin</t>
        </is>
      </c>
      <c r="C2984" s="9" t="inlineStr">
        <is>
          <t>Unbekannt</t>
        </is>
      </c>
      <c r="D2984" s="10" t="inlineStr">
        <is>
          <t>⚠ Manual erforderlich</t>
        </is>
      </c>
      <c r="E2984" s="11" t="inlineStr"/>
      <c r="F2984" s="11" t="n">
        <v>0</v>
      </c>
      <c r="G2984" s="11">
        <f>E2984-F2984</f>
        <v/>
      </c>
      <c r="H2984" s="11" t="n">
        <v/>
      </c>
      <c r="I2984" s="11" t="n">
        <v/>
      </c>
      <c r="J2984" s="11" t="n">
        <v/>
      </c>
      <c r="K2984" s="4" t="inlineStr">
        <is>
          <t>Abrechnungsart wählen; Stundensätze eingeben</t>
        </is>
      </c>
    </row>
    <row r="2985">
      <c r="A2985" s="4" t="inlineStr">
        <is>
          <t>6483.01  NAT-BST-Myliusstraße-25-27-Frankfurt-Bestandgebaude-Sprinkleranlage</t>
        </is>
      </c>
      <c r="B2985" s="4" t="inlineStr">
        <is>
          <t>● (p) pos. 1 Brandschutztechnische Stellungnahme (18h SV/ 2h Admin) 2.650€</t>
        </is>
      </c>
      <c r="C2985" s="4" t="inlineStr">
        <is>
          <t>Pauschale</t>
        </is>
      </c>
      <c r="D2985" s="10" t="inlineStr">
        <is>
          <t>⚠ Manual erforderlich</t>
        </is>
      </c>
      <c r="E2985" s="11" t="inlineStr"/>
      <c r="F2985" s="11" t="n">
        <v>0</v>
      </c>
      <c r="G2985" s="11">
        <f>E2985-F2985</f>
        <v/>
      </c>
      <c r="H2985" s="11" t="n">
        <v>0</v>
      </c>
      <c r="I2985" s="11" t="n">
        <v>0</v>
      </c>
      <c r="J2985" s="11" t="n">
        <v>0</v>
      </c>
      <c r="K2985" s="4" t="inlineStr">
        <is>
          <t>Stundensätze eingeben</t>
        </is>
      </c>
    </row>
    <row r="2986">
      <c r="A2986" s="4" t="inlineStr">
        <is>
          <t>6494 Eschersheimer-Landstraße-55-Frankfurt</t>
        </is>
      </c>
      <c r="B2986" s="4" t="inlineStr">
        <is>
          <t>● Baubegleitung (auf Nachweis)</t>
        </is>
      </c>
      <c r="C2986" s="9" t="inlineStr">
        <is>
          <t>Unbekannt</t>
        </is>
      </c>
      <c r="D2986" s="10" t="inlineStr">
        <is>
          <t>⚠ Manual erforderlich</t>
        </is>
      </c>
      <c r="E2986" s="11" t="inlineStr"/>
      <c r="F2986" s="11" t="n">
        <v>0</v>
      </c>
      <c r="G2986" s="11">
        <f>E2986-F2986</f>
        <v/>
      </c>
      <c r="H2986" s="11" t="n">
        <v/>
      </c>
      <c r="I2986" s="11" t="n">
        <v/>
      </c>
      <c r="J2986" s="11" t="n">
        <v/>
      </c>
      <c r="K2986" s="4" t="inlineStr">
        <is>
          <t>Abrechnungsart wählen; Stundensätze eingeben</t>
        </is>
      </c>
    </row>
    <row r="2987">
      <c r="A2987" s="4" t="inlineStr">
        <is>
          <t>6494 Eschersheimer-Landstraße-55-Frankfurt</t>
        </is>
      </c>
      <c r="B2987" s="4" t="inlineStr">
        <is>
          <t>● Konzept Bauphase (auf Nachweis)</t>
        </is>
      </c>
      <c r="C2987" s="9" t="inlineStr">
        <is>
          <t>Unbekannt</t>
        </is>
      </c>
      <c r="D2987" s="10" t="inlineStr">
        <is>
          <t>⚠ Manual erforderlich</t>
        </is>
      </c>
      <c r="E2987" s="11" t="inlineStr"/>
      <c r="F2987" s="11" t="n">
        <v>0</v>
      </c>
      <c r="G2987" s="11">
        <f>E2987-F2987</f>
        <v/>
      </c>
      <c r="H2987" s="11" t="n">
        <v/>
      </c>
      <c r="I2987" s="11" t="n">
        <v/>
      </c>
      <c r="J2987" s="11" t="n">
        <v/>
      </c>
      <c r="K2987" s="4" t="inlineStr">
        <is>
          <t>Abrechnungsart wählen; Stundensätze eingeben</t>
        </is>
      </c>
    </row>
    <row r="2988">
      <c r="A2988" s="4" t="inlineStr">
        <is>
          <t>6494.01 FWP-Escherheimer Landstr-55-FFM</t>
        </is>
      </c>
      <c r="B2988" s="4" t="inlineStr">
        <is>
          <t>● (p) Pos.1 Erstellung FWP</t>
        </is>
      </c>
      <c r="C2988" s="4" t="inlineStr">
        <is>
          <t>Pauschale</t>
        </is>
      </c>
      <c r="D2988" s="10" t="inlineStr">
        <is>
          <t>⚠ Manual erforderlich</t>
        </is>
      </c>
      <c r="E2988" s="11" t="inlineStr"/>
      <c r="F2988" s="11" t="n">
        <v>0</v>
      </c>
      <c r="G2988" s="11">
        <f>E2988-F2988</f>
        <v/>
      </c>
      <c r="H2988" s="11" t="n">
        <v>0</v>
      </c>
      <c r="I2988" s="11" t="n">
        <v>0</v>
      </c>
      <c r="J2988" s="11" t="n">
        <v>0</v>
      </c>
      <c r="K2988" s="4" t="inlineStr">
        <is>
          <t>Stundensätze eingeben</t>
        </is>
      </c>
    </row>
    <row r="2989">
      <c r="A2989" s="4" t="inlineStr">
        <is>
          <t>6495.01 ENBW-BSK-Windpark-Vöhl</t>
        </is>
      </c>
      <c r="B2989" s="4" t="inlineStr">
        <is>
          <t>● • (p) Pos. 1 Erstellung Brandschutzkonzept</t>
        </is>
      </c>
      <c r="C2989" s="4" t="inlineStr">
        <is>
          <t>Pauschale</t>
        </is>
      </c>
      <c r="D2989" s="10" t="inlineStr">
        <is>
          <t>⚠ Manual erforderlich</t>
        </is>
      </c>
      <c r="E2989" s="11" t="inlineStr"/>
      <c r="F2989" s="11" t="n">
        <v>0</v>
      </c>
      <c r="G2989" s="11">
        <f>E2989-F2989</f>
        <v/>
      </c>
      <c r="H2989" s="11" t="n">
        <v>0</v>
      </c>
      <c r="I2989" s="11" t="n">
        <v>0</v>
      </c>
      <c r="J2989" s="11" t="n">
        <v>0</v>
      </c>
      <c r="K2989" s="4" t="inlineStr">
        <is>
          <t>Stundensätze eingeben</t>
        </is>
      </c>
    </row>
    <row r="2990">
      <c r="A2990" s="4" t="inlineStr">
        <is>
          <t>6497 SunYardOffice-Heidelberg</t>
        </is>
      </c>
      <c r="B2990" s="4" t="inlineStr">
        <is>
          <t>● • (p) LP 1 GL Grundlagenermittung</t>
        </is>
      </c>
      <c r="C2990" s="4" t="inlineStr">
        <is>
          <t>Pauschale</t>
        </is>
      </c>
      <c r="D2990" s="10" t="inlineStr">
        <is>
          <t>⚠ Manual erforderlich</t>
        </is>
      </c>
      <c r="E2990" s="11" t="inlineStr"/>
      <c r="F2990" s="11" t="n">
        <v>0</v>
      </c>
      <c r="G2990" s="11">
        <f>E2990-F2990</f>
        <v/>
      </c>
      <c r="H2990" s="11" t="n">
        <v>0</v>
      </c>
      <c r="I2990" s="11" t="n">
        <v>0</v>
      </c>
      <c r="J2990" s="11" t="n">
        <v>0</v>
      </c>
      <c r="K2990" s="4" t="inlineStr">
        <is>
          <t>Stundensätze eingeben</t>
        </is>
      </c>
    </row>
    <row r="2991">
      <c r="A2991" s="4" t="inlineStr">
        <is>
          <t>6497 SunYardOffice-Heidelberg</t>
        </is>
      </c>
      <c r="B2991" s="4" t="inlineStr">
        <is>
          <t>● • (p) LP 2 GL Vorplanung</t>
        </is>
      </c>
      <c r="C2991" s="4" t="inlineStr">
        <is>
          <t>Pauschale</t>
        </is>
      </c>
      <c r="D2991" s="10" t="inlineStr">
        <is>
          <t>⚠ Manual erforderlich</t>
        </is>
      </c>
      <c r="E2991" s="11" t="inlineStr"/>
      <c r="F2991" s="11" t="n">
        <v>0</v>
      </c>
      <c r="G2991" s="11">
        <f>E2991-F2991</f>
        <v/>
      </c>
      <c r="H2991" s="11" t="n">
        <v>0</v>
      </c>
      <c r="I2991" s="11" t="n">
        <v>0</v>
      </c>
      <c r="J2991" s="11" t="n">
        <v>0</v>
      </c>
      <c r="K2991" s="4" t="inlineStr">
        <is>
          <t>Stundensätze eingeben</t>
        </is>
      </c>
    </row>
    <row r="2992">
      <c r="A2992" s="4" t="inlineStr">
        <is>
          <t>6497 SunYardOffice-Heidelberg</t>
        </is>
      </c>
      <c r="B2992" s="4" t="inlineStr">
        <is>
          <t>● • (p) LP 3 GL Entwurfsplanung</t>
        </is>
      </c>
      <c r="C2992" s="4" t="inlineStr">
        <is>
          <t>Pauschale</t>
        </is>
      </c>
      <c r="D2992" s="10" t="inlineStr">
        <is>
          <t>⚠ Manual erforderlich</t>
        </is>
      </c>
      <c r="E2992" s="11" t="inlineStr"/>
      <c r="F2992" s="11" t="n">
        <v>0</v>
      </c>
      <c r="G2992" s="11">
        <f>E2992-F2992</f>
        <v/>
      </c>
      <c r="H2992" s="11" t="n">
        <v>0</v>
      </c>
      <c r="I2992" s="11" t="n">
        <v>0</v>
      </c>
      <c r="J2992" s="11" t="n">
        <v>0</v>
      </c>
      <c r="K2992" s="4" t="inlineStr">
        <is>
          <t>Stundensätze eingeben</t>
        </is>
      </c>
    </row>
    <row r="2993">
      <c r="A2993" s="4" t="inlineStr">
        <is>
          <t>6497 SunYardOffice-Heidelberg</t>
        </is>
      </c>
      <c r="B2993" s="4" t="inlineStr">
        <is>
          <t>● • (p) LP 4 GL Genehmigungsplanung</t>
        </is>
      </c>
      <c r="C2993" s="4" t="inlineStr">
        <is>
          <t>Pauschale</t>
        </is>
      </c>
      <c r="D2993" s="10" t="inlineStr">
        <is>
          <t>⚠ Manual erforderlich</t>
        </is>
      </c>
      <c r="E2993" s="11" t="inlineStr"/>
      <c r="F2993" s="11" t="n">
        <v>0</v>
      </c>
      <c r="G2993" s="11">
        <f>E2993-F2993</f>
        <v/>
      </c>
      <c r="H2993" s="11" t="n">
        <v>0</v>
      </c>
      <c r="I2993" s="11" t="n">
        <v>0</v>
      </c>
      <c r="J2993" s="11" t="n">
        <v>0</v>
      </c>
      <c r="K2993" s="4" t="inlineStr">
        <is>
          <t>Stundensätze eingeben</t>
        </is>
      </c>
    </row>
    <row r="2994">
      <c r="A2994" s="4" t="inlineStr">
        <is>
          <t>6500.03 BSB-2024-Ketteler-Straße-100-Offenbach</t>
        </is>
      </c>
      <c r="B2994" s="4" t="inlineStr">
        <is>
          <t>● (a.N) Brandschutzbeauftragter 2024</t>
        </is>
      </c>
      <c r="C2994" s="9" t="inlineStr">
        <is>
          <t>Unbekannt</t>
        </is>
      </c>
      <c r="D2994" s="10" t="inlineStr">
        <is>
          <t>⚠ Manual erforderlich</t>
        </is>
      </c>
      <c r="E2994" s="11" t="inlineStr"/>
      <c r="F2994" s="11" t="n">
        <v>0</v>
      </c>
      <c r="G2994" s="11">
        <f>E2994-F2994</f>
        <v/>
      </c>
      <c r="H2994" s="11" t="n">
        <v/>
      </c>
      <c r="I2994" s="11" t="n">
        <v/>
      </c>
      <c r="J2994" s="11" t="n">
        <v/>
      </c>
      <c r="K2994" s="4" t="inlineStr">
        <is>
          <t>Abrechnungsart wählen; Stundensätze eingeben</t>
        </is>
      </c>
    </row>
    <row r="2995">
      <c r="A2995" s="4" t="inlineStr">
        <is>
          <t>6507 Kloster-Schäftlarn-Hauptbau</t>
        </is>
      </c>
      <c r="B2995" s="4" t="inlineStr">
        <is>
          <t>● (p) LP1 GL (Abruf 0 2021-12-13)</t>
        </is>
      </c>
      <c r="C2995" s="4" t="inlineStr">
        <is>
          <t>Pauschale</t>
        </is>
      </c>
      <c r="D2995" s="10" t="inlineStr">
        <is>
          <t>⚠ Manual erforderlich</t>
        </is>
      </c>
      <c r="E2995" s="11" t="inlineStr"/>
      <c r="F2995" s="11" t="n">
        <v>0</v>
      </c>
      <c r="G2995" s="11">
        <f>E2995-F2995</f>
        <v/>
      </c>
      <c r="H2995" s="11" t="n">
        <v>0</v>
      </c>
      <c r="I2995" s="11" t="n">
        <v>0</v>
      </c>
      <c r="J2995" s="11" t="n">
        <v>0</v>
      </c>
      <c r="K2995" s="4" t="inlineStr">
        <is>
          <t>Stundensätze eingeben</t>
        </is>
      </c>
    </row>
    <row r="2996">
      <c r="A2996" s="4" t="inlineStr">
        <is>
          <t>6507 Kloster-Schäftlarn-Hauptbau</t>
        </is>
      </c>
      <c r="B2996" s="4" t="inlineStr">
        <is>
          <t>● (p) LP2 GL (Abruf 0 2021-12-13)</t>
        </is>
      </c>
      <c r="C2996" s="4" t="inlineStr">
        <is>
          <t>Pauschale</t>
        </is>
      </c>
      <c r="D2996" s="10" t="inlineStr">
        <is>
          <t>⚠ Manual erforderlich</t>
        </is>
      </c>
      <c r="E2996" s="11" t="inlineStr"/>
      <c r="F2996" s="11" t="n">
        <v>0</v>
      </c>
      <c r="G2996" s="11">
        <f>E2996-F2996</f>
        <v/>
      </c>
      <c r="H2996" s="11" t="n">
        <v>0</v>
      </c>
      <c r="I2996" s="11" t="n">
        <v>0</v>
      </c>
      <c r="J2996" s="11" t="n">
        <v>0</v>
      </c>
      <c r="K2996" s="4" t="inlineStr">
        <is>
          <t>Stundensätze eingeben</t>
        </is>
      </c>
    </row>
    <row r="2997">
      <c r="A2997" s="4" t="inlineStr">
        <is>
          <t>6507 Kloster-Schäftlarn-Hauptbau</t>
        </is>
      </c>
      <c r="B2997" s="4" t="inlineStr">
        <is>
          <t>● (p) LP3 GL (Abruf 0 2021-12-13)</t>
        </is>
      </c>
      <c r="C2997" s="4" t="inlineStr">
        <is>
          <t>Pauschale</t>
        </is>
      </c>
      <c r="D2997" s="10" t="inlineStr">
        <is>
          <t>⚠ Manual erforderlich</t>
        </is>
      </c>
      <c r="E2997" s="11" t="inlineStr"/>
      <c r="F2997" s="11" t="n">
        <v>0</v>
      </c>
      <c r="G2997" s="11">
        <f>E2997-F2997</f>
        <v/>
      </c>
      <c r="H2997" s="11" t="n">
        <v>0</v>
      </c>
      <c r="I2997" s="11" t="n">
        <v>0</v>
      </c>
      <c r="J2997" s="11" t="n">
        <v>0</v>
      </c>
      <c r="K2997" s="4" t="inlineStr">
        <is>
          <t>Stundensätze eingeben</t>
        </is>
      </c>
    </row>
    <row r="2998">
      <c r="A2998" s="4" t="inlineStr">
        <is>
          <t>6507 Kloster-Schäftlarn-Hauptbau</t>
        </is>
      </c>
      <c r="B2998" s="4" t="inlineStr">
        <is>
          <t>● • (p) LP 4 GL 50% (beauftragt 2023-10-25)</t>
        </is>
      </c>
      <c r="C2998" s="4" t="inlineStr">
        <is>
          <t>Pauschale</t>
        </is>
      </c>
      <c r="D2998" s="10" t="inlineStr">
        <is>
          <t>⚠ Manual erforderlich</t>
        </is>
      </c>
      <c r="E2998" s="11" t="inlineStr"/>
      <c r="F2998" s="11" t="n">
        <v>0</v>
      </c>
      <c r="G2998" s="11">
        <f>E2998-F2998</f>
        <v/>
      </c>
      <c r="H2998" s="11" t="n">
        <v>0</v>
      </c>
      <c r="I2998" s="11" t="n">
        <v>0</v>
      </c>
      <c r="J2998" s="11" t="n">
        <v>0</v>
      </c>
      <c r="K2998" s="4" t="inlineStr">
        <is>
          <t>Stundensätze eingeben</t>
        </is>
      </c>
    </row>
    <row r="2999">
      <c r="A2999" s="4" t="inlineStr">
        <is>
          <t>6507 Kloster-Schäftlarn-Hauptbau</t>
        </is>
      </c>
      <c r="B2999" s="4" t="inlineStr">
        <is>
          <t>● • (p) LP 4 Erhöhung auf 90% (beauftragt 2024-05-06)</t>
        </is>
      </c>
      <c r="C2999" s="4" t="inlineStr">
        <is>
          <t>Pauschale</t>
        </is>
      </c>
      <c r="D2999" s="10" t="inlineStr">
        <is>
          <t>⚠ Manual erforderlich</t>
        </is>
      </c>
      <c r="E2999" s="11" t="inlineStr"/>
      <c r="F2999" s="11" t="n">
        <v>0</v>
      </c>
      <c r="G2999" s="11">
        <f>E2999-F2999</f>
        <v/>
      </c>
      <c r="H2999" s="11" t="n">
        <v>0</v>
      </c>
      <c r="I2999" s="11" t="n">
        <v>0</v>
      </c>
      <c r="J2999" s="11" t="n">
        <v>0</v>
      </c>
      <c r="K2999" s="4" t="inlineStr">
        <is>
          <t>Stundensätze eingeben</t>
        </is>
      </c>
    </row>
    <row r="3000">
      <c r="A3000" s="4" t="inlineStr">
        <is>
          <t>6507 Kloster-Schäftlarn-Hauptbau</t>
        </is>
      </c>
      <c r="B3000" s="4" t="inlineStr">
        <is>
          <t>● (p) LP1 BL (Abruf 0 2021-12-13)</t>
        </is>
      </c>
      <c r="C3000" s="4" t="inlineStr">
        <is>
          <t>Pauschale</t>
        </is>
      </c>
      <c r="D3000" s="10" t="inlineStr">
        <is>
          <t>⚠ Manual erforderlich</t>
        </is>
      </c>
      <c r="E3000" s="11" t="inlineStr"/>
      <c r="F3000" s="11" t="n">
        <v>0</v>
      </c>
      <c r="G3000" s="11">
        <f>E3000-F3000</f>
        <v/>
      </c>
      <c r="H3000" s="11" t="n">
        <v>0</v>
      </c>
      <c r="I3000" s="11" t="n">
        <v>0</v>
      </c>
      <c r="J3000" s="11" t="n">
        <v>0</v>
      </c>
      <c r="K3000" s="4" t="inlineStr">
        <is>
          <t>Stundensätze eingeben</t>
        </is>
      </c>
    </row>
    <row r="3001">
      <c r="A3001" s="4" t="inlineStr">
        <is>
          <t>6507 Kloster-Schäftlarn-Hauptbau</t>
        </is>
      </c>
      <c r="B3001" s="4" t="inlineStr">
        <is>
          <t>● (p) LP 2 BL (Abruf 5 2024-05-06)</t>
        </is>
      </c>
      <c r="C3001" s="4" t="inlineStr">
        <is>
          <t>Pauschale</t>
        </is>
      </c>
      <c r="D3001" s="10" t="inlineStr">
        <is>
          <t>⚠ Manual erforderlich</t>
        </is>
      </c>
      <c r="E3001" s="11" t="inlineStr"/>
      <c r="F3001" s="11" t="n">
        <v>0</v>
      </c>
      <c r="G3001" s="11">
        <f>E3001-F3001</f>
        <v/>
      </c>
      <c r="H3001" s="11" t="n">
        <v>0</v>
      </c>
      <c r="I3001" s="11" t="n">
        <v>0</v>
      </c>
      <c r="J3001" s="11" t="n">
        <v>0</v>
      </c>
      <c r="K3001" s="4" t="inlineStr">
        <is>
          <t>Stundensätze eingeben</t>
        </is>
      </c>
    </row>
    <row r="3002">
      <c r="A3002" s="4" t="inlineStr">
        <is>
          <t>6507 Kloster-Schäftlarn-Hauptbau</t>
        </is>
      </c>
      <c r="B3002" s="4" t="inlineStr">
        <is>
          <t>● (p) zusätzl. Vertragsbedingungen: Kosten f. erw. Führungszeugnis (Abruf 5 2024-05-06)</t>
        </is>
      </c>
      <c r="C3002" s="4" t="inlineStr">
        <is>
          <t>Pauschale</t>
        </is>
      </c>
      <c r="D3002" s="10" t="inlineStr">
        <is>
          <t>⚠ Manual erforderlich</t>
        </is>
      </c>
      <c r="E3002" s="11" t="inlineStr"/>
      <c r="F3002" s="11" t="n">
        <v>0</v>
      </c>
      <c r="G3002" s="11">
        <f>E3002-F3002</f>
        <v/>
      </c>
      <c r="H3002" s="11" t="n">
        <v/>
      </c>
      <c r="I3002" s="11" t="n">
        <v/>
      </c>
      <c r="J3002" s="11" t="n">
        <v/>
      </c>
      <c r="K3002" s="4" t="inlineStr">
        <is>
          <t>Stundensätze eingeben</t>
        </is>
      </c>
    </row>
    <row r="3003">
      <c r="A3003" s="4" t="inlineStr">
        <is>
          <t>6507.01 Benediktinerabtei-Schäftlarn-Hackschnitzelanlage-Kloster-Schäftlarn</t>
        </is>
      </c>
      <c r="B3003" s="4" t="inlineStr">
        <is>
          <t>● (p) LP 1 GL</t>
        </is>
      </c>
      <c r="C3003" s="4" t="inlineStr">
        <is>
          <t>Pauschale</t>
        </is>
      </c>
      <c r="D3003" s="10" t="inlineStr">
        <is>
          <t>⚠ Manual erforderlich</t>
        </is>
      </c>
      <c r="E3003" s="11" t="inlineStr"/>
      <c r="F3003" s="11" t="n">
        <v>0</v>
      </c>
      <c r="G3003" s="11">
        <f>E3003-F3003</f>
        <v/>
      </c>
      <c r="H3003" s="11" t="n">
        <v>0</v>
      </c>
      <c r="I3003" s="11" t="n">
        <v>0</v>
      </c>
      <c r="J3003" s="11" t="n">
        <v>0</v>
      </c>
      <c r="K3003" s="4" t="inlineStr">
        <is>
          <t>Stundensätze eingeben</t>
        </is>
      </c>
    </row>
    <row r="3004">
      <c r="A3004" s="4" t="inlineStr">
        <is>
          <t>6507.01 Benediktinerabtei-Schäftlarn-Hackschnitzelanlage-Kloster-Schäftlarn</t>
        </is>
      </c>
      <c r="B3004" s="4" t="inlineStr">
        <is>
          <t>● (p) LP 2 GL</t>
        </is>
      </c>
      <c r="C3004" s="4" t="inlineStr">
        <is>
          <t>Pauschale</t>
        </is>
      </c>
      <c r="D3004" s="10" t="inlineStr">
        <is>
          <t>⚠ Manual erforderlich</t>
        </is>
      </c>
      <c r="E3004" s="11" t="inlineStr"/>
      <c r="F3004" s="11" t="n">
        <v>0</v>
      </c>
      <c r="G3004" s="11">
        <f>E3004-F3004</f>
        <v/>
      </c>
      <c r="H3004" s="11" t="n">
        <v>0</v>
      </c>
      <c r="I3004" s="11" t="n">
        <v>0</v>
      </c>
      <c r="J3004" s="11" t="n">
        <v>0</v>
      </c>
      <c r="K3004" s="4" t="inlineStr">
        <is>
          <t>Stundensätze eingeben</t>
        </is>
      </c>
    </row>
    <row r="3005">
      <c r="A3005" s="4" t="inlineStr">
        <is>
          <t>6507.01 Benediktinerabtei-Schäftlarn-Hackschnitzelanlage-Kloster-Schäftlarn</t>
        </is>
      </c>
      <c r="B3005" s="4" t="inlineStr">
        <is>
          <t>● (p) LP 3 GL</t>
        </is>
      </c>
      <c r="C3005" s="4" t="inlineStr">
        <is>
          <t>Pauschale</t>
        </is>
      </c>
      <c r="D3005" s="10" t="inlineStr">
        <is>
          <t>⚠ Manual erforderlich</t>
        </is>
      </c>
      <c r="E3005" s="11" t="inlineStr"/>
      <c r="F3005" s="11" t="n">
        <v>0</v>
      </c>
      <c r="G3005" s="11">
        <f>E3005-F3005</f>
        <v/>
      </c>
      <c r="H3005" s="11" t="n">
        <v>0</v>
      </c>
      <c r="I3005" s="11" t="n">
        <v>0</v>
      </c>
      <c r="J3005" s="11" t="n">
        <v>0</v>
      </c>
      <c r="K3005" s="4" t="inlineStr">
        <is>
          <t>Stundensätze eingeben</t>
        </is>
      </c>
    </row>
    <row r="3006">
      <c r="A3006" s="4" t="inlineStr">
        <is>
          <t>6507.01 Benediktinerabtei-Schäftlarn-Hackschnitzelanlage-Kloster-Schäftlarn</t>
        </is>
      </c>
      <c r="B3006" s="4" t="inlineStr">
        <is>
          <t>● • 50%</t>
        </is>
      </c>
      <c r="C3006" s="9" t="inlineStr">
        <is>
          <t>Unbekannt</t>
        </is>
      </c>
      <c r="D3006" s="10" t="inlineStr">
        <is>
          <t>⚠ Manual erforderlich</t>
        </is>
      </c>
      <c r="E3006" s="11" t="inlineStr"/>
      <c r="F3006" s="11" t="n">
        <v>0</v>
      </c>
      <c r="G3006" s="11">
        <f>E3006-F3006</f>
        <v/>
      </c>
      <c r="H3006" s="11" t="n">
        <v/>
      </c>
      <c r="I3006" s="11" t="n">
        <v/>
      </c>
      <c r="J3006" s="11" t="n">
        <v/>
      </c>
      <c r="K3006" s="4" t="inlineStr">
        <is>
          <t>Abrechnungsart wählen; Stundensätze eingeben</t>
        </is>
      </c>
    </row>
    <row r="3007">
      <c r="A3007" s="4" t="inlineStr">
        <is>
          <t>6507.01 Benediktinerabtei-Schäftlarn-Hackschnitzelanlage-Kloster-Schäftlarn</t>
        </is>
      </c>
      <c r="B3007" s="4" t="inlineStr">
        <is>
          <t>● • 90%</t>
        </is>
      </c>
      <c r="C3007" s="9" t="inlineStr">
        <is>
          <t>Unbekannt</t>
        </is>
      </c>
      <c r="D3007" s="10" t="inlineStr">
        <is>
          <t>⚠ Manual erforderlich</t>
        </is>
      </c>
      <c r="E3007" s="11" t="inlineStr"/>
      <c r="F3007" s="11" t="n">
        <v>0</v>
      </c>
      <c r="G3007" s="11">
        <f>E3007-F3007</f>
        <v/>
      </c>
      <c r="H3007" s="11" t="n">
        <v/>
      </c>
      <c r="I3007" s="11" t="n">
        <v/>
      </c>
      <c r="J3007" s="11" t="n">
        <v/>
      </c>
      <c r="K3007" s="4" t="inlineStr">
        <is>
          <t>Abrechnungsart wählen; Stundensätze eingeben</t>
        </is>
      </c>
    </row>
    <row r="3008">
      <c r="A3008" s="4" t="inlineStr">
        <is>
          <t>6508 Kloster-Schäftlarn-Erweiterungsbau</t>
        </is>
      </c>
      <c r="B3008" s="4" t="inlineStr">
        <is>
          <t>● (p) LP1 GL</t>
        </is>
      </c>
      <c r="C3008" s="4" t="inlineStr">
        <is>
          <t>Pauschale</t>
        </is>
      </c>
      <c r="D3008" s="10" t="inlineStr">
        <is>
          <t>⚠ Manual erforderlich</t>
        </is>
      </c>
      <c r="E3008" s="11" t="inlineStr"/>
      <c r="F3008" s="11" t="n">
        <v>0</v>
      </c>
      <c r="G3008" s="11">
        <f>E3008-F3008</f>
        <v/>
      </c>
      <c r="H3008" s="11" t="n">
        <v>0</v>
      </c>
      <c r="I3008" s="11" t="n">
        <v>0</v>
      </c>
      <c r="J3008" s="11" t="n">
        <v>0</v>
      </c>
      <c r="K3008" s="4" t="inlineStr">
        <is>
          <t>Stundensätze eingeben</t>
        </is>
      </c>
    </row>
    <row r="3009">
      <c r="A3009" s="4" t="inlineStr">
        <is>
          <t>6508 Kloster-Schäftlarn-Erweiterungsbau</t>
        </is>
      </c>
      <c r="B3009" s="4" t="inlineStr">
        <is>
          <t>● (p) LP2 GL</t>
        </is>
      </c>
      <c r="C3009" s="4" t="inlineStr">
        <is>
          <t>Pauschale</t>
        </is>
      </c>
      <c r="D3009" s="10" t="inlineStr">
        <is>
          <t>⚠ Manual erforderlich</t>
        </is>
      </c>
      <c r="E3009" s="11" t="inlineStr"/>
      <c r="F3009" s="11" t="n">
        <v>0</v>
      </c>
      <c r="G3009" s="11">
        <f>E3009-F3009</f>
        <v/>
      </c>
      <c r="H3009" s="11" t="n">
        <v>0</v>
      </c>
      <c r="I3009" s="11" t="n">
        <v>0</v>
      </c>
      <c r="J3009" s="11" t="n">
        <v>0</v>
      </c>
      <c r="K3009" s="4" t="inlineStr">
        <is>
          <t>Stundensätze eingeben</t>
        </is>
      </c>
    </row>
    <row r="3010">
      <c r="A3010" s="4" t="inlineStr">
        <is>
          <t>6508 Kloster-Schäftlarn-Erweiterungsbau</t>
        </is>
      </c>
      <c r="B3010" s="4" t="inlineStr">
        <is>
          <t>● (p) LP3 GL</t>
        </is>
      </c>
      <c r="C3010" s="4" t="inlineStr">
        <is>
          <t>Pauschale</t>
        </is>
      </c>
      <c r="D3010" s="10" t="inlineStr">
        <is>
          <t>⚠ Manual erforderlich</t>
        </is>
      </c>
      <c r="E3010" s="11" t="inlineStr"/>
      <c r="F3010" s="11" t="n">
        <v>0</v>
      </c>
      <c r="G3010" s="11">
        <f>E3010-F3010</f>
        <v/>
      </c>
      <c r="H3010" s="11" t="n">
        <v>0</v>
      </c>
      <c r="I3010" s="11" t="n">
        <v>0</v>
      </c>
      <c r="J3010" s="11" t="n">
        <v>0</v>
      </c>
      <c r="K3010" s="4" t="inlineStr">
        <is>
          <t>Stundensätze eingeben</t>
        </is>
      </c>
    </row>
    <row r="3011">
      <c r="A3011" s="4" t="inlineStr">
        <is>
          <t>6508 Kloster-Schäftlarn-Erweiterungsbau</t>
        </is>
      </c>
      <c r="B3011" s="4" t="inlineStr">
        <is>
          <t>● (p) LP 4 GL</t>
        </is>
      </c>
      <c r="C3011" s="4" t="inlineStr">
        <is>
          <t>Pauschale</t>
        </is>
      </c>
      <c r="D3011" s="10" t="inlineStr">
        <is>
          <t>⚠ Manual erforderlich</t>
        </is>
      </c>
      <c r="E3011" s="11" t="inlineStr"/>
      <c r="F3011" s="11" t="n">
        <v>0</v>
      </c>
      <c r="G3011" s="11">
        <f>E3011-F3011</f>
        <v/>
      </c>
      <c r="H3011" s="11" t="n">
        <v>0</v>
      </c>
      <c r="I3011" s="11" t="n">
        <v>0</v>
      </c>
      <c r="J3011" s="11" t="n">
        <v>0</v>
      </c>
      <c r="K3011" s="4" t="inlineStr">
        <is>
          <t>Stundensätze eingeben</t>
        </is>
      </c>
    </row>
    <row r="3012">
      <c r="A3012" s="4" t="inlineStr">
        <is>
          <t>6508 Kloster-Schäftlarn-Erweiterungsbau</t>
        </is>
      </c>
      <c r="B3012" s="4" t="inlineStr">
        <is>
          <t>● (p) LP1 BL Bestandserfassung vor Ort....</t>
        </is>
      </c>
      <c r="C3012" s="4" t="inlineStr">
        <is>
          <t>Pauschale</t>
        </is>
      </c>
      <c r="D3012" s="10" t="inlineStr">
        <is>
          <t>⚠ Manual erforderlich</t>
        </is>
      </c>
      <c r="E3012" s="11" t="inlineStr"/>
      <c r="F3012" s="11" t="n">
        <v>0</v>
      </c>
      <c r="G3012" s="11">
        <f>E3012-F3012</f>
        <v/>
      </c>
      <c r="H3012" s="11" t="n">
        <v>0</v>
      </c>
      <c r="I3012" s="11" t="n">
        <v>0</v>
      </c>
      <c r="J3012" s="11" t="n">
        <v>0</v>
      </c>
      <c r="K3012" s="4" t="inlineStr">
        <is>
          <t>Stundensätze eingeben</t>
        </is>
      </c>
    </row>
    <row r="3013">
      <c r="A3013" s="4" t="inlineStr">
        <is>
          <t>6508 Kloster-Schäftlarn-Erweiterungsbau</t>
        </is>
      </c>
      <c r="B3013" s="4" t="inlineStr">
        <is>
          <t>● (p) LP 2 BL</t>
        </is>
      </c>
      <c r="C3013" s="4" t="inlineStr">
        <is>
          <t>Pauschale</t>
        </is>
      </c>
      <c r="D3013" s="10" t="inlineStr">
        <is>
          <t>⚠ Manual erforderlich</t>
        </is>
      </c>
      <c r="E3013" s="11" t="inlineStr"/>
      <c r="F3013" s="11" t="n">
        <v>0</v>
      </c>
      <c r="G3013" s="11">
        <f>E3013-F3013</f>
        <v/>
      </c>
      <c r="H3013" s="11" t="n">
        <v>0</v>
      </c>
      <c r="I3013" s="11" t="n">
        <v>0</v>
      </c>
      <c r="J3013" s="11" t="n">
        <v>0</v>
      </c>
      <c r="K3013" s="4" t="inlineStr">
        <is>
          <t>Stundensätze eingeben</t>
        </is>
      </c>
    </row>
    <row r="3014">
      <c r="A3014" s="4" t="inlineStr">
        <is>
          <t>6508 Kloster-Schäftlarn-Erweiterungsbau</t>
        </is>
      </c>
      <c r="B3014" s="4" t="inlineStr">
        <is>
          <t>● • (aN) LP 2 Variantenbetrachtung</t>
        </is>
      </c>
      <c r="C3014" s="4" t="inlineStr">
        <is>
          <t>Nachweis</t>
        </is>
      </c>
      <c r="D3014" s="10" t="inlineStr">
        <is>
          <t>⚠ Manual erforderlich</t>
        </is>
      </c>
      <c r="E3014" s="11" t="inlineStr"/>
      <c r="F3014" s="11" t="n">
        <v>0</v>
      </c>
      <c r="G3014" s="11">
        <f>E3014-F3014</f>
        <v/>
      </c>
      <c r="H3014" s="11" t="n">
        <v/>
      </c>
      <c r="I3014" s="11" t="n">
        <v/>
      </c>
      <c r="J3014" s="11" t="n">
        <v/>
      </c>
      <c r="K3014" s="4" t="inlineStr">
        <is>
          <t>Stundensätze eingeben</t>
        </is>
      </c>
    </row>
    <row r="3015">
      <c r="A3015" s="4" t="inlineStr">
        <is>
          <t>6508 Kloster-Schäftlarn-Erweiterungsbau</t>
        </is>
      </c>
      <c r="B3015" s="4" t="inlineStr">
        <is>
          <t>● • (aN) LP 2 BST Interimsphase/SV</t>
        </is>
      </c>
      <c r="C3015" s="4" t="inlineStr">
        <is>
          <t>Nachweis</t>
        </is>
      </c>
      <c r="D3015" s="10" t="inlineStr">
        <is>
          <t>⚠ Manual erforderlich</t>
        </is>
      </c>
      <c r="E3015" s="11" t="inlineStr"/>
      <c r="F3015" s="11" t="n">
        <v>0</v>
      </c>
      <c r="G3015" s="11">
        <f>E3015-F3015</f>
        <v/>
      </c>
      <c r="H3015" s="11" t="n">
        <v/>
      </c>
      <c r="I3015" s="11" t="n">
        <v/>
      </c>
      <c r="J3015" s="11" t="n">
        <v/>
      </c>
      <c r="K3015" s="4" t="inlineStr">
        <is>
          <t>Stundensätze eingeben</t>
        </is>
      </c>
    </row>
    <row r="3016">
      <c r="A3016" s="4" t="inlineStr">
        <is>
          <t>6508 Kloster-Schäftlarn-Erweiterungsbau</t>
        </is>
      </c>
      <c r="B3016" s="4" t="inlineStr">
        <is>
          <t>● • (aN) LP2 BST Interimsphase/CAD</t>
        </is>
      </c>
      <c r="C3016" s="4" t="inlineStr">
        <is>
          <t>Nachweis</t>
        </is>
      </c>
      <c r="D3016" s="10" t="inlineStr">
        <is>
          <t>⚠ Manual erforderlich</t>
        </is>
      </c>
      <c r="E3016" s="11" t="inlineStr"/>
      <c r="F3016" s="11" t="n">
        <v>0</v>
      </c>
      <c r="G3016" s="11">
        <f>E3016-F3016</f>
        <v/>
      </c>
      <c r="H3016" s="11" t="n">
        <v/>
      </c>
      <c r="I3016" s="11" t="n">
        <v/>
      </c>
      <c r="J3016" s="11" t="n">
        <v/>
      </c>
      <c r="K3016" s="4" t="inlineStr">
        <is>
          <t>Stundensätze eingeben</t>
        </is>
      </c>
    </row>
    <row r="3017">
      <c r="A3017" s="4" t="inlineStr">
        <is>
          <t>6508.01 Kloster-Schäftlarn-Erweiterungsbau-Interimskonzept</t>
        </is>
      </c>
      <c r="B3017" s="4" t="inlineStr">
        <is>
          <t>● (p) LP1 GL</t>
        </is>
      </c>
      <c r="C3017" s="4" t="inlineStr">
        <is>
          <t>Pauschale</t>
        </is>
      </c>
      <c r="D3017" s="10" t="inlineStr">
        <is>
          <t>⚠ Manual erforderlich</t>
        </is>
      </c>
      <c r="E3017" s="11" t="inlineStr"/>
      <c r="F3017" s="11" t="n">
        <v>0</v>
      </c>
      <c r="G3017" s="11">
        <f>E3017-F3017</f>
        <v/>
      </c>
      <c r="H3017" s="11" t="n">
        <v>0</v>
      </c>
      <c r="I3017" s="11" t="n">
        <v>0</v>
      </c>
      <c r="J3017" s="11" t="n">
        <v>0</v>
      </c>
      <c r="K3017" s="4" t="inlineStr">
        <is>
          <t>Stundensätze eingeben</t>
        </is>
      </c>
    </row>
    <row r="3018">
      <c r="A3018" s="4" t="inlineStr">
        <is>
          <t>6508.01 Kloster-Schäftlarn-Erweiterungsbau-Interimskonzept</t>
        </is>
      </c>
      <c r="B3018" s="4" t="inlineStr">
        <is>
          <t>● (p) LP2 GL</t>
        </is>
      </c>
      <c r="C3018" s="4" t="inlineStr">
        <is>
          <t>Pauschale</t>
        </is>
      </c>
      <c r="D3018" s="10" t="inlineStr">
        <is>
          <t>⚠ Manual erforderlich</t>
        </is>
      </c>
      <c r="E3018" s="11" t="inlineStr"/>
      <c r="F3018" s="11" t="n">
        <v>0</v>
      </c>
      <c r="G3018" s="11">
        <f>E3018-F3018</f>
        <v/>
      </c>
      <c r="H3018" s="11" t="n">
        <v>0</v>
      </c>
      <c r="I3018" s="11" t="n">
        <v>0</v>
      </c>
      <c r="J3018" s="11" t="n">
        <v>0</v>
      </c>
      <c r="K3018" s="4" t="inlineStr">
        <is>
          <t>Stundensätze eingeben</t>
        </is>
      </c>
    </row>
    <row r="3019">
      <c r="A3019" s="4" t="inlineStr">
        <is>
          <t>6508.01 Kloster-Schäftlarn-Erweiterungsbau-Interimskonzept</t>
        </is>
      </c>
      <c r="B3019" s="4" t="inlineStr">
        <is>
          <t>● (p) LP3 GL</t>
        </is>
      </c>
      <c r="C3019" s="4" t="inlineStr">
        <is>
          <t>Pauschale</t>
        </is>
      </c>
      <c r="D3019" s="10" t="inlineStr">
        <is>
          <t>⚠ Manual erforderlich</t>
        </is>
      </c>
      <c r="E3019" s="11" t="inlineStr"/>
      <c r="F3019" s="11" t="n">
        <v>0</v>
      </c>
      <c r="G3019" s="11">
        <f>E3019-F3019</f>
        <v/>
      </c>
      <c r="H3019" s="11" t="n">
        <v>0</v>
      </c>
      <c r="I3019" s="11" t="n">
        <v>0</v>
      </c>
      <c r="J3019" s="11" t="n">
        <v>0</v>
      </c>
      <c r="K3019" s="4" t="inlineStr">
        <is>
          <t>Stundensätze eingeben</t>
        </is>
      </c>
    </row>
    <row r="3020">
      <c r="A3020" s="4" t="inlineStr">
        <is>
          <t>6508.01 Kloster-Schäftlarn-Erweiterungsbau-Interimskonzept</t>
        </is>
      </c>
      <c r="B3020" s="4" t="inlineStr">
        <is>
          <t>● (p) LP 4 GL</t>
        </is>
      </c>
      <c r="C3020" s="4" t="inlineStr">
        <is>
          <t>Pauschale</t>
        </is>
      </c>
      <c r="D3020" s="10" t="inlineStr">
        <is>
          <t>⚠ Manual erforderlich</t>
        </is>
      </c>
      <c r="E3020" s="11" t="inlineStr"/>
      <c r="F3020" s="11" t="n">
        <v>0</v>
      </c>
      <c r="G3020" s="11">
        <f>E3020-F3020</f>
        <v/>
      </c>
      <c r="H3020" s="11" t="n">
        <v>0</v>
      </c>
      <c r="I3020" s="11" t="n">
        <v>0</v>
      </c>
      <c r="J3020" s="11" t="n">
        <v>0</v>
      </c>
      <c r="K3020" s="4" t="inlineStr">
        <is>
          <t>Stundensätze eingeben</t>
        </is>
      </c>
    </row>
    <row r="3021">
      <c r="A3021" s="4" t="inlineStr">
        <is>
          <t>6511 Thüringer-Straße-2+4a-Haus-1-Grävenwiesbach</t>
        </is>
      </c>
      <c r="B3021" s="4" t="inlineStr">
        <is>
          <t>● Beratung IST-Zustand (auf Nachweis)</t>
        </is>
      </c>
      <c r="C3021" s="9" t="inlineStr">
        <is>
          <t>Unbekannt</t>
        </is>
      </c>
      <c r="D3021" s="10" t="inlineStr">
        <is>
          <t>⚠ Manual erforderlich</t>
        </is>
      </c>
      <c r="E3021" s="11" t="inlineStr"/>
      <c r="F3021" s="11" t="n">
        <v>0</v>
      </c>
      <c r="G3021" s="11">
        <f>E3021-F3021</f>
        <v/>
      </c>
      <c r="H3021" s="11" t="n">
        <v/>
      </c>
      <c r="I3021" s="11" t="n">
        <v/>
      </c>
      <c r="J3021" s="11" t="n">
        <v/>
      </c>
      <c r="K3021" s="4" t="inlineStr">
        <is>
          <t>Abrechnungsart wählen; Stundensätze eingeben</t>
        </is>
      </c>
    </row>
    <row r="3022">
      <c r="A3022" s="4" t="inlineStr">
        <is>
          <t>6511 Thüringer-Straße-2+4a-Haus-1-Grävenwiesbach</t>
        </is>
      </c>
      <c r="B3022" s="4" t="inlineStr">
        <is>
          <t>● FuR-Pläne (pauschal)</t>
        </is>
      </c>
      <c r="C3022" s="9" t="inlineStr">
        <is>
          <t>Unbekannt</t>
        </is>
      </c>
      <c r="D3022" s="10" t="inlineStr">
        <is>
          <t>⚠ Manual erforderlich</t>
        </is>
      </c>
      <c r="E3022" s="11" t="inlineStr"/>
      <c r="F3022" s="11" t="n">
        <v>0</v>
      </c>
      <c r="G3022" s="11">
        <f>E3022-F3022</f>
        <v/>
      </c>
      <c r="H3022" s="11" t="n">
        <v/>
      </c>
      <c r="I3022" s="11" t="n">
        <v/>
      </c>
      <c r="J3022" s="11" t="n">
        <v/>
      </c>
      <c r="K3022" s="4" t="inlineStr">
        <is>
          <t>Abrechnungsart wählen; Stundensätze eingeben</t>
        </is>
      </c>
    </row>
    <row r="3023">
      <c r="A3023" s="4" t="inlineStr">
        <is>
          <t>6511.01 BSK-Thüringer-Straße-4a-Grävenwiesbach</t>
        </is>
      </c>
      <c r="B3023" s="4" t="inlineStr">
        <is>
          <t>● (p) Pos.1 Erstellung BSK</t>
        </is>
      </c>
      <c r="C3023" s="4" t="inlineStr">
        <is>
          <t>Pauschale</t>
        </is>
      </c>
      <c r="D3023" s="10" t="inlineStr">
        <is>
          <t>⚠ Manual erforderlich</t>
        </is>
      </c>
      <c r="E3023" s="11" t="inlineStr"/>
      <c r="F3023" s="11" t="n">
        <v>0</v>
      </c>
      <c r="G3023" s="11">
        <f>E3023-F3023</f>
        <v/>
      </c>
      <c r="H3023" s="11" t="n">
        <v>0</v>
      </c>
      <c r="I3023" s="11" t="n">
        <v>0</v>
      </c>
      <c r="J3023" s="11" t="n">
        <v>0</v>
      </c>
      <c r="K3023" s="4" t="inlineStr">
        <is>
          <t>Stundensätze eingeben</t>
        </is>
      </c>
    </row>
    <row r="3024">
      <c r="A3024" s="4" t="inlineStr">
        <is>
          <t>6511.01 BSK-Thüringer-Straße-4a-Grävenwiesbach</t>
        </is>
      </c>
      <c r="B3024" s="4" t="inlineStr">
        <is>
          <t>● (a.N.) Pos.2 BAB + Qualitätsüberwachung</t>
        </is>
      </c>
      <c r="C3024" s="4" t="inlineStr">
        <is>
          <t>Nachweis</t>
        </is>
      </c>
      <c r="D3024" s="10" t="inlineStr">
        <is>
          <t>⚠ Manual erforderlich</t>
        </is>
      </c>
      <c r="E3024" s="11" t="inlineStr"/>
      <c r="F3024" s="11" t="n">
        <v>0</v>
      </c>
      <c r="G3024" s="11">
        <f>E3024-F3024</f>
        <v/>
      </c>
      <c r="H3024" s="11" t="n">
        <v/>
      </c>
      <c r="I3024" s="11" t="n">
        <v/>
      </c>
      <c r="J3024" s="11" t="n">
        <v/>
      </c>
      <c r="K3024" s="4" t="inlineStr">
        <is>
          <t>Stundensätze eingeben</t>
        </is>
      </c>
    </row>
    <row r="3025">
      <c r="A3025" s="4" t="inlineStr">
        <is>
          <t>6512 Thüringer-Straße-4-Haus-2-Grävenwiesbach</t>
        </is>
      </c>
      <c r="B3025" s="4" t="inlineStr">
        <is>
          <t>● Beratung IST-Zustand (auf Nachweis)</t>
        </is>
      </c>
      <c r="C3025" s="9" t="inlineStr">
        <is>
          <t>Unbekannt</t>
        </is>
      </c>
      <c r="D3025" s="10" t="inlineStr">
        <is>
          <t>⚠ Manual erforderlich</t>
        </is>
      </c>
      <c r="E3025" s="11" t="inlineStr"/>
      <c r="F3025" s="11" t="n">
        <v>0</v>
      </c>
      <c r="G3025" s="11">
        <f>E3025-F3025</f>
        <v/>
      </c>
      <c r="H3025" s="11" t="n">
        <v/>
      </c>
      <c r="I3025" s="11" t="n">
        <v/>
      </c>
      <c r="J3025" s="11" t="n">
        <v/>
      </c>
      <c r="K3025" s="4" t="inlineStr">
        <is>
          <t>Abrechnungsart wählen; Stundensätze eingeben</t>
        </is>
      </c>
    </row>
    <row r="3026">
      <c r="A3026" s="4" t="inlineStr">
        <is>
          <t>6512 Thüringer-Straße-4-Haus-2-Grävenwiesbach</t>
        </is>
      </c>
      <c r="B3026" s="4" t="inlineStr">
        <is>
          <t>● FuR-Pläne (pauschal)</t>
        </is>
      </c>
      <c r="C3026" s="9" t="inlineStr">
        <is>
          <t>Unbekannt</t>
        </is>
      </c>
      <c r="D3026" s="10" t="inlineStr">
        <is>
          <t>⚠ Manual erforderlich</t>
        </is>
      </c>
      <c r="E3026" s="11" t="inlineStr"/>
      <c r="F3026" s="11" t="n">
        <v>0</v>
      </c>
      <c r="G3026" s="11">
        <f>E3026-F3026</f>
        <v/>
      </c>
      <c r="H3026" s="11" t="n">
        <v/>
      </c>
      <c r="I3026" s="11" t="n">
        <v/>
      </c>
      <c r="J3026" s="11" t="n">
        <v/>
      </c>
      <c r="K3026" s="4" t="inlineStr">
        <is>
          <t>Abrechnungsart wählen; Stundensätze eingeben</t>
        </is>
      </c>
    </row>
    <row r="3027">
      <c r="A3027" s="4" t="inlineStr">
        <is>
          <t>6514.01 Nachweis-Städtisches-Klinikum-Braunschweig</t>
        </is>
      </c>
      <c r="B3027" s="4" t="inlineStr">
        <is>
          <t>● Abschnitt 3 Räumungs- und Evakuierungskonzept (auf Nachweis)</t>
        </is>
      </c>
      <c r="C3027" s="9" t="inlineStr">
        <is>
          <t>Unbekannt</t>
        </is>
      </c>
      <c r="D3027" s="10" t="inlineStr">
        <is>
          <t>⚠ Manual erforderlich</t>
        </is>
      </c>
      <c r="E3027" s="11" t="inlineStr"/>
      <c r="F3027" s="11" t="n">
        <v>0</v>
      </c>
      <c r="G3027" s="11">
        <f>E3027-F3027</f>
        <v/>
      </c>
      <c r="H3027" s="11" t="n">
        <v/>
      </c>
      <c r="I3027" s="11" t="n">
        <v/>
      </c>
      <c r="J3027" s="11" t="n">
        <v/>
      </c>
      <c r="K3027" s="4" t="inlineStr">
        <is>
          <t>Abrechnungsart wählen; Stundensätze eingeben</t>
        </is>
      </c>
    </row>
    <row r="3028">
      <c r="A3028" s="4" t="inlineStr">
        <is>
          <t>6514.01 Nachweis-Städtisches-Klinikum-Braunschweig</t>
        </is>
      </c>
      <c r="B3028" s="4" t="inlineStr">
        <is>
          <t>● Abschnitt 4 Mitarbeiterschulungen (auf Nachweis)</t>
        </is>
      </c>
      <c r="C3028" s="9" t="inlineStr">
        <is>
          <t>Unbekannt</t>
        </is>
      </c>
      <c r="D3028" s="10" t="inlineStr">
        <is>
          <t>⚠ Manual erforderlich</t>
        </is>
      </c>
      <c r="E3028" s="11" t="inlineStr"/>
      <c r="F3028" s="11" t="n">
        <v>0</v>
      </c>
      <c r="G3028" s="11">
        <f>E3028-F3028</f>
        <v/>
      </c>
      <c r="H3028" s="11" t="n">
        <v/>
      </c>
      <c r="I3028" s="11" t="n">
        <v/>
      </c>
      <c r="J3028" s="11" t="n">
        <v/>
      </c>
      <c r="K3028" s="4" t="inlineStr">
        <is>
          <t>Abrechnungsart wählen; Stundensätze eingeben</t>
        </is>
      </c>
    </row>
    <row r="3029">
      <c r="A3029" s="4" t="inlineStr">
        <is>
          <t>6514.01 Nachweis-Städtisches-Klinikum-Braunschweig</t>
        </is>
      </c>
      <c r="B3029" s="4" t="inlineStr">
        <is>
          <t>● Abschnitt 5 - Brandschutzübungen Teilnehmer/Equipment</t>
        </is>
      </c>
      <c r="C3029" s="9" t="inlineStr">
        <is>
          <t>Unbekannt</t>
        </is>
      </c>
      <c r="D3029" s="10" t="inlineStr">
        <is>
          <t>⚠ Manual erforderlich</t>
        </is>
      </c>
      <c r="E3029" s="11" t="inlineStr"/>
      <c r="F3029" s="11" t="n">
        <v>0</v>
      </c>
      <c r="G3029" s="11">
        <f>E3029-F3029</f>
        <v/>
      </c>
      <c r="H3029" s="11" t="n">
        <v/>
      </c>
      <c r="I3029" s="11" t="n">
        <v/>
      </c>
      <c r="J3029" s="11" t="n">
        <v/>
      </c>
      <c r="K3029" s="4" t="inlineStr">
        <is>
          <t>Abrechnungsart wählen; Stundensätze eingeben</t>
        </is>
      </c>
    </row>
    <row r="3030">
      <c r="A3030" s="4" t="inlineStr">
        <is>
          <t>6514.01 Nachweis-Städtisches-Klinikum-Braunschweig</t>
        </is>
      </c>
      <c r="B3030" s="4" t="inlineStr">
        <is>
          <t>● Abschnitt 6 weitere Beratungen (auf Nachweis)</t>
        </is>
      </c>
      <c r="C3030" s="9" t="inlineStr">
        <is>
          <t>Unbekannt</t>
        </is>
      </c>
      <c r="D3030" s="10" t="inlineStr">
        <is>
          <t>⚠ Manual erforderlich</t>
        </is>
      </c>
      <c r="E3030" s="11" t="inlineStr"/>
      <c r="F3030" s="11" t="n">
        <v>0</v>
      </c>
      <c r="G3030" s="11">
        <f>E3030-F3030</f>
        <v/>
      </c>
      <c r="H3030" s="11" t="n">
        <v/>
      </c>
      <c r="I3030" s="11" t="n">
        <v/>
      </c>
      <c r="J3030" s="11" t="n">
        <v/>
      </c>
      <c r="K3030" s="4" t="inlineStr">
        <is>
          <t>Abrechnungsart wählen; Stundensätze eingeben</t>
        </is>
      </c>
    </row>
    <row r="3031">
      <c r="A3031" s="4" t="inlineStr">
        <is>
          <t>6514.01 Nachweis-Städtisches-Klinikum-Braunschweig</t>
        </is>
      </c>
      <c r="B3031" s="4" t="inlineStr">
        <is>
          <t>● Vorab erbrachte Leistungen</t>
        </is>
      </c>
      <c r="C3031" s="9" t="inlineStr">
        <is>
          <t>Unbekannt</t>
        </is>
      </c>
      <c r="D3031" s="10" t="inlineStr">
        <is>
          <t>⚠ Manual erforderlich</t>
        </is>
      </c>
      <c r="E3031" s="11" t="inlineStr"/>
      <c r="F3031" s="11" t="n">
        <v>0</v>
      </c>
      <c r="G3031" s="11">
        <f>E3031-F3031</f>
        <v/>
      </c>
      <c r="H3031" s="11" t="n">
        <v/>
      </c>
      <c r="I3031" s="11" t="n">
        <v/>
      </c>
      <c r="J3031" s="11" t="n">
        <v/>
      </c>
      <c r="K3031" s="4" t="inlineStr">
        <is>
          <t>Abrechnungsart wählen; Stundensätze eingeben</t>
        </is>
      </c>
    </row>
    <row r="3032">
      <c r="A3032" s="4" t="inlineStr">
        <is>
          <t>6514.02 Pauschal-Städtisches-Klinikum-Braunschweig</t>
        </is>
      </c>
      <c r="B3032" s="4" t="inlineStr">
        <is>
          <t>● Abschnitt 1 Projektstart und Projektkoordination (Tagessatz)</t>
        </is>
      </c>
      <c r="C3032" s="9" t="inlineStr">
        <is>
          <t>Unbekannt</t>
        </is>
      </c>
      <c r="D3032" s="10" t="inlineStr">
        <is>
          <t>⚠ Manual erforderlich</t>
        </is>
      </c>
      <c r="E3032" s="11" t="inlineStr"/>
      <c r="F3032" s="11" t="n">
        <v>0</v>
      </c>
      <c r="G3032" s="11">
        <f>E3032-F3032</f>
        <v/>
      </c>
      <c r="H3032" s="11" t="n">
        <v/>
      </c>
      <c r="I3032" s="11" t="n">
        <v/>
      </c>
      <c r="J3032" s="11" t="n">
        <v/>
      </c>
      <c r="K3032" s="4" t="inlineStr">
        <is>
          <t>Abrechnungsart wählen; Stundensätze eingeben</t>
        </is>
      </c>
    </row>
    <row r="3033">
      <c r="A3033" s="4" t="inlineStr">
        <is>
          <t>6514.02 Pauschal-Städtisches-Klinikum-Braunschweig</t>
        </is>
      </c>
      <c r="B3033" s="4" t="inlineStr">
        <is>
          <t>● Abschnitt 2 Begehungen (Tagessatz)</t>
        </is>
      </c>
      <c r="C3033" s="9" t="inlineStr">
        <is>
          <t>Unbekannt</t>
        </is>
      </c>
      <c r="D3033" s="10" t="inlineStr">
        <is>
          <t>⚠ Manual erforderlich</t>
        </is>
      </c>
      <c r="E3033" s="11" t="inlineStr"/>
      <c r="F3033" s="11" t="n">
        <v>0</v>
      </c>
      <c r="G3033" s="11">
        <f>E3033-F3033</f>
        <v/>
      </c>
      <c r="H3033" s="11" t="n">
        <v/>
      </c>
      <c r="I3033" s="11" t="n">
        <v/>
      </c>
      <c r="J3033" s="11" t="n">
        <v/>
      </c>
      <c r="K3033" s="4" t="inlineStr">
        <is>
          <t>Abrechnungsart wählen; Stundensätze eingeben</t>
        </is>
      </c>
    </row>
    <row r="3034">
      <c r="A3034" s="4" t="inlineStr">
        <is>
          <t>6514.02 Pauschal-Städtisches-Klinikum-Braunschweig</t>
        </is>
      </c>
      <c r="B3034" s="4" t="inlineStr">
        <is>
          <t>● Abschnitt 3 Räumungs- und Evakuierungskonzept (Stück pro Plan)</t>
        </is>
      </c>
      <c r="C3034" s="9" t="inlineStr">
        <is>
          <t>Unbekannt</t>
        </is>
      </c>
      <c r="D3034" s="10" t="inlineStr">
        <is>
          <t>⚠ Manual erforderlich</t>
        </is>
      </c>
      <c r="E3034" s="11" t="inlineStr"/>
      <c r="F3034" s="11" t="n">
        <v>0</v>
      </c>
      <c r="G3034" s="11">
        <f>E3034-F3034</f>
        <v/>
      </c>
      <c r="H3034" s="11" t="n">
        <v/>
      </c>
      <c r="I3034" s="11" t="n">
        <v/>
      </c>
      <c r="J3034" s="11" t="n">
        <v/>
      </c>
      <c r="K3034" s="4" t="inlineStr">
        <is>
          <t>Abrechnungsart wählen; Stundensätze eingeben</t>
        </is>
      </c>
    </row>
    <row r="3035">
      <c r="A3035" s="4" t="inlineStr">
        <is>
          <t>6514.02 Pauschal-Städtisches-Klinikum-Braunschweig</t>
        </is>
      </c>
      <c r="B3035" s="4" t="inlineStr">
        <is>
          <t>● Abschnitt 4 Mitarbeiterschulungen (pro Schulung)</t>
        </is>
      </c>
      <c r="C3035" s="9" t="inlineStr">
        <is>
          <t>Unbekannt</t>
        </is>
      </c>
      <c r="D3035" s="10" t="inlineStr">
        <is>
          <t>⚠ Manual erforderlich</t>
        </is>
      </c>
      <c r="E3035" s="11" t="inlineStr"/>
      <c r="F3035" s="11" t="n">
        <v>0</v>
      </c>
      <c r="G3035" s="11">
        <f>E3035-F3035</f>
        <v/>
      </c>
      <c r="H3035" s="11" t="n">
        <v/>
      </c>
      <c r="I3035" s="11" t="n">
        <v/>
      </c>
      <c r="J3035" s="11" t="n">
        <v/>
      </c>
      <c r="K3035" s="4" t="inlineStr">
        <is>
          <t>Abrechnungsart wählen; Stundensätze eingeben</t>
        </is>
      </c>
    </row>
    <row r="3036">
      <c r="A3036" s="4" t="inlineStr">
        <is>
          <t>6514.03 RMS-Nachweis-Städtisches-Klinikum-Braunschweig</t>
        </is>
      </c>
      <c r="B3036" s="4" t="inlineStr">
        <is>
          <t>● Druck Unterlagen Alarmkoffer einseitig (3,00 €/Blatt) (Abrg. je Blatt)</t>
        </is>
      </c>
      <c r="C3036" s="9" t="inlineStr">
        <is>
          <t>Unbekannt</t>
        </is>
      </c>
      <c r="D3036" s="10" t="inlineStr">
        <is>
          <t>⚠ Manual erforderlich</t>
        </is>
      </c>
      <c r="E3036" s="11" t="inlineStr"/>
      <c r="F3036" s="11" t="n">
        <v>0</v>
      </c>
      <c r="G3036" s="11">
        <f>E3036-F3036</f>
        <v/>
      </c>
      <c r="H3036" s="11" t="n">
        <v/>
      </c>
      <c r="I3036" s="11" t="n">
        <v/>
      </c>
      <c r="J3036" s="11" t="n">
        <v/>
      </c>
      <c r="K3036" s="4" t="inlineStr">
        <is>
          <t>Abrechnungsart wählen; Stundensätze eingeben</t>
        </is>
      </c>
    </row>
    <row r="3037">
      <c r="A3037" s="4" t="inlineStr">
        <is>
          <t>6514.03 RMS-Nachweis-Städtisches-Klinikum-Braunschweig</t>
        </is>
      </c>
      <c r="B3037" s="4" t="inlineStr">
        <is>
          <t>● Druck Unterlgen Alarmkoffer beidseitig (5,00 €/Blatt) (Abrg. je Blatt)</t>
        </is>
      </c>
      <c r="C3037" s="9" t="inlineStr">
        <is>
          <t>Unbekannt</t>
        </is>
      </c>
      <c r="D3037" s="10" t="inlineStr">
        <is>
          <t>⚠ Manual erforderlich</t>
        </is>
      </c>
      <c r="E3037" s="11" t="inlineStr"/>
      <c r="F3037" s="11" t="n">
        <v>0</v>
      </c>
      <c r="G3037" s="11">
        <f>E3037-F3037</f>
        <v/>
      </c>
      <c r="H3037" s="11" t="n">
        <v/>
      </c>
      <c r="I3037" s="11" t="n">
        <v/>
      </c>
      <c r="J3037" s="11" t="n">
        <v/>
      </c>
      <c r="K3037" s="4" t="inlineStr">
        <is>
          <t>Abrechnungsart wählen; Stundensätze eingeben</t>
        </is>
      </c>
    </row>
    <row r="3038">
      <c r="A3038" s="4" t="inlineStr">
        <is>
          <t>6514.04 Stundendokumentation RuE-Pläne-Städtisches-Klinikum-Braunschweig</t>
        </is>
      </c>
      <c r="B3038" s="4" t="inlineStr">
        <is>
          <t>● Abschnitt 3-Räumungs- und Evakuierungspläne</t>
        </is>
      </c>
      <c r="C3038" s="9" t="inlineStr">
        <is>
          <t>Unbekannt</t>
        </is>
      </c>
      <c r="D3038" s="10" t="inlineStr">
        <is>
          <t>⚠ Manual erforderlich</t>
        </is>
      </c>
      <c r="E3038" s="11" t="inlineStr"/>
      <c r="F3038" s="11" t="n">
        <v>0</v>
      </c>
      <c r="G3038" s="11">
        <f>E3038-F3038</f>
        <v/>
      </c>
      <c r="H3038" s="11" t="n">
        <v/>
      </c>
      <c r="I3038" s="11" t="n">
        <v/>
      </c>
      <c r="J3038" s="11" t="n">
        <v/>
      </c>
      <c r="K3038" s="4" t="inlineStr">
        <is>
          <t>Abrechnungsart wählen; Stundensätze eingeben</t>
        </is>
      </c>
    </row>
    <row r="3039">
      <c r="A3039" s="4" t="inlineStr">
        <is>
          <t>6514.05 BSB-2023-Städtisches-Klinikum-Braunschweig</t>
        </is>
      </c>
      <c r="B3039" s="4" t="inlineStr">
        <is>
          <t>● (p) Pos.1a) Schulungen 2023</t>
        </is>
      </c>
      <c r="C3039" s="4" t="inlineStr">
        <is>
          <t>Pauschale</t>
        </is>
      </c>
      <c r="D3039" s="10" t="inlineStr">
        <is>
          <t>⚠ Manual erforderlich</t>
        </is>
      </c>
      <c r="E3039" s="11" t="inlineStr"/>
      <c r="F3039" s="11" t="n">
        <v>0</v>
      </c>
      <c r="G3039" s="11">
        <f>E3039-F3039</f>
        <v/>
      </c>
      <c r="H3039" s="11" t="n">
        <v>0</v>
      </c>
      <c r="I3039" s="11" t="n">
        <v>0</v>
      </c>
      <c r="J3039" s="11" t="n">
        <v>0</v>
      </c>
      <c r="K3039" s="4" t="inlineStr">
        <is>
          <t>Stundensätze eingeben</t>
        </is>
      </c>
    </row>
    <row r="3040">
      <c r="A3040" s="4" t="inlineStr">
        <is>
          <t>6514.05 BSB-2023-Städtisches-Klinikum-Braunschweig</t>
        </is>
      </c>
      <c r="B3040" s="4" t="inlineStr">
        <is>
          <t>● (p) Pos.1b) Übungen 2023</t>
        </is>
      </c>
      <c r="C3040" s="4" t="inlineStr">
        <is>
          <t>Pauschale</t>
        </is>
      </c>
      <c r="D3040" s="10" t="inlineStr">
        <is>
          <t>⚠ Manual erforderlich</t>
        </is>
      </c>
      <c r="E3040" s="11" t="inlineStr"/>
      <c r="F3040" s="11" t="n">
        <v>0</v>
      </c>
      <c r="G3040" s="11">
        <f>E3040-F3040</f>
        <v/>
      </c>
      <c r="H3040" s="11" t="n">
        <v>0</v>
      </c>
      <c r="I3040" s="11" t="n">
        <v>0</v>
      </c>
      <c r="J3040" s="11" t="n">
        <v>0</v>
      </c>
      <c r="K3040" s="4" t="inlineStr">
        <is>
          <t>Stundensätze eingeben</t>
        </is>
      </c>
    </row>
    <row r="3041">
      <c r="A3041" s="4" t="inlineStr">
        <is>
          <t>6514.05 BSB-2023-Städtisches-Klinikum-Braunschweig</t>
        </is>
      </c>
      <c r="B3041" s="4" t="inlineStr">
        <is>
          <t>● (p) Pos.2a) Brandshcutzordnung Erstellung 2023</t>
        </is>
      </c>
      <c r="C3041" s="4" t="inlineStr">
        <is>
          <t>Pauschale</t>
        </is>
      </c>
      <c r="D3041" s="10" t="inlineStr">
        <is>
          <t>⚠ Manual erforderlich</t>
        </is>
      </c>
      <c r="E3041" s="11" t="inlineStr"/>
      <c r="F3041" s="11" t="n">
        <v>0</v>
      </c>
      <c r="G3041" s="11">
        <f>E3041-F3041</f>
        <v/>
      </c>
      <c r="H3041" s="11" t="n">
        <v>0</v>
      </c>
      <c r="I3041" s="11" t="n">
        <v>0</v>
      </c>
      <c r="J3041" s="11" t="n">
        <v>0</v>
      </c>
      <c r="K3041" s="4" t="inlineStr">
        <is>
          <t>Stundensätze eingeben</t>
        </is>
      </c>
    </row>
    <row r="3042">
      <c r="A3042" s="4" t="inlineStr">
        <is>
          <t>6514.05 BSB-2023-Städtisches-Klinikum-Braunschweig</t>
        </is>
      </c>
      <c r="B3042" s="4" t="inlineStr">
        <is>
          <t>● (p) Pos.2b Brandschutzordnung Fortschreibung 2023</t>
        </is>
      </c>
      <c r="C3042" s="4" t="inlineStr">
        <is>
          <t>Pauschale</t>
        </is>
      </c>
      <c r="D3042" s="10" t="inlineStr">
        <is>
          <t>⚠ Manual erforderlich</t>
        </is>
      </c>
      <c r="E3042" s="11" t="inlineStr"/>
      <c r="F3042" s="11" t="n">
        <v>0</v>
      </c>
      <c r="G3042" s="11">
        <f>E3042-F3042</f>
        <v/>
      </c>
      <c r="H3042" s="11" t="n">
        <v/>
      </c>
      <c r="I3042" s="11" t="n">
        <v/>
      </c>
      <c r="J3042" s="11" t="n">
        <v/>
      </c>
      <c r="K3042" s="4" t="inlineStr">
        <is>
          <t>Stundensätze eingeben</t>
        </is>
      </c>
    </row>
    <row r="3043">
      <c r="A3043" s="4" t="inlineStr">
        <is>
          <t>6514.05 BSB-2023-Städtisches-Klinikum-Braunschweig</t>
        </is>
      </c>
      <c r="B3043" s="4" t="inlineStr">
        <is>
          <t>● (p) Pos.3 Quartalsbericht Erstellung + Fortschreibung 2023</t>
        </is>
      </c>
      <c r="C3043" s="4" t="inlineStr">
        <is>
          <t>Pauschale</t>
        </is>
      </c>
      <c r="D3043" s="10" t="inlineStr">
        <is>
          <t>⚠ Manual erforderlich</t>
        </is>
      </c>
      <c r="E3043" s="11" t="inlineStr"/>
      <c r="F3043" s="11" t="n">
        <v>0</v>
      </c>
      <c r="G3043" s="11">
        <f>E3043-F3043</f>
        <v/>
      </c>
      <c r="H3043" s="11" t="n">
        <v>0</v>
      </c>
      <c r="I3043" s="11" t="n">
        <v>0</v>
      </c>
      <c r="J3043" s="11" t="n">
        <v>0</v>
      </c>
      <c r="K3043" s="4" t="inlineStr">
        <is>
          <t>Stundensätze eingeben</t>
        </is>
      </c>
    </row>
    <row r="3044">
      <c r="A3044" s="4" t="inlineStr">
        <is>
          <t>6514.05 BSB-2023-Städtisches-Klinikum-Braunschweig</t>
        </is>
      </c>
      <c r="B3044" s="4" t="inlineStr">
        <is>
          <t>● (p) Pos.4 Ansprechpartner Brandschutz 2023</t>
        </is>
      </c>
      <c r="C3044" s="4" t="inlineStr">
        <is>
          <t>Pauschale</t>
        </is>
      </c>
      <c r="D3044" s="10" t="inlineStr">
        <is>
          <t>⚠ Manual erforderlich</t>
        </is>
      </c>
      <c r="E3044" s="11" t="inlineStr"/>
      <c r="F3044" s="11" t="n">
        <v>0</v>
      </c>
      <c r="G3044" s="11">
        <f>E3044-F3044</f>
        <v/>
      </c>
      <c r="H3044" s="11" t="n">
        <v>0</v>
      </c>
      <c r="I3044" s="11" t="n">
        <v>0</v>
      </c>
      <c r="J3044" s="11" t="n">
        <v>0</v>
      </c>
      <c r="K3044" s="4" t="inlineStr">
        <is>
          <t>Stundensätze eingeben</t>
        </is>
      </c>
    </row>
    <row r="3045">
      <c r="A3045" s="4" t="inlineStr">
        <is>
          <t>6514.05 BSB-2023-Städtisches-Klinikum-Braunschweig</t>
        </is>
      </c>
      <c r="B3045" s="4" t="inlineStr">
        <is>
          <t>● (p) Pos.5 Externer Brandschutzbeauftragter 2023</t>
        </is>
      </c>
      <c r="C3045" s="4" t="inlineStr">
        <is>
          <t>Pauschale</t>
        </is>
      </c>
      <c r="D3045" s="10" t="inlineStr">
        <is>
          <t>⚠ Manual erforderlich</t>
        </is>
      </c>
      <c r="E3045" s="11" t="inlineStr"/>
      <c r="F3045" s="11" t="n">
        <v>0</v>
      </c>
      <c r="G3045" s="11">
        <f>E3045-F3045</f>
        <v/>
      </c>
      <c r="H3045" s="11" t="n">
        <v>0</v>
      </c>
      <c r="I3045" s="11" t="n">
        <v>0</v>
      </c>
      <c r="J3045" s="11" t="n">
        <v>0</v>
      </c>
      <c r="K3045" s="4" t="inlineStr">
        <is>
          <t>Stundensätze eingeben</t>
        </is>
      </c>
    </row>
    <row r="3046">
      <c r="A3046" s="4" t="inlineStr">
        <is>
          <t>6514.06 BSB-2024-Städtisches-Klinikum-Braunschweig</t>
        </is>
      </c>
      <c r="B3046" s="4" t="inlineStr">
        <is>
          <t>● (p) Pos.1 a) Schulungen 2024 - (50%)</t>
        </is>
      </c>
      <c r="C3046" s="4" t="inlineStr">
        <is>
          <t>Pauschale</t>
        </is>
      </c>
      <c r="D3046" s="10" t="inlineStr">
        <is>
          <t>⚠ Manual erforderlich</t>
        </is>
      </c>
      <c r="E3046" s="11" t="inlineStr"/>
      <c r="F3046" s="11" t="n">
        <v>0</v>
      </c>
      <c r="G3046" s="11">
        <f>E3046-F3046</f>
        <v/>
      </c>
      <c r="H3046" s="11" t="n">
        <v>0</v>
      </c>
      <c r="I3046" s="11" t="n">
        <v>0</v>
      </c>
      <c r="J3046" s="11" t="n">
        <v>0</v>
      </c>
      <c r="K3046" s="4" t="inlineStr">
        <is>
          <t>Stundensätze eingeben</t>
        </is>
      </c>
    </row>
    <row r="3047">
      <c r="A3047" s="4" t="inlineStr">
        <is>
          <t>6514.06 BSB-2024-Städtisches-Klinikum-Braunschweig</t>
        </is>
      </c>
      <c r="B3047" s="4" t="inlineStr">
        <is>
          <t>● (p) Pos.1 b) Übungen 2024 - (50%)</t>
        </is>
      </c>
      <c r="C3047" s="4" t="inlineStr">
        <is>
          <t>Pauschale</t>
        </is>
      </c>
      <c r="D3047" s="10" t="inlineStr">
        <is>
          <t>⚠ Manual erforderlich</t>
        </is>
      </c>
      <c r="E3047" s="11" t="inlineStr"/>
      <c r="F3047" s="11" t="n">
        <v>0</v>
      </c>
      <c r="G3047" s="11">
        <f>E3047-F3047</f>
        <v/>
      </c>
      <c r="H3047" s="11" t="n">
        <v>0</v>
      </c>
      <c r="I3047" s="11" t="n">
        <v>0</v>
      </c>
      <c r="J3047" s="11" t="n">
        <v>0</v>
      </c>
      <c r="K3047" s="4" t="inlineStr">
        <is>
          <t>Stundensätze eingeben</t>
        </is>
      </c>
    </row>
    <row r="3048">
      <c r="A3048" s="4" t="inlineStr">
        <is>
          <t>6514.06 BSB-2024-Städtisches-Klinikum-Braunschweig</t>
        </is>
      </c>
      <c r="B3048" s="4" t="inlineStr">
        <is>
          <t>● (p) Pos.2 a) Brandschutzordnung Erstellung 2024 - (75%)</t>
        </is>
      </c>
      <c r="C3048" s="4" t="inlineStr">
        <is>
          <t>Pauschale</t>
        </is>
      </c>
      <c r="D3048" s="10" t="inlineStr">
        <is>
          <t>⚠ Manual erforderlich</t>
        </is>
      </c>
      <c r="E3048" s="11" t="inlineStr"/>
      <c r="F3048" s="11" t="n">
        <v>0</v>
      </c>
      <c r="G3048" s="11">
        <f>E3048-F3048</f>
        <v/>
      </c>
      <c r="H3048" s="11" t="n">
        <v>0</v>
      </c>
      <c r="I3048" s="11" t="n">
        <v>0</v>
      </c>
      <c r="J3048" s="11" t="n">
        <v>0</v>
      </c>
      <c r="K3048" s="4" t="inlineStr">
        <is>
          <t>Stundensätze eingeben</t>
        </is>
      </c>
    </row>
    <row r="3049">
      <c r="A3049" s="4" t="inlineStr">
        <is>
          <t>6514.06 BSB-2024-Städtisches-Klinikum-Braunschweig</t>
        </is>
      </c>
      <c r="B3049" s="4" t="inlineStr">
        <is>
          <t>● (p) Pos.2 b) Brandschutzordnung Fortschreibung 2024 - (25%)</t>
        </is>
      </c>
      <c r="C3049" s="4" t="inlineStr">
        <is>
          <t>Pauschale</t>
        </is>
      </c>
      <c r="D3049" s="10" t="inlineStr">
        <is>
          <t>⚠ Manual erforderlich</t>
        </is>
      </c>
      <c r="E3049" s="11" t="inlineStr"/>
      <c r="F3049" s="11" t="n">
        <v>0</v>
      </c>
      <c r="G3049" s="11">
        <f>E3049-F3049</f>
        <v/>
      </c>
      <c r="H3049" s="11" t="n">
        <v>0</v>
      </c>
      <c r="I3049" s="11" t="n">
        <v>0</v>
      </c>
      <c r="J3049" s="11" t="n">
        <v>0</v>
      </c>
      <c r="K3049" s="4" t="inlineStr">
        <is>
          <t>Stundensätze eingeben</t>
        </is>
      </c>
    </row>
    <row r="3050">
      <c r="A3050" s="4" t="inlineStr">
        <is>
          <t>6514.06 BSB-2024-Städtisches-Klinikum-Braunschweig</t>
        </is>
      </c>
      <c r="B3050" s="4" t="inlineStr">
        <is>
          <t>● (p) Pos.3 Quartalsbericht Erstellung u. Fortschreibung 2024</t>
        </is>
      </c>
      <c r="C3050" s="4" t="inlineStr">
        <is>
          <t>Pauschale</t>
        </is>
      </c>
      <c r="D3050" s="10" t="inlineStr">
        <is>
          <t>⚠ Manual erforderlich</t>
        </is>
      </c>
      <c r="E3050" s="11" t="inlineStr"/>
      <c r="F3050" s="11" t="n">
        <v>0</v>
      </c>
      <c r="G3050" s="11">
        <f>E3050-F3050</f>
        <v/>
      </c>
      <c r="H3050" s="11" t="n">
        <v>0</v>
      </c>
      <c r="I3050" s="11" t="n">
        <v>0</v>
      </c>
      <c r="J3050" s="11" t="n">
        <v>0</v>
      </c>
      <c r="K3050" s="4" t="inlineStr">
        <is>
          <t>Stundensätze eingeben</t>
        </is>
      </c>
    </row>
    <row r="3051">
      <c r="A3051" s="4" t="inlineStr">
        <is>
          <t>6514.06 BSB-2024-Städtisches-Klinikum-Braunschweig</t>
        </is>
      </c>
      <c r="B3051" s="4" t="inlineStr">
        <is>
          <t>● (p) Pos.4 Ansprechpartner Brandschutz 2024</t>
        </is>
      </c>
      <c r="C3051" s="4" t="inlineStr">
        <is>
          <t>Pauschale</t>
        </is>
      </c>
      <c r="D3051" s="10" t="inlineStr">
        <is>
          <t>⚠ Manual erforderlich</t>
        </is>
      </c>
      <c r="E3051" s="11" t="inlineStr"/>
      <c r="F3051" s="11" t="n">
        <v>0</v>
      </c>
      <c r="G3051" s="11">
        <f>E3051-F3051</f>
        <v/>
      </c>
      <c r="H3051" s="11" t="n">
        <v>0</v>
      </c>
      <c r="I3051" s="11" t="n">
        <v>0</v>
      </c>
      <c r="J3051" s="11" t="n">
        <v>0</v>
      </c>
      <c r="K3051" s="4" t="inlineStr">
        <is>
          <t>Stundensätze eingeben</t>
        </is>
      </c>
    </row>
    <row r="3052">
      <c r="A3052" s="4" t="inlineStr">
        <is>
          <t>6514.06 BSB-2024-Städtisches-Klinikum-Braunschweig</t>
        </is>
      </c>
      <c r="B3052" s="4" t="inlineStr">
        <is>
          <t>● (p) Pos.5 Externer Brandschutzbeauftragter 2024</t>
        </is>
      </c>
      <c r="C3052" s="4" t="inlineStr">
        <is>
          <t>Pauschale</t>
        </is>
      </c>
      <c r="D3052" s="10" t="inlineStr">
        <is>
          <t>⚠ Manual erforderlich</t>
        </is>
      </c>
      <c r="E3052" s="11" t="inlineStr"/>
      <c r="F3052" s="11" t="n">
        <v>0</v>
      </c>
      <c r="G3052" s="11">
        <f>E3052-F3052</f>
        <v/>
      </c>
      <c r="H3052" s="11" t="n">
        <v>0</v>
      </c>
      <c r="I3052" s="11" t="n">
        <v>0</v>
      </c>
      <c r="J3052" s="11" t="n">
        <v>0</v>
      </c>
      <c r="K3052" s="4" t="inlineStr">
        <is>
          <t>Stundensätze eingeben</t>
        </is>
      </c>
    </row>
    <row r="3053">
      <c r="A3053" s="4" t="inlineStr">
        <is>
          <t>6514.07 BSB-2025-Städtisches-Klinikum-Braunschweig</t>
        </is>
      </c>
      <c r="B3053" s="4" t="inlineStr">
        <is>
          <t>● (p) Pos.1 a) Schulungen bis 11/2025 - (50%)</t>
        </is>
      </c>
      <c r="C3053" s="4" t="inlineStr">
        <is>
          <t>Pauschale</t>
        </is>
      </c>
      <c r="D3053" s="10" t="inlineStr">
        <is>
          <t>⚠ Manual erforderlich</t>
        </is>
      </c>
      <c r="E3053" s="11" t="inlineStr"/>
      <c r="F3053" s="11" t="n">
        <v>0</v>
      </c>
      <c r="G3053" s="11">
        <f>E3053-F3053</f>
        <v/>
      </c>
      <c r="H3053" s="11" t="n">
        <v/>
      </c>
      <c r="I3053" s="11" t="n">
        <v/>
      </c>
      <c r="J3053" s="11" t="n">
        <v/>
      </c>
      <c r="K3053" s="4" t="inlineStr">
        <is>
          <t>Stundensätze eingeben</t>
        </is>
      </c>
    </row>
    <row r="3054">
      <c r="A3054" s="4" t="inlineStr">
        <is>
          <t>6514.07 BSB-2025-Städtisches-Klinikum-Braunschweig</t>
        </is>
      </c>
      <c r="B3054" s="4" t="inlineStr">
        <is>
          <t>● (p) Pos.1 b) Übungen bis 11/2025 - (50%)</t>
        </is>
      </c>
      <c r="C3054" s="4" t="inlineStr">
        <is>
          <t>Pauschale</t>
        </is>
      </c>
      <c r="D3054" s="10" t="inlineStr">
        <is>
          <t>⚠ Manual erforderlich</t>
        </is>
      </c>
      <c r="E3054" s="11" t="inlineStr"/>
      <c r="F3054" s="11" t="n">
        <v>0</v>
      </c>
      <c r="G3054" s="11">
        <f>E3054-F3054</f>
        <v/>
      </c>
      <c r="H3054" s="11" t="n">
        <v/>
      </c>
      <c r="I3054" s="11" t="n">
        <v/>
      </c>
      <c r="J3054" s="11" t="n">
        <v/>
      </c>
      <c r="K3054" s="4" t="inlineStr">
        <is>
          <t>Stundensätze eingeben</t>
        </is>
      </c>
    </row>
    <row r="3055">
      <c r="A3055" s="4" t="inlineStr">
        <is>
          <t>6514.07 BSB-2025-Städtisches-Klinikum-Braunschweig</t>
        </is>
      </c>
      <c r="B3055" s="4" t="inlineStr">
        <is>
          <t>● (p) Pos.2 a) Brandschutzordnung Erstellung bis 11/2025 - (75%)</t>
        </is>
      </c>
      <c r="C3055" s="4" t="inlineStr">
        <is>
          <t>Pauschale</t>
        </is>
      </c>
      <c r="D3055" s="10" t="inlineStr">
        <is>
          <t>⚠ Manual erforderlich</t>
        </is>
      </c>
      <c r="E3055" s="11" t="inlineStr"/>
      <c r="F3055" s="11" t="n">
        <v>0</v>
      </c>
      <c r="G3055" s="11">
        <f>E3055-F3055</f>
        <v/>
      </c>
      <c r="H3055" s="11" t="n">
        <v>0</v>
      </c>
      <c r="I3055" s="11" t="n">
        <v>0</v>
      </c>
      <c r="J3055" s="11" t="n">
        <v>0</v>
      </c>
      <c r="K3055" s="4" t="inlineStr">
        <is>
          <t>Stundensätze eingeben</t>
        </is>
      </c>
    </row>
    <row r="3056">
      <c r="A3056" s="4" t="inlineStr">
        <is>
          <t>6514.07 BSB-2025-Städtisches-Klinikum-Braunschweig</t>
        </is>
      </c>
      <c r="B3056" s="4" t="inlineStr">
        <is>
          <t>● (p) Pos.2 b) Brandschutzordnung Fortschreibung bis 11/2025 - (25%)</t>
        </is>
      </c>
      <c r="C3056" s="4" t="inlineStr">
        <is>
          <t>Pauschale</t>
        </is>
      </c>
      <c r="D3056" s="10" t="inlineStr">
        <is>
          <t>⚠ Manual erforderlich</t>
        </is>
      </c>
      <c r="E3056" s="11" t="inlineStr"/>
      <c r="F3056" s="11" t="n">
        <v>0</v>
      </c>
      <c r="G3056" s="11">
        <f>E3056-F3056</f>
        <v/>
      </c>
      <c r="H3056" s="11" t="n">
        <v>0</v>
      </c>
      <c r="I3056" s="11" t="n">
        <v>0</v>
      </c>
      <c r="J3056" s="11" t="n">
        <v>0</v>
      </c>
      <c r="K3056" s="4" t="inlineStr">
        <is>
          <t>Stundensätze eingeben</t>
        </is>
      </c>
    </row>
    <row r="3057">
      <c r="A3057" s="4" t="inlineStr">
        <is>
          <t>6514.07 BSB-2025-Städtisches-Klinikum-Braunschweig</t>
        </is>
      </c>
      <c r="B3057" s="4" t="inlineStr">
        <is>
          <t>● (p) Pos.3 Quartalsbericht Erstellung u. Fortschreibung bis 11/2025</t>
        </is>
      </c>
      <c r="C3057" s="4" t="inlineStr">
        <is>
          <t>Pauschale</t>
        </is>
      </c>
      <c r="D3057" s="10" t="inlineStr">
        <is>
          <t>⚠ Manual erforderlich</t>
        </is>
      </c>
      <c r="E3057" s="11" t="inlineStr"/>
      <c r="F3057" s="11" t="n">
        <v>0</v>
      </c>
      <c r="G3057" s="11">
        <f>E3057-F3057</f>
        <v/>
      </c>
      <c r="H3057" s="11" t="n">
        <v>0</v>
      </c>
      <c r="I3057" s="11" t="n">
        <v>0</v>
      </c>
      <c r="J3057" s="11" t="n">
        <v>0</v>
      </c>
      <c r="K3057" s="4" t="inlineStr">
        <is>
          <t>Stundensätze eingeben</t>
        </is>
      </c>
    </row>
    <row r="3058">
      <c r="A3058" s="4" t="inlineStr">
        <is>
          <t>6514.07 BSB-2025-Städtisches-Klinikum-Braunschweig</t>
        </is>
      </c>
      <c r="B3058" s="4" t="inlineStr">
        <is>
          <t>● (p) Pos.4 Ansprechpartner Brandschutz bis 11/2025</t>
        </is>
      </c>
      <c r="C3058" s="4" t="inlineStr">
        <is>
          <t>Pauschale</t>
        </is>
      </c>
      <c r="D3058" s="10" t="inlineStr">
        <is>
          <t>⚠ Manual erforderlich</t>
        </is>
      </c>
      <c r="E3058" s="11" t="inlineStr"/>
      <c r="F3058" s="11" t="n">
        <v>0</v>
      </c>
      <c r="G3058" s="11">
        <f>E3058-F3058</f>
        <v/>
      </c>
      <c r="H3058" s="11" t="n">
        <v>0</v>
      </c>
      <c r="I3058" s="11" t="n">
        <v>0</v>
      </c>
      <c r="J3058" s="11" t="n">
        <v>0</v>
      </c>
      <c r="K3058" s="4" t="inlineStr">
        <is>
          <t>Stundensätze eingeben</t>
        </is>
      </c>
    </row>
    <row r="3059">
      <c r="A3059" s="4" t="inlineStr">
        <is>
          <t>6514.07 BSB-2025-Städtisches-Klinikum-Braunschweig</t>
        </is>
      </c>
      <c r="B3059" s="4" t="inlineStr">
        <is>
          <t>● (p) Pos.5 Externer Brandschutzbeauftragter bis 11/2025</t>
        </is>
      </c>
      <c r="C3059" s="4" t="inlineStr">
        <is>
          <t>Pauschale</t>
        </is>
      </c>
      <c r="D3059" s="10" t="inlineStr">
        <is>
          <t>⚠ Manual erforderlich</t>
        </is>
      </c>
      <c r="E3059" s="11" t="inlineStr"/>
      <c r="F3059" s="11" t="n">
        <v>0</v>
      </c>
      <c r="G3059" s="11">
        <f>E3059-F3059</f>
        <v/>
      </c>
      <c r="H3059" s="11" t="n">
        <v>0</v>
      </c>
      <c r="I3059" s="11" t="n">
        <v>0</v>
      </c>
      <c r="J3059" s="11" t="n">
        <v>0</v>
      </c>
      <c r="K3059" s="4" t="inlineStr">
        <is>
          <t>Stundensätze eingeben</t>
        </is>
      </c>
    </row>
    <row r="3060">
      <c r="A3060" s="4" t="inlineStr">
        <is>
          <t>6514.08 Städtisches-Klinikum-Braunschweig-Ausstattung-Alarmkoffer</t>
        </is>
      </c>
      <c r="B3060" s="4" t="inlineStr">
        <is>
          <t>● (p) Ausstattung Alarmkoffer für ~100 Koffer</t>
        </is>
      </c>
      <c r="C3060" s="4" t="inlineStr">
        <is>
          <t>Pauschale</t>
        </is>
      </c>
      <c r="D3060" s="10" t="inlineStr">
        <is>
          <t>⚠ Manual erforderlich</t>
        </is>
      </c>
      <c r="E3060" s="11" t="inlineStr"/>
      <c r="F3060" s="11" t="n">
        <v>0</v>
      </c>
      <c r="G3060" s="11">
        <f>E3060-F3060</f>
        <v/>
      </c>
      <c r="H3060" s="11" t="n">
        <v>0</v>
      </c>
      <c r="I3060" s="11" t="n">
        <v>0</v>
      </c>
      <c r="J3060" s="11" t="n">
        <v>0</v>
      </c>
      <c r="K3060" s="4" t="inlineStr">
        <is>
          <t>Stundensätze eingeben</t>
        </is>
      </c>
    </row>
    <row r="3061">
      <c r="A3061" s="4" t="inlineStr">
        <is>
          <t>6514.10 Nachweis Räumung Städtisches Klinikum Braunschweig 2024/2025</t>
        </is>
      </c>
      <c r="B3061" s="4" t="inlineStr">
        <is>
          <t>● Abschnitt 7</t>
        </is>
      </c>
      <c r="C3061" s="9" t="inlineStr">
        <is>
          <t>Unbekannt</t>
        </is>
      </c>
      <c r="D3061" s="10" t="inlineStr">
        <is>
          <t>⚠ Manual erforderlich</t>
        </is>
      </c>
      <c r="E3061" s="11" t="inlineStr"/>
      <c r="F3061" s="11" t="n">
        <v>0</v>
      </c>
      <c r="G3061" s="11">
        <f>E3061-F3061</f>
        <v/>
      </c>
      <c r="H3061" s="11" t="n">
        <v/>
      </c>
      <c r="I3061" s="11" t="n">
        <v/>
      </c>
      <c r="J3061" s="11" t="n">
        <v/>
      </c>
      <c r="K3061" s="4" t="inlineStr">
        <is>
          <t>Abrechnungsart wählen; Stundensätze eingeben</t>
        </is>
      </c>
    </row>
    <row r="3062">
      <c r="A3062" s="4" t="inlineStr">
        <is>
          <t>6516.03 Züblin-BAB-IX-Geb-126-Brandwand-Hanauer-Landstr360-FFM</t>
        </is>
      </c>
      <c r="B3062" s="4" t="inlineStr">
        <is>
          <t>● (aN) Pos. 1 Objektüberwachung Brandschutz</t>
        </is>
      </c>
      <c r="C3062" s="4" t="inlineStr">
        <is>
          <t>Nachweis</t>
        </is>
      </c>
      <c r="D3062" s="10" t="inlineStr">
        <is>
          <t>⚠ Manual erforderlich</t>
        </is>
      </c>
      <c r="E3062" s="11" t="inlineStr"/>
      <c r="F3062" s="11" t="n">
        <v>0</v>
      </c>
      <c r="G3062" s="11">
        <f>E3062-F3062</f>
        <v/>
      </c>
      <c r="H3062" s="11" t="n">
        <v/>
      </c>
      <c r="I3062" s="11" t="n">
        <v/>
      </c>
      <c r="J3062" s="11" t="n">
        <v/>
      </c>
      <c r="K3062" s="4" t="inlineStr">
        <is>
          <t>Stundensätze eingeben</t>
        </is>
      </c>
    </row>
    <row r="3063">
      <c r="A3063" s="4" t="inlineStr">
        <is>
          <t>6516.03 Züblin-BAB-IX-Geb-126-Brandwand-Hanauer-Landstr360-FFM</t>
        </is>
      </c>
      <c r="B3063" s="4" t="inlineStr">
        <is>
          <t>● (p) Pos. 2 Feuerwehrpläne</t>
        </is>
      </c>
      <c r="C3063" s="4" t="inlineStr">
        <is>
          <t>Pauschale</t>
        </is>
      </c>
      <c r="D3063" s="10" t="inlineStr">
        <is>
          <t>⚠ Manual erforderlich</t>
        </is>
      </c>
      <c r="E3063" s="11" t="inlineStr"/>
      <c r="F3063" s="11" t="n">
        <v>0</v>
      </c>
      <c r="G3063" s="11">
        <f>E3063-F3063</f>
        <v/>
      </c>
      <c r="H3063" s="11" t="n">
        <v>0</v>
      </c>
      <c r="I3063" s="11" t="n">
        <v>0</v>
      </c>
      <c r="J3063" s="11" t="n">
        <v>0</v>
      </c>
      <c r="K3063" s="4" t="inlineStr">
        <is>
          <t>Stundensätze eingeben</t>
        </is>
      </c>
    </row>
    <row r="3064">
      <c r="A3064" s="4" t="inlineStr">
        <is>
          <t>6516.03 Züblin-BAB-IX-Geb-126-Brandwand-Hanauer-Landstr360-FFM</t>
        </is>
      </c>
      <c r="B3064" s="4" t="inlineStr">
        <is>
          <t>● (p) Pos. 3 Flucht- und Rettungspläne</t>
        </is>
      </c>
      <c r="C3064" s="4" t="inlineStr">
        <is>
          <t>Pauschale</t>
        </is>
      </c>
      <c r="D3064" s="10" t="inlineStr">
        <is>
          <t>⚠ Manual erforderlich</t>
        </is>
      </c>
      <c r="E3064" s="11" t="inlineStr"/>
      <c r="F3064" s="11" t="n">
        <v>0</v>
      </c>
      <c r="G3064" s="11">
        <f>E3064-F3064</f>
        <v/>
      </c>
      <c r="H3064" s="11" t="n">
        <v>0</v>
      </c>
      <c r="I3064" s="11" t="n">
        <v>0</v>
      </c>
      <c r="J3064" s="11" t="n">
        <v>0</v>
      </c>
      <c r="K3064" s="4" t="inlineStr">
        <is>
          <t>Stundensätze eingeben</t>
        </is>
      </c>
    </row>
    <row r="3065">
      <c r="A3065" s="4" t="inlineStr">
        <is>
          <t>6518 Bernhard-Grzimek-Allee-1-Frankfurt-Zoo-Restaurant-NB</t>
        </is>
      </c>
      <c r="B3065" s="4" t="inlineStr">
        <is>
          <t>● BSK Restaurant NB (pauschal)</t>
        </is>
      </c>
      <c r="C3065" s="9" t="inlineStr">
        <is>
          <t>Unbekannt</t>
        </is>
      </c>
      <c r="D3065" s="10" t="inlineStr">
        <is>
          <t>⚠ Manual erforderlich</t>
        </is>
      </c>
      <c r="E3065" s="11" t="inlineStr"/>
      <c r="F3065" s="11" t="n">
        <v>0</v>
      </c>
      <c r="G3065" s="11">
        <f>E3065-F3065</f>
        <v/>
      </c>
      <c r="H3065" s="11" t="n">
        <v/>
      </c>
      <c r="I3065" s="11" t="n">
        <v/>
      </c>
      <c r="J3065" s="11" t="n">
        <v/>
      </c>
      <c r="K3065" s="4" t="inlineStr">
        <is>
          <t>Abrechnungsart wählen; Stundensätze eingeben</t>
        </is>
      </c>
    </row>
    <row r="3066">
      <c r="A3066" s="4" t="inlineStr">
        <is>
          <t>6518 Bernhard-Grzimek-Allee-1-Frankfurt-Zoo-Restaurant-NB</t>
        </is>
      </c>
      <c r="B3066" s="4" t="inlineStr">
        <is>
          <t>● Baubegleitende Brandschutzberatung - BAB (a.N.)</t>
        </is>
      </c>
      <c r="C3066" s="4" t="inlineStr">
        <is>
          <t>Nachweis</t>
        </is>
      </c>
      <c r="D3066" s="10" t="inlineStr">
        <is>
          <t>⚠ Manual erforderlich</t>
        </is>
      </c>
      <c r="E3066" s="11" t="inlineStr"/>
      <c r="F3066" s="11" t="n">
        <v>0</v>
      </c>
      <c r="G3066" s="11">
        <f>E3066-F3066</f>
        <v/>
      </c>
      <c r="H3066" s="11" t="n">
        <v/>
      </c>
      <c r="I3066" s="11" t="n">
        <v/>
      </c>
      <c r="J3066" s="11" t="n">
        <v/>
      </c>
      <c r="K3066" s="4" t="inlineStr">
        <is>
          <t>Stundensätze eingeben</t>
        </is>
      </c>
    </row>
    <row r="3067">
      <c r="A3067" s="4" t="inlineStr">
        <is>
          <t>6522 Revitalisierung-uPva-Karlsplatz-MKA-TH89-90</t>
        </is>
      </c>
      <c r="B3067" s="4" t="inlineStr">
        <is>
          <t>● BST Entwurfsplanung (pauschal)</t>
        </is>
      </c>
      <c r="C3067" s="9" t="inlineStr">
        <is>
          <t>Unbekannt</t>
        </is>
      </c>
      <c r="D3067" s="10" t="inlineStr">
        <is>
          <t>⚠ Manual erforderlich</t>
        </is>
      </c>
      <c r="E3067" s="11" t="inlineStr"/>
      <c r="F3067" s="11" t="n">
        <v>0</v>
      </c>
      <c r="G3067" s="11">
        <f>E3067-F3067</f>
        <v/>
      </c>
      <c r="H3067" s="11" t="n">
        <v/>
      </c>
      <c r="I3067" s="11" t="n">
        <v/>
      </c>
      <c r="J3067" s="11" t="n">
        <v/>
      </c>
      <c r="K3067" s="4" t="inlineStr">
        <is>
          <t>Abrechnungsart wählen; Stundensätze eingeben</t>
        </is>
      </c>
    </row>
    <row r="3068">
      <c r="A3068" s="4" t="inlineStr">
        <is>
          <t>6522 Revitalisierung-uPva-Karlsplatz-MKA-TH89-90</t>
        </is>
      </c>
      <c r="B3068" s="4" t="inlineStr">
        <is>
          <t>● BST Ausführungsplanung (pauschal)</t>
        </is>
      </c>
      <c r="C3068" s="9" t="inlineStr">
        <is>
          <t>Unbekannt</t>
        </is>
      </c>
      <c r="D3068" s="10" t="inlineStr">
        <is>
          <t>⚠ Manual erforderlich</t>
        </is>
      </c>
      <c r="E3068" s="11" t="inlineStr"/>
      <c r="F3068" s="11" t="n">
        <v>0</v>
      </c>
      <c r="G3068" s="11">
        <f>E3068-F3068</f>
        <v/>
      </c>
      <c r="H3068" s="11" t="n">
        <v/>
      </c>
      <c r="I3068" s="11" t="n">
        <v/>
      </c>
      <c r="J3068" s="11" t="n">
        <v/>
      </c>
      <c r="K3068" s="4" t="inlineStr">
        <is>
          <t>Abrechnungsart wählen; Stundensätze eingeben</t>
        </is>
      </c>
    </row>
    <row r="3069">
      <c r="A3069" s="4" t="inlineStr">
        <is>
          <t>6523 Revitalisierung-uPva-Marienplatz-MMP-TH10</t>
        </is>
      </c>
      <c r="B3069" s="4" t="inlineStr">
        <is>
          <t>● BST Entwurfsplanung (pauschal)</t>
        </is>
      </c>
      <c r="C3069" s="9" t="inlineStr">
        <is>
          <t>Unbekannt</t>
        </is>
      </c>
      <c r="D3069" s="10" t="inlineStr">
        <is>
          <t>⚠ Manual erforderlich</t>
        </is>
      </c>
      <c r="E3069" s="11" t="inlineStr"/>
      <c r="F3069" s="11" t="n">
        <v>0</v>
      </c>
      <c r="G3069" s="11">
        <f>E3069-F3069</f>
        <v/>
      </c>
      <c r="H3069" s="11" t="n">
        <v/>
      </c>
      <c r="I3069" s="11" t="n">
        <v/>
      </c>
      <c r="J3069" s="11" t="n">
        <v/>
      </c>
      <c r="K3069" s="4" t="inlineStr">
        <is>
          <t>Abrechnungsart wählen; Stundensätze eingeben</t>
        </is>
      </c>
    </row>
    <row r="3070">
      <c r="A3070" s="4" t="inlineStr">
        <is>
          <t>6523 Revitalisierung-uPva-Marienplatz-MMP-TH10</t>
        </is>
      </c>
      <c r="B3070" s="4" t="inlineStr">
        <is>
          <t>● BST Ausführungsplanung (pauschal)</t>
        </is>
      </c>
      <c r="C3070" s="9" t="inlineStr">
        <is>
          <t>Unbekannt</t>
        </is>
      </c>
      <c r="D3070" s="10" t="inlineStr">
        <is>
          <t>⚠ Manual erforderlich</t>
        </is>
      </c>
      <c r="E3070" s="11" t="inlineStr"/>
      <c r="F3070" s="11" t="n">
        <v>0</v>
      </c>
      <c r="G3070" s="11">
        <f>E3070-F3070</f>
        <v/>
      </c>
      <c r="H3070" s="11" t="n">
        <v/>
      </c>
      <c r="I3070" s="11" t="n">
        <v/>
      </c>
      <c r="J3070" s="11" t="n">
        <v/>
      </c>
      <c r="K3070" s="4" t="inlineStr">
        <is>
          <t>Abrechnungsart wählen; Stundensätze eingeben</t>
        </is>
      </c>
    </row>
    <row r="3071">
      <c r="A3071" s="4" t="inlineStr">
        <is>
          <t>6523.01 NAT-01-BTB-Revitalisierung-uPva-Marienplatz-MMP-TH11-Rettungswegbreite</t>
        </is>
      </c>
      <c r="B3071" s="4" t="inlineStr">
        <is>
          <t>● (aN) Pos.1 NAT xx BTB Rettungswegbreite TH11</t>
        </is>
      </c>
      <c r="C3071" s="4" t="inlineStr">
        <is>
          <t>Nachweis</t>
        </is>
      </c>
      <c r="D3071" s="10" t="inlineStr">
        <is>
          <t>⚠ Manual erforderlich</t>
        </is>
      </c>
      <c r="E3071" s="11" t="inlineStr"/>
      <c r="F3071" s="11" t="n">
        <v>0</v>
      </c>
      <c r="G3071" s="11">
        <f>E3071-F3071</f>
        <v/>
      </c>
      <c r="H3071" s="11" t="n">
        <v/>
      </c>
      <c r="I3071" s="11" t="n">
        <v/>
      </c>
      <c r="J3071" s="11" t="n">
        <v/>
      </c>
      <c r="K3071" s="4" t="inlineStr">
        <is>
          <t>Stundensätze eingeben</t>
        </is>
      </c>
    </row>
    <row r="3072">
      <c r="A3072" s="4" t="inlineStr">
        <is>
          <t>6524 Revitalisierung-uPva-Rosenheimer-Platz-MRP-TH1</t>
        </is>
      </c>
      <c r="B3072" s="4" t="inlineStr">
        <is>
          <t>● Beratung (auf Nachweis)</t>
        </is>
      </c>
      <c r="C3072" s="9" t="inlineStr">
        <is>
          <t>Unbekannt</t>
        </is>
      </c>
      <c r="D3072" s="10" t="inlineStr">
        <is>
          <t>⚠ Manual erforderlich</t>
        </is>
      </c>
      <c r="E3072" s="11" t="inlineStr"/>
      <c r="F3072" s="11" t="n">
        <v>0</v>
      </c>
      <c r="G3072" s="11">
        <f>E3072-F3072</f>
        <v/>
      </c>
      <c r="H3072" s="11" t="n">
        <v/>
      </c>
      <c r="I3072" s="11" t="n">
        <v/>
      </c>
      <c r="J3072" s="11" t="n">
        <v/>
      </c>
      <c r="K3072" s="4" t="inlineStr">
        <is>
          <t>Abrechnungsart wählen; Stundensätze eingeben</t>
        </is>
      </c>
    </row>
    <row r="3073">
      <c r="A3073" s="4" t="inlineStr">
        <is>
          <t>6524 Revitalisierung-uPva-Rosenheimer-Platz-MRP-TH1</t>
        </is>
      </c>
      <c r="B3073" s="4" t="inlineStr">
        <is>
          <t>● BST VTE (pauschal)</t>
        </is>
      </c>
      <c r="C3073" s="9" t="inlineStr">
        <is>
          <t>Unbekannt</t>
        </is>
      </c>
      <c r="D3073" s="10" t="inlineStr">
        <is>
          <t>⚠ Manual erforderlich</t>
        </is>
      </c>
      <c r="E3073" s="11" t="inlineStr"/>
      <c r="F3073" s="11" t="n">
        <v>0</v>
      </c>
      <c r="G3073" s="11">
        <f>E3073-F3073</f>
        <v/>
      </c>
      <c r="H3073" s="11" t="n">
        <v/>
      </c>
      <c r="I3073" s="11" t="n">
        <v/>
      </c>
      <c r="J3073" s="11" t="n">
        <v/>
      </c>
      <c r="K3073" s="4" t="inlineStr">
        <is>
          <t>Abrechnungsart wählen; Stundensätze eingeben</t>
        </is>
      </c>
    </row>
    <row r="3074">
      <c r="A3074" s="4" t="inlineStr">
        <is>
          <t>6524 Revitalisierung-uPva-Rosenheimer-Platz-MRP-TH1</t>
        </is>
      </c>
      <c r="B3074" s="4" t="inlineStr">
        <is>
          <t>● BST West TH1 (pauschal)</t>
        </is>
      </c>
      <c r="C3074" s="9" t="inlineStr">
        <is>
          <t>Unbekannt</t>
        </is>
      </c>
      <c r="D3074" s="10" t="inlineStr">
        <is>
          <t>⚠ Manual erforderlich</t>
        </is>
      </c>
      <c r="E3074" s="11" t="inlineStr"/>
      <c r="F3074" s="11" t="n">
        <v>0</v>
      </c>
      <c r="G3074" s="11">
        <f>E3074-F3074</f>
        <v/>
      </c>
      <c r="H3074" s="11" t="n">
        <v/>
      </c>
      <c r="I3074" s="11" t="n">
        <v/>
      </c>
      <c r="J3074" s="11" t="n">
        <v/>
      </c>
      <c r="K3074" s="4" t="inlineStr">
        <is>
          <t>Abrechnungsart wählen; Stundensätze eingeben</t>
        </is>
      </c>
    </row>
    <row r="3075">
      <c r="A3075" s="4" t="inlineStr">
        <is>
          <t>6524.01 NAT-BST-MRP-Technikebene-ZE-Kühlgeräte-VMF</t>
        </is>
      </c>
      <c r="B3075" s="4" t="inlineStr">
        <is>
          <t>● (p) Pos.2 Erstellung BST -Aufstellung Kühlgeräte für Vermarktungsflächen (VMF) in Zwischenebene (ZE)</t>
        </is>
      </c>
      <c r="C3075" s="4" t="inlineStr">
        <is>
          <t>Pauschale</t>
        </is>
      </c>
      <c r="D3075" s="10" t="inlineStr">
        <is>
          <t>⚠ Manual erforderlich</t>
        </is>
      </c>
      <c r="E3075" s="11" t="inlineStr"/>
      <c r="F3075" s="11" t="n">
        <v>0</v>
      </c>
      <c r="G3075" s="11">
        <f>E3075-F3075</f>
        <v/>
      </c>
      <c r="H3075" s="11" t="n">
        <v>0</v>
      </c>
      <c r="I3075" s="11" t="n">
        <v>0</v>
      </c>
      <c r="J3075" s="11" t="n">
        <v>0</v>
      </c>
      <c r="K3075" s="4" t="inlineStr">
        <is>
          <t>Stundensätze eingeben</t>
        </is>
      </c>
    </row>
    <row r="3076">
      <c r="A3076" s="4" t="inlineStr">
        <is>
          <t>6524.02 NAT-BST-MRP-VTE-Aufzug-HA005</t>
        </is>
      </c>
      <c r="B3076" s="4" t="inlineStr">
        <is>
          <t>● (p) Pos.1 Erstellung BST Aufzug HA005</t>
        </is>
      </c>
      <c r="C3076" s="4" t="inlineStr">
        <is>
          <t>Pauschale</t>
        </is>
      </c>
      <c r="D3076" s="10" t="inlineStr">
        <is>
          <t>⚠ Manual erforderlich</t>
        </is>
      </c>
      <c r="E3076" s="11" t="inlineStr"/>
      <c r="F3076" s="11" t="n">
        <v>0</v>
      </c>
      <c r="G3076" s="11">
        <f>E3076-F3076</f>
        <v/>
      </c>
      <c r="H3076" s="11" t="n">
        <v>0</v>
      </c>
      <c r="I3076" s="11" t="n">
        <v>0</v>
      </c>
      <c r="J3076" s="11" t="n">
        <v>0</v>
      </c>
      <c r="K3076" s="4" t="inlineStr">
        <is>
          <t>Stundensätze eingeben</t>
        </is>
      </c>
    </row>
    <row r="3077">
      <c r="A3077" s="4" t="inlineStr">
        <is>
          <t>6524.03 NAT-BST-MRP-Endzustand-VTE-autom.-Löschanlagen</t>
        </is>
      </c>
      <c r="B3077" s="4" t="inlineStr">
        <is>
          <t>● (p) Pos.3 Erstellung BST für Definition der Ausnahmen des Umfangs der autom. Löschanlage</t>
        </is>
      </c>
      <c r="C3077" s="4" t="inlineStr">
        <is>
          <t>Pauschale</t>
        </is>
      </c>
      <c r="D3077" s="10" t="inlineStr">
        <is>
          <t>⚠ Manual erforderlich</t>
        </is>
      </c>
      <c r="E3077" s="11" t="inlineStr"/>
      <c r="F3077" s="11" t="n">
        <v>0</v>
      </c>
      <c r="G3077" s="11">
        <f>E3077-F3077</f>
        <v/>
      </c>
      <c r="H3077" s="11" t="n">
        <v>0</v>
      </c>
      <c r="I3077" s="11" t="n">
        <v>0</v>
      </c>
      <c r="J3077" s="11" t="n">
        <v>0</v>
      </c>
      <c r="K3077" s="4" t="inlineStr">
        <is>
          <t>Stundensätze eingeben</t>
        </is>
      </c>
    </row>
    <row r="3078">
      <c r="A3078" s="4" t="inlineStr">
        <is>
          <t>6524.100 (war 6935) Rischart-MRP-Mieterausbau-MF21-München</t>
        </is>
      </c>
      <c r="B3078" s="4" t="inlineStr">
        <is>
          <t>● (p) Pos. 1 brandschutztechnische Stellungnahme</t>
        </is>
      </c>
      <c r="C3078" s="4" t="inlineStr">
        <is>
          <t>Pauschale</t>
        </is>
      </c>
      <c r="D3078" s="10" t="inlineStr">
        <is>
          <t>⚠ Manual erforderlich</t>
        </is>
      </c>
      <c r="E3078" s="11" t="inlineStr"/>
      <c r="F3078" s="11" t="n">
        <v>0</v>
      </c>
      <c r="G3078" s="11">
        <f>E3078-F3078</f>
        <v/>
      </c>
      <c r="H3078" s="11" t="n">
        <v>0</v>
      </c>
      <c r="I3078" s="11" t="n">
        <v>0</v>
      </c>
      <c r="J3078" s="11" t="n">
        <v>0</v>
      </c>
      <c r="K3078" s="4" t="inlineStr">
        <is>
          <t>Stundensätze eingeben</t>
        </is>
      </c>
    </row>
    <row r="3079">
      <c r="A3079" s="4" t="inlineStr">
        <is>
          <t>6524.101 (war 6936) Wintergerst-BST-MRP-Mieterausbau-MF22-München</t>
        </is>
      </c>
      <c r="B3079" s="4" t="inlineStr">
        <is>
          <t>● (p) Pos. 1 brandschutztechnische Stellungnahme</t>
        </is>
      </c>
      <c r="C3079" s="4" t="inlineStr">
        <is>
          <t>Pauschale</t>
        </is>
      </c>
      <c r="D3079" s="10" t="inlineStr">
        <is>
          <t>⚠ Manual erforderlich</t>
        </is>
      </c>
      <c r="E3079" s="11" t="inlineStr"/>
      <c r="F3079" s="11" t="n">
        <v>0</v>
      </c>
      <c r="G3079" s="11">
        <f>E3079-F3079</f>
        <v/>
      </c>
      <c r="H3079" s="11" t="n">
        <v>0</v>
      </c>
      <c r="I3079" s="11" t="n">
        <v>0</v>
      </c>
      <c r="J3079" s="11" t="n">
        <v>0</v>
      </c>
      <c r="K3079" s="4" t="inlineStr">
        <is>
          <t>Stundensätze eingeben</t>
        </is>
      </c>
    </row>
    <row r="3080">
      <c r="A3080" s="4" t="inlineStr">
        <is>
          <t>6524.102 A&amp;A-BST-MRP-Mieterausbau-MF23-München</t>
        </is>
      </c>
      <c r="B3080" s="4" t="inlineStr">
        <is>
          <t>● (p) Pos.1 BST für Mieteinheit 23</t>
        </is>
      </c>
      <c r="C3080" s="4" t="inlineStr">
        <is>
          <t>Pauschale</t>
        </is>
      </c>
      <c r="D3080" s="10" t="inlineStr">
        <is>
          <t>⚠ Manual erforderlich</t>
        </is>
      </c>
      <c r="E3080" s="11" t="inlineStr"/>
      <c r="F3080" s="11" t="n">
        <v>0</v>
      </c>
      <c r="G3080" s="11">
        <f>E3080-F3080</f>
        <v/>
      </c>
      <c r="H3080" s="11" t="n">
        <v>0</v>
      </c>
      <c r="I3080" s="11" t="n">
        <v>0</v>
      </c>
      <c r="J3080" s="11" t="n">
        <v>0</v>
      </c>
      <c r="K3080" s="4" t="inlineStr">
        <is>
          <t>Stundensätze eingeben</t>
        </is>
      </c>
    </row>
    <row r="3081">
      <c r="A3081" s="4" t="inlineStr">
        <is>
          <t>6525 Revitalisierung-uPva-Isartor-MIT</t>
        </is>
      </c>
      <c r="B3081" s="4" t="inlineStr">
        <is>
          <t>● Beratung (auf Nachweis)</t>
        </is>
      </c>
      <c r="C3081" s="9" t="inlineStr">
        <is>
          <t>Unbekannt</t>
        </is>
      </c>
      <c r="D3081" s="10" t="inlineStr">
        <is>
          <t>⚠ Manual erforderlich</t>
        </is>
      </c>
      <c r="E3081" s="11" t="inlineStr"/>
      <c r="F3081" s="11" t="n">
        <v>0</v>
      </c>
      <c r="G3081" s="11">
        <f>E3081-F3081</f>
        <v/>
      </c>
      <c r="H3081" s="11" t="n">
        <v/>
      </c>
      <c r="I3081" s="11" t="n">
        <v/>
      </c>
      <c r="J3081" s="11" t="n">
        <v/>
      </c>
      <c r="K3081" s="4" t="inlineStr">
        <is>
          <t>Abrechnungsart wählen; Stundensätze eingeben</t>
        </is>
      </c>
    </row>
    <row r="3082">
      <c r="A3082" s="4" t="inlineStr">
        <is>
          <t>6525 Revitalisierung-uPva-Isartor-MIT</t>
        </is>
      </c>
      <c r="B3082" s="4" t="inlineStr">
        <is>
          <t>● BST West (pauschal)</t>
        </is>
      </c>
      <c r="C3082" s="9" t="inlineStr">
        <is>
          <t>Unbekannt</t>
        </is>
      </c>
      <c r="D3082" s="10" t="inlineStr">
        <is>
          <t>⚠ Manual erforderlich</t>
        </is>
      </c>
      <c r="E3082" s="11" t="inlineStr"/>
      <c r="F3082" s="11" t="n">
        <v>0</v>
      </c>
      <c r="G3082" s="11">
        <f>E3082-F3082</f>
        <v/>
      </c>
      <c r="H3082" s="11" t="n">
        <v/>
      </c>
      <c r="I3082" s="11" t="n">
        <v/>
      </c>
      <c r="J3082" s="11" t="n">
        <v/>
      </c>
      <c r="K3082" s="4" t="inlineStr">
        <is>
          <t>Abrechnungsart wählen; Stundensätze eingeben</t>
        </is>
      </c>
    </row>
    <row r="3083">
      <c r="A3083" s="4" t="inlineStr">
        <is>
          <t>6525 Revitalisierung-uPva-Isartor-MIT</t>
        </is>
      </c>
      <c r="B3083" s="4" t="inlineStr">
        <is>
          <t>● BST Ost (pauschal)</t>
        </is>
      </c>
      <c r="C3083" s="9" t="inlineStr">
        <is>
          <t>Unbekannt</t>
        </is>
      </c>
      <c r="D3083" s="10" t="inlineStr">
        <is>
          <t>⚠ Manual erforderlich</t>
        </is>
      </c>
      <c r="E3083" s="11" t="inlineStr"/>
      <c r="F3083" s="11" t="n">
        <v>0</v>
      </c>
      <c r="G3083" s="11">
        <f>E3083-F3083</f>
        <v/>
      </c>
      <c r="H3083" s="11" t="n">
        <v/>
      </c>
      <c r="I3083" s="11" t="n">
        <v/>
      </c>
      <c r="J3083" s="11" t="n">
        <v/>
      </c>
      <c r="K3083" s="4" t="inlineStr">
        <is>
          <t>Abrechnungsart wählen; Stundensätze eingeben</t>
        </is>
      </c>
    </row>
    <row r="3084">
      <c r="A3084" s="4" t="inlineStr">
        <is>
          <t>6525.02 DB-PLP-uPVA-MIT-Isartor-München-sFLA-Wandverkleidung</t>
        </is>
      </c>
      <c r="B3084" s="4" t="inlineStr">
        <is>
          <t>● (aN) Pos.1 Planprüfung selbst. Feuerlöschanlage</t>
        </is>
      </c>
      <c r="C3084" s="4" t="inlineStr">
        <is>
          <t>Nachweis</t>
        </is>
      </c>
      <c r="D3084" s="10" t="inlineStr">
        <is>
          <t>⚠ Manual erforderlich</t>
        </is>
      </c>
      <c r="E3084" s="11" t="inlineStr"/>
      <c r="F3084" s="11" t="n">
        <v>0</v>
      </c>
      <c r="G3084" s="11">
        <f>E3084-F3084</f>
        <v/>
      </c>
      <c r="H3084" s="11" t="n">
        <v/>
      </c>
      <c r="I3084" s="11" t="n">
        <v/>
      </c>
      <c r="J3084" s="11" t="n">
        <v/>
      </c>
      <c r="K3084" s="4" t="inlineStr">
        <is>
          <t>Stundensätze eingeben</t>
        </is>
      </c>
    </row>
    <row r="3085">
      <c r="A3085" s="4" t="inlineStr">
        <is>
          <t>6527.01 IO-Anp-BSK-Mühlenfeldstr1-Holzminden-Symotion</t>
        </is>
      </c>
      <c r="B3085" s="4" t="inlineStr">
        <is>
          <t>● (p) Anpassung BSK</t>
        </is>
      </c>
      <c r="C3085" s="4" t="inlineStr">
        <is>
          <t>Pauschale</t>
        </is>
      </c>
      <c r="D3085" s="10" t="inlineStr">
        <is>
          <t>⚠ Manual erforderlich</t>
        </is>
      </c>
      <c r="E3085" s="11" t="inlineStr"/>
      <c r="F3085" s="11" t="n">
        <v>0</v>
      </c>
      <c r="G3085" s="11">
        <f>E3085-F3085</f>
        <v/>
      </c>
      <c r="H3085" s="11" t="n">
        <v>0</v>
      </c>
      <c r="I3085" s="11" t="n">
        <v>0</v>
      </c>
      <c r="J3085" s="11" t="n">
        <v>0</v>
      </c>
      <c r="K3085" s="4" t="inlineStr">
        <is>
          <t>Stundensätze eingeben</t>
        </is>
      </c>
    </row>
    <row r="3086">
      <c r="A3086" s="4" t="inlineStr">
        <is>
          <t>6527.01 IO-Anp-BSK-Mühlenfeldstr1-Holzminden-Symotion</t>
        </is>
      </c>
      <c r="B3086" s="4" t="inlineStr">
        <is>
          <t>● (aN) Beratung</t>
        </is>
      </c>
      <c r="C3086" s="4" t="inlineStr">
        <is>
          <t>Nachweis</t>
        </is>
      </c>
      <c r="D3086" s="10" t="inlineStr">
        <is>
          <t>⚠ Manual erforderlich</t>
        </is>
      </c>
      <c r="E3086" s="11" t="inlineStr"/>
      <c r="F3086" s="11" t="n">
        <v>0</v>
      </c>
      <c r="G3086" s="11">
        <f>E3086-F3086</f>
        <v/>
      </c>
      <c r="H3086" s="11" t="n">
        <v/>
      </c>
      <c r="I3086" s="11" t="n">
        <v/>
      </c>
      <c r="J3086" s="11" t="n">
        <v/>
      </c>
      <c r="K3086" s="4" t="inlineStr">
        <is>
          <t>Stundensätze eingeben</t>
        </is>
      </c>
    </row>
    <row r="3087">
      <c r="A3087" s="4" t="inlineStr">
        <is>
          <t>6528.01 B&amp;L-FLA-Trinkwassertrennung-Gropiusplatz-10-Stuttgart</t>
        </is>
      </c>
      <c r="B3087" s="4" t="inlineStr">
        <is>
          <t>● Planung Trinkwassertrennung Wandyhdrantenanlage (pauschal)</t>
        </is>
      </c>
      <c r="C3087" s="9" t="inlineStr">
        <is>
          <t>Unbekannt</t>
        </is>
      </c>
      <c r="D3087" s="10" t="inlineStr">
        <is>
          <t>⚠ Manual erforderlich</t>
        </is>
      </c>
      <c r="E3087" s="11" t="inlineStr"/>
      <c r="F3087" s="11" t="n">
        <v>0</v>
      </c>
      <c r="G3087" s="11">
        <f>E3087-F3087</f>
        <v/>
      </c>
      <c r="H3087" s="11" t="n">
        <v/>
      </c>
      <c r="I3087" s="11" t="n">
        <v/>
      </c>
      <c r="J3087" s="11" t="n">
        <v/>
      </c>
      <c r="K3087" s="4" t="inlineStr">
        <is>
          <t>Abrechnungsart wählen; Stundensätze eingeben</t>
        </is>
      </c>
    </row>
    <row r="3088">
      <c r="A3088" s="4" t="inlineStr">
        <is>
          <t>6528.01 B&amp;L-FLA-Trinkwassertrennung-Gropiusplatz-10-Stuttgart</t>
        </is>
      </c>
      <c r="B3088" s="4" t="inlineStr">
        <is>
          <t>● Leistungsverzeichnis (pauschal)</t>
        </is>
      </c>
      <c r="C3088" s="9" t="inlineStr">
        <is>
          <t>Unbekannt</t>
        </is>
      </c>
      <c r="D3088" s="10" t="inlineStr">
        <is>
          <t>⚠ Manual erforderlich</t>
        </is>
      </c>
      <c r="E3088" s="11" t="inlineStr"/>
      <c r="F3088" s="11" t="n">
        <v>0</v>
      </c>
      <c r="G3088" s="11">
        <f>E3088-F3088</f>
        <v/>
      </c>
      <c r="H3088" s="11" t="n">
        <v/>
      </c>
      <c r="I3088" s="11" t="n">
        <v/>
      </c>
      <c r="J3088" s="11" t="n">
        <v/>
      </c>
      <c r="K3088" s="4" t="inlineStr">
        <is>
          <t>Abrechnungsart wählen; Stundensätze eingeben</t>
        </is>
      </c>
    </row>
    <row r="3089">
      <c r="A3089" s="4" t="inlineStr">
        <is>
          <t>6528.01 B&amp;L-FLA-Trinkwassertrennung-Gropiusplatz-10-Stuttgart</t>
        </is>
      </c>
      <c r="B3089" s="4" t="inlineStr">
        <is>
          <t>● LP 8 Bauüberwachung der Baumaßnahme</t>
        </is>
      </c>
      <c r="C3089" s="9" t="inlineStr">
        <is>
          <t>Unbekannt</t>
        </is>
      </c>
      <c r="D3089" s="10" t="inlineStr">
        <is>
          <t>⚠ Manual erforderlich</t>
        </is>
      </c>
      <c r="E3089" s="11" t="inlineStr"/>
      <c r="F3089" s="11" t="n">
        <v>0</v>
      </c>
      <c r="G3089" s="11">
        <f>E3089-F3089</f>
        <v/>
      </c>
      <c r="H3089" s="11" t="n">
        <v/>
      </c>
      <c r="I3089" s="11" t="n">
        <v/>
      </c>
      <c r="J3089" s="11" t="n">
        <v/>
      </c>
      <c r="K3089" s="4" t="inlineStr">
        <is>
          <t>Abrechnungsart wählen; Stundensätze eingeben</t>
        </is>
      </c>
    </row>
    <row r="3090">
      <c r="A3090" s="4" t="inlineStr">
        <is>
          <t>6528.03 VdS-Mängel-Step6-WE3022-PLA-Gropiusplatz10-Stuttgart-FLA</t>
        </is>
      </c>
      <c r="B3090" s="4" t="inlineStr">
        <is>
          <t>● (p.) Planungsmaßnahmen</t>
        </is>
      </c>
      <c r="C3090" s="9" t="inlineStr">
        <is>
          <t>Unbekannt</t>
        </is>
      </c>
      <c r="D3090" s="10" t="inlineStr">
        <is>
          <t>⚠ Manual erforderlich</t>
        </is>
      </c>
      <c r="E3090" s="11" t="inlineStr"/>
      <c r="F3090" s="11" t="n">
        <v>0</v>
      </c>
      <c r="G3090" s="11">
        <f>E3090-F3090</f>
        <v/>
      </c>
      <c r="H3090" s="11" t="n">
        <v/>
      </c>
      <c r="I3090" s="11" t="n">
        <v/>
      </c>
      <c r="J3090" s="11" t="n">
        <v/>
      </c>
      <c r="K3090" s="4" t="inlineStr">
        <is>
          <t>Abrechnungsart wählen; Stundensätze eingeben</t>
        </is>
      </c>
    </row>
    <row r="3091">
      <c r="A3091" s="4" t="inlineStr">
        <is>
          <t>6528.03 VdS-Mängel-Step6-WE3022-PLA-Gropiusplatz10-Stuttgart-FLA</t>
        </is>
      </c>
      <c r="B3091" s="4" t="inlineStr">
        <is>
          <t>● (p) LP5 Mängelbeseitigung Sprinkleranlage</t>
        </is>
      </c>
      <c r="C3091" s="4" t="inlineStr">
        <is>
          <t>Pauschale</t>
        </is>
      </c>
      <c r="D3091" s="10" t="inlineStr">
        <is>
          <t>⚠ Manual erforderlich</t>
        </is>
      </c>
      <c r="E3091" s="11" t="inlineStr"/>
      <c r="F3091" s="11" t="n">
        <v>0</v>
      </c>
      <c r="G3091" s="11">
        <f>E3091-F3091</f>
        <v/>
      </c>
      <c r="H3091" s="11" t="n">
        <v>0</v>
      </c>
      <c r="I3091" s="11" t="n">
        <v>0</v>
      </c>
      <c r="J3091" s="11" t="n">
        <v>0</v>
      </c>
      <c r="K3091" s="4" t="inlineStr">
        <is>
          <t>Stundensätze eingeben</t>
        </is>
      </c>
    </row>
    <row r="3092">
      <c r="A3092" s="4" t="inlineStr">
        <is>
          <t>6528.03 VdS-Mängel-Step6-WE3022-PLA-Gropiusplatz10-Stuttgart-FLA</t>
        </is>
      </c>
      <c r="B3092" s="4" t="inlineStr">
        <is>
          <t>● (p) LP6</t>
        </is>
      </c>
      <c r="C3092" s="4" t="inlineStr">
        <is>
          <t>Pauschale</t>
        </is>
      </c>
      <c r="D3092" s="10" t="inlineStr">
        <is>
          <t>⚠ Manual erforderlich</t>
        </is>
      </c>
      <c r="E3092" s="11" t="inlineStr"/>
      <c r="F3092" s="11" t="n">
        <v>0</v>
      </c>
      <c r="G3092" s="11">
        <f>E3092-F3092</f>
        <v/>
      </c>
      <c r="H3092" s="11" t="n">
        <v>0</v>
      </c>
      <c r="I3092" s="11" t="n">
        <v>0</v>
      </c>
      <c r="J3092" s="11" t="n">
        <v>0</v>
      </c>
      <c r="K3092" s="4" t="inlineStr">
        <is>
          <t>Stundensätze eingeben</t>
        </is>
      </c>
    </row>
    <row r="3093">
      <c r="A3093" s="4" t="inlineStr">
        <is>
          <t>6528.03 VdS-Mängel-Step6-WE3022-PLA-Gropiusplatz10-Stuttgart-FLA</t>
        </is>
      </c>
      <c r="B3093" s="4" t="inlineStr">
        <is>
          <t>● (p) LP7</t>
        </is>
      </c>
      <c r="C3093" s="4" t="inlineStr">
        <is>
          <t>Pauschale</t>
        </is>
      </c>
      <c r="D3093" s="10" t="inlineStr">
        <is>
          <t>⚠ Manual erforderlich</t>
        </is>
      </c>
      <c r="E3093" s="11" t="inlineStr"/>
      <c r="F3093" s="11" t="n">
        <v>0</v>
      </c>
      <c r="G3093" s="11">
        <f>E3093-F3093</f>
        <v/>
      </c>
      <c r="H3093" s="11" t="n">
        <v>0</v>
      </c>
      <c r="I3093" s="11" t="n">
        <v>0</v>
      </c>
      <c r="J3093" s="11" t="n">
        <v>0</v>
      </c>
      <c r="K3093" s="4" t="inlineStr">
        <is>
          <t>Stundensätze eingeben</t>
        </is>
      </c>
    </row>
    <row r="3094">
      <c r="A3094" s="4" t="inlineStr">
        <is>
          <t>6528.03 VdS-Mängel-Step6-WE3022-PLA-Gropiusplatz10-Stuttgart-FLA</t>
        </is>
      </c>
      <c r="B3094" s="4" t="inlineStr">
        <is>
          <t>● (p) LP8</t>
        </is>
      </c>
      <c r="C3094" s="4" t="inlineStr">
        <is>
          <t>Pauschale</t>
        </is>
      </c>
      <c r="D3094" s="10" t="inlineStr">
        <is>
          <t>⚠ Manual erforderlich</t>
        </is>
      </c>
      <c r="E3094" s="11" t="inlineStr"/>
      <c r="F3094" s="11" t="n">
        <v>0</v>
      </c>
      <c r="G3094" s="11">
        <f>E3094-F3094</f>
        <v/>
      </c>
      <c r="H3094" s="11" t="n">
        <v>0</v>
      </c>
      <c r="I3094" s="11" t="n">
        <v>0</v>
      </c>
      <c r="J3094" s="11" t="n">
        <v>0</v>
      </c>
      <c r="K3094" s="4" t="inlineStr">
        <is>
          <t>Stundensätze eingeben</t>
        </is>
      </c>
    </row>
    <row r="3095">
      <c r="A3095" s="4" t="inlineStr">
        <is>
          <t>6530 Frankfurter-Straße-135-Bad-Vilbel</t>
        </is>
      </c>
      <c r="B3095" s="4" t="inlineStr">
        <is>
          <t>● BSN (pauschal)</t>
        </is>
      </c>
      <c r="C3095" s="9" t="inlineStr">
        <is>
          <t>Unbekannt</t>
        </is>
      </c>
      <c r="D3095" s="10" t="inlineStr">
        <is>
          <t>⚠ Manual erforderlich</t>
        </is>
      </c>
      <c r="E3095" s="11" t="inlineStr"/>
      <c r="F3095" s="11" t="n">
        <v>0</v>
      </c>
      <c r="G3095" s="11">
        <f>E3095-F3095</f>
        <v/>
      </c>
      <c r="H3095" s="11" t="n">
        <v/>
      </c>
      <c r="I3095" s="11" t="n">
        <v/>
      </c>
      <c r="J3095" s="11" t="n">
        <v/>
      </c>
      <c r="K3095" s="4" t="inlineStr">
        <is>
          <t>Abrechnungsart wählen; Stundensätze eingeben</t>
        </is>
      </c>
    </row>
    <row r="3096">
      <c r="A3096" s="4" t="inlineStr">
        <is>
          <t>6530 Frankfurter-Straße-135-Bad-Vilbel</t>
        </is>
      </c>
      <c r="B3096" s="4" t="inlineStr">
        <is>
          <t>● Baubegleitung (auf Nachweis)</t>
        </is>
      </c>
      <c r="C3096" s="9" t="inlineStr">
        <is>
          <t>Unbekannt</t>
        </is>
      </c>
      <c r="D3096" s="10" t="inlineStr">
        <is>
          <t>⚠ Manual erforderlich</t>
        </is>
      </c>
      <c r="E3096" s="11" t="inlineStr"/>
      <c r="F3096" s="11" t="n">
        <v>0</v>
      </c>
      <c r="G3096" s="11">
        <f>E3096-F3096</f>
        <v/>
      </c>
      <c r="H3096" s="11" t="n">
        <v/>
      </c>
      <c r="I3096" s="11" t="n">
        <v/>
      </c>
      <c r="J3096" s="11" t="n">
        <v/>
      </c>
      <c r="K3096" s="4" t="inlineStr">
        <is>
          <t>Abrechnungsart wählen; Stundensätze eingeben</t>
        </is>
      </c>
    </row>
    <row r="3097">
      <c r="A3097" s="4" t="inlineStr">
        <is>
          <t>6530 Frankfurter-Straße-135-Bad-Vilbel</t>
        </is>
      </c>
      <c r="B3097" s="4" t="inlineStr">
        <is>
          <t>● BSP (pauschal)</t>
        </is>
      </c>
      <c r="C3097" s="9" t="inlineStr">
        <is>
          <t>Unbekannt</t>
        </is>
      </c>
      <c r="D3097" s="10" t="inlineStr">
        <is>
          <t>⚠ Manual erforderlich</t>
        </is>
      </c>
      <c r="E3097" s="11" t="inlineStr"/>
      <c r="F3097" s="11" t="n">
        <v>0</v>
      </c>
      <c r="G3097" s="11">
        <f>E3097-F3097</f>
        <v/>
      </c>
      <c r="H3097" s="11" t="n">
        <v/>
      </c>
      <c r="I3097" s="11" t="n">
        <v/>
      </c>
      <c r="J3097" s="11" t="n">
        <v/>
      </c>
      <c r="K3097" s="4" t="inlineStr">
        <is>
          <t>Abrechnungsart wählen; Stundensätze eingeben</t>
        </is>
      </c>
    </row>
    <row r="3098">
      <c r="A3098" s="4" t="inlineStr">
        <is>
          <t>6533.01 DFS-BSB-ab2023-007-Energiezentrale-Langen</t>
        </is>
      </c>
      <c r="B3098" s="4" t="inlineStr">
        <is>
          <t>● (a.N.) BSB 2023</t>
        </is>
      </c>
      <c r="C3098" s="4" t="inlineStr">
        <is>
          <t>Nachweis</t>
        </is>
      </c>
      <c r="D3098" s="10" t="inlineStr">
        <is>
          <t>⚠ Manual erforderlich</t>
        </is>
      </c>
      <c r="E3098" s="11" t="inlineStr"/>
      <c r="F3098" s="11" t="n">
        <v>0</v>
      </c>
      <c r="G3098" s="11">
        <f>E3098-F3098</f>
        <v/>
      </c>
      <c r="H3098" s="11" t="n">
        <v/>
      </c>
      <c r="I3098" s="11" t="n">
        <v/>
      </c>
      <c r="J3098" s="11" t="n">
        <v/>
      </c>
      <c r="K3098" s="4" t="inlineStr">
        <is>
          <t>Stundensätze eingeben</t>
        </is>
      </c>
    </row>
    <row r="3099">
      <c r="A3099" s="4" t="inlineStr">
        <is>
          <t>6533.01 DFS-BSB-ab2023-007-Energiezentrale-Langen</t>
        </is>
      </c>
      <c r="B3099" s="4" t="inlineStr">
        <is>
          <t>● (aN) BSB 2024</t>
        </is>
      </c>
      <c r="C3099" s="4" t="inlineStr">
        <is>
          <t>Nachweis</t>
        </is>
      </c>
      <c r="D3099" s="10" t="inlineStr">
        <is>
          <t>⚠ Manual erforderlich</t>
        </is>
      </c>
      <c r="E3099" s="11" t="inlineStr"/>
      <c r="F3099" s="11" t="n">
        <v>0</v>
      </c>
      <c r="G3099" s="11">
        <f>E3099-F3099</f>
        <v/>
      </c>
      <c r="H3099" s="11" t="n">
        <v/>
      </c>
      <c r="I3099" s="11" t="n">
        <v/>
      </c>
      <c r="J3099" s="11" t="n">
        <v/>
      </c>
      <c r="K3099" s="4" t="inlineStr">
        <is>
          <t>Stundensätze eingeben</t>
        </is>
      </c>
    </row>
    <row r="3100">
      <c r="A3100" s="4" t="inlineStr">
        <is>
          <t>6533.021 DFS-BSB-007-Energiezentrale-Langen</t>
        </is>
      </c>
      <c r="B3100" s="4" t="inlineStr">
        <is>
          <t>● (aN) Pos. 2-4 BSB ab 2025</t>
        </is>
      </c>
      <c r="C3100" s="4" t="inlineStr">
        <is>
          <t>Nachweis</t>
        </is>
      </c>
      <c r="D3100" s="10" t="inlineStr">
        <is>
          <t>⚠ Manual erforderlich</t>
        </is>
      </c>
      <c r="E3100" s="11" t="inlineStr"/>
      <c r="F3100" s="11" t="n">
        <v>0</v>
      </c>
      <c r="G3100" s="11">
        <f>E3100-F3100</f>
        <v/>
      </c>
      <c r="H3100" s="11" t="n">
        <v/>
      </c>
      <c r="I3100" s="11" t="n">
        <v/>
      </c>
      <c r="J3100" s="11" t="n">
        <v/>
      </c>
      <c r="K3100" s="4" t="inlineStr">
        <is>
          <t>Stundensätze eingeben</t>
        </is>
      </c>
    </row>
    <row r="3101">
      <c r="A3101" s="4" t="inlineStr">
        <is>
          <t>6533.03 DFS-BSB-2025-007-Energiezentrale-Langen</t>
        </is>
      </c>
      <c r="B3101" s="4" t="inlineStr">
        <is>
          <t>● (aN) BSB 2025</t>
        </is>
      </c>
      <c r="C3101" s="4" t="inlineStr">
        <is>
          <t>Nachweis</t>
        </is>
      </c>
      <c r="D3101" s="10" t="inlineStr">
        <is>
          <t>⚠ Manual erforderlich</t>
        </is>
      </c>
      <c r="E3101" s="11" t="inlineStr"/>
      <c r="F3101" s="11" t="n">
        <v>0</v>
      </c>
      <c r="G3101" s="11">
        <f>E3101-F3101</f>
        <v/>
      </c>
      <c r="H3101" s="11" t="n">
        <v/>
      </c>
      <c r="I3101" s="11" t="n">
        <v/>
      </c>
      <c r="J3101" s="11" t="n">
        <v/>
      </c>
      <c r="K3101" s="4" t="inlineStr">
        <is>
          <t>Stundensätze eingeben</t>
        </is>
      </c>
    </row>
    <row r="3102">
      <c r="A3102" s="4" t="inlineStr">
        <is>
          <t>6533.04 DFS-BSO-007-Energiezentrale-Langen</t>
        </is>
      </c>
      <c r="B3102" s="4" t="inlineStr">
        <is>
          <t>● (aN) Pos. 1 Prüfung der bestehenden Brandschutzordnung</t>
        </is>
      </c>
      <c r="C3102" s="4" t="inlineStr">
        <is>
          <t>Nachweis</t>
        </is>
      </c>
      <c r="D3102" s="10" t="inlineStr">
        <is>
          <t>⚠ Manual erforderlich</t>
        </is>
      </c>
      <c r="E3102" s="11" t="inlineStr"/>
      <c r="F3102" s="11" t="n">
        <v>0</v>
      </c>
      <c r="G3102" s="11">
        <f>E3102-F3102</f>
        <v/>
      </c>
      <c r="H3102" s="11" t="n">
        <v/>
      </c>
      <c r="I3102" s="11" t="n">
        <v/>
      </c>
      <c r="J3102" s="11" t="n">
        <v/>
      </c>
      <c r="K3102" s="4" t="inlineStr">
        <is>
          <t>Stundensätze eingeben</t>
        </is>
      </c>
    </row>
    <row r="3103">
      <c r="A3103" s="4" t="inlineStr">
        <is>
          <t>6533.05 DFS-FW-Übersichtspläne-Energiezentrale-Langen-</t>
        </is>
      </c>
      <c r="B3103" s="4" t="inlineStr">
        <is>
          <t>● (p) Medientunnel-Bauzeitraum</t>
        </is>
      </c>
      <c r="C3103" s="4" t="inlineStr">
        <is>
          <t>Pauschale</t>
        </is>
      </c>
      <c r="D3103" s="10" t="inlineStr">
        <is>
          <t>⚠ Manual erforderlich</t>
        </is>
      </c>
      <c r="E3103" s="11" t="inlineStr"/>
      <c r="F3103" s="11" t="n">
        <v>0</v>
      </c>
      <c r="G3103" s="11">
        <f>E3103-F3103</f>
        <v/>
      </c>
      <c r="H3103" s="11" t="n">
        <v>0</v>
      </c>
      <c r="I3103" s="11" t="n">
        <v>0</v>
      </c>
      <c r="J3103" s="11" t="n">
        <v>0</v>
      </c>
      <c r="K3103" s="4" t="inlineStr">
        <is>
          <t>Stundensätze eingeben</t>
        </is>
      </c>
    </row>
    <row r="3104">
      <c r="A3104" s="4" t="inlineStr">
        <is>
          <t>6537 Otto-Schott-Straße-2-Mainz-Ma6</t>
        </is>
      </c>
      <c r="B3104" s="4" t="inlineStr">
        <is>
          <t>● Step 1: LP1 GL (pauschal)</t>
        </is>
      </c>
      <c r="C3104" s="9" t="inlineStr">
        <is>
          <t>Unbekannt</t>
        </is>
      </c>
      <c r="D3104" s="10" t="inlineStr">
        <is>
          <t>⚠ Manual erforderlich</t>
        </is>
      </c>
      <c r="E3104" s="11" t="inlineStr"/>
      <c r="F3104" s="11" t="n">
        <v>0</v>
      </c>
      <c r="G3104" s="11">
        <f>E3104-F3104</f>
        <v/>
      </c>
      <c r="H3104" s="11" t="n">
        <v/>
      </c>
      <c r="I3104" s="11" t="n">
        <v/>
      </c>
      <c r="J3104" s="11" t="n">
        <v/>
      </c>
      <c r="K3104" s="4" t="inlineStr">
        <is>
          <t>Abrechnungsart wählen; Stundensätze eingeben</t>
        </is>
      </c>
    </row>
    <row r="3105">
      <c r="A3105" s="4" t="inlineStr">
        <is>
          <t>6537 Otto-Schott-Straße-2-Mainz-Ma6</t>
        </is>
      </c>
      <c r="B3105" s="4" t="inlineStr">
        <is>
          <t>● Step 1: LP2 GL (pauschal)</t>
        </is>
      </c>
      <c r="C3105" s="9" t="inlineStr">
        <is>
          <t>Unbekannt</t>
        </is>
      </c>
      <c r="D3105" s="10" t="inlineStr">
        <is>
          <t>⚠ Manual erforderlich</t>
        </is>
      </c>
      <c r="E3105" s="11" t="inlineStr"/>
      <c r="F3105" s="11" t="n">
        <v>0</v>
      </c>
      <c r="G3105" s="11">
        <f>E3105-F3105</f>
        <v/>
      </c>
      <c r="H3105" s="11" t="n">
        <v/>
      </c>
      <c r="I3105" s="11" t="n">
        <v/>
      </c>
      <c r="J3105" s="11" t="n">
        <v/>
      </c>
      <c r="K3105" s="4" t="inlineStr">
        <is>
          <t>Abrechnungsart wählen; Stundensätze eingeben</t>
        </is>
      </c>
    </row>
    <row r="3106">
      <c r="A3106" s="4" t="inlineStr">
        <is>
          <t>6537 Otto-Schott-Straße-2-Mainz-Ma6</t>
        </is>
      </c>
      <c r="B3106" s="4" t="inlineStr">
        <is>
          <t>● Step 1: LP3 GL (pauschal)</t>
        </is>
      </c>
      <c r="C3106" s="9" t="inlineStr">
        <is>
          <t>Unbekannt</t>
        </is>
      </c>
      <c r="D3106" s="10" t="inlineStr">
        <is>
          <t>⚠ Manual erforderlich</t>
        </is>
      </c>
      <c r="E3106" s="11" t="inlineStr"/>
      <c r="F3106" s="11" t="n">
        <v>0</v>
      </c>
      <c r="G3106" s="11">
        <f>E3106-F3106</f>
        <v/>
      </c>
      <c r="H3106" s="11" t="n">
        <v/>
      </c>
      <c r="I3106" s="11" t="n">
        <v/>
      </c>
      <c r="J3106" s="11" t="n">
        <v/>
      </c>
      <c r="K3106" s="4" t="inlineStr">
        <is>
          <t>Abrechnungsart wählen; Stundensätze eingeben</t>
        </is>
      </c>
    </row>
    <row r="3107">
      <c r="A3107" s="4" t="inlineStr">
        <is>
          <t>6537 Otto-Schott-Straße-2-Mainz-Ma6</t>
        </is>
      </c>
      <c r="B3107" s="4" t="inlineStr">
        <is>
          <t>● Step 2: LP5 GL (pauschal)</t>
        </is>
      </c>
      <c r="C3107" s="9" t="inlineStr">
        <is>
          <t>Unbekannt</t>
        </is>
      </c>
      <c r="D3107" s="10" t="inlineStr">
        <is>
          <t>⚠ Manual erforderlich</t>
        </is>
      </c>
      <c r="E3107" s="11" t="inlineStr"/>
      <c r="F3107" s="11" t="n">
        <v>0</v>
      </c>
      <c r="G3107" s="11">
        <f>E3107-F3107</f>
        <v/>
      </c>
      <c r="H3107" s="11" t="n">
        <v/>
      </c>
      <c r="I3107" s="11" t="n">
        <v/>
      </c>
      <c r="J3107" s="11" t="n">
        <v/>
      </c>
      <c r="K3107" s="4" t="inlineStr">
        <is>
          <t>Abrechnungsart wählen; Stundensätze eingeben</t>
        </is>
      </c>
    </row>
    <row r="3108">
      <c r="A3108" s="4" t="inlineStr">
        <is>
          <t>6537 Otto-Schott-Straße-2-Mainz-Ma6</t>
        </is>
      </c>
      <c r="B3108" s="4" t="inlineStr">
        <is>
          <t>● Step 2: LP6 GL (pauschal)</t>
        </is>
      </c>
      <c r="C3108" s="9" t="inlineStr">
        <is>
          <t>Unbekannt</t>
        </is>
      </c>
      <c r="D3108" s="10" t="inlineStr">
        <is>
          <t>⚠ Manual erforderlich</t>
        </is>
      </c>
      <c r="E3108" s="11" t="inlineStr"/>
      <c r="F3108" s="11" t="n">
        <v>0</v>
      </c>
      <c r="G3108" s="11">
        <f>E3108-F3108</f>
        <v/>
      </c>
      <c r="H3108" s="11" t="n">
        <v/>
      </c>
      <c r="I3108" s="11" t="n">
        <v/>
      </c>
      <c r="J3108" s="11" t="n">
        <v/>
      </c>
      <c r="K3108" s="4" t="inlineStr">
        <is>
          <t>Abrechnungsart wählen; Stundensätze eingeben</t>
        </is>
      </c>
    </row>
    <row r="3109">
      <c r="A3109" s="4" t="inlineStr">
        <is>
          <t>6537 Otto-Schott-Straße-2-Mainz-Ma6</t>
        </is>
      </c>
      <c r="B3109" s="4" t="inlineStr">
        <is>
          <t>● Step 2: LP 6 Änderungen (a.N., Bestellung-Nr. 4503708102)</t>
        </is>
      </c>
      <c r="C3109" s="9" t="inlineStr">
        <is>
          <t>Unbekannt</t>
        </is>
      </c>
      <c r="D3109" s="10" t="inlineStr">
        <is>
          <t>⚠ Manual erforderlich</t>
        </is>
      </c>
      <c r="E3109" s="11" t="inlineStr"/>
      <c r="F3109" s="11" t="n">
        <v>0</v>
      </c>
      <c r="G3109" s="11">
        <f>E3109-F3109</f>
        <v/>
      </c>
      <c r="H3109" s="11" t="n">
        <v/>
      </c>
      <c r="I3109" s="11" t="n">
        <v/>
      </c>
      <c r="J3109" s="11" t="n">
        <v/>
      </c>
      <c r="K3109" s="4" t="inlineStr">
        <is>
          <t>Abrechnungsart wählen; Stundensätze eingeben</t>
        </is>
      </c>
    </row>
    <row r="3110">
      <c r="A3110" s="4" t="inlineStr">
        <is>
          <t>6537 Otto-Schott-Straße-2-Mainz-Ma6</t>
        </is>
      </c>
      <c r="B3110" s="4" t="inlineStr">
        <is>
          <t>● Step 2: LP7 GL (pauschal)</t>
        </is>
      </c>
      <c r="C3110" s="9" t="inlineStr">
        <is>
          <t>Unbekannt</t>
        </is>
      </c>
      <c r="D3110" s="10" t="inlineStr">
        <is>
          <t>⚠ Manual erforderlich</t>
        </is>
      </c>
      <c r="E3110" s="11" t="inlineStr"/>
      <c r="F3110" s="11" t="n">
        <v>0</v>
      </c>
      <c r="G3110" s="11">
        <f>E3110-F3110</f>
        <v/>
      </c>
      <c r="H3110" s="11" t="n">
        <v/>
      </c>
      <c r="I3110" s="11" t="n">
        <v/>
      </c>
      <c r="J3110" s="11" t="n">
        <v/>
      </c>
      <c r="K3110" s="4" t="inlineStr">
        <is>
          <t>Abrechnungsart wählen; Stundensätze eingeben</t>
        </is>
      </c>
    </row>
    <row r="3111">
      <c r="A3111" s="4" t="inlineStr">
        <is>
          <t>6537 Otto-Schott-Straße-2-Mainz-Ma6</t>
        </is>
      </c>
      <c r="B3111" s="4" t="inlineStr">
        <is>
          <t>● Step 3: LP 8 (p)</t>
        </is>
      </c>
      <c r="C3111" s="4" t="inlineStr">
        <is>
          <t>Pauschale</t>
        </is>
      </c>
      <c r="D3111" s="10" t="inlineStr">
        <is>
          <t>⚠ Manual erforderlich</t>
        </is>
      </c>
      <c r="E3111" s="11" t="inlineStr"/>
      <c r="F3111" s="11" t="n">
        <v>0</v>
      </c>
      <c r="G3111" s="11">
        <f>E3111-F3111</f>
        <v/>
      </c>
      <c r="H3111" s="11" t="n">
        <v>0</v>
      </c>
      <c r="I3111" s="11" t="n">
        <v>0</v>
      </c>
      <c r="J3111" s="11" t="n">
        <v>0</v>
      </c>
      <c r="K3111" s="4" t="inlineStr">
        <is>
          <t>Stundensätze eingeben</t>
        </is>
      </c>
    </row>
    <row r="3112">
      <c r="A3112" s="4" t="inlineStr">
        <is>
          <t>6537 Otto-Schott-Straße-2-Mainz-Ma6</t>
        </is>
      </c>
      <c r="B3112" s="4" t="inlineStr">
        <is>
          <t>● (p) Anlage Projekt, Angebot, Versand, Auftrag</t>
        </is>
      </c>
      <c r="C3112" s="4" t="inlineStr">
        <is>
          <t>Pauschale</t>
        </is>
      </c>
      <c r="D3112" s="10" t="inlineStr">
        <is>
          <t>⚠ Manual erforderlich</t>
        </is>
      </c>
      <c r="E3112" s="11" t="inlineStr"/>
      <c r="F3112" s="11" t="n">
        <v>0</v>
      </c>
      <c r="G3112" s="11">
        <f>E3112-F3112</f>
        <v/>
      </c>
      <c r="H3112" s="11" t="n">
        <v>0</v>
      </c>
      <c r="I3112" s="11" t="n">
        <v>0</v>
      </c>
      <c r="J3112" s="11" t="n">
        <v>0</v>
      </c>
      <c r="K3112" s="4" t="inlineStr">
        <is>
          <t>Stundensätze eingeben</t>
        </is>
      </c>
    </row>
    <row r="3113">
      <c r="A3113" s="4" t="inlineStr">
        <is>
          <t>6537.02 Schott-Ma6-Anbau-Lager-BT2-Otto-Schott-Str2-Mainz</t>
        </is>
      </c>
      <c r="B3113" s="4" t="inlineStr">
        <is>
          <t>● (p) Pos. 3 LP 3  (Entwurfsplanung) auf 50% reduziert</t>
        </is>
      </c>
      <c r="C3113" s="4" t="inlineStr">
        <is>
          <t>Pauschale</t>
        </is>
      </c>
      <c r="D3113" s="10" t="inlineStr">
        <is>
          <t>⚠ Manual erforderlich</t>
        </is>
      </c>
      <c r="E3113" s="11" t="inlineStr"/>
      <c r="F3113" s="11" t="n">
        <v>0</v>
      </c>
      <c r="G3113" s="11">
        <f>E3113-F3113</f>
        <v/>
      </c>
      <c r="H3113" s="11" t="n">
        <v>0</v>
      </c>
      <c r="I3113" s="11" t="n">
        <v>0</v>
      </c>
      <c r="J3113" s="11" t="n">
        <v>0</v>
      </c>
      <c r="K3113" s="4" t="inlineStr">
        <is>
          <t>Stundensätze eingeben</t>
        </is>
      </c>
    </row>
    <row r="3114">
      <c r="A3114" s="4" t="inlineStr">
        <is>
          <t>6537.02 Schott-Ma6-Anbau-Lager-BT2-Otto-Schott-Str2-Mainz</t>
        </is>
      </c>
      <c r="B3114" s="4" t="inlineStr">
        <is>
          <t>● (p) Pos. 4 LP 4 (Genehmigungsplanung)</t>
        </is>
      </c>
      <c r="C3114" s="4" t="inlineStr">
        <is>
          <t>Pauschale</t>
        </is>
      </c>
      <c r="D3114" s="10" t="inlineStr">
        <is>
          <t>⚠ Manual erforderlich</t>
        </is>
      </c>
      <c r="E3114" s="11" t="inlineStr"/>
      <c r="F3114" s="11" t="n">
        <v>0</v>
      </c>
      <c r="G3114" s="11">
        <f>E3114-F3114</f>
        <v/>
      </c>
      <c r="H3114" s="11" t="n">
        <v>0</v>
      </c>
      <c r="I3114" s="11" t="n">
        <v>0</v>
      </c>
      <c r="J3114" s="11" t="n">
        <v>0</v>
      </c>
      <c r="K3114" s="4" t="inlineStr">
        <is>
          <t>Stundensätze eingeben</t>
        </is>
      </c>
    </row>
    <row r="3115">
      <c r="A3115" s="4" t="inlineStr">
        <is>
          <t>6537.02 Schott-Ma6-Anbau-Lager-BT2-Otto-Schott-Str2-Mainz</t>
        </is>
      </c>
      <c r="B3115" s="4" t="inlineStr">
        <is>
          <t>● (p) Pos. 5 LP 5 (Ausführungsplanung)</t>
        </is>
      </c>
      <c r="C3115" s="4" t="inlineStr">
        <is>
          <t>Pauschale</t>
        </is>
      </c>
      <c r="D3115" s="10" t="inlineStr">
        <is>
          <t>⚠ Manual erforderlich</t>
        </is>
      </c>
      <c r="E3115" s="11" t="inlineStr"/>
      <c r="F3115" s="11" t="n">
        <v>0</v>
      </c>
      <c r="G3115" s="11">
        <f>E3115-F3115</f>
        <v/>
      </c>
      <c r="H3115" s="11" t="n">
        <v>0</v>
      </c>
      <c r="I3115" s="11" t="n">
        <v>0</v>
      </c>
      <c r="J3115" s="11" t="n">
        <v>0</v>
      </c>
      <c r="K3115" s="4" t="inlineStr">
        <is>
          <t>Stundensätze eingeben</t>
        </is>
      </c>
    </row>
    <row r="3116">
      <c r="A3116" s="4" t="inlineStr">
        <is>
          <t>6537.02 Schott-Ma6-Anbau-Lager-BT2-Otto-Schott-Str2-Mainz</t>
        </is>
      </c>
      <c r="B3116" s="4" t="inlineStr">
        <is>
          <t>● (p) Pos. 6 LP 6 (Vorbereiten der Vergabe)</t>
        </is>
      </c>
      <c r="C3116" s="4" t="inlineStr">
        <is>
          <t>Pauschale</t>
        </is>
      </c>
      <c r="D3116" s="10" t="inlineStr">
        <is>
          <t>⚠ Manual erforderlich</t>
        </is>
      </c>
      <c r="E3116" s="11" t="inlineStr"/>
      <c r="F3116" s="11" t="n">
        <v>0</v>
      </c>
      <c r="G3116" s="11">
        <f>E3116-F3116</f>
        <v/>
      </c>
      <c r="H3116" s="11" t="n">
        <v>0</v>
      </c>
      <c r="I3116" s="11" t="n">
        <v>0</v>
      </c>
      <c r="J3116" s="11" t="n">
        <v>0</v>
      </c>
      <c r="K3116" s="4" t="inlineStr">
        <is>
          <t>Stundensätze eingeben</t>
        </is>
      </c>
    </row>
    <row r="3117">
      <c r="A3117" s="4" t="inlineStr">
        <is>
          <t>6537.02 Schott-Ma6-Anbau-Lager-BT2-Otto-Schott-Str2-Mainz</t>
        </is>
      </c>
      <c r="B3117" s="4" t="inlineStr">
        <is>
          <t>● Pos. 7 LP 7 (Mitwirken bei der Vergabe)</t>
        </is>
      </c>
      <c r="C3117" s="9" t="inlineStr">
        <is>
          <t>Unbekannt</t>
        </is>
      </c>
      <c r="D3117" s="10" t="inlineStr">
        <is>
          <t>⚠ Manual erforderlich</t>
        </is>
      </c>
      <c r="E3117" s="11" t="inlineStr"/>
      <c r="F3117" s="11" t="n">
        <v>0</v>
      </c>
      <c r="G3117" s="11">
        <f>E3117-F3117</f>
        <v/>
      </c>
      <c r="H3117" s="11" t="n">
        <v/>
      </c>
      <c r="I3117" s="11" t="n">
        <v/>
      </c>
      <c r="J3117" s="11" t="n">
        <v/>
      </c>
      <c r="K3117" s="4" t="inlineStr">
        <is>
          <t>Abrechnungsart wählen; Stundensätze eingeben</t>
        </is>
      </c>
    </row>
    <row r="3118">
      <c r="A3118" s="4" t="inlineStr">
        <is>
          <t>6540.01 RMU-Hochtaunuskliniken-Königstein</t>
        </is>
      </c>
      <c r="B3118" s="4" t="inlineStr">
        <is>
          <t>● (a.N.) Pos.1 - 4 Stück Räumungskarten</t>
        </is>
      </c>
      <c r="C3118" s="4" t="inlineStr">
        <is>
          <t>Nachweis</t>
        </is>
      </c>
      <c r="D3118" s="10" t="inlineStr">
        <is>
          <t>⚠ Manual erforderlich</t>
        </is>
      </c>
      <c r="E3118" s="11" t="inlineStr"/>
      <c r="F3118" s="11" t="n">
        <v>0</v>
      </c>
      <c r="G3118" s="11">
        <f>E3118-F3118</f>
        <v/>
      </c>
      <c r="H3118" s="11" t="n">
        <v/>
      </c>
      <c r="I3118" s="11" t="n">
        <v/>
      </c>
      <c r="J3118" s="11" t="n">
        <v/>
      </c>
      <c r="K3118" s="4" t="inlineStr">
        <is>
          <t>Stundensätze eingeben</t>
        </is>
      </c>
    </row>
    <row r="3119">
      <c r="A3119" s="4" t="inlineStr">
        <is>
          <t>6540.01 RMU-Hochtaunuskliniken-Königstein</t>
        </is>
      </c>
      <c r="B3119" s="4" t="inlineStr">
        <is>
          <t>● (a.N.) Pos.2 - 4 Stück Räumungspläne</t>
        </is>
      </c>
      <c r="C3119" s="4" t="inlineStr">
        <is>
          <t>Nachweis</t>
        </is>
      </c>
      <c r="D3119" s="10" t="inlineStr">
        <is>
          <t>⚠ Manual erforderlich</t>
        </is>
      </c>
      <c r="E3119" s="11" t="inlineStr"/>
      <c r="F3119" s="11" t="n">
        <v>0</v>
      </c>
      <c r="G3119" s="11">
        <f>E3119-F3119</f>
        <v/>
      </c>
      <c r="H3119" s="11" t="n">
        <v/>
      </c>
      <c r="I3119" s="11" t="n">
        <v/>
      </c>
      <c r="J3119" s="11" t="n">
        <v/>
      </c>
      <c r="K3119" s="4" t="inlineStr">
        <is>
          <t>Stundensätze eingeben</t>
        </is>
      </c>
    </row>
    <row r="3120">
      <c r="A3120" s="4" t="inlineStr">
        <is>
          <t>6540.01 RMU-Hochtaunuskliniken-Königstein</t>
        </is>
      </c>
      <c r="B3120" s="4" t="inlineStr">
        <is>
          <t>● (a.N.) Pos.3 - 4 Stück Räumungsmappen</t>
        </is>
      </c>
      <c r="C3120" s="4" t="inlineStr">
        <is>
          <t>Nachweis</t>
        </is>
      </c>
      <c r="D3120" s="10" t="inlineStr">
        <is>
          <t>⚠ Manual erforderlich</t>
        </is>
      </c>
      <c r="E3120" s="11" t="inlineStr"/>
      <c r="F3120" s="11" t="n">
        <v>0</v>
      </c>
      <c r="G3120" s="11">
        <f>E3120-F3120</f>
        <v/>
      </c>
      <c r="H3120" s="11" t="n">
        <v/>
      </c>
      <c r="I3120" s="11" t="n">
        <v/>
      </c>
      <c r="J3120" s="11" t="n">
        <v/>
      </c>
      <c r="K3120" s="4" t="inlineStr">
        <is>
          <t>Stundensätze eingeben</t>
        </is>
      </c>
    </row>
    <row r="3121">
      <c r="A3121" s="4" t="inlineStr">
        <is>
          <t>6542 Leunastraße-24-Frankfurt</t>
        </is>
      </c>
      <c r="B3121" s="4" t="inlineStr">
        <is>
          <t>● Beratung (auf Nachweis)</t>
        </is>
      </c>
      <c r="C3121" s="9" t="inlineStr">
        <is>
          <t>Unbekannt</t>
        </is>
      </c>
      <c r="D3121" s="10" t="inlineStr">
        <is>
          <t>⚠ Manual erforderlich</t>
        </is>
      </c>
      <c r="E3121" s="11" t="inlineStr"/>
      <c r="F3121" s="11" t="n">
        <v>0</v>
      </c>
      <c r="G3121" s="11">
        <f>E3121-F3121</f>
        <v/>
      </c>
      <c r="H3121" s="11" t="n">
        <v/>
      </c>
      <c r="I3121" s="11" t="n">
        <v/>
      </c>
      <c r="J3121" s="11" t="n">
        <v/>
      </c>
      <c r="K3121" s="4" t="inlineStr">
        <is>
          <t>Abrechnungsart wählen; Stundensätze eingeben</t>
        </is>
      </c>
    </row>
    <row r="3122">
      <c r="A3122" s="4" t="inlineStr">
        <is>
          <t>6542 Leunastraße-24-Frankfurt</t>
        </is>
      </c>
      <c r="B3122" s="4" t="inlineStr">
        <is>
          <t>● BSN (auf Nachweis)</t>
        </is>
      </c>
      <c r="C3122" s="9" t="inlineStr">
        <is>
          <t>Unbekannt</t>
        </is>
      </c>
      <c r="D3122" s="10" t="inlineStr">
        <is>
          <t>⚠ Manual erforderlich</t>
        </is>
      </c>
      <c r="E3122" s="11" t="inlineStr"/>
      <c r="F3122" s="11" t="n">
        <v>0</v>
      </c>
      <c r="G3122" s="11">
        <f>E3122-F3122</f>
        <v/>
      </c>
      <c r="H3122" s="11" t="n">
        <v/>
      </c>
      <c r="I3122" s="11" t="n">
        <v/>
      </c>
      <c r="J3122" s="11" t="n">
        <v/>
      </c>
      <c r="K3122" s="4" t="inlineStr">
        <is>
          <t>Abrechnungsart wählen; Stundensätze eingeben</t>
        </is>
      </c>
    </row>
    <row r="3123">
      <c r="A3123" s="4" t="inlineStr">
        <is>
          <t>6542 Leunastraße-24-Frankfurt</t>
        </is>
      </c>
      <c r="B3123" s="4" t="inlineStr">
        <is>
          <t>● Baubegleitung (auf Nachweis)</t>
        </is>
      </c>
      <c r="C3123" s="9" t="inlineStr">
        <is>
          <t>Unbekannt</t>
        </is>
      </c>
      <c r="D3123" s="10" t="inlineStr">
        <is>
          <t>⚠ Manual erforderlich</t>
        </is>
      </c>
      <c r="E3123" s="11" t="inlineStr"/>
      <c r="F3123" s="11" t="n">
        <v>0</v>
      </c>
      <c r="G3123" s="11">
        <f>E3123-F3123</f>
        <v/>
      </c>
      <c r="H3123" s="11" t="n">
        <v/>
      </c>
      <c r="I3123" s="11" t="n">
        <v/>
      </c>
      <c r="J3123" s="11" t="n">
        <v/>
      </c>
      <c r="K3123" s="4" t="inlineStr">
        <is>
          <t>Abrechnungsart wählen; Stundensätze eingeben</t>
        </is>
      </c>
    </row>
    <row r="3124">
      <c r="A3124" s="4" t="inlineStr">
        <is>
          <t>6543.01 BTB-Schäfergasse-18-20-22-Frankfurt</t>
        </is>
      </c>
      <c r="B3124" s="4" t="inlineStr">
        <is>
          <t>● (a.N.) Pos.1 BTB - Konzeptionierung 2.Rettungsweg aus 6.OG +baul. Ausführung d. 5.+6. OG in Holzbau</t>
        </is>
      </c>
      <c r="C3124" s="4" t="inlineStr">
        <is>
          <t>Nachweis</t>
        </is>
      </c>
      <c r="D3124" s="10" t="inlineStr">
        <is>
          <t>⚠ Manual erforderlich</t>
        </is>
      </c>
      <c r="E3124" s="11" t="inlineStr"/>
      <c r="F3124" s="11" t="n">
        <v>0</v>
      </c>
      <c r="G3124" s="11">
        <f>E3124-F3124</f>
        <v/>
      </c>
      <c r="H3124" s="11" t="n">
        <v/>
      </c>
      <c r="I3124" s="11" t="n">
        <v/>
      </c>
      <c r="J3124" s="11" t="n">
        <v/>
      </c>
      <c r="K3124" s="4" t="inlineStr">
        <is>
          <t>Stundensätze eingeben</t>
        </is>
      </c>
    </row>
    <row r="3125">
      <c r="A3125" s="4" t="inlineStr">
        <is>
          <t>6544 Sophienstraße-22-Frankfurt-HPPVO</t>
        </is>
      </c>
      <c r="B3125" s="4" t="inlineStr">
        <is>
          <t>● Prüfung BSN (auf Nachweis)</t>
        </is>
      </c>
      <c r="C3125" s="9" t="inlineStr">
        <is>
          <t>Unbekannt</t>
        </is>
      </c>
      <c r="D3125" s="10" t="inlineStr">
        <is>
          <t>⚠ Manual erforderlich</t>
        </is>
      </c>
      <c r="E3125" s="11" t="inlineStr"/>
      <c r="F3125" s="11" t="n">
        <v>0</v>
      </c>
      <c r="G3125" s="11">
        <f>E3125-F3125</f>
        <v/>
      </c>
      <c r="H3125" s="11" t="n">
        <v/>
      </c>
      <c r="I3125" s="11" t="n">
        <v/>
      </c>
      <c r="J3125" s="11" t="n">
        <v/>
      </c>
      <c r="K3125" s="4" t="inlineStr">
        <is>
          <t>Abrechnungsart wählen; Stundensätze eingeben</t>
        </is>
      </c>
    </row>
    <row r="3126">
      <c r="A3126" s="4" t="inlineStr">
        <is>
          <t>6547.01 Sprinklerkoordination-2023-Rudolf-Eber-Straße-2-Oberkochen-Zeiss-FLA</t>
        </is>
      </c>
      <c r="B3126" s="4" t="inlineStr">
        <is>
          <t>● • (aN) QS-Prüfung (projektbezogen)</t>
        </is>
      </c>
      <c r="C3126" s="4" t="inlineStr">
        <is>
          <t>Nachweis</t>
        </is>
      </c>
      <c r="D3126" s="10" t="inlineStr">
        <is>
          <t>⚠ Manual erforderlich</t>
        </is>
      </c>
      <c r="E3126" s="11" t="inlineStr"/>
      <c r="F3126" s="11" t="n">
        <v>0</v>
      </c>
      <c r="G3126" s="11">
        <f>E3126-F3126</f>
        <v/>
      </c>
      <c r="H3126" s="11" t="n">
        <v/>
      </c>
      <c r="I3126" s="11" t="n">
        <v/>
      </c>
      <c r="J3126" s="11" t="n">
        <v/>
      </c>
      <c r="K3126" s="4" t="inlineStr">
        <is>
          <t>Stundensätze eingeben</t>
        </is>
      </c>
    </row>
    <row r="3127">
      <c r="A3127" s="4" t="inlineStr">
        <is>
          <t>6547.01 Sprinklerkoordination-2023-Rudolf-Eber-Straße-2-Oberkochen-Zeiss-FLA</t>
        </is>
      </c>
      <c r="B3127" s="4" t="inlineStr">
        <is>
          <t>● • (aN) Bestandsaufnahme, Prüfung Bestands- + Planungsdokumentation</t>
        </is>
      </c>
      <c r="C3127" s="4" t="inlineStr">
        <is>
          <t>Nachweis</t>
        </is>
      </c>
      <c r="D3127" s="10" t="inlineStr">
        <is>
          <t>⚠ Manual erforderlich</t>
        </is>
      </c>
      <c r="E3127" s="11" t="inlineStr"/>
      <c r="F3127" s="11" t="n">
        <v>0</v>
      </c>
      <c r="G3127" s="11">
        <f>E3127-F3127</f>
        <v/>
      </c>
      <c r="H3127" s="11" t="n">
        <v/>
      </c>
      <c r="I3127" s="11" t="n">
        <v/>
      </c>
      <c r="J3127" s="11" t="n">
        <v/>
      </c>
      <c r="K3127" s="4" t="inlineStr">
        <is>
          <t>Stundensätze eingeben</t>
        </is>
      </c>
    </row>
    <row r="3128">
      <c r="A3128" s="4" t="inlineStr">
        <is>
          <t>6547.01 Sprinklerkoordination-2023-Rudolf-Eber-Straße-2-Oberkochen-Zeiss-FLA</t>
        </is>
      </c>
      <c r="B3128" s="4" t="inlineStr">
        <is>
          <t>● Beratung: Beplanung Löschwasserhydr. Proj. Norditalien</t>
        </is>
      </c>
      <c r="C3128" s="9" t="inlineStr">
        <is>
          <t>Unbekannt</t>
        </is>
      </c>
      <c r="D3128" s="10" t="inlineStr">
        <is>
          <t>⚠ Manual erforderlich</t>
        </is>
      </c>
      <c r="E3128" s="11" t="inlineStr"/>
      <c r="F3128" s="11" t="n">
        <v>0</v>
      </c>
      <c r="G3128" s="11">
        <f>E3128-F3128</f>
        <v/>
      </c>
      <c r="H3128" s="11" t="n">
        <v/>
      </c>
      <c r="I3128" s="11" t="n">
        <v/>
      </c>
      <c r="J3128" s="11" t="n">
        <v/>
      </c>
      <c r="K3128" s="4" t="inlineStr">
        <is>
          <t>Abrechnungsart wählen; Stundensätze eingeben</t>
        </is>
      </c>
    </row>
    <row r="3129">
      <c r="A3129" s="4" t="inlineStr">
        <is>
          <t>6547.01 Sprinklerkoordination-2023-Rudolf-Eber-Straße-2-Oberkochen-Zeiss-FLA</t>
        </is>
      </c>
      <c r="B3129" s="4" t="inlineStr">
        <is>
          <t>● Beratung: Firestar-Sprinkler</t>
        </is>
      </c>
      <c r="C3129" s="9" t="inlineStr">
        <is>
          <t>Unbekannt</t>
        </is>
      </c>
      <c r="D3129" s="10" t="inlineStr">
        <is>
          <t>⚠ Manual erforderlich</t>
        </is>
      </c>
      <c r="E3129" s="11" t="inlineStr"/>
      <c r="F3129" s="11" t="n">
        <v>0</v>
      </c>
      <c r="G3129" s="11">
        <f>E3129-F3129</f>
        <v/>
      </c>
      <c r="H3129" s="11" t="n">
        <v/>
      </c>
      <c r="I3129" s="11" t="n">
        <v/>
      </c>
      <c r="J3129" s="11" t="n">
        <v/>
      </c>
      <c r="K3129" s="4" t="inlineStr">
        <is>
          <t>Abrechnungsart wählen; Stundensätze eingeben</t>
        </is>
      </c>
    </row>
    <row r="3130">
      <c r="A3130" s="4" t="inlineStr">
        <is>
          <t>6547.01 Sprinklerkoordination-2023-Rudolf-Eber-Straße-2-Oberkochen-Zeiss-FLA</t>
        </is>
      </c>
      <c r="B3130" s="4" t="inlineStr">
        <is>
          <t>● Halle 4 / Dachaufstellung RLT-Einhausung, Anschlußstutzen NAV und Rohrweg zum DD</t>
        </is>
      </c>
      <c r="C3130" s="9" t="inlineStr">
        <is>
          <t>Unbekannt</t>
        </is>
      </c>
      <c r="D3130" s="10" t="inlineStr">
        <is>
          <t>⚠ Manual erforderlich</t>
        </is>
      </c>
      <c r="E3130" s="11" t="inlineStr"/>
      <c r="F3130" s="11" t="n">
        <v>0</v>
      </c>
      <c r="G3130" s="11">
        <f>E3130-F3130</f>
        <v/>
      </c>
      <c r="H3130" s="11" t="n">
        <v/>
      </c>
      <c r="I3130" s="11" t="n">
        <v/>
      </c>
      <c r="J3130" s="11" t="n">
        <v/>
      </c>
      <c r="K3130" s="4" t="inlineStr">
        <is>
          <t>Abrechnungsart wählen; Stundensätze eingeben</t>
        </is>
      </c>
    </row>
    <row r="3131">
      <c r="A3131" s="4" t="inlineStr">
        <is>
          <t>6547.01 Sprinklerkoordination-2023-Rudolf-Eber-Straße-2-Oberkochen-Zeiss-FLA</t>
        </is>
      </c>
      <c r="B3131" s="4" t="inlineStr">
        <is>
          <t>● Konzeptstudie-Löschwasserversorgung</t>
        </is>
      </c>
      <c r="C3131" s="9" t="inlineStr">
        <is>
          <t>Unbekannt</t>
        </is>
      </c>
      <c r="D3131" s="10" t="inlineStr">
        <is>
          <t>⚠ Manual erforderlich</t>
        </is>
      </c>
      <c r="E3131" s="11" t="inlineStr"/>
      <c r="F3131" s="11" t="n">
        <v>0</v>
      </c>
      <c r="G3131" s="11">
        <f>E3131-F3131</f>
        <v/>
      </c>
      <c r="H3131" s="11" t="n">
        <v/>
      </c>
      <c r="I3131" s="11" t="n">
        <v/>
      </c>
      <c r="J3131" s="11" t="n">
        <v/>
      </c>
      <c r="K3131" s="4" t="inlineStr">
        <is>
          <t>Abrechnungsart wählen; Stundensätze eingeben</t>
        </is>
      </c>
    </row>
    <row r="3132">
      <c r="A3132" s="4" t="inlineStr">
        <is>
          <t>6547.01 Sprinklerkoordination-2023-Rudolf-Eber-Straße-2-Oberkochen-Zeiss-FLA</t>
        </is>
      </c>
      <c r="B3132" s="4" t="inlineStr">
        <is>
          <t>● Halle 7.3 Schnittstellenmanagement</t>
        </is>
      </c>
      <c r="C3132" s="9" t="inlineStr">
        <is>
          <t>Unbekannt</t>
        </is>
      </c>
      <c r="D3132" s="10" t="inlineStr">
        <is>
          <t>⚠ Manual erforderlich</t>
        </is>
      </c>
      <c r="E3132" s="11" t="inlineStr"/>
      <c r="F3132" s="11" t="n">
        <v>0</v>
      </c>
      <c r="G3132" s="11">
        <f>E3132-F3132</f>
        <v/>
      </c>
      <c r="H3132" s="11" t="n">
        <v/>
      </c>
      <c r="I3132" s="11" t="n">
        <v/>
      </c>
      <c r="J3132" s="11" t="n">
        <v/>
      </c>
      <c r="K3132" s="4" t="inlineStr">
        <is>
          <t>Abrechnungsart wählen; Stundensätze eingeben</t>
        </is>
      </c>
    </row>
    <row r="3133">
      <c r="A3133" s="4" t="inlineStr">
        <is>
          <t>6547.01 Sprinklerkoordination-2023-Rudolf-Eber-Straße-2-Oberkochen-Zeiss-FLA</t>
        </is>
      </c>
      <c r="B3133" s="4" t="inlineStr">
        <is>
          <t>● Halle 10 Chicago/Boston hydraulische Berechnung</t>
        </is>
      </c>
      <c r="C3133" s="9" t="inlineStr">
        <is>
          <t>Unbekannt</t>
        </is>
      </c>
      <c r="D3133" s="10" t="inlineStr">
        <is>
          <t>⚠ Manual erforderlich</t>
        </is>
      </c>
      <c r="E3133" s="11" t="inlineStr"/>
      <c r="F3133" s="11" t="n">
        <v>0</v>
      </c>
      <c r="G3133" s="11">
        <f>E3133-F3133</f>
        <v/>
      </c>
      <c r="H3133" s="11" t="n">
        <v/>
      </c>
      <c r="I3133" s="11" t="n">
        <v/>
      </c>
      <c r="J3133" s="11" t="n">
        <v/>
      </c>
      <c r="K3133" s="4" t="inlineStr">
        <is>
          <t>Abrechnungsart wählen; Stundensätze eingeben</t>
        </is>
      </c>
    </row>
    <row r="3134">
      <c r="A3134" s="4" t="inlineStr">
        <is>
          <t>6547.01 Sprinklerkoordination-2023-Rudolf-Eber-Straße-2-Oberkochen-Zeiss-FLA</t>
        </is>
      </c>
      <c r="B3134" s="4" t="inlineStr">
        <is>
          <t>● (aN) Projekt-Administration / -Organisation</t>
        </is>
      </c>
      <c r="C3134" s="4" t="inlineStr">
        <is>
          <t>Nachweis</t>
        </is>
      </c>
      <c r="D3134" s="10" t="inlineStr">
        <is>
          <t>⚠ Manual erforderlich</t>
        </is>
      </c>
      <c r="E3134" s="11" t="inlineStr"/>
      <c r="F3134" s="11" t="n">
        <v>0</v>
      </c>
      <c r="G3134" s="11">
        <f>E3134-F3134</f>
        <v/>
      </c>
      <c r="H3134" s="11" t="n">
        <v/>
      </c>
      <c r="I3134" s="11" t="n">
        <v/>
      </c>
      <c r="J3134" s="11" t="n">
        <v/>
      </c>
      <c r="K3134" s="4" t="inlineStr">
        <is>
          <t>Stundensätze eingeben</t>
        </is>
      </c>
    </row>
    <row r="3135">
      <c r="A3135" s="4" t="inlineStr">
        <is>
          <t>6548.01 Sprinklerdokumentation-2023-Rudolf-Eber-Str2-Oberkochen-FLA</t>
        </is>
      </c>
      <c r="B3135" s="4" t="inlineStr">
        <is>
          <t>● (aN) Planungshandbücher, Löschanlagenkonzepte, Checklisten, Bestandserfassung</t>
        </is>
      </c>
      <c r="C3135" s="4" t="inlineStr">
        <is>
          <t>Nachweis</t>
        </is>
      </c>
      <c r="D3135" s="10" t="inlineStr">
        <is>
          <t>⚠ Manual erforderlich</t>
        </is>
      </c>
      <c r="E3135" s="11" t="inlineStr"/>
      <c r="F3135" s="11" t="n">
        <v>0</v>
      </c>
      <c r="G3135" s="11">
        <f>E3135-F3135</f>
        <v/>
      </c>
      <c r="H3135" s="11" t="n">
        <v/>
      </c>
      <c r="I3135" s="11" t="n">
        <v/>
      </c>
      <c r="J3135" s="11" t="n">
        <v/>
      </c>
      <c r="K3135" s="4" t="inlineStr">
        <is>
          <t>Stundensätze eingeben</t>
        </is>
      </c>
    </row>
    <row r="3136">
      <c r="A3136" s="4" t="inlineStr">
        <is>
          <t>6548.01 Sprinklerdokumentation-2023-Rudolf-Eber-Str2-Oberkochen-FLA</t>
        </is>
      </c>
      <c r="B3136" s="4" t="inlineStr">
        <is>
          <t>● (aN) Dokumentation, Bestandserfassungen</t>
        </is>
      </c>
      <c r="C3136" s="4" t="inlineStr">
        <is>
          <t>Nachweis</t>
        </is>
      </c>
      <c r="D3136" s="10" t="inlineStr">
        <is>
          <t>⚠ Manual erforderlich</t>
        </is>
      </c>
      <c r="E3136" s="11" t="inlineStr"/>
      <c r="F3136" s="11" t="n">
        <v>0</v>
      </c>
      <c r="G3136" s="11">
        <f>E3136-F3136</f>
        <v/>
      </c>
      <c r="H3136" s="11" t="n">
        <v/>
      </c>
      <c r="I3136" s="11" t="n">
        <v/>
      </c>
      <c r="J3136" s="11" t="n">
        <v/>
      </c>
      <c r="K3136" s="4" t="inlineStr">
        <is>
          <t>Stundensätze eingeben</t>
        </is>
      </c>
    </row>
    <row r="3137">
      <c r="A3137" s="4" t="inlineStr">
        <is>
          <t>6555.01 zusätzl. BTB-Ferniestraße-5-Linden-Blacky's-Playhouse</t>
        </is>
      </c>
      <c r="B3137" s="4" t="inlineStr">
        <is>
          <t>● BTB (a.N.)</t>
        </is>
      </c>
      <c r="C3137" s="4" t="inlineStr">
        <is>
          <t>Nachweis</t>
        </is>
      </c>
      <c r="D3137" s="10" t="inlineStr">
        <is>
          <t>⚠ Manual erforderlich</t>
        </is>
      </c>
      <c r="E3137" s="11" t="inlineStr"/>
      <c r="F3137" s="11" t="n">
        <v>0</v>
      </c>
      <c r="G3137" s="11">
        <f>E3137-F3137</f>
        <v/>
      </c>
      <c r="H3137" s="11" t="n">
        <v/>
      </c>
      <c r="I3137" s="11" t="n">
        <v/>
      </c>
      <c r="J3137" s="11" t="n">
        <v/>
      </c>
      <c r="K3137" s="4" t="inlineStr">
        <is>
          <t>Stundensätze eingeben</t>
        </is>
      </c>
    </row>
    <row r="3138">
      <c r="A3138" s="4" t="inlineStr">
        <is>
          <t>6558.04 Breuninger-BTB-Mängel-SendlingerStr3-München</t>
        </is>
      </c>
      <c r="B3138" s="4" t="inlineStr">
        <is>
          <t>● (aN) Pos. 1 Brandschutztechnische Beratungsleistung</t>
        </is>
      </c>
      <c r="C3138" s="4" t="inlineStr">
        <is>
          <t>Nachweis</t>
        </is>
      </c>
      <c r="D3138" s="10" t="inlineStr">
        <is>
          <t>⚠ Manual erforderlich</t>
        </is>
      </c>
      <c r="E3138" s="11" t="inlineStr"/>
      <c r="F3138" s="11" t="n">
        <v>0</v>
      </c>
      <c r="G3138" s="11">
        <f>E3138-F3138</f>
        <v/>
      </c>
      <c r="H3138" s="11" t="n">
        <v/>
      </c>
      <c r="I3138" s="11" t="n">
        <v/>
      </c>
      <c r="J3138" s="11" t="n">
        <v/>
      </c>
      <c r="K3138" s="4" t="inlineStr">
        <is>
          <t>Stundensätze eingeben</t>
        </is>
      </c>
    </row>
    <row r="3139">
      <c r="A3139" s="4" t="inlineStr">
        <is>
          <t>6559.01 Reisinger-KOF-EDAG-EMV-Halle-Fulda</t>
        </is>
      </c>
      <c r="B3139" s="4" t="inlineStr">
        <is>
          <t>● (p) Pos. 1 Baubegleitung und Erstellung einer Konformitätsbescheinigung / Schlussabnahmebescheinigung</t>
        </is>
      </c>
      <c r="C3139" s="4" t="inlineStr">
        <is>
          <t>Pauschale</t>
        </is>
      </c>
      <c r="D3139" s="10" t="inlineStr">
        <is>
          <t>⚠ Manual erforderlich</t>
        </is>
      </c>
      <c r="E3139" s="11" t="inlineStr"/>
      <c r="F3139" s="11" t="n">
        <v>0</v>
      </c>
      <c r="G3139" s="11">
        <f>E3139-F3139</f>
        <v/>
      </c>
      <c r="H3139" s="11" t="n">
        <v>0</v>
      </c>
      <c r="I3139" s="11" t="n">
        <v>0</v>
      </c>
      <c r="J3139" s="11" t="n">
        <v>0</v>
      </c>
      <c r="K3139" s="4" t="inlineStr">
        <is>
          <t>Stundensätze eingeben</t>
        </is>
      </c>
    </row>
    <row r="3140">
      <c r="A3140" s="4" t="inlineStr">
        <is>
          <t>6563.04 Süwag-BSK-Urseler-Straße-44-Bad-Homburg</t>
        </is>
      </c>
      <c r="B3140" s="4" t="inlineStr">
        <is>
          <t>● (p) Pos. 1 Grundlagenermittlung/Objektbegehung</t>
        </is>
      </c>
      <c r="C3140" s="4" t="inlineStr">
        <is>
          <t>Pauschale</t>
        </is>
      </c>
      <c r="D3140" s="10" t="inlineStr">
        <is>
          <t>⚠ Manual erforderlich</t>
        </is>
      </c>
      <c r="E3140" s="11" t="inlineStr"/>
      <c r="F3140" s="11" t="n">
        <v>0</v>
      </c>
      <c r="G3140" s="11">
        <f>E3140-F3140</f>
        <v/>
      </c>
      <c r="H3140" s="11" t="n">
        <v>0</v>
      </c>
      <c r="I3140" s="11" t="n">
        <v>0</v>
      </c>
      <c r="J3140" s="11" t="n">
        <v>0</v>
      </c>
      <c r="K3140" s="4" t="inlineStr">
        <is>
          <t>Stundensätze eingeben</t>
        </is>
      </c>
    </row>
    <row r="3141">
      <c r="A3141" s="4" t="inlineStr">
        <is>
          <t>6563.04 Süwag-BSK-Urseler-Straße-44-Bad-Homburg</t>
        </is>
      </c>
      <c r="B3141" s="4" t="inlineStr">
        <is>
          <t>● (aN) Pos. 2 BSK</t>
        </is>
      </c>
      <c r="C3141" s="4" t="inlineStr">
        <is>
          <t>Nachweis</t>
        </is>
      </c>
      <c r="D3141" s="10" t="inlineStr">
        <is>
          <t>⚠ Manual erforderlich</t>
        </is>
      </c>
      <c r="E3141" s="11" t="inlineStr"/>
      <c r="F3141" s="11" t="n">
        <v>0</v>
      </c>
      <c r="G3141" s="11">
        <f>E3141-F3141</f>
        <v/>
      </c>
      <c r="H3141" s="11" t="n">
        <v/>
      </c>
      <c r="I3141" s="11" t="n">
        <v/>
      </c>
      <c r="J3141" s="11" t="n">
        <v/>
      </c>
      <c r="K3141" s="4" t="inlineStr">
        <is>
          <t>Stundensätze eingeben</t>
        </is>
      </c>
    </row>
    <row r="3142">
      <c r="A3142" s="4" t="inlineStr">
        <is>
          <t>6563.04 Süwag-BSK-Urseler-Straße-44-Bad-Homburg</t>
        </is>
      </c>
      <c r="B3142" s="4" t="inlineStr">
        <is>
          <t>● (aN) Pos. 3 BSK-Pläne</t>
        </is>
      </c>
      <c r="C3142" s="4" t="inlineStr">
        <is>
          <t>Nachweis</t>
        </is>
      </c>
      <c r="D3142" s="10" t="inlineStr">
        <is>
          <t>⚠ Manual erforderlich</t>
        </is>
      </c>
      <c r="E3142" s="11" t="inlineStr"/>
      <c r="F3142" s="11" t="n">
        <v>0</v>
      </c>
      <c r="G3142" s="11">
        <f>E3142-F3142</f>
        <v/>
      </c>
      <c r="H3142" s="11" t="n">
        <v/>
      </c>
      <c r="I3142" s="11" t="n">
        <v/>
      </c>
      <c r="J3142" s="11" t="n">
        <v/>
      </c>
      <c r="K3142" s="4" t="inlineStr">
        <is>
          <t>Stundensätze eingeben</t>
        </is>
      </c>
    </row>
    <row r="3143">
      <c r="A3143" s="4" t="inlineStr">
        <is>
          <t>6563.04 Süwag-BSK-Urseler-Straße-44-Bad-Homburg</t>
        </is>
      </c>
      <c r="B3143" s="4" t="inlineStr">
        <is>
          <t>● (p) Pos. 4 BST</t>
        </is>
      </c>
      <c r="C3143" s="4" t="inlineStr">
        <is>
          <t>Pauschale</t>
        </is>
      </c>
      <c r="D3143" s="10" t="inlineStr">
        <is>
          <t>⚠ Manual erforderlich</t>
        </is>
      </c>
      <c r="E3143" s="11" t="inlineStr"/>
      <c r="F3143" s="11" t="n">
        <v>0</v>
      </c>
      <c r="G3143" s="11">
        <f>E3143-F3143</f>
        <v/>
      </c>
      <c r="H3143" s="11" t="n">
        <v>0</v>
      </c>
      <c r="I3143" s="11" t="n">
        <v>0</v>
      </c>
      <c r="J3143" s="11" t="n">
        <v>0</v>
      </c>
      <c r="K3143" s="4" t="inlineStr">
        <is>
          <t>Stundensätze eingeben</t>
        </is>
      </c>
    </row>
    <row r="3144">
      <c r="A3144" s="4" t="inlineStr">
        <is>
          <t>6563.05 Süwag-FRP-Urselerstr-44-Bad-Homburg</t>
        </is>
      </c>
      <c r="B3144" s="4" t="inlineStr">
        <is>
          <t>● (p) Pos. 1 FRP Geb. A, 14 Standorte</t>
        </is>
      </c>
      <c r="C3144" s="4" t="inlineStr">
        <is>
          <t>Pauschale</t>
        </is>
      </c>
      <c r="D3144" s="10" t="inlineStr">
        <is>
          <t>⚠ Manual erforderlich</t>
        </is>
      </c>
      <c r="E3144" s="11" t="inlineStr"/>
      <c r="F3144" s="11" t="n">
        <v>0</v>
      </c>
      <c r="G3144" s="11">
        <f>E3144-F3144</f>
        <v/>
      </c>
      <c r="H3144" s="11" t="n">
        <v>0</v>
      </c>
      <c r="I3144" s="11" t="n">
        <v>0</v>
      </c>
      <c r="J3144" s="11" t="n">
        <v>0</v>
      </c>
      <c r="K3144" s="4" t="inlineStr">
        <is>
          <t>Stundensätze eingeben</t>
        </is>
      </c>
    </row>
    <row r="3145">
      <c r="A3145" s="4" t="inlineStr">
        <is>
          <t>6563.05 Süwag-FRP-Urselerstr-44-Bad-Homburg</t>
        </is>
      </c>
      <c r="B3145" s="4" t="inlineStr">
        <is>
          <t>● (p) Pos. 2 FRP-Geb. B, 4 Standorte</t>
        </is>
      </c>
      <c r="C3145" s="4" t="inlineStr">
        <is>
          <t>Pauschale</t>
        </is>
      </c>
      <c r="D3145" s="10" t="inlineStr">
        <is>
          <t>⚠ Manual erforderlich</t>
        </is>
      </c>
      <c r="E3145" s="11" t="inlineStr"/>
      <c r="F3145" s="11" t="n">
        <v>0</v>
      </c>
      <c r="G3145" s="11">
        <f>E3145-F3145</f>
        <v/>
      </c>
      <c r="H3145" s="11" t="n">
        <v>0</v>
      </c>
      <c r="I3145" s="11" t="n">
        <v>0</v>
      </c>
      <c r="J3145" s="11" t="n">
        <v>0</v>
      </c>
      <c r="K3145" s="4" t="inlineStr">
        <is>
          <t>Stundensätze eingeben</t>
        </is>
      </c>
    </row>
    <row r="3146">
      <c r="A3146" s="4" t="inlineStr">
        <is>
          <t>6563.05 Süwag-FRP-Urselerstr-44-Bad-Homburg</t>
        </is>
      </c>
      <c r="B3146" s="4" t="inlineStr">
        <is>
          <t>● ADM</t>
        </is>
      </c>
      <c r="C3146" s="9" t="inlineStr">
        <is>
          <t>Unbekannt</t>
        </is>
      </c>
      <c r="D3146" s="10" t="inlineStr">
        <is>
          <t>⚠ Manual erforderlich</t>
        </is>
      </c>
      <c r="E3146" s="11" t="inlineStr"/>
      <c r="F3146" s="11" t="n">
        <v>0</v>
      </c>
      <c r="G3146" s="11">
        <f>E3146-F3146</f>
        <v/>
      </c>
      <c r="H3146" s="11" t="n">
        <v/>
      </c>
      <c r="I3146" s="11" t="n">
        <v/>
      </c>
      <c r="J3146" s="11" t="n">
        <v/>
      </c>
      <c r="K3146" s="4" t="inlineStr">
        <is>
          <t>Abrechnungsart wählen; Stundensätze eingeben</t>
        </is>
      </c>
    </row>
    <row r="3147">
      <c r="A3147" s="4" t="inlineStr">
        <is>
          <t>6564.01 ROB-MCR-Weilerbach-Züblin-TP1</t>
        </is>
      </c>
      <c r="B3147" s="4" t="inlineStr">
        <is>
          <t>● LP5 (pauschal)</t>
        </is>
      </c>
      <c r="C3147" s="9" t="inlineStr">
        <is>
          <t>Unbekannt</t>
        </is>
      </c>
      <c r="D3147" s="10" t="inlineStr">
        <is>
          <t>⚠ Manual erforderlich</t>
        </is>
      </c>
      <c r="E3147" s="11" t="inlineStr"/>
      <c r="F3147" s="11" t="n">
        <v>0</v>
      </c>
      <c r="G3147" s="11">
        <f>E3147-F3147</f>
        <v/>
      </c>
      <c r="H3147" s="11" t="n">
        <v/>
      </c>
      <c r="I3147" s="11" t="n">
        <v/>
      </c>
      <c r="J3147" s="11" t="n">
        <v/>
      </c>
      <c r="K3147" s="4" t="inlineStr">
        <is>
          <t>Abrechnungsart wählen; Stundensätze eingeben</t>
        </is>
      </c>
    </row>
    <row r="3148">
      <c r="A3148" s="4" t="inlineStr">
        <is>
          <t>6564.01 ROB-MCR-Weilerbach-Züblin-TP1</t>
        </is>
      </c>
      <c r="B3148" s="4" t="inlineStr">
        <is>
          <t>● (p) LP 5 Rauchgassimulation Atrium BT -KA</t>
        </is>
      </c>
      <c r="C3148" s="4" t="inlineStr">
        <is>
          <t>Pauschale</t>
        </is>
      </c>
      <c r="D3148" s="10" t="inlineStr">
        <is>
          <t>⚠ Manual erforderlich</t>
        </is>
      </c>
      <c r="E3148" s="11" t="inlineStr"/>
      <c r="F3148" s="11" t="n">
        <v>0</v>
      </c>
      <c r="G3148" s="11">
        <f>E3148-F3148</f>
        <v/>
      </c>
      <c r="H3148" s="11" t="n">
        <v>0</v>
      </c>
      <c r="I3148" s="11" t="n">
        <v>0</v>
      </c>
      <c r="J3148" s="11" t="n">
        <v>0</v>
      </c>
      <c r="K3148" s="4" t="inlineStr">
        <is>
          <t>Stundensätze eingeben</t>
        </is>
      </c>
    </row>
    <row r="3149">
      <c r="A3149" s="4" t="inlineStr">
        <is>
          <t>6564.01 ROB-MCR-Weilerbach-Züblin-TP1</t>
        </is>
      </c>
      <c r="B3149" s="4" t="inlineStr">
        <is>
          <t>● LP8 (pauschal)</t>
        </is>
      </c>
      <c r="C3149" s="9" t="inlineStr">
        <is>
          <t>Unbekannt</t>
        </is>
      </c>
      <c r="D3149" s="10" t="inlineStr">
        <is>
          <t>⚠ Manual erforderlich</t>
        </is>
      </c>
      <c r="E3149" s="11" t="inlineStr"/>
      <c r="F3149" s="11" t="n">
        <v>0</v>
      </c>
      <c r="G3149" s="11">
        <f>E3149-F3149</f>
        <v/>
      </c>
      <c r="H3149" s="11" t="n">
        <v/>
      </c>
      <c r="I3149" s="11" t="n">
        <v/>
      </c>
      <c r="J3149" s="11" t="n">
        <v/>
      </c>
      <c r="K3149" s="4" t="inlineStr">
        <is>
          <t>Abrechnungsart wählen; Stundensätze eingeben</t>
        </is>
      </c>
    </row>
    <row r="3150">
      <c r="A3150" s="4" t="inlineStr">
        <is>
          <t>6564.02 ROB-MCR-Weilerbach-Züblin-TP2</t>
        </is>
      </c>
      <c r="B3150" s="4" t="inlineStr">
        <is>
          <t>● LP5 (pauschal)</t>
        </is>
      </c>
      <c r="C3150" s="9" t="inlineStr">
        <is>
          <t>Unbekannt</t>
        </is>
      </c>
      <c r="D3150" s="10" t="inlineStr">
        <is>
          <t>⚠ Manual erforderlich</t>
        </is>
      </c>
      <c r="E3150" s="11" t="inlineStr"/>
      <c r="F3150" s="11" t="n">
        <v>0</v>
      </c>
      <c r="G3150" s="11">
        <f>E3150-F3150</f>
        <v/>
      </c>
      <c r="H3150" s="11" t="n">
        <v/>
      </c>
      <c r="I3150" s="11" t="n">
        <v/>
      </c>
      <c r="J3150" s="11" t="n">
        <v/>
      </c>
      <c r="K3150" s="4" t="inlineStr">
        <is>
          <t>Abrechnungsart wählen; Stundensätze eingeben</t>
        </is>
      </c>
    </row>
    <row r="3151">
      <c r="A3151" s="4" t="inlineStr">
        <is>
          <t>6564.02 ROB-MCR-Weilerbach-Züblin-TP2</t>
        </is>
      </c>
      <c r="B3151" s="4" t="inlineStr">
        <is>
          <t>● LP8 (pauschal)</t>
        </is>
      </c>
      <c r="C3151" s="9" t="inlineStr">
        <is>
          <t>Unbekannt</t>
        </is>
      </c>
      <c r="D3151" s="10" t="inlineStr">
        <is>
          <t>⚠ Manual erforderlich</t>
        </is>
      </c>
      <c r="E3151" s="11" t="inlineStr"/>
      <c r="F3151" s="11" t="n">
        <v>0</v>
      </c>
      <c r="G3151" s="11">
        <f>E3151-F3151</f>
        <v/>
      </c>
      <c r="H3151" s="11" t="n">
        <v/>
      </c>
      <c r="I3151" s="11" t="n">
        <v/>
      </c>
      <c r="J3151" s="11" t="n">
        <v/>
      </c>
      <c r="K3151" s="4" t="inlineStr">
        <is>
          <t>Abrechnungsart wählen; Stundensätze eingeben</t>
        </is>
      </c>
    </row>
    <row r="3152">
      <c r="A3152" s="4" t="inlineStr">
        <is>
          <t>6564.03 ROB-MCR-Weilerbach-Züblin-TP3</t>
        </is>
      </c>
      <c r="B3152" s="4" t="inlineStr">
        <is>
          <t>● LP5 (pauschal)</t>
        </is>
      </c>
      <c r="C3152" s="9" t="inlineStr">
        <is>
          <t>Unbekannt</t>
        </is>
      </c>
      <c r="D3152" s="10" t="inlineStr">
        <is>
          <t>⚠ Manual erforderlich</t>
        </is>
      </c>
      <c r="E3152" s="11" t="inlineStr"/>
      <c r="F3152" s="11" t="n">
        <v>0</v>
      </c>
      <c r="G3152" s="11">
        <f>E3152-F3152</f>
        <v/>
      </c>
      <c r="H3152" s="11" t="n">
        <v/>
      </c>
      <c r="I3152" s="11" t="n">
        <v/>
      </c>
      <c r="J3152" s="11" t="n">
        <v/>
      </c>
      <c r="K3152" s="4" t="inlineStr">
        <is>
          <t>Abrechnungsart wählen; Stundensätze eingeben</t>
        </is>
      </c>
    </row>
    <row r="3153">
      <c r="A3153" s="4" t="inlineStr">
        <is>
          <t>6564.03 ROB-MCR-Weilerbach-Züblin-TP3</t>
        </is>
      </c>
      <c r="B3153" s="4" t="inlineStr">
        <is>
          <t>● LP8 (pauschal)</t>
        </is>
      </c>
      <c r="C3153" s="9" t="inlineStr">
        <is>
          <t>Unbekannt</t>
        </is>
      </c>
      <c r="D3153" s="10" t="inlineStr">
        <is>
          <t>⚠ Manual erforderlich</t>
        </is>
      </c>
      <c r="E3153" s="11" t="inlineStr"/>
      <c r="F3153" s="11" t="n">
        <v>0</v>
      </c>
      <c r="G3153" s="11">
        <f>E3153-F3153</f>
        <v/>
      </c>
      <c r="H3153" s="11" t="n">
        <v/>
      </c>
      <c r="I3153" s="11" t="n">
        <v/>
      </c>
      <c r="J3153" s="11" t="n">
        <v/>
      </c>
      <c r="K3153" s="4" t="inlineStr">
        <is>
          <t>Abrechnungsart wählen; Stundensätze eingeben</t>
        </is>
      </c>
    </row>
    <row r="3154">
      <c r="A3154" s="4" t="inlineStr">
        <is>
          <t>6564.04 ROB-MCR-Weilerbach-Beratung-HDR</t>
        </is>
      </c>
      <c r="B3154" s="4" t="inlineStr">
        <is>
          <t>● (p) LP5</t>
        </is>
      </c>
      <c r="C3154" s="4" t="inlineStr">
        <is>
          <t>Pauschale</t>
        </is>
      </c>
      <c r="D3154" s="10" t="inlineStr">
        <is>
          <t>⚠ Manual erforderlich</t>
        </is>
      </c>
      <c r="E3154" s="11" t="inlineStr"/>
      <c r="F3154" s="11" t="n">
        <v>0</v>
      </c>
      <c r="G3154" s="11">
        <f>E3154-F3154</f>
        <v/>
      </c>
      <c r="H3154" s="11" t="n">
        <v>0</v>
      </c>
      <c r="I3154" s="11" t="n">
        <v>0</v>
      </c>
      <c r="J3154" s="11" t="n">
        <v>0</v>
      </c>
      <c r="K3154" s="4" t="inlineStr">
        <is>
          <t>Stundensätze eingeben</t>
        </is>
      </c>
    </row>
    <row r="3155">
      <c r="A3155" s="4" t="inlineStr">
        <is>
          <t>6565.01 BTB-Frölingstraße-15-31-Bad-Homburg</t>
        </is>
      </c>
      <c r="B3155" s="4" t="inlineStr">
        <is>
          <t>● Pos. 1 - Brandschutztechnische Beratung (a.N.)</t>
        </is>
      </c>
      <c r="C3155" s="4" t="inlineStr">
        <is>
          <t>Nachweis</t>
        </is>
      </c>
      <c r="D3155" s="10" t="inlineStr">
        <is>
          <t>⚠ Manual erforderlich</t>
        </is>
      </c>
      <c r="E3155" s="11" t="inlineStr"/>
      <c r="F3155" s="11" t="n">
        <v>0</v>
      </c>
      <c r="G3155" s="11">
        <f>E3155-F3155</f>
        <v/>
      </c>
      <c r="H3155" s="11" t="n">
        <v/>
      </c>
      <c r="I3155" s="11" t="n">
        <v/>
      </c>
      <c r="J3155" s="11" t="n">
        <v/>
      </c>
      <c r="K3155" s="4" t="inlineStr">
        <is>
          <t>Stundensätze eingeben</t>
        </is>
      </c>
    </row>
    <row r="3156">
      <c r="A3156" s="4" t="inlineStr">
        <is>
          <t>6565.01 BTB-Frölingstraße-15-31-Bad-Homburg</t>
        </is>
      </c>
      <c r="B3156" s="4" t="inlineStr">
        <is>
          <t>● Pos. 2 - Optional: Zusätzliche Beratungsleistungen (a.N.)</t>
        </is>
      </c>
      <c r="C3156" s="4" t="inlineStr">
        <is>
          <t>Nachweis</t>
        </is>
      </c>
      <c r="D3156" s="10" t="inlineStr">
        <is>
          <t>⚠ Manual erforderlich</t>
        </is>
      </c>
      <c r="E3156" s="11" t="inlineStr"/>
      <c r="F3156" s="11" t="n">
        <v>0</v>
      </c>
      <c r="G3156" s="11">
        <f>E3156-F3156</f>
        <v/>
      </c>
      <c r="H3156" s="11" t="n">
        <v/>
      </c>
      <c r="I3156" s="11" t="n">
        <v/>
      </c>
      <c r="J3156" s="11" t="n">
        <v/>
      </c>
      <c r="K3156" s="4" t="inlineStr">
        <is>
          <t>Stundensätze eingeben</t>
        </is>
      </c>
    </row>
    <row r="3157">
      <c r="A3157" s="4" t="inlineStr">
        <is>
          <t>6566 Dornbachstraße-29-33-Oberursel</t>
        </is>
      </c>
      <c r="B3157" s="4" t="inlineStr">
        <is>
          <t>● BSN (pauschal)</t>
        </is>
      </c>
      <c r="C3157" s="9" t="inlineStr">
        <is>
          <t>Unbekannt</t>
        </is>
      </c>
      <c r="D3157" s="10" t="inlineStr">
        <is>
          <t>⚠ Manual erforderlich</t>
        </is>
      </c>
      <c r="E3157" s="11" t="inlineStr"/>
      <c r="F3157" s="11" t="n">
        <v>0</v>
      </c>
      <c r="G3157" s="11">
        <f>E3157-F3157</f>
        <v/>
      </c>
      <c r="H3157" s="11" t="n">
        <v/>
      </c>
      <c r="I3157" s="11" t="n">
        <v/>
      </c>
      <c r="J3157" s="11" t="n">
        <v/>
      </c>
      <c r="K3157" s="4" t="inlineStr">
        <is>
          <t>Abrechnungsart wählen; Stundensätze eingeben</t>
        </is>
      </c>
    </row>
    <row r="3158">
      <c r="A3158" s="4" t="inlineStr">
        <is>
          <t>6569 Savignyhaus-Philipps-Universität-Marburg</t>
        </is>
      </c>
      <c r="B3158" s="4" t="inlineStr">
        <is>
          <t>● LP1 GL (pauschal)</t>
        </is>
      </c>
      <c r="C3158" s="9" t="inlineStr">
        <is>
          <t>Unbekannt</t>
        </is>
      </c>
      <c r="D3158" s="10" t="inlineStr">
        <is>
          <t>⚠ Manual erforderlich</t>
        </is>
      </c>
      <c r="E3158" s="11" t="inlineStr"/>
      <c r="F3158" s="11" t="n">
        <v>0</v>
      </c>
      <c r="G3158" s="11">
        <f>E3158-F3158</f>
        <v/>
      </c>
      <c r="H3158" s="11" t="n">
        <v/>
      </c>
      <c r="I3158" s="11" t="n">
        <v/>
      </c>
      <c r="J3158" s="11" t="n">
        <v/>
      </c>
      <c r="K3158" s="4" t="inlineStr">
        <is>
          <t>Abrechnungsart wählen; Stundensätze eingeben</t>
        </is>
      </c>
    </row>
    <row r="3159">
      <c r="A3159" s="4" t="inlineStr">
        <is>
          <t>6569 Savignyhaus-Philipps-Universität-Marburg</t>
        </is>
      </c>
      <c r="B3159" s="4" t="inlineStr">
        <is>
          <t>● LP2 GL (pauschal)</t>
        </is>
      </c>
      <c r="C3159" s="9" t="inlineStr">
        <is>
          <t>Unbekannt</t>
        </is>
      </c>
      <c r="D3159" s="10" t="inlineStr">
        <is>
          <t>⚠ Manual erforderlich</t>
        </is>
      </c>
      <c r="E3159" s="11" t="inlineStr"/>
      <c r="F3159" s="11" t="n">
        <v>0</v>
      </c>
      <c r="G3159" s="11">
        <f>E3159-F3159</f>
        <v/>
      </c>
      <c r="H3159" s="11" t="n">
        <v/>
      </c>
      <c r="I3159" s="11" t="n">
        <v/>
      </c>
      <c r="J3159" s="11" t="n">
        <v/>
      </c>
      <c r="K3159" s="4" t="inlineStr">
        <is>
          <t>Abrechnungsart wählen; Stundensätze eingeben</t>
        </is>
      </c>
    </row>
    <row r="3160">
      <c r="A3160" s="4" t="inlineStr">
        <is>
          <t>6569 Savignyhaus-Philipps-Universität-Marburg</t>
        </is>
      </c>
      <c r="B3160" s="4" t="inlineStr">
        <is>
          <t>● (p) LP 3 GL</t>
        </is>
      </c>
      <c r="C3160" s="4" t="inlineStr">
        <is>
          <t>Pauschale</t>
        </is>
      </c>
      <c r="D3160" s="10" t="inlineStr">
        <is>
          <t>⚠ Manual erforderlich</t>
        </is>
      </c>
      <c r="E3160" s="11" t="inlineStr"/>
      <c r="F3160" s="11" t="n">
        <v>0</v>
      </c>
      <c r="G3160" s="11">
        <f>E3160-F3160</f>
        <v/>
      </c>
      <c r="H3160" s="11" t="n">
        <v>0</v>
      </c>
      <c r="I3160" s="11" t="n">
        <v>0</v>
      </c>
      <c r="J3160" s="11" t="n">
        <v>0</v>
      </c>
      <c r="K3160" s="4" t="inlineStr">
        <is>
          <t>Stundensätze eingeben</t>
        </is>
      </c>
    </row>
    <row r="3161">
      <c r="A3161" s="4" t="inlineStr">
        <is>
          <t>6569 Savignyhaus-Philipps-Universität-Marburg</t>
        </is>
      </c>
      <c r="B3161" s="4" t="inlineStr">
        <is>
          <t>● (a.N.) zusätzliche Stunden</t>
        </is>
      </c>
      <c r="C3161" s="4" t="inlineStr">
        <is>
          <t>Nachweis</t>
        </is>
      </c>
      <c r="D3161" s="10" t="inlineStr">
        <is>
          <t>⚠ Manual erforderlich</t>
        </is>
      </c>
      <c r="E3161" s="11" t="inlineStr"/>
      <c r="F3161" s="11" t="n">
        <v>0</v>
      </c>
      <c r="G3161" s="11">
        <f>E3161-F3161</f>
        <v/>
      </c>
      <c r="H3161" s="11" t="n">
        <v/>
      </c>
      <c r="I3161" s="11" t="n">
        <v/>
      </c>
      <c r="J3161" s="11" t="n">
        <v/>
      </c>
      <c r="K3161" s="4" t="inlineStr">
        <is>
          <t>Stundensätze eingeben</t>
        </is>
      </c>
    </row>
    <row r="3162">
      <c r="A3162" s="4" t="inlineStr">
        <is>
          <t>6570.03  BTB-Bahnstraße-5a-c-7a-b-Liederbach-offener-Gang</t>
        </is>
      </c>
      <c r="B3162" s="4" t="inlineStr">
        <is>
          <t>● (a.N.) Pos.1 BTB Bewertung des offenen Ganges i.Objekt</t>
        </is>
      </c>
      <c r="C3162" s="4" t="inlineStr">
        <is>
          <t>Nachweis</t>
        </is>
      </c>
      <c r="D3162" s="10" t="inlineStr">
        <is>
          <t>⚠ Manual erforderlich</t>
        </is>
      </c>
      <c r="E3162" s="11" t="inlineStr"/>
      <c r="F3162" s="11" t="n">
        <v>0</v>
      </c>
      <c r="G3162" s="11">
        <f>E3162-F3162</f>
        <v/>
      </c>
      <c r="H3162" s="11" t="n">
        <v/>
      </c>
      <c r="I3162" s="11" t="n">
        <v/>
      </c>
      <c r="J3162" s="11" t="n">
        <v/>
      </c>
      <c r="K3162" s="4" t="inlineStr">
        <is>
          <t>Stundensätze eingeben</t>
        </is>
      </c>
    </row>
    <row r="3163">
      <c r="A3163" s="4" t="inlineStr">
        <is>
          <t>6571 BSB-2022-Klosterstraße-15-Stadtgalerie-Koenigstein</t>
        </is>
      </c>
      <c r="B3163" s="4" t="inlineStr">
        <is>
          <t>● (a.N.) BSB 03/2024-02/2025</t>
        </is>
      </c>
      <c r="C3163" s="4" t="inlineStr">
        <is>
          <t>Nachweis</t>
        </is>
      </c>
      <c r="D3163" s="10" t="inlineStr">
        <is>
          <t>⚠ Manual erforderlich</t>
        </is>
      </c>
      <c r="E3163" s="11" t="inlineStr"/>
      <c r="F3163" s="11" t="n">
        <v>0</v>
      </c>
      <c r="G3163" s="11">
        <f>E3163-F3163</f>
        <v/>
      </c>
      <c r="H3163" s="11" t="n">
        <v/>
      </c>
      <c r="I3163" s="11" t="n">
        <v/>
      </c>
      <c r="J3163" s="11" t="n">
        <v/>
      </c>
      <c r="K3163" s="4" t="inlineStr">
        <is>
          <t>Stundensätze eingeben</t>
        </is>
      </c>
    </row>
    <row r="3164">
      <c r="A3164" s="4" t="inlineStr">
        <is>
          <t>6571 BSB-2022-Klosterstraße-15-Stadtgalerie-Koenigstein</t>
        </is>
      </c>
      <c r="B3164" s="4" t="inlineStr">
        <is>
          <t>● (a.N.) BSB 03/2023-02/2024</t>
        </is>
      </c>
      <c r="C3164" s="4" t="inlineStr">
        <is>
          <t>Nachweis</t>
        </is>
      </c>
      <c r="D3164" s="10" t="inlineStr">
        <is>
          <t>⚠ Manual erforderlich</t>
        </is>
      </c>
      <c r="E3164" s="11" t="inlineStr"/>
      <c r="F3164" s="11" t="n">
        <v>0</v>
      </c>
      <c r="G3164" s="11">
        <f>E3164-F3164</f>
        <v/>
      </c>
      <c r="H3164" s="11" t="n">
        <v/>
      </c>
      <c r="I3164" s="11" t="n">
        <v/>
      </c>
      <c r="J3164" s="11" t="n">
        <v/>
      </c>
      <c r="K3164" s="4" t="inlineStr">
        <is>
          <t>Stundensätze eingeben</t>
        </is>
      </c>
    </row>
    <row r="3165">
      <c r="A3165" s="4" t="inlineStr">
        <is>
          <t>6571 BSB-2022-Klosterstraße-15-Stadtgalerie-Koenigstein</t>
        </is>
      </c>
      <c r="B3165" s="4" t="inlineStr">
        <is>
          <t>● (a.N.) BSB 03/2022-02/2023</t>
        </is>
      </c>
      <c r="C3165" s="4" t="inlineStr">
        <is>
          <t>Nachweis</t>
        </is>
      </c>
      <c r="D3165" s="10" t="inlineStr">
        <is>
          <t>⚠ Manual erforderlich</t>
        </is>
      </c>
      <c r="E3165" s="11" t="inlineStr"/>
      <c r="F3165" s="11" t="n">
        <v>0</v>
      </c>
      <c r="G3165" s="11">
        <f>E3165-F3165</f>
        <v/>
      </c>
      <c r="H3165" s="11" t="n">
        <v/>
      </c>
      <c r="I3165" s="11" t="n">
        <v/>
      </c>
      <c r="J3165" s="11" t="n">
        <v/>
      </c>
      <c r="K3165" s="4" t="inlineStr">
        <is>
          <t>Stundensätze eingeben</t>
        </is>
      </c>
    </row>
    <row r="3166">
      <c r="A3166" s="4" t="inlineStr">
        <is>
          <t>6571.02 BSB-2025-03-2026-02-Klosterstraße-15-Stadtgalerie-Koenigstein</t>
        </is>
      </c>
      <c r="B3166" s="4" t="inlineStr">
        <is>
          <t>● (a.N.) BSB 03/2025-02/2026</t>
        </is>
      </c>
      <c r="C3166" s="4" t="inlineStr">
        <is>
          <t>Nachweis</t>
        </is>
      </c>
      <c r="D3166" s="10" t="inlineStr">
        <is>
          <t>⚠ Manual erforderlich</t>
        </is>
      </c>
      <c r="E3166" s="11" t="inlineStr"/>
      <c r="F3166" s="11" t="n">
        <v>0</v>
      </c>
      <c r="G3166" s="11">
        <f>E3166-F3166</f>
        <v/>
      </c>
      <c r="H3166" s="11" t="n">
        <v/>
      </c>
      <c r="I3166" s="11" t="n">
        <v/>
      </c>
      <c r="J3166" s="11" t="n">
        <v/>
      </c>
      <c r="K3166" s="4" t="inlineStr">
        <is>
          <t>Stundensätze eingeben</t>
        </is>
      </c>
    </row>
    <row r="3167">
      <c r="A3167" s="4" t="inlineStr">
        <is>
          <t>6577.01 BSK-Auf-dem-Ebental-1-Rüdesheim-Ponyhof</t>
        </is>
      </c>
      <c r="B3167" s="4" t="inlineStr">
        <is>
          <t>● (p) Pos1 Erstellung BSK Geb. 1+2</t>
        </is>
      </c>
      <c r="C3167" s="4" t="inlineStr">
        <is>
          <t>Pauschale</t>
        </is>
      </c>
      <c r="D3167" s="10" t="inlineStr">
        <is>
          <t>⚠ Manual erforderlich</t>
        </is>
      </c>
      <c r="E3167" s="11" t="inlineStr"/>
      <c r="F3167" s="11" t="n">
        <v>0</v>
      </c>
      <c r="G3167" s="11">
        <f>E3167-F3167</f>
        <v/>
      </c>
      <c r="H3167" s="11" t="n">
        <v>0</v>
      </c>
      <c r="I3167" s="11" t="n">
        <v>0</v>
      </c>
      <c r="J3167" s="11" t="n">
        <v>0</v>
      </c>
      <c r="K3167" s="4" t="inlineStr">
        <is>
          <t>Stundensätze eingeben</t>
        </is>
      </c>
    </row>
    <row r="3168">
      <c r="A3168" s="4" t="inlineStr">
        <is>
          <t>6583 Bahnstraße-44-46-Friedrichsdorf-Blacky's-Playhouse</t>
        </is>
      </c>
      <c r="B3168" s="4" t="inlineStr">
        <is>
          <t>● Beratung (auf Nachweis)</t>
        </is>
      </c>
      <c r="C3168" s="9" t="inlineStr">
        <is>
          <t>Unbekannt</t>
        </is>
      </c>
      <c r="D3168" s="10" t="inlineStr">
        <is>
          <t>⚠ Manual erforderlich</t>
        </is>
      </c>
      <c r="E3168" s="11" t="inlineStr"/>
      <c r="F3168" s="11" t="n">
        <v>0</v>
      </c>
      <c r="G3168" s="11">
        <f>E3168-F3168</f>
        <v/>
      </c>
      <c r="H3168" s="11" t="n">
        <v/>
      </c>
      <c r="I3168" s="11" t="n">
        <v/>
      </c>
      <c r="J3168" s="11" t="n">
        <v/>
      </c>
      <c r="K3168" s="4" t="inlineStr">
        <is>
          <t>Abrechnungsart wählen; Stundensätze eingeben</t>
        </is>
      </c>
    </row>
    <row r="3169">
      <c r="A3169" s="4" t="inlineStr">
        <is>
          <t>6583.01 BTB-Bahnstraße-Friedrichsdorf-Sprinkleranlage</t>
        </is>
      </c>
      <c r="B3169" s="4" t="inlineStr">
        <is>
          <t>● (aN) BTB zum Entfall der Sprinkleranlage</t>
        </is>
      </c>
      <c r="C3169" s="4" t="inlineStr">
        <is>
          <t>Nachweis</t>
        </is>
      </c>
      <c r="D3169" s="10" t="inlineStr">
        <is>
          <t>⚠ Manual erforderlich</t>
        </is>
      </c>
      <c r="E3169" s="11" t="inlineStr"/>
      <c r="F3169" s="11" t="n">
        <v>0</v>
      </c>
      <c r="G3169" s="11">
        <f>E3169-F3169</f>
        <v/>
      </c>
      <c r="H3169" s="11" t="n">
        <v/>
      </c>
      <c r="I3169" s="11" t="n">
        <v/>
      </c>
      <c r="J3169" s="11" t="n">
        <v/>
      </c>
      <c r="K3169" s="4" t="inlineStr">
        <is>
          <t>Stundensätze eingeben</t>
        </is>
      </c>
    </row>
    <row r="3170">
      <c r="A3170" s="4" t="inlineStr">
        <is>
          <t>6584.01 PromotionCup-Gustav-Stresemann-Str-5-Bingen-HPPVO-LP8</t>
        </is>
      </c>
      <c r="B3170" s="4" t="inlineStr">
        <is>
          <t>● (aN) Pos. 1 Überwachung und Bescheinigung der übereinstimmenden Bauausführung</t>
        </is>
      </c>
      <c r="C3170" s="4" t="inlineStr">
        <is>
          <t>Nachweis</t>
        </is>
      </c>
      <c r="D3170" s="10" t="inlineStr">
        <is>
          <t>⚠ Manual erforderlich</t>
        </is>
      </c>
      <c r="E3170" s="11" t="inlineStr"/>
      <c r="F3170" s="11" t="n">
        <v>0</v>
      </c>
      <c r="G3170" s="11">
        <f>E3170-F3170</f>
        <v/>
      </c>
      <c r="H3170" s="11" t="n">
        <v/>
      </c>
      <c r="I3170" s="11" t="n">
        <v/>
      </c>
      <c r="J3170" s="11" t="n">
        <v/>
      </c>
      <c r="K3170" s="4" t="inlineStr">
        <is>
          <t>Stundensätze eingeben</t>
        </is>
      </c>
    </row>
    <row r="3171">
      <c r="A3171" s="4" t="inlineStr">
        <is>
          <t>6589.01 BAB-BTB-Rathaus-OF-BerlinerStr100-Offenbach</t>
        </is>
      </c>
      <c r="B3171" s="4" t="inlineStr">
        <is>
          <t>● • 8100-Prüfen der Ausführung auf prinzipielle Übereinstimmung (Stufe 1)....</t>
        </is>
      </c>
      <c r="C3171" s="9" t="inlineStr">
        <is>
          <t>Unbekannt</t>
        </is>
      </c>
      <c r="D3171" s="10" t="inlineStr">
        <is>
          <t>⚠ Manual erforderlich</t>
        </is>
      </c>
      <c r="E3171" s="11" t="inlineStr"/>
      <c r="F3171" s="11" t="n">
        <v>0</v>
      </c>
      <c r="G3171" s="11">
        <f>E3171-F3171</f>
        <v/>
      </c>
      <c r="H3171" s="11" t="n">
        <v/>
      </c>
      <c r="I3171" s="11" t="n">
        <v/>
      </c>
      <c r="J3171" s="11" t="n">
        <v/>
      </c>
      <c r="K3171" s="4" t="inlineStr">
        <is>
          <t>Abrechnungsart wählen; Stundensätze eingeben</t>
        </is>
      </c>
    </row>
    <row r="3172">
      <c r="A3172" s="4" t="inlineStr">
        <is>
          <t>6589.01 BAB-BTB-Rathaus-OF-BerlinerStr100-Offenbach</t>
        </is>
      </c>
      <c r="B3172" s="4" t="inlineStr">
        <is>
          <t>● • 8104-Statusbericht Bewertung auf Möglichkeiten zur Inbetriebnahme….</t>
        </is>
      </c>
      <c r="C3172" s="9" t="inlineStr">
        <is>
          <t>Unbekannt</t>
        </is>
      </c>
      <c r="D3172" s="10" t="inlineStr">
        <is>
          <t>⚠ Manual erforderlich</t>
        </is>
      </c>
      <c r="E3172" s="11" t="inlineStr"/>
      <c r="F3172" s="11" t="n">
        <v>0</v>
      </c>
      <c r="G3172" s="11">
        <f>E3172-F3172</f>
        <v/>
      </c>
      <c r="H3172" s="11" t="n">
        <v/>
      </c>
      <c r="I3172" s="11" t="n">
        <v/>
      </c>
      <c r="J3172" s="11" t="n">
        <v/>
      </c>
      <c r="K3172" s="4" t="inlineStr">
        <is>
          <t>Abrechnungsart wählen; Stundensätze eingeben</t>
        </is>
      </c>
    </row>
    <row r="3173">
      <c r="A3173" s="4" t="inlineStr">
        <is>
          <t>6589.01 BAB-BTB-Rathaus-OF-BerlinerStr100-Offenbach</t>
        </is>
      </c>
      <c r="B3173" s="4" t="inlineStr">
        <is>
          <t>● (aN) Pos. 2 BTB / Teilnahme JF</t>
        </is>
      </c>
      <c r="C3173" s="4" t="inlineStr">
        <is>
          <t>Nachweis</t>
        </is>
      </c>
      <c r="D3173" s="10" t="inlineStr">
        <is>
          <t>⚠ Manual erforderlich</t>
        </is>
      </c>
      <c r="E3173" s="11" t="inlineStr"/>
      <c r="F3173" s="11" t="n">
        <v>0</v>
      </c>
      <c r="G3173" s="11">
        <f>E3173-F3173</f>
        <v/>
      </c>
      <c r="H3173" s="11" t="n">
        <v/>
      </c>
      <c r="I3173" s="11" t="n">
        <v/>
      </c>
      <c r="J3173" s="11" t="n">
        <v/>
      </c>
      <c r="K3173" s="4" t="inlineStr">
        <is>
          <t>Stundensätze eingeben</t>
        </is>
      </c>
    </row>
    <row r="3174">
      <c r="A3174" s="4" t="inlineStr">
        <is>
          <t>6589.02 BTB-BSK-Rathaus-OF-BerlinerStr100-Offenbach</t>
        </is>
      </c>
      <c r="B3174" s="4" t="inlineStr">
        <is>
          <t>● • (a.N.) Beratung des Architekten/Bauherren</t>
        </is>
      </c>
      <c r="C3174" s="4" t="inlineStr">
        <is>
          <t>Nachweis</t>
        </is>
      </c>
      <c r="D3174" s="10" t="inlineStr">
        <is>
          <t>⚠ Manual erforderlich</t>
        </is>
      </c>
      <c r="E3174" s="11" t="inlineStr"/>
      <c r="F3174" s="11" t="n">
        <v>0</v>
      </c>
      <c r="G3174" s="11">
        <f>E3174-F3174</f>
        <v/>
      </c>
      <c r="H3174" s="11" t="n">
        <v/>
      </c>
      <c r="I3174" s="11" t="n">
        <v/>
      </c>
      <c r="J3174" s="11" t="n">
        <v/>
      </c>
      <c r="K3174" s="4" t="inlineStr">
        <is>
          <t>Stundensätze eingeben</t>
        </is>
      </c>
    </row>
    <row r="3175">
      <c r="A3175" s="4" t="inlineStr">
        <is>
          <t>6589.02 BTB-BSK-Rathaus-OF-BerlinerStr100-Offenbach</t>
        </is>
      </c>
      <c r="B3175" s="4" t="inlineStr">
        <is>
          <t>● • (a.N.) Teilnahme an Jour Fix, Planungs- und Koordinationsbesprechungen</t>
        </is>
      </c>
      <c r="C3175" s="4" t="inlineStr">
        <is>
          <t>Nachweis</t>
        </is>
      </c>
      <c r="D3175" s="10" t="inlineStr">
        <is>
          <t>⚠ Manual erforderlich</t>
        </is>
      </c>
      <c r="E3175" s="11" t="inlineStr"/>
      <c r="F3175" s="11" t="n">
        <v>0</v>
      </c>
      <c r="G3175" s="11">
        <f>E3175-F3175</f>
        <v/>
      </c>
      <c r="H3175" s="11" t="n">
        <v/>
      </c>
      <c r="I3175" s="11" t="n">
        <v/>
      </c>
      <c r="J3175" s="11" t="n">
        <v/>
      </c>
      <c r="K3175" s="4" t="inlineStr">
        <is>
          <t>Stundensätze eingeben</t>
        </is>
      </c>
    </row>
    <row r="3176">
      <c r="A3176" s="4" t="inlineStr">
        <is>
          <t>6589.02 BTB-BSK-Rathaus-OF-BerlinerStr100-Offenbach</t>
        </is>
      </c>
      <c r="B3176" s="4" t="inlineStr">
        <is>
          <t>● (p) Pos. 2 - Fortschreibung des Brandschutzkonzeptes</t>
        </is>
      </c>
      <c r="C3176" s="4" t="inlineStr">
        <is>
          <t>Pauschale</t>
        </is>
      </c>
      <c r="D3176" s="10" t="inlineStr">
        <is>
          <t>⚠ Manual erforderlich</t>
        </is>
      </c>
      <c r="E3176" s="11" t="inlineStr"/>
      <c r="F3176" s="11" t="n">
        <v>0</v>
      </c>
      <c r="G3176" s="11">
        <f>E3176-F3176</f>
        <v/>
      </c>
      <c r="H3176" s="11" t="n">
        <v>0</v>
      </c>
      <c r="I3176" s="11" t="n">
        <v>0</v>
      </c>
      <c r="J3176" s="11" t="n">
        <v>0</v>
      </c>
      <c r="K3176" s="4" t="inlineStr">
        <is>
          <t>Stundensätze eingeben</t>
        </is>
      </c>
    </row>
    <row r="3177">
      <c r="A3177" s="4" t="inlineStr">
        <is>
          <t>6589.? inBEA</t>
        </is>
      </c>
      <c r="B3177" s="4" t="inlineStr">
        <is>
          <t>● (a.N.) Fortschr. BSK</t>
        </is>
      </c>
      <c r="C3177" s="4" t="inlineStr">
        <is>
          <t>Nachweis</t>
        </is>
      </c>
      <c r="D3177" s="10" t="inlineStr">
        <is>
          <t>⚠ Manual erforderlich</t>
        </is>
      </c>
      <c r="E3177" s="11" t="inlineStr"/>
      <c r="F3177" s="11" t="n">
        <v>0</v>
      </c>
      <c r="G3177" s="11">
        <f>E3177-F3177</f>
        <v/>
      </c>
      <c r="H3177" s="11" t="n">
        <v/>
      </c>
      <c r="I3177" s="11" t="n">
        <v/>
      </c>
      <c r="J3177" s="11" t="n">
        <v/>
      </c>
      <c r="K3177" s="4" t="inlineStr">
        <is>
          <t>Stundensätze eingeben</t>
        </is>
      </c>
    </row>
    <row r="3178">
      <c r="A3178" s="4" t="inlineStr">
        <is>
          <t>6589.? inBEA</t>
        </is>
      </c>
      <c r="B3178" s="4" t="inlineStr">
        <is>
          <t>● (a.N.) Fortschr. BSP</t>
        </is>
      </c>
      <c r="C3178" s="4" t="inlineStr">
        <is>
          <t>Nachweis</t>
        </is>
      </c>
      <c r="D3178" s="10" t="inlineStr">
        <is>
          <t>⚠ Manual erforderlich</t>
        </is>
      </c>
      <c r="E3178" s="11" t="inlineStr"/>
      <c r="F3178" s="11" t="n">
        <v>0</v>
      </c>
      <c r="G3178" s="11">
        <f>E3178-F3178</f>
        <v/>
      </c>
      <c r="H3178" s="11" t="n">
        <v/>
      </c>
      <c r="I3178" s="11" t="n">
        <v/>
      </c>
      <c r="J3178" s="11" t="n">
        <v/>
      </c>
      <c r="K3178" s="4" t="inlineStr">
        <is>
          <t>Stundensätze eingeben</t>
        </is>
      </c>
    </row>
    <row r="3179">
      <c r="A3179" s="4" t="inlineStr">
        <is>
          <t>6590 Uni-Leipzig-FWP-FRP-Geb4300-RV-Philipp-Rosenthal-Str27A-Leipzig</t>
        </is>
      </c>
      <c r="B3179" s="4" t="inlineStr">
        <is>
          <t>● (p.) Revision FWP</t>
        </is>
      </c>
      <c r="C3179" s="9" t="inlineStr">
        <is>
          <t>Unbekannt</t>
        </is>
      </c>
      <c r="D3179" s="10" t="inlineStr">
        <is>
          <t>⚠ Manual erforderlich</t>
        </is>
      </c>
      <c r="E3179" s="11" t="inlineStr"/>
      <c r="F3179" s="11" t="n">
        <v>0</v>
      </c>
      <c r="G3179" s="11">
        <f>E3179-F3179</f>
        <v/>
      </c>
      <c r="H3179" s="11" t="n">
        <v/>
      </c>
      <c r="I3179" s="11" t="n">
        <v/>
      </c>
      <c r="J3179" s="11" t="n">
        <v/>
      </c>
      <c r="K3179" s="4" t="inlineStr">
        <is>
          <t>Abrechnungsart wählen; Stundensätze eingeben</t>
        </is>
      </c>
    </row>
    <row r="3180">
      <c r="A3180" s="4" t="inlineStr">
        <is>
          <t>6590 Uni-Leipzig-FWP-FRP-Geb4300-RV-Philipp-Rosenthal-Str27A-Leipzig</t>
        </is>
      </c>
      <c r="B3180" s="4" t="inlineStr">
        <is>
          <t>● (p.) Aktualisierung FRP A2 + Montage Klapprahmen (8 Stk.)</t>
        </is>
      </c>
      <c r="C3180" s="9" t="inlineStr">
        <is>
          <t>Unbekannt</t>
        </is>
      </c>
      <c r="D3180" s="10" t="inlineStr">
        <is>
          <t>⚠ Manual erforderlich</t>
        </is>
      </c>
      <c r="E3180" s="11" t="inlineStr"/>
      <c r="F3180" s="11" t="n">
        <v>0</v>
      </c>
      <c r="G3180" s="11">
        <f>E3180-F3180</f>
        <v/>
      </c>
      <c r="H3180" s="11" t="n">
        <v/>
      </c>
      <c r="I3180" s="11" t="n">
        <v/>
      </c>
      <c r="J3180" s="11" t="n">
        <v/>
      </c>
      <c r="K3180" s="4" t="inlineStr">
        <is>
          <t>Abrechnungsart wählen; Stundensätze eingeben</t>
        </is>
      </c>
    </row>
    <row r="3181">
      <c r="A3181" s="4" t="inlineStr">
        <is>
          <t>6590 Uni-Leipzig-FWP-FRP-Geb4300-RV-Philipp-Rosenthal-Str27A-Leipzig</t>
        </is>
      </c>
      <c r="B3181" s="4" t="inlineStr">
        <is>
          <t>● (p) 1 Ortstermin (Anfahrtspauschale € 200)</t>
        </is>
      </c>
      <c r="C3181" s="4" t="inlineStr">
        <is>
          <t>Pauschale</t>
        </is>
      </c>
      <c r="D3181" s="10" t="inlineStr">
        <is>
          <t>⚠ Manual erforderlich</t>
        </is>
      </c>
      <c r="E3181" s="11" t="inlineStr"/>
      <c r="F3181" s="11" t="n">
        <v>0</v>
      </c>
      <c r="G3181" s="11">
        <f>E3181-F3181</f>
        <v/>
      </c>
      <c r="H3181" s="11" t="n">
        <v/>
      </c>
      <c r="I3181" s="11" t="n">
        <v/>
      </c>
      <c r="J3181" s="11" t="n">
        <v/>
      </c>
      <c r="K3181" s="4" t="inlineStr">
        <is>
          <t>Stundensätze eingeben</t>
        </is>
      </c>
    </row>
    <row r="3182">
      <c r="A3182" s="4" t="inlineStr">
        <is>
          <t>6590 Uni-Leipzig-FWP-FRP-Geb4300-RV-Philipp-Rosenthal-Str27A-Leipzig</t>
        </is>
      </c>
      <c r="B3182" s="4" t="inlineStr">
        <is>
          <t>● (p) NK wie Pos. 01.01.7 LV</t>
        </is>
      </c>
      <c r="C3182" s="4" t="inlineStr">
        <is>
          <t>Pauschale</t>
        </is>
      </c>
      <c r="D3182" s="10" t="inlineStr">
        <is>
          <t>⚠ Manual erforderlich</t>
        </is>
      </c>
      <c r="E3182" s="11" t="inlineStr"/>
      <c r="F3182" s="11" t="n">
        <v>0</v>
      </c>
      <c r="G3182" s="11">
        <f>E3182-F3182</f>
        <v/>
      </c>
      <c r="H3182" s="11" t="n">
        <v/>
      </c>
      <c r="I3182" s="11" t="n">
        <v/>
      </c>
      <c r="J3182" s="11" t="n">
        <v/>
      </c>
      <c r="K3182" s="4" t="inlineStr">
        <is>
          <t>Stundensätze eingeben</t>
        </is>
      </c>
    </row>
    <row r="3183">
      <c r="A3183" s="4" t="inlineStr">
        <is>
          <t>6590.01 Uni-Leipzig-FWP-Geb4298-RV-Philipp-Rosenthal-Str27e-Leipzig</t>
        </is>
      </c>
      <c r="B3183" s="4" t="inlineStr">
        <is>
          <t>● • (p) Revision FWP</t>
        </is>
      </c>
      <c r="C3183" s="4" t="inlineStr">
        <is>
          <t>Pauschale</t>
        </is>
      </c>
      <c r="D3183" s="10" t="inlineStr">
        <is>
          <t>⚠ Manual erforderlich</t>
        </is>
      </c>
      <c r="E3183" s="11" t="inlineStr"/>
      <c r="F3183" s="11" t="n">
        <v>0</v>
      </c>
      <c r="G3183" s="11">
        <f>E3183-F3183</f>
        <v/>
      </c>
      <c r="H3183" s="11" t="n">
        <v>0</v>
      </c>
      <c r="I3183" s="11" t="n">
        <v>0</v>
      </c>
      <c r="J3183" s="11" t="n">
        <v>0</v>
      </c>
      <c r="K3183" s="4" t="inlineStr">
        <is>
          <t>Stundensätze eingeben</t>
        </is>
      </c>
    </row>
    <row r="3184">
      <c r="A3184" s="4" t="inlineStr">
        <is>
          <t>6590.01 Uni-Leipzig-FWP-Geb4298-RV-Philipp-Rosenthal-Str27e-Leipzig</t>
        </is>
      </c>
      <c r="B3184" s="4" t="inlineStr">
        <is>
          <t>● • (p) 1 Ortstermin (Anfahrt pauschal)</t>
        </is>
      </c>
      <c r="C3184" s="4" t="inlineStr">
        <is>
          <t>Pauschale</t>
        </is>
      </c>
      <c r="D3184" s="10" t="inlineStr">
        <is>
          <t>⚠ Manual erforderlich</t>
        </is>
      </c>
      <c r="E3184" s="11" t="inlineStr"/>
      <c r="F3184" s="11" t="n">
        <v>0</v>
      </c>
      <c r="G3184" s="11">
        <f>E3184-F3184</f>
        <v/>
      </c>
      <c r="H3184" s="11" t="n">
        <v/>
      </c>
      <c r="I3184" s="11" t="n">
        <v/>
      </c>
      <c r="J3184" s="11" t="n">
        <v/>
      </c>
      <c r="K3184" s="4" t="inlineStr">
        <is>
          <t>Stundensätze eingeben</t>
        </is>
      </c>
    </row>
    <row r="3185">
      <c r="A3185" s="4" t="inlineStr">
        <is>
          <t>6590.01 Uni-Leipzig-FWP-Geb4298-RV-Philipp-Rosenthal-Str27e-Leipzig</t>
        </is>
      </c>
      <c r="B3185" s="4" t="inlineStr">
        <is>
          <t>● • (p) NK (s. Pos. 01.01.7 LV)</t>
        </is>
      </c>
      <c r="C3185" s="4" t="inlineStr">
        <is>
          <t>Pauschale</t>
        </is>
      </c>
      <c r="D3185" s="10" t="inlineStr">
        <is>
          <t>⚠ Manual erforderlich</t>
        </is>
      </c>
      <c r="E3185" s="11" t="inlineStr"/>
      <c r="F3185" s="11" t="n">
        <v>0</v>
      </c>
      <c r="G3185" s="11">
        <f>E3185-F3185</f>
        <v/>
      </c>
      <c r="H3185" s="11" t="n">
        <v/>
      </c>
      <c r="I3185" s="11" t="n">
        <v/>
      </c>
      <c r="J3185" s="11" t="n">
        <v/>
      </c>
      <c r="K3185" s="4" t="inlineStr">
        <is>
          <t>Stundensätze eingeben</t>
        </is>
      </c>
    </row>
    <row r="3186">
      <c r="A3186" s="4" t="inlineStr">
        <is>
          <t>6590.02 Uni-Leipzig-FWP-Geb4271-Haus8-RV-Johannisallee32-Leipzig</t>
        </is>
      </c>
      <c r="B3186" s="4" t="inlineStr">
        <is>
          <t>●  Revision FWP</t>
        </is>
      </c>
      <c r="C3186" s="9" t="inlineStr">
        <is>
          <t>Unbekannt</t>
        </is>
      </c>
      <c r="D3186" s="10" t="inlineStr">
        <is>
          <t>⚠ Manual erforderlich</t>
        </is>
      </c>
      <c r="E3186" s="11" t="inlineStr"/>
      <c r="F3186" s="11" t="n">
        <v>0</v>
      </c>
      <c r="G3186" s="11">
        <f>E3186-F3186</f>
        <v/>
      </c>
      <c r="H3186" s="11" t="n">
        <v/>
      </c>
      <c r="I3186" s="11" t="n">
        <v/>
      </c>
      <c r="J3186" s="11" t="n">
        <v/>
      </c>
      <c r="K3186" s="4" t="inlineStr">
        <is>
          <t>Abrechnungsart wählen; Stundensätze eingeben</t>
        </is>
      </c>
    </row>
    <row r="3187">
      <c r="A3187" s="4" t="inlineStr">
        <is>
          <t>6590.02 Uni-Leipzig-FWP-Geb4271-Haus8-RV-Johannisallee32-Leipzig</t>
        </is>
      </c>
      <c r="B3187" s="4" t="inlineStr">
        <is>
          <t>● (p) Aktual. FRP A2 + Montage Klapprahmen (15 Stk.)</t>
        </is>
      </c>
      <c r="C3187" s="4" t="inlineStr">
        <is>
          <t>Pauschale</t>
        </is>
      </c>
      <c r="D3187" s="10" t="inlineStr">
        <is>
          <t>⚠ Manual erforderlich</t>
        </is>
      </c>
      <c r="E3187" s="11" t="inlineStr"/>
      <c r="F3187" s="11" t="n">
        <v>0</v>
      </c>
      <c r="G3187" s="11">
        <f>E3187-F3187</f>
        <v/>
      </c>
      <c r="H3187" s="11" t="n">
        <v>0</v>
      </c>
      <c r="I3187" s="11" t="n">
        <v>0</v>
      </c>
      <c r="J3187" s="11" t="n">
        <v>0</v>
      </c>
      <c r="K3187" s="4" t="inlineStr">
        <is>
          <t>Stundensätze eingeben</t>
        </is>
      </c>
    </row>
    <row r="3188">
      <c r="A3188" s="4" t="inlineStr">
        <is>
          <t>6590.02 Uni-Leipzig-FWP-Geb4271-Haus8-RV-Johannisallee32-Leipzig</t>
        </is>
      </c>
      <c r="B3188" s="4" t="inlineStr">
        <is>
          <t>● (p) 1 Ortstermin (Anfahrtspauschale € 200)</t>
        </is>
      </c>
      <c r="C3188" s="4" t="inlineStr">
        <is>
          <t>Pauschale</t>
        </is>
      </c>
      <c r="D3188" s="10" t="inlineStr">
        <is>
          <t>⚠ Manual erforderlich</t>
        </is>
      </c>
      <c r="E3188" s="11" t="inlineStr"/>
      <c r="F3188" s="11" t="n">
        <v>0</v>
      </c>
      <c r="G3188" s="11">
        <f>E3188-F3188</f>
        <v/>
      </c>
      <c r="H3188" s="11" t="n">
        <v/>
      </c>
      <c r="I3188" s="11" t="n">
        <v/>
      </c>
      <c r="J3188" s="11" t="n">
        <v/>
      </c>
      <c r="K3188" s="4" t="inlineStr">
        <is>
          <t>Stundensätze eingeben</t>
        </is>
      </c>
    </row>
    <row r="3189">
      <c r="A3189" s="4" t="inlineStr">
        <is>
          <t>6590.02 Uni-Leipzig-FWP-Geb4271-Haus8-RV-Johannisallee32-Leipzig</t>
        </is>
      </c>
      <c r="B3189" s="4" t="inlineStr">
        <is>
          <t>● (p) NK (s. Pos. 01.01.7 LV)</t>
        </is>
      </c>
      <c r="C3189" s="4" t="inlineStr">
        <is>
          <t>Pauschale</t>
        </is>
      </c>
      <c r="D3189" s="10" t="inlineStr">
        <is>
          <t>⚠ Manual erforderlich</t>
        </is>
      </c>
      <c r="E3189" s="11" t="inlineStr"/>
      <c r="F3189" s="11" t="n">
        <v>0</v>
      </c>
      <c r="G3189" s="11">
        <f>E3189-F3189</f>
        <v/>
      </c>
      <c r="H3189" s="11" t="n">
        <v/>
      </c>
      <c r="I3189" s="11" t="n">
        <v/>
      </c>
      <c r="J3189" s="11" t="n">
        <v/>
      </c>
      <c r="K3189" s="4" t="inlineStr">
        <is>
          <t>Stundensätze eingeben</t>
        </is>
      </c>
    </row>
    <row r="3190">
      <c r="A3190" s="4" t="inlineStr">
        <is>
          <t>6590.03 Uni-Leipzig-FWP-Geb4276-Haus7.2-RV-Liebigstr22a-Leipzig</t>
        </is>
      </c>
      <c r="B3190" s="4" t="inlineStr">
        <is>
          <t>● (p.) Revision FWP</t>
        </is>
      </c>
      <c r="C3190" s="9" t="inlineStr">
        <is>
          <t>Unbekannt</t>
        </is>
      </c>
      <c r="D3190" s="10" t="inlineStr">
        <is>
          <t>⚠ Manual erforderlich</t>
        </is>
      </c>
      <c r="E3190" s="11" t="inlineStr"/>
      <c r="F3190" s="11" t="n">
        <v>0</v>
      </c>
      <c r="G3190" s="11">
        <f>E3190-F3190</f>
        <v/>
      </c>
      <c r="H3190" s="11" t="n">
        <v/>
      </c>
      <c r="I3190" s="11" t="n">
        <v/>
      </c>
      <c r="J3190" s="11" t="n">
        <v/>
      </c>
      <c r="K3190" s="4" t="inlineStr">
        <is>
          <t>Abrechnungsart wählen; Stundensätze eingeben</t>
        </is>
      </c>
    </row>
    <row r="3191">
      <c r="A3191" s="4" t="inlineStr">
        <is>
          <t>6590.03 Uni-Leipzig-FWP-Geb4276-Haus7.2-RV-Liebigstr22a-Leipzig</t>
        </is>
      </c>
      <c r="B3191" s="4" t="inlineStr">
        <is>
          <t>● (p) Aktual. FRP A2 + Montage Klapprahmen (6 Stk.)</t>
        </is>
      </c>
      <c r="C3191" s="4" t="inlineStr">
        <is>
          <t>Pauschale</t>
        </is>
      </c>
      <c r="D3191" s="10" t="inlineStr">
        <is>
          <t>⚠ Manual erforderlich</t>
        </is>
      </c>
      <c r="E3191" s="11" t="inlineStr"/>
      <c r="F3191" s="11" t="n">
        <v>0</v>
      </c>
      <c r="G3191" s="11">
        <f>E3191-F3191</f>
        <v/>
      </c>
      <c r="H3191" s="11" t="n">
        <v>0</v>
      </c>
      <c r="I3191" s="11" t="n">
        <v>0</v>
      </c>
      <c r="J3191" s="11" t="n">
        <v>0</v>
      </c>
      <c r="K3191" s="4" t="inlineStr">
        <is>
          <t>Stundensätze eingeben</t>
        </is>
      </c>
    </row>
    <row r="3192">
      <c r="A3192" s="4" t="inlineStr">
        <is>
          <t>6590.03 Uni-Leipzig-FWP-Geb4276-Haus7.2-RV-Liebigstr22a-Leipzig</t>
        </is>
      </c>
      <c r="B3192" s="4" t="inlineStr">
        <is>
          <t>● (p) 1 Ortstermin (Anfahrtspauschale € 200)</t>
        </is>
      </c>
      <c r="C3192" s="4" t="inlineStr">
        <is>
          <t>Pauschale</t>
        </is>
      </c>
      <c r="D3192" s="10" t="inlineStr">
        <is>
          <t>⚠ Manual erforderlich</t>
        </is>
      </c>
      <c r="E3192" s="11" t="inlineStr"/>
      <c r="F3192" s="11" t="n">
        <v>0</v>
      </c>
      <c r="G3192" s="11">
        <f>E3192-F3192</f>
        <v/>
      </c>
      <c r="H3192" s="11" t="n">
        <v/>
      </c>
      <c r="I3192" s="11" t="n">
        <v/>
      </c>
      <c r="J3192" s="11" t="n">
        <v/>
      </c>
      <c r="K3192" s="4" t="inlineStr">
        <is>
          <t>Stundensätze eingeben</t>
        </is>
      </c>
    </row>
    <row r="3193">
      <c r="A3193" s="4" t="inlineStr">
        <is>
          <t>6590.03 Uni-Leipzig-FWP-Geb4276-Haus7.2-RV-Liebigstr22a-Leipzig</t>
        </is>
      </c>
      <c r="B3193" s="4" t="inlineStr">
        <is>
          <t>● (p) NK wie Pos. 01.01.7 LV</t>
        </is>
      </c>
      <c r="C3193" s="4" t="inlineStr">
        <is>
          <t>Pauschale</t>
        </is>
      </c>
      <c r="D3193" s="10" t="inlineStr">
        <is>
          <t>⚠ Manual erforderlich</t>
        </is>
      </c>
      <c r="E3193" s="11" t="inlineStr"/>
      <c r="F3193" s="11" t="n">
        <v>0</v>
      </c>
      <c r="G3193" s="11">
        <f>E3193-F3193</f>
        <v/>
      </c>
      <c r="H3193" s="11" t="n">
        <v/>
      </c>
      <c r="I3193" s="11" t="n">
        <v/>
      </c>
      <c r="J3193" s="11" t="n">
        <v/>
      </c>
      <c r="K3193" s="4" t="inlineStr">
        <is>
          <t>Stundensätze eingeben</t>
        </is>
      </c>
    </row>
    <row r="3194">
      <c r="A3194" s="4" t="inlineStr">
        <is>
          <t>6590.04 Uni-Leipzig-BST-RV-HausG-B301-B302-Liebigstr26-Leipzig</t>
        </is>
      </c>
      <c r="B3194" s="4" t="inlineStr">
        <is>
          <t>● (aN) BST Abruf gem. RV</t>
        </is>
      </c>
      <c r="C3194" s="4" t="inlineStr">
        <is>
          <t>Nachweis</t>
        </is>
      </c>
      <c r="D3194" s="10" t="inlineStr">
        <is>
          <t>⚠ Manual erforderlich</t>
        </is>
      </c>
      <c r="E3194" s="11" t="inlineStr"/>
      <c r="F3194" s="11" t="n">
        <v>0</v>
      </c>
      <c r="G3194" s="11">
        <f>E3194-F3194</f>
        <v/>
      </c>
      <c r="H3194" s="11" t="n">
        <v/>
      </c>
      <c r="I3194" s="11" t="n">
        <v/>
      </c>
      <c r="J3194" s="11" t="n">
        <v/>
      </c>
      <c r="K3194" s="4" t="inlineStr">
        <is>
          <t>Stundensätze eingeben</t>
        </is>
      </c>
    </row>
    <row r="3195">
      <c r="A3195" s="4" t="inlineStr">
        <is>
          <t>6591.01 IO-BTB-LP5+8-SchaffhausenerStr26-34-Berlin</t>
        </is>
      </c>
      <c r="B3195" s="4" t="inlineStr">
        <is>
          <t>● (p) Pos.1 BTB LP 5 gem. eMail EB/Stundenaufstellung</t>
        </is>
      </c>
      <c r="C3195" s="4" t="inlineStr">
        <is>
          <t>Pauschale</t>
        </is>
      </c>
      <c r="D3195" s="10" t="inlineStr">
        <is>
          <t>⚠ Manual erforderlich</t>
        </is>
      </c>
      <c r="E3195" s="11" t="inlineStr"/>
      <c r="F3195" s="11" t="n">
        <v>0</v>
      </c>
      <c r="G3195" s="11">
        <f>E3195-F3195</f>
        <v/>
      </c>
      <c r="H3195" s="11" t="n">
        <v>0</v>
      </c>
      <c r="I3195" s="11" t="n">
        <v>0</v>
      </c>
      <c r="J3195" s="11" t="n">
        <v>0</v>
      </c>
      <c r="K3195" s="4" t="inlineStr">
        <is>
          <t>Stundensätze eingeben</t>
        </is>
      </c>
    </row>
    <row r="3196">
      <c r="A3196" s="4" t="inlineStr">
        <is>
          <t>6591.01 IO-BTB-LP5+8-SchaffhausenerStr26-34-Berlin</t>
        </is>
      </c>
      <c r="B3196" s="4" t="inlineStr">
        <is>
          <t>●  (aN) Anp. BSK LP 5 gem. eMail EB 25-04-10</t>
        </is>
      </c>
      <c r="C3196" s="4" t="inlineStr">
        <is>
          <t>Nachweis</t>
        </is>
      </c>
      <c r="D3196" s="10" t="inlineStr">
        <is>
          <t>⚠ Manual erforderlich</t>
        </is>
      </c>
      <c r="E3196" s="11" t="inlineStr"/>
      <c r="F3196" s="11" t="n">
        <v>0</v>
      </c>
      <c r="G3196" s="11">
        <f>E3196-F3196</f>
        <v/>
      </c>
      <c r="H3196" s="11" t="n">
        <v/>
      </c>
      <c r="I3196" s="11" t="n">
        <v/>
      </c>
      <c r="J3196" s="11" t="n">
        <v/>
      </c>
      <c r="K3196" s="4" t="inlineStr">
        <is>
          <t>Stundensätze eingeben</t>
        </is>
      </c>
    </row>
    <row r="3197">
      <c r="A3197" s="4" t="inlineStr">
        <is>
          <t>6594.01 BSB-2023-Adlerwerke-Kleyerstraße-Weilburgerstraße-Frankfurt</t>
        </is>
      </c>
      <c r="B3197" s="4" t="inlineStr">
        <is>
          <t>● (a.N.) Brandschutzbeauftragter 2023</t>
        </is>
      </c>
      <c r="C3197" s="4" t="inlineStr">
        <is>
          <t>Nachweis</t>
        </is>
      </c>
      <c r="D3197" s="10" t="inlineStr">
        <is>
          <t>⚠ Manual erforderlich</t>
        </is>
      </c>
      <c r="E3197" s="11" t="inlineStr"/>
      <c r="F3197" s="11" t="n">
        <v>0</v>
      </c>
      <c r="G3197" s="11">
        <f>E3197-F3197</f>
        <v/>
      </c>
      <c r="H3197" s="11" t="n">
        <v/>
      </c>
      <c r="I3197" s="11" t="n">
        <v/>
      </c>
      <c r="J3197" s="11" t="n">
        <v/>
      </c>
      <c r="K3197" s="4" t="inlineStr">
        <is>
          <t>Stundensätze eingeben</t>
        </is>
      </c>
    </row>
    <row r="3198">
      <c r="A3198" s="4" t="inlineStr">
        <is>
          <t>6594.02 BSB-2024-Adlerwerke-Kleyerstraße-Weilburgerstraße-Frankfurt</t>
        </is>
      </c>
      <c r="B3198" s="4" t="inlineStr">
        <is>
          <t>● (p) BSB 2024</t>
        </is>
      </c>
      <c r="C3198" s="4" t="inlineStr">
        <is>
          <t>Pauschale</t>
        </is>
      </c>
      <c r="D3198" s="10" t="inlineStr">
        <is>
          <t>⚠ Manual erforderlich</t>
        </is>
      </c>
      <c r="E3198" s="11" t="inlineStr"/>
      <c r="F3198" s="11" t="n">
        <v>0</v>
      </c>
      <c r="G3198" s="11">
        <f>E3198-F3198</f>
        <v/>
      </c>
      <c r="H3198" s="11" t="n">
        <v>0</v>
      </c>
      <c r="I3198" s="11" t="n">
        <v>0</v>
      </c>
      <c r="J3198" s="11" t="n">
        <v>0</v>
      </c>
      <c r="K3198" s="4" t="inlineStr">
        <is>
          <t>Stundensätze eingeben</t>
        </is>
      </c>
    </row>
    <row r="3199">
      <c r="A3199" s="4" t="inlineStr">
        <is>
          <t>6594.03  BSB-2025-Adlerwerke-Kleyerstraße-Weilburgerstraße-Frankfurt</t>
        </is>
      </c>
      <c r="B3199" s="4" t="inlineStr">
        <is>
          <t>● (p) BSB 2025 (12 Begehungen/Jahr à 8h)</t>
        </is>
      </c>
      <c r="C3199" s="4" t="inlineStr">
        <is>
          <t>Pauschale</t>
        </is>
      </c>
      <c r="D3199" s="10" t="inlineStr">
        <is>
          <t>⚠ Manual erforderlich</t>
        </is>
      </c>
      <c r="E3199" s="11" t="inlineStr"/>
      <c r="F3199" s="11" t="n">
        <v>0</v>
      </c>
      <c r="G3199" s="11">
        <f>E3199-F3199</f>
        <v/>
      </c>
      <c r="H3199" s="11" t="n">
        <v>0</v>
      </c>
      <c r="I3199" s="11" t="n">
        <v>0</v>
      </c>
      <c r="J3199" s="11" t="n">
        <v>0</v>
      </c>
      <c r="K3199" s="4" t="inlineStr">
        <is>
          <t>Stundensätze eingeben</t>
        </is>
      </c>
    </row>
    <row r="3200">
      <c r="A3200" s="4" t="inlineStr">
        <is>
          <t>6596.03 NAT-01 BTB-RWA-Max-Planck-Straße-1-3-Im-Gefrieth-11a-Dreieich</t>
        </is>
      </c>
      <c r="B3200" s="4" t="inlineStr">
        <is>
          <t>● (a.N.) Pos.1 - Brandschutztechn. Beratung Rauch- u. Wärmeabzugsanlagen</t>
        </is>
      </c>
      <c r="C3200" s="4" t="inlineStr">
        <is>
          <t>Nachweis</t>
        </is>
      </c>
      <c r="D3200" s="10" t="inlineStr">
        <is>
          <t>⚠ Manual erforderlich</t>
        </is>
      </c>
      <c r="E3200" s="11" t="inlineStr"/>
      <c r="F3200" s="11" t="n">
        <v>0</v>
      </c>
      <c r="G3200" s="11">
        <f>E3200-F3200</f>
        <v/>
      </c>
      <c r="H3200" s="11" t="n">
        <v/>
      </c>
      <c r="I3200" s="11" t="n">
        <v/>
      </c>
      <c r="J3200" s="11" t="n">
        <v/>
      </c>
      <c r="K3200" s="4" t="inlineStr">
        <is>
          <t>Stundensätze eingeben</t>
        </is>
      </c>
    </row>
    <row r="3201">
      <c r="A3201" s="4" t="inlineStr">
        <is>
          <t>6597 BSK-Rathaus-Babenhausen-Martkplatz-1-Babenhausen</t>
        </is>
      </c>
      <c r="B3201" s="4" t="inlineStr">
        <is>
          <t>● • Erstellung BSK</t>
        </is>
      </c>
      <c r="C3201" s="9" t="inlineStr">
        <is>
          <t>Unbekannt</t>
        </is>
      </c>
      <c r="D3201" s="10" t="inlineStr">
        <is>
          <t>⚠ Manual erforderlich</t>
        </is>
      </c>
      <c r="E3201" s="11" t="inlineStr"/>
      <c r="F3201" s="11" t="n">
        <v>0</v>
      </c>
      <c r="G3201" s="11">
        <f>E3201-F3201</f>
        <v/>
      </c>
      <c r="H3201" s="11" t="n">
        <v/>
      </c>
      <c r="I3201" s="11" t="n">
        <v/>
      </c>
      <c r="J3201" s="11" t="n">
        <v/>
      </c>
      <c r="K3201" s="4" t="inlineStr">
        <is>
          <t>Abrechnungsart wählen; Stundensätze eingeben</t>
        </is>
      </c>
    </row>
    <row r="3202">
      <c r="A3202" s="4" t="inlineStr">
        <is>
          <t>6597 BSK-Rathaus-Babenhausen-Martkplatz-1-Babenhausen</t>
        </is>
      </c>
      <c r="B3202" s="4" t="inlineStr">
        <is>
          <t>● • ‧ 1200-Bestandserfassung vor Ort....</t>
        </is>
      </c>
      <c r="C3202" s="9" t="inlineStr">
        <is>
          <t>Unbekannt</t>
        </is>
      </c>
      <c r="D3202" s="10" t="inlineStr">
        <is>
          <t>⚠ Manual erforderlich</t>
        </is>
      </c>
      <c r="E3202" s="11" t="inlineStr"/>
      <c r="F3202" s="11" t="n">
        <v>0</v>
      </c>
      <c r="G3202" s="11">
        <f>E3202-F3202</f>
        <v/>
      </c>
      <c r="H3202" s="11" t="n">
        <v/>
      </c>
      <c r="I3202" s="11" t="n">
        <v/>
      </c>
      <c r="J3202" s="11" t="n">
        <v/>
      </c>
      <c r="K3202" s="4" t="inlineStr">
        <is>
          <t>Abrechnungsart wählen; Stundensätze eingeben</t>
        </is>
      </c>
    </row>
    <row r="3203">
      <c r="A3203" s="4" t="inlineStr">
        <is>
          <t>6597 BSK-Rathaus-Babenhausen-Martkplatz-1-Babenhausen</t>
        </is>
      </c>
      <c r="B3203" s="4" t="inlineStr">
        <is>
          <t>● • ‧ 1101-Zusammenstellen Ergebnisse….</t>
        </is>
      </c>
      <c r="C3203" s="9" t="inlineStr">
        <is>
          <t>Unbekannt</t>
        </is>
      </c>
      <c r="D3203" s="10" t="inlineStr">
        <is>
          <t>⚠ Manual erforderlich</t>
        </is>
      </c>
      <c r="E3203" s="11" t="inlineStr"/>
      <c r="F3203" s="11" t="n">
        <v>0</v>
      </c>
      <c r="G3203" s="11">
        <f>E3203-F3203</f>
        <v/>
      </c>
      <c r="H3203" s="11" t="n">
        <v/>
      </c>
      <c r="I3203" s="11" t="n">
        <v/>
      </c>
      <c r="J3203" s="11" t="n">
        <v/>
      </c>
      <c r="K3203" s="4" t="inlineStr">
        <is>
          <t>Abrechnungsart wählen; Stundensätze eingeben</t>
        </is>
      </c>
    </row>
    <row r="3204">
      <c r="A3204" s="4" t="inlineStr">
        <is>
          <t>6597 BSK-Rathaus-Babenhausen-Martkplatz-1-Babenhausen</t>
        </is>
      </c>
      <c r="B3204" s="4" t="inlineStr">
        <is>
          <t>● • ‧ 2210-Abgleich Arbeitsschutz zu Rettungswegen....</t>
        </is>
      </c>
      <c r="C3204" s="9" t="inlineStr">
        <is>
          <t>Unbekannt</t>
        </is>
      </c>
      <c r="D3204" s="10" t="inlineStr">
        <is>
          <t>⚠ Manual erforderlich</t>
        </is>
      </c>
      <c r="E3204" s="11" t="inlineStr"/>
      <c r="F3204" s="11" t="n">
        <v>0</v>
      </c>
      <c r="G3204" s="11">
        <f>E3204-F3204</f>
        <v/>
      </c>
      <c r="H3204" s="11" t="n">
        <v/>
      </c>
      <c r="I3204" s="11" t="n">
        <v/>
      </c>
      <c r="J3204" s="11" t="n">
        <v/>
      </c>
      <c r="K3204" s="4" t="inlineStr">
        <is>
          <t>Abrechnungsart wählen; Stundensätze eingeben</t>
        </is>
      </c>
    </row>
    <row r="3205">
      <c r="A3205" s="4" t="inlineStr">
        <is>
          <t>6597 BSK-Rathaus-Babenhausen-Martkplatz-1-Babenhausen</t>
        </is>
      </c>
      <c r="B3205" s="4" t="inlineStr">
        <is>
          <t>● • ‧ 5100-Beraten Planer ausführungsreife Lösungen….</t>
        </is>
      </c>
      <c r="C3205" s="9" t="inlineStr">
        <is>
          <t>Unbekannt</t>
        </is>
      </c>
      <c r="D3205" s="10" t="inlineStr">
        <is>
          <t>⚠ Manual erforderlich</t>
        </is>
      </c>
      <c r="E3205" s="11" t="inlineStr"/>
      <c r="F3205" s="11" t="n">
        <v>0</v>
      </c>
      <c r="G3205" s="11">
        <f>E3205-F3205</f>
        <v/>
      </c>
      <c r="H3205" s="11" t="n">
        <v/>
      </c>
      <c r="I3205" s="11" t="n">
        <v/>
      </c>
      <c r="J3205" s="11" t="n">
        <v/>
      </c>
      <c r="K3205" s="4" t="inlineStr">
        <is>
          <t>Abrechnungsart wählen; Stundensätze eingeben</t>
        </is>
      </c>
    </row>
    <row r="3206">
      <c r="A3206" s="4" t="inlineStr">
        <is>
          <t>6597 BSK-Rathaus-Babenhausen-Martkplatz-1-Babenhausen</t>
        </is>
      </c>
      <c r="B3206" s="4" t="inlineStr">
        <is>
          <t>● • ‧ 5105-Mitwirken Feststellung der Eignung Verwendbarkeitsnachweise....</t>
        </is>
      </c>
      <c r="C3206" s="9" t="inlineStr">
        <is>
          <t>Unbekannt</t>
        </is>
      </c>
      <c r="D3206" s="10" t="inlineStr">
        <is>
          <t>⚠ Manual erforderlich</t>
        </is>
      </c>
      <c r="E3206" s="11" t="inlineStr"/>
      <c r="F3206" s="11" t="n">
        <v>0</v>
      </c>
      <c r="G3206" s="11">
        <f>E3206-F3206</f>
        <v/>
      </c>
      <c r="H3206" s="11" t="n">
        <v/>
      </c>
      <c r="I3206" s="11" t="n">
        <v/>
      </c>
      <c r="J3206" s="11" t="n">
        <v/>
      </c>
      <c r="K3206" s="4" t="inlineStr">
        <is>
          <t>Abrechnungsart wählen; Stundensätze eingeben</t>
        </is>
      </c>
    </row>
    <row r="3207">
      <c r="A3207" s="4" t="inlineStr">
        <is>
          <t>6597 BSK-Rathaus-Babenhausen-Martkplatz-1-Babenhausen</t>
        </is>
      </c>
      <c r="B3207" s="4" t="inlineStr">
        <is>
          <t>● • ‧ 8100-Prüfen der Ausführung auf prinzipielle Übereinstimmung (Stufe 1)....</t>
        </is>
      </c>
      <c r="C3207" s="9" t="inlineStr">
        <is>
          <t>Unbekannt</t>
        </is>
      </c>
      <c r="D3207" s="10" t="inlineStr">
        <is>
          <t>⚠ Manual erforderlich</t>
        </is>
      </c>
      <c r="E3207" s="11" t="inlineStr"/>
      <c r="F3207" s="11" t="n">
        <v>0</v>
      </c>
      <c r="G3207" s="11">
        <f>E3207-F3207</f>
        <v/>
      </c>
      <c r="H3207" s="11" t="n">
        <v/>
      </c>
      <c r="I3207" s="11" t="n">
        <v/>
      </c>
      <c r="J3207" s="11" t="n">
        <v/>
      </c>
      <c r="K3207" s="4" t="inlineStr">
        <is>
          <t>Abrechnungsart wählen; Stundensätze eingeben</t>
        </is>
      </c>
    </row>
    <row r="3208">
      <c r="A3208" s="4" t="inlineStr">
        <is>
          <t>6597 BSK-Rathaus-Babenhausen-Martkplatz-1-Babenhausen</t>
        </is>
      </c>
      <c r="B3208" s="4" t="inlineStr">
        <is>
          <t>● • ‧ 8103-Prüfen Plausibilität der Sachverständigennachweise auf Schnittstellen….</t>
        </is>
      </c>
      <c r="C3208" s="9" t="inlineStr">
        <is>
          <t>Unbekannt</t>
        </is>
      </c>
      <c r="D3208" s="10" t="inlineStr">
        <is>
          <t>⚠ Manual erforderlich</t>
        </is>
      </c>
      <c r="E3208" s="11" t="inlineStr"/>
      <c r="F3208" s="11" t="n">
        <v>0</v>
      </c>
      <c r="G3208" s="11">
        <f>E3208-F3208</f>
        <v/>
      </c>
      <c r="H3208" s="11" t="n">
        <v/>
      </c>
      <c r="I3208" s="11" t="n">
        <v/>
      </c>
      <c r="J3208" s="11" t="n">
        <v/>
      </c>
      <c r="K3208" s="4" t="inlineStr">
        <is>
          <t>Abrechnungsart wählen; Stundensätze eingeben</t>
        </is>
      </c>
    </row>
    <row r="3209">
      <c r="A3209" s="4" t="inlineStr">
        <is>
          <t>6597 BSK-Rathaus-Babenhausen-Martkplatz-1-Babenhausen</t>
        </is>
      </c>
      <c r="B3209" s="4" t="inlineStr">
        <is>
          <t>● • ‧ 8101-Kontrolle Verwendbarkeitsnachweise/Bescheinigungen….</t>
        </is>
      </c>
      <c r="C3209" s="9" t="inlineStr">
        <is>
          <t>Unbekannt</t>
        </is>
      </c>
      <c r="D3209" s="10" t="inlineStr">
        <is>
          <t>⚠ Manual erforderlich</t>
        </is>
      </c>
      <c r="E3209" s="11" t="inlineStr"/>
      <c r="F3209" s="11" t="n">
        <v>0</v>
      </c>
      <c r="G3209" s="11">
        <f>E3209-F3209</f>
        <v/>
      </c>
      <c r="H3209" s="11" t="n">
        <v/>
      </c>
      <c r="I3209" s="11" t="n">
        <v/>
      </c>
      <c r="J3209" s="11" t="n">
        <v/>
      </c>
      <c r="K3209" s="4" t="inlineStr">
        <is>
          <t>Abrechnungsart wählen; Stundensätze eingeben</t>
        </is>
      </c>
    </row>
    <row r="3210">
      <c r="A3210" s="4" t="inlineStr">
        <is>
          <t>6597 BSK-Rathaus-Babenhausen-Martkplatz-1-Babenhausen</t>
        </is>
      </c>
      <c r="B3210" s="4" t="inlineStr">
        <is>
          <t>● • ‧ 8104-Statusbericht Bewertung auf Möglichkeiten zur Inbetriebnahme….</t>
        </is>
      </c>
      <c r="C3210" s="9" t="inlineStr">
        <is>
          <t>Unbekannt</t>
        </is>
      </c>
      <c r="D3210" s="10" t="inlineStr">
        <is>
          <t>⚠ Manual erforderlich</t>
        </is>
      </c>
      <c r="E3210" s="11" t="inlineStr"/>
      <c r="F3210" s="11" t="n">
        <v>0</v>
      </c>
      <c r="G3210" s="11">
        <f>E3210-F3210</f>
        <v/>
      </c>
      <c r="H3210" s="11" t="n">
        <v/>
      </c>
      <c r="I3210" s="11" t="n">
        <v/>
      </c>
      <c r="J3210" s="11" t="n">
        <v/>
      </c>
      <c r="K3210" s="4" t="inlineStr">
        <is>
          <t>Abrechnungsart wählen; Stundensätze eingeben</t>
        </is>
      </c>
    </row>
    <row r="3211">
      <c r="A3211" s="4" t="inlineStr">
        <is>
          <t>6599.01 BSK-Kita-An-der-Zingelswiese -21-25-FFM</t>
        </is>
      </c>
      <c r="B3211" s="4" t="inlineStr">
        <is>
          <t>● (a.N.) Pos.1-Erstellung Brandschutzkonzept</t>
        </is>
      </c>
      <c r="C3211" s="4" t="inlineStr">
        <is>
          <t>Nachweis</t>
        </is>
      </c>
      <c r="D3211" s="10" t="inlineStr">
        <is>
          <t>⚠ Manual erforderlich</t>
        </is>
      </c>
      <c r="E3211" s="11" t="inlineStr"/>
      <c r="F3211" s="11" t="n">
        <v>0</v>
      </c>
      <c r="G3211" s="11">
        <f>E3211-F3211</f>
        <v/>
      </c>
      <c r="H3211" s="11" t="n">
        <v/>
      </c>
      <c r="I3211" s="11" t="n">
        <v/>
      </c>
      <c r="J3211" s="11" t="n">
        <v/>
      </c>
      <c r="K3211" s="4" t="inlineStr">
        <is>
          <t>Stundensätze eingeben</t>
        </is>
      </c>
    </row>
    <row r="3212">
      <c r="A3212" s="4" t="inlineStr">
        <is>
          <t>6599.01 BSK-Kita-An-der-Zingelswiese -21-25-FFM</t>
        </is>
      </c>
      <c r="B3212" s="4" t="inlineStr">
        <is>
          <t>● (a.N.) Pos.2-Erstellung Brandschutzkonzeptpläne</t>
        </is>
      </c>
      <c r="C3212" s="4" t="inlineStr">
        <is>
          <t>Nachweis</t>
        </is>
      </c>
      <c r="D3212" s="10" t="inlineStr">
        <is>
          <t>⚠ Manual erforderlich</t>
        </is>
      </c>
      <c r="E3212" s="11" t="inlineStr"/>
      <c r="F3212" s="11" t="n">
        <v>0</v>
      </c>
      <c r="G3212" s="11">
        <f>E3212-F3212</f>
        <v/>
      </c>
      <c r="H3212" s="11" t="n">
        <v/>
      </c>
      <c r="I3212" s="11" t="n">
        <v/>
      </c>
      <c r="J3212" s="11" t="n">
        <v/>
      </c>
      <c r="K3212" s="4" t="inlineStr">
        <is>
          <t>Stundensätze eingeben</t>
        </is>
      </c>
    </row>
    <row r="3213">
      <c r="A3213" s="4" t="inlineStr">
        <is>
          <t>6599.01 BSK-Kita-An-der-Zingelswiese -21-25-FFM</t>
        </is>
      </c>
      <c r="B3213" s="4" t="inlineStr">
        <is>
          <t>● (a.N.) Pos.3-Baubegl. Brandschutzberatung u. Qualitätsüberwachung</t>
        </is>
      </c>
      <c r="C3213" s="4" t="inlineStr">
        <is>
          <t>Nachweis</t>
        </is>
      </c>
      <c r="D3213" s="10" t="inlineStr">
        <is>
          <t>⚠ Manual erforderlich</t>
        </is>
      </c>
      <c r="E3213" s="11" t="inlineStr"/>
      <c r="F3213" s="11" t="n">
        <v>0</v>
      </c>
      <c r="G3213" s="11">
        <f>E3213-F3213</f>
        <v/>
      </c>
      <c r="H3213" s="11" t="n">
        <v/>
      </c>
      <c r="I3213" s="11" t="n">
        <v/>
      </c>
      <c r="J3213" s="11" t="n">
        <v/>
      </c>
      <c r="K3213" s="4" t="inlineStr">
        <is>
          <t>Stundensätze eingeben</t>
        </is>
      </c>
    </row>
    <row r="3214">
      <c r="A3214" s="4" t="inlineStr">
        <is>
          <t>6603 Gederner-Straße-36a-Frankfurt</t>
        </is>
      </c>
      <c r="B3214" s="4" t="inlineStr">
        <is>
          <t>● Erstellung FRP</t>
        </is>
      </c>
      <c r="C3214" s="9" t="inlineStr">
        <is>
          <t>Unbekannt</t>
        </is>
      </c>
      <c r="D3214" s="10" t="inlineStr">
        <is>
          <t>⚠ Manual erforderlich</t>
        </is>
      </c>
      <c r="E3214" s="11" t="inlineStr"/>
      <c r="F3214" s="11" t="n">
        <v>0</v>
      </c>
      <c r="G3214" s="11">
        <f>E3214-F3214</f>
        <v/>
      </c>
      <c r="H3214" s="11" t="n">
        <v/>
      </c>
      <c r="I3214" s="11" t="n">
        <v/>
      </c>
      <c r="J3214" s="11" t="n">
        <v/>
      </c>
      <c r="K3214" s="4" t="inlineStr">
        <is>
          <t>Abrechnungsart wählen; Stundensätze eingeben</t>
        </is>
      </c>
    </row>
    <row r="3215">
      <c r="A3215" s="4" t="inlineStr">
        <is>
          <t>6603 Gederner-Straße-36a-Frankfurt</t>
        </is>
      </c>
      <c r="B3215" s="4" t="inlineStr">
        <is>
          <t>● BTB</t>
        </is>
      </c>
      <c r="C3215" s="9" t="inlineStr">
        <is>
          <t>Unbekannt</t>
        </is>
      </c>
      <c r="D3215" s="10" t="inlineStr">
        <is>
          <t>⚠ Manual erforderlich</t>
        </is>
      </c>
      <c r="E3215" s="11" t="inlineStr"/>
      <c r="F3215" s="11" t="n">
        <v>0</v>
      </c>
      <c r="G3215" s="11">
        <f>E3215-F3215</f>
        <v/>
      </c>
      <c r="H3215" s="11" t="n">
        <v/>
      </c>
      <c r="I3215" s="11" t="n">
        <v/>
      </c>
      <c r="J3215" s="11" t="n">
        <v/>
      </c>
      <c r="K3215" s="4" t="inlineStr">
        <is>
          <t>Abrechnungsart wählen; Stundensätze eingeben</t>
        </is>
      </c>
    </row>
    <row r="3216">
      <c r="A3216" s="4" t="inlineStr">
        <is>
          <t>6605 SGS-LIPOID-Frigenstraße4-Ludwigshafen</t>
        </is>
      </c>
      <c r="B3216" s="4" t="inlineStr">
        <is>
          <t>● LP1 Grundlagenermittlung</t>
        </is>
      </c>
      <c r="C3216" s="9" t="inlineStr">
        <is>
          <t>Unbekannt</t>
        </is>
      </c>
      <c r="D3216" s="10" t="inlineStr">
        <is>
          <t>⚠ Manual erforderlich</t>
        </is>
      </c>
      <c r="E3216" s="11" t="inlineStr"/>
      <c r="F3216" s="11" t="n">
        <v>0</v>
      </c>
      <c r="G3216" s="11">
        <f>E3216-F3216</f>
        <v/>
      </c>
      <c r="H3216" s="11" t="n">
        <v/>
      </c>
      <c r="I3216" s="11" t="n">
        <v/>
      </c>
      <c r="J3216" s="11" t="n">
        <v/>
      </c>
      <c r="K3216" s="4" t="inlineStr">
        <is>
          <t>Abrechnungsart wählen; Stundensätze eingeben</t>
        </is>
      </c>
    </row>
    <row r="3217">
      <c r="A3217" s="4" t="inlineStr">
        <is>
          <t>6605 SGS-LIPOID-Frigenstraße4-Ludwigshafen</t>
        </is>
      </c>
      <c r="B3217" s="4" t="inlineStr">
        <is>
          <t>● LP2 Vorplanung</t>
        </is>
      </c>
      <c r="C3217" s="9" t="inlineStr">
        <is>
          <t>Unbekannt</t>
        </is>
      </c>
      <c r="D3217" s="10" t="inlineStr">
        <is>
          <t>⚠ Manual erforderlich</t>
        </is>
      </c>
      <c r="E3217" s="11" t="inlineStr"/>
      <c r="F3217" s="11" t="n">
        <v>0</v>
      </c>
      <c r="G3217" s="11">
        <f>E3217-F3217</f>
        <v/>
      </c>
      <c r="H3217" s="11" t="n">
        <v/>
      </c>
      <c r="I3217" s="11" t="n">
        <v/>
      </c>
      <c r="J3217" s="11" t="n">
        <v/>
      </c>
      <c r="K3217" s="4" t="inlineStr">
        <is>
          <t>Abrechnungsart wählen; Stundensätze eingeben</t>
        </is>
      </c>
    </row>
    <row r="3218">
      <c r="A3218" s="4" t="inlineStr">
        <is>
          <t>6605 SGS-LIPOID-Frigenstraße4-Ludwigshafen</t>
        </is>
      </c>
      <c r="B3218" s="4" t="inlineStr">
        <is>
          <t>● LP3 Entwurfsplanung</t>
        </is>
      </c>
      <c r="C3218" s="9" t="inlineStr">
        <is>
          <t>Unbekannt</t>
        </is>
      </c>
      <c r="D3218" s="10" t="inlineStr">
        <is>
          <t>⚠ Manual erforderlich</t>
        </is>
      </c>
      <c r="E3218" s="11" t="inlineStr"/>
      <c r="F3218" s="11" t="n">
        <v>0</v>
      </c>
      <c r="G3218" s="11">
        <f>E3218-F3218</f>
        <v/>
      </c>
      <c r="H3218" s="11" t="n">
        <v/>
      </c>
      <c r="I3218" s="11" t="n">
        <v/>
      </c>
      <c r="J3218" s="11" t="n">
        <v/>
      </c>
      <c r="K3218" s="4" t="inlineStr">
        <is>
          <t>Abrechnungsart wählen; Stundensätze eingeben</t>
        </is>
      </c>
    </row>
    <row r="3219">
      <c r="A3219" s="4" t="inlineStr">
        <is>
          <t>6605 SGS-LIPOID-Frigenstraße4-Ludwigshafen</t>
        </is>
      </c>
      <c r="B3219" s="4" t="inlineStr">
        <is>
          <t>● LP4 Genehmigungsplanung</t>
        </is>
      </c>
      <c r="C3219" s="9" t="inlineStr">
        <is>
          <t>Unbekannt</t>
        </is>
      </c>
      <c r="D3219" s="10" t="inlineStr">
        <is>
          <t>⚠ Manual erforderlich</t>
        </is>
      </c>
      <c r="E3219" s="11" t="inlineStr"/>
      <c r="F3219" s="11" t="n">
        <v>0</v>
      </c>
      <c r="G3219" s="11">
        <f>E3219-F3219</f>
        <v/>
      </c>
      <c r="H3219" s="11" t="n">
        <v/>
      </c>
      <c r="I3219" s="11" t="n">
        <v/>
      </c>
      <c r="J3219" s="11" t="n">
        <v/>
      </c>
      <c r="K3219" s="4" t="inlineStr">
        <is>
          <t>Abrechnungsart wählen; Stundensätze eingeben</t>
        </is>
      </c>
    </row>
    <row r="3220">
      <c r="A3220" s="4" t="inlineStr">
        <is>
          <t>6605 SGS-LIPOID-Frigenstraße4-Ludwigshafen</t>
        </is>
      </c>
      <c r="B3220" s="4" t="inlineStr">
        <is>
          <t>● LP5 Ausführungsplanung</t>
        </is>
      </c>
      <c r="C3220" s="9" t="inlineStr">
        <is>
          <t>Unbekannt</t>
        </is>
      </c>
      <c r="D3220" s="10" t="inlineStr">
        <is>
          <t>⚠ Manual erforderlich</t>
        </is>
      </c>
      <c r="E3220" s="11" t="inlineStr"/>
      <c r="F3220" s="11" t="n">
        <v>0</v>
      </c>
      <c r="G3220" s="11">
        <f>E3220-F3220</f>
        <v/>
      </c>
      <c r="H3220" s="11" t="n">
        <v/>
      </c>
      <c r="I3220" s="11" t="n">
        <v/>
      </c>
      <c r="J3220" s="11" t="n">
        <v/>
      </c>
      <c r="K3220" s="4" t="inlineStr">
        <is>
          <t>Abrechnungsart wählen; Stundensätze eingeben</t>
        </is>
      </c>
    </row>
    <row r="3221">
      <c r="A3221" s="4" t="inlineStr">
        <is>
          <t>6605 SGS-LIPOID-Frigenstraße4-Ludwigshafen</t>
        </is>
      </c>
      <c r="B3221" s="4" t="inlineStr">
        <is>
          <t>● LP8 Objektüberwachung</t>
        </is>
      </c>
      <c r="C3221" s="9" t="inlineStr">
        <is>
          <t>Unbekannt</t>
        </is>
      </c>
      <c r="D3221" s="10" t="inlineStr">
        <is>
          <t>⚠ Manual erforderlich</t>
        </is>
      </c>
      <c r="E3221" s="11" t="inlineStr"/>
      <c r="F3221" s="11" t="n">
        <v>0</v>
      </c>
      <c r="G3221" s="11">
        <f>E3221-F3221</f>
        <v/>
      </c>
      <c r="H3221" s="11" t="n">
        <v/>
      </c>
      <c r="I3221" s="11" t="n">
        <v/>
      </c>
      <c r="J3221" s="11" t="n">
        <v/>
      </c>
      <c r="K3221" s="4" t="inlineStr">
        <is>
          <t>Abrechnungsart wählen; Stundensätze eingeben</t>
        </is>
      </c>
    </row>
    <row r="3222">
      <c r="A3222" s="4" t="inlineStr">
        <is>
          <t>6607 Kirchheimer-Str-104-Grünstadt-Aafes-Geb-3555</t>
        </is>
      </c>
      <c r="B3222" s="4" t="inlineStr">
        <is>
          <t>● Erstellung BSK pauschal</t>
        </is>
      </c>
      <c r="C3222" s="9" t="inlineStr">
        <is>
          <t>Unbekannt</t>
        </is>
      </c>
      <c r="D3222" s="10" t="inlineStr">
        <is>
          <t>⚠ Manual erforderlich</t>
        </is>
      </c>
      <c r="E3222" s="11" t="inlineStr"/>
      <c r="F3222" s="11" t="n">
        <v>0</v>
      </c>
      <c r="G3222" s="11">
        <f>E3222-F3222</f>
        <v/>
      </c>
      <c r="H3222" s="11" t="n">
        <v/>
      </c>
      <c r="I3222" s="11" t="n">
        <v/>
      </c>
      <c r="J3222" s="11" t="n">
        <v/>
      </c>
      <c r="K3222" s="4" t="inlineStr">
        <is>
          <t>Abrechnungsart wählen; Stundensätze eingeben</t>
        </is>
      </c>
    </row>
    <row r="3223">
      <c r="A3223" s="4" t="inlineStr">
        <is>
          <t>6607 Kirchheimer-Str-104-Grünstadt-Aafes-Geb-3555</t>
        </is>
      </c>
      <c r="B3223" s="4" t="inlineStr">
        <is>
          <t>● Erstellung FWP pauschal</t>
        </is>
      </c>
      <c r="C3223" s="9" t="inlineStr">
        <is>
          <t>Unbekannt</t>
        </is>
      </c>
      <c r="D3223" s="10" t="inlineStr">
        <is>
          <t>⚠ Manual erforderlich</t>
        </is>
      </c>
      <c r="E3223" s="11" t="inlineStr"/>
      <c r="F3223" s="11" t="n">
        <v>0</v>
      </c>
      <c r="G3223" s="11">
        <f>E3223-F3223</f>
        <v/>
      </c>
      <c r="H3223" s="11" t="n">
        <v/>
      </c>
      <c r="I3223" s="11" t="n">
        <v/>
      </c>
      <c r="J3223" s="11" t="n">
        <v/>
      </c>
      <c r="K3223" s="4" t="inlineStr">
        <is>
          <t>Abrechnungsart wählen; Stundensätze eingeben</t>
        </is>
      </c>
    </row>
    <row r="3224">
      <c r="A3224" s="4" t="inlineStr">
        <is>
          <t>6612 BSN-Ernst-Ludwig-Straße39-Egelsbach</t>
        </is>
      </c>
      <c r="B3224" s="4" t="inlineStr">
        <is>
          <t>● • (p.) BSN (GK4)</t>
        </is>
      </c>
      <c r="C3224" s="9" t="inlineStr">
        <is>
          <t>Unbekannt</t>
        </is>
      </c>
      <c r="D3224" s="10" t="inlineStr">
        <is>
          <t>⚠ Manual erforderlich</t>
        </is>
      </c>
      <c r="E3224" s="11" t="inlineStr"/>
      <c r="F3224" s="11" t="n">
        <v>0</v>
      </c>
      <c r="G3224" s="11">
        <f>E3224-F3224</f>
        <v/>
      </c>
      <c r="H3224" s="11" t="n">
        <v/>
      </c>
      <c r="I3224" s="11" t="n">
        <v/>
      </c>
      <c r="J3224" s="11" t="n">
        <v/>
      </c>
      <c r="K3224" s="4" t="inlineStr">
        <is>
          <t>Abrechnungsart wählen; Stundensätze eingeben</t>
        </is>
      </c>
    </row>
    <row r="3225">
      <c r="A3225" s="4" t="inlineStr">
        <is>
          <t>6612 BSN-Ernst-Ludwig-Straße39-Egelsbach</t>
        </is>
      </c>
      <c r="B3225" s="4" t="inlineStr">
        <is>
          <t>● • ‧ 8305-Beratungsleistungen bei Sonderdetails in der Ausführung....</t>
        </is>
      </c>
      <c r="C3225" s="9" t="inlineStr">
        <is>
          <t>Unbekannt</t>
        </is>
      </c>
      <c r="D3225" s="10" t="inlineStr">
        <is>
          <t>⚠ Manual erforderlich</t>
        </is>
      </c>
      <c r="E3225" s="11" t="inlineStr"/>
      <c r="F3225" s="11" t="n">
        <v>0</v>
      </c>
      <c r="G3225" s="11">
        <f>E3225-F3225</f>
        <v/>
      </c>
      <c r="H3225" s="11" t="n">
        <v/>
      </c>
      <c r="I3225" s="11" t="n">
        <v/>
      </c>
      <c r="J3225" s="11" t="n">
        <v/>
      </c>
      <c r="K3225" s="4" t="inlineStr">
        <is>
          <t>Abrechnungsart wählen; Stundensätze eingeben</t>
        </is>
      </c>
    </row>
    <row r="3226">
      <c r="A3226" s="4" t="inlineStr">
        <is>
          <t>6612 BSN-Ernst-Ludwig-Straße39-Egelsbach</t>
        </is>
      </c>
      <c r="B3226" s="4" t="inlineStr">
        <is>
          <t>● • ‧ 8100-Prüfen der Ausführung auf prinzipielle Übereinstimmung (Stufe 1)....</t>
        </is>
      </c>
      <c r="C3226" s="9" t="inlineStr">
        <is>
          <t>Unbekannt</t>
        </is>
      </c>
      <c r="D3226" s="10" t="inlineStr">
        <is>
          <t>⚠ Manual erforderlich</t>
        </is>
      </c>
      <c r="E3226" s="11" t="inlineStr"/>
      <c r="F3226" s="11" t="n">
        <v>0</v>
      </c>
      <c r="G3226" s="11">
        <f>E3226-F3226</f>
        <v/>
      </c>
      <c r="H3226" s="11" t="n">
        <v/>
      </c>
      <c r="I3226" s="11" t="n">
        <v/>
      </c>
      <c r="J3226" s="11" t="n">
        <v/>
      </c>
      <c r="K3226" s="4" t="inlineStr">
        <is>
          <t>Abrechnungsart wählen; Stundensätze eingeben</t>
        </is>
      </c>
    </row>
    <row r="3227">
      <c r="A3227" s="4" t="inlineStr">
        <is>
          <t>6612 BSN-Ernst-Ludwig-Straße39-Egelsbach</t>
        </is>
      </c>
      <c r="B3227" s="4" t="inlineStr">
        <is>
          <t>● • ‧ 8200-Prüfen der Ausführung - system. stichprobenart. Kontrolle (Stufe 2)….</t>
        </is>
      </c>
      <c r="C3227" s="9" t="inlineStr">
        <is>
          <t>Unbekannt</t>
        </is>
      </c>
      <c r="D3227" s="10" t="inlineStr">
        <is>
          <t>⚠ Manual erforderlich</t>
        </is>
      </c>
      <c r="E3227" s="11" t="inlineStr"/>
      <c r="F3227" s="11" t="n">
        <v>0</v>
      </c>
      <c r="G3227" s="11">
        <f>E3227-F3227</f>
        <v/>
      </c>
      <c r="H3227" s="11" t="n">
        <v/>
      </c>
      <c r="I3227" s="11" t="n">
        <v/>
      </c>
      <c r="J3227" s="11" t="n">
        <v/>
      </c>
      <c r="K3227" s="4" t="inlineStr">
        <is>
          <t>Abrechnungsart wählen; Stundensätze eingeben</t>
        </is>
      </c>
    </row>
    <row r="3228">
      <c r="A3228" s="4" t="inlineStr">
        <is>
          <t>6612 BSN-Ernst-Ludwig-Straße39-Egelsbach</t>
        </is>
      </c>
      <c r="B3228" s="4" t="inlineStr">
        <is>
          <t>● • ‧ 8104-Statusbericht Bewertung auf Möglichkeiten zur Inbetriebnahme….</t>
        </is>
      </c>
      <c r="C3228" s="9" t="inlineStr">
        <is>
          <t>Unbekannt</t>
        </is>
      </c>
      <c r="D3228" s="10" t="inlineStr">
        <is>
          <t>⚠ Manual erforderlich</t>
        </is>
      </c>
      <c r="E3228" s="11" t="inlineStr"/>
      <c r="F3228" s="11" t="n">
        <v>0</v>
      </c>
      <c r="G3228" s="11">
        <f>E3228-F3228</f>
        <v/>
      </c>
      <c r="H3228" s="11" t="n">
        <v/>
      </c>
      <c r="I3228" s="11" t="n">
        <v/>
      </c>
      <c r="J3228" s="11" t="n">
        <v/>
      </c>
      <c r="K3228" s="4" t="inlineStr">
        <is>
          <t>Abrechnungsart wählen; Stundensätze eingeben</t>
        </is>
      </c>
    </row>
    <row r="3229">
      <c r="A3229" s="4" t="inlineStr">
        <is>
          <t>6612 BSN-Ernst-Ludwig-Straße39-Egelsbach</t>
        </is>
      </c>
      <c r="B3229" s="4" t="inlineStr">
        <is>
          <t>● • (a.N.) LP5</t>
        </is>
      </c>
      <c r="C3229" s="4" t="inlineStr">
        <is>
          <t>Nachweis</t>
        </is>
      </c>
      <c r="D3229" s="10" t="inlineStr">
        <is>
          <t>⚠ Manual erforderlich</t>
        </is>
      </c>
      <c r="E3229" s="11" t="inlineStr"/>
      <c r="F3229" s="11" t="n">
        <v>0</v>
      </c>
      <c r="G3229" s="11">
        <f>E3229-F3229</f>
        <v/>
      </c>
      <c r="H3229" s="11" t="n">
        <v/>
      </c>
      <c r="I3229" s="11" t="n">
        <v/>
      </c>
      <c r="J3229" s="11" t="n">
        <v/>
      </c>
      <c r="K3229" s="4" t="inlineStr">
        <is>
          <t>Stundensätze eingeben</t>
        </is>
      </c>
    </row>
    <row r="3230">
      <c r="A3230" s="4" t="inlineStr">
        <is>
          <t>6612 BSN-Ernst-Ludwig-Straße39-Egelsbach</t>
        </is>
      </c>
      <c r="B3230" s="4" t="inlineStr">
        <is>
          <t>● • (a.N.) Beratungsleistungen Vorderhaus</t>
        </is>
      </c>
      <c r="C3230" s="4" t="inlineStr">
        <is>
          <t>Nachweis</t>
        </is>
      </c>
      <c r="D3230" s="10" t="inlineStr">
        <is>
          <t>⚠ Manual erforderlich</t>
        </is>
      </c>
      <c r="E3230" s="11" t="inlineStr"/>
      <c r="F3230" s="11" t="n">
        <v>0</v>
      </c>
      <c r="G3230" s="11">
        <f>E3230-F3230</f>
        <v/>
      </c>
      <c r="H3230" s="11" t="n">
        <v/>
      </c>
      <c r="I3230" s="11" t="n">
        <v/>
      </c>
      <c r="J3230" s="11" t="n">
        <v/>
      </c>
      <c r="K3230" s="4" t="inlineStr">
        <is>
          <t>Stundensätze eingeben</t>
        </is>
      </c>
    </row>
    <row r="3231">
      <c r="A3231" s="4" t="inlineStr">
        <is>
          <t>6615 BTB-HBF-München-KG-Technikbereich</t>
        </is>
      </c>
      <c r="B3231" s="4" t="inlineStr">
        <is>
          <t>● BTB</t>
        </is>
      </c>
      <c r="C3231" s="9" t="inlineStr">
        <is>
          <t>Unbekannt</t>
        </is>
      </c>
      <c r="D3231" s="10" t="inlineStr">
        <is>
          <t>⚠ Manual erforderlich</t>
        </is>
      </c>
      <c r="E3231" s="11" t="inlineStr"/>
      <c r="F3231" s="11" t="n">
        <v>0</v>
      </c>
      <c r="G3231" s="11">
        <f>E3231-F3231</f>
        <v/>
      </c>
      <c r="H3231" s="11" t="n">
        <v/>
      </c>
      <c r="I3231" s="11" t="n">
        <v/>
      </c>
      <c r="J3231" s="11" t="n">
        <v/>
      </c>
      <c r="K3231" s="4" t="inlineStr">
        <is>
          <t>Abrechnungsart wählen; Stundensätze eingeben</t>
        </is>
      </c>
    </row>
    <row r="3232">
      <c r="A3232" s="4" t="inlineStr">
        <is>
          <t>6619 BTB-Gabriel-Riesser-Weg4-10-Sophienstr11-Ffm</t>
        </is>
      </c>
      <c r="B3232" s="4" t="inlineStr">
        <is>
          <t>● Brandschutztechnische Beratung (BTB)</t>
        </is>
      </c>
      <c r="C3232" s="9" t="inlineStr">
        <is>
          <t>Unbekannt</t>
        </is>
      </c>
      <c r="D3232" s="10" t="inlineStr">
        <is>
          <t>⚠ Manual erforderlich</t>
        </is>
      </c>
      <c r="E3232" s="11" t="inlineStr"/>
      <c r="F3232" s="11" t="n">
        <v>0</v>
      </c>
      <c r="G3232" s="11">
        <f>E3232-F3232</f>
        <v/>
      </c>
      <c r="H3232" s="11" t="n">
        <v/>
      </c>
      <c r="I3232" s="11" t="n">
        <v/>
      </c>
      <c r="J3232" s="11" t="n">
        <v/>
      </c>
      <c r="K3232" s="4" t="inlineStr">
        <is>
          <t>Abrechnungsart wählen; Stundensätze eingeben</t>
        </is>
      </c>
    </row>
    <row r="3233">
      <c r="A3233" s="4" t="inlineStr">
        <is>
          <t>6625 KH St. Elisabeth-ZNA-Pflege-Los-4-Damme</t>
        </is>
      </c>
      <c r="B3233" s="4" t="inlineStr">
        <is>
          <t>● LP 1</t>
        </is>
      </c>
      <c r="C3233" s="9" t="inlineStr">
        <is>
          <t>Unbekannt</t>
        </is>
      </c>
      <c r="D3233" s="10" t="inlineStr">
        <is>
          <t>⚠ Manual erforderlich</t>
        </is>
      </c>
      <c r="E3233" s="11" t="inlineStr"/>
      <c r="F3233" s="11" t="n">
        <v>0</v>
      </c>
      <c r="G3233" s="11">
        <f>E3233-F3233</f>
        <v/>
      </c>
      <c r="H3233" s="11" t="n">
        <v/>
      </c>
      <c r="I3233" s="11" t="n">
        <v/>
      </c>
      <c r="J3233" s="11" t="n">
        <v/>
      </c>
      <c r="K3233" s="4" t="inlineStr">
        <is>
          <t>Abrechnungsart wählen; Stundensätze eingeben</t>
        </is>
      </c>
    </row>
    <row r="3234">
      <c r="A3234" s="4" t="inlineStr">
        <is>
          <t>6625 KH St. Elisabeth-ZNA-Pflege-Los-4-Damme</t>
        </is>
      </c>
      <c r="B3234" s="4" t="inlineStr">
        <is>
          <t>● LP 2</t>
        </is>
      </c>
      <c r="C3234" s="9" t="inlineStr">
        <is>
          <t>Unbekannt</t>
        </is>
      </c>
      <c r="D3234" s="10" t="inlineStr">
        <is>
          <t>⚠ Manual erforderlich</t>
        </is>
      </c>
      <c r="E3234" s="11" t="inlineStr"/>
      <c r="F3234" s="11" t="n">
        <v>0</v>
      </c>
      <c r="G3234" s="11">
        <f>E3234-F3234</f>
        <v/>
      </c>
      <c r="H3234" s="11" t="n">
        <v/>
      </c>
      <c r="I3234" s="11" t="n">
        <v/>
      </c>
      <c r="J3234" s="11" t="n">
        <v/>
      </c>
      <c r="K3234" s="4" t="inlineStr">
        <is>
          <t>Abrechnungsart wählen; Stundensätze eingeben</t>
        </is>
      </c>
    </row>
    <row r="3235">
      <c r="A3235" s="4" t="inlineStr">
        <is>
          <t>6625 KH St. Elisabeth-ZNA-Pflege-Los-4-Damme</t>
        </is>
      </c>
      <c r="B3235" s="4" t="inlineStr">
        <is>
          <t>● LP 3</t>
        </is>
      </c>
      <c r="C3235" s="9" t="inlineStr">
        <is>
          <t>Unbekannt</t>
        </is>
      </c>
      <c r="D3235" s="10" t="inlineStr">
        <is>
          <t>⚠ Manual erforderlich</t>
        </is>
      </c>
      <c r="E3235" s="11" t="inlineStr"/>
      <c r="F3235" s="11" t="n">
        <v>0</v>
      </c>
      <c r="G3235" s="11">
        <f>E3235-F3235</f>
        <v/>
      </c>
      <c r="H3235" s="11" t="n">
        <v/>
      </c>
      <c r="I3235" s="11" t="n">
        <v/>
      </c>
      <c r="J3235" s="11" t="n">
        <v/>
      </c>
      <c r="K3235" s="4" t="inlineStr">
        <is>
          <t>Abrechnungsart wählen; Stundensätze eingeben</t>
        </is>
      </c>
    </row>
    <row r="3236">
      <c r="A3236" s="4" t="inlineStr">
        <is>
          <t>6625 KH St. Elisabeth-ZNA-Pflege-Los-4-Damme</t>
        </is>
      </c>
      <c r="B3236" s="4" t="inlineStr">
        <is>
          <t>● LP 4</t>
        </is>
      </c>
      <c r="C3236" s="9" t="inlineStr">
        <is>
          <t>Unbekannt</t>
        </is>
      </c>
      <c r="D3236" s="10" t="inlineStr">
        <is>
          <t>⚠ Manual erforderlich</t>
        </is>
      </c>
      <c r="E3236" s="11" t="inlineStr"/>
      <c r="F3236" s="11" t="n">
        <v>0</v>
      </c>
      <c r="G3236" s="11">
        <f>E3236-F3236</f>
        <v/>
      </c>
      <c r="H3236" s="11" t="n">
        <v/>
      </c>
      <c r="I3236" s="11" t="n">
        <v/>
      </c>
      <c r="J3236" s="11" t="n">
        <v/>
      </c>
      <c r="K3236" s="4" t="inlineStr">
        <is>
          <t>Abrechnungsart wählen; Stundensätze eingeben</t>
        </is>
      </c>
    </row>
    <row r="3237">
      <c r="A3237" s="4" t="inlineStr">
        <is>
          <t>6625 KH St. Elisabeth-ZNA-Pflege-Los-4-Damme</t>
        </is>
      </c>
      <c r="B3237" s="4" t="inlineStr">
        <is>
          <t>● LP 5</t>
        </is>
      </c>
      <c r="C3237" s="9" t="inlineStr">
        <is>
          <t>Unbekannt</t>
        </is>
      </c>
      <c r="D3237" s="10" t="inlineStr">
        <is>
          <t>⚠ Manual erforderlich</t>
        </is>
      </c>
      <c r="E3237" s="11" t="inlineStr"/>
      <c r="F3237" s="11" t="n">
        <v>0</v>
      </c>
      <c r="G3237" s="11">
        <f>E3237-F3237</f>
        <v/>
      </c>
      <c r="H3237" s="11" t="n">
        <v/>
      </c>
      <c r="I3237" s="11" t="n">
        <v/>
      </c>
      <c r="J3237" s="11" t="n">
        <v/>
      </c>
      <c r="K3237" s="4" t="inlineStr">
        <is>
          <t>Abrechnungsart wählen; Stundensätze eingeben</t>
        </is>
      </c>
    </row>
    <row r="3238">
      <c r="A3238" s="4" t="inlineStr">
        <is>
          <t>6625 KH St. Elisabeth-ZNA-Pflege-Los-4-Damme</t>
        </is>
      </c>
      <c r="B3238" s="4" t="inlineStr">
        <is>
          <t>● LP 8</t>
        </is>
      </c>
      <c r="C3238" s="9" t="inlineStr">
        <is>
          <t>Unbekannt</t>
        </is>
      </c>
      <c r="D3238" s="10" t="inlineStr">
        <is>
          <t>⚠ Manual erforderlich</t>
        </is>
      </c>
      <c r="E3238" s="11" t="inlineStr"/>
      <c r="F3238" s="11" t="n">
        <v>0</v>
      </c>
      <c r="G3238" s="11">
        <f>E3238-F3238</f>
        <v/>
      </c>
      <c r="H3238" s="11" t="n">
        <v/>
      </c>
      <c r="I3238" s="11" t="n">
        <v/>
      </c>
      <c r="J3238" s="11" t="n">
        <v/>
      </c>
      <c r="K3238" s="4" t="inlineStr">
        <is>
          <t>Abrechnungsart wählen; Stundensätze eingeben</t>
        </is>
      </c>
    </row>
    <row r="3239">
      <c r="A3239" s="4" t="inlineStr">
        <is>
          <t>6625.01 KH-St.-Elisabeth-BST-Kreißsaal-Wöchnerinnen</t>
        </is>
      </c>
      <c r="B3239" s="4" t="inlineStr">
        <is>
          <t>● (a.N.) Pos.1 Erst. brandschutztechn. Stellungnahme</t>
        </is>
      </c>
      <c r="C3239" s="4" t="inlineStr">
        <is>
          <t>Nachweis</t>
        </is>
      </c>
      <c r="D3239" s="10" t="inlineStr">
        <is>
          <t>⚠ Manual erforderlich</t>
        </is>
      </c>
      <c r="E3239" s="11" t="inlineStr"/>
      <c r="F3239" s="11" t="n">
        <v>0</v>
      </c>
      <c r="G3239" s="11">
        <f>E3239-F3239</f>
        <v/>
      </c>
      <c r="H3239" s="11" t="n">
        <v/>
      </c>
      <c r="I3239" s="11" t="n">
        <v/>
      </c>
      <c r="J3239" s="11" t="n">
        <v/>
      </c>
      <c r="K3239" s="4" t="inlineStr">
        <is>
          <t>Stundensätze eingeben</t>
        </is>
      </c>
    </row>
    <row r="3240">
      <c r="A3240" s="4" t="inlineStr">
        <is>
          <t>6625.02 BTB-KH-St.-Elisabeth-Lindenstraße-3-7-Damme</t>
        </is>
      </c>
      <c r="B3240" s="4" t="inlineStr">
        <is>
          <t>● (aN) Pos.1 BTB</t>
        </is>
      </c>
      <c r="C3240" s="4" t="inlineStr">
        <is>
          <t>Nachweis</t>
        </is>
      </c>
      <c r="D3240" s="10" t="inlineStr">
        <is>
          <t>⚠ Manual erforderlich</t>
        </is>
      </c>
      <c r="E3240" s="11" t="inlineStr"/>
      <c r="F3240" s="11" t="n">
        <v>0</v>
      </c>
      <c r="G3240" s="11">
        <f>E3240-F3240</f>
        <v/>
      </c>
      <c r="H3240" s="11" t="n">
        <v/>
      </c>
      <c r="I3240" s="11" t="n">
        <v/>
      </c>
      <c r="J3240" s="11" t="n">
        <v/>
      </c>
      <c r="K3240" s="4" t="inlineStr">
        <is>
          <t>Stundensätze eingeben</t>
        </is>
      </c>
    </row>
    <row r="3241">
      <c r="A3241" s="4" t="inlineStr">
        <is>
          <t>6625.03  BTB-KH-St.-Elisabeth-Lindenstraße-3-7-Damme-ZNA</t>
        </is>
      </c>
      <c r="B3241" s="4" t="inlineStr">
        <is>
          <t>● (aN) Pos.1 BTB + Erst. brandschutztechn. Stellungnahme</t>
        </is>
      </c>
      <c r="C3241" s="4" t="inlineStr">
        <is>
          <t>Nachweis</t>
        </is>
      </c>
      <c r="D3241" s="10" t="inlineStr">
        <is>
          <t>⚠ Manual erforderlich</t>
        </is>
      </c>
      <c r="E3241" s="11" t="inlineStr"/>
      <c r="F3241" s="11" t="n">
        <v>0</v>
      </c>
      <c r="G3241" s="11">
        <f>E3241-F3241</f>
        <v/>
      </c>
      <c r="H3241" s="11" t="n">
        <v/>
      </c>
      <c r="I3241" s="11" t="n">
        <v/>
      </c>
      <c r="J3241" s="11" t="n">
        <v/>
      </c>
      <c r="K3241" s="4" t="inlineStr">
        <is>
          <t>Stundensätze eingeben</t>
        </is>
      </c>
    </row>
    <row r="3242">
      <c r="A3242" s="4" t="inlineStr">
        <is>
          <t>6625.04 Fortschr-BSK-KH-St.-Elisabeth-Lindenstraße-3-7-Damme-NZN-Aufstockung</t>
        </is>
      </c>
      <c r="B3242" s="4" t="inlineStr">
        <is>
          <t>● (p) Pos.1 Fortschr BSK</t>
        </is>
      </c>
      <c r="C3242" s="4" t="inlineStr">
        <is>
          <t>Pauschale</t>
        </is>
      </c>
      <c r="D3242" s="10" t="inlineStr">
        <is>
          <t>⚠ Manual erforderlich</t>
        </is>
      </c>
      <c r="E3242" s="11" t="inlineStr"/>
      <c r="F3242" s="11" t="n">
        <v>0</v>
      </c>
      <c r="G3242" s="11">
        <f>E3242-F3242</f>
        <v/>
      </c>
      <c r="H3242" s="11" t="n">
        <v>0</v>
      </c>
      <c r="I3242" s="11" t="n">
        <v>0</v>
      </c>
      <c r="J3242" s="11" t="n">
        <v>0</v>
      </c>
      <c r="K3242" s="4" t="inlineStr">
        <is>
          <t>Stundensätze eingeben</t>
        </is>
      </c>
    </row>
    <row r="3243">
      <c r="A3243" s="4" t="inlineStr">
        <is>
          <t>6638.01 DB Netz-Hauptbahnhof (Hbf) München-BST-Tachymetermesspunkte</t>
        </is>
      </c>
      <c r="B3243" s="4" t="inlineStr">
        <is>
          <t>● BST pauschal</t>
        </is>
      </c>
      <c r="C3243" s="9" t="inlineStr">
        <is>
          <t>Unbekannt</t>
        </is>
      </c>
      <c r="D3243" s="10" t="inlineStr">
        <is>
          <t>⚠ Manual erforderlich</t>
        </is>
      </c>
      <c r="E3243" s="11" t="inlineStr"/>
      <c r="F3243" s="11" t="n">
        <v>0</v>
      </c>
      <c r="G3243" s="11">
        <f>E3243-F3243</f>
        <v/>
      </c>
      <c r="H3243" s="11" t="n">
        <v/>
      </c>
      <c r="I3243" s="11" t="n">
        <v/>
      </c>
      <c r="J3243" s="11" t="n">
        <v/>
      </c>
      <c r="K3243" s="4" t="inlineStr">
        <is>
          <t>Abrechnungsart wählen; Stundensätze eingeben</t>
        </is>
      </c>
    </row>
    <row r="3244">
      <c r="A3244" s="4" t="inlineStr">
        <is>
          <t>6638.02 DB-Netz-BST-Bunker-Nord-HBF-München</t>
        </is>
      </c>
      <c r="B3244" s="4" t="inlineStr">
        <is>
          <t>● (p.) BST</t>
        </is>
      </c>
      <c r="C3244" s="9" t="inlineStr">
        <is>
          <t>Unbekannt</t>
        </is>
      </c>
      <c r="D3244" s="10" t="inlineStr">
        <is>
          <t>⚠ Manual erforderlich</t>
        </is>
      </c>
      <c r="E3244" s="11" t="inlineStr"/>
      <c r="F3244" s="11" t="n">
        <v>0</v>
      </c>
      <c r="G3244" s="11">
        <f>E3244-F3244</f>
        <v/>
      </c>
      <c r="H3244" s="11" t="n">
        <v/>
      </c>
      <c r="I3244" s="11" t="n">
        <v/>
      </c>
      <c r="J3244" s="11" t="n">
        <v/>
      </c>
      <c r="K3244" s="4" t="inlineStr">
        <is>
          <t>Abrechnungsart wählen; Stundensätze eingeben</t>
        </is>
      </c>
    </row>
    <row r="3245">
      <c r="A3245" s="4" t="inlineStr">
        <is>
          <t>6638.101 BAB-KOF-Hbf-München-uPva-1SBSS</t>
        </is>
      </c>
      <c r="B3245" s="4" t="inlineStr">
        <is>
          <t>● (a.N.) NAT03-weitere Leistungen für Erstellung Konformitätserklärung</t>
        </is>
      </c>
      <c r="C3245" s="4" t="inlineStr">
        <is>
          <t>Nachweis</t>
        </is>
      </c>
      <c r="D3245" s="10" t="inlineStr">
        <is>
          <t>⚠ Manual erforderlich</t>
        </is>
      </c>
      <c r="E3245" s="11" t="inlineStr"/>
      <c r="F3245" s="11" t="n">
        <v>0</v>
      </c>
      <c r="G3245" s="11">
        <f>E3245-F3245</f>
        <v/>
      </c>
      <c r="H3245" s="11" t="n">
        <v/>
      </c>
      <c r="I3245" s="11" t="n">
        <v/>
      </c>
      <c r="J3245" s="11" t="n">
        <v/>
      </c>
      <c r="K3245" s="4" t="inlineStr">
        <is>
          <t>Stundensätze eingeben</t>
        </is>
      </c>
    </row>
    <row r="3246">
      <c r="A3246" s="4" t="inlineStr">
        <is>
          <t>6638.102 NAT-BST-Hbf-München-uPva-Aufsichtskanzeln-MHT</t>
        </is>
      </c>
      <c r="B3246" s="4" t="inlineStr">
        <is>
          <t>● (aN) Pos.1 BST für die Aufsichtskanzeln d. Bahnsteigebenen MHT</t>
        </is>
      </c>
      <c r="C3246" s="4" t="inlineStr">
        <is>
          <t>Nachweis</t>
        </is>
      </c>
      <c r="D3246" s="10" t="inlineStr">
        <is>
          <t>⚠ Manual erforderlich</t>
        </is>
      </c>
      <c r="E3246" s="11" t="inlineStr"/>
      <c r="F3246" s="11" t="n">
        <v>0</v>
      </c>
      <c r="G3246" s="11">
        <f>E3246-F3246</f>
        <v/>
      </c>
      <c r="H3246" s="11" t="n">
        <v/>
      </c>
      <c r="I3246" s="11" t="n">
        <v/>
      </c>
      <c r="J3246" s="11" t="n">
        <v/>
      </c>
      <c r="K3246" s="4" t="inlineStr">
        <is>
          <t>Stundensätze eingeben</t>
        </is>
      </c>
    </row>
    <row r="3247">
      <c r="A3247" s="4" t="inlineStr">
        <is>
          <t>6638.103 1.SBSS-ZHM07-Aufgang-VTE-Halle-Nord-Arnulfstraße-MUC</t>
        </is>
      </c>
      <c r="B3247" s="4" t="inlineStr">
        <is>
          <t>● (aN) Pos. 02.03 Zusatzlstg. GF</t>
        </is>
      </c>
      <c r="C3247" s="4" t="inlineStr">
        <is>
          <t>Nachweis</t>
        </is>
      </c>
      <c r="D3247" s="10" t="inlineStr">
        <is>
          <t>⚠ Manual erforderlich</t>
        </is>
      </c>
      <c r="E3247" s="11" t="inlineStr"/>
      <c r="F3247" s="11" t="n">
        <v>0</v>
      </c>
      <c r="G3247" s="11">
        <f>E3247-F3247</f>
        <v/>
      </c>
      <c r="H3247" s="11" t="n">
        <v/>
      </c>
      <c r="I3247" s="11" t="n">
        <v/>
      </c>
      <c r="J3247" s="11" t="n">
        <v/>
      </c>
      <c r="K3247" s="4" t="inlineStr">
        <is>
          <t>Stundensätze eingeben</t>
        </is>
      </c>
    </row>
    <row r="3248">
      <c r="A3248" s="4" t="inlineStr">
        <is>
          <t>6638.103 1.SBSS-ZHM07-Aufgang-VTE-Halle-Nord-Arnulfstraße-MUC</t>
        </is>
      </c>
      <c r="B3248" s="4" t="inlineStr">
        <is>
          <t>● (aN) Pos. 02.04 Zusatzlstg. Projektleiter (mit akadem. Grad)</t>
        </is>
      </c>
      <c r="C3248" s="4" t="inlineStr">
        <is>
          <t>Nachweis</t>
        </is>
      </c>
      <c r="D3248" s="10" t="inlineStr">
        <is>
          <t>⚠ Manual erforderlich</t>
        </is>
      </c>
      <c r="E3248" s="11" t="inlineStr"/>
      <c r="F3248" s="11" t="n">
        <v>0</v>
      </c>
      <c r="G3248" s="11">
        <f>E3248-F3248</f>
        <v/>
      </c>
      <c r="H3248" s="11" t="n">
        <v/>
      </c>
      <c r="I3248" s="11" t="n">
        <v/>
      </c>
      <c r="J3248" s="11" t="n">
        <v/>
      </c>
      <c r="K3248" s="4" t="inlineStr">
        <is>
          <t>Stundensätze eingeben</t>
        </is>
      </c>
    </row>
    <row r="3249">
      <c r="A3249" s="4" t="inlineStr">
        <is>
          <t>6638.103 1.SBSS-ZHM07-Aufgang-VTE-Halle-Nord-Arnulfstraße-MUC</t>
        </is>
      </c>
      <c r="B3249" s="4" t="inlineStr">
        <is>
          <t>● (aN) Pos. 02.05 Zusatzlstg. Sachbedarbeiter (mit akad. Grad)</t>
        </is>
      </c>
      <c r="C3249" s="4" t="inlineStr">
        <is>
          <t>Nachweis</t>
        </is>
      </c>
      <c r="D3249" s="10" t="inlineStr">
        <is>
          <t>⚠ Manual erforderlich</t>
        </is>
      </c>
      <c r="E3249" s="11" t="inlineStr"/>
      <c r="F3249" s="11" t="n">
        <v>0</v>
      </c>
      <c r="G3249" s="11">
        <f>E3249-F3249</f>
        <v/>
      </c>
      <c r="H3249" s="11" t="n">
        <v/>
      </c>
      <c r="I3249" s="11" t="n">
        <v/>
      </c>
      <c r="J3249" s="11" t="n">
        <v/>
      </c>
      <c r="K3249" s="4" t="inlineStr">
        <is>
          <t>Stundensätze eingeben</t>
        </is>
      </c>
    </row>
    <row r="3250">
      <c r="A3250" s="4" t="inlineStr">
        <is>
          <t>6638.103 1.SBSS-ZHM07-Aufgang-VTE-Halle-Nord-Arnulfstraße-MUC</t>
        </is>
      </c>
      <c r="B3250" s="4" t="inlineStr">
        <is>
          <t>● (aN) Pos. 02.06 Zusatzlstg. CAD</t>
        </is>
      </c>
      <c r="C3250" s="4" t="inlineStr">
        <is>
          <t>Nachweis</t>
        </is>
      </c>
      <c r="D3250" s="10" t="inlineStr">
        <is>
          <t>⚠ Manual erforderlich</t>
        </is>
      </c>
      <c r="E3250" s="11" t="inlineStr"/>
      <c r="F3250" s="11" t="n">
        <v>0</v>
      </c>
      <c r="G3250" s="11">
        <f>E3250-F3250</f>
        <v/>
      </c>
      <c r="H3250" s="11" t="n">
        <v/>
      </c>
      <c r="I3250" s="11" t="n">
        <v/>
      </c>
      <c r="J3250" s="11" t="n">
        <v/>
      </c>
      <c r="K3250" s="4" t="inlineStr">
        <is>
          <t>Stundensätze eingeben</t>
        </is>
      </c>
    </row>
    <row r="3251">
      <c r="A3251" s="4" t="inlineStr">
        <is>
          <t>6638.103 1.SBSS-ZHM07-Aufgang-VTE-Halle-Nord-Arnulfstraße-MUC</t>
        </is>
      </c>
      <c r="B3251" s="4" t="inlineStr">
        <is>
          <t>● p)  Pos. 06.01 Überprüfung BSO nach DIN 14096 Teil A (1 Stck)</t>
        </is>
      </c>
      <c r="C3251" s="9" t="inlineStr">
        <is>
          <t>Unbekannt</t>
        </is>
      </c>
      <c r="D3251" s="10" t="inlineStr">
        <is>
          <t>⚠ Manual erforderlich</t>
        </is>
      </c>
      <c r="E3251" s="11" t="inlineStr"/>
      <c r="F3251" s="11" t="n">
        <v>0</v>
      </c>
      <c r="G3251" s="11">
        <f>E3251-F3251</f>
        <v/>
      </c>
      <c r="H3251" s="11" t="n">
        <v/>
      </c>
      <c r="I3251" s="11" t="n">
        <v/>
      </c>
      <c r="J3251" s="11" t="n">
        <v/>
      </c>
      <c r="K3251" s="4" t="inlineStr">
        <is>
          <t>Abrechnungsart wählen; Stundensätze eingeben</t>
        </is>
      </c>
    </row>
    <row r="3252">
      <c r="A3252" s="4" t="inlineStr">
        <is>
          <t>6638.103 1.SBSS-ZHM07-Aufgang-VTE-Halle-Nord-Arnulfstraße-MUC</t>
        </is>
      </c>
      <c r="B3252" s="4" t="inlineStr">
        <is>
          <t>● (p) Pos. 06.04 Überprüfung BSO nach DIN 14096 Teil B (1 Stck.)</t>
        </is>
      </c>
      <c r="C3252" s="4" t="inlineStr">
        <is>
          <t>Pauschale</t>
        </is>
      </c>
      <c r="D3252" s="10" t="inlineStr">
        <is>
          <t>⚠ Manual erforderlich</t>
        </is>
      </c>
      <c r="E3252" s="11" t="inlineStr"/>
      <c r="F3252" s="11" t="n">
        <v>0</v>
      </c>
      <c r="G3252" s="11">
        <f>E3252-F3252</f>
        <v/>
      </c>
      <c r="H3252" s="11" t="n">
        <v>0</v>
      </c>
      <c r="I3252" s="11" t="n">
        <v>0</v>
      </c>
      <c r="J3252" s="11" t="n">
        <v>0</v>
      </c>
      <c r="K3252" s="4" t="inlineStr">
        <is>
          <t>Stundensätze eingeben</t>
        </is>
      </c>
    </row>
    <row r="3253">
      <c r="A3253" s="4" t="inlineStr">
        <is>
          <t>6638.103 1.SBSS-ZHM07-Aufgang-VTE-Halle-Nord-Arnulfstraße-MUC</t>
        </is>
      </c>
      <c r="B3253" s="4" t="inlineStr">
        <is>
          <t>● (p) Pos. 07.03 Erstellung FWP (1 Pauschale)</t>
        </is>
      </c>
      <c r="C3253" s="4" t="inlineStr">
        <is>
          <t>Pauschale</t>
        </is>
      </c>
      <c r="D3253" s="10" t="inlineStr">
        <is>
          <t>⚠ Manual erforderlich</t>
        </is>
      </c>
      <c r="E3253" s="11" t="inlineStr"/>
      <c r="F3253" s="11" t="n">
        <v>0</v>
      </c>
      <c r="G3253" s="11">
        <f>E3253-F3253</f>
        <v/>
      </c>
      <c r="H3253" s="11" t="n">
        <v>0</v>
      </c>
      <c r="I3253" s="11" t="n">
        <v>0</v>
      </c>
      <c r="J3253" s="11" t="n">
        <v>0</v>
      </c>
      <c r="K3253" s="4" t="inlineStr">
        <is>
          <t>Stundensätze eingeben</t>
        </is>
      </c>
    </row>
    <row r="3254">
      <c r="A3254" s="4" t="inlineStr">
        <is>
          <t>6638.103 1.SBSS-ZHM07-Aufgang-VTE-Halle-Nord-Arnulfstraße-MUC</t>
        </is>
      </c>
      <c r="B3254" s="4" t="inlineStr">
        <is>
          <t>● (p) Pos. 08.03 Erstellung FRP (2 Pauschalen)</t>
        </is>
      </c>
      <c r="C3254" s="4" t="inlineStr">
        <is>
          <t>Pauschale</t>
        </is>
      </c>
      <c r="D3254" s="10" t="inlineStr">
        <is>
          <t>⚠ Manual erforderlich</t>
        </is>
      </c>
      <c r="E3254" s="11" t="inlineStr"/>
      <c r="F3254" s="11" t="n">
        <v>0</v>
      </c>
      <c r="G3254" s="11">
        <f>E3254-F3254</f>
        <v/>
      </c>
      <c r="H3254" s="11" t="n">
        <v>0</v>
      </c>
      <c r="I3254" s="11" t="n">
        <v>0</v>
      </c>
      <c r="J3254" s="11" t="n">
        <v>0</v>
      </c>
      <c r="K3254" s="4" t="inlineStr">
        <is>
          <t>Stundensätze eingeben</t>
        </is>
      </c>
    </row>
    <row r="3255">
      <c r="A3255" s="4" t="inlineStr">
        <is>
          <t>6638.103 1.SBSS-ZHM07-Aufgang-VTE-Halle-Nord-Arnulfstraße-MUC</t>
        </is>
      </c>
      <c r="B3255" s="4" t="inlineStr">
        <is>
          <t>● (aN) Pos. 08.04 Mehrausfertigungen FRP (10 Stck)</t>
        </is>
      </c>
      <c r="C3255" s="4" t="inlineStr">
        <is>
          <t>Nachweis</t>
        </is>
      </c>
      <c r="D3255" s="10" t="inlineStr">
        <is>
          <t>⚠ Manual erforderlich</t>
        </is>
      </c>
      <c r="E3255" s="11" t="inlineStr"/>
      <c r="F3255" s="11" t="n">
        <v>0</v>
      </c>
      <c r="G3255" s="11">
        <f>E3255-F3255</f>
        <v/>
      </c>
      <c r="H3255" s="11" t="n">
        <v/>
      </c>
      <c r="I3255" s="11" t="n">
        <v/>
      </c>
      <c r="J3255" s="11" t="n">
        <v/>
      </c>
      <c r="K3255" s="4" t="inlineStr">
        <is>
          <t>Stundensätze eingeben</t>
        </is>
      </c>
    </row>
    <row r="3256">
      <c r="A3256" s="4" t="inlineStr">
        <is>
          <t>6638.103 1.SBSS-ZHM07-Aufgang-VTE-Halle-Nord-Arnulfstraße-MUC</t>
        </is>
      </c>
      <c r="B3256" s="4" t="inlineStr">
        <is>
          <t>● (aN) Pos. 08.06 Zusatzlstg. Laminierung A3 (15 Stck á 15€)</t>
        </is>
      </c>
      <c r="C3256" s="4" t="inlineStr">
        <is>
          <t>Nachweis</t>
        </is>
      </c>
      <c r="D3256" s="10" t="inlineStr">
        <is>
          <t>⚠ Manual erforderlich</t>
        </is>
      </c>
      <c r="E3256" s="11" t="inlineStr"/>
      <c r="F3256" s="11" t="n">
        <v>0</v>
      </c>
      <c r="G3256" s="11">
        <f>E3256-F3256</f>
        <v/>
      </c>
      <c r="H3256" s="11" t="n">
        <v/>
      </c>
      <c r="I3256" s="11" t="n">
        <v/>
      </c>
      <c r="J3256" s="11" t="n">
        <v/>
      </c>
      <c r="K3256" s="4" t="inlineStr">
        <is>
          <t>Stundensätze eingeben</t>
        </is>
      </c>
    </row>
    <row r="3257">
      <c r="A3257" s="4" t="inlineStr">
        <is>
          <t>6638.103 1.SBSS-ZHM07-Aufgang-VTE-Halle-Nord-Arnulfstraße-MUC</t>
        </is>
      </c>
      <c r="B3257" s="4" t="inlineStr">
        <is>
          <t>● (aN) Pos. 08.07 Zusatzlstg. Laminierung A2 (15 Stck á 15€)</t>
        </is>
      </c>
      <c r="C3257" s="4" t="inlineStr">
        <is>
          <t>Nachweis</t>
        </is>
      </c>
      <c r="D3257" s="10" t="inlineStr">
        <is>
          <t>⚠ Manual erforderlich</t>
        </is>
      </c>
      <c r="E3257" s="11" t="inlineStr"/>
      <c r="F3257" s="11" t="n">
        <v>0</v>
      </c>
      <c r="G3257" s="11">
        <f>E3257-F3257</f>
        <v/>
      </c>
      <c r="H3257" s="11" t="n">
        <v/>
      </c>
      <c r="I3257" s="11" t="n">
        <v/>
      </c>
      <c r="J3257" s="11" t="n">
        <v/>
      </c>
      <c r="K3257" s="4" t="inlineStr">
        <is>
          <t>Stundensätze eingeben</t>
        </is>
      </c>
    </row>
    <row r="3258">
      <c r="A3258" s="4" t="inlineStr">
        <is>
          <t>6638.103 1.SBSS-ZHM07-Aufgang-VTE-Halle-Nord-Arnulfstraße-MUC</t>
        </is>
      </c>
      <c r="B3258" s="4" t="inlineStr">
        <is>
          <t>● (p) Pos. 13.07 Lstg. Überprüfung BSO nach DIN 14096 Teil B (1 Pauschale)</t>
        </is>
      </c>
      <c r="C3258" s="4" t="inlineStr">
        <is>
          <t>Pauschale</t>
        </is>
      </c>
      <c r="D3258" s="10" t="inlineStr">
        <is>
          <t>⚠ Manual erforderlich</t>
        </is>
      </c>
      <c r="E3258" s="11" t="inlineStr"/>
      <c r="F3258" s="11" t="n">
        <v>0</v>
      </c>
      <c r="G3258" s="11">
        <f>E3258-F3258</f>
        <v/>
      </c>
      <c r="H3258" s="11" t="n">
        <v>0</v>
      </c>
      <c r="I3258" s="11" t="n">
        <v>0</v>
      </c>
      <c r="J3258" s="11" t="n">
        <v>0</v>
      </c>
      <c r="K3258" s="4" t="inlineStr">
        <is>
          <t>Stundensätze eingeben</t>
        </is>
      </c>
    </row>
    <row r="3259">
      <c r="A3259" s="4" t="inlineStr">
        <is>
          <t>6638.103 1.SBSS-ZHM07-Aufgang-VTE-Halle-Nord-Arnulfstraße-MUC</t>
        </is>
      </c>
      <c r="B3259" s="4" t="inlineStr">
        <is>
          <t>● (p) Pos. 13.12 Lstg. für alle übrige Gebäude BGF &gt; 4.000-8.000 m² (1Pauschale)</t>
        </is>
      </c>
      <c r="C3259" s="4" t="inlineStr">
        <is>
          <t>Pauschale</t>
        </is>
      </c>
      <c r="D3259" s="10" t="inlineStr">
        <is>
          <t>⚠ Manual erforderlich</t>
        </is>
      </c>
      <c r="E3259" s="11" t="inlineStr"/>
      <c r="F3259" s="11" t="n">
        <v>0</v>
      </c>
      <c r="G3259" s="11">
        <f>E3259-F3259</f>
        <v/>
      </c>
      <c r="H3259" s="11" t="n">
        <v>0</v>
      </c>
      <c r="I3259" s="11" t="n">
        <v>0</v>
      </c>
      <c r="J3259" s="11" t="n">
        <v>0</v>
      </c>
      <c r="K3259" s="4" t="inlineStr">
        <is>
          <t>Stundensätze eingeben</t>
        </is>
      </c>
    </row>
    <row r="3260">
      <c r="A3260" s="4" t="inlineStr">
        <is>
          <t>6638.104 NAT-BST-BFM-München-Hbf-MHT-Aufzug-HA086</t>
        </is>
      </c>
      <c r="B3260" s="4" t="inlineStr">
        <is>
          <t>● (p) Pos.1 Fortschr. BST Aufzug-HA086</t>
        </is>
      </c>
      <c r="C3260" s="4" t="inlineStr">
        <is>
          <t>Pauschale</t>
        </is>
      </c>
      <c r="D3260" s="10" t="inlineStr">
        <is>
          <t>⚠ Manual erforderlich</t>
        </is>
      </c>
      <c r="E3260" s="11" t="inlineStr"/>
      <c r="F3260" s="11" t="n">
        <v>0</v>
      </c>
      <c r="G3260" s="11">
        <f>E3260-F3260</f>
        <v/>
      </c>
      <c r="H3260" s="11" t="n">
        <v>0</v>
      </c>
      <c r="I3260" s="11" t="n">
        <v>0</v>
      </c>
      <c r="J3260" s="11" t="n">
        <v>0</v>
      </c>
      <c r="K3260" s="4" t="inlineStr">
        <is>
          <t>Stundensätze eingeben</t>
        </is>
      </c>
    </row>
    <row r="3261">
      <c r="A3261" s="4" t="inlineStr">
        <is>
          <t>6638.104 NAT-BST-BFM-München-Hbf-MHT-Aufzug-HA086</t>
        </is>
      </c>
      <c r="B3261" s="4" t="inlineStr">
        <is>
          <t>● (p) Pos.2 Erst. BST zu Aufzug HA085</t>
        </is>
      </c>
      <c r="C3261" s="4" t="inlineStr">
        <is>
          <t>Pauschale</t>
        </is>
      </c>
      <c r="D3261" s="10" t="inlineStr">
        <is>
          <t>⚠ Manual erforderlich</t>
        </is>
      </c>
      <c r="E3261" s="11" t="inlineStr"/>
      <c r="F3261" s="11" t="n">
        <v>0</v>
      </c>
      <c r="G3261" s="11">
        <f>E3261-F3261</f>
        <v/>
      </c>
      <c r="H3261" s="11" t="n">
        <v>0</v>
      </c>
      <c r="I3261" s="11" t="n">
        <v>0</v>
      </c>
      <c r="J3261" s="11" t="n">
        <v>0</v>
      </c>
      <c r="K3261" s="4" t="inlineStr">
        <is>
          <t>Stundensätze eingeben</t>
        </is>
      </c>
    </row>
    <row r="3262">
      <c r="A3262" s="4" t="inlineStr">
        <is>
          <t>6638.104 NAT-BST-BFM-München-Hbf-MHT-Aufzug-HA086</t>
        </is>
      </c>
      <c r="B3262" s="4" t="inlineStr">
        <is>
          <t>● (aN) Pos.3 Prüfung, Fortschreibung &amp; Freigabe der Brandfallmatrix</t>
        </is>
      </c>
      <c r="C3262" s="4" t="inlineStr">
        <is>
          <t>Nachweis</t>
        </is>
      </c>
      <c r="D3262" s="10" t="inlineStr">
        <is>
          <t>⚠ Manual erforderlich</t>
        </is>
      </c>
      <c r="E3262" s="11" t="inlineStr"/>
      <c r="F3262" s="11" t="n">
        <v>0</v>
      </c>
      <c r="G3262" s="11">
        <f>E3262-F3262</f>
        <v/>
      </c>
      <c r="H3262" s="11" t="n">
        <v/>
      </c>
      <c r="I3262" s="11" t="n">
        <v/>
      </c>
      <c r="J3262" s="11" t="n">
        <v/>
      </c>
      <c r="K3262" s="4" t="inlineStr">
        <is>
          <t>Stundensätze eingeben</t>
        </is>
      </c>
    </row>
    <row r="3263">
      <c r="A3263" s="4" t="inlineStr">
        <is>
          <t>6638.200 BTB-HBF-München-HU-HO-SWM</t>
        </is>
      </c>
      <c r="B3263" s="4" t="inlineStr">
        <is>
          <t>● HO Hauptbahnhof oben</t>
        </is>
      </c>
      <c r="C3263" s="9" t="inlineStr">
        <is>
          <t>Unbekannt</t>
        </is>
      </c>
      <c r="D3263" s="10" t="inlineStr">
        <is>
          <t>⚠ Manual erforderlich</t>
        </is>
      </c>
      <c r="E3263" s="11" t="inlineStr"/>
      <c r="F3263" s="11" t="n">
        <v>0</v>
      </c>
      <c r="G3263" s="11">
        <f>E3263-F3263</f>
        <v/>
      </c>
      <c r="H3263" s="11" t="n">
        <v/>
      </c>
      <c r="I3263" s="11" t="n">
        <v/>
      </c>
      <c r="J3263" s="11" t="n">
        <v/>
      </c>
      <c r="K3263" s="4" t="inlineStr">
        <is>
          <t>Abrechnungsart wählen; Stundensätze eingeben</t>
        </is>
      </c>
    </row>
    <row r="3264">
      <c r="A3264" s="4" t="inlineStr">
        <is>
          <t>6638.200 BTB-HBF-München-HU-HO-SWM</t>
        </is>
      </c>
      <c r="B3264" s="4" t="inlineStr">
        <is>
          <t>● HU Hauptbahnhof unten</t>
        </is>
      </c>
      <c r="C3264" s="9" t="inlineStr">
        <is>
          <t>Unbekannt</t>
        </is>
      </c>
      <c r="D3264" s="10" t="inlineStr">
        <is>
          <t>⚠ Manual erforderlich</t>
        </is>
      </c>
      <c r="E3264" s="11" t="inlineStr"/>
      <c r="F3264" s="11" t="n">
        <v>0</v>
      </c>
      <c r="G3264" s="11">
        <f>E3264-F3264</f>
        <v/>
      </c>
      <c r="H3264" s="11" t="n">
        <v/>
      </c>
      <c r="I3264" s="11" t="n">
        <v/>
      </c>
      <c r="J3264" s="11" t="n">
        <v/>
      </c>
      <c r="K3264" s="4" t="inlineStr">
        <is>
          <t>Abrechnungsart wählen; Stundensätze eingeben</t>
        </is>
      </c>
    </row>
    <row r="3265">
      <c r="A3265" s="4" t="inlineStr">
        <is>
          <t>6638.200 BTB-HBF-München-HU-HO-SWM</t>
        </is>
      </c>
      <c r="B3265" s="4" t="inlineStr">
        <is>
          <t>● HO / HU - Besprechungen (pauschal)</t>
        </is>
      </c>
      <c r="C3265" s="9" t="inlineStr">
        <is>
          <t>Unbekannt</t>
        </is>
      </c>
      <c r="D3265" s="10" t="inlineStr">
        <is>
          <t>⚠ Manual erforderlich</t>
        </is>
      </c>
      <c r="E3265" s="11" t="inlineStr"/>
      <c r="F3265" s="11" t="n">
        <v>0</v>
      </c>
      <c r="G3265" s="11">
        <f>E3265-F3265</f>
        <v/>
      </c>
      <c r="H3265" s="11" t="n">
        <v/>
      </c>
      <c r="I3265" s="11" t="n">
        <v/>
      </c>
      <c r="J3265" s="11" t="n">
        <v/>
      </c>
      <c r="K3265" s="4" t="inlineStr">
        <is>
          <t>Abrechnungsart wählen; Stundensätze eingeben</t>
        </is>
      </c>
    </row>
    <row r="3266">
      <c r="A3266" s="4" t="inlineStr">
        <is>
          <t>6638.301 BSK-HBF-München-U9-SWM</t>
        </is>
      </c>
      <c r="B3266" s="4" t="inlineStr">
        <is>
          <t>● (a.N.) Pos. 1 Beratung des AG und der Planer + ERarbeitung brandschutztechn. Vorgaben f. Planungsfortschreibung der TGA- u. Objektplanung (a.N.)</t>
        </is>
      </c>
      <c r="C3266" s="4" t="inlineStr">
        <is>
          <t>Nachweis</t>
        </is>
      </c>
      <c r="D3266" s="10" t="inlineStr">
        <is>
          <t>⚠ Manual erforderlich</t>
        </is>
      </c>
      <c r="E3266" s="11" t="inlineStr"/>
      <c r="F3266" s="11" t="n">
        <v>0</v>
      </c>
      <c r="G3266" s="11">
        <f>E3266-F3266</f>
        <v/>
      </c>
      <c r="H3266" s="11" t="n">
        <v/>
      </c>
      <c r="I3266" s="11" t="n">
        <v/>
      </c>
      <c r="J3266" s="11" t="n">
        <v/>
      </c>
      <c r="K3266" s="4" t="inlineStr">
        <is>
          <t>Stundensätze eingeben</t>
        </is>
      </c>
    </row>
    <row r="3267">
      <c r="A3267" s="4" t="inlineStr">
        <is>
          <t>6638.301 BSK-HBF-München-U9-SWM</t>
        </is>
      </c>
      <c r="B3267" s="4" t="inlineStr">
        <is>
          <t>● (a.N.) Pos 2 Beratung des AG und der Planer in Bezug auf Schnittstellen derIGL u. Mantel BSK (a.N.)</t>
        </is>
      </c>
      <c r="C3267" s="4" t="inlineStr">
        <is>
          <t>Nachweis</t>
        </is>
      </c>
      <c r="D3267" s="10" t="inlineStr">
        <is>
          <t>⚠ Manual erforderlich</t>
        </is>
      </c>
      <c r="E3267" s="11" t="inlineStr"/>
      <c r="F3267" s="11" t="n">
        <v>0</v>
      </c>
      <c r="G3267" s="11">
        <f>E3267-F3267</f>
        <v/>
      </c>
      <c r="H3267" s="11" t="n">
        <v/>
      </c>
      <c r="I3267" s="11" t="n">
        <v/>
      </c>
      <c r="J3267" s="11" t="n">
        <v/>
      </c>
      <c r="K3267" s="4" t="inlineStr">
        <is>
          <t>Stundensätze eingeben</t>
        </is>
      </c>
    </row>
    <row r="3268">
      <c r="A3268" s="4" t="inlineStr">
        <is>
          <t>6638.301 BSK-HBF-München-U9-SWM</t>
        </is>
      </c>
      <c r="B3268" s="4" t="inlineStr">
        <is>
          <t>● (p)Pos 3 Aktualisierung BSK Endzustand (pauschal)</t>
        </is>
      </c>
      <c r="C3268" s="4" t="inlineStr">
        <is>
          <t>Pauschale</t>
        </is>
      </c>
      <c r="D3268" s="10" t="inlineStr">
        <is>
          <t>⚠ Manual erforderlich</t>
        </is>
      </c>
      <c r="E3268" s="11" t="inlineStr"/>
      <c r="F3268" s="11" t="n">
        <v>0</v>
      </c>
      <c r="G3268" s="11">
        <f>E3268-F3268</f>
        <v/>
      </c>
      <c r="H3268" s="11" t="n">
        <v>0</v>
      </c>
      <c r="I3268" s="11" t="n">
        <v>0</v>
      </c>
      <c r="J3268" s="11" t="n">
        <v>0</v>
      </c>
      <c r="K3268" s="4" t="inlineStr">
        <is>
          <t>Stundensätze eingeben</t>
        </is>
      </c>
    </row>
    <row r="3269">
      <c r="A3269" s="4" t="inlineStr">
        <is>
          <t>6638.302 NAT02-BST-HBF-München-HU/HO-U9-SWM-bauzeitlicher-Zugang</t>
        </is>
      </c>
      <c r="B3269" s="4" t="inlineStr">
        <is>
          <t>● (p) Pos.1 NAT BST U9-VHM für bauzeitlichen Zugang U4/U5, Ergänzende Stellungnahme zum BSK HO</t>
        </is>
      </c>
      <c r="C3269" s="4" t="inlineStr">
        <is>
          <t>Pauschale</t>
        </is>
      </c>
      <c r="D3269" s="10" t="inlineStr">
        <is>
          <t>⚠ Manual erforderlich</t>
        </is>
      </c>
      <c r="E3269" s="11" t="inlineStr"/>
      <c r="F3269" s="11" t="n">
        <v>0</v>
      </c>
      <c r="G3269" s="11">
        <f>E3269-F3269</f>
        <v/>
      </c>
      <c r="H3269" s="11" t="n">
        <v>0</v>
      </c>
      <c r="I3269" s="11" t="n">
        <v>0</v>
      </c>
      <c r="J3269" s="11" t="n">
        <v>0</v>
      </c>
      <c r="K3269" s="4" t="inlineStr">
        <is>
          <t>Stundensätze eingeben</t>
        </is>
      </c>
    </row>
    <row r="3270">
      <c r="A3270" s="4" t="inlineStr">
        <is>
          <t>6638.303 NAT01-BTB-HBF-München-U9-SWM-SPG-SÜD-JF</t>
        </is>
      </c>
      <c r="B3270" s="4" t="inlineStr">
        <is>
          <t>● (p) Pos.1 Anp. BSP hinsichtl. Änderung Sperrengeschoss Süd - Finalisierung BSK VHM für EP</t>
        </is>
      </c>
      <c r="C3270" s="4" t="inlineStr">
        <is>
          <t>Pauschale</t>
        </is>
      </c>
      <c r="D3270" s="10" t="inlineStr">
        <is>
          <t>⚠ Manual erforderlich</t>
        </is>
      </c>
      <c r="E3270" s="11" t="inlineStr"/>
      <c r="F3270" s="11" t="n">
        <v>0</v>
      </c>
      <c r="G3270" s="11">
        <f>E3270-F3270</f>
        <v/>
      </c>
      <c r="H3270" s="11" t="n">
        <v>0</v>
      </c>
      <c r="I3270" s="11" t="n">
        <v>0</v>
      </c>
      <c r="J3270" s="11" t="n">
        <v>0</v>
      </c>
      <c r="K3270" s="4" t="inlineStr">
        <is>
          <t>Stundensätze eingeben</t>
        </is>
      </c>
    </row>
    <row r="3271">
      <c r="A3271" s="4" t="inlineStr">
        <is>
          <t>6638.303 NAT01-BTB-HBF-München-U9-SWM-SPG-SÜD-JF</t>
        </is>
      </c>
      <c r="B3271" s="4" t="inlineStr">
        <is>
          <t>● (aN) Pos.2 Teilnahme an Jour-Fixe Terminen ab 08/2024 bis Ende 09/2024</t>
        </is>
      </c>
      <c r="C3271" s="4" t="inlineStr">
        <is>
          <t>Nachweis</t>
        </is>
      </c>
      <c r="D3271" s="10" t="inlineStr">
        <is>
          <t>⚠ Manual erforderlich</t>
        </is>
      </c>
      <c r="E3271" s="11" t="inlineStr"/>
      <c r="F3271" s="11" t="n">
        <v>0</v>
      </c>
      <c r="G3271" s="11">
        <f>E3271-F3271</f>
        <v/>
      </c>
      <c r="H3271" s="11" t="n">
        <v/>
      </c>
      <c r="I3271" s="11" t="n">
        <v/>
      </c>
      <c r="J3271" s="11" t="n">
        <v/>
      </c>
      <c r="K3271" s="4" t="inlineStr">
        <is>
          <t>Stundensätze eingeben</t>
        </is>
      </c>
    </row>
    <row r="3272">
      <c r="A3272" s="4" t="inlineStr">
        <is>
          <t>6638.303 NAT01-BTB-HBF-München-U9-SWM-SPG-SÜD-JF</t>
        </is>
      </c>
      <c r="B3272" s="4" t="inlineStr">
        <is>
          <t>● (aN) Pos.3 Beratungsleistung im Rahmen der Planugsphase  ab 04/2024 bis Ende 2024</t>
        </is>
      </c>
      <c r="C3272" s="4" t="inlineStr">
        <is>
          <t>Nachweis</t>
        </is>
      </c>
      <c r="D3272" s="10" t="inlineStr">
        <is>
          <t>⚠ Manual erforderlich</t>
        </is>
      </c>
      <c r="E3272" s="11" t="inlineStr"/>
      <c r="F3272" s="11" t="n">
        <v>0</v>
      </c>
      <c r="G3272" s="11">
        <f>E3272-F3272</f>
        <v/>
      </c>
      <c r="H3272" s="11" t="n">
        <v/>
      </c>
      <c r="I3272" s="11" t="n">
        <v/>
      </c>
      <c r="J3272" s="11" t="n">
        <v/>
      </c>
      <c r="K3272" s="4" t="inlineStr">
        <is>
          <t>Stundensätze eingeben</t>
        </is>
      </c>
    </row>
    <row r="3273">
      <c r="A3273" s="4" t="inlineStr">
        <is>
          <t>6638.304 1.SBSS-ZHM07-Aufgang-VTEHalle-Nord-Arnulfstraße-MUC-Schnittstelle-U9</t>
        </is>
      </c>
      <c r="B3273" s="4" t="inlineStr">
        <is>
          <t>● (aN) Pos. 02.03 Zusatzlstg. GF</t>
        </is>
      </c>
      <c r="C3273" s="4" t="inlineStr">
        <is>
          <t>Nachweis</t>
        </is>
      </c>
      <c r="D3273" s="10" t="inlineStr">
        <is>
          <t>⚠ Manual erforderlich</t>
        </is>
      </c>
      <c r="E3273" s="11" t="inlineStr"/>
      <c r="F3273" s="11" t="n">
        <v>0</v>
      </c>
      <c r="G3273" s="11">
        <f>E3273-F3273</f>
        <v/>
      </c>
      <c r="H3273" s="11" t="n">
        <v/>
      </c>
      <c r="I3273" s="11" t="n">
        <v/>
      </c>
      <c r="J3273" s="11" t="n">
        <v/>
      </c>
      <c r="K3273" s="4" t="inlineStr">
        <is>
          <t>Stundensätze eingeben</t>
        </is>
      </c>
    </row>
    <row r="3274">
      <c r="A3274" s="4" t="inlineStr">
        <is>
          <t>6638.304 1.SBSS-ZHM07-Aufgang-VTEHalle-Nord-Arnulfstraße-MUC-Schnittstelle-U9</t>
        </is>
      </c>
      <c r="B3274" s="4" t="inlineStr">
        <is>
          <t>● (aN) Pos. 02.04 Zusatzlstg. Projektleiter (mit akadem. Grad)</t>
        </is>
      </c>
      <c r="C3274" s="4" t="inlineStr">
        <is>
          <t>Nachweis</t>
        </is>
      </c>
      <c r="D3274" s="10" t="inlineStr">
        <is>
          <t>⚠ Manual erforderlich</t>
        </is>
      </c>
      <c r="E3274" s="11" t="inlineStr"/>
      <c r="F3274" s="11" t="n">
        <v>0</v>
      </c>
      <c r="G3274" s="11">
        <f>E3274-F3274</f>
        <v/>
      </c>
      <c r="H3274" s="11" t="n">
        <v/>
      </c>
      <c r="I3274" s="11" t="n">
        <v/>
      </c>
      <c r="J3274" s="11" t="n">
        <v/>
      </c>
      <c r="K3274" s="4" t="inlineStr">
        <is>
          <t>Stundensätze eingeben</t>
        </is>
      </c>
    </row>
    <row r="3275">
      <c r="A3275" s="4" t="inlineStr">
        <is>
          <t>6638.304 1.SBSS-ZHM07-Aufgang-VTEHalle-Nord-Arnulfstraße-MUC-Schnittstelle-U9</t>
        </is>
      </c>
      <c r="B3275" s="4" t="inlineStr">
        <is>
          <t>● (aN) Pos. 02.05 Zusatzlstg. Sachbedarbeiter (mit akad. Grad)</t>
        </is>
      </c>
      <c r="C3275" s="4" t="inlineStr">
        <is>
          <t>Nachweis</t>
        </is>
      </c>
      <c r="D3275" s="10" t="inlineStr">
        <is>
          <t>⚠ Manual erforderlich</t>
        </is>
      </c>
      <c r="E3275" s="11" t="inlineStr"/>
      <c r="F3275" s="11" t="n">
        <v>0</v>
      </c>
      <c r="G3275" s="11">
        <f>E3275-F3275</f>
        <v/>
      </c>
      <c r="H3275" s="11" t="n">
        <v/>
      </c>
      <c r="I3275" s="11" t="n">
        <v/>
      </c>
      <c r="J3275" s="11" t="n">
        <v/>
      </c>
      <c r="K3275" s="4" t="inlineStr">
        <is>
          <t>Stundensätze eingeben</t>
        </is>
      </c>
    </row>
    <row r="3276">
      <c r="A3276" s="4" t="inlineStr">
        <is>
          <t>6638.304 1.SBSS-ZHM07-Aufgang-VTEHalle-Nord-Arnulfstraße-MUC-Schnittstelle-U9</t>
        </is>
      </c>
      <c r="B3276" s="4" t="inlineStr">
        <is>
          <t>● (aN) Pos. 02.06 Zusatzlstg. CAD</t>
        </is>
      </c>
      <c r="C3276" s="4" t="inlineStr">
        <is>
          <t>Nachweis</t>
        </is>
      </c>
      <c r="D3276" s="10" t="inlineStr">
        <is>
          <t>⚠ Manual erforderlich</t>
        </is>
      </c>
      <c r="E3276" s="11" t="inlineStr"/>
      <c r="F3276" s="11" t="n">
        <v>0</v>
      </c>
      <c r="G3276" s="11">
        <f>E3276-F3276</f>
        <v/>
      </c>
      <c r="H3276" s="11" t="n">
        <v/>
      </c>
      <c r="I3276" s="11" t="n">
        <v/>
      </c>
      <c r="J3276" s="11" t="n">
        <v/>
      </c>
      <c r="K3276" s="4" t="inlineStr">
        <is>
          <t>Stundensätze eingeben</t>
        </is>
      </c>
    </row>
    <row r="3277">
      <c r="A3277" s="4" t="inlineStr">
        <is>
          <t>6638.304 1.SBSS-ZHM07-Aufgang-VTEHalle-Nord-Arnulfstraße-MUC-Schnittstelle-U9</t>
        </is>
      </c>
      <c r="B3277" s="4" t="inlineStr">
        <is>
          <t>● (p) Pos. 13.07 Lstg. Überprüfung BSO nach DIN 14096 Teil B (1 Pauschale)</t>
        </is>
      </c>
      <c r="C3277" s="4" t="inlineStr">
        <is>
          <t>Pauschale</t>
        </is>
      </c>
      <c r="D3277" s="10" t="inlineStr">
        <is>
          <t>⚠ Manual erforderlich</t>
        </is>
      </c>
      <c r="E3277" s="11" t="inlineStr"/>
      <c r="F3277" s="11" t="n">
        <v>0</v>
      </c>
      <c r="G3277" s="11">
        <f>E3277-F3277</f>
        <v/>
      </c>
      <c r="H3277" s="11" t="n">
        <v>0</v>
      </c>
      <c r="I3277" s="11" t="n">
        <v>0</v>
      </c>
      <c r="J3277" s="11" t="n">
        <v>0</v>
      </c>
      <c r="K3277" s="4" t="inlineStr">
        <is>
          <t>Stundensätze eingeben</t>
        </is>
      </c>
    </row>
    <row r="3278">
      <c r="A3278" s="4" t="inlineStr">
        <is>
          <t>6638.304 1.SBSS-ZHM07-Aufgang-VTEHalle-Nord-Arnulfstraße-MUC-Schnittstelle-U9</t>
        </is>
      </c>
      <c r="B3278" s="4" t="inlineStr">
        <is>
          <t>● (p) Pos. 13.12 Lstg. für alle übrige Gebäude BGF &gt; 4.000-8.000 m² (1Pauschale)</t>
        </is>
      </c>
      <c r="C3278" s="4" t="inlineStr">
        <is>
          <t>Pauschale</t>
        </is>
      </c>
      <c r="D3278" s="10" t="inlineStr">
        <is>
          <t>⚠ Manual erforderlich</t>
        </is>
      </c>
      <c r="E3278" s="11" t="inlineStr"/>
      <c r="F3278" s="11" t="n">
        <v>0</v>
      </c>
      <c r="G3278" s="11">
        <f>E3278-F3278</f>
        <v/>
      </c>
      <c r="H3278" s="11" t="n">
        <v>0</v>
      </c>
      <c r="I3278" s="11" t="n">
        <v>0</v>
      </c>
      <c r="J3278" s="11" t="n">
        <v>0</v>
      </c>
      <c r="K3278" s="4" t="inlineStr">
        <is>
          <t>Stundensätze eingeben</t>
        </is>
      </c>
    </row>
    <row r="3279">
      <c r="A3279" s="4" t="inlineStr">
        <is>
          <t>6638.305 SWM-NAT03-BST-BHT-HU-HO-München-Bauzeitl-Zugang-VTE-Bayerstr</t>
        </is>
      </c>
      <c r="B3279" s="4" t="inlineStr">
        <is>
          <t>● (p) Pos.1 Fortschreibung der Brandschutztechnischen Stellungnahme bauzeitlicher Zugang VTE</t>
        </is>
      </c>
      <c r="C3279" s="4" t="inlineStr">
        <is>
          <t>Pauschale</t>
        </is>
      </c>
      <c r="D3279" s="10" t="inlineStr">
        <is>
          <t>⚠ Manual erforderlich</t>
        </is>
      </c>
      <c r="E3279" s="11" t="inlineStr"/>
      <c r="F3279" s="11" t="n">
        <v>0</v>
      </c>
      <c r="G3279" s="11">
        <f>E3279-F3279</f>
        <v/>
      </c>
      <c r="H3279" s="11" t="n">
        <v>0</v>
      </c>
      <c r="I3279" s="11" t="n">
        <v>0</v>
      </c>
      <c r="J3279" s="11" t="n">
        <v>0</v>
      </c>
      <c r="K3279" s="4" t="inlineStr">
        <is>
          <t>Stundensätze eingeben</t>
        </is>
      </c>
    </row>
    <row r="3280">
      <c r="A3280" s="4" t="inlineStr">
        <is>
          <t>6638.305 SWM-NAT03-BST-BHT-HU-HO-München-Bauzeitl-Zugang-VTE-Bayerstr</t>
        </is>
      </c>
      <c r="B3280" s="4" t="inlineStr">
        <is>
          <t>● (aN) Pos.2 Betrachtung weiterer Bauphasen</t>
        </is>
      </c>
      <c r="C3280" s="4" t="inlineStr">
        <is>
          <t>Nachweis</t>
        </is>
      </c>
      <c r="D3280" s="10" t="inlineStr">
        <is>
          <t>⚠ Manual erforderlich</t>
        </is>
      </c>
      <c r="E3280" s="11" t="inlineStr"/>
      <c r="F3280" s="11" t="n">
        <v>0</v>
      </c>
      <c r="G3280" s="11">
        <f>E3280-F3280</f>
        <v/>
      </c>
      <c r="H3280" s="11" t="n">
        <v/>
      </c>
      <c r="I3280" s="11" t="n">
        <v/>
      </c>
      <c r="J3280" s="11" t="n">
        <v/>
      </c>
      <c r="K3280" s="4" t="inlineStr">
        <is>
          <t>Stundensätze eingeben</t>
        </is>
      </c>
    </row>
    <row r="3281">
      <c r="A3281" s="4" t="inlineStr">
        <is>
          <t>6643 BTB-FRP-FWP-Ersatzneubau-Krankenhaus-Hohenlohe-Öhringen-Vamed</t>
        </is>
      </c>
      <c r="B3281" s="4" t="inlineStr">
        <is>
          <t>● Pos 1 - Allgem. BTB LP 5 (a.N.)</t>
        </is>
      </c>
      <c r="C3281" s="4" t="inlineStr">
        <is>
          <t>Nachweis</t>
        </is>
      </c>
      <c r="D3281" s="10" t="inlineStr">
        <is>
          <t>⚠ Manual erforderlich</t>
        </is>
      </c>
      <c r="E3281" s="11" t="inlineStr"/>
      <c r="F3281" s="11" t="n">
        <v>0</v>
      </c>
      <c r="G3281" s="11">
        <f>E3281-F3281</f>
        <v/>
      </c>
      <c r="H3281" s="11" t="n">
        <v/>
      </c>
      <c r="I3281" s="11" t="n">
        <v/>
      </c>
      <c r="J3281" s="11" t="n">
        <v/>
      </c>
      <c r="K3281" s="4" t="inlineStr">
        <is>
          <t>Stundensätze eingeben</t>
        </is>
      </c>
    </row>
    <row r="3282">
      <c r="A3282" s="4" t="inlineStr">
        <is>
          <t>6643 BTB-FRP-FWP-Ersatzneubau-Krankenhaus-Hohenlohe-Öhringen-Vamed</t>
        </is>
      </c>
      <c r="B3282" s="4" t="inlineStr">
        <is>
          <t>● Pos. 2 - Fachbauleitung LP 8 AHO (a.N.)</t>
        </is>
      </c>
      <c r="C3282" s="4" t="inlineStr">
        <is>
          <t>Nachweis</t>
        </is>
      </c>
      <c r="D3282" s="10" t="inlineStr">
        <is>
          <t>⚠ Manual erforderlich</t>
        </is>
      </c>
      <c r="E3282" s="11" t="inlineStr"/>
      <c r="F3282" s="11" t="n">
        <v>0</v>
      </c>
      <c r="G3282" s="11">
        <f>E3282-F3282</f>
        <v/>
      </c>
      <c r="H3282" s="11" t="n">
        <v/>
      </c>
      <c r="I3282" s="11" t="n">
        <v/>
      </c>
      <c r="J3282" s="11" t="n">
        <v/>
      </c>
      <c r="K3282" s="4" t="inlineStr">
        <is>
          <t>Stundensätze eingeben</t>
        </is>
      </c>
    </row>
    <row r="3283">
      <c r="A3283" s="4" t="inlineStr">
        <is>
          <t>6643 BTB-FRP-FWP-Ersatzneubau-Krankenhaus-Hohenlohe-Öhringen-Vamed</t>
        </is>
      </c>
      <c r="B3283" s="4" t="inlineStr">
        <is>
          <t>● Bestandsaufnahme FuR + FWP  (a.N.)</t>
        </is>
      </c>
      <c r="C3283" s="4" t="inlineStr">
        <is>
          <t>Nachweis</t>
        </is>
      </c>
      <c r="D3283" s="10" t="inlineStr">
        <is>
          <t>⚠ Manual erforderlich</t>
        </is>
      </c>
      <c r="E3283" s="11" t="inlineStr"/>
      <c r="F3283" s="11" t="n">
        <v>0</v>
      </c>
      <c r="G3283" s="11">
        <f>E3283-F3283</f>
        <v/>
      </c>
      <c r="H3283" s="11" t="n">
        <v/>
      </c>
      <c r="I3283" s="11" t="n">
        <v/>
      </c>
      <c r="J3283" s="11" t="n">
        <v/>
      </c>
      <c r="K3283" s="4" t="inlineStr">
        <is>
          <t>Stundensätze eingeben</t>
        </is>
      </c>
    </row>
    <row r="3284">
      <c r="A3284" s="4" t="inlineStr">
        <is>
          <t>6643 BTB-FRP-FWP-Ersatzneubau-Krankenhaus-Hohenlohe-Öhringen-Vamed</t>
        </is>
      </c>
      <c r="B3284" s="4" t="inlineStr">
        <is>
          <t>● Pos. 3 - FRP (pauschal)</t>
        </is>
      </c>
      <c r="C3284" s="9" t="inlineStr">
        <is>
          <t>Unbekannt</t>
        </is>
      </c>
      <c r="D3284" s="10" t="inlineStr">
        <is>
          <t>⚠ Manual erforderlich</t>
        </is>
      </c>
      <c r="E3284" s="11" t="inlineStr"/>
      <c r="F3284" s="11" t="n">
        <v>0</v>
      </c>
      <c r="G3284" s="11">
        <f>E3284-F3284</f>
        <v/>
      </c>
      <c r="H3284" s="11" t="n">
        <v/>
      </c>
      <c r="I3284" s="11" t="n">
        <v/>
      </c>
      <c r="J3284" s="11" t="n">
        <v/>
      </c>
      <c r="K3284" s="4" t="inlineStr">
        <is>
          <t>Abrechnungsart wählen; Stundensätze eingeben</t>
        </is>
      </c>
    </row>
    <row r="3285">
      <c r="A3285" s="4" t="inlineStr">
        <is>
          <t>6643 BTB-FRP-FWP-Ersatzneubau-Krankenhaus-Hohenlohe-Öhringen-Vamed</t>
        </is>
      </c>
      <c r="B3285" s="4" t="inlineStr">
        <is>
          <t>● Pos 4 - FWP (pauschal)</t>
        </is>
      </c>
      <c r="C3285" s="9" t="inlineStr">
        <is>
          <t>Unbekannt</t>
        </is>
      </c>
      <c r="D3285" s="10" t="inlineStr">
        <is>
          <t>⚠ Manual erforderlich</t>
        </is>
      </c>
      <c r="E3285" s="11" t="inlineStr"/>
      <c r="F3285" s="11" t="n">
        <v>0</v>
      </c>
      <c r="G3285" s="11">
        <f>E3285-F3285</f>
        <v/>
      </c>
      <c r="H3285" s="11" t="n">
        <v/>
      </c>
      <c r="I3285" s="11" t="n">
        <v/>
      </c>
      <c r="J3285" s="11" t="n">
        <v/>
      </c>
      <c r="K3285" s="4" t="inlineStr">
        <is>
          <t>Abrechnungsart wählen; Stundensätze eingeben</t>
        </is>
      </c>
    </row>
    <row r="3286">
      <c r="A3286" s="4" t="inlineStr">
        <is>
          <t>6645 BAB-Züblin-PorscheZentrum-Einsteinstraße9-Ettlingen</t>
        </is>
      </c>
      <c r="B3286" s="4" t="inlineStr">
        <is>
          <t>● baubegl. Brandschutzberatung/Qualitätsüberwachung für die Durchführung der Baumaßnahme</t>
        </is>
      </c>
      <c r="C3286" s="9" t="inlineStr">
        <is>
          <t>Unbekannt</t>
        </is>
      </c>
      <c r="D3286" s="10" t="inlineStr">
        <is>
          <t>⚠ Manual erforderlich</t>
        </is>
      </c>
      <c r="E3286" s="11" t="inlineStr"/>
      <c r="F3286" s="11" t="n">
        <v>0</v>
      </c>
      <c r="G3286" s="11">
        <f>E3286-F3286</f>
        <v/>
      </c>
      <c r="H3286" s="11" t="n">
        <v/>
      </c>
      <c r="I3286" s="11" t="n">
        <v/>
      </c>
      <c r="J3286" s="11" t="n">
        <v/>
      </c>
      <c r="K3286" s="4" t="inlineStr">
        <is>
          <t>Abrechnungsart wählen; Stundensätze eingeben</t>
        </is>
      </c>
    </row>
    <row r="3287">
      <c r="A3287" s="4" t="inlineStr">
        <is>
          <t>6647 Asiral-BSK-Firmenneubau-In-den-Seewiesen-Edenkoben</t>
        </is>
      </c>
      <c r="B3287" s="4" t="inlineStr">
        <is>
          <t>● • ‧ 2211-Teilnahme Besprechungen....</t>
        </is>
      </c>
      <c r="C3287" s="9" t="inlineStr">
        <is>
          <t>Unbekannt</t>
        </is>
      </c>
      <c r="D3287" s="10" t="inlineStr">
        <is>
          <t>⚠ Manual erforderlich</t>
        </is>
      </c>
      <c r="E3287" s="11" t="inlineStr"/>
      <c r="F3287" s="11" t="n">
        <v>0</v>
      </c>
      <c r="G3287" s="11">
        <f>E3287-F3287</f>
        <v/>
      </c>
      <c r="H3287" s="11" t="n">
        <v/>
      </c>
      <c r="I3287" s="11" t="n">
        <v/>
      </c>
      <c r="J3287" s="11" t="n">
        <v/>
      </c>
      <c r="K3287" s="4" t="inlineStr">
        <is>
          <t>Abrechnungsart wählen; Stundensätze eingeben</t>
        </is>
      </c>
    </row>
    <row r="3288">
      <c r="A3288" s="4" t="inlineStr">
        <is>
          <t>6647 Asiral-BSK-Firmenneubau-In-den-Seewiesen-Edenkoben</t>
        </is>
      </c>
      <c r="B3288" s="4" t="inlineStr">
        <is>
          <t>● • ‧ 2103-Vorabstimmungen Behörden….</t>
        </is>
      </c>
      <c r="C3288" s="9" t="inlineStr">
        <is>
          <t>Unbekannt</t>
        </is>
      </c>
      <c r="D3288" s="10" t="inlineStr">
        <is>
          <t>⚠ Manual erforderlich</t>
        </is>
      </c>
      <c r="E3288" s="11" t="inlineStr"/>
      <c r="F3288" s="11" t="n">
        <v>0</v>
      </c>
      <c r="G3288" s="11">
        <f>E3288-F3288</f>
        <v/>
      </c>
      <c r="H3288" s="11" t="n">
        <v/>
      </c>
      <c r="I3288" s="11" t="n">
        <v/>
      </c>
      <c r="J3288" s="11" t="n">
        <v/>
      </c>
      <c r="K3288" s="4" t="inlineStr">
        <is>
          <t>Abrechnungsart wählen; Stundensätze eingeben</t>
        </is>
      </c>
    </row>
    <row r="3289">
      <c r="A3289" s="4" t="inlineStr">
        <is>
          <t>6647 Asiral-BSK-Firmenneubau-In-den-Seewiesen-Edenkoben</t>
        </is>
      </c>
      <c r="B3289" s="4" t="inlineStr">
        <is>
          <t>● • ‧ 2302-Beratungsleistungen in der Planungsphase...</t>
        </is>
      </c>
      <c r="C3289" s="9" t="inlineStr">
        <is>
          <t>Unbekannt</t>
        </is>
      </c>
      <c r="D3289" s="10" t="inlineStr">
        <is>
          <t>⚠ Manual erforderlich</t>
        </is>
      </c>
      <c r="E3289" s="11" t="inlineStr"/>
      <c r="F3289" s="11" t="n">
        <v>0</v>
      </c>
      <c r="G3289" s="11">
        <f>E3289-F3289</f>
        <v/>
      </c>
      <c r="H3289" s="11" t="n">
        <v/>
      </c>
      <c r="I3289" s="11" t="n">
        <v/>
      </c>
      <c r="J3289" s="11" t="n">
        <v/>
      </c>
      <c r="K3289" s="4" t="inlineStr">
        <is>
          <t>Abrechnungsart wählen; Stundensätze eingeben</t>
        </is>
      </c>
    </row>
    <row r="3290">
      <c r="A3290" s="4" t="inlineStr">
        <is>
          <t>6647 Asiral-BSK-Firmenneubau-In-den-Seewiesen-Edenkoben</t>
        </is>
      </c>
      <c r="B3290" s="4" t="inlineStr">
        <is>
          <t>● • BSK (pauschal)</t>
        </is>
      </c>
      <c r="C3290" s="9" t="inlineStr">
        <is>
          <t>Unbekannt</t>
        </is>
      </c>
      <c r="D3290" s="10" t="inlineStr">
        <is>
          <t>⚠ Manual erforderlich</t>
        </is>
      </c>
      <c r="E3290" s="11" t="inlineStr"/>
      <c r="F3290" s="11" t="n">
        <v>0</v>
      </c>
      <c r="G3290" s="11">
        <f>E3290-F3290</f>
        <v/>
      </c>
      <c r="H3290" s="11" t="n">
        <v/>
      </c>
      <c r="I3290" s="11" t="n">
        <v/>
      </c>
      <c r="J3290" s="11" t="n">
        <v/>
      </c>
      <c r="K3290" s="4" t="inlineStr">
        <is>
          <t>Abrechnungsart wählen; Stundensätze eingeben</t>
        </is>
      </c>
    </row>
    <row r="3291">
      <c r="A3291" s="4" t="inlineStr">
        <is>
          <t>6647 Asiral-BSK-Firmenneubau-In-den-Seewiesen-Edenkoben</t>
        </is>
      </c>
      <c r="B3291" s="4" t="inlineStr">
        <is>
          <t>● • ‧ 8305-Beratungsleistungen bei Sonderdetails in der Ausführung....</t>
        </is>
      </c>
      <c r="C3291" s="9" t="inlineStr">
        <is>
          <t>Unbekannt</t>
        </is>
      </c>
      <c r="D3291" s="10" t="inlineStr">
        <is>
          <t>⚠ Manual erforderlich</t>
        </is>
      </c>
      <c r="E3291" s="11" t="inlineStr"/>
      <c r="F3291" s="11" t="n">
        <v>0</v>
      </c>
      <c r="G3291" s="11">
        <f>E3291-F3291</f>
        <v/>
      </c>
      <c r="H3291" s="11" t="n">
        <v/>
      </c>
      <c r="I3291" s="11" t="n">
        <v/>
      </c>
      <c r="J3291" s="11" t="n">
        <v/>
      </c>
      <c r="K3291" s="4" t="inlineStr">
        <is>
          <t>Abrechnungsart wählen; Stundensätze eingeben</t>
        </is>
      </c>
    </row>
    <row r="3292">
      <c r="A3292" s="4" t="inlineStr">
        <is>
          <t>6647 Asiral-BSK-Firmenneubau-In-den-Seewiesen-Edenkoben</t>
        </is>
      </c>
      <c r="B3292" s="4" t="inlineStr">
        <is>
          <t>● • ‧ 8100-Prüfen der Ausführung auf prinzipielle Übereinstimmung (Stufe 1)....</t>
        </is>
      </c>
      <c r="C3292" s="9" t="inlineStr">
        <is>
          <t>Unbekannt</t>
        </is>
      </c>
      <c r="D3292" s="10" t="inlineStr">
        <is>
          <t>⚠ Manual erforderlich</t>
        </is>
      </c>
      <c r="E3292" s="11" t="inlineStr"/>
      <c r="F3292" s="11" t="n">
        <v>0</v>
      </c>
      <c r="G3292" s="11">
        <f>E3292-F3292</f>
        <v/>
      </c>
      <c r="H3292" s="11" t="n">
        <v/>
      </c>
      <c r="I3292" s="11" t="n">
        <v/>
      </c>
      <c r="J3292" s="11" t="n">
        <v/>
      </c>
      <c r="K3292" s="4" t="inlineStr">
        <is>
          <t>Abrechnungsart wählen; Stundensätze eingeben</t>
        </is>
      </c>
    </row>
    <row r="3293">
      <c r="A3293" s="4" t="inlineStr">
        <is>
          <t>6647 Asiral-BSK-Firmenneubau-In-den-Seewiesen-Edenkoben</t>
        </is>
      </c>
      <c r="B3293" s="4" t="inlineStr">
        <is>
          <t>● • ‧ 8104-Statusbericht Bewertung auf Möglichkeiten zur Inbetriebnahme….</t>
        </is>
      </c>
      <c r="C3293" s="9" t="inlineStr">
        <is>
          <t>Unbekannt</t>
        </is>
      </c>
      <c r="D3293" s="10" t="inlineStr">
        <is>
          <t>⚠ Manual erforderlich</t>
        </is>
      </c>
      <c r="E3293" s="11" t="inlineStr"/>
      <c r="F3293" s="11" t="n">
        <v>0</v>
      </c>
      <c r="G3293" s="11">
        <f>E3293-F3293</f>
        <v/>
      </c>
      <c r="H3293" s="11" t="n">
        <v/>
      </c>
      <c r="I3293" s="11" t="n">
        <v/>
      </c>
      <c r="J3293" s="11" t="n">
        <v/>
      </c>
      <c r="K3293" s="4" t="inlineStr">
        <is>
          <t>Abrechnungsart wählen; Stundensätze eingeben</t>
        </is>
      </c>
    </row>
    <row r="3294">
      <c r="A3294" s="4" t="inlineStr">
        <is>
          <t>6648 oPVA-S21-Berlin-Neubau-HP-Perleberger-Brücke-ganzheitliches-BSK</t>
        </is>
      </c>
      <c r="B3294" s="4" t="inlineStr">
        <is>
          <t>● Ganzheitliches Brankdschutzkonzept Teil A</t>
        </is>
      </c>
      <c r="C3294" s="9" t="inlineStr">
        <is>
          <t>Unbekannt</t>
        </is>
      </c>
      <c r="D3294" s="10" t="inlineStr">
        <is>
          <t>⚠ Manual erforderlich</t>
        </is>
      </c>
      <c r="E3294" s="11" t="inlineStr"/>
      <c r="F3294" s="11" t="n">
        <v>0</v>
      </c>
      <c r="G3294" s="11">
        <f>E3294-F3294</f>
        <v/>
      </c>
      <c r="H3294" s="11" t="n">
        <v/>
      </c>
      <c r="I3294" s="11" t="n">
        <v/>
      </c>
      <c r="J3294" s="11" t="n">
        <v/>
      </c>
      <c r="K3294" s="4" t="inlineStr">
        <is>
          <t>Abrechnungsart wählen; Stundensätze eingeben</t>
        </is>
      </c>
    </row>
    <row r="3295">
      <c r="A3295" s="4" t="inlineStr">
        <is>
          <t>6648 oPVA-S21-Berlin-Neubau-HP-Perleberger-Brücke-ganzheitliches-BSK</t>
        </is>
      </c>
      <c r="B3295" s="4" t="inlineStr">
        <is>
          <t>● Brandschutztechnische Fachbegleitung Teil B LPH1-4</t>
        </is>
      </c>
      <c r="C3295" s="9" t="inlineStr">
        <is>
          <t>Unbekannt</t>
        </is>
      </c>
      <c r="D3295" s="10" t="inlineStr">
        <is>
          <t>⚠ Manual erforderlich</t>
        </is>
      </c>
      <c r="E3295" s="11" t="inlineStr"/>
      <c r="F3295" s="11" t="n">
        <v>0</v>
      </c>
      <c r="G3295" s="11">
        <f>E3295-F3295</f>
        <v/>
      </c>
      <c r="H3295" s="11" t="n">
        <v/>
      </c>
      <c r="I3295" s="11" t="n">
        <v/>
      </c>
      <c r="J3295" s="11" t="n">
        <v/>
      </c>
      <c r="K3295" s="4" t="inlineStr">
        <is>
          <t>Abrechnungsart wählen; Stundensätze eingeben</t>
        </is>
      </c>
    </row>
    <row r="3296">
      <c r="A3296" s="4" t="inlineStr">
        <is>
          <t>6656 PL-Trinkwassertrennung-LA-Netz-Winterberg1-Saarbrücken-FLA</t>
        </is>
      </c>
      <c r="B3296" s="4" t="inlineStr">
        <is>
          <t>● LP 2 pauschal</t>
        </is>
      </c>
      <c r="C3296" s="9" t="inlineStr">
        <is>
          <t>Unbekannt</t>
        </is>
      </c>
      <c r="D3296" s="10" t="inlineStr">
        <is>
          <t>⚠ Manual erforderlich</t>
        </is>
      </c>
      <c r="E3296" s="11" t="inlineStr"/>
      <c r="F3296" s="11" t="n">
        <v>0</v>
      </c>
      <c r="G3296" s="11">
        <f>E3296-F3296</f>
        <v/>
      </c>
      <c r="H3296" s="11" t="n">
        <v/>
      </c>
      <c r="I3296" s="11" t="n">
        <v/>
      </c>
      <c r="J3296" s="11" t="n">
        <v/>
      </c>
      <c r="K3296" s="4" t="inlineStr">
        <is>
          <t>Abrechnungsart wählen; Stundensätze eingeben</t>
        </is>
      </c>
    </row>
    <row r="3297">
      <c r="A3297" s="4" t="inlineStr">
        <is>
          <t>6656 PL-Trinkwassertrennung-LA-Netz-Winterberg1-Saarbrücken-FLA</t>
        </is>
      </c>
      <c r="B3297" s="4" t="inlineStr">
        <is>
          <t>● LP 3 pauschal</t>
        </is>
      </c>
      <c r="C3297" s="9" t="inlineStr">
        <is>
          <t>Unbekannt</t>
        </is>
      </c>
      <c r="D3297" s="10" t="inlineStr">
        <is>
          <t>⚠ Manual erforderlich</t>
        </is>
      </c>
      <c r="E3297" s="11" t="inlineStr"/>
      <c r="F3297" s="11" t="n">
        <v>0</v>
      </c>
      <c r="G3297" s="11">
        <f>E3297-F3297</f>
        <v/>
      </c>
      <c r="H3297" s="11" t="n">
        <v/>
      </c>
      <c r="I3297" s="11" t="n">
        <v/>
      </c>
      <c r="J3297" s="11" t="n">
        <v/>
      </c>
      <c r="K3297" s="4" t="inlineStr">
        <is>
          <t>Abrechnungsart wählen; Stundensätze eingeben</t>
        </is>
      </c>
    </row>
    <row r="3298">
      <c r="A3298" s="4" t="inlineStr">
        <is>
          <t>6656 PL-Trinkwassertrennung-LA-Netz-Winterberg1-Saarbrücken-FLA</t>
        </is>
      </c>
      <c r="B3298" s="4" t="inlineStr">
        <is>
          <t>● LP 4 pauschal</t>
        </is>
      </c>
      <c r="C3298" s="9" t="inlineStr">
        <is>
          <t>Unbekannt</t>
        </is>
      </c>
      <c r="D3298" s="10" t="inlineStr">
        <is>
          <t>⚠ Manual erforderlich</t>
        </is>
      </c>
      <c r="E3298" s="11" t="inlineStr"/>
      <c r="F3298" s="11" t="n">
        <v>0</v>
      </c>
      <c r="G3298" s="11">
        <f>E3298-F3298</f>
        <v/>
      </c>
      <c r="H3298" s="11" t="n">
        <v/>
      </c>
      <c r="I3298" s="11" t="n">
        <v/>
      </c>
      <c r="J3298" s="11" t="n">
        <v/>
      </c>
      <c r="K3298" s="4" t="inlineStr">
        <is>
          <t>Abrechnungsart wählen; Stundensätze eingeben</t>
        </is>
      </c>
    </row>
    <row r="3299">
      <c r="A3299" s="4" t="inlineStr">
        <is>
          <t>6656 PL-Trinkwassertrennung-LA-Netz-Winterberg1-Saarbrücken-FLA</t>
        </is>
      </c>
      <c r="B3299" s="4" t="inlineStr">
        <is>
          <t>● LP 5 pauschal</t>
        </is>
      </c>
      <c r="C3299" s="9" t="inlineStr">
        <is>
          <t>Unbekannt</t>
        </is>
      </c>
      <c r="D3299" s="10" t="inlineStr">
        <is>
          <t>⚠ Manual erforderlich</t>
        </is>
      </c>
      <c r="E3299" s="11" t="inlineStr"/>
      <c r="F3299" s="11" t="n">
        <v>0</v>
      </c>
      <c r="G3299" s="11">
        <f>E3299-F3299</f>
        <v/>
      </c>
      <c r="H3299" s="11" t="n">
        <v/>
      </c>
      <c r="I3299" s="11" t="n">
        <v/>
      </c>
      <c r="J3299" s="11" t="n">
        <v/>
      </c>
      <c r="K3299" s="4" t="inlineStr">
        <is>
          <t>Abrechnungsart wählen; Stundensätze eingeben</t>
        </is>
      </c>
    </row>
    <row r="3300">
      <c r="A3300" s="4" t="inlineStr">
        <is>
          <t>6656 PL-Trinkwassertrennung-LA-Netz-Winterberg1-Saarbrücken-FLA</t>
        </is>
      </c>
      <c r="B3300" s="4" t="inlineStr">
        <is>
          <t>● LP 6 pauschal</t>
        </is>
      </c>
      <c r="C3300" s="9" t="inlineStr">
        <is>
          <t>Unbekannt</t>
        </is>
      </c>
      <c r="D3300" s="10" t="inlineStr">
        <is>
          <t>⚠ Manual erforderlich</t>
        </is>
      </c>
      <c r="E3300" s="11" t="inlineStr"/>
      <c r="F3300" s="11" t="n">
        <v>0</v>
      </c>
      <c r="G3300" s="11">
        <f>E3300-F3300</f>
        <v/>
      </c>
      <c r="H3300" s="11" t="n">
        <v/>
      </c>
      <c r="I3300" s="11" t="n">
        <v/>
      </c>
      <c r="J3300" s="11" t="n">
        <v/>
      </c>
      <c r="K3300" s="4" t="inlineStr">
        <is>
          <t>Abrechnungsart wählen; Stundensätze eingeben</t>
        </is>
      </c>
    </row>
    <row r="3301">
      <c r="A3301" s="4" t="inlineStr">
        <is>
          <t>6656 PL-Trinkwassertrennung-LA-Netz-Winterberg1-Saarbrücken-FLA</t>
        </is>
      </c>
      <c r="B3301" s="4" t="inlineStr">
        <is>
          <t>● LP 7 pauschal</t>
        </is>
      </c>
      <c r="C3301" s="9" t="inlineStr">
        <is>
          <t>Unbekannt</t>
        </is>
      </c>
      <c r="D3301" s="10" t="inlineStr">
        <is>
          <t>⚠ Manual erforderlich</t>
        </is>
      </c>
      <c r="E3301" s="11" t="inlineStr"/>
      <c r="F3301" s="11" t="n">
        <v>0</v>
      </c>
      <c r="G3301" s="11">
        <f>E3301-F3301</f>
        <v/>
      </c>
      <c r="H3301" s="11" t="n">
        <v/>
      </c>
      <c r="I3301" s="11" t="n">
        <v/>
      </c>
      <c r="J3301" s="11" t="n">
        <v/>
      </c>
      <c r="K3301" s="4" t="inlineStr">
        <is>
          <t>Abrechnungsart wählen; Stundensätze eingeben</t>
        </is>
      </c>
    </row>
    <row r="3302">
      <c r="A3302" s="4" t="inlineStr">
        <is>
          <t>6656 PL-Trinkwassertrennung-LA-Netz-Winterberg1-Saarbrücken-FLA</t>
        </is>
      </c>
      <c r="B3302" s="4" t="inlineStr">
        <is>
          <t>● LP 8 pauschal</t>
        </is>
      </c>
      <c r="C3302" s="9" t="inlineStr">
        <is>
          <t>Unbekannt</t>
        </is>
      </c>
      <c r="D3302" s="10" t="inlineStr">
        <is>
          <t>⚠ Manual erforderlich</t>
        </is>
      </c>
      <c r="E3302" s="11" t="inlineStr"/>
      <c r="F3302" s="11" t="n">
        <v>0</v>
      </c>
      <c r="G3302" s="11">
        <f>E3302-F3302</f>
        <v/>
      </c>
      <c r="H3302" s="11" t="n">
        <v/>
      </c>
      <c r="I3302" s="11" t="n">
        <v/>
      </c>
      <c r="J3302" s="11" t="n">
        <v/>
      </c>
      <c r="K3302" s="4" t="inlineStr">
        <is>
          <t>Abrechnungsart wählen; Stundensätze eingeben</t>
        </is>
      </c>
    </row>
    <row r="3303">
      <c r="A3303" s="4" t="inlineStr">
        <is>
          <t>6658.05 Ludwig-Erhard-Anlage2-8-Frankfurt-Studie</t>
        </is>
      </c>
      <c r="B3303" s="4" t="inlineStr">
        <is>
          <t>● (a.N.) Beratungsleistung</t>
        </is>
      </c>
      <c r="C3303" s="4" t="inlineStr">
        <is>
          <t>Nachweis</t>
        </is>
      </c>
      <c r="D3303" s="10" t="inlineStr">
        <is>
          <t>⚠ Manual erforderlich</t>
        </is>
      </c>
      <c r="E3303" s="11" t="inlineStr"/>
      <c r="F3303" s="11" t="n">
        <v>0</v>
      </c>
      <c r="G3303" s="11">
        <f>E3303-F3303</f>
        <v/>
      </c>
      <c r="H3303" s="11" t="n">
        <v/>
      </c>
      <c r="I3303" s="11" t="n">
        <v/>
      </c>
      <c r="J3303" s="11" t="n">
        <v/>
      </c>
      <c r="K3303" s="4" t="inlineStr">
        <is>
          <t>Stundensätze eingeben</t>
        </is>
      </c>
    </row>
    <row r="3304">
      <c r="A3304" s="4" t="inlineStr">
        <is>
          <t>6663 Strahlenbergerstrasse105-107-Offenbach-HPPVO</t>
        </is>
      </c>
      <c r="B3304" s="4" t="inlineStr">
        <is>
          <t>● Prüfung BSN a.N.</t>
        </is>
      </c>
      <c r="C3304" s="9" t="inlineStr">
        <is>
          <t>Unbekannt</t>
        </is>
      </c>
      <c r="D3304" s="10" t="inlineStr">
        <is>
          <t>⚠ Manual erforderlich</t>
        </is>
      </c>
      <c r="E3304" s="11" t="inlineStr"/>
      <c r="F3304" s="11" t="n">
        <v>0</v>
      </c>
      <c r="G3304" s="11">
        <f>E3304-F3304</f>
        <v/>
      </c>
      <c r="H3304" s="11" t="n">
        <v/>
      </c>
      <c r="I3304" s="11" t="n">
        <v/>
      </c>
      <c r="J3304" s="11" t="n">
        <v/>
      </c>
      <c r="K3304" s="4" t="inlineStr">
        <is>
          <t>Abrechnungsart wählen; Stundensätze eingeben</t>
        </is>
      </c>
    </row>
    <row r="3305">
      <c r="A3305" s="4" t="inlineStr">
        <is>
          <t>6663 Strahlenbergerstrasse105-107-Offenbach-HPPVO</t>
        </is>
      </c>
      <c r="B3305" s="4" t="inlineStr">
        <is>
          <t>● Überwachung + Bescheinigung Bauausführung a.N.</t>
        </is>
      </c>
      <c r="C3305" s="9" t="inlineStr">
        <is>
          <t>Unbekannt</t>
        </is>
      </c>
      <c r="D3305" s="10" t="inlineStr">
        <is>
          <t>⚠ Manual erforderlich</t>
        </is>
      </c>
      <c r="E3305" s="11" t="inlineStr"/>
      <c r="F3305" s="11" t="n">
        <v>0</v>
      </c>
      <c r="G3305" s="11">
        <f>E3305-F3305</f>
        <v/>
      </c>
      <c r="H3305" s="11" t="n">
        <v/>
      </c>
      <c r="I3305" s="11" t="n">
        <v/>
      </c>
      <c r="J3305" s="11" t="n">
        <v/>
      </c>
      <c r="K3305" s="4" t="inlineStr">
        <is>
          <t>Abrechnungsart wählen; Stundensätze eingeben</t>
        </is>
      </c>
    </row>
    <row r="3306">
      <c r="A3306" s="4" t="inlineStr">
        <is>
          <t>6664 BarracksBuildings-GEb380ff-Hohenfels-KLEBL</t>
        </is>
      </c>
      <c r="B3306" s="4" t="inlineStr">
        <is>
          <t>● LP1 Grundlagenermittlung (pauschal)</t>
        </is>
      </c>
      <c r="C3306" s="9" t="inlineStr">
        <is>
          <t>Unbekannt</t>
        </is>
      </c>
      <c r="D3306" s="10" t="inlineStr">
        <is>
          <t>⚠ Manual erforderlich</t>
        </is>
      </c>
      <c r="E3306" s="11" t="inlineStr"/>
      <c r="F3306" s="11" t="n">
        <v>0</v>
      </c>
      <c r="G3306" s="11">
        <f>E3306-F3306</f>
        <v/>
      </c>
      <c r="H3306" s="11" t="n">
        <v/>
      </c>
      <c r="I3306" s="11" t="n">
        <v/>
      </c>
      <c r="J3306" s="11" t="n">
        <v/>
      </c>
      <c r="K3306" s="4" t="inlineStr">
        <is>
          <t>Abrechnungsart wählen; Stundensätze eingeben</t>
        </is>
      </c>
    </row>
    <row r="3307">
      <c r="A3307" s="4" t="inlineStr">
        <is>
          <t>6664 BarracksBuildings-GEb380ff-Hohenfels-KLEBL</t>
        </is>
      </c>
      <c r="B3307" s="4" t="inlineStr">
        <is>
          <t>● LP2 Vorplanung (pauschal)</t>
        </is>
      </c>
      <c r="C3307" s="9" t="inlineStr">
        <is>
          <t>Unbekannt</t>
        </is>
      </c>
      <c r="D3307" s="10" t="inlineStr">
        <is>
          <t>⚠ Manual erforderlich</t>
        </is>
      </c>
      <c r="E3307" s="11" t="inlineStr"/>
      <c r="F3307" s="11" t="n">
        <v>0</v>
      </c>
      <c r="G3307" s="11">
        <f>E3307-F3307</f>
        <v/>
      </c>
      <c r="H3307" s="11" t="n">
        <v/>
      </c>
      <c r="I3307" s="11" t="n">
        <v/>
      </c>
      <c r="J3307" s="11" t="n">
        <v/>
      </c>
      <c r="K3307" s="4" t="inlineStr">
        <is>
          <t>Abrechnungsart wählen; Stundensätze eingeben</t>
        </is>
      </c>
    </row>
    <row r="3308">
      <c r="A3308" s="4" t="inlineStr">
        <is>
          <t>6664 BarracksBuildings-GEb380ff-Hohenfels-KLEBL</t>
        </is>
      </c>
      <c r="B3308" s="4" t="inlineStr">
        <is>
          <t>● LP 3Entwurfsplanung (pauschal)</t>
        </is>
      </c>
      <c r="C3308" s="9" t="inlineStr">
        <is>
          <t>Unbekannt</t>
        </is>
      </c>
      <c r="D3308" s="10" t="inlineStr">
        <is>
          <t>⚠ Manual erforderlich</t>
        </is>
      </c>
      <c r="E3308" s="11" t="inlineStr"/>
      <c r="F3308" s="11" t="n">
        <v>0</v>
      </c>
      <c r="G3308" s="11">
        <f>E3308-F3308</f>
        <v/>
      </c>
      <c r="H3308" s="11" t="n">
        <v/>
      </c>
      <c r="I3308" s="11" t="n">
        <v/>
      </c>
      <c r="J3308" s="11" t="n">
        <v/>
      </c>
      <c r="K3308" s="4" t="inlineStr">
        <is>
          <t>Abrechnungsart wählen; Stundensätze eingeben</t>
        </is>
      </c>
    </row>
    <row r="3309">
      <c r="A3309" s="4" t="inlineStr">
        <is>
          <t>6664 BarracksBuildings-GEb380ff-Hohenfels-KLEBL</t>
        </is>
      </c>
      <c r="B3309" s="4" t="inlineStr">
        <is>
          <t>● LP4 Genehmigungsplanung (pauschal)</t>
        </is>
      </c>
      <c r="C3309" s="9" t="inlineStr">
        <is>
          <t>Unbekannt</t>
        </is>
      </c>
      <c r="D3309" s="10" t="inlineStr">
        <is>
          <t>⚠ Manual erforderlich</t>
        </is>
      </c>
      <c r="E3309" s="11" t="inlineStr"/>
      <c r="F3309" s="11" t="n">
        <v>0</v>
      </c>
      <c r="G3309" s="11">
        <f>E3309-F3309</f>
        <v/>
      </c>
      <c r="H3309" s="11" t="n">
        <v/>
      </c>
      <c r="I3309" s="11" t="n">
        <v/>
      </c>
      <c r="J3309" s="11" t="n">
        <v/>
      </c>
      <c r="K3309" s="4" t="inlineStr">
        <is>
          <t>Abrechnungsart wählen; Stundensätze eingeben</t>
        </is>
      </c>
    </row>
    <row r="3310">
      <c r="A3310" s="4" t="inlineStr">
        <is>
          <t>6664 BarracksBuildings-GEb380ff-Hohenfels-KLEBL</t>
        </is>
      </c>
      <c r="B3310" s="4" t="inlineStr">
        <is>
          <t>● LP5 Ausführungsplanung (pauschal)</t>
        </is>
      </c>
      <c r="C3310" s="9" t="inlineStr">
        <is>
          <t>Unbekannt</t>
        </is>
      </c>
      <c r="D3310" s="10" t="inlineStr">
        <is>
          <t>⚠ Manual erforderlich</t>
        </is>
      </c>
      <c r="E3310" s="11" t="inlineStr"/>
      <c r="F3310" s="11" t="n">
        <v>0</v>
      </c>
      <c r="G3310" s="11">
        <f>E3310-F3310</f>
        <v/>
      </c>
      <c r="H3310" s="11" t="n">
        <v/>
      </c>
      <c r="I3310" s="11" t="n">
        <v/>
      </c>
      <c r="J3310" s="11" t="n">
        <v/>
      </c>
      <c r="K3310" s="4" t="inlineStr">
        <is>
          <t>Abrechnungsart wählen; Stundensätze eingeben</t>
        </is>
      </c>
    </row>
    <row r="3311">
      <c r="A3311" s="4" t="inlineStr">
        <is>
          <t>6664 BarracksBuildings-GEb380ff-Hohenfels-KLEBL</t>
        </is>
      </c>
      <c r="B3311" s="4" t="inlineStr">
        <is>
          <t>● LP8 Objektüberwachung (pauschal)</t>
        </is>
      </c>
      <c r="C3311" s="9" t="inlineStr">
        <is>
          <t>Unbekannt</t>
        </is>
      </c>
      <c r="D3311" s="10" t="inlineStr">
        <is>
          <t>⚠ Manual erforderlich</t>
        </is>
      </c>
      <c r="E3311" s="11" t="inlineStr"/>
      <c r="F3311" s="11" t="n">
        <v>0</v>
      </c>
      <c r="G3311" s="11">
        <f>E3311-F3311</f>
        <v/>
      </c>
      <c r="H3311" s="11" t="n">
        <v/>
      </c>
      <c r="I3311" s="11" t="n">
        <v/>
      </c>
      <c r="J3311" s="11" t="n">
        <v/>
      </c>
      <c r="K3311" s="4" t="inlineStr">
        <is>
          <t>Abrechnungsart wählen; Stundensätze eingeben</t>
        </is>
      </c>
    </row>
    <row r="3312">
      <c r="A3312" s="4" t="inlineStr">
        <is>
          <t>6671.01 AHO-BSK-Sharing@EK1-Fresenius-Else-Kröner-Straße-1-Bad Homburg</t>
        </is>
      </c>
      <c r="B3312" s="4" t="inlineStr">
        <is>
          <t>● (p) LP 3 GL Entwiurfsplanung</t>
        </is>
      </c>
      <c r="C3312" s="4" t="inlineStr">
        <is>
          <t>Pauschale</t>
        </is>
      </c>
      <c r="D3312" s="10" t="inlineStr">
        <is>
          <t>⚠ Manual erforderlich</t>
        </is>
      </c>
      <c r="E3312" s="11" t="inlineStr"/>
      <c r="F3312" s="11" t="n">
        <v>0</v>
      </c>
      <c r="G3312" s="11">
        <f>E3312-F3312</f>
        <v/>
      </c>
      <c r="H3312" s="11" t="n">
        <v>0</v>
      </c>
      <c r="I3312" s="11" t="n">
        <v>0</v>
      </c>
      <c r="J3312" s="11" t="n">
        <v>0</v>
      </c>
      <c r="K3312" s="4" t="inlineStr">
        <is>
          <t>Stundensätze eingeben</t>
        </is>
      </c>
    </row>
    <row r="3313">
      <c r="A3313" s="4" t="inlineStr">
        <is>
          <t>6671.01 AHO-BSK-Sharing@EK1-Fresenius-Else-Kröner-Straße-1-Bad Homburg</t>
        </is>
      </c>
      <c r="B3313" s="4" t="inlineStr">
        <is>
          <t>● (p) LP 4 GL Genehmigungsplanung</t>
        </is>
      </c>
      <c r="C3313" s="4" t="inlineStr">
        <is>
          <t>Pauschale</t>
        </is>
      </c>
      <c r="D3313" s="10" t="inlineStr">
        <is>
          <t>⚠ Manual erforderlich</t>
        </is>
      </c>
      <c r="E3313" s="11" t="inlineStr"/>
      <c r="F3313" s="11" t="n">
        <v>0</v>
      </c>
      <c r="G3313" s="11">
        <f>E3313-F3313</f>
        <v/>
      </c>
      <c r="H3313" s="11" t="n">
        <v>0</v>
      </c>
      <c r="I3313" s="11" t="n">
        <v>0</v>
      </c>
      <c r="J3313" s="11" t="n">
        <v>0</v>
      </c>
      <c r="K3313" s="4" t="inlineStr">
        <is>
          <t>Stundensätze eingeben</t>
        </is>
      </c>
    </row>
    <row r="3314">
      <c r="A3314" s="4" t="inlineStr">
        <is>
          <t>6671.01 AHO-BSK-Sharing@EK1-Fresenius-Else-Kröner-Straße-1-Bad Homburg</t>
        </is>
      </c>
      <c r="B3314" s="4" t="inlineStr">
        <is>
          <t>● (p) LP 4 BL</t>
        </is>
      </c>
      <c r="C3314" s="4" t="inlineStr">
        <is>
          <t>Pauschale</t>
        </is>
      </c>
      <c r="D3314" s="10" t="inlineStr">
        <is>
          <t>⚠ Manual erforderlich</t>
        </is>
      </c>
      <c r="E3314" s="11" t="inlineStr"/>
      <c r="F3314" s="11" t="n">
        <v>0</v>
      </c>
      <c r="G3314" s="11">
        <f>E3314-F3314</f>
        <v/>
      </c>
      <c r="H3314" s="11" t="n">
        <v>0</v>
      </c>
      <c r="I3314" s="11" t="n">
        <v>0</v>
      </c>
      <c r="J3314" s="11" t="n">
        <v>0</v>
      </c>
      <c r="K3314" s="4" t="inlineStr">
        <is>
          <t>Stundensätze eingeben</t>
        </is>
      </c>
    </row>
    <row r="3315">
      <c r="A3315" s="4" t="inlineStr">
        <is>
          <t>6671.01 AHO-BSK-Sharing@EK1-Fresenius-Else-Kröner-Straße-1-Bad Homburg</t>
        </is>
      </c>
      <c r="B3315" s="4" t="inlineStr">
        <is>
          <t>● (p) LP 5 GL Ausführungsplanung</t>
        </is>
      </c>
      <c r="C3315" s="4" t="inlineStr">
        <is>
          <t>Pauschale</t>
        </is>
      </c>
      <c r="D3315" s="10" t="inlineStr">
        <is>
          <t>⚠ Manual erforderlich</t>
        </is>
      </c>
      <c r="E3315" s="11" t="inlineStr"/>
      <c r="F3315" s="11" t="n">
        <v>0</v>
      </c>
      <c r="G3315" s="11">
        <f>E3315-F3315</f>
        <v/>
      </c>
      <c r="H3315" s="11" t="n">
        <v>0</v>
      </c>
      <c r="I3315" s="11" t="n">
        <v>0</v>
      </c>
      <c r="J3315" s="11" t="n">
        <v>0</v>
      </c>
      <c r="K3315" s="4" t="inlineStr">
        <is>
          <t>Stundensätze eingeben</t>
        </is>
      </c>
    </row>
    <row r="3316">
      <c r="A3316" s="4" t="inlineStr">
        <is>
          <t>6671.01 AHO-BSK-Sharing@EK1-Fresenius-Else-Kröner-Straße-1-Bad Homburg</t>
        </is>
      </c>
      <c r="B3316" s="4" t="inlineStr">
        <is>
          <t>● (p) LP 5 BL</t>
        </is>
      </c>
      <c r="C3316" s="4" t="inlineStr">
        <is>
          <t>Pauschale</t>
        </is>
      </c>
      <c r="D3316" s="10" t="inlineStr">
        <is>
          <t>⚠ Manual erforderlich</t>
        </is>
      </c>
      <c r="E3316" s="11" t="inlineStr"/>
      <c r="F3316" s="11" t="n">
        <v>0</v>
      </c>
      <c r="G3316" s="11">
        <f>E3316-F3316</f>
        <v/>
      </c>
      <c r="H3316" s="11" t="n">
        <v>0</v>
      </c>
      <c r="I3316" s="11" t="n">
        <v>0</v>
      </c>
      <c r="J3316" s="11" t="n">
        <v>0</v>
      </c>
      <c r="K3316" s="4" t="inlineStr">
        <is>
          <t>Stundensätze eingeben</t>
        </is>
      </c>
    </row>
    <row r="3317">
      <c r="A3317" s="4" t="inlineStr">
        <is>
          <t>6671.01 AHO-BSK-Sharing@EK1-Fresenius-Else-Kröner-Straße-1-Bad Homburg</t>
        </is>
      </c>
      <c r="B3317" s="4" t="inlineStr">
        <is>
          <t>● (a.N.) LP 6 BL</t>
        </is>
      </c>
      <c r="C3317" s="4" t="inlineStr">
        <is>
          <t>Nachweis</t>
        </is>
      </c>
      <c r="D3317" s="10" t="inlineStr">
        <is>
          <t>⚠ Manual erforderlich</t>
        </is>
      </c>
      <c r="E3317" s="11" t="inlineStr"/>
      <c r="F3317" s="11" t="n">
        <v>0</v>
      </c>
      <c r="G3317" s="11">
        <f>E3317-F3317</f>
        <v/>
      </c>
      <c r="H3317" s="11" t="n">
        <v/>
      </c>
      <c r="I3317" s="11" t="n">
        <v/>
      </c>
      <c r="J3317" s="11" t="n">
        <v/>
      </c>
      <c r="K3317" s="4" t="inlineStr">
        <is>
          <t>Stundensätze eingeben</t>
        </is>
      </c>
    </row>
    <row r="3318">
      <c r="A3318" s="4" t="inlineStr">
        <is>
          <t>6671.01 AHO-BSK-Sharing@EK1-Fresenius-Else-Kröner-Straße-1-Bad Homburg</t>
        </is>
      </c>
      <c r="B3318" s="4" t="inlineStr">
        <is>
          <t>● (p) LP8 GL Objektüberwachung</t>
        </is>
      </c>
      <c r="C3318" s="4" t="inlineStr">
        <is>
          <t>Pauschale</t>
        </is>
      </c>
      <c r="D3318" s="10" t="inlineStr">
        <is>
          <t>⚠ Manual erforderlich</t>
        </is>
      </c>
      <c r="E3318" s="11" t="inlineStr"/>
      <c r="F3318" s="11" t="n">
        <v>0</v>
      </c>
      <c r="G3318" s="11">
        <f>E3318-F3318</f>
        <v/>
      </c>
      <c r="H3318" s="11" t="n">
        <v>0</v>
      </c>
      <c r="I3318" s="11" t="n">
        <v>0</v>
      </c>
      <c r="J3318" s="11" t="n">
        <v>0</v>
      </c>
      <c r="K3318" s="4" t="inlineStr">
        <is>
          <t>Stundensätze eingeben</t>
        </is>
      </c>
    </row>
    <row r="3319">
      <c r="A3319" s="4" t="inlineStr">
        <is>
          <t>6671.01 AHO-BSK-Sharing@EK1-Fresenius-Else-Kröner-Straße-1-Bad Homburg</t>
        </is>
      </c>
      <c r="B3319" s="4" t="inlineStr">
        <is>
          <t>● (a.N./p) LP 8 BL</t>
        </is>
      </c>
      <c r="C3319" s="9" t="inlineStr">
        <is>
          <t>Unbekannt</t>
        </is>
      </c>
      <c r="D3319" s="10" t="inlineStr">
        <is>
          <t>⚠ Manual erforderlich</t>
        </is>
      </c>
      <c r="E3319" s="11" t="inlineStr"/>
      <c r="F3319" s="11" t="n">
        <v>0</v>
      </c>
      <c r="G3319" s="11">
        <f>E3319-F3319</f>
        <v/>
      </c>
      <c r="H3319" s="11" t="n">
        <v/>
      </c>
      <c r="I3319" s="11" t="n">
        <v/>
      </c>
      <c r="J3319" s="11" t="n">
        <v/>
      </c>
      <c r="K3319" s="4" t="inlineStr">
        <is>
          <t>Abrechnungsart wählen; Stundensätze eingeben</t>
        </is>
      </c>
    </row>
    <row r="3320">
      <c r="A3320" s="4" t="inlineStr">
        <is>
          <t>6671.01 AHO-BSK-Sharing@EK1-Fresenius-Else-Kröner-Straße-1-Bad Homburg</t>
        </is>
      </c>
      <c r="B3320" s="4" t="inlineStr">
        <is>
          <t>● (a.N./p) LP 9 BL</t>
        </is>
      </c>
      <c r="C3320" s="9" t="inlineStr">
        <is>
          <t>Unbekannt</t>
        </is>
      </c>
      <c r="D3320" s="10" t="inlineStr">
        <is>
          <t>⚠ Manual erforderlich</t>
        </is>
      </c>
      <c r="E3320" s="11" t="inlineStr"/>
      <c r="F3320" s="11" t="n">
        <v>0</v>
      </c>
      <c r="G3320" s="11">
        <f>E3320-F3320</f>
        <v/>
      </c>
      <c r="H3320" s="11" t="n">
        <v/>
      </c>
      <c r="I3320" s="11" t="n">
        <v/>
      </c>
      <c r="J3320" s="11" t="n">
        <v/>
      </c>
      <c r="K3320" s="4" t="inlineStr">
        <is>
          <t>Abrechnungsart wählen; Stundensätze eingeben</t>
        </is>
      </c>
    </row>
    <row r="3321">
      <c r="A3321" s="4" t="inlineStr">
        <is>
          <t>6671.03 BST-Sharing@EK1-Fresenius-Else-Kröner-Straße-1-Bad Homburg</t>
        </is>
      </c>
      <c r="B3321" s="4" t="inlineStr">
        <is>
          <t>● (p) Pos.1 Erstellung brandschutztechn. Stellungnahme</t>
        </is>
      </c>
      <c r="C3321" s="4" t="inlineStr">
        <is>
          <t>Pauschale</t>
        </is>
      </c>
      <c r="D3321" s="10" t="inlineStr">
        <is>
          <t>⚠ Manual erforderlich</t>
        </is>
      </c>
      <c r="E3321" s="11" t="inlineStr"/>
      <c r="F3321" s="11" t="n">
        <v>0</v>
      </c>
      <c r="G3321" s="11">
        <f>E3321-F3321</f>
        <v/>
      </c>
      <c r="H3321" s="11" t="n">
        <v>0</v>
      </c>
      <c r="I3321" s="11" t="n">
        <v>0</v>
      </c>
      <c r="J3321" s="11" t="n">
        <v>0</v>
      </c>
      <c r="K3321" s="4" t="inlineStr">
        <is>
          <t>Stundensätze eingeben</t>
        </is>
      </c>
    </row>
    <row r="3322">
      <c r="A3322" s="4" t="inlineStr">
        <is>
          <t>6672 RMK-Teilneubau-Krankenhaus-Freudenstadt</t>
        </is>
      </c>
      <c r="B3322" s="4" t="inlineStr">
        <is>
          <t>● Räumungskonzept u. Planunterlagen (a.N.)</t>
        </is>
      </c>
      <c r="C3322" s="4" t="inlineStr">
        <is>
          <t>Nachweis</t>
        </is>
      </c>
      <c r="D3322" s="10" t="inlineStr">
        <is>
          <t>⚠ Manual erforderlich</t>
        </is>
      </c>
      <c r="E3322" s="11" t="inlineStr"/>
      <c r="F3322" s="11" t="n">
        <v>0</v>
      </c>
      <c r="G3322" s="11">
        <f>E3322-F3322</f>
        <v/>
      </c>
      <c r="H3322" s="11" t="n">
        <v/>
      </c>
      <c r="I3322" s="11" t="n">
        <v/>
      </c>
      <c r="J3322" s="11" t="n">
        <v/>
      </c>
      <c r="K3322" s="4" t="inlineStr">
        <is>
          <t>Stundensätze eingeben</t>
        </is>
      </c>
    </row>
    <row r="3323">
      <c r="A3323" s="4" t="inlineStr">
        <is>
          <t>6672 RMK-Teilneubau-Krankenhaus-Freudenstadt</t>
        </is>
      </c>
      <c r="B3323" s="4" t="inlineStr">
        <is>
          <t>● (a.N.) Pos.1 RAK (Räumungskarten)</t>
        </is>
      </c>
      <c r="C3323" s="4" t="inlineStr">
        <is>
          <t>Nachweis</t>
        </is>
      </c>
      <c r="D3323" s="10" t="inlineStr">
        <is>
          <t>⚠ Manual erforderlich</t>
        </is>
      </c>
      <c r="E3323" s="11" t="inlineStr"/>
      <c r="F3323" s="11" t="n">
        <v>0</v>
      </c>
      <c r="G3323" s="11">
        <f>E3323-F3323</f>
        <v/>
      </c>
      <c r="H3323" s="11" t="n">
        <v/>
      </c>
      <c r="I3323" s="11" t="n">
        <v/>
      </c>
      <c r="J3323" s="11" t="n">
        <v/>
      </c>
      <c r="K3323" s="4" t="inlineStr">
        <is>
          <t>Stundensätze eingeben</t>
        </is>
      </c>
    </row>
    <row r="3324">
      <c r="A3324" s="4" t="inlineStr">
        <is>
          <t>6672 RMK-Teilneubau-Krankenhaus-Freudenstadt</t>
        </is>
      </c>
      <c r="B3324" s="4" t="inlineStr">
        <is>
          <t>● (a.N.) Pos.2 RAP (Räumungspläne)</t>
        </is>
      </c>
      <c r="C3324" s="4" t="inlineStr">
        <is>
          <t>Nachweis</t>
        </is>
      </c>
      <c r="D3324" s="10" t="inlineStr">
        <is>
          <t>⚠ Manual erforderlich</t>
        </is>
      </c>
      <c r="E3324" s="11" t="inlineStr"/>
      <c r="F3324" s="11" t="n">
        <v>0</v>
      </c>
      <c r="G3324" s="11">
        <f>E3324-F3324</f>
        <v/>
      </c>
      <c r="H3324" s="11" t="n">
        <v/>
      </c>
      <c r="I3324" s="11" t="n">
        <v/>
      </c>
      <c r="J3324" s="11" t="n">
        <v/>
      </c>
      <c r="K3324" s="4" t="inlineStr">
        <is>
          <t>Stundensätze eingeben</t>
        </is>
      </c>
    </row>
    <row r="3325">
      <c r="A3325" s="4" t="inlineStr">
        <is>
          <t>6676.01 BSN-Ladengeschäft-EG-Braubachstraße-7-Frankfurt</t>
        </is>
      </c>
      <c r="B3325" s="4" t="inlineStr">
        <is>
          <t>● (p) Erstellung BSN</t>
        </is>
      </c>
      <c r="C3325" s="4" t="inlineStr">
        <is>
          <t>Pauschale</t>
        </is>
      </c>
      <c r="D3325" s="10" t="inlineStr">
        <is>
          <t>⚠ Manual erforderlich</t>
        </is>
      </c>
      <c r="E3325" s="11" t="inlineStr"/>
      <c r="F3325" s="11" t="n">
        <v>0</v>
      </c>
      <c r="G3325" s="11">
        <f>E3325-F3325</f>
        <v/>
      </c>
      <c r="H3325" s="11" t="n">
        <v>0</v>
      </c>
      <c r="I3325" s="11" t="n">
        <v>0</v>
      </c>
      <c r="J3325" s="11" t="n">
        <v>0</v>
      </c>
      <c r="K3325" s="4" t="inlineStr">
        <is>
          <t>Stundensätze eingeben</t>
        </is>
      </c>
    </row>
    <row r="3326">
      <c r="A3326" s="4" t="inlineStr">
        <is>
          <t>6676.01 BSN-Ladengeschäft-EG-Braubachstraße-7-Frankfurt</t>
        </is>
      </c>
      <c r="B3326" s="4" t="inlineStr">
        <is>
          <t>● (a.N.) Baubegleitung</t>
        </is>
      </c>
      <c r="C3326" s="4" t="inlineStr">
        <is>
          <t>Nachweis</t>
        </is>
      </c>
      <c r="D3326" s="10" t="inlineStr">
        <is>
          <t>⚠ Manual erforderlich</t>
        </is>
      </c>
      <c r="E3326" s="11" t="inlineStr"/>
      <c r="F3326" s="11" t="n">
        <v>0</v>
      </c>
      <c r="G3326" s="11">
        <f>E3326-F3326</f>
        <v/>
      </c>
      <c r="H3326" s="11" t="n">
        <v/>
      </c>
      <c r="I3326" s="11" t="n">
        <v/>
      </c>
      <c r="J3326" s="11" t="n">
        <v/>
      </c>
      <c r="K3326" s="4" t="inlineStr">
        <is>
          <t>Stundensätze eingeben</t>
        </is>
      </c>
    </row>
    <row r="3327">
      <c r="A3327" s="4" t="inlineStr">
        <is>
          <t>6677.01 BTB-Westend-Carree-Haus-3-Frankfurt</t>
        </is>
      </c>
      <c r="B3327" s="4" t="inlineStr">
        <is>
          <t>● (a.N.) Brandschutztechnische Beratung zu div. Anfragen i.o.g. Liegenschaft inkl. BST</t>
        </is>
      </c>
      <c r="C3327" s="4" t="inlineStr">
        <is>
          <t>Nachweis</t>
        </is>
      </c>
      <c r="D3327" s="10" t="inlineStr">
        <is>
          <t>⚠ Manual erforderlich</t>
        </is>
      </c>
      <c r="E3327" s="11" t="inlineStr"/>
      <c r="F3327" s="11" t="n">
        <v>0</v>
      </c>
      <c r="G3327" s="11">
        <f>E3327-F3327</f>
        <v/>
      </c>
      <c r="H3327" s="11" t="n">
        <v/>
      </c>
      <c r="I3327" s="11" t="n">
        <v/>
      </c>
      <c r="J3327" s="11" t="n">
        <v/>
      </c>
      <c r="K3327" s="4" t="inlineStr">
        <is>
          <t>Stundensätze eingeben</t>
        </is>
      </c>
    </row>
    <row r="3328">
      <c r="A3328" s="4" t="inlineStr">
        <is>
          <t>6677.02 (eh. 5550.05 BSK-Haus-1-Im-Trutz-53-55-Frankfurt-Upper-Westend-Carree</t>
        </is>
      </c>
      <c r="B3328" s="4" t="inlineStr">
        <is>
          <t>● • (p) Pos. 1 Fortschreibung BSK</t>
        </is>
      </c>
      <c r="C3328" s="4" t="inlineStr">
        <is>
          <t>Pauschale</t>
        </is>
      </c>
      <c r="D3328" s="10" t="inlineStr">
        <is>
          <t>⚠ Manual erforderlich</t>
        </is>
      </c>
      <c r="E3328" s="11" t="inlineStr"/>
      <c r="F3328" s="11" t="n">
        <v>0</v>
      </c>
      <c r="G3328" s="11">
        <f>E3328-F3328</f>
        <v/>
      </c>
      <c r="H3328" s="11" t="n">
        <v>0</v>
      </c>
      <c r="I3328" s="11" t="n">
        <v>0</v>
      </c>
      <c r="J3328" s="11" t="n">
        <v>0</v>
      </c>
      <c r="K3328" s="4" t="inlineStr">
        <is>
          <t>Stundensätze eingeben</t>
        </is>
      </c>
    </row>
    <row r="3329">
      <c r="A3329" s="4" t="inlineStr">
        <is>
          <t>6678 FWP-Unternehmenszentrale-Fraport-Gebäude-178</t>
        </is>
      </c>
      <c r="B3329" s="4" t="inlineStr">
        <is>
          <t>● FWP (pauschal)</t>
        </is>
      </c>
      <c r="C3329" s="9" t="inlineStr">
        <is>
          <t>Unbekannt</t>
        </is>
      </c>
      <c r="D3329" s="10" t="inlineStr">
        <is>
          <t>⚠ Manual erforderlich</t>
        </is>
      </c>
      <c r="E3329" s="11" t="inlineStr"/>
      <c r="F3329" s="11" t="n">
        <v>0</v>
      </c>
      <c r="G3329" s="11">
        <f>E3329-F3329</f>
        <v/>
      </c>
      <c r="H3329" s="11" t="n">
        <v/>
      </c>
      <c r="I3329" s="11" t="n">
        <v/>
      </c>
      <c r="J3329" s="11" t="n">
        <v/>
      </c>
      <c r="K3329" s="4" t="inlineStr">
        <is>
          <t>Abrechnungsart wählen; Stundensätze eingeben</t>
        </is>
      </c>
    </row>
    <row r="3330">
      <c r="A3330" s="4" t="inlineStr">
        <is>
          <t>6679 AHO-MA11-LosI-Hochhaus-Mergenthalerallee-7-13-Eschborn</t>
        </is>
      </c>
      <c r="B3330" s="4" t="inlineStr">
        <is>
          <t>● (p.) LP1</t>
        </is>
      </c>
      <c r="C3330" s="9" t="inlineStr">
        <is>
          <t>Unbekannt</t>
        </is>
      </c>
      <c r="D3330" s="10" t="inlineStr">
        <is>
          <t>⚠ Manual erforderlich</t>
        </is>
      </c>
      <c r="E3330" s="11" t="inlineStr"/>
      <c r="F3330" s="11" t="n">
        <v>0</v>
      </c>
      <c r="G3330" s="11">
        <f>E3330-F3330</f>
        <v/>
      </c>
      <c r="H3330" s="11" t="n">
        <v/>
      </c>
      <c r="I3330" s="11" t="n">
        <v/>
      </c>
      <c r="J3330" s="11" t="n">
        <v/>
      </c>
      <c r="K3330" s="4" t="inlineStr">
        <is>
          <t>Abrechnungsart wählen; Stundensätze eingeben</t>
        </is>
      </c>
    </row>
    <row r="3331">
      <c r="A3331" s="4" t="inlineStr">
        <is>
          <t>6679 AHO-MA11-LosI-Hochhaus-Mergenthalerallee-7-13-Eschborn</t>
        </is>
      </c>
      <c r="B3331" s="4" t="inlineStr">
        <is>
          <t>● (p.) LP2</t>
        </is>
      </c>
      <c r="C3331" s="9" t="inlineStr">
        <is>
          <t>Unbekannt</t>
        </is>
      </c>
      <c r="D3331" s="10" t="inlineStr">
        <is>
          <t>⚠ Manual erforderlich</t>
        </is>
      </c>
      <c r="E3331" s="11" t="inlineStr"/>
      <c r="F3331" s="11" t="n">
        <v>0</v>
      </c>
      <c r="G3331" s="11">
        <f>E3331-F3331</f>
        <v/>
      </c>
      <c r="H3331" s="11" t="n">
        <v/>
      </c>
      <c r="I3331" s="11" t="n">
        <v/>
      </c>
      <c r="J3331" s="11" t="n">
        <v/>
      </c>
      <c r="K3331" s="4" t="inlineStr">
        <is>
          <t>Abrechnungsart wählen; Stundensätze eingeben</t>
        </is>
      </c>
    </row>
    <row r="3332">
      <c r="A3332" s="4" t="inlineStr">
        <is>
          <t>6679 AHO-MA11-LosI-Hochhaus-Mergenthalerallee-7-13-Eschborn</t>
        </is>
      </c>
      <c r="B3332" s="4" t="inlineStr">
        <is>
          <t>● (p.) LP3</t>
        </is>
      </c>
      <c r="C3332" s="9" t="inlineStr">
        <is>
          <t>Unbekannt</t>
        </is>
      </c>
      <c r="D3332" s="10" t="inlineStr">
        <is>
          <t>⚠ Manual erforderlich</t>
        </is>
      </c>
      <c r="E3332" s="11" t="inlineStr"/>
      <c r="F3332" s="11" t="n">
        <v>0</v>
      </c>
      <c r="G3332" s="11">
        <f>E3332-F3332</f>
        <v/>
      </c>
      <c r="H3332" s="11" t="n">
        <v/>
      </c>
      <c r="I3332" s="11" t="n">
        <v/>
      </c>
      <c r="J3332" s="11" t="n">
        <v/>
      </c>
      <c r="K3332" s="4" t="inlineStr">
        <is>
          <t>Abrechnungsart wählen; Stundensätze eingeben</t>
        </is>
      </c>
    </row>
    <row r="3333">
      <c r="A3333" s="4" t="inlineStr">
        <is>
          <t>6679 AHO-MA11-LosI-Hochhaus-Mergenthalerallee-7-13-Eschborn</t>
        </is>
      </c>
      <c r="B3333" s="4" t="inlineStr">
        <is>
          <t>● (p.) LP4</t>
        </is>
      </c>
      <c r="C3333" s="9" t="inlineStr">
        <is>
          <t>Unbekannt</t>
        </is>
      </c>
      <c r="D3333" s="10" t="inlineStr">
        <is>
          <t>⚠ Manual erforderlich</t>
        </is>
      </c>
      <c r="E3333" s="11" t="inlineStr"/>
      <c r="F3333" s="11" t="n">
        <v>0</v>
      </c>
      <c r="G3333" s="11">
        <f>E3333-F3333</f>
        <v/>
      </c>
      <c r="H3333" s="11" t="n">
        <v/>
      </c>
      <c r="I3333" s="11" t="n">
        <v/>
      </c>
      <c r="J3333" s="11" t="n">
        <v/>
      </c>
      <c r="K3333" s="4" t="inlineStr">
        <is>
          <t>Abrechnungsart wählen; Stundensätze eingeben</t>
        </is>
      </c>
    </row>
    <row r="3334">
      <c r="A3334" s="4" t="inlineStr">
        <is>
          <t>6679 AHO-MA11-LosI-Hochhaus-Mergenthalerallee-7-13-Eschborn</t>
        </is>
      </c>
      <c r="B3334" s="4" t="inlineStr">
        <is>
          <t>● (p) LP 5</t>
        </is>
      </c>
      <c r="C3334" s="4" t="inlineStr">
        <is>
          <t>Pauschale</t>
        </is>
      </c>
      <c r="D3334" s="10" t="inlineStr">
        <is>
          <t>⚠ Manual erforderlich</t>
        </is>
      </c>
      <c r="E3334" s="11" t="inlineStr"/>
      <c r="F3334" s="11" t="n">
        <v>0</v>
      </c>
      <c r="G3334" s="11">
        <f>E3334-F3334</f>
        <v/>
      </c>
      <c r="H3334" s="11" t="n">
        <v>0</v>
      </c>
      <c r="I3334" s="11" t="n">
        <v>0</v>
      </c>
      <c r="J3334" s="11" t="n">
        <v>0</v>
      </c>
      <c r="K3334" s="4" t="inlineStr">
        <is>
          <t>Stundensätze eingeben</t>
        </is>
      </c>
    </row>
    <row r="3335">
      <c r="A3335" s="4" t="inlineStr">
        <is>
          <t>6679.01 AHO-MA11-LosII-Hochgarage-Mergenthalerallee-7-13-Eschborn</t>
        </is>
      </c>
      <c r="B3335" s="4" t="inlineStr">
        <is>
          <t>● (p.) LP2</t>
        </is>
      </c>
      <c r="C3335" s="9" t="inlineStr">
        <is>
          <t>Unbekannt</t>
        </is>
      </c>
      <c r="D3335" s="10" t="inlineStr">
        <is>
          <t>⚠ Manual erforderlich</t>
        </is>
      </c>
      <c r="E3335" s="11" t="inlineStr"/>
      <c r="F3335" s="11" t="n">
        <v>0</v>
      </c>
      <c r="G3335" s="11">
        <f>E3335-F3335</f>
        <v/>
      </c>
      <c r="H3335" s="11" t="n">
        <v/>
      </c>
      <c r="I3335" s="11" t="n">
        <v/>
      </c>
      <c r="J3335" s="11" t="n">
        <v/>
      </c>
      <c r="K3335" s="4" t="inlineStr">
        <is>
          <t>Abrechnungsart wählen; Stundensätze eingeben</t>
        </is>
      </c>
    </row>
    <row r="3336">
      <c r="A3336" s="4" t="inlineStr">
        <is>
          <t>6679.01 AHO-MA11-LosII-Hochgarage-Mergenthalerallee-7-13-Eschborn</t>
        </is>
      </c>
      <c r="B3336" s="4" t="inlineStr">
        <is>
          <t>● (p.) LP3</t>
        </is>
      </c>
      <c r="C3336" s="9" t="inlineStr">
        <is>
          <t>Unbekannt</t>
        </is>
      </c>
      <c r="D3336" s="10" t="inlineStr">
        <is>
          <t>⚠ Manual erforderlich</t>
        </is>
      </c>
      <c r="E3336" s="11" t="inlineStr"/>
      <c r="F3336" s="11" t="n">
        <v>0</v>
      </c>
      <c r="G3336" s="11">
        <f>E3336-F3336</f>
        <v/>
      </c>
      <c r="H3336" s="11" t="n">
        <v/>
      </c>
      <c r="I3336" s="11" t="n">
        <v/>
      </c>
      <c r="J3336" s="11" t="n">
        <v/>
      </c>
      <c r="K3336" s="4" t="inlineStr">
        <is>
          <t>Abrechnungsart wählen; Stundensätze eingeben</t>
        </is>
      </c>
    </row>
    <row r="3337">
      <c r="A3337" s="4" t="inlineStr">
        <is>
          <t>6679.01 AHO-MA11-LosII-Hochgarage-Mergenthalerallee-7-13-Eschborn</t>
        </is>
      </c>
      <c r="B3337" s="4" t="inlineStr">
        <is>
          <t>● (p.) LP4</t>
        </is>
      </c>
      <c r="C3337" s="9" t="inlineStr">
        <is>
          <t>Unbekannt</t>
        </is>
      </c>
      <c r="D3337" s="10" t="inlineStr">
        <is>
          <t>⚠ Manual erforderlich</t>
        </is>
      </c>
      <c r="E3337" s="11" t="inlineStr"/>
      <c r="F3337" s="11" t="n">
        <v>0</v>
      </c>
      <c r="G3337" s="11">
        <f>E3337-F3337</f>
        <v/>
      </c>
      <c r="H3337" s="11" t="n">
        <v/>
      </c>
      <c r="I3337" s="11" t="n">
        <v/>
      </c>
      <c r="J3337" s="11" t="n">
        <v/>
      </c>
      <c r="K3337" s="4" t="inlineStr">
        <is>
          <t>Abrechnungsart wählen; Stundensätze eingeben</t>
        </is>
      </c>
    </row>
    <row r="3338">
      <c r="A3338" s="4" t="inlineStr">
        <is>
          <t>6680 GSKOK-Heidelberg-Kopfklinik-LP1-2</t>
        </is>
      </c>
      <c r="B3338" s="4" t="inlineStr">
        <is>
          <t>● (p.) LP 1</t>
        </is>
      </c>
      <c r="C3338" s="9" t="inlineStr">
        <is>
          <t>Unbekannt</t>
        </is>
      </c>
      <c r="D3338" s="10" t="inlineStr">
        <is>
          <t>⚠ Manual erforderlich</t>
        </is>
      </c>
      <c r="E3338" s="11" t="inlineStr"/>
      <c r="F3338" s="11" t="n">
        <v>0</v>
      </c>
      <c r="G3338" s="11">
        <f>E3338-F3338</f>
        <v/>
      </c>
      <c r="H3338" s="11" t="n">
        <v/>
      </c>
      <c r="I3338" s="11" t="n">
        <v/>
      </c>
      <c r="J3338" s="11" t="n">
        <v/>
      </c>
      <c r="K3338" s="4" t="inlineStr">
        <is>
          <t>Abrechnungsart wählen; Stundensätze eingeben</t>
        </is>
      </c>
    </row>
    <row r="3339">
      <c r="A3339" s="4" t="inlineStr">
        <is>
          <t>6680 GSKOK-Heidelberg-Kopfklinik-LP1-2</t>
        </is>
      </c>
      <c r="B3339" s="4" t="inlineStr">
        <is>
          <t>● (p.) LP 2</t>
        </is>
      </c>
      <c r="C3339" s="9" t="inlineStr">
        <is>
          <t>Unbekannt</t>
        </is>
      </c>
      <c r="D3339" s="10" t="inlineStr">
        <is>
          <t>⚠ Manual erforderlich</t>
        </is>
      </c>
      <c r="E3339" s="11" t="inlineStr"/>
      <c r="F3339" s="11" t="n">
        <v>0</v>
      </c>
      <c r="G3339" s="11">
        <f>E3339-F3339</f>
        <v/>
      </c>
      <c r="H3339" s="11" t="n">
        <v/>
      </c>
      <c r="I3339" s="11" t="n">
        <v/>
      </c>
      <c r="J3339" s="11" t="n">
        <v/>
      </c>
      <c r="K3339" s="4" t="inlineStr">
        <is>
          <t>Abrechnungsart wählen; Stundensätze eingeben</t>
        </is>
      </c>
    </row>
    <row r="3340">
      <c r="A3340" s="4" t="inlineStr">
        <is>
          <t>6680 GSKOK-Heidelberg-Kopfklinik-LP1-2</t>
        </is>
      </c>
      <c r="B3340" s="4" t="inlineStr">
        <is>
          <t>● (p.) weitere Leistungen</t>
        </is>
      </c>
      <c r="C3340" s="9" t="inlineStr">
        <is>
          <t>Unbekannt</t>
        </is>
      </c>
      <c r="D3340" s="10" t="inlineStr">
        <is>
          <t>⚠ Manual erforderlich</t>
        </is>
      </c>
      <c r="E3340" s="11" t="inlineStr"/>
      <c r="F3340" s="11" t="n">
        <v>0</v>
      </c>
      <c r="G3340" s="11">
        <f>E3340-F3340</f>
        <v/>
      </c>
      <c r="H3340" s="11" t="n">
        <v/>
      </c>
      <c r="I3340" s="11" t="n">
        <v/>
      </c>
      <c r="J3340" s="11" t="n">
        <v/>
      </c>
      <c r="K3340" s="4" t="inlineStr">
        <is>
          <t>Abrechnungsart wählen; Stundensätze eingeben</t>
        </is>
      </c>
    </row>
    <row r="3341">
      <c r="A3341" s="4" t="inlineStr">
        <is>
          <t>6680 GSKOK-Heidelberg-Kopfklinik-LP1-2</t>
        </is>
      </c>
      <c r="B3341" s="4" t="inlineStr">
        <is>
          <t>● (p.)  weitere besondere Leistungen für Planungsbereich 1 (pauschal)</t>
        </is>
      </c>
      <c r="C3341" s="9" t="inlineStr">
        <is>
          <t>Unbekannt</t>
        </is>
      </c>
      <c r="D3341" s="10" t="inlineStr">
        <is>
          <t>⚠ Manual erforderlich</t>
        </is>
      </c>
      <c r="E3341" s="11" t="inlineStr"/>
      <c r="F3341" s="11" t="n">
        <v>0</v>
      </c>
      <c r="G3341" s="11">
        <f>E3341-F3341</f>
        <v/>
      </c>
      <c r="H3341" s="11" t="n">
        <v/>
      </c>
      <c r="I3341" s="11" t="n">
        <v/>
      </c>
      <c r="J3341" s="11" t="n">
        <v/>
      </c>
      <c r="K3341" s="4" t="inlineStr">
        <is>
          <t>Abrechnungsart wählen; Stundensätze eingeben</t>
        </is>
      </c>
    </row>
    <row r="3342">
      <c r="A3342" s="4" t="inlineStr">
        <is>
          <t>6680.01 GSKOK-Heidelberg-Kopfklinik-Neurologie-BTB</t>
        </is>
      </c>
      <c r="B3342" s="4" t="inlineStr">
        <is>
          <t>● (a.N.) Pos.1 BTB für den geplanten Umbaubereich</t>
        </is>
      </c>
      <c r="C3342" s="4" t="inlineStr">
        <is>
          <t>Nachweis</t>
        </is>
      </c>
      <c r="D3342" s="10" t="inlineStr">
        <is>
          <t>⚠ Manual erforderlich</t>
        </is>
      </c>
      <c r="E3342" s="11" t="inlineStr"/>
      <c r="F3342" s="11" t="n">
        <v>0</v>
      </c>
      <c r="G3342" s="11">
        <f>E3342-F3342</f>
        <v/>
      </c>
      <c r="H3342" s="11" t="n">
        <v/>
      </c>
      <c r="I3342" s="11" t="n">
        <v/>
      </c>
      <c r="J3342" s="11" t="n">
        <v/>
      </c>
      <c r="K3342" s="4" t="inlineStr">
        <is>
          <t>Stundensätze eingeben</t>
        </is>
      </c>
    </row>
    <row r="3343">
      <c r="A3343" s="4" t="inlineStr">
        <is>
          <t>6680.02 GSKOK-Heidelberg-Kopfklinik-LP3</t>
        </is>
      </c>
      <c r="B3343" s="4" t="inlineStr">
        <is>
          <t>● (p) LP 3 (BAU OFFEN)</t>
        </is>
      </c>
      <c r="C3343" s="4" t="inlineStr">
        <is>
          <t>Pauschale</t>
        </is>
      </c>
      <c r="D3343" s="10" t="inlineStr">
        <is>
          <t>⚠ Manual erforderlich</t>
        </is>
      </c>
      <c r="E3343" s="11" t="inlineStr"/>
      <c r="F3343" s="11" t="n">
        <v>0</v>
      </c>
      <c r="G3343" s="11">
        <f>E3343-F3343</f>
        <v/>
      </c>
      <c r="H3343" s="11" t="n">
        <v/>
      </c>
      <c r="I3343" s="11" t="n">
        <v/>
      </c>
      <c r="J3343" s="11" t="n">
        <v/>
      </c>
      <c r="K3343" s="4" t="inlineStr">
        <is>
          <t>Stundensätze eingeben</t>
        </is>
      </c>
    </row>
    <row r="3344">
      <c r="A3344" s="4" t="inlineStr">
        <is>
          <t>6687 BTB-Königsteiner Straße-57-Bad Soden</t>
        </is>
      </c>
      <c r="B3344" s="4" t="inlineStr">
        <is>
          <t>● BTB Dachgeschossausbau (a.N.)</t>
        </is>
      </c>
      <c r="C3344" s="4" t="inlineStr">
        <is>
          <t>Nachweis</t>
        </is>
      </c>
      <c r="D3344" s="10" t="inlineStr">
        <is>
          <t>⚠ Manual erforderlich</t>
        </is>
      </c>
      <c r="E3344" s="11" t="inlineStr"/>
      <c r="F3344" s="11" t="n">
        <v>0</v>
      </c>
      <c r="G3344" s="11">
        <f>E3344-F3344</f>
        <v/>
      </c>
      <c r="H3344" s="11" t="n">
        <v/>
      </c>
      <c r="I3344" s="11" t="n">
        <v/>
      </c>
      <c r="J3344" s="11" t="n">
        <v/>
      </c>
      <c r="K3344" s="4" t="inlineStr">
        <is>
          <t>Stundensätze eingeben</t>
        </is>
      </c>
    </row>
    <row r="3345">
      <c r="A3345" s="4" t="inlineStr">
        <is>
          <t>6689.02 Apleona-BT-A+B+T-Thurn+TaxisPalais-Frankfurt</t>
        </is>
      </c>
      <c r="B3345" s="4" t="inlineStr">
        <is>
          <t>● (p) Pos. 1 Grundlagenermittlung teilbeauftragt</t>
        </is>
      </c>
      <c r="C3345" s="4" t="inlineStr">
        <is>
          <t>Pauschale</t>
        </is>
      </c>
      <c r="D3345" s="10" t="inlineStr">
        <is>
          <t>⚠ Manual erforderlich</t>
        </is>
      </c>
      <c r="E3345" s="11" t="inlineStr"/>
      <c r="F3345" s="11" t="n">
        <v>0</v>
      </c>
      <c r="G3345" s="11">
        <f>E3345-F3345</f>
        <v/>
      </c>
      <c r="H3345" s="11" t="n">
        <v>0</v>
      </c>
      <c r="I3345" s="11" t="n">
        <v>0</v>
      </c>
      <c r="J3345" s="11" t="n">
        <v>0</v>
      </c>
      <c r="K3345" s="4" t="inlineStr">
        <is>
          <t>Stundensätze eingeben</t>
        </is>
      </c>
    </row>
    <row r="3346">
      <c r="A3346" s="4" t="inlineStr">
        <is>
          <t>6689.02 Apleona-BT-A+B+T-Thurn+TaxisPalais-Frankfurt</t>
        </is>
      </c>
      <c r="B3346" s="4" t="inlineStr">
        <is>
          <t>● (p) Pos. 2 Detaillierung bzw. Erstellung der Brandfallsteuermatrix Bauteil A – Palais Quartier / Versammlungsstätte</t>
        </is>
      </c>
      <c r="C3346" s="4" t="inlineStr">
        <is>
          <t>Pauschale</t>
        </is>
      </c>
      <c r="D3346" s="10" t="inlineStr">
        <is>
          <t>⚠ Manual erforderlich</t>
        </is>
      </c>
      <c r="E3346" s="11" t="inlineStr"/>
      <c r="F3346" s="11" t="n">
        <v>0</v>
      </c>
      <c r="G3346" s="11">
        <f>E3346-F3346</f>
        <v/>
      </c>
      <c r="H3346" s="11" t="n">
        <v>0</v>
      </c>
      <c r="I3346" s="11" t="n">
        <v>0</v>
      </c>
      <c r="J3346" s="11" t="n">
        <v>0</v>
      </c>
      <c r="K3346" s="4" t="inlineStr">
        <is>
          <t>Stundensätze eingeben</t>
        </is>
      </c>
    </row>
    <row r="3347">
      <c r="A3347" s="4" t="inlineStr">
        <is>
          <t>6689.02 Apleona-BT-A+B+T-Thurn+TaxisPalais-Frankfurt</t>
        </is>
      </c>
      <c r="B3347" s="4" t="inlineStr">
        <is>
          <t>● (p) Pos. 4 Detaillierung bzw. Erstellung der Brandfallsteuermatrix Bauteil T / Tiefgarage</t>
        </is>
      </c>
      <c r="C3347" s="4" t="inlineStr">
        <is>
          <t>Pauschale</t>
        </is>
      </c>
      <c r="D3347" s="10" t="inlineStr">
        <is>
          <t>⚠ Manual erforderlich</t>
        </is>
      </c>
      <c r="E3347" s="11" t="inlineStr"/>
      <c r="F3347" s="11" t="n">
        <v>0</v>
      </c>
      <c r="G3347" s="11">
        <f>E3347-F3347</f>
        <v/>
      </c>
      <c r="H3347" s="11" t="n">
        <v>0</v>
      </c>
      <c r="I3347" s="11" t="n">
        <v>0</v>
      </c>
      <c r="J3347" s="11" t="n">
        <v>0</v>
      </c>
      <c r="K3347" s="4" t="inlineStr">
        <is>
          <t>Stundensätze eingeben</t>
        </is>
      </c>
    </row>
    <row r="3348">
      <c r="A3348" s="4" t="inlineStr">
        <is>
          <t>6689.03 Apleona-BT-B-Thurn+TaxisPalais-Frankfurt-Brandfallsteuermatrix</t>
        </is>
      </c>
      <c r="B3348" s="4" t="inlineStr">
        <is>
          <t>● (p) Pos. 3 Detalierung bzw. Erstellung der Brandfallsteuermatrix Bauteil B - Nexttower/Hochhaus</t>
        </is>
      </c>
      <c r="C3348" s="4" t="inlineStr">
        <is>
          <t>Pauschale</t>
        </is>
      </c>
      <c r="D3348" s="10" t="inlineStr">
        <is>
          <t>⚠ Manual erforderlich</t>
        </is>
      </c>
      <c r="E3348" s="11" t="inlineStr"/>
      <c r="F3348" s="11" t="n">
        <v>0</v>
      </c>
      <c r="G3348" s="11">
        <f>E3348-F3348</f>
        <v/>
      </c>
      <c r="H3348" s="11" t="n">
        <v/>
      </c>
      <c r="I3348" s="11" t="n">
        <v/>
      </c>
      <c r="J3348" s="11" t="n">
        <v/>
      </c>
      <c r="K3348" s="4" t="inlineStr">
        <is>
          <t>Stundensätze eingeben</t>
        </is>
      </c>
    </row>
    <row r="3349">
      <c r="A3349" s="4" t="inlineStr">
        <is>
          <t>6691 BSK-Louise-von-Rothschild-Schule-Weidenbornschule-Usinger-Str-24-Ffm</t>
        </is>
      </c>
      <c r="B3349" s="4" t="inlineStr">
        <is>
          <t>● Objektbegehung und Digitalisierung v. Plänen (pauschal)</t>
        </is>
      </c>
      <c r="C3349" s="9" t="inlineStr">
        <is>
          <t>Unbekannt</t>
        </is>
      </c>
      <c r="D3349" s="10" t="inlineStr">
        <is>
          <t>⚠ Manual erforderlich</t>
        </is>
      </c>
      <c r="E3349" s="11" t="inlineStr"/>
      <c r="F3349" s="11" t="n">
        <v>0</v>
      </c>
      <c r="G3349" s="11">
        <f>E3349-F3349</f>
        <v/>
      </c>
      <c r="H3349" s="11" t="n">
        <v/>
      </c>
      <c r="I3349" s="11" t="n">
        <v/>
      </c>
      <c r="J3349" s="11" t="n">
        <v/>
      </c>
      <c r="K3349" s="4" t="inlineStr">
        <is>
          <t>Abrechnungsart wählen; Stundensätze eingeben</t>
        </is>
      </c>
    </row>
    <row r="3350">
      <c r="A3350" s="4" t="inlineStr">
        <is>
          <t>6691 BSK-Louise-von-Rothschild-Schule-Weidenbornschule-Usinger-Str-24-Ffm</t>
        </is>
      </c>
      <c r="B3350" s="4" t="inlineStr">
        <is>
          <t>● Erstellung BSK (pauschal)</t>
        </is>
      </c>
      <c r="C3350" s="9" t="inlineStr">
        <is>
          <t>Unbekannt</t>
        </is>
      </c>
      <c r="D3350" s="10" t="inlineStr">
        <is>
          <t>⚠ Manual erforderlich</t>
        </is>
      </c>
      <c r="E3350" s="11" t="inlineStr"/>
      <c r="F3350" s="11" t="n">
        <v>0</v>
      </c>
      <c r="G3350" s="11">
        <f>E3350-F3350</f>
        <v/>
      </c>
      <c r="H3350" s="11" t="n">
        <v/>
      </c>
      <c r="I3350" s="11" t="n">
        <v/>
      </c>
      <c r="J3350" s="11" t="n">
        <v/>
      </c>
      <c r="K3350" s="4" t="inlineStr">
        <is>
          <t>Abrechnungsart wählen; Stundensätze eingeben</t>
        </is>
      </c>
    </row>
    <row r="3351">
      <c r="A3351" s="4" t="inlineStr">
        <is>
          <t>6693.02 Holnis-FRP-Quartier-D-Römerkreis-Heidelberg</t>
        </is>
      </c>
      <c r="B3351" s="4" t="inlineStr">
        <is>
          <t>● (p) Pos.1 FWP nach DIN 14095 als vereinfachte Version</t>
        </is>
      </c>
      <c r="C3351" s="4" t="inlineStr">
        <is>
          <t>Pauschale</t>
        </is>
      </c>
      <c r="D3351" s="10" t="inlineStr">
        <is>
          <t>⚠ Manual erforderlich</t>
        </is>
      </c>
      <c r="E3351" s="11" t="inlineStr"/>
      <c r="F3351" s="11" t="n">
        <v>0</v>
      </c>
      <c r="G3351" s="11">
        <f>E3351-F3351</f>
        <v/>
      </c>
      <c r="H3351" s="11" t="n">
        <v>0</v>
      </c>
      <c r="I3351" s="11" t="n">
        <v>0</v>
      </c>
      <c r="J3351" s="11" t="n">
        <v>0</v>
      </c>
      <c r="K3351" s="4" t="inlineStr">
        <is>
          <t>Stundensätze eingeben</t>
        </is>
      </c>
    </row>
    <row r="3352">
      <c r="A3352" s="4" t="inlineStr">
        <is>
          <t>6693.02 Holnis-FRP-Quartier-D-Römerkreis-Heidelberg</t>
        </is>
      </c>
      <c r="B3352" s="4" t="inlineStr">
        <is>
          <t>● (p) Pos.2 vor Ort Aufnahmetermin</t>
        </is>
      </c>
      <c r="C3352" s="4" t="inlineStr">
        <is>
          <t>Pauschale</t>
        </is>
      </c>
      <c r="D3352" s="10" t="inlineStr">
        <is>
          <t>⚠ Manual erforderlich</t>
        </is>
      </c>
      <c r="E3352" s="11" t="inlineStr"/>
      <c r="F3352" s="11" t="n">
        <v>0</v>
      </c>
      <c r="G3352" s="11">
        <f>E3352-F3352</f>
        <v/>
      </c>
      <c r="H3352" s="11" t="n">
        <v>0</v>
      </c>
      <c r="I3352" s="11" t="n">
        <v>0</v>
      </c>
      <c r="J3352" s="11" t="n">
        <v>0</v>
      </c>
      <c r="K3352" s="4" t="inlineStr">
        <is>
          <t>Stundensätze eingeben</t>
        </is>
      </c>
    </row>
    <row r="3353">
      <c r="A3353" s="4" t="inlineStr">
        <is>
          <t>6693.02 Holnis-FRP-Quartier-D-Römerkreis-Heidelberg</t>
        </is>
      </c>
      <c r="B3353" s="4" t="inlineStr">
        <is>
          <t>● • (aN) Plan Anleiterflächen Flurstücknr. 1880/4 + Darstellung d. Zugangs Flächen Flurstk. 1880</t>
        </is>
      </c>
      <c r="C3353" s="4" t="inlineStr">
        <is>
          <t>Nachweis</t>
        </is>
      </c>
      <c r="D3353" s="10" t="inlineStr">
        <is>
          <t>⚠ Manual erforderlich</t>
        </is>
      </c>
      <c r="E3353" s="11" t="inlineStr"/>
      <c r="F3353" s="11" t="n">
        <v>0</v>
      </c>
      <c r="G3353" s="11">
        <f>E3353-F3353</f>
        <v/>
      </c>
      <c r="H3353" s="11" t="n">
        <v/>
      </c>
      <c r="I3353" s="11" t="n">
        <v/>
      </c>
      <c r="J3353" s="11" t="n">
        <v/>
      </c>
      <c r="K3353" s="4" t="inlineStr">
        <is>
          <t>Stundensätze eingeben</t>
        </is>
      </c>
    </row>
    <row r="3354">
      <c r="A3354" s="4" t="inlineStr">
        <is>
          <t>6694 Freudenberg-RealEstate-Integral-Accumulator-SinzigerStr47-Remagen</t>
        </is>
      </c>
      <c r="B3354" s="4" t="inlineStr">
        <is>
          <t>● Ermittlung Brandlast vor Ort (a.N.)</t>
        </is>
      </c>
      <c r="C3354" s="4" t="inlineStr">
        <is>
          <t>Nachweis</t>
        </is>
      </c>
      <c r="D3354" s="10" t="inlineStr">
        <is>
          <t>⚠ Manual erforderlich</t>
        </is>
      </c>
      <c r="E3354" s="11" t="inlineStr"/>
      <c r="F3354" s="11" t="n">
        <v>0</v>
      </c>
      <c r="G3354" s="11">
        <f>E3354-F3354</f>
        <v/>
      </c>
      <c r="H3354" s="11" t="n">
        <v/>
      </c>
      <c r="I3354" s="11" t="n">
        <v/>
      </c>
      <c r="J3354" s="11" t="n">
        <v/>
      </c>
      <c r="K3354" s="4" t="inlineStr">
        <is>
          <t>Stundensätze eingeben</t>
        </is>
      </c>
    </row>
    <row r="3355">
      <c r="A3355" s="4" t="inlineStr">
        <is>
          <t>6694 Freudenberg-RealEstate-Integral-Accumulator-SinzigerStr47-Remagen</t>
        </is>
      </c>
      <c r="B3355" s="4" t="inlineStr">
        <is>
          <t>● Brandlastberechnung (p.)</t>
        </is>
      </c>
      <c r="C3355" s="9" t="inlineStr">
        <is>
          <t>Unbekannt</t>
        </is>
      </c>
      <c r="D3355" s="10" t="inlineStr">
        <is>
          <t>⚠ Manual erforderlich</t>
        </is>
      </c>
      <c r="E3355" s="11" t="inlineStr"/>
      <c r="F3355" s="11" t="n">
        <v>0</v>
      </c>
      <c r="G3355" s="11">
        <f>E3355-F3355</f>
        <v/>
      </c>
      <c r="H3355" s="11" t="n">
        <v/>
      </c>
      <c r="I3355" s="11" t="n">
        <v/>
      </c>
      <c r="J3355" s="11" t="n">
        <v/>
      </c>
      <c r="K3355" s="4" t="inlineStr">
        <is>
          <t>Abrechnungsart wählen; Stundensätze eingeben</t>
        </is>
      </c>
    </row>
    <row r="3356">
      <c r="A3356" s="4" t="inlineStr">
        <is>
          <t>6697 AHO-Niederauerbach-Kaserne-Zweibrücken-A1-LBB</t>
        </is>
      </c>
      <c r="B3356" s="4" t="inlineStr">
        <is>
          <t>● (p) Stufe 2/LP 4 Fortschr. BSK</t>
        </is>
      </c>
      <c r="C3356" s="4" t="inlineStr">
        <is>
          <t>Pauschale</t>
        </is>
      </c>
      <c r="D3356" s="10" t="inlineStr">
        <is>
          <t>⚠ Manual erforderlich</t>
        </is>
      </c>
      <c r="E3356" s="11" t="inlineStr"/>
      <c r="F3356" s="11" t="n">
        <v>0</v>
      </c>
      <c r="G3356" s="11">
        <f>E3356-F3356</f>
        <v/>
      </c>
      <c r="H3356" s="11" t="n">
        <v>0</v>
      </c>
      <c r="I3356" s="11" t="n">
        <v>0</v>
      </c>
      <c r="J3356" s="11" t="n">
        <v>0</v>
      </c>
      <c r="K3356" s="4" t="inlineStr">
        <is>
          <t>Stundensätze eingeben</t>
        </is>
      </c>
    </row>
    <row r="3357">
      <c r="A3357" s="4" t="inlineStr">
        <is>
          <t>6697 AHO-Niederauerbach-Kaserne-Zweibrücken-A1-LBB</t>
        </is>
      </c>
      <c r="B3357" s="4" t="inlineStr">
        <is>
          <t>● (p) NAT Pos. 1 Berechnung Feuerlöscher (LP5; entspricht Pos. 5.2.5 Hauptauftrag)</t>
        </is>
      </c>
      <c r="C3357" s="4" t="inlineStr">
        <is>
          <t>Pauschale</t>
        </is>
      </c>
      <c r="D3357" s="10" t="inlineStr">
        <is>
          <t>⚠ Manual erforderlich</t>
        </is>
      </c>
      <c r="E3357" s="11" t="inlineStr"/>
      <c r="F3357" s="11" t="n">
        <v>0</v>
      </c>
      <c r="G3357" s="11">
        <f>E3357-F3357</f>
        <v/>
      </c>
      <c r="H3357" s="11" t="n">
        <v>0</v>
      </c>
      <c r="I3357" s="11" t="n">
        <v>0</v>
      </c>
      <c r="J3357" s="11" t="n">
        <v>0</v>
      </c>
      <c r="K3357" s="4" t="inlineStr">
        <is>
          <t>Stundensätze eingeben</t>
        </is>
      </c>
    </row>
    <row r="3358">
      <c r="A3358" s="4" t="inlineStr">
        <is>
          <t>6697.01 LBB-LS3-AHO-Niederauerbach-Kaserne-a1-Zweibrücken</t>
        </is>
      </c>
      <c r="B3358" s="4" t="inlineStr">
        <is>
          <t>● (p) Stufe 2/LP 4 Fortschr. BSK</t>
        </is>
      </c>
      <c r="C3358" s="4" t="inlineStr">
        <is>
          <t>Pauschale</t>
        </is>
      </c>
      <c r="D3358" s="10" t="inlineStr">
        <is>
          <t>⚠ Manual erforderlich</t>
        </is>
      </c>
      <c r="E3358" s="11" t="inlineStr"/>
      <c r="F3358" s="11" t="n">
        <v>0</v>
      </c>
      <c r="G3358" s="11">
        <f>E3358-F3358</f>
        <v/>
      </c>
      <c r="H3358" s="11" t="n">
        <v>0</v>
      </c>
      <c r="I3358" s="11" t="n">
        <v>0</v>
      </c>
      <c r="J3358" s="11" t="n">
        <v>0</v>
      </c>
      <c r="K3358" s="4" t="inlineStr">
        <is>
          <t>Stundensätze eingeben</t>
        </is>
      </c>
    </row>
    <row r="3359">
      <c r="A3359" s="4" t="inlineStr">
        <is>
          <t>6700 Im-Uhrig-18b-Eschersheim</t>
        </is>
      </c>
      <c r="B3359" s="4" t="inlineStr">
        <is>
          <t>● Brandschutznachweis (p.)</t>
        </is>
      </c>
      <c r="C3359" s="9" t="inlineStr">
        <is>
          <t>Unbekannt</t>
        </is>
      </c>
      <c r="D3359" s="10" t="inlineStr">
        <is>
          <t>⚠ Manual erforderlich</t>
        </is>
      </c>
      <c r="E3359" s="11" t="inlineStr"/>
      <c r="F3359" s="11" t="n">
        <v>0</v>
      </c>
      <c r="G3359" s="11">
        <f>E3359-F3359</f>
        <v/>
      </c>
      <c r="H3359" s="11" t="n">
        <v/>
      </c>
      <c r="I3359" s="11" t="n">
        <v/>
      </c>
      <c r="J3359" s="11" t="n">
        <v/>
      </c>
      <c r="K3359" s="4" t="inlineStr">
        <is>
          <t>Abrechnungsart wählen; Stundensätze eingeben</t>
        </is>
      </c>
    </row>
    <row r="3360">
      <c r="A3360" s="4" t="inlineStr">
        <is>
          <t>6700 Im-Uhrig-18b-Eschersheim</t>
        </is>
      </c>
      <c r="B3360" s="4" t="inlineStr">
        <is>
          <t>● Brandschutzberatung (a.N.)</t>
        </is>
      </c>
      <c r="C3360" s="4" t="inlineStr">
        <is>
          <t>Nachweis</t>
        </is>
      </c>
      <c r="D3360" s="10" t="inlineStr">
        <is>
          <t>⚠ Manual erforderlich</t>
        </is>
      </c>
      <c r="E3360" s="11" t="inlineStr"/>
      <c r="F3360" s="11" t="n">
        <v>0</v>
      </c>
      <c r="G3360" s="11">
        <f>E3360-F3360</f>
        <v/>
      </c>
      <c r="H3360" s="11" t="n">
        <v/>
      </c>
      <c r="I3360" s="11" t="n">
        <v/>
      </c>
      <c r="J3360" s="11" t="n">
        <v/>
      </c>
      <c r="K3360" s="4" t="inlineStr">
        <is>
          <t>Stundensätze eingeben</t>
        </is>
      </c>
    </row>
    <row r="3361">
      <c r="A3361" s="4" t="inlineStr">
        <is>
          <t>6700 Im-Uhrig-18b-Eschersheim</t>
        </is>
      </c>
      <c r="B3361" s="4" t="inlineStr">
        <is>
          <t>● Beratungsleistungen (a.N.)</t>
        </is>
      </c>
      <c r="C3361" s="4" t="inlineStr">
        <is>
          <t>Nachweis</t>
        </is>
      </c>
      <c r="D3361" s="10" t="inlineStr">
        <is>
          <t>⚠ Manual erforderlich</t>
        </is>
      </c>
      <c r="E3361" s="11" t="inlineStr"/>
      <c r="F3361" s="11" t="n">
        <v>0</v>
      </c>
      <c r="G3361" s="11">
        <f>E3361-F3361</f>
        <v/>
      </c>
      <c r="H3361" s="11" t="n">
        <v/>
      </c>
      <c r="I3361" s="11" t="n">
        <v/>
      </c>
      <c r="J3361" s="11" t="n">
        <v/>
      </c>
      <c r="K3361" s="4" t="inlineStr">
        <is>
          <t>Stundensätze eingeben</t>
        </is>
      </c>
    </row>
    <row r="3362">
      <c r="A3362" s="4" t="inlineStr">
        <is>
          <t>6700 Im-Uhrig-18b-Eschersheim</t>
        </is>
      </c>
      <c r="B3362" s="4" t="inlineStr">
        <is>
          <t>● (a.N) Anpassung Brandschutznachweis</t>
        </is>
      </c>
      <c r="C3362" s="9" t="inlineStr">
        <is>
          <t>Unbekannt</t>
        </is>
      </c>
      <c r="D3362" s="10" t="inlineStr">
        <is>
          <t>⚠ Manual erforderlich</t>
        </is>
      </c>
      <c r="E3362" s="11" t="inlineStr"/>
      <c r="F3362" s="11" t="n">
        <v>0</v>
      </c>
      <c r="G3362" s="11">
        <f>E3362-F3362</f>
        <v/>
      </c>
      <c r="H3362" s="11" t="n">
        <v/>
      </c>
      <c r="I3362" s="11" t="n">
        <v/>
      </c>
      <c r="J3362" s="11" t="n">
        <v/>
      </c>
      <c r="K3362" s="4" t="inlineStr">
        <is>
          <t>Abrechnungsart wählen; Stundensätze eingeben</t>
        </is>
      </c>
    </row>
    <row r="3363">
      <c r="A3363" s="4" t="inlineStr">
        <is>
          <t>6701 AHO-BSK-Wohnbau-Gießen-Weserstraße-26-32-Gießen</t>
        </is>
      </c>
      <c r="B3363" s="4" t="inlineStr">
        <is>
          <t>● LP 1 - GL (pauschal)</t>
        </is>
      </c>
      <c r="C3363" s="9" t="inlineStr">
        <is>
          <t>Unbekannt</t>
        </is>
      </c>
      <c r="D3363" s="10" t="inlineStr">
        <is>
          <t>⚠ Manual erforderlich</t>
        </is>
      </c>
      <c r="E3363" s="11" t="inlineStr"/>
      <c r="F3363" s="11" t="n">
        <v>0</v>
      </c>
      <c r="G3363" s="11">
        <f>E3363-F3363</f>
        <v/>
      </c>
      <c r="H3363" s="11" t="n">
        <v/>
      </c>
      <c r="I3363" s="11" t="n">
        <v/>
      </c>
      <c r="J3363" s="11" t="n">
        <v/>
      </c>
      <c r="K3363" s="4" t="inlineStr">
        <is>
          <t>Abrechnungsart wählen; Stundensätze eingeben</t>
        </is>
      </c>
    </row>
    <row r="3364">
      <c r="A3364" s="4" t="inlineStr">
        <is>
          <t>6701 AHO-BSK-Wohnbau-Gießen-Weserstraße-26-32-Gießen</t>
        </is>
      </c>
      <c r="B3364" s="4" t="inlineStr">
        <is>
          <t>● LP 2 - GL (pauschal)</t>
        </is>
      </c>
      <c r="C3364" s="9" t="inlineStr">
        <is>
          <t>Unbekannt</t>
        </is>
      </c>
      <c r="D3364" s="10" t="inlineStr">
        <is>
          <t>⚠ Manual erforderlich</t>
        </is>
      </c>
      <c r="E3364" s="11" t="inlineStr"/>
      <c r="F3364" s="11" t="n">
        <v>0</v>
      </c>
      <c r="G3364" s="11">
        <f>E3364-F3364</f>
        <v/>
      </c>
      <c r="H3364" s="11" t="n">
        <v/>
      </c>
      <c r="I3364" s="11" t="n">
        <v/>
      </c>
      <c r="J3364" s="11" t="n">
        <v/>
      </c>
      <c r="K3364" s="4" t="inlineStr">
        <is>
          <t>Abrechnungsart wählen; Stundensätze eingeben</t>
        </is>
      </c>
    </row>
    <row r="3365">
      <c r="A3365" s="4" t="inlineStr">
        <is>
          <t>6701 AHO-BSK-Wohnbau-Gießen-Weserstraße-26-32-Gießen</t>
        </is>
      </c>
      <c r="B3365" s="4" t="inlineStr">
        <is>
          <t>● LP 3 - GL (pauschal)</t>
        </is>
      </c>
      <c r="C3365" s="9" t="inlineStr">
        <is>
          <t>Unbekannt</t>
        </is>
      </c>
      <c r="D3365" s="10" t="inlineStr">
        <is>
          <t>⚠ Manual erforderlich</t>
        </is>
      </c>
      <c r="E3365" s="11" t="inlineStr"/>
      <c r="F3365" s="11" t="n">
        <v>0</v>
      </c>
      <c r="G3365" s="11">
        <f>E3365-F3365</f>
        <v/>
      </c>
      <c r="H3365" s="11" t="n">
        <v/>
      </c>
      <c r="I3365" s="11" t="n">
        <v/>
      </c>
      <c r="J3365" s="11" t="n">
        <v/>
      </c>
      <c r="K3365" s="4" t="inlineStr">
        <is>
          <t>Abrechnungsart wählen; Stundensätze eingeben</t>
        </is>
      </c>
    </row>
    <row r="3366">
      <c r="A3366" s="4" t="inlineStr">
        <is>
          <t>6701 AHO-BSK-Wohnbau-Gießen-Weserstraße-26-32-Gießen</t>
        </is>
      </c>
      <c r="B3366" s="4" t="inlineStr">
        <is>
          <t>● LP 4 - GL (pauschal)</t>
        </is>
      </c>
      <c r="C3366" s="9" t="inlineStr">
        <is>
          <t>Unbekannt</t>
        </is>
      </c>
      <c r="D3366" s="10" t="inlineStr">
        <is>
          <t>⚠ Manual erforderlich</t>
        </is>
      </c>
      <c r="E3366" s="11" t="inlineStr"/>
      <c r="F3366" s="11" t="n">
        <v>0</v>
      </c>
      <c r="G3366" s="11">
        <f>E3366-F3366</f>
        <v/>
      </c>
      <c r="H3366" s="11" t="n">
        <v/>
      </c>
      <c r="I3366" s="11" t="n">
        <v/>
      </c>
      <c r="J3366" s="11" t="n">
        <v/>
      </c>
      <c r="K3366" s="4" t="inlineStr">
        <is>
          <t>Abrechnungsart wählen; Stundensätze eingeben</t>
        </is>
      </c>
    </row>
    <row r="3367">
      <c r="A3367" s="4" t="inlineStr">
        <is>
          <t>6701 AHO-BSK-Wohnbau-Gießen-Weserstraße-26-32-Gießen</t>
        </is>
      </c>
      <c r="B3367" s="4" t="inlineStr">
        <is>
          <t>● LP 5-  GL (pauschal)</t>
        </is>
      </c>
      <c r="C3367" s="9" t="inlineStr">
        <is>
          <t>Unbekannt</t>
        </is>
      </c>
      <c r="D3367" s="10" t="inlineStr">
        <is>
          <t>⚠ Manual erforderlich</t>
        </is>
      </c>
      <c r="E3367" s="11" t="inlineStr"/>
      <c r="F3367" s="11" t="n">
        <v>0</v>
      </c>
      <c r="G3367" s="11">
        <f>E3367-F3367</f>
        <v/>
      </c>
      <c r="H3367" s="11" t="n">
        <v/>
      </c>
      <c r="I3367" s="11" t="n">
        <v/>
      </c>
      <c r="J3367" s="11" t="n">
        <v/>
      </c>
      <c r="K3367" s="4" t="inlineStr">
        <is>
          <t>Abrechnungsart wählen; Stundensätze eingeben</t>
        </is>
      </c>
    </row>
    <row r="3368">
      <c r="A3368" s="4" t="inlineStr">
        <is>
          <t>6701 AHO-BSK-Wohnbau-Gießen-Weserstraße-26-32-Gießen</t>
        </is>
      </c>
      <c r="B3368" s="4" t="inlineStr">
        <is>
          <t>● LP 8 - GL (pauschal)</t>
        </is>
      </c>
      <c r="C3368" s="9" t="inlineStr">
        <is>
          <t>Unbekannt</t>
        </is>
      </c>
      <c r="D3368" s="10" t="inlineStr">
        <is>
          <t>⚠ Manual erforderlich</t>
        </is>
      </c>
      <c r="E3368" s="11" t="inlineStr"/>
      <c r="F3368" s="11" t="n">
        <v>0</v>
      </c>
      <c r="G3368" s="11">
        <f>E3368-F3368</f>
        <v/>
      </c>
      <c r="H3368" s="11" t="n">
        <v/>
      </c>
      <c r="I3368" s="11" t="n">
        <v/>
      </c>
      <c r="J3368" s="11" t="n">
        <v/>
      </c>
      <c r="K3368" s="4" t="inlineStr">
        <is>
          <t>Abrechnungsart wählen; Stundensätze eingeben</t>
        </is>
      </c>
    </row>
    <row r="3369">
      <c r="A3369" s="4" t="inlineStr">
        <is>
          <t>6702 BSK-KOHN-Bayernstr100-Nürnberg</t>
        </is>
      </c>
      <c r="B3369" s="4" t="inlineStr">
        <is>
          <t>● STUFE I - LP 1</t>
        </is>
      </c>
      <c r="C3369" s="9" t="inlineStr">
        <is>
          <t>Unbekannt</t>
        </is>
      </c>
      <c r="D3369" s="10" t="inlineStr">
        <is>
          <t>⚠ Manual erforderlich</t>
        </is>
      </c>
      <c r="E3369" s="11" t="inlineStr"/>
      <c r="F3369" s="11" t="n">
        <v>0</v>
      </c>
      <c r="G3369" s="11">
        <f>E3369-F3369</f>
        <v/>
      </c>
      <c r="H3369" s="11" t="n">
        <v/>
      </c>
      <c r="I3369" s="11" t="n">
        <v/>
      </c>
      <c r="J3369" s="11" t="n">
        <v/>
      </c>
      <c r="K3369" s="4" t="inlineStr">
        <is>
          <t>Abrechnungsart wählen; Stundensätze eingeben</t>
        </is>
      </c>
    </row>
    <row r="3370">
      <c r="A3370" s="4" t="inlineStr">
        <is>
          <t>6702 BSK-KOHN-Bayernstr100-Nürnberg</t>
        </is>
      </c>
      <c r="B3370" s="4" t="inlineStr">
        <is>
          <t>● LP1 ERMÖGLICHUNGSRÄUME</t>
        </is>
      </c>
      <c r="C3370" s="9" t="inlineStr">
        <is>
          <t>Unbekannt</t>
        </is>
      </c>
      <c r="D3370" s="10" t="inlineStr">
        <is>
          <t>⚠ Manual erforderlich</t>
        </is>
      </c>
      <c r="E3370" s="11" t="inlineStr"/>
      <c r="F3370" s="11" t="n">
        <v>0</v>
      </c>
      <c r="G3370" s="11">
        <f>E3370-F3370</f>
        <v/>
      </c>
      <c r="H3370" s="11" t="n">
        <v/>
      </c>
      <c r="I3370" s="11" t="n">
        <v/>
      </c>
      <c r="J3370" s="11" t="n">
        <v/>
      </c>
      <c r="K3370" s="4" t="inlineStr">
        <is>
          <t>Abrechnungsart wählen; Stundensätze eingeben</t>
        </is>
      </c>
    </row>
    <row r="3371">
      <c r="A3371" s="4" t="inlineStr">
        <is>
          <t>6702 BSK-KOHN-Bayernstr100-Nürnberg</t>
        </is>
      </c>
      <c r="B3371" s="4" t="inlineStr">
        <is>
          <t>● (p) GL</t>
        </is>
      </c>
      <c r="C3371" s="4" t="inlineStr">
        <is>
          <t>Pauschale</t>
        </is>
      </c>
      <c r="D3371" s="10" t="inlineStr">
        <is>
          <t>⚠ Manual erforderlich</t>
        </is>
      </c>
      <c r="E3371" s="11" t="inlineStr"/>
      <c r="F3371" s="11" t="n">
        <v>0</v>
      </c>
      <c r="G3371" s="11">
        <f>E3371-F3371</f>
        <v/>
      </c>
      <c r="H3371" s="11" t="n">
        <v>0</v>
      </c>
      <c r="I3371" s="11" t="n">
        <v>0</v>
      </c>
      <c r="J3371" s="11" t="n">
        <v>0</v>
      </c>
      <c r="K3371" s="4" t="inlineStr">
        <is>
          <t>Stundensätze eingeben</t>
        </is>
      </c>
    </row>
    <row r="3372">
      <c r="A3372" s="4" t="inlineStr">
        <is>
          <t>6702 BSK-KOHN-Bayernstr100-Nürnberg</t>
        </is>
      </c>
      <c r="B3372" s="4" t="inlineStr">
        <is>
          <t>● LP1 INTERIM STAATSTHEATER</t>
        </is>
      </c>
      <c r="C3372" s="9" t="inlineStr">
        <is>
          <t>Unbekannt</t>
        </is>
      </c>
      <c r="D3372" s="10" t="inlineStr">
        <is>
          <t>⚠ Manual erforderlich</t>
        </is>
      </c>
      <c r="E3372" s="11" t="inlineStr"/>
      <c r="F3372" s="11" t="n">
        <v>0</v>
      </c>
      <c r="G3372" s="11">
        <f>E3372-F3372</f>
        <v/>
      </c>
      <c r="H3372" s="11" t="n">
        <v/>
      </c>
      <c r="I3372" s="11" t="n">
        <v/>
      </c>
      <c r="J3372" s="11" t="n">
        <v/>
      </c>
      <c r="K3372" s="4" t="inlineStr">
        <is>
          <t>Abrechnungsart wählen; Stundensätze eingeben</t>
        </is>
      </c>
    </row>
    <row r="3373">
      <c r="A3373" s="4" t="inlineStr">
        <is>
          <t>6702 BSK-KOHN-Bayernstr100-Nürnberg</t>
        </is>
      </c>
      <c r="B3373" s="4" t="inlineStr">
        <is>
          <t>● (p) BL</t>
        </is>
      </c>
      <c r="C3373" s="4" t="inlineStr">
        <is>
          <t>Pauschale</t>
        </is>
      </c>
      <c r="D3373" s="10" t="inlineStr">
        <is>
          <t>⚠ Manual erforderlich</t>
        </is>
      </c>
      <c r="E3373" s="11" t="inlineStr"/>
      <c r="F3373" s="11" t="n">
        <v>0</v>
      </c>
      <c r="G3373" s="11">
        <f>E3373-F3373</f>
        <v/>
      </c>
      <c r="H3373" s="11" t="n">
        <v>0</v>
      </c>
      <c r="I3373" s="11" t="n">
        <v>0</v>
      </c>
      <c r="J3373" s="11" t="n">
        <v>0</v>
      </c>
      <c r="K3373" s="4" t="inlineStr">
        <is>
          <t>Stundensätze eingeben</t>
        </is>
      </c>
    </row>
    <row r="3374">
      <c r="A3374" s="4" t="inlineStr">
        <is>
          <t>6702 BSK-KOHN-Bayernstr100-Nürnberg</t>
        </is>
      </c>
      <c r="B3374" s="4" t="inlineStr">
        <is>
          <t>● (p) GL</t>
        </is>
      </c>
      <c r="C3374" s="4" t="inlineStr">
        <is>
          <t>Pauschale</t>
        </is>
      </c>
      <c r="D3374" s="10" t="inlineStr">
        <is>
          <t>⚠ Manual erforderlich</t>
        </is>
      </c>
      <c r="E3374" s="11" t="inlineStr"/>
      <c r="F3374" s="11" t="n">
        <v>0</v>
      </c>
      <c r="G3374" s="11">
        <f>E3374-F3374</f>
        <v/>
      </c>
      <c r="H3374" s="11" t="n">
        <v>0</v>
      </c>
      <c r="I3374" s="11" t="n">
        <v>0</v>
      </c>
      <c r="J3374" s="11" t="n">
        <v>0</v>
      </c>
      <c r="K3374" s="4" t="inlineStr">
        <is>
          <t>Stundensätze eingeben</t>
        </is>
      </c>
    </row>
    <row r="3375">
      <c r="A3375" s="4" t="inlineStr">
        <is>
          <t>6702 BSK-KOHN-Bayernstr100-Nürnberg</t>
        </is>
      </c>
      <c r="B3375" s="4" t="inlineStr">
        <is>
          <t>● (p) BL</t>
        </is>
      </c>
      <c r="C3375" s="4" t="inlineStr">
        <is>
          <t>Pauschale</t>
        </is>
      </c>
      <c r="D3375" s="10" t="inlineStr">
        <is>
          <t>⚠ Manual erforderlich</t>
        </is>
      </c>
      <c r="E3375" s="11" t="inlineStr"/>
      <c r="F3375" s="11" t="n">
        <v>0</v>
      </c>
      <c r="G3375" s="11">
        <f>E3375-F3375</f>
        <v/>
      </c>
      <c r="H3375" s="11" t="n">
        <v>0</v>
      </c>
      <c r="I3375" s="11" t="n">
        <v>0</v>
      </c>
      <c r="J3375" s="11" t="n">
        <v>0</v>
      </c>
      <c r="K3375" s="4" t="inlineStr">
        <is>
          <t>Stundensätze eingeben</t>
        </is>
      </c>
    </row>
    <row r="3376">
      <c r="A3376" s="4" t="inlineStr">
        <is>
          <t>6702 BSK-KOHN-Bayernstr100-Nürnberg</t>
        </is>
      </c>
      <c r="B3376" s="4" t="inlineStr">
        <is>
          <t>● LP1 WEITERER AUSBAU</t>
        </is>
      </c>
      <c r="C3376" s="9" t="inlineStr">
        <is>
          <t>Unbekannt</t>
        </is>
      </c>
      <c r="D3376" s="10" t="inlineStr">
        <is>
          <t>⚠ Manual erforderlich</t>
        </is>
      </c>
      <c r="E3376" s="11" t="inlineStr"/>
      <c r="F3376" s="11" t="n">
        <v>0</v>
      </c>
      <c r="G3376" s="11">
        <f>E3376-F3376</f>
        <v/>
      </c>
      <c r="H3376" s="11" t="n">
        <v/>
      </c>
      <c r="I3376" s="11" t="n">
        <v/>
      </c>
      <c r="J3376" s="11" t="n">
        <v/>
      </c>
      <c r="K3376" s="4" t="inlineStr">
        <is>
          <t>Abrechnungsart wählen; Stundensätze eingeben</t>
        </is>
      </c>
    </row>
    <row r="3377">
      <c r="A3377" s="4" t="inlineStr">
        <is>
          <t>6702 BSK-KOHN-Bayernstr100-Nürnberg</t>
        </is>
      </c>
      <c r="B3377" s="4" t="inlineStr">
        <is>
          <t>● (p) BL</t>
        </is>
      </c>
      <c r="C3377" s="4" t="inlineStr">
        <is>
          <t>Pauschale</t>
        </is>
      </c>
      <c r="D3377" s="10" t="inlineStr">
        <is>
          <t>⚠ Manual erforderlich</t>
        </is>
      </c>
      <c r="E3377" s="11" t="inlineStr"/>
      <c r="F3377" s="11" t="n">
        <v>0</v>
      </c>
      <c r="G3377" s="11">
        <f>E3377-F3377</f>
        <v/>
      </c>
      <c r="H3377" s="11" t="n">
        <v>0</v>
      </c>
      <c r="I3377" s="11" t="n">
        <v>0</v>
      </c>
      <c r="J3377" s="11" t="n">
        <v>0</v>
      </c>
      <c r="K3377" s="4" t="inlineStr">
        <is>
          <t>Stundensätze eingeben</t>
        </is>
      </c>
    </row>
    <row r="3378">
      <c r="A3378" s="4" t="inlineStr">
        <is>
          <t>6702 BSK-KOHN-Bayernstr100-Nürnberg</t>
        </is>
      </c>
      <c r="B3378" s="4" t="inlineStr">
        <is>
          <t>● STUFE I - LP2</t>
        </is>
      </c>
      <c r="C3378" s="9" t="inlineStr">
        <is>
          <t>Unbekannt</t>
        </is>
      </c>
      <c r="D3378" s="10" t="inlineStr">
        <is>
          <t>⚠ Manual erforderlich</t>
        </is>
      </c>
      <c r="E3378" s="11" t="inlineStr"/>
      <c r="F3378" s="11" t="n">
        <v>0</v>
      </c>
      <c r="G3378" s="11">
        <f>E3378-F3378</f>
        <v/>
      </c>
      <c r="H3378" s="11" t="n">
        <v/>
      </c>
      <c r="I3378" s="11" t="n">
        <v/>
      </c>
      <c r="J3378" s="11" t="n">
        <v/>
      </c>
      <c r="K3378" s="4" t="inlineStr">
        <is>
          <t>Abrechnungsart wählen; Stundensätze eingeben</t>
        </is>
      </c>
    </row>
    <row r="3379">
      <c r="A3379" s="4" t="inlineStr">
        <is>
          <t>6702 BSK-KOHN-Bayernstr100-Nürnberg</t>
        </is>
      </c>
      <c r="B3379" s="4" t="inlineStr">
        <is>
          <t>● • (p) GL</t>
        </is>
      </c>
      <c r="C3379" s="4" t="inlineStr">
        <is>
          <t>Pauschale</t>
        </is>
      </c>
      <c r="D3379" s="10" t="inlineStr">
        <is>
          <t>⚠ Manual erforderlich</t>
        </is>
      </c>
      <c r="E3379" s="11" t="inlineStr"/>
      <c r="F3379" s="11" t="n">
        <v>0</v>
      </c>
      <c r="G3379" s="11">
        <f>E3379-F3379</f>
        <v/>
      </c>
      <c r="H3379" s="11" t="n">
        <v>0</v>
      </c>
      <c r="I3379" s="11" t="n">
        <v>0</v>
      </c>
      <c r="J3379" s="11" t="n">
        <v>0</v>
      </c>
      <c r="K3379" s="4" t="inlineStr">
        <is>
          <t>Stundensätze eingeben</t>
        </is>
      </c>
    </row>
    <row r="3380">
      <c r="A3380" s="4" t="inlineStr">
        <is>
          <t>6702 BSK-KOHN-Bayernstr100-Nürnberg</t>
        </is>
      </c>
      <c r="B3380" s="4" t="inlineStr">
        <is>
          <t>● • (p) BL 2.1 nachtrgl. beauftragt</t>
        </is>
      </c>
      <c r="C3380" s="4" t="inlineStr">
        <is>
          <t>Pauschale</t>
        </is>
      </c>
      <c r="D3380" s="10" t="inlineStr">
        <is>
          <t>⚠ Manual erforderlich</t>
        </is>
      </c>
      <c r="E3380" s="11" t="inlineStr"/>
      <c r="F3380" s="11" t="n">
        <v>0</v>
      </c>
      <c r="G3380" s="11">
        <f>E3380-F3380</f>
        <v/>
      </c>
      <c r="H3380" s="11" t="n">
        <v/>
      </c>
      <c r="I3380" s="11" t="n">
        <v/>
      </c>
      <c r="J3380" s="11" t="n">
        <v/>
      </c>
      <c r="K3380" s="4" t="inlineStr">
        <is>
          <t>Stundensätze eingeben</t>
        </is>
      </c>
    </row>
    <row r="3381">
      <c r="A3381" s="4" t="inlineStr">
        <is>
          <t>6702 BSK-KOHN-Bayernstr100-Nürnberg</t>
        </is>
      </c>
      <c r="B3381" s="4" t="inlineStr">
        <is>
          <t>● • (p) GL</t>
        </is>
      </c>
      <c r="C3381" s="4" t="inlineStr">
        <is>
          <t>Pauschale</t>
        </is>
      </c>
      <c r="D3381" s="10" t="inlineStr">
        <is>
          <t>⚠ Manual erforderlich</t>
        </is>
      </c>
      <c r="E3381" s="11" t="inlineStr"/>
      <c r="F3381" s="11" t="n">
        <v>0</v>
      </c>
      <c r="G3381" s="11">
        <f>E3381-F3381</f>
        <v/>
      </c>
      <c r="H3381" s="11" t="n">
        <v>0</v>
      </c>
      <c r="I3381" s="11" t="n">
        <v>0</v>
      </c>
      <c r="J3381" s="11" t="n">
        <v>0</v>
      </c>
      <c r="K3381" s="4" t="inlineStr">
        <is>
          <t>Stundensätze eingeben</t>
        </is>
      </c>
    </row>
    <row r="3382">
      <c r="A3382" s="4" t="inlineStr">
        <is>
          <t>6702 BSK-KOHN-Bayernstr100-Nürnberg</t>
        </is>
      </c>
      <c r="B3382" s="4" t="inlineStr">
        <is>
          <t>● • (p) BL 2.2 nachtrgl. beauftragt</t>
        </is>
      </c>
      <c r="C3382" s="4" t="inlineStr">
        <is>
          <t>Pauschale</t>
        </is>
      </c>
      <c r="D3382" s="10" t="inlineStr">
        <is>
          <t>⚠ Manual erforderlich</t>
        </is>
      </c>
      <c r="E3382" s="11" t="inlineStr"/>
      <c r="F3382" s="11" t="n">
        <v>0</v>
      </c>
      <c r="G3382" s="11">
        <f>E3382-F3382</f>
        <v/>
      </c>
      <c r="H3382" s="11" t="n">
        <v/>
      </c>
      <c r="I3382" s="11" t="n">
        <v/>
      </c>
      <c r="J3382" s="11" t="n">
        <v/>
      </c>
      <c r="K3382" s="4" t="inlineStr">
        <is>
          <t>Stundensätze eingeben</t>
        </is>
      </c>
    </row>
    <row r="3383">
      <c r="A3383" s="4" t="inlineStr">
        <is>
          <t>6702 BSK-KOHN-Bayernstr100-Nürnberg</t>
        </is>
      </c>
      <c r="B3383" s="4" t="inlineStr">
        <is>
          <t>● • (p) GL entfallen</t>
        </is>
      </c>
      <c r="C3383" s="4" t="inlineStr">
        <is>
          <t>Pauschale</t>
        </is>
      </c>
      <c r="D3383" s="10" t="inlineStr">
        <is>
          <t>⚠ Manual erforderlich</t>
        </is>
      </c>
      <c r="E3383" s="11" t="inlineStr"/>
      <c r="F3383" s="11" t="n">
        <v>0</v>
      </c>
      <c r="G3383" s="11">
        <f>E3383-F3383</f>
        <v/>
      </c>
      <c r="H3383" s="11" t="n">
        <v/>
      </c>
      <c r="I3383" s="11" t="n">
        <v/>
      </c>
      <c r="J3383" s="11" t="n">
        <v/>
      </c>
      <c r="K3383" s="4" t="inlineStr">
        <is>
          <t>Stundensätze eingeben</t>
        </is>
      </c>
    </row>
    <row r="3384">
      <c r="A3384" s="4" t="inlineStr">
        <is>
          <t>6702 BSK-KOHN-Bayernstr100-Nürnberg</t>
        </is>
      </c>
      <c r="B3384" s="4" t="inlineStr">
        <is>
          <t>● • (p) BL 2.3 nachtrgl. beauftragt</t>
        </is>
      </c>
      <c r="C3384" s="4" t="inlineStr">
        <is>
          <t>Pauschale</t>
        </is>
      </c>
      <c r="D3384" s="10" t="inlineStr">
        <is>
          <t>⚠ Manual erforderlich</t>
        </is>
      </c>
      <c r="E3384" s="11" t="inlineStr"/>
      <c r="F3384" s="11" t="n">
        <v>0</v>
      </c>
      <c r="G3384" s="11">
        <f>E3384-F3384</f>
        <v/>
      </c>
      <c r="H3384" s="11" t="n">
        <v/>
      </c>
      <c r="I3384" s="11" t="n">
        <v/>
      </c>
      <c r="J3384" s="11" t="n">
        <v/>
      </c>
      <c r="K3384" s="4" t="inlineStr">
        <is>
          <t>Stundensätze eingeben</t>
        </is>
      </c>
    </row>
    <row r="3385">
      <c r="A3385" s="4" t="inlineStr">
        <is>
          <t>6702 BSK-KOHN-Bayernstr100-Nürnberg</t>
        </is>
      </c>
      <c r="B3385" s="4" t="inlineStr">
        <is>
          <t>● STUFE II - LP 3</t>
        </is>
      </c>
      <c r="C3385" s="9" t="inlineStr">
        <is>
          <t>Unbekannt</t>
        </is>
      </c>
      <c r="D3385" s="10" t="inlineStr">
        <is>
          <t>⚠ Manual erforderlich</t>
        </is>
      </c>
      <c r="E3385" s="11" t="inlineStr"/>
      <c r="F3385" s="11" t="n">
        <v>0</v>
      </c>
      <c r="G3385" s="11">
        <f>E3385-F3385</f>
        <v/>
      </c>
      <c r="H3385" s="11" t="n">
        <v/>
      </c>
      <c r="I3385" s="11" t="n">
        <v/>
      </c>
      <c r="J3385" s="11" t="n">
        <v/>
      </c>
      <c r="K3385" s="4" t="inlineStr">
        <is>
          <t>Abrechnungsart wählen; Stundensätze eingeben</t>
        </is>
      </c>
    </row>
    <row r="3386">
      <c r="A3386" s="4" t="inlineStr">
        <is>
          <t>6702 BSK-KOHN-Bayernstr100-Nürnberg</t>
        </is>
      </c>
      <c r="B3386" s="4" t="inlineStr">
        <is>
          <t>● • (p) GL</t>
        </is>
      </c>
      <c r="C3386" s="4" t="inlineStr">
        <is>
          <t>Pauschale</t>
        </is>
      </c>
      <c r="D3386" s="10" t="inlineStr">
        <is>
          <t>⚠ Manual erforderlich</t>
        </is>
      </c>
      <c r="E3386" s="11" t="inlineStr"/>
      <c r="F3386" s="11" t="n">
        <v>0</v>
      </c>
      <c r="G3386" s="11">
        <f>E3386-F3386</f>
        <v/>
      </c>
      <c r="H3386" s="11" t="n">
        <v>0</v>
      </c>
      <c r="I3386" s="11" t="n">
        <v>0</v>
      </c>
      <c r="J3386" s="11" t="n">
        <v>0</v>
      </c>
      <c r="K3386" s="4" t="inlineStr">
        <is>
          <t>Stundensätze eingeben</t>
        </is>
      </c>
    </row>
    <row r="3387">
      <c r="A3387" s="4" t="inlineStr">
        <is>
          <t>6702 BSK-KOHN-Bayernstr100-Nürnberg</t>
        </is>
      </c>
      <c r="B3387" s="4" t="inlineStr">
        <is>
          <t>● • (p) GL</t>
        </is>
      </c>
      <c r="C3387" s="4" t="inlineStr">
        <is>
          <t>Pauschale</t>
        </is>
      </c>
      <c r="D3387" s="10" t="inlineStr">
        <is>
          <t>⚠ Manual erforderlich</t>
        </is>
      </c>
      <c r="E3387" s="11" t="inlineStr"/>
      <c r="F3387" s="11" t="n">
        <v>0</v>
      </c>
      <c r="G3387" s="11">
        <f>E3387-F3387</f>
        <v/>
      </c>
      <c r="H3387" s="11" t="n">
        <v>0</v>
      </c>
      <c r="I3387" s="11" t="n">
        <v>0</v>
      </c>
      <c r="J3387" s="11" t="n">
        <v>0</v>
      </c>
      <c r="K3387" s="4" t="inlineStr">
        <is>
          <t>Stundensätze eingeben</t>
        </is>
      </c>
    </row>
    <row r="3388">
      <c r="A3388" s="4" t="inlineStr">
        <is>
          <t>6702 BSK-KOHN-Bayernstr100-Nürnberg</t>
        </is>
      </c>
      <c r="B3388" s="4" t="inlineStr">
        <is>
          <t>● • (p) GL entfallen</t>
        </is>
      </c>
      <c r="C3388" s="4" t="inlineStr">
        <is>
          <t>Pauschale</t>
        </is>
      </c>
      <c r="D3388" s="10" t="inlineStr">
        <is>
          <t>⚠ Manual erforderlich</t>
        </is>
      </c>
      <c r="E3388" s="11" t="inlineStr"/>
      <c r="F3388" s="11" t="n">
        <v>0</v>
      </c>
      <c r="G3388" s="11">
        <f>E3388-F3388</f>
        <v/>
      </c>
      <c r="H3388" s="11" t="n">
        <v/>
      </c>
      <c r="I3388" s="11" t="n">
        <v/>
      </c>
      <c r="J3388" s="11" t="n">
        <v/>
      </c>
      <c r="K3388" s="4" t="inlineStr">
        <is>
          <t>Stundensätze eingeben</t>
        </is>
      </c>
    </row>
    <row r="3389">
      <c r="A3389" s="4" t="inlineStr">
        <is>
          <t>6702 BSK-KOHN-Bayernstr100-Nürnberg</t>
        </is>
      </c>
      <c r="B3389" s="4" t="inlineStr">
        <is>
          <t>● FRP (ANG 23-12-07)</t>
        </is>
      </c>
      <c r="C3389" s="9" t="inlineStr">
        <is>
          <t>Unbekannt</t>
        </is>
      </c>
      <c r="D3389" s="10" t="inlineStr">
        <is>
          <t>⚠ Manual erforderlich</t>
        </is>
      </c>
      <c r="E3389" s="11" t="inlineStr"/>
      <c r="F3389" s="11" t="n">
        <v>0</v>
      </c>
      <c r="G3389" s="11">
        <f>E3389-F3389</f>
        <v/>
      </c>
      <c r="H3389" s="11" t="n">
        <v/>
      </c>
      <c r="I3389" s="11" t="n">
        <v/>
      </c>
      <c r="J3389" s="11" t="n">
        <v/>
      </c>
      <c r="K3389" s="4" t="inlineStr">
        <is>
          <t>Abrechnungsart wählen; Stundensätze eingeben</t>
        </is>
      </c>
    </row>
    <row r="3390">
      <c r="A3390" s="4" t="inlineStr">
        <is>
          <t>6702.01 Stundensammler-StadtNUE-BST-KOHN-Sektor15-Nürnberg</t>
        </is>
      </c>
      <c r="B3390" s="4" t="inlineStr">
        <is>
          <t>● (aN) Pos. 1 BTB</t>
        </is>
      </c>
      <c r="C3390" s="4" t="inlineStr">
        <is>
          <t>Nachweis</t>
        </is>
      </c>
      <c r="D3390" s="10" t="inlineStr">
        <is>
          <t>⚠ Manual erforderlich</t>
        </is>
      </c>
      <c r="E3390" s="11" t="inlineStr"/>
      <c r="F3390" s="11" t="n">
        <v>0</v>
      </c>
      <c r="G3390" s="11">
        <f>E3390-F3390</f>
        <v/>
      </c>
      <c r="H3390" s="11" t="n">
        <v/>
      </c>
      <c r="I3390" s="11" t="n">
        <v/>
      </c>
      <c r="J3390" s="11" t="n">
        <v/>
      </c>
      <c r="K3390" s="4" t="inlineStr">
        <is>
          <t>Stundensätze eingeben</t>
        </is>
      </c>
    </row>
    <row r="3391">
      <c r="A3391" s="4" t="inlineStr">
        <is>
          <t>6702.01 Stundensammler-StadtNUE-BST-KOHN-Sektor15-Nürnberg</t>
        </is>
      </c>
      <c r="B3391" s="4" t="inlineStr">
        <is>
          <t>● (p) Pos. 2 BST</t>
        </is>
      </c>
      <c r="C3391" s="4" t="inlineStr">
        <is>
          <t>Pauschale</t>
        </is>
      </c>
      <c r="D3391" s="10" t="inlineStr">
        <is>
          <t>⚠ Manual erforderlich</t>
        </is>
      </c>
      <c r="E3391" s="11" t="inlineStr"/>
      <c r="F3391" s="11" t="n">
        <v>0</v>
      </c>
      <c r="G3391" s="11">
        <f>E3391-F3391</f>
        <v/>
      </c>
      <c r="H3391" s="11" t="n">
        <v/>
      </c>
      <c r="I3391" s="11" t="n">
        <v/>
      </c>
      <c r="J3391" s="11" t="n">
        <v/>
      </c>
      <c r="K3391" s="4" t="inlineStr">
        <is>
          <t>Stundensätze eingeben</t>
        </is>
      </c>
    </row>
    <row r="3392">
      <c r="A3392" s="4" t="inlineStr">
        <is>
          <t>6703 BTB-WBC-Westerbachstraße-23-Kronberg</t>
        </is>
      </c>
      <c r="B3392" s="4" t="inlineStr">
        <is>
          <t>●  (a.N) BTB + NAT</t>
        </is>
      </c>
      <c r="C3392" s="9" t="inlineStr">
        <is>
          <t>Unbekannt</t>
        </is>
      </c>
      <c r="D3392" s="10" t="inlineStr">
        <is>
          <t>⚠ Manual erforderlich</t>
        </is>
      </c>
      <c r="E3392" s="11" t="inlineStr"/>
      <c r="F3392" s="11" t="n">
        <v>0</v>
      </c>
      <c r="G3392" s="11">
        <f>E3392-F3392</f>
        <v/>
      </c>
      <c r="H3392" s="11" t="n">
        <v/>
      </c>
      <c r="I3392" s="11" t="n">
        <v/>
      </c>
      <c r="J3392" s="11" t="n">
        <v/>
      </c>
      <c r="K3392" s="4" t="inlineStr">
        <is>
          <t>Abrechnungsart wählen; Stundensätze eingeben</t>
        </is>
      </c>
    </row>
    <row r="3393">
      <c r="A3393" s="4" t="inlineStr">
        <is>
          <t>6703 BTB-WBC-Westerbachstraße-23-Kronberg</t>
        </is>
      </c>
      <c r="B3393" s="4" t="inlineStr">
        <is>
          <t>● (a.N.) BTB FLA</t>
        </is>
      </c>
      <c r="C3393" s="4" t="inlineStr">
        <is>
          <t>Nachweis</t>
        </is>
      </c>
      <c r="D3393" s="10" t="inlineStr">
        <is>
          <t>⚠ Manual erforderlich</t>
        </is>
      </c>
      <c r="E3393" s="11" t="inlineStr"/>
      <c r="F3393" s="11" t="n">
        <v>0</v>
      </c>
      <c r="G3393" s="11">
        <f>E3393-F3393</f>
        <v/>
      </c>
      <c r="H3393" s="11" t="n">
        <v/>
      </c>
      <c r="I3393" s="11" t="n">
        <v/>
      </c>
      <c r="J3393" s="11" t="n">
        <v/>
      </c>
      <c r="K3393" s="4" t="inlineStr">
        <is>
          <t>Stundensätze eingeben</t>
        </is>
      </c>
    </row>
    <row r="3394">
      <c r="A3394" s="4" t="inlineStr">
        <is>
          <t>6703 BTB-WBC-Westerbachstraße-23-Kronberg</t>
        </is>
      </c>
      <c r="B3394" s="4" t="inlineStr">
        <is>
          <t>● (p.) Berechnung Löschmitteleinheiten</t>
        </is>
      </c>
      <c r="C3394" s="9" t="inlineStr">
        <is>
          <t>Unbekannt</t>
        </is>
      </c>
      <c r="D3394" s="10" t="inlineStr">
        <is>
          <t>⚠ Manual erforderlich</t>
        </is>
      </c>
      <c r="E3394" s="11" t="inlineStr"/>
      <c r="F3394" s="11" t="n">
        <v>0</v>
      </c>
      <c r="G3394" s="11">
        <f>E3394-F3394</f>
        <v/>
      </c>
      <c r="H3394" s="11" t="n">
        <v/>
      </c>
      <c r="I3394" s="11" t="n">
        <v/>
      </c>
      <c r="J3394" s="11" t="n">
        <v/>
      </c>
      <c r="K3394" s="4" t="inlineStr">
        <is>
          <t>Abrechnungsart wählen; Stundensätze eingeben</t>
        </is>
      </c>
    </row>
    <row r="3395">
      <c r="A3395" s="4" t="inlineStr">
        <is>
          <t>6703 BTB-WBC-Westerbachstraße-23-Kronberg</t>
        </is>
      </c>
      <c r="B3395" s="4" t="inlineStr">
        <is>
          <t>● (p.) Erstellung BSO</t>
        </is>
      </c>
      <c r="C3395" s="9" t="inlineStr">
        <is>
          <t>Unbekannt</t>
        </is>
      </c>
      <c r="D3395" s="10" t="inlineStr">
        <is>
          <t>⚠ Manual erforderlich</t>
        </is>
      </c>
      <c r="E3395" s="11" t="inlineStr"/>
      <c r="F3395" s="11" t="n">
        <v>0</v>
      </c>
      <c r="G3395" s="11">
        <f>E3395-F3395</f>
        <v/>
      </c>
      <c r="H3395" s="11" t="n">
        <v/>
      </c>
      <c r="I3395" s="11" t="n">
        <v/>
      </c>
      <c r="J3395" s="11" t="n">
        <v/>
      </c>
      <c r="K3395" s="4" t="inlineStr">
        <is>
          <t>Abrechnungsart wählen; Stundensätze eingeben</t>
        </is>
      </c>
    </row>
    <row r="3396">
      <c r="A3396" s="4" t="inlineStr">
        <is>
          <t>6703 BTB-WBC-Westerbachstraße-23-Kronberg</t>
        </is>
      </c>
      <c r="B3396" s="4" t="inlineStr">
        <is>
          <t>● (p.) Brandschutzschulung Theorie</t>
        </is>
      </c>
      <c r="C3396" s="9" t="inlineStr">
        <is>
          <t>Unbekannt</t>
        </is>
      </c>
      <c r="D3396" s="10" t="inlineStr">
        <is>
          <t>⚠ Manual erforderlich</t>
        </is>
      </c>
      <c r="E3396" s="11" t="inlineStr"/>
      <c r="F3396" s="11" t="n">
        <v>0</v>
      </c>
      <c r="G3396" s="11">
        <f>E3396-F3396</f>
        <v/>
      </c>
      <c r="H3396" s="11" t="n">
        <v/>
      </c>
      <c r="I3396" s="11" t="n">
        <v/>
      </c>
      <c r="J3396" s="11" t="n">
        <v/>
      </c>
      <c r="K3396" s="4" t="inlineStr">
        <is>
          <t>Abrechnungsart wählen; Stundensätze eingeben</t>
        </is>
      </c>
    </row>
    <row r="3397">
      <c r="A3397" s="4" t="inlineStr">
        <is>
          <t>6703.01 BSB-WBC-Westerbachstraße-23-Kronberg</t>
        </is>
      </c>
      <c r="B3397" s="4" t="inlineStr">
        <is>
          <t>● (a.N.) BSB 10/2022-09/2023 (12 x jährlich)</t>
        </is>
      </c>
      <c r="C3397" s="4" t="inlineStr">
        <is>
          <t>Nachweis</t>
        </is>
      </c>
      <c r="D3397" s="10" t="inlineStr">
        <is>
          <t>⚠ Manual erforderlich</t>
        </is>
      </c>
      <c r="E3397" s="11" t="inlineStr"/>
      <c r="F3397" s="11" t="n">
        <v>0</v>
      </c>
      <c r="G3397" s="11">
        <f>E3397-F3397</f>
        <v/>
      </c>
      <c r="H3397" s="11" t="n">
        <v/>
      </c>
      <c r="I3397" s="11" t="n">
        <v/>
      </c>
      <c r="J3397" s="11" t="n">
        <v/>
      </c>
      <c r="K3397" s="4" t="inlineStr">
        <is>
          <t>Stundensätze eingeben</t>
        </is>
      </c>
    </row>
    <row r="3398">
      <c r="A3398" s="4" t="inlineStr">
        <is>
          <t>6703.01 BSB-WBC-Westerbachstraße-23-Kronberg</t>
        </is>
      </c>
      <c r="B3398" s="4" t="inlineStr">
        <is>
          <t>● (a.N.) BSB  10/2023-09/2024 (6 x jährlich)</t>
        </is>
      </c>
      <c r="C3398" s="4" t="inlineStr">
        <is>
          <t>Nachweis</t>
        </is>
      </c>
      <c r="D3398" s="10" t="inlineStr">
        <is>
          <t>⚠ Manual erforderlich</t>
        </is>
      </c>
      <c r="E3398" s="11" t="inlineStr"/>
      <c r="F3398" s="11" t="n">
        <v>0</v>
      </c>
      <c r="G3398" s="11">
        <f>E3398-F3398</f>
        <v/>
      </c>
      <c r="H3398" s="11" t="n">
        <v/>
      </c>
      <c r="I3398" s="11" t="n">
        <v/>
      </c>
      <c r="J3398" s="11" t="n">
        <v/>
      </c>
      <c r="K3398" s="4" t="inlineStr">
        <is>
          <t>Stundensätze eingeben</t>
        </is>
      </c>
    </row>
    <row r="3399">
      <c r="A3399" s="4" t="inlineStr">
        <is>
          <t>6703.01 BSB-WBC-Westerbachstraße-23-Kronberg</t>
        </is>
      </c>
      <c r="B3399" s="4" t="inlineStr">
        <is>
          <t>● (a.N.) BSB 10/2024-09/2025 (6 x jährlich)</t>
        </is>
      </c>
      <c r="C3399" s="4" t="inlineStr">
        <is>
          <t>Nachweis</t>
        </is>
      </c>
      <c r="D3399" s="10" t="inlineStr">
        <is>
          <t>⚠ Manual erforderlich</t>
        </is>
      </c>
      <c r="E3399" s="11" t="inlineStr"/>
      <c r="F3399" s="11" t="n">
        <v>0</v>
      </c>
      <c r="G3399" s="11">
        <f>E3399-F3399</f>
        <v/>
      </c>
      <c r="H3399" s="11" t="n">
        <v/>
      </c>
      <c r="I3399" s="11" t="n">
        <v/>
      </c>
      <c r="J3399" s="11" t="n">
        <v/>
      </c>
      <c r="K3399" s="4" t="inlineStr">
        <is>
          <t>Stundensätze eingeben</t>
        </is>
      </c>
    </row>
    <row r="3400">
      <c r="A3400" s="4" t="inlineStr">
        <is>
          <t>6703.01 BSB-WBC-Westerbachstraße-23-Kronberg</t>
        </is>
      </c>
      <c r="B3400" s="4" t="inlineStr">
        <is>
          <t>● (a.N) BSB 2025/2026 6 x jährlich</t>
        </is>
      </c>
      <c r="C3400" s="9" t="inlineStr">
        <is>
          <t>Unbekannt</t>
        </is>
      </c>
      <c r="D3400" s="10" t="inlineStr">
        <is>
          <t>⚠ Manual erforderlich</t>
        </is>
      </c>
      <c r="E3400" s="11" t="inlineStr"/>
      <c r="F3400" s="11" t="n">
        <v>0</v>
      </c>
      <c r="G3400" s="11">
        <f>E3400-F3400</f>
        <v/>
      </c>
      <c r="H3400" s="11" t="n">
        <v/>
      </c>
      <c r="I3400" s="11" t="n">
        <v/>
      </c>
      <c r="J3400" s="11" t="n">
        <v/>
      </c>
      <c r="K3400" s="4" t="inlineStr">
        <is>
          <t>Abrechnungsart wählen; Stundensätze eingeben</t>
        </is>
      </c>
    </row>
    <row r="3401">
      <c r="A3401" s="4" t="inlineStr">
        <is>
          <t>6703.02 RGS-WBC-Westerbachstraße-23-Kronberg</t>
        </is>
      </c>
      <c r="B3401" s="4" t="inlineStr">
        <is>
          <t>● (p) Pos. 1 Heißrauchversuch als Funktionsnachweis - Vorversuch</t>
        </is>
      </c>
      <c r="C3401" s="4" t="inlineStr">
        <is>
          <t>Pauschale</t>
        </is>
      </c>
      <c r="D3401" s="10" t="inlineStr">
        <is>
          <t>⚠ Manual erforderlich</t>
        </is>
      </c>
      <c r="E3401" s="11" t="inlineStr"/>
      <c r="F3401" s="11" t="n">
        <v>0</v>
      </c>
      <c r="G3401" s="11">
        <f>E3401-F3401</f>
        <v/>
      </c>
      <c r="H3401" s="11" t="n">
        <v>0</v>
      </c>
      <c r="I3401" s="11" t="n">
        <v>0</v>
      </c>
      <c r="J3401" s="11" t="n">
        <v>0</v>
      </c>
      <c r="K3401" s="4" t="inlineStr">
        <is>
          <t>Stundensätze eingeben</t>
        </is>
      </c>
    </row>
    <row r="3402">
      <c r="A3402" s="4" t="inlineStr">
        <is>
          <t>6703.02 RGS-WBC-Westerbachstraße-23-Kronberg</t>
        </is>
      </c>
      <c r="B3402" s="4" t="inlineStr">
        <is>
          <t>● (p) Pos. 2 Heißrauchversuch mit Beteiligung d. Behörde</t>
        </is>
      </c>
      <c r="C3402" s="4" t="inlineStr">
        <is>
          <t>Pauschale</t>
        </is>
      </c>
      <c r="D3402" s="10" t="inlineStr">
        <is>
          <t>⚠ Manual erforderlich</t>
        </is>
      </c>
      <c r="E3402" s="11" t="inlineStr"/>
      <c r="F3402" s="11" t="n">
        <v>0</v>
      </c>
      <c r="G3402" s="11">
        <f>E3402-F3402</f>
        <v/>
      </c>
      <c r="H3402" s="11" t="n">
        <v>0</v>
      </c>
      <c r="I3402" s="11" t="n">
        <v>0</v>
      </c>
      <c r="J3402" s="11" t="n">
        <v>0</v>
      </c>
      <c r="K3402" s="4" t="inlineStr">
        <is>
          <t>Stundensätze eingeben</t>
        </is>
      </c>
    </row>
    <row r="3403">
      <c r="A3403" s="4" t="inlineStr">
        <is>
          <t>6703.02 RGS-WBC-Westerbachstraße-23-Kronberg</t>
        </is>
      </c>
      <c r="B3403" s="4" t="inlineStr">
        <is>
          <t>● (p) Pos.3 BSS (Theorie u.Praxis) f. Räumungshelfer (Preis/Schulung)</t>
        </is>
      </c>
      <c r="C3403" s="4" t="inlineStr">
        <is>
          <t>Pauschale</t>
        </is>
      </c>
      <c r="D3403" s="10" t="inlineStr">
        <is>
          <t>⚠ Manual erforderlich</t>
        </is>
      </c>
      <c r="E3403" s="11" t="inlineStr"/>
      <c r="F3403" s="11" t="n">
        <v>0</v>
      </c>
      <c r="G3403" s="11">
        <f>E3403-F3403</f>
        <v/>
      </c>
      <c r="H3403" s="11" t="n">
        <v>0</v>
      </c>
      <c r="I3403" s="11" t="n">
        <v>0</v>
      </c>
      <c r="J3403" s="11" t="n">
        <v>0</v>
      </c>
      <c r="K3403" s="4" t="inlineStr">
        <is>
          <t>Stundensätze eingeben</t>
        </is>
      </c>
    </row>
    <row r="3404">
      <c r="A3404" s="4" t="inlineStr">
        <is>
          <t>6703.02 RGS-WBC-Westerbachstraße-23-Kronberg</t>
        </is>
      </c>
      <c r="B3404" s="4" t="inlineStr">
        <is>
          <t>● (p) Pos. 4 Schulung (Teorie) z. RMK Interimszeit Praxis IFK (Dr.med.Lee)</t>
        </is>
      </c>
      <c r="C3404" s="4" t="inlineStr">
        <is>
          <t>Pauschale</t>
        </is>
      </c>
      <c r="D3404" s="10" t="inlineStr">
        <is>
          <t>⚠ Manual erforderlich</t>
        </is>
      </c>
      <c r="E3404" s="11" t="inlineStr"/>
      <c r="F3404" s="11" t="n">
        <v>0</v>
      </c>
      <c r="G3404" s="11">
        <f>E3404-F3404</f>
        <v/>
      </c>
      <c r="H3404" s="11" t="n">
        <v>0</v>
      </c>
      <c r="I3404" s="11" t="n">
        <v>0</v>
      </c>
      <c r="J3404" s="11" t="n">
        <v>0</v>
      </c>
      <c r="K3404" s="4" t="inlineStr">
        <is>
          <t>Stundensätze eingeben</t>
        </is>
      </c>
    </row>
    <row r="3405">
      <c r="A3405" s="4" t="inlineStr">
        <is>
          <t>6703.02 RGS-WBC-Westerbachstraße-23-Kronberg</t>
        </is>
      </c>
      <c r="B3405" s="4" t="inlineStr">
        <is>
          <t>● (p) Pos. 5 BSS Theorie als NT z. FFM-ANG-BTB-001-2022-09-21, Pos. 5 (P</t>
        </is>
      </c>
      <c r="C3405" s="4" t="inlineStr">
        <is>
          <t>Pauschale</t>
        </is>
      </c>
      <c r="D3405" s="10" t="inlineStr">
        <is>
          <t>⚠ Manual erforderlich</t>
        </is>
      </c>
      <c r="E3405" s="11" t="inlineStr"/>
      <c r="F3405" s="11" t="n">
        <v>0</v>
      </c>
      <c r="G3405" s="11">
        <f>E3405-F3405</f>
        <v/>
      </c>
      <c r="H3405" s="11" t="n">
        <v>0</v>
      </c>
      <c r="I3405" s="11" t="n">
        <v>0</v>
      </c>
      <c r="J3405" s="11" t="n">
        <v>0</v>
      </c>
      <c r="K3405" s="4" t="inlineStr">
        <is>
          <t>Stundensätze eingeben</t>
        </is>
      </c>
    </row>
    <row r="3406">
      <c r="A3406" s="4" t="inlineStr">
        <is>
          <t>6704 BSK-BTB+FWP-FuR-ZsG-Lörrach</t>
        </is>
      </c>
      <c r="B3406" s="4" t="inlineStr">
        <is>
          <t>● ANG MKK-ANG-BTB-001-2022-04-14-ZsG-Loerrach</t>
        </is>
      </c>
      <c r="C3406" s="9" t="inlineStr">
        <is>
          <t>Unbekannt</t>
        </is>
      </c>
      <c r="D3406" s="10" t="inlineStr">
        <is>
          <t>⚠ Manual erforderlich</t>
        </is>
      </c>
      <c r="E3406" s="11" t="inlineStr"/>
      <c r="F3406" s="11" t="n">
        <v>0</v>
      </c>
      <c r="G3406" s="11">
        <f>E3406-F3406</f>
        <v/>
      </c>
      <c r="H3406" s="11" t="n">
        <v/>
      </c>
      <c r="I3406" s="11" t="n">
        <v/>
      </c>
      <c r="J3406" s="11" t="n">
        <v/>
      </c>
      <c r="K3406" s="4" t="inlineStr">
        <is>
          <t>Abrechnungsart wählen; Stundensätze eingeben</t>
        </is>
      </c>
    </row>
    <row r="3407">
      <c r="A3407" s="4" t="inlineStr">
        <is>
          <t>6704 BSK-BTB+FWP-FuR-ZsG-Lörrach</t>
        </is>
      </c>
      <c r="B3407" s="4" t="inlineStr">
        <is>
          <t>● (aN) Pos. 1 Fortschr. BSK / -Pläne LP 9</t>
        </is>
      </c>
      <c r="C3407" s="4" t="inlineStr">
        <is>
          <t>Nachweis</t>
        </is>
      </c>
      <c r="D3407" s="10" t="inlineStr">
        <is>
          <t>⚠ Manual erforderlich</t>
        </is>
      </c>
      <c r="E3407" s="11" t="inlineStr"/>
      <c r="F3407" s="11" t="n">
        <v>0</v>
      </c>
      <c r="G3407" s="11">
        <f>E3407-F3407</f>
        <v/>
      </c>
      <c r="H3407" s="11" t="n">
        <v/>
      </c>
      <c r="I3407" s="11" t="n">
        <v/>
      </c>
      <c r="J3407" s="11" t="n">
        <v/>
      </c>
      <c r="K3407" s="4" t="inlineStr">
        <is>
          <t>Stundensätze eingeben</t>
        </is>
      </c>
    </row>
    <row r="3408">
      <c r="A3408" s="4" t="inlineStr">
        <is>
          <t>6704 BSK-BTB+FWP-FuR-ZsG-Lörrach</t>
        </is>
      </c>
      <c r="B3408" s="4" t="inlineStr">
        <is>
          <t>● (aN) Pos. 2 Beratungsleistung LP5</t>
        </is>
      </c>
      <c r="C3408" s="4" t="inlineStr">
        <is>
          <t>Nachweis</t>
        </is>
      </c>
      <c r="D3408" s="10" t="inlineStr">
        <is>
          <t>⚠ Manual erforderlich</t>
        </is>
      </c>
      <c r="E3408" s="11" t="inlineStr"/>
      <c r="F3408" s="11" t="n">
        <v>0</v>
      </c>
      <c r="G3408" s="11">
        <f>E3408-F3408</f>
        <v/>
      </c>
      <c r="H3408" s="11" t="n">
        <v/>
      </c>
      <c r="I3408" s="11" t="n">
        <v/>
      </c>
      <c r="J3408" s="11" t="n">
        <v/>
      </c>
      <c r="K3408" s="4" t="inlineStr">
        <is>
          <t>Stundensätze eingeben</t>
        </is>
      </c>
    </row>
    <row r="3409">
      <c r="A3409" s="4" t="inlineStr">
        <is>
          <t>6704 BSK-BTB+FWP-FuR-ZsG-Lörrach</t>
        </is>
      </c>
      <c r="B3409" s="4" t="inlineStr">
        <is>
          <t>● (aN) Pos. 3 Baubegleitung Brandschutz LP8</t>
        </is>
      </c>
      <c r="C3409" s="4" t="inlineStr">
        <is>
          <t>Nachweis</t>
        </is>
      </c>
      <c r="D3409" s="10" t="inlineStr">
        <is>
          <t>⚠ Manual erforderlich</t>
        </is>
      </c>
      <c r="E3409" s="11" t="inlineStr"/>
      <c r="F3409" s="11" t="n">
        <v>0</v>
      </c>
      <c r="G3409" s="11">
        <f>E3409-F3409</f>
        <v/>
      </c>
      <c r="H3409" s="11" t="n">
        <v/>
      </c>
      <c r="I3409" s="11" t="n">
        <v/>
      </c>
      <c r="J3409" s="11" t="n">
        <v/>
      </c>
      <c r="K3409" s="4" t="inlineStr">
        <is>
          <t>Stundensätze eingeben</t>
        </is>
      </c>
    </row>
    <row r="3410">
      <c r="A3410" s="4" t="inlineStr">
        <is>
          <t>6704 BSK-BTB+FWP-FuR-ZsG-Lörrach</t>
        </is>
      </c>
      <c r="B3410" s="4" t="inlineStr">
        <is>
          <t>● ANG MKK-ANG-FWP-001-2022-04-14-ZsG-Loerrach</t>
        </is>
      </c>
      <c r="C3410" s="9" t="inlineStr">
        <is>
          <t>Unbekannt</t>
        </is>
      </c>
      <c r="D3410" s="10" t="inlineStr">
        <is>
          <t>⚠ Manual erforderlich</t>
        </is>
      </c>
      <c r="E3410" s="11" t="inlineStr"/>
      <c r="F3410" s="11" t="n">
        <v>0</v>
      </c>
      <c r="G3410" s="11">
        <f>E3410-F3410</f>
        <v/>
      </c>
      <c r="H3410" s="11" t="n">
        <v/>
      </c>
      <c r="I3410" s="11" t="n">
        <v/>
      </c>
      <c r="J3410" s="11" t="n">
        <v/>
      </c>
      <c r="K3410" s="4" t="inlineStr">
        <is>
          <t>Abrechnungsart wählen; Stundensätze eingeben</t>
        </is>
      </c>
    </row>
    <row r="3411">
      <c r="A3411" s="4" t="inlineStr">
        <is>
          <t>6704 BSK-BTB+FWP-FuR-ZsG-Lörrach</t>
        </is>
      </c>
      <c r="B3411" s="4" t="inlineStr">
        <is>
          <t>● (p) Pos. 1 Feuerwehrpläne LP 9</t>
        </is>
      </c>
      <c r="C3411" s="4" t="inlineStr">
        <is>
          <t>Pauschale</t>
        </is>
      </c>
      <c r="D3411" s="10" t="inlineStr">
        <is>
          <t>⚠ Manual erforderlich</t>
        </is>
      </c>
      <c r="E3411" s="11" t="inlineStr"/>
      <c r="F3411" s="11" t="n">
        <v>0</v>
      </c>
      <c r="G3411" s="11">
        <f>E3411-F3411</f>
        <v/>
      </c>
      <c r="H3411" s="11" t="n">
        <v>0</v>
      </c>
      <c r="I3411" s="11" t="n">
        <v>0</v>
      </c>
      <c r="J3411" s="11" t="n">
        <v>0</v>
      </c>
      <c r="K3411" s="4" t="inlineStr">
        <is>
          <t>Stundensätze eingeben</t>
        </is>
      </c>
    </row>
    <row r="3412">
      <c r="A3412" s="4" t="inlineStr">
        <is>
          <t>6704 BSK-BTB+FWP-FuR-ZsG-Lörrach</t>
        </is>
      </c>
      <c r="B3412" s="4" t="inlineStr">
        <is>
          <t>● (p) Pos. 2 Flucht- und Rettungspläne LP 9</t>
        </is>
      </c>
      <c r="C3412" s="4" t="inlineStr">
        <is>
          <t>Pauschale</t>
        </is>
      </c>
      <c r="D3412" s="10" t="inlineStr">
        <is>
          <t>⚠ Manual erforderlich</t>
        </is>
      </c>
      <c r="E3412" s="11" t="inlineStr"/>
      <c r="F3412" s="11" t="n">
        <v>0</v>
      </c>
      <c r="G3412" s="11">
        <f>E3412-F3412</f>
        <v/>
      </c>
      <c r="H3412" s="11" t="n">
        <v>0</v>
      </c>
      <c r="I3412" s="11" t="n">
        <v>0</v>
      </c>
      <c r="J3412" s="11" t="n">
        <v>0</v>
      </c>
      <c r="K3412" s="4" t="inlineStr">
        <is>
          <t>Stundensätze eingeben</t>
        </is>
      </c>
    </row>
    <row r="3413">
      <c r="A3413" s="4" t="inlineStr">
        <is>
          <t>6709 AHO-BTMU1704-KH Mühlacker-Umbau-OP-ITS-AWR-ZNA</t>
        </is>
      </c>
      <c r="B3413" s="4" t="inlineStr">
        <is>
          <t>● (p) LP 1 GL</t>
        </is>
      </c>
      <c r="C3413" s="4" t="inlineStr">
        <is>
          <t>Pauschale</t>
        </is>
      </c>
      <c r="D3413" s="10" t="inlineStr">
        <is>
          <t>⚠ Manual erforderlich</t>
        </is>
      </c>
      <c r="E3413" s="11" t="inlineStr"/>
      <c r="F3413" s="11" t="n">
        <v>0</v>
      </c>
      <c r="G3413" s="11">
        <f>E3413-F3413</f>
        <v/>
      </c>
      <c r="H3413" s="11" t="n">
        <v>0</v>
      </c>
      <c r="I3413" s="11" t="n">
        <v>0</v>
      </c>
      <c r="J3413" s="11" t="n">
        <v>0</v>
      </c>
      <c r="K3413" s="4" t="inlineStr">
        <is>
          <t>Stundensätze eingeben</t>
        </is>
      </c>
    </row>
    <row r="3414">
      <c r="A3414" s="4" t="inlineStr">
        <is>
          <t>6709 AHO-BTMU1704-KH Mühlacker-Umbau-OP-ITS-AWR-ZNA</t>
        </is>
      </c>
      <c r="B3414" s="4" t="inlineStr">
        <is>
          <t>● (a.N.) LP 1 BL</t>
        </is>
      </c>
      <c r="C3414" s="4" t="inlineStr">
        <is>
          <t>Nachweis</t>
        </is>
      </c>
      <c r="D3414" s="10" t="inlineStr">
        <is>
          <t>⚠ Manual erforderlich</t>
        </is>
      </c>
      <c r="E3414" s="11" t="inlineStr"/>
      <c r="F3414" s="11" t="n">
        <v>0</v>
      </c>
      <c r="G3414" s="11">
        <f>E3414-F3414</f>
        <v/>
      </c>
      <c r="H3414" s="11" t="n">
        <v/>
      </c>
      <c r="I3414" s="11" t="n">
        <v/>
      </c>
      <c r="J3414" s="11" t="n">
        <v/>
      </c>
      <c r="K3414" s="4" t="inlineStr">
        <is>
          <t>Stundensätze eingeben</t>
        </is>
      </c>
    </row>
    <row r="3415">
      <c r="A3415" s="4" t="inlineStr">
        <is>
          <t>6709 AHO-BTMU1704-KH Mühlacker-Umbau-OP-ITS-AWR-ZNA</t>
        </is>
      </c>
      <c r="B3415" s="4" t="inlineStr">
        <is>
          <t>● (p) LP 2 GL</t>
        </is>
      </c>
      <c r="C3415" s="4" t="inlineStr">
        <is>
          <t>Pauschale</t>
        </is>
      </c>
      <c r="D3415" s="10" t="inlineStr">
        <is>
          <t>⚠ Manual erforderlich</t>
        </is>
      </c>
      <c r="E3415" s="11" t="inlineStr"/>
      <c r="F3415" s="11" t="n">
        <v>0</v>
      </c>
      <c r="G3415" s="11">
        <f>E3415-F3415</f>
        <v/>
      </c>
      <c r="H3415" s="11" t="n">
        <v>0</v>
      </c>
      <c r="I3415" s="11" t="n">
        <v>0</v>
      </c>
      <c r="J3415" s="11" t="n">
        <v>0</v>
      </c>
      <c r="K3415" s="4" t="inlineStr">
        <is>
          <t>Stundensätze eingeben</t>
        </is>
      </c>
    </row>
    <row r="3416">
      <c r="A3416" s="4" t="inlineStr">
        <is>
          <t>6709 AHO-BTMU1704-KH Mühlacker-Umbau-OP-ITS-AWR-ZNA</t>
        </is>
      </c>
      <c r="B3416" s="4" t="inlineStr">
        <is>
          <t>● (p/a.N.) LP 2 BL</t>
        </is>
      </c>
      <c r="C3416" s="9" t="inlineStr">
        <is>
          <t>Unbekannt</t>
        </is>
      </c>
      <c r="D3416" s="10" t="inlineStr">
        <is>
          <t>⚠ Manual erforderlich</t>
        </is>
      </c>
      <c r="E3416" s="11" t="inlineStr"/>
      <c r="F3416" s="11" t="n">
        <v>0</v>
      </c>
      <c r="G3416" s="11">
        <f>E3416-F3416</f>
        <v/>
      </c>
      <c r="H3416" s="11" t="n">
        <v/>
      </c>
      <c r="I3416" s="11" t="n">
        <v/>
      </c>
      <c r="J3416" s="11" t="n">
        <v/>
      </c>
      <c r="K3416" s="4" t="inlineStr">
        <is>
          <t>Abrechnungsart wählen; Stundensätze eingeben</t>
        </is>
      </c>
    </row>
    <row r="3417">
      <c r="A3417" s="4" t="inlineStr">
        <is>
          <t>6709 AHO-BTMU1704-KH Mühlacker-Umbau-OP-ITS-AWR-ZNA</t>
        </is>
      </c>
      <c r="B3417" s="4" t="inlineStr">
        <is>
          <t>● (p) LP 3 GL</t>
        </is>
      </c>
      <c r="C3417" s="4" t="inlineStr">
        <is>
          <t>Pauschale</t>
        </is>
      </c>
      <c r="D3417" s="10" t="inlineStr">
        <is>
          <t>⚠ Manual erforderlich</t>
        </is>
      </c>
      <c r="E3417" s="11" t="inlineStr"/>
      <c r="F3417" s="11" t="n">
        <v>0</v>
      </c>
      <c r="G3417" s="11">
        <f>E3417-F3417</f>
        <v/>
      </c>
      <c r="H3417" s="11" t="n">
        <v>0</v>
      </c>
      <c r="I3417" s="11" t="n">
        <v>0</v>
      </c>
      <c r="J3417" s="11" t="n">
        <v>0</v>
      </c>
      <c r="K3417" s="4" t="inlineStr">
        <is>
          <t>Stundensätze eingeben</t>
        </is>
      </c>
    </row>
    <row r="3418">
      <c r="A3418" s="4" t="inlineStr">
        <is>
          <t>6709 AHO-BTMU1704-KH Mühlacker-Umbau-OP-ITS-AWR-ZNA</t>
        </is>
      </c>
      <c r="B3418" s="4" t="inlineStr">
        <is>
          <t>● (p) LP 3 BL</t>
        </is>
      </c>
      <c r="C3418" s="4" t="inlineStr">
        <is>
          <t>Pauschale</t>
        </is>
      </c>
      <c r="D3418" s="10" t="inlineStr">
        <is>
          <t>⚠ Manual erforderlich</t>
        </is>
      </c>
      <c r="E3418" s="11" t="inlineStr"/>
      <c r="F3418" s="11" t="n">
        <v>0</v>
      </c>
      <c r="G3418" s="11">
        <f>E3418-F3418</f>
        <v/>
      </c>
      <c r="H3418" s="11" t="n">
        <v>0</v>
      </c>
      <c r="I3418" s="11" t="n">
        <v>0</v>
      </c>
      <c r="J3418" s="11" t="n">
        <v>0</v>
      </c>
      <c r="K3418" s="4" t="inlineStr">
        <is>
          <t>Stundensätze eingeben</t>
        </is>
      </c>
    </row>
    <row r="3419">
      <c r="A3419" s="4" t="inlineStr">
        <is>
          <t>6709 AHO-BTMU1704-KH Mühlacker-Umbau-OP-ITS-AWR-ZNA</t>
        </is>
      </c>
      <c r="B3419" s="4" t="inlineStr">
        <is>
          <t>● (p) LP 4 GL</t>
        </is>
      </c>
      <c r="C3419" s="4" t="inlineStr">
        <is>
          <t>Pauschale</t>
        </is>
      </c>
      <c r="D3419" s="10" t="inlineStr">
        <is>
          <t>⚠ Manual erforderlich</t>
        </is>
      </c>
      <c r="E3419" s="11" t="inlineStr"/>
      <c r="F3419" s="11" t="n">
        <v>0</v>
      </c>
      <c r="G3419" s="11">
        <f>E3419-F3419</f>
        <v/>
      </c>
      <c r="H3419" s="11" t="n">
        <v>0</v>
      </c>
      <c r="I3419" s="11" t="n">
        <v>0</v>
      </c>
      <c r="J3419" s="11" t="n">
        <v>0</v>
      </c>
      <c r="K3419" s="4" t="inlineStr">
        <is>
          <t>Stundensätze eingeben</t>
        </is>
      </c>
    </row>
    <row r="3420">
      <c r="A3420" s="4" t="inlineStr">
        <is>
          <t>6709 AHO-BTMU1704-KH Mühlacker-Umbau-OP-ITS-AWR-ZNA</t>
        </is>
      </c>
      <c r="B3420" s="4" t="inlineStr">
        <is>
          <t>● (p/a.N.) LP 4 BL</t>
        </is>
      </c>
      <c r="C3420" s="9" t="inlineStr">
        <is>
          <t>Unbekannt</t>
        </is>
      </c>
      <c r="D3420" s="10" t="inlineStr">
        <is>
          <t>⚠ Manual erforderlich</t>
        </is>
      </c>
      <c r="E3420" s="11" t="inlineStr"/>
      <c r="F3420" s="11" t="n">
        <v>0</v>
      </c>
      <c r="G3420" s="11">
        <f>E3420-F3420</f>
        <v/>
      </c>
      <c r="H3420" s="11" t="n">
        <v/>
      </c>
      <c r="I3420" s="11" t="n">
        <v/>
      </c>
      <c r="J3420" s="11" t="n">
        <v/>
      </c>
      <c r="K3420" s="4" t="inlineStr">
        <is>
          <t>Abrechnungsart wählen; Stundensätze eingeben</t>
        </is>
      </c>
    </row>
    <row r="3421">
      <c r="A3421" s="4" t="inlineStr">
        <is>
          <t>6709 AHO-BTMU1704-KH Mühlacker-Umbau-OP-ITS-AWR-ZNA</t>
        </is>
      </c>
      <c r="B3421" s="4" t="inlineStr">
        <is>
          <t>● (a.N.) LP 5 GL</t>
        </is>
      </c>
      <c r="C3421" s="4" t="inlineStr">
        <is>
          <t>Nachweis</t>
        </is>
      </c>
      <c r="D3421" s="10" t="inlineStr">
        <is>
          <t>⚠ Manual erforderlich</t>
        </is>
      </c>
      <c r="E3421" s="11" t="inlineStr"/>
      <c r="F3421" s="11" t="n">
        <v>0</v>
      </c>
      <c r="G3421" s="11">
        <f>E3421-F3421</f>
        <v/>
      </c>
      <c r="H3421" s="11" t="n">
        <v/>
      </c>
      <c r="I3421" s="11" t="n">
        <v/>
      </c>
      <c r="J3421" s="11" t="n">
        <v/>
      </c>
      <c r="K3421" s="4" t="inlineStr">
        <is>
          <t>Stundensätze eingeben</t>
        </is>
      </c>
    </row>
    <row r="3422">
      <c r="A3422" s="4" t="inlineStr">
        <is>
          <t>6709 AHO-BTMU1704-KH Mühlacker-Umbau-OP-ITS-AWR-ZNA</t>
        </is>
      </c>
      <c r="B3422" s="4" t="inlineStr">
        <is>
          <t>● (a.N.) LP 5 BL</t>
        </is>
      </c>
      <c r="C3422" s="4" t="inlineStr">
        <is>
          <t>Nachweis</t>
        </is>
      </c>
      <c r="D3422" s="10" t="inlineStr">
        <is>
          <t>⚠ Manual erforderlich</t>
        </is>
      </c>
      <c r="E3422" s="11" t="inlineStr"/>
      <c r="F3422" s="11" t="n">
        <v>0</v>
      </c>
      <c r="G3422" s="11">
        <f>E3422-F3422</f>
        <v/>
      </c>
      <c r="H3422" s="11" t="n">
        <v/>
      </c>
      <c r="I3422" s="11" t="n">
        <v/>
      </c>
      <c r="J3422" s="11" t="n">
        <v/>
      </c>
      <c r="K3422" s="4" t="inlineStr">
        <is>
          <t>Stundensätze eingeben</t>
        </is>
      </c>
    </row>
    <row r="3423">
      <c r="A3423" s="4" t="inlineStr">
        <is>
          <t>6709 AHO-BTMU1704-KH Mühlacker-Umbau-OP-ITS-AWR-ZNA</t>
        </is>
      </c>
      <c r="B3423" s="4" t="inlineStr">
        <is>
          <t>● (p) LP 8 GL</t>
        </is>
      </c>
      <c r="C3423" s="4" t="inlineStr">
        <is>
          <t>Pauschale</t>
        </is>
      </c>
      <c r="D3423" s="10" t="inlineStr">
        <is>
          <t>⚠ Manual erforderlich</t>
        </is>
      </c>
      <c r="E3423" s="11" t="inlineStr"/>
      <c r="F3423" s="11" t="n">
        <v>0</v>
      </c>
      <c r="G3423" s="11">
        <f>E3423-F3423</f>
        <v/>
      </c>
      <c r="H3423" s="11" t="n">
        <v>0</v>
      </c>
      <c r="I3423" s="11" t="n">
        <v>0</v>
      </c>
      <c r="J3423" s="11" t="n">
        <v>0</v>
      </c>
      <c r="K3423" s="4" t="inlineStr">
        <is>
          <t>Stundensätze eingeben</t>
        </is>
      </c>
    </row>
    <row r="3424">
      <c r="A3424" s="4" t="inlineStr">
        <is>
          <t>6709 AHO-BTMU1704-KH Mühlacker-Umbau-OP-ITS-AWR-ZNA</t>
        </is>
      </c>
      <c r="B3424" s="4" t="inlineStr">
        <is>
          <t>● (a.N.) LP 8 BL</t>
        </is>
      </c>
      <c r="C3424" s="4" t="inlineStr">
        <is>
          <t>Nachweis</t>
        </is>
      </c>
      <c r="D3424" s="10" t="inlineStr">
        <is>
          <t>⚠ Manual erforderlich</t>
        </is>
      </c>
      <c r="E3424" s="11" t="inlineStr"/>
      <c r="F3424" s="11" t="n">
        <v>0</v>
      </c>
      <c r="G3424" s="11">
        <f>E3424-F3424</f>
        <v/>
      </c>
      <c r="H3424" s="11" t="n">
        <v/>
      </c>
      <c r="I3424" s="11" t="n">
        <v/>
      </c>
      <c r="J3424" s="11" t="n">
        <v/>
      </c>
      <c r="K3424" s="4" t="inlineStr">
        <is>
          <t>Stundensätze eingeben</t>
        </is>
      </c>
    </row>
    <row r="3425">
      <c r="A3425" s="4" t="inlineStr">
        <is>
          <t>6709.01 RKH-BFSM-KH-Mühlacker-Hermann-Hesse-Straße-34-Mühlacker</t>
        </is>
      </c>
      <c r="B3425" s="4" t="inlineStr">
        <is>
          <t>● (aN) Pos.2 Grundlagenermittlung für Erstellung BFSM</t>
        </is>
      </c>
      <c r="C3425" s="4" t="inlineStr">
        <is>
          <t>Nachweis</t>
        </is>
      </c>
      <c r="D3425" s="10" t="inlineStr">
        <is>
          <t>⚠ Manual erforderlich</t>
        </is>
      </c>
      <c r="E3425" s="11" t="inlineStr"/>
      <c r="F3425" s="11" t="n">
        <v>0</v>
      </c>
      <c r="G3425" s="11">
        <f>E3425-F3425</f>
        <v/>
      </c>
      <c r="H3425" s="11" t="n">
        <v/>
      </c>
      <c r="I3425" s="11" t="n">
        <v/>
      </c>
      <c r="J3425" s="11" t="n">
        <v/>
      </c>
      <c r="K3425" s="4" t="inlineStr">
        <is>
          <t>Stundensätze eingeben</t>
        </is>
      </c>
    </row>
    <row r="3426">
      <c r="A3426" s="4" t="inlineStr">
        <is>
          <t>6709.01 RKH-BFSM-KH-Mühlacker-Hermann-Hesse-Straße-34-Mühlacker</t>
        </is>
      </c>
      <c r="B3426" s="4" t="inlineStr">
        <is>
          <t>● (p) Pos.3 Erstellung Brandfallsteuermatrix</t>
        </is>
      </c>
      <c r="C3426" s="4" t="inlineStr">
        <is>
          <t>Pauschale</t>
        </is>
      </c>
      <c r="D3426" s="10" t="inlineStr">
        <is>
          <t>⚠ Manual erforderlich</t>
        </is>
      </c>
      <c r="E3426" s="11" t="inlineStr"/>
      <c r="F3426" s="11" t="n">
        <v>0</v>
      </c>
      <c r="G3426" s="11">
        <f>E3426-F3426</f>
        <v/>
      </c>
      <c r="H3426" s="11" t="n">
        <v/>
      </c>
      <c r="I3426" s="11" t="n">
        <v/>
      </c>
      <c r="J3426" s="11" t="n">
        <v/>
      </c>
      <c r="K3426" s="4" t="inlineStr">
        <is>
          <t>Stundensätze eingeben</t>
        </is>
      </c>
    </row>
    <row r="3427">
      <c r="A3427" s="4" t="inlineStr">
        <is>
          <t>6709.02 RKH-BTB-KH-Mühlacker-Hermann-Hesse-Straße-34-Mühlacker-Schottaufnahme</t>
        </is>
      </c>
      <c r="B3427" s="4" t="inlineStr">
        <is>
          <t>● (aN) Pos.1 Systematische Schottaufnahme in den UG</t>
        </is>
      </c>
      <c r="C3427" s="4" t="inlineStr">
        <is>
          <t>Nachweis</t>
        </is>
      </c>
      <c r="D3427" s="10" t="inlineStr">
        <is>
          <t>⚠ Manual erforderlich</t>
        </is>
      </c>
      <c r="E3427" s="11" t="inlineStr"/>
      <c r="F3427" s="11" t="n">
        <v>0</v>
      </c>
      <c r="G3427" s="11">
        <f>E3427-F3427</f>
        <v/>
      </c>
      <c r="H3427" s="11" t="n">
        <v/>
      </c>
      <c r="I3427" s="11" t="n">
        <v/>
      </c>
      <c r="J3427" s="11" t="n">
        <v/>
      </c>
      <c r="K3427" s="4" t="inlineStr">
        <is>
          <t>Stundensätze eingeben</t>
        </is>
      </c>
    </row>
    <row r="3428">
      <c r="A3428" s="4" t="inlineStr">
        <is>
          <t>6709.02 RKH-BTB-KH-Mühlacker-Hermann-Hesse-Straße-34-Mühlacker-Schottaufnahme</t>
        </is>
      </c>
      <c r="B3428" s="4" t="inlineStr">
        <is>
          <t>● (aN) Pos.2 Aufnahme von Brandlasten in Fluren und treppenhäusern</t>
        </is>
      </c>
      <c r="C3428" s="4" t="inlineStr">
        <is>
          <t>Nachweis</t>
        </is>
      </c>
      <c r="D3428" s="10" t="inlineStr">
        <is>
          <t>⚠ Manual erforderlich</t>
        </is>
      </c>
      <c r="E3428" s="11" t="inlineStr"/>
      <c r="F3428" s="11" t="n">
        <v>0</v>
      </c>
      <c r="G3428" s="11">
        <f>E3428-F3428</f>
        <v/>
      </c>
      <c r="H3428" s="11" t="n">
        <v/>
      </c>
      <c r="I3428" s="11" t="n">
        <v/>
      </c>
      <c r="J3428" s="11" t="n">
        <v/>
      </c>
      <c r="K3428" s="4" t="inlineStr">
        <is>
          <t>Stundensätze eingeben</t>
        </is>
      </c>
    </row>
    <row r="3429">
      <c r="A3429" s="4" t="inlineStr">
        <is>
          <t>6709.02 RKH-BTB-KH-Mühlacker-Hermann-Hesse-Straße-34-Mühlacker-Schottaufnahme</t>
        </is>
      </c>
      <c r="B3429" s="4" t="inlineStr">
        <is>
          <t>● (aN) Pos.3 System. Kontrolle der vorhandenen FRP</t>
        </is>
      </c>
      <c r="C3429" s="4" t="inlineStr">
        <is>
          <t>Nachweis</t>
        </is>
      </c>
      <c r="D3429" s="10" t="inlineStr">
        <is>
          <t>⚠ Manual erforderlich</t>
        </is>
      </c>
      <c r="E3429" s="11" t="inlineStr"/>
      <c r="F3429" s="11" t="n">
        <v>0</v>
      </c>
      <c r="G3429" s="11">
        <f>E3429-F3429</f>
        <v/>
      </c>
      <c r="H3429" s="11" t="n">
        <v/>
      </c>
      <c r="I3429" s="11" t="n">
        <v/>
      </c>
      <c r="J3429" s="11" t="n">
        <v/>
      </c>
      <c r="K3429" s="4" t="inlineStr">
        <is>
          <t>Stundensätze eingeben</t>
        </is>
      </c>
    </row>
    <row r="3430">
      <c r="A3430" s="4" t="inlineStr">
        <is>
          <t>6709.02 RKH-BTB-KH-Mühlacker-Hermann-Hesse-Straße-34-Mühlacker-Schottaufnahme</t>
        </is>
      </c>
      <c r="B3430" s="4" t="inlineStr">
        <is>
          <t>● (aN) Pos.4 Prüfung vorh. Feuerlöscherpositionen</t>
        </is>
      </c>
      <c r="C3430" s="4" t="inlineStr">
        <is>
          <t>Nachweis</t>
        </is>
      </c>
      <c r="D3430" s="10" t="inlineStr">
        <is>
          <t>⚠ Manual erforderlich</t>
        </is>
      </c>
      <c r="E3430" s="11" t="inlineStr"/>
      <c r="F3430" s="11" t="n">
        <v>0</v>
      </c>
      <c r="G3430" s="11">
        <f>E3430-F3430</f>
        <v/>
      </c>
      <c r="H3430" s="11" t="n">
        <v/>
      </c>
      <c r="I3430" s="11" t="n">
        <v/>
      </c>
      <c r="J3430" s="11" t="n">
        <v/>
      </c>
      <c r="K3430" s="4" t="inlineStr">
        <is>
          <t>Stundensätze eingeben</t>
        </is>
      </c>
    </row>
    <row r="3431">
      <c r="A3431" s="4" t="inlineStr">
        <is>
          <t>6711.01 Weiterführung-TDD-BST-Hotel-Bahnhof/Hochfeldstraße-Tegernsee</t>
        </is>
      </c>
      <c r="B3431" s="4" t="inlineStr">
        <is>
          <t>● • 3100-Erarbeiten des Brandschutzkonzept/Nachweis/Stellungnahme</t>
        </is>
      </c>
      <c r="C3431" s="9" t="inlineStr">
        <is>
          <t>Unbekannt</t>
        </is>
      </c>
      <c r="D3431" s="10" t="inlineStr">
        <is>
          <t>⚠ Manual erforderlich</t>
        </is>
      </c>
      <c r="E3431" s="11" t="inlineStr"/>
      <c r="F3431" s="11" t="n">
        <v>0</v>
      </c>
      <c r="G3431" s="11">
        <f>E3431-F3431</f>
        <v/>
      </c>
      <c r="H3431" s="11" t="n">
        <v/>
      </c>
      <c r="I3431" s="11" t="n">
        <v/>
      </c>
      <c r="J3431" s="11" t="n">
        <v/>
      </c>
      <c r="K3431" s="4" t="inlineStr">
        <is>
          <t>Abrechnungsart wählen; Stundensätze eingeben</t>
        </is>
      </c>
    </row>
    <row r="3432">
      <c r="A3432" s="4" t="inlineStr">
        <is>
          <t>6711.02 UIR-BTB-Hotel-Bahnhof/Hochfeldstraße-Tegernsee</t>
        </is>
      </c>
      <c r="B3432" s="4" t="inlineStr">
        <is>
          <t>● (aN) Objektüberwachung+BTB + NAT01 + NAT02</t>
        </is>
      </c>
      <c r="C3432" s="4" t="inlineStr">
        <is>
          <t>Nachweis</t>
        </is>
      </c>
      <c r="D3432" s="10" t="inlineStr">
        <is>
          <t>⚠ Manual erforderlich</t>
        </is>
      </c>
      <c r="E3432" s="11" t="inlineStr"/>
      <c r="F3432" s="11" t="n">
        <v>0</v>
      </c>
      <c r="G3432" s="11">
        <f>E3432-F3432</f>
        <v/>
      </c>
      <c r="H3432" s="11" t="n">
        <v/>
      </c>
      <c r="I3432" s="11" t="n">
        <v/>
      </c>
      <c r="J3432" s="11" t="n">
        <v/>
      </c>
      <c r="K3432" s="4" t="inlineStr">
        <is>
          <t>Stundensätze eingeben</t>
        </is>
      </c>
    </row>
    <row r="3433">
      <c r="A3433" s="4" t="inlineStr">
        <is>
          <t>6711.04 Planquadrat-BTB-Bahnhofstr27-Hochfeldstr4ab-Quartier-Tegernsee</t>
        </is>
      </c>
      <c r="B3433" s="4" t="inlineStr">
        <is>
          <t>● (aN) Pos. 1 Brandschutztechnische Beratung</t>
        </is>
      </c>
      <c r="C3433" s="4" t="inlineStr">
        <is>
          <t>Nachweis</t>
        </is>
      </c>
      <c r="D3433" s="10" t="inlineStr">
        <is>
          <t>⚠ Manual erforderlich</t>
        </is>
      </c>
      <c r="E3433" s="11" t="inlineStr"/>
      <c r="F3433" s="11" t="n">
        <v>0</v>
      </c>
      <c r="G3433" s="11">
        <f>E3433-F3433</f>
        <v/>
      </c>
      <c r="H3433" s="11" t="n">
        <v/>
      </c>
      <c r="I3433" s="11" t="n">
        <v/>
      </c>
      <c r="J3433" s="11" t="n">
        <v/>
      </c>
      <c r="K3433" s="4" t="inlineStr">
        <is>
          <t>Stundensätze eingeben</t>
        </is>
      </c>
    </row>
    <row r="3434">
      <c r="A3434" s="4" t="inlineStr">
        <is>
          <t>6712.01 Züblin-Strabag-LP3+4-AHO-BSK-Waldstr6-10-Weiterstadt</t>
        </is>
      </c>
      <c r="B3434" s="4" t="inlineStr">
        <is>
          <t>● Pos. 1 Neubau Büro- und Wohngebäude</t>
        </is>
      </c>
      <c r="C3434" s="9" t="inlineStr">
        <is>
          <t>Unbekannt</t>
        </is>
      </c>
      <c r="D3434" s="10" t="inlineStr">
        <is>
          <t>⚠ Manual erforderlich</t>
        </is>
      </c>
      <c r="E3434" s="11" t="inlineStr"/>
      <c r="F3434" s="11" t="n">
        <v>0</v>
      </c>
      <c r="G3434" s="11">
        <f>E3434-F3434</f>
        <v/>
      </c>
      <c r="H3434" s="11" t="n">
        <v/>
      </c>
      <c r="I3434" s="11" t="n">
        <v/>
      </c>
      <c r="J3434" s="11" t="n">
        <v/>
      </c>
      <c r="K3434" s="4" t="inlineStr">
        <is>
          <t>Abrechnungsart wählen; Stundensätze eingeben</t>
        </is>
      </c>
    </row>
    <row r="3435">
      <c r="A3435" s="4" t="inlineStr">
        <is>
          <t>6712.011 Züblin-Strabag-NA02-LP5-BTB-Waldstr6-10-Weiterstadt</t>
        </is>
      </c>
      <c r="B3435" s="4" t="inlineStr">
        <is>
          <t>● (p) Pos.1 Beratung während der Ausführungsplannung - LPH 5</t>
        </is>
      </c>
      <c r="C3435" s="4" t="inlineStr">
        <is>
          <t>Pauschale</t>
        </is>
      </c>
      <c r="D3435" s="10" t="inlineStr">
        <is>
          <t>⚠ Manual erforderlich</t>
        </is>
      </c>
      <c r="E3435" s="11" t="inlineStr"/>
      <c r="F3435" s="11" t="n">
        <v>0</v>
      </c>
      <c r="G3435" s="11">
        <f>E3435-F3435</f>
        <v/>
      </c>
      <c r="H3435" s="11" t="n">
        <v>0</v>
      </c>
      <c r="I3435" s="11" t="n">
        <v>0</v>
      </c>
      <c r="J3435" s="11" t="n">
        <v>0</v>
      </c>
      <c r="K3435" s="4" t="inlineStr">
        <is>
          <t>Stundensätze eingeben</t>
        </is>
      </c>
    </row>
    <row r="3436">
      <c r="A3436" s="4" t="inlineStr">
        <is>
          <t>6712.02 Züblin-BSK002-Leichtbauhalle-Waldstraße6-10-Weiterstadt</t>
        </is>
      </c>
      <c r="B3436" s="4" t="inlineStr">
        <is>
          <t>● (p) Pos. 1 Erstellung Brandschutzkonzept</t>
        </is>
      </c>
      <c r="C3436" s="4" t="inlineStr">
        <is>
          <t>Pauschale</t>
        </is>
      </c>
      <c r="D3436" s="10" t="inlineStr">
        <is>
          <t>⚠ Manual erforderlich</t>
        </is>
      </c>
      <c r="E3436" s="11" t="inlineStr"/>
      <c r="F3436" s="11" t="n">
        <v>0</v>
      </c>
      <c r="G3436" s="11">
        <f>E3436-F3436</f>
        <v/>
      </c>
      <c r="H3436" s="11" t="n">
        <v>0</v>
      </c>
      <c r="I3436" s="11" t="n">
        <v>0</v>
      </c>
      <c r="J3436" s="11" t="n">
        <v>0</v>
      </c>
      <c r="K3436" s="4" t="inlineStr">
        <is>
          <t>Stundensätze eingeben</t>
        </is>
      </c>
    </row>
    <row r="3437">
      <c r="A3437" s="4" t="inlineStr">
        <is>
          <t>6712.02 Züblin-BSK002-Leichtbauhalle-Waldstraße6-10-Weiterstadt</t>
        </is>
      </c>
      <c r="B3437" s="4" t="inlineStr">
        <is>
          <t>● (p) Pos. 2 Abstimmungstermin</t>
        </is>
      </c>
      <c r="C3437" s="4" t="inlineStr">
        <is>
          <t>Pauschale</t>
        </is>
      </c>
      <c r="D3437" s="10" t="inlineStr">
        <is>
          <t>⚠ Manual erforderlich</t>
        </is>
      </c>
      <c r="E3437" s="11" t="inlineStr"/>
      <c r="F3437" s="11" t="n">
        <v>0</v>
      </c>
      <c r="G3437" s="11">
        <f>E3437-F3437</f>
        <v/>
      </c>
      <c r="H3437" s="11" t="n">
        <v>0</v>
      </c>
      <c r="I3437" s="11" t="n">
        <v>0</v>
      </c>
      <c r="J3437" s="11" t="n">
        <v>0</v>
      </c>
      <c r="K3437" s="4" t="inlineStr">
        <is>
          <t>Stundensätze eingeben</t>
        </is>
      </c>
    </row>
    <row r="3438">
      <c r="A3438" s="4" t="inlineStr">
        <is>
          <t>6712.03  Züblin-Strabag-Fortschreibung-BSK-Waldstr6-10-Weiterstadt</t>
        </is>
      </c>
      <c r="B3438" s="4" t="inlineStr">
        <is>
          <t>● Fortschreibung BSK zu PN #6712.01, per eMail beauftragt, ggf. offizielle BAU? (aN) Anpassung Brandschutzkonzept - Std. auf Nachweis lt. VER</t>
        </is>
      </c>
      <c r="C3438" s="4" t="inlineStr">
        <is>
          <t>Nachweis</t>
        </is>
      </c>
      <c r="D3438" s="10" t="inlineStr">
        <is>
          <t>⚠ Manual erforderlich</t>
        </is>
      </c>
      <c r="E3438" s="11" t="inlineStr"/>
      <c r="F3438" s="11" t="n">
        <v>0</v>
      </c>
      <c r="G3438" s="11">
        <f>E3438-F3438</f>
        <v/>
      </c>
      <c r="H3438" s="11" t="n">
        <v/>
      </c>
      <c r="I3438" s="11" t="n">
        <v/>
      </c>
      <c r="J3438" s="11" t="n">
        <v/>
      </c>
      <c r="K3438" s="4" t="inlineStr">
        <is>
          <t>Stundensätze eingeben</t>
        </is>
      </c>
    </row>
    <row r="3439">
      <c r="A3439" s="4" t="inlineStr">
        <is>
          <t>6712.04 Züblin-Strabag-BST-Waldstr6-10-Weiterstadt</t>
        </is>
      </c>
      <c r="B3439" s="4" t="inlineStr">
        <is>
          <t>● (aN) Pos. 1 Abstimmungstermine (SV)</t>
        </is>
      </c>
      <c r="C3439" s="4" t="inlineStr">
        <is>
          <t>Nachweis</t>
        </is>
      </c>
      <c r="D3439" s="10" t="inlineStr">
        <is>
          <t>⚠ Manual erforderlich</t>
        </is>
      </c>
      <c r="E3439" s="11" t="inlineStr"/>
      <c r="F3439" s="11" t="n">
        <v>0</v>
      </c>
      <c r="G3439" s="11">
        <f>E3439-F3439</f>
        <v/>
      </c>
      <c r="H3439" s="11" t="n">
        <v/>
      </c>
      <c r="I3439" s="11" t="n">
        <v/>
      </c>
      <c r="J3439" s="11" t="n">
        <v/>
      </c>
      <c r="K3439" s="4" t="inlineStr">
        <is>
          <t>Stundensätze eingeben</t>
        </is>
      </c>
    </row>
    <row r="3440">
      <c r="A3440" s="4" t="inlineStr">
        <is>
          <t>6712.04 Züblin-Strabag-BST-Waldstr6-10-Weiterstadt</t>
        </is>
      </c>
      <c r="B3440" s="4" t="inlineStr">
        <is>
          <t>● (aN) Pos. 2 Erstellung brandschutztechnische Stellungnahme (SV)</t>
        </is>
      </c>
      <c r="C3440" s="4" t="inlineStr">
        <is>
          <t>Nachweis</t>
        </is>
      </c>
      <c r="D3440" s="10" t="inlineStr">
        <is>
          <t>⚠ Manual erforderlich</t>
        </is>
      </c>
      <c r="E3440" s="11" t="inlineStr"/>
      <c r="F3440" s="11" t="n">
        <v>0</v>
      </c>
      <c r="G3440" s="11">
        <f>E3440-F3440</f>
        <v/>
      </c>
      <c r="H3440" s="11" t="n">
        <v/>
      </c>
      <c r="I3440" s="11" t="n">
        <v/>
      </c>
      <c r="J3440" s="11" t="n">
        <v/>
      </c>
      <c r="K3440" s="4" t="inlineStr">
        <is>
          <t>Stundensätze eingeben</t>
        </is>
      </c>
    </row>
    <row r="3441">
      <c r="A3441" s="4" t="inlineStr">
        <is>
          <t>6712.04 Züblin-Strabag-BST-Waldstr6-10-Weiterstadt</t>
        </is>
      </c>
      <c r="B3441" s="4" t="inlineStr">
        <is>
          <t>● ADM (nicht kalkuliert)</t>
        </is>
      </c>
      <c r="C3441" s="9" t="inlineStr">
        <is>
          <t>Unbekannt</t>
        </is>
      </c>
      <c r="D3441" s="10" t="inlineStr">
        <is>
          <t>⚠ Manual erforderlich</t>
        </is>
      </c>
      <c r="E3441" s="11" t="inlineStr"/>
      <c r="F3441" s="11" t="n">
        <v>0</v>
      </c>
      <c r="G3441" s="11">
        <f>E3441-F3441</f>
        <v/>
      </c>
      <c r="H3441" s="11" t="n">
        <v/>
      </c>
      <c r="I3441" s="11" t="n">
        <v/>
      </c>
      <c r="J3441" s="11" t="n">
        <v/>
      </c>
      <c r="K3441" s="4" t="inlineStr">
        <is>
          <t>Abrechnungsart wählen; Stundensätze eingeben</t>
        </is>
      </c>
    </row>
    <row r="3442">
      <c r="A3442" s="4" t="inlineStr">
        <is>
          <t>6715 AHO-NB-Ortsverwaltung-Feuerwehr-Breisgauer-Straße-61-Freiburg-Lehen</t>
        </is>
      </c>
      <c r="B3442" s="4" t="inlineStr">
        <is>
          <t>● (p.) LP 1 Grundlagenermittlung GL</t>
        </is>
      </c>
      <c r="C3442" s="9" t="inlineStr">
        <is>
          <t>Unbekannt</t>
        </is>
      </c>
      <c r="D3442" s="10" t="inlineStr">
        <is>
          <t>⚠ Manual erforderlich</t>
        </is>
      </c>
      <c r="E3442" s="11" t="inlineStr"/>
      <c r="F3442" s="11" t="n">
        <v>0</v>
      </c>
      <c r="G3442" s="11">
        <f>E3442-F3442</f>
        <v/>
      </c>
      <c r="H3442" s="11" t="n">
        <v/>
      </c>
      <c r="I3442" s="11" t="n">
        <v/>
      </c>
      <c r="J3442" s="11" t="n">
        <v/>
      </c>
      <c r="K3442" s="4" t="inlineStr">
        <is>
          <t>Abrechnungsart wählen; Stundensätze eingeben</t>
        </is>
      </c>
    </row>
    <row r="3443">
      <c r="A3443" s="4" t="inlineStr">
        <is>
          <t>6715 AHO-NB-Ortsverwaltung-Feuerwehr-Breisgauer-Straße-61-Freiburg-Lehen</t>
        </is>
      </c>
      <c r="B3443" s="4" t="inlineStr">
        <is>
          <t>● (p.) LP 2 Vorplanung GL</t>
        </is>
      </c>
      <c r="C3443" s="9" t="inlineStr">
        <is>
          <t>Unbekannt</t>
        </is>
      </c>
      <c r="D3443" s="10" t="inlineStr">
        <is>
          <t>⚠ Manual erforderlich</t>
        </is>
      </c>
      <c r="E3443" s="11" t="inlineStr"/>
      <c r="F3443" s="11" t="n">
        <v>0</v>
      </c>
      <c r="G3443" s="11">
        <f>E3443-F3443</f>
        <v/>
      </c>
      <c r="H3443" s="11" t="n">
        <v/>
      </c>
      <c r="I3443" s="11" t="n">
        <v/>
      </c>
      <c r="J3443" s="11" t="n">
        <v/>
      </c>
      <c r="K3443" s="4" t="inlineStr">
        <is>
          <t>Abrechnungsart wählen; Stundensätze eingeben</t>
        </is>
      </c>
    </row>
    <row r="3444">
      <c r="A3444" s="4" t="inlineStr">
        <is>
          <t>6715 AHO-NB-Ortsverwaltung-Feuerwehr-Breisgauer-Straße-61-Freiburg-Lehen</t>
        </is>
      </c>
      <c r="B3444" s="4" t="inlineStr">
        <is>
          <t>● (p.) LP 3 Entwurfsplanung GL</t>
        </is>
      </c>
      <c r="C3444" s="9" t="inlineStr">
        <is>
          <t>Unbekannt</t>
        </is>
      </c>
      <c r="D3444" s="10" t="inlineStr">
        <is>
          <t>⚠ Manual erforderlich</t>
        </is>
      </c>
      <c r="E3444" s="11" t="inlineStr"/>
      <c r="F3444" s="11" t="n">
        <v>0</v>
      </c>
      <c r="G3444" s="11">
        <f>E3444-F3444</f>
        <v/>
      </c>
      <c r="H3444" s="11" t="n">
        <v/>
      </c>
      <c r="I3444" s="11" t="n">
        <v/>
      </c>
      <c r="J3444" s="11" t="n">
        <v/>
      </c>
      <c r="K3444" s="4" t="inlineStr">
        <is>
          <t>Abrechnungsart wählen; Stundensätze eingeben</t>
        </is>
      </c>
    </row>
    <row r="3445">
      <c r="A3445" s="4" t="inlineStr">
        <is>
          <t>6715 AHO-NB-Ortsverwaltung-Feuerwehr-Breisgauer-Straße-61-Freiburg-Lehen</t>
        </is>
      </c>
      <c r="B3445" s="4" t="inlineStr">
        <is>
          <t>● (p.) LP 4 Genehmigungsplanung</t>
        </is>
      </c>
      <c r="C3445" s="9" t="inlineStr">
        <is>
          <t>Unbekannt</t>
        </is>
      </c>
      <c r="D3445" s="10" t="inlineStr">
        <is>
          <t>⚠ Manual erforderlich</t>
        </is>
      </c>
      <c r="E3445" s="11" t="inlineStr"/>
      <c r="F3445" s="11" t="n">
        <v>0</v>
      </c>
      <c r="G3445" s="11">
        <f>E3445-F3445</f>
        <v/>
      </c>
      <c r="H3445" s="11" t="n">
        <v/>
      </c>
      <c r="I3445" s="11" t="n">
        <v/>
      </c>
      <c r="J3445" s="11" t="n">
        <v/>
      </c>
      <c r="K3445" s="4" t="inlineStr">
        <is>
          <t>Abrechnungsart wählen; Stundensätze eingeben</t>
        </is>
      </c>
    </row>
    <row r="3446">
      <c r="A3446" s="4" t="inlineStr">
        <is>
          <t>6718.07 Fuchs-BTB-Werke-I-II-III-Friesenheimerstr19-Mannheim</t>
        </is>
      </c>
      <c r="B3446" s="4" t="inlineStr">
        <is>
          <t>● (aN) Pos.1 BTB Bewertung Sicherheitsbeleuchtung Werke I-III</t>
        </is>
      </c>
      <c r="C3446" s="4" t="inlineStr">
        <is>
          <t>Nachweis</t>
        </is>
      </c>
      <c r="D3446" s="10" t="inlineStr">
        <is>
          <t>⚠ Manual erforderlich</t>
        </is>
      </c>
      <c r="E3446" s="11" t="inlineStr"/>
      <c r="F3446" s="11" t="n">
        <v>0</v>
      </c>
      <c r="G3446" s="11">
        <f>E3446-F3446</f>
        <v/>
      </c>
      <c r="H3446" s="11" t="n">
        <v/>
      </c>
      <c r="I3446" s="11" t="n">
        <v/>
      </c>
      <c r="J3446" s="11" t="n">
        <v/>
      </c>
      <c r="K3446" s="4" t="inlineStr">
        <is>
          <t>Stundensätze eingeben</t>
        </is>
      </c>
    </row>
    <row r="3447">
      <c r="A3447" s="4" t="inlineStr">
        <is>
          <t>6718.08 Fuchs-FRP-WerkI-III-Friesenheimerstr19-Mannheim</t>
        </is>
      </c>
      <c r="B3447" s="4" t="inlineStr">
        <is>
          <t>● (p) Pos. 1-4  Flucht- und Rettungspläne</t>
        </is>
      </c>
      <c r="C3447" s="4" t="inlineStr">
        <is>
          <t>Pauschale</t>
        </is>
      </c>
      <c r="D3447" s="10" t="inlineStr">
        <is>
          <t>⚠ Manual erforderlich</t>
        </is>
      </c>
      <c r="E3447" s="11" t="inlineStr"/>
      <c r="F3447" s="11" t="n">
        <v>0</v>
      </c>
      <c r="G3447" s="11">
        <f>E3447-F3447</f>
        <v/>
      </c>
      <c r="H3447" s="11" t="n">
        <v>0</v>
      </c>
      <c r="I3447" s="11" t="n">
        <v>0</v>
      </c>
      <c r="J3447" s="11" t="n">
        <v>0</v>
      </c>
      <c r="K3447" s="4" t="inlineStr">
        <is>
          <t>Stundensätze eingeben</t>
        </is>
      </c>
    </row>
    <row r="3448">
      <c r="A3448" s="4" t="inlineStr">
        <is>
          <t>6718.09 Fuchs-FWP-WerkI-III-Friesenheimerstr19-Mannheim</t>
        </is>
      </c>
      <c r="B3448" s="4" t="inlineStr">
        <is>
          <t>● (p) Pos. 1-4  Flucht- und Rettungspläne</t>
        </is>
      </c>
      <c r="C3448" s="4" t="inlineStr">
        <is>
          <t>Pauschale</t>
        </is>
      </c>
      <c r="D3448" s="10" t="inlineStr">
        <is>
          <t>⚠ Manual erforderlich</t>
        </is>
      </c>
      <c r="E3448" s="11" t="inlineStr"/>
      <c r="F3448" s="11" t="n">
        <v>0</v>
      </c>
      <c r="G3448" s="11">
        <f>E3448-F3448</f>
        <v/>
      </c>
      <c r="H3448" s="11" t="n">
        <v>0</v>
      </c>
      <c r="I3448" s="11" t="n">
        <v>0</v>
      </c>
      <c r="J3448" s="11" t="n">
        <v>0</v>
      </c>
      <c r="K3448" s="4" t="inlineStr">
        <is>
          <t>Stundensätze eingeben</t>
        </is>
      </c>
    </row>
    <row r="3449">
      <c r="A3449" s="4" t="inlineStr">
        <is>
          <t>6718.10 Fuchs-FuR-WerkII-Friesenheimerstr19-Mannheim-Geb.217</t>
        </is>
      </c>
      <c r="B3449" s="4" t="inlineStr">
        <is>
          <t>● (p) Pos. 1 Flucht- und Rettungspläne-Werk II</t>
        </is>
      </c>
      <c r="C3449" s="4" t="inlineStr">
        <is>
          <t>Pauschale</t>
        </is>
      </c>
      <c r="D3449" s="10" t="inlineStr">
        <is>
          <t>⚠ Manual erforderlich</t>
        </is>
      </c>
      <c r="E3449" s="11" t="inlineStr"/>
      <c r="F3449" s="11" t="n">
        <v>0</v>
      </c>
      <c r="G3449" s="11">
        <f>E3449-F3449</f>
        <v/>
      </c>
      <c r="H3449" s="11" t="n">
        <v>0</v>
      </c>
      <c r="I3449" s="11" t="n">
        <v>0</v>
      </c>
      <c r="J3449" s="11" t="n">
        <v>0</v>
      </c>
      <c r="K3449" s="4" t="inlineStr">
        <is>
          <t>Stundensätze eingeben</t>
        </is>
      </c>
    </row>
    <row r="3450">
      <c r="A3450" s="4" t="inlineStr">
        <is>
          <t>6718.101 Fuchs-RV-BSB-2024+2025-Werke1-5-Friesenheimerstr19-Mannheim</t>
        </is>
      </c>
      <c r="B3450" s="4" t="inlineStr">
        <is>
          <t>● (a.N.) BSB-2024-Werk 1</t>
        </is>
      </c>
      <c r="C3450" s="4" t="inlineStr">
        <is>
          <t>Nachweis</t>
        </is>
      </c>
      <c r="D3450" s="10" t="inlineStr">
        <is>
          <t>⚠ Manual erforderlich</t>
        </is>
      </c>
      <c r="E3450" s="11" t="inlineStr"/>
      <c r="F3450" s="11" t="n">
        <v>0</v>
      </c>
      <c r="G3450" s="11">
        <f>E3450-F3450</f>
        <v/>
      </c>
      <c r="H3450" s="11" t="n">
        <v/>
      </c>
      <c r="I3450" s="11" t="n">
        <v/>
      </c>
      <c r="J3450" s="11" t="n">
        <v/>
      </c>
      <c r="K3450" s="4" t="inlineStr">
        <is>
          <t>Stundensätze eingeben</t>
        </is>
      </c>
    </row>
    <row r="3451">
      <c r="A3451" s="4" t="inlineStr">
        <is>
          <t>6718.101 Fuchs-RV-BSB-2024+2025-Werke1-5-Friesenheimerstr19-Mannheim</t>
        </is>
      </c>
      <c r="B3451" s="4" t="inlineStr">
        <is>
          <t>● (a.N.) BSB-2024-Werk 2</t>
        </is>
      </c>
      <c r="C3451" s="4" t="inlineStr">
        <is>
          <t>Nachweis</t>
        </is>
      </c>
      <c r="D3451" s="10" t="inlineStr">
        <is>
          <t>⚠ Manual erforderlich</t>
        </is>
      </c>
      <c r="E3451" s="11" t="inlineStr"/>
      <c r="F3451" s="11" t="n">
        <v>0</v>
      </c>
      <c r="G3451" s="11">
        <f>E3451-F3451</f>
        <v/>
      </c>
      <c r="H3451" s="11" t="n">
        <v/>
      </c>
      <c r="I3451" s="11" t="n">
        <v/>
      </c>
      <c r="J3451" s="11" t="n">
        <v/>
      </c>
      <c r="K3451" s="4" t="inlineStr">
        <is>
          <t>Stundensätze eingeben</t>
        </is>
      </c>
    </row>
    <row r="3452">
      <c r="A3452" s="4" t="inlineStr">
        <is>
          <t>6718.101 Fuchs-RV-BSB-2024+2025-Werke1-5-Friesenheimerstr19-Mannheim</t>
        </is>
      </c>
      <c r="B3452" s="4" t="inlineStr">
        <is>
          <t>● (a.N.) BSB-2024-Werk 3</t>
        </is>
      </c>
      <c r="C3452" s="4" t="inlineStr">
        <is>
          <t>Nachweis</t>
        </is>
      </c>
      <c r="D3452" s="10" t="inlineStr">
        <is>
          <t>⚠ Manual erforderlich</t>
        </is>
      </c>
      <c r="E3452" s="11" t="inlineStr"/>
      <c r="F3452" s="11" t="n">
        <v>0</v>
      </c>
      <c r="G3452" s="11">
        <f>E3452-F3452</f>
        <v/>
      </c>
      <c r="H3452" s="11" t="n">
        <v/>
      </c>
      <c r="I3452" s="11" t="n">
        <v/>
      </c>
      <c r="J3452" s="11" t="n">
        <v/>
      </c>
      <c r="K3452" s="4" t="inlineStr">
        <is>
          <t>Stundensätze eingeben</t>
        </is>
      </c>
    </row>
    <row r="3453">
      <c r="A3453" s="4" t="inlineStr">
        <is>
          <t>6718.101 Fuchs-RV-BSB-2024+2025-Werke1-5-Friesenheimerstr19-Mannheim</t>
        </is>
      </c>
      <c r="B3453" s="4" t="inlineStr">
        <is>
          <t>● (a.N.) BSB-2024-Werk 4</t>
        </is>
      </c>
      <c r="C3453" s="4" t="inlineStr">
        <is>
          <t>Nachweis</t>
        </is>
      </c>
      <c r="D3453" s="10" t="inlineStr">
        <is>
          <t>⚠ Manual erforderlich</t>
        </is>
      </c>
      <c r="E3453" s="11" t="inlineStr"/>
      <c r="F3453" s="11" t="n">
        <v>0</v>
      </c>
      <c r="G3453" s="11">
        <f>E3453-F3453</f>
        <v/>
      </c>
      <c r="H3453" s="11" t="n">
        <v/>
      </c>
      <c r="I3453" s="11" t="n">
        <v/>
      </c>
      <c r="J3453" s="11" t="n">
        <v/>
      </c>
      <c r="K3453" s="4" t="inlineStr">
        <is>
          <t>Stundensätze eingeben</t>
        </is>
      </c>
    </row>
    <row r="3454">
      <c r="A3454" s="4" t="inlineStr">
        <is>
          <t>6718.101 Fuchs-RV-BSB-2024+2025-Werke1-5-Friesenheimerstr19-Mannheim</t>
        </is>
      </c>
      <c r="B3454" s="4" t="inlineStr">
        <is>
          <t>● (a.N.) BSB-2024-Werk 5</t>
        </is>
      </c>
      <c r="C3454" s="4" t="inlineStr">
        <is>
          <t>Nachweis</t>
        </is>
      </c>
      <c r="D3454" s="10" t="inlineStr">
        <is>
          <t>⚠ Manual erforderlich</t>
        </is>
      </c>
      <c r="E3454" s="11" t="inlineStr"/>
      <c r="F3454" s="11" t="n">
        <v>0</v>
      </c>
      <c r="G3454" s="11">
        <f>E3454-F3454</f>
        <v/>
      </c>
      <c r="H3454" s="11" t="n">
        <v/>
      </c>
      <c r="I3454" s="11" t="n">
        <v/>
      </c>
      <c r="J3454" s="11" t="n">
        <v/>
      </c>
      <c r="K3454" s="4" t="inlineStr">
        <is>
          <t>Stundensätze eingeben</t>
        </is>
      </c>
    </row>
    <row r="3455">
      <c r="A3455" s="4" t="inlineStr">
        <is>
          <t>6718.101 Fuchs-RV-BSB-2024+2025-Werke1-5-Friesenheimerstr19-Mannheim</t>
        </is>
      </c>
      <c r="B3455" s="4" t="inlineStr">
        <is>
          <t>● (a.N.) BSB-2025-Werk 1</t>
        </is>
      </c>
      <c r="C3455" s="4" t="inlineStr">
        <is>
          <t>Nachweis</t>
        </is>
      </c>
      <c r="D3455" s="10" t="inlineStr">
        <is>
          <t>⚠ Manual erforderlich</t>
        </is>
      </c>
      <c r="E3455" s="11" t="inlineStr"/>
      <c r="F3455" s="11" t="n">
        <v>0</v>
      </c>
      <c r="G3455" s="11">
        <f>E3455-F3455</f>
        <v/>
      </c>
      <c r="H3455" s="11" t="n">
        <v/>
      </c>
      <c r="I3455" s="11" t="n">
        <v/>
      </c>
      <c r="J3455" s="11" t="n">
        <v/>
      </c>
      <c r="K3455" s="4" t="inlineStr">
        <is>
          <t>Stundensätze eingeben</t>
        </is>
      </c>
    </row>
    <row r="3456">
      <c r="A3456" s="4" t="inlineStr">
        <is>
          <t>6718.101 Fuchs-RV-BSB-2024+2025-Werke1-5-Friesenheimerstr19-Mannheim</t>
        </is>
      </c>
      <c r="B3456" s="4" t="inlineStr">
        <is>
          <t>● (a.N.) BSB 2025 Werk 2</t>
        </is>
      </c>
      <c r="C3456" s="4" t="inlineStr">
        <is>
          <t>Nachweis</t>
        </is>
      </c>
      <c r="D3456" s="10" t="inlineStr">
        <is>
          <t>⚠ Manual erforderlich</t>
        </is>
      </c>
      <c r="E3456" s="11" t="inlineStr"/>
      <c r="F3456" s="11" t="n">
        <v>0</v>
      </c>
      <c r="G3456" s="11">
        <f>E3456-F3456</f>
        <v/>
      </c>
      <c r="H3456" s="11" t="n">
        <v/>
      </c>
      <c r="I3456" s="11" t="n">
        <v/>
      </c>
      <c r="J3456" s="11" t="n">
        <v/>
      </c>
      <c r="K3456" s="4" t="inlineStr">
        <is>
          <t>Stundensätze eingeben</t>
        </is>
      </c>
    </row>
    <row r="3457">
      <c r="A3457" s="4" t="inlineStr">
        <is>
          <t>6718.101 Fuchs-RV-BSB-2024+2025-Werke1-5-Friesenheimerstr19-Mannheim</t>
        </is>
      </c>
      <c r="B3457" s="4" t="inlineStr">
        <is>
          <t>● (a.N.) BSB 2025 Werk 3</t>
        </is>
      </c>
      <c r="C3457" s="4" t="inlineStr">
        <is>
          <t>Nachweis</t>
        </is>
      </c>
      <c r="D3457" s="10" t="inlineStr">
        <is>
          <t>⚠ Manual erforderlich</t>
        </is>
      </c>
      <c r="E3457" s="11" t="inlineStr"/>
      <c r="F3457" s="11" t="n">
        <v>0</v>
      </c>
      <c r="G3457" s="11">
        <f>E3457-F3457</f>
        <v/>
      </c>
      <c r="H3457" s="11" t="n">
        <v/>
      </c>
      <c r="I3457" s="11" t="n">
        <v/>
      </c>
      <c r="J3457" s="11" t="n">
        <v/>
      </c>
      <c r="K3457" s="4" t="inlineStr">
        <is>
          <t>Stundensätze eingeben</t>
        </is>
      </c>
    </row>
    <row r="3458">
      <c r="A3458" s="4" t="inlineStr">
        <is>
          <t>6718.101 Fuchs-RV-BSB-2024+2025-Werke1-5-Friesenheimerstr19-Mannheim</t>
        </is>
      </c>
      <c r="B3458" s="4" t="inlineStr">
        <is>
          <t>● (a.N.) BSB 2025 Werk 4</t>
        </is>
      </c>
      <c r="C3458" s="4" t="inlineStr">
        <is>
          <t>Nachweis</t>
        </is>
      </c>
      <c r="D3458" s="10" t="inlineStr">
        <is>
          <t>⚠ Manual erforderlich</t>
        </is>
      </c>
      <c r="E3458" s="11" t="inlineStr"/>
      <c r="F3458" s="11" t="n">
        <v>0</v>
      </c>
      <c r="G3458" s="11">
        <f>E3458-F3458</f>
        <v/>
      </c>
      <c r="H3458" s="11" t="n">
        <v/>
      </c>
      <c r="I3458" s="11" t="n">
        <v/>
      </c>
      <c r="J3458" s="11" t="n">
        <v/>
      </c>
      <c r="K3458" s="4" t="inlineStr">
        <is>
          <t>Stundensätze eingeben</t>
        </is>
      </c>
    </row>
    <row r="3459">
      <c r="A3459" s="4" t="inlineStr">
        <is>
          <t>6718.101 Fuchs-RV-BSB-2024+2025-Werke1-5-Friesenheimerstr19-Mannheim</t>
        </is>
      </c>
      <c r="B3459" s="4" t="inlineStr">
        <is>
          <t>● (a.N.) BSB 2025 Werk 5</t>
        </is>
      </c>
      <c r="C3459" s="4" t="inlineStr">
        <is>
          <t>Nachweis</t>
        </is>
      </c>
      <c r="D3459" s="10" t="inlineStr">
        <is>
          <t>⚠ Manual erforderlich</t>
        </is>
      </c>
      <c r="E3459" s="11" t="inlineStr"/>
      <c r="F3459" s="11" t="n">
        <v>0</v>
      </c>
      <c r="G3459" s="11">
        <f>E3459-F3459</f>
        <v/>
      </c>
      <c r="H3459" s="11" t="n">
        <v/>
      </c>
      <c r="I3459" s="11" t="n">
        <v/>
      </c>
      <c r="J3459" s="11" t="n">
        <v/>
      </c>
      <c r="K3459" s="4" t="inlineStr">
        <is>
          <t>Stundensätze eingeben</t>
        </is>
      </c>
    </row>
    <row r="3460">
      <c r="A3460" s="4" t="inlineStr">
        <is>
          <t>6718.11 Fuchs-FRP-Werk1-4-Friesenheimerstr19-Mannheim</t>
        </is>
      </c>
      <c r="B3460" s="4" t="inlineStr">
        <is>
          <t>● • ‧ (aN) CAD</t>
        </is>
      </c>
      <c r="C3460" s="4" t="inlineStr">
        <is>
          <t>Nachweis</t>
        </is>
      </c>
      <c r="D3460" s="10" t="inlineStr">
        <is>
          <t>⚠ Manual erforderlich</t>
        </is>
      </c>
      <c r="E3460" s="11" t="inlineStr"/>
      <c r="F3460" s="11" t="n">
        <v>0</v>
      </c>
      <c r="G3460" s="11">
        <f>E3460-F3460</f>
        <v/>
      </c>
      <c r="H3460" s="11" t="n">
        <v/>
      </c>
      <c r="I3460" s="11" t="n">
        <v/>
      </c>
      <c r="J3460" s="11" t="n">
        <v/>
      </c>
      <c r="K3460" s="4" t="inlineStr">
        <is>
          <t>Stundensätze eingeben</t>
        </is>
      </c>
    </row>
    <row r="3461">
      <c r="A3461" s="4" t="inlineStr">
        <is>
          <t>6718.11 Fuchs-FRP-Werk1-4-Friesenheimerstr19-Mannheim</t>
        </is>
      </c>
      <c r="B3461" s="4" t="inlineStr">
        <is>
          <t>● • (p) Pos. 2 Flucht- und Rettungspläne</t>
        </is>
      </c>
      <c r="C3461" s="4" t="inlineStr">
        <is>
          <t>Pauschale</t>
        </is>
      </c>
      <c r="D3461" s="10" t="inlineStr">
        <is>
          <t>⚠ Manual erforderlich</t>
        </is>
      </c>
      <c r="E3461" s="11" t="inlineStr"/>
      <c r="F3461" s="11" t="n">
        <v>0</v>
      </c>
      <c r="G3461" s="11">
        <f>E3461-F3461</f>
        <v/>
      </c>
      <c r="H3461" s="11" t="n">
        <v>0</v>
      </c>
      <c r="I3461" s="11" t="n">
        <v>0</v>
      </c>
      <c r="J3461" s="11" t="n">
        <v>0</v>
      </c>
      <c r="K3461" s="4" t="inlineStr">
        <is>
          <t>Stundensätze eingeben</t>
        </is>
      </c>
    </row>
    <row r="3462">
      <c r="A3462" s="4" t="inlineStr">
        <is>
          <t>6718.11 Fuchs-FRP-Werk1-4-Friesenheimerstr19-Mannheim</t>
        </is>
      </c>
      <c r="B3462" s="4" t="inlineStr">
        <is>
          <t>● • (p) Pos. 3 Feuerwehrpläne</t>
        </is>
      </c>
      <c r="C3462" s="4" t="inlineStr">
        <is>
          <t>Pauschale</t>
        </is>
      </c>
      <c r="D3462" s="10" t="inlineStr">
        <is>
          <t>⚠ Manual erforderlich</t>
        </is>
      </c>
      <c r="E3462" s="11" t="inlineStr"/>
      <c r="F3462" s="11" t="n">
        <v>0</v>
      </c>
      <c r="G3462" s="11">
        <f>E3462-F3462</f>
        <v/>
      </c>
      <c r="H3462" s="11" t="n">
        <v>0</v>
      </c>
      <c r="I3462" s="11" t="n">
        <v>0</v>
      </c>
      <c r="J3462" s="11" t="n">
        <v>0</v>
      </c>
      <c r="K3462" s="4" t="inlineStr">
        <is>
          <t>Stundensätze eingeben</t>
        </is>
      </c>
    </row>
    <row r="3463">
      <c r="A3463" s="4" t="inlineStr">
        <is>
          <t>6718.11 Fuchs-FRP-Werk1-4-Friesenheimerstr19-Mannheim</t>
        </is>
      </c>
      <c r="B3463" s="4" t="inlineStr">
        <is>
          <t>● • (p) Pos. 4 Auftragsbearbeitung / Adm. Tätigkeiten zur Projektunterstützung</t>
        </is>
      </c>
      <c r="C3463" s="4" t="inlineStr">
        <is>
          <t>Pauschale</t>
        </is>
      </c>
      <c r="D3463" s="10" t="inlineStr">
        <is>
          <t>⚠ Manual erforderlich</t>
        </is>
      </c>
      <c r="E3463" s="11" t="inlineStr"/>
      <c r="F3463" s="11" t="n">
        <v>0</v>
      </c>
      <c r="G3463" s="11">
        <f>E3463-F3463</f>
        <v/>
      </c>
      <c r="H3463" s="11" t="n">
        <v>0</v>
      </c>
      <c r="I3463" s="11" t="n">
        <v>0</v>
      </c>
      <c r="J3463" s="11" t="n">
        <v>0</v>
      </c>
      <c r="K3463" s="4" t="inlineStr">
        <is>
          <t>Stundensätze eingeben</t>
        </is>
      </c>
    </row>
    <row r="3464">
      <c r="A3464" s="4" t="inlineStr">
        <is>
          <t>6718.11 Fuchs-FRP-Werk1-4-Friesenheimerstr19-Mannheim</t>
        </is>
      </c>
      <c r="B3464" s="4" t="inlineStr">
        <is>
          <t>● • ‧ (aN) CAD</t>
        </is>
      </c>
      <c r="C3464" s="4" t="inlineStr">
        <is>
          <t>Nachweis</t>
        </is>
      </c>
      <c r="D3464" s="10" t="inlineStr">
        <is>
          <t>⚠ Manual erforderlich</t>
        </is>
      </c>
      <c r="E3464" s="11" t="inlineStr"/>
      <c r="F3464" s="11" t="n">
        <v>0</v>
      </c>
      <c r="G3464" s="11">
        <f>E3464-F3464</f>
        <v/>
      </c>
      <c r="H3464" s="11" t="n">
        <v/>
      </c>
      <c r="I3464" s="11" t="n">
        <v/>
      </c>
      <c r="J3464" s="11" t="n">
        <v/>
      </c>
      <c r="K3464" s="4" t="inlineStr">
        <is>
          <t>Stundensätze eingeben</t>
        </is>
      </c>
    </row>
    <row r="3465">
      <c r="A3465" s="4" t="inlineStr">
        <is>
          <t>6718.11 Fuchs-FRP-Werk1-4-Friesenheimerstr19-Mannheim</t>
        </is>
      </c>
      <c r="B3465" s="4" t="inlineStr">
        <is>
          <t>● • (p) Pos. 2 Flucht- und Rettungspläne</t>
        </is>
      </c>
      <c r="C3465" s="4" t="inlineStr">
        <is>
          <t>Pauschale</t>
        </is>
      </c>
      <c r="D3465" s="10" t="inlineStr">
        <is>
          <t>⚠ Manual erforderlich</t>
        </is>
      </c>
      <c r="E3465" s="11" t="inlineStr"/>
      <c r="F3465" s="11" t="n">
        <v>0</v>
      </c>
      <c r="G3465" s="11">
        <f>E3465-F3465</f>
        <v/>
      </c>
      <c r="H3465" s="11" t="n">
        <v>0</v>
      </c>
      <c r="I3465" s="11" t="n">
        <v>0</v>
      </c>
      <c r="J3465" s="11" t="n">
        <v>0</v>
      </c>
      <c r="K3465" s="4" t="inlineStr">
        <is>
          <t>Stundensätze eingeben</t>
        </is>
      </c>
    </row>
    <row r="3466">
      <c r="A3466" s="4" t="inlineStr">
        <is>
          <t>6718.11 Fuchs-FRP-Werk1-4-Friesenheimerstr19-Mannheim</t>
        </is>
      </c>
      <c r="B3466" s="4" t="inlineStr">
        <is>
          <t>● • (p) Pos. 3 Feuerwehrpläne</t>
        </is>
      </c>
      <c r="C3466" s="4" t="inlineStr">
        <is>
          <t>Pauschale</t>
        </is>
      </c>
      <c r="D3466" s="10" t="inlineStr">
        <is>
          <t>⚠ Manual erforderlich</t>
        </is>
      </c>
      <c r="E3466" s="11" t="inlineStr"/>
      <c r="F3466" s="11" t="n">
        <v>0</v>
      </c>
      <c r="G3466" s="11">
        <f>E3466-F3466</f>
        <v/>
      </c>
      <c r="H3466" s="11" t="n">
        <v>0</v>
      </c>
      <c r="I3466" s="11" t="n">
        <v>0</v>
      </c>
      <c r="J3466" s="11" t="n">
        <v>0</v>
      </c>
      <c r="K3466" s="4" t="inlineStr">
        <is>
          <t>Stundensätze eingeben</t>
        </is>
      </c>
    </row>
    <row r="3467">
      <c r="A3467" s="4" t="inlineStr">
        <is>
          <t>6718.11 Fuchs-FRP-Werk1-4-Friesenheimerstr19-Mannheim</t>
        </is>
      </c>
      <c r="B3467" s="4" t="inlineStr">
        <is>
          <t>● • (p) Pos. 4 Auftragsbearbeitung / Adm. Tätigkeiten zur Projektunterstützung</t>
        </is>
      </c>
      <c r="C3467" s="4" t="inlineStr">
        <is>
          <t>Pauschale</t>
        </is>
      </c>
      <c r="D3467" s="10" t="inlineStr">
        <is>
          <t>⚠ Manual erforderlich</t>
        </is>
      </c>
      <c r="E3467" s="11" t="inlineStr"/>
      <c r="F3467" s="11" t="n">
        <v>0</v>
      </c>
      <c r="G3467" s="11">
        <f>E3467-F3467</f>
        <v/>
      </c>
      <c r="H3467" s="11" t="n">
        <v>0</v>
      </c>
      <c r="I3467" s="11" t="n">
        <v>0</v>
      </c>
      <c r="J3467" s="11" t="n">
        <v>0</v>
      </c>
      <c r="K3467" s="4" t="inlineStr">
        <is>
          <t>Stundensätze eingeben</t>
        </is>
      </c>
    </row>
    <row r="3468">
      <c r="A3468" s="4" t="inlineStr">
        <is>
          <t>6718.11 Fuchs-FRP-Werk1-4-Friesenheimerstr19-Mannheim</t>
        </is>
      </c>
      <c r="B3468" s="4" t="inlineStr">
        <is>
          <t>● • ‧ (aN) CAD</t>
        </is>
      </c>
      <c r="C3468" s="4" t="inlineStr">
        <is>
          <t>Nachweis</t>
        </is>
      </c>
      <c r="D3468" s="10" t="inlineStr">
        <is>
          <t>⚠ Manual erforderlich</t>
        </is>
      </c>
      <c r="E3468" s="11" t="inlineStr"/>
      <c r="F3468" s="11" t="n">
        <v>0</v>
      </c>
      <c r="G3468" s="11">
        <f>E3468-F3468</f>
        <v/>
      </c>
      <c r="H3468" s="11" t="n">
        <v/>
      </c>
      <c r="I3468" s="11" t="n">
        <v/>
      </c>
      <c r="J3468" s="11" t="n">
        <v/>
      </c>
      <c r="K3468" s="4" t="inlineStr">
        <is>
          <t>Stundensätze eingeben</t>
        </is>
      </c>
    </row>
    <row r="3469">
      <c r="A3469" s="4" t="inlineStr">
        <is>
          <t>6718.11 Fuchs-FRP-Werk1-4-Friesenheimerstr19-Mannheim</t>
        </is>
      </c>
      <c r="B3469" s="4" t="inlineStr">
        <is>
          <t>● • (p) Pos. 2 Flucht- und Rettungspläne</t>
        </is>
      </c>
      <c r="C3469" s="4" t="inlineStr">
        <is>
          <t>Pauschale</t>
        </is>
      </c>
      <c r="D3469" s="10" t="inlineStr">
        <is>
          <t>⚠ Manual erforderlich</t>
        </is>
      </c>
      <c r="E3469" s="11" t="inlineStr"/>
      <c r="F3469" s="11" t="n">
        <v>0</v>
      </c>
      <c r="G3469" s="11">
        <f>E3469-F3469</f>
        <v/>
      </c>
      <c r="H3469" s="11" t="n">
        <v>0</v>
      </c>
      <c r="I3469" s="11" t="n">
        <v>0</v>
      </c>
      <c r="J3469" s="11" t="n">
        <v>0</v>
      </c>
      <c r="K3469" s="4" t="inlineStr">
        <is>
          <t>Stundensätze eingeben</t>
        </is>
      </c>
    </row>
    <row r="3470">
      <c r="A3470" s="4" t="inlineStr">
        <is>
          <t>6718.11 Fuchs-FRP-Werk1-4-Friesenheimerstr19-Mannheim</t>
        </is>
      </c>
      <c r="B3470" s="4" t="inlineStr">
        <is>
          <t>● • (p) Pos. 3 Feuerwehrpläne</t>
        </is>
      </c>
      <c r="C3470" s="4" t="inlineStr">
        <is>
          <t>Pauschale</t>
        </is>
      </c>
      <c r="D3470" s="10" t="inlineStr">
        <is>
          <t>⚠ Manual erforderlich</t>
        </is>
      </c>
      <c r="E3470" s="11" t="inlineStr"/>
      <c r="F3470" s="11" t="n">
        <v>0</v>
      </c>
      <c r="G3470" s="11">
        <f>E3470-F3470</f>
        <v/>
      </c>
      <c r="H3470" s="11" t="n">
        <v>0</v>
      </c>
      <c r="I3470" s="11" t="n">
        <v>0</v>
      </c>
      <c r="J3470" s="11" t="n">
        <v>0</v>
      </c>
      <c r="K3470" s="4" t="inlineStr">
        <is>
          <t>Stundensätze eingeben</t>
        </is>
      </c>
    </row>
    <row r="3471">
      <c r="A3471" s="4" t="inlineStr">
        <is>
          <t>6718.11 Fuchs-FRP-Werk1-4-Friesenheimerstr19-Mannheim</t>
        </is>
      </c>
      <c r="B3471" s="4" t="inlineStr">
        <is>
          <t>● • (p) Pos. 4 Auftragsbearbeitung / Adm. Tätigkeiten zur Projektunterstützung</t>
        </is>
      </c>
      <c r="C3471" s="4" t="inlineStr">
        <is>
          <t>Pauschale</t>
        </is>
      </c>
      <c r="D3471" s="10" t="inlineStr">
        <is>
          <t>⚠ Manual erforderlich</t>
        </is>
      </c>
      <c r="E3471" s="11" t="inlineStr"/>
      <c r="F3471" s="11" t="n">
        <v>0</v>
      </c>
      <c r="G3471" s="11">
        <f>E3471-F3471</f>
        <v/>
      </c>
      <c r="H3471" s="11" t="n">
        <v>0</v>
      </c>
      <c r="I3471" s="11" t="n">
        <v>0</v>
      </c>
      <c r="J3471" s="11" t="n">
        <v>0</v>
      </c>
      <c r="K3471" s="4" t="inlineStr">
        <is>
          <t>Stundensätze eingeben</t>
        </is>
      </c>
    </row>
    <row r="3472">
      <c r="A3472" s="4" t="inlineStr">
        <is>
          <t>6718.11 Fuchs-FRP-Werk1-4-Friesenheimerstr19-Mannheim</t>
        </is>
      </c>
      <c r="B3472" s="4" t="inlineStr">
        <is>
          <t>● • ‧ (aN) CAD</t>
        </is>
      </c>
      <c r="C3472" s="4" t="inlineStr">
        <is>
          <t>Nachweis</t>
        </is>
      </c>
      <c r="D3472" s="10" t="inlineStr">
        <is>
          <t>⚠ Manual erforderlich</t>
        </is>
      </c>
      <c r="E3472" s="11" t="inlineStr"/>
      <c r="F3472" s="11" t="n">
        <v>0</v>
      </c>
      <c r="G3472" s="11">
        <f>E3472-F3472</f>
        <v/>
      </c>
      <c r="H3472" s="11" t="n">
        <v/>
      </c>
      <c r="I3472" s="11" t="n">
        <v/>
      </c>
      <c r="J3472" s="11" t="n">
        <v/>
      </c>
      <c r="K3472" s="4" t="inlineStr">
        <is>
          <t>Stundensätze eingeben</t>
        </is>
      </c>
    </row>
    <row r="3473">
      <c r="A3473" s="4" t="inlineStr">
        <is>
          <t>6718.11 Fuchs-FRP-Werk1-4-Friesenheimerstr19-Mannheim</t>
        </is>
      </c>
      <c r="B3473" s="4" t="inlineStr">
        <is>
          <t>● • (p) Pos. 2 Flucht- und Rettungspläne</t>
        </is>
      </c>
      <c r="C3473" s="4" t="inlineStr">
        <is>
          <t>Pauschale</t>
        </is>
      </c>
      <c r="D3473" s="10" t="inlineStr">
        <is>
          <t>⚠ Manual erforderlich</t>
        </is>
      </c>
      <c r="E3473" s="11" t="inlineStr"/>
      <c r="F3473" s="11" t="n">
        <v>0</v>
      </c>
      <c r="G3473" s="11">
        <f>E3473-F3473</f>
        <v/>
      </c>
      <c r="H3473" s="11" t="n">
        <v>0</v>
      </c>
      <c r="I3473" s="11" t="n">
        <v>0</v>
      </c>
      <c r="J3473" s="11" t="n">
        <v>0</v>
      </c>
      <c r="K3473" s="4" t="inlineStr">
        <is>
          <t>Stundensätze eingeben</t>
        </is>
      </c>
    </row>
    <row r="3474">
      <c r="A3474" s="4" t="inlineStr">
        <is>
          <t>6718.11 Fuchs-FRP-Werk1-4-Friesenheimerstr19-Mannheim</t>
        </is>
      </c>
      <c r="B3474" s="4" t="inlineStr">
        <is>
          <t>● • (p) Pos. 3 Feuerwehrpläne</t>
        </is>
      </c>
      <c r="C3474" s="4" t="inlineStr">
        <is>
          <t>Pauschale</t>
        </is>
      </c>
      <c r="D3474" s="10" t="inlineStr">
        <is>
          <t>⚠ Manual erforderlich</t>
        </is>
      </c>
      <c r="E3474" s="11" t="inlineStr"/>
      <c r="F3474" s="11" t="n">
        <v>0</v>
      </c>
      <c r="G3474" s="11">
        <f>E3474-F3474</f>
        <v/>
      </c>
      <c r="H3474" s="11" t="n">
        <v>0</v>
      </c>
      <c r="I3474" s="11" t="n">
        <v>0</v>
      </c>
      <c r="J3474" s="11" t="n">
        <v>0</v>
      </c>
      <c r="K3474" s="4" t="inlineStr">
        <is>
          <t>Stundensätze eingeben</t>
        </is>
      </c>
    </row>
    <row r="3475">
      <c r="A3475" s="4" t="inlineStr">
        <is>
          <t>6718.11 Fuchs-FRP-Werk1-4-Friesenheimerstr19-Mannheim</t>
        </is>
      </c>
      <c r="B3475" s="4" t="inlineStr">
        <is>
          <t>● • (p) Pos. 4 Auftragsbearbeitung / Adm. Tätigkeiten zur Projektunterstützung</t>
        </is>
      </c>
      <c r="C3475" s="4" t="inlineStr">
        <is>
          <t>Pauschale</t>
        </is>
      </c>
      <c r="D3475" s="10" t="inlineStr">
        <is>
          <t>⚠ Manual erforderlich</t>
        </is>
      </c>
      <c r="E3475" s="11" t="inlineStr"/>
      <c r="F3475" s="11" t="n">
        <v>0</v>
      </c>
      <c r="G3475" s="11">
        <f>E3475-F3475</f>
        <v/>
      </c>
      <c r="H3475" s="11" t="n">
        <v>0</v>
      </c>
      <c r="I3475" s="11" t="n">
        <v>0</v>
      </c>
      <c r="J3475" s="11" t="n">
        <v>0</v>
      </c>
      <c r="K3475" s="4" t="inlineStr">
        <is>
          <t>Stundensätze eingeben</t>
        </is>
      </c>
    </row>
    <row r="3476">
      <c r="A3476" s="4" t="inlineStr">
        <is>
          <t>6718.202 Fuchs-BSO-2025-Werke1-6-Friesenheimerstraße-19-Mannheim</t>
        </is>
      </c>
      <c r="B3476" s="4" t="inlineStr">
        <is>
          <t>● (a.N.) BSO 2025 in den Teilen A-C</t>
        </is>
      </c>
      <c r="C3476" s="4" t="inlineStr">
        <is>
          <t>Nachweis</t>
        </is>
      </c>
      <c r="D3476" s="10" t="inlineStr">
        <is>
          <t>⚠ Manual erforderlich</t>
        </is>
      </c>
      <c r="E3476" s="11" t="inlineStr"/>
      <c r="F3476" s="11" t="n">
        <v>0</v>
      </c>
      <c r="G3476" s="11">
        <f>E3476-F3476</f>
        <v/>
      </c>
      <c r="H3476" s="11" t="n">
        <v/>
      </c>
      <c r="I3476" s="11" t="n">
        <v/>
      </c>
      <c r="J3476" s="11" t="n">
        <v/>
      </c>
      <c r="K3476" s="4" t="inlineStr">
        <is>
          <t>Stundensätze eingeben</t>
        </is>
      </c>
    </row>
    <row r="3477">
      <c r="A3477" s="4" t="inlineStr">
        <is>
          <t>6723 AHO-Theobald-Ziegler-Schule-Frankfurt</t>
        </is>
      </c>
      <c r="B3477" s="4" t="inlineStr">
        <is>
          <t>● (p.) LP1 GL</t>
        </is>
      </c>
      <c r="C3477" s="9" t="inlineStr">
        <is>
          <t>Unbekannt</t>
        </is>
      </c>
      <c r="D3477" s="10" t="inlineStr">
        <is>
          <t>⚠ Manual erforderlich</t>
        </is>
      </c>
      <c r="E3477" s="11" t="inlineStr"/>
      <c r="F3477" s="11" t="n">
        <v>0</v>
      </c>
      <c r="G3477" s="11">
        <f>E3477-F3477</f>
        <v/>
      </c>
      <c r="H3477" s="11" t="n">
        <v/>
      </c>
      <c r="I3477" s="11" t="n">
        <v/>
      </c>
      <c r="J3477" s="11" t="n">
        <v/>
      </c>
      <c r="K3477" s="4" t="inlineStr">
        <is>
          <t>Abrechnungsart wählen; Stundensätze eingeben</t>
        </is>
      </c>
    </row>
    <row r="3478">
      <c r="A3478" s="4" t="inlineStr">
        <is>
          <t>6723 AHO-Theobald-Ziegler-Schule-Frankfurt</t>
        </is>
      </c>
      <c r="B3478" s="4" t="inlineStr">
        <is>
          <t>● (a.N.) LP 1 BL</t>
        </is>
      </c>
      <c r="C3478" s="4" t="inlineStr">
        <is>
          <t>Nachweis</t>
        </is>
      </c>
      <c r="D3478" s="10" t="inlineStr">
        <is>
          <t>⚠ Manual erforderlich</t>
        </is>
      </c>
      <c r="E3478" s="11" t="inlineStr"/>
      <c r="F3478" s="11" t="n">
        <v>0</v>
      </c>
      <c r="G3478" s="11">
        <f>E3478-F3478</f>
        <v/>
      </c>
      <c r="H3478" s="11" t="n">
        <v/>
      </c>
      <c r="I3478" s="11" t="n">
        <v/>
      </c>
      <c r="J3478" s="11" t="n">
        <v/>
      </c>
      <c r="K3478" s="4" t="inlineStr">
        <is>
          <t>Stundensätze eingeben</t>
        </is>
      </c>
    </row>
    <row r="3479">
      <c r="A3479" s="4" t="inlineStr">
        <is>
          <t>6723 AHO-Theobald-Ziegler-Schule-Frankfurt</t>
        </is>
      </c>
      <c r="B3479" s="4" t="inlineStr">
        <is>
          <t>● (p.) LP2 GL</t>
        </is>
      </c>
      <c r="C3479" s="9" t="inlineStr">
        <is>
          <t>Unbekannt</t>
        </is>
      </c>
      <c r="D3479" s="10" t="inlineStr">
        <is>
          <t>⚠ Manual erforderlich</t>
        </is>
      </c>
      <c r="E3479" s="11" t="inlineStr"/>
      <c r="F3479" s="11" t="n">
        <v>0</v>
      </c>
      <c r="G3479" s="11">
        <f>E3479-F3479</f>
        <v/>
      </c>
      <c r="H3479" s="11" t="n">
        <v/>
      </c>
      <c r="I3479" s="11" t="n">
        <v/>
      </c>
      <c r="J3479" s="11" t="n">
        <v/>
      </c>
      <c r="K3479" s="4" t="inlineStr">
        <is>
          <t>Abrechnungsart wählen; Stundensätze eingeben</t>
        </is>
      </c>
    </row>
    <row r="3480">
      <c r="A3480" s="4" t="inlineStr">
        <is>
          <t>6723 AHO-Theobald-Ziegler-Schule-Frankfurt</t>
        </is>
      </c>
      <c r="B3480" s="4" t="inlineStr">
        <is>
          <t>● (p.) LP3 GL</t>
        </is>
      </c>
      <c r="C3480" s="9" t="inlineStr">
        <is>
          <t>Unbekannt</t>
        </is>
      </c>
      <c r="D3480" s="10" t="inlineStr">
        <is>
          <t>⚠ Manual erforderlich</t>
        </is>
      </c>
      <c r="E3480" s="11" t="inlineStr"/>
      <c r="F3480" s="11" t="n">
        <v>0</v>
      </c>
      <c r="G3480" s="11">
        <f>E3480-F3480</f>
        <v/>
      </c>
      <c r="H3480" s="11" t="n">
        <v/>
      </c>
      <c r="I3480" s="11" t="n">
        <v/>
      </c>
      <c r="J3480" s="11" t="n">
        <v/>
      </c>
      <c r="K3480" s="4" t="inlineStr">
        <is>
          <t>Abrechnungsart wählen; Stundensätze eingeben</t>
        </is>
      </c>
    </row>
    <row r="3481">
      <c r="A3481" s="4" t="inlineStr">
        <is>
          <t>6723 AHO-Theobald-Ziegler-Schule-Frankfurt</t>
        </is>
      </c>
      <c r="B3481" s="4" t="inlineStr">
        <is>
          <t>● (p.) LP4 GL</t>
        </is>
      </c>
      <c r="C3481" s="9" t="inlineStr">
        <is>
          <t>Unbekannt</t>
        </is>
      </c>
      <c r="D3481" s="10" t="inlineStr">
        <is>
          <t>⚠ Manual erforderlich</t>
        </is>
      </c>
      <c r="E3481" s="11" t="inlineStr"/>
      <c r="F3481" s="11" t="n">
        <v>0</v>
      </c>
      <c r="G3481" s="11">
        <f>E3481-F3481</f>
        <v/>
      </c>
      <c r="H3481" s="11" t="n">
        <v/>
      </c>
      <c r="I3481" s="11" t="n">
        <v/>
      </c>
      <c r="J3481" s="11" t="n">
        <v/>
      </c>
      <c r="K3481" s="4" t="inlineStr">
        <is>
          <t>Abrechnungsart wählen; Stundensätze eingeben</t>
        </is>
      </c>
    </row>
    <row r="3482">
      <c r="A3482" s="4" t="inlineStr">
        <is>
          <t>6723 AHO-Theobald-Ziegler-Schule-Frankfurt</t>
        </is>
      </c>
      <c r="B3482" s="4" t="inlineStr">
        <is>
          <t>● (p.) LP5 GL</t>
        </is>
      </c>
      <c r="C3482" s="9" t="inlineStr">
        <is>
          <t>Unbekannt</t>
        </is>
      </c>
      <c r="D3482" s="10" t="inlineStr">
        <is>
          <t>⚠ Manual erforderlich</t>
        </is>
      </c>
      <c r="E3482" s="11" t="inlineStr"/>
      <c r="F3482" s="11" t="n">
        <v>0</v>
      </c>
      <c r="G3482" s="11">
        <f>E3482-F3482</f>
        <v/>
      </c>
      <c r="H3482" s="11" t="n">
        <v/>
      </c>
      <c r="I3482" s="11" t="n">
        <v/>
      </c>
      <c r="J3482" s="11" t="n">
        <v/>
      </c>
      <c r="K3482" s="4" t="inlineStr">
        <is>
          <t>Abrechnungsart wählen; Stundensätze eingeben</t>
        </is>
      </c>
    </row>
    <row r="3483">
      <c r="A3483" s="4" t="inlineStr">
        <is>
          <t>6723 AHO-Theobald-Ziegler-Schule-Frankfurt</t>
        </is>
      </c>
      <c r="B3483" s="4" t="inlineStr">
        <is>
          <t>● (p.) LP8 GL</t>
        </is>
      </c>
      <c r="C3483" s="9" t="inlineStr">
        <is>
          <t>Unbekannt</t>
        </is>
      </c>
      <c r="D3483" s="10" t="inlineStr">
        <is>
          <t>⚠ Manual erforderlich</t>
        </is>
      </c>
      <c r="E3483" s="11" t="inlineStr"/>
      <c r="F3483" s="11" t="n">
        <v>0</v>
      </c>
      <c r="G3483" s="11">
        <f>E3483-F3483</f>
        <v/>
      </c>
      <c r="H3483" s="11" t="n">
        <v/>
      </c>
      <c r="I3483" s="11" t="n">
        <v/>
      </c>
      <c r="J3483" s="11" t="n">
        <v/>
      </c>
      <c r="K3483" s="4" t="inlineStr">
        <is>
          <t>Abrechnungsart wählen; Stundensätze eingeben</t>
        </is>
      </c>
    </row>
    <row r="3484">
      <c r="A3484" s="4" t="inlineStr">
        <is>
          <t>6723 AHO-Theobald-Ziegler-Schule-Frankfurt</t>
        </is>
      </c>
      <c r="B3484" s="4" t="inlineStr">
        <is>
          <t>● • FWP 9200-Erstellen od. Prüfen Feuerwehrpläne….</t>
        </is>
      </c>
      <c r="C3484" s="9" t="inlineStr">
        <is>
          <t>Unbekannt</t>
        </is>
      </c>
      <c r="D3484" s="10" t="inlineStr">
        <is>
          <t>⚠ Manual erforderlich</t>
        </is>
      </c>
      <c r="E3484" s="11" t="inlineStr"/>
      <c r="F3484" s="11" t="n">
        <v>0</v>
      </c>
      <c r="G3484" s="11">
        <f>E3484-F3484</f>
        <v/>
      </c>
      <c r="H3484" s="11" t="n">
        <v/>
      </c>
      <c r="I3484" s="11" t="n">
        <v/>
      </c>
      <c r="J3484" s="11" t="n">
        <v/>
      </c>
      <c r="K3484" s="4" t="inlineStr">
        <is>
          <t>Abrechnungsart wählen; Stundensätze eingeben</t>
        </is>
      </c>
    </row>
    <row r="3485">
      <c r="A3485" s="4" t="inlineStr">
        <is>
          <t>6723 AHO-Theobald-Ziegler-Schule-Frankfurt</t>
        </is>
      </c>
      <c r="B3485" s="4" t="inlineStr">
        <is>
          <t>● • FuR 9201-Erstellen od. Prüfen Flucht- und Rettungspläne….</t>
        </is>
      </c>
      <c r="C3485" s="9" t="inlineStr">
        <is>
          <t>Unbekannt</t>
        </is>
      </c>
      <c r="D3485" s="10" t="inlineStr">
        <is>
          <t>⚠ Manual erforderlich</t>
        </is>
      </c>
      <c r="E3485" s="11" t="inlineStr"/>
      <c r="F3485" s="11" t="n">
        <v>0</v>
      </c>
      <c r="G3485" s="11">
        <f>E3485-F3485</f>
        <v/>
      </c>
      <c r="H3485" s="11" t="n">
        <v/>
      </c>
      <c r="I3485" s="11" t="n">
        <v/>
      </c>
      <c r="J3485" s="11" t="n">
        <v/>
      </c>
      <c r="K3485" s="4" t="inlineStr">
        <is>
          <t>Abrechnungsart wählen; Stundensätze eingeben</t>
        </is>
      </c>
    </row>
    <row r="3486">
      <c r="A3486" s="4" t="inlineStr">
        <is>
          <t>6724 BSN-Schloßpassage-Usingen</t>
        </is>
      </c>
      <c r="B3486" s="4" t="inlineStr">
        <is>
          <t>● (p.) Erstellung Brandschutznachweis</t>
        </is>
      </c>
      <c r="C3486" s="9" t="inlineStr">
        <is>
          <t>Unbekannt</t>
        </is>
      </c>
      <c r="D3486" s="10" t="inlineStr">
        <is>
          <t>⚠ Manual erforderlich</t>
        </is>
      </c>
      <c r="E3486" s="11" t="inlineStr"/>
      <c r="F3486" s="11" t="n">
        <v>0</v>
      </c>
      <c r="G3486" s="11">
        <f>E3486-F3486</f>
        <v/>
      </c>
      <c r="H3486" s="11" t="n">
        <v/>
      </c>
      <c r="I3486" s="11" t="n">
        <v/>
      </c>
      <c r="J3486" s="11" t="n">
        <v/>
      </c>
      <c r="K3486" s="4" t="inlineStr">
        <is>
          <t>Abrechnungsart wählen; Stundensätze eingeben</t>
        </is>
      </c>
    </row>
    <row r="3487">
      <c r="A3487" s="4" t="inlineStr">
        <is>
          <t>6724 BSN-Schloßpassage-Usingen</t>
        </is>
      </c>
      <c r="B3487" s="4" t="inlineStr">
        <is>
          <t>● (a.N.) BTB</t>
        </is>
      </c>
      <c r="C3487" s="4" t="inlineStr">
        <is>
          <t>Nachweis</t>
        </is>
      </c>
      <c r="D3487" s="10" t="inlineStr">
        <is>
          <t>⚠ Manual erforderlich</t>
        </is>
      </c>
      <c r="E3487" s="11" t="inlineStr"/>
      <c r="F3487" s="11" t="n">
        <v>0</v>
      </c>
      <c r="G3487" s="11">
        <f>E3487-F3487</f>
        <v/>
      </c>
      <c r="H3487" s="11" t="n">
        <v/>
      </c>
      <c r="I3487" s="11" t="n">
        <v/>
      </c>
      <c r="J3487" s="11" t="n">
        <v/>
      </c>
      <c r="K3487" s="4" t="inlineStr">
        <is>
          <t>Stundensätze eingeben</t>
        </is>
      </c>
    </row>
    <row r="3488">
      <c r="A3488" s="4" t="inlineStr">
        <is>
          <t>6725 DGP-FWP-FuR-Regierung-Schwaben-Freudental1-Kempten</t>
        </is>
      </c>
      <c r="B3488" s="4" t="inlineStr">
        <is>
          <t>● (p.) Digitalisierung Grundrisspläne</t>
        </is>
      </c>
      <c r="C3488" s="9" t="inlineStr">
        <is>
          <t>Unbekannt</t>
        </is>
      </c>
      <c r="D3488" s="10" t="inlineStr">
        <is>
          <t>⚠ Manual erforderlich</t>
        </is>
      </c>
      <c r="E3488" s="11" t="inlineStr"/>
      <c r="F3488" s="11" t="n">
        <v>0</v>
      </c>
      <c r="G3488" s="11">
        <f>E3488-F3488</f>
        <v/>
      </c>
      <c r="H3488" s="11" t="n">
        <v/>
      </c>
      <c r="I3488" s="11" t="n">
        <v/>
      </c>
      <c r="J3488" s="11" t="n">
        <v/>
      </c>
      <c r="K3488" s="4" t="inlineStr">
        <is>
          <t>Abrechnungsart wählen; Stundensätze eingeben</t>
        </is>
      </c>
    </row>
    <row r="3489">
      <c r="A3489" s="4" t="inlineStr">
        <is>
          <t>6725.01 FuR-Regierung-Schwaben-Freudental1-Kempten</t>
        </is>
      </c>
      <c r="B3489" s="4" t="inlineStr">
        <is>
          <t>● (p.) FuR</t>
        </is>
      </c>
      <c r="C3489" s="9" t="inlineStr">
        <is>
          <t>Unbekannt</t>
        </is>
      </c>
      <c r="D3489" s="10" t="inlineStr">
        <is>
          <t>⚠ Manual erforderlich</t>
        </is>
      </c>
      <c r="E3489" s="11" t="inlineStr"/>
      <c r="F3489" s="11" t="n">
        <v>0</v>
      </c>
      <c r="G3489" s="11">
        <f>E3489-F3489</f>
        <v/>
      </c>
      <c r="H3489" s="11" t="n">
        <v/>
      </c>
      <c r="I3489" s="11" t="n">
        <v/>
      </c>
      <c r="J3489" s="11" t="n">
        <v/>
      </c>
      <c r="K3489" s="4" t="inlineStr">
        <is>
          <t>Abrechnungsart wählen; Stundensätze eingeben</t>
        </is>
      </c>
    </row>
    <row r="3490">
      <c r="A3490" s="4" t="inlineStr">
        <is>
          <t>6727 BSK-BSO-FRP-Westallee5-7-Lahnstein</t>
        </is>
      </c>
      <c r="B3490" s="4" t="inlineStr">
        <is>
          <t>● (p.) BSK</t>
        </is>
      </c>
      <c r="C3490" s="9" t="inlineStr">
        <is>
          <t>Unbekannt</t>
        </is>
      </c>
      <c r="D3490" s="10" t="inlineStr">
        <is>
          <t>⚠ Manual erforderlich</t>
        </is>
      </c>
      <c r="E3490" s="11" t="inlineStr"/>
      <c r="F3490" s="11" t="n">
        <v>0</v>
      </c>
      <c r="G3490" s="11">
        <f>E3490-F3490</f>
        <v/>
      </c>
      <c r="H3490" s="11" t="n">
        <v/>
      </c>
      <c r="I3490" s="11" t="n">
        <v/>
      </c>
      <c r="J3490" s="11" t="n">
        <v/>
      </c>
      <c r="K3490" s="4" t="inlineStr">
        <is>
          <t>Abrechnungsart wählen; Stundensätze eingeben</t>
        </is>
      </c>
    </row>
    <row r="3491">
      <c r="A3491" s="4" t="inlineStr">
        <is>
          <t>6727 BSK-BSO-FRP-Westallee5-7-Lahnstein</t>
        </is>
      </c>
      <c r="B3491" s="4" t="inlineStr">
        <is>
          <t>● (p.) BSO</t>
        </is>
      </c>
      <c r="C3491" s="9" t="inlineStr">
        <is>
          <t>Unbekannt</t>
        </is>
      </c>
      <c r="D3491" s="10" t="inlineStr">
        <is>
          <t>⚠ Manual erforderlich</t>
        </is>
      </c>
      <c r="E3491" s="11" t="inlineStr"/>
      <c r="F3491" s="11" t="n">
        <v>0</v>
      </c>
      <c r="G3491" s="11">
        <f>E3491-F3491</f>
        <v/>
      </c>
      <c r="H3491" s="11" t="n">
        <v/>
      </c>
      <c r="I3491" s="11" t="n">
        <v/>
      </c>
      <c r="J3491" s="11" t="n">
        <v/>
      </c>
      <c r="K3491" s="4" t="inlineStr">
        <is>
          <t>Abrechnungsart wählen; Stundensätze eingeben</t>
        </is>
      </c>
    </row>
    <row r="3492">
      <c r="A3492" s="4" t="inlineStr">
        <is>
          <t>6727 BSK-BSO-FRP-Westallee5-7-Lahnstein</t>
        </is>
      </c>
      <c r="B3492" s="4" t="inlineStr">
        <is>
          <t>● (p.) FRP</t>
        </is>
      </c>
      <c r="C3492" s="9" t="inlineStr">
        <is>
          <t>Unbekannt</t>
        </is>
      </c>
      <c r="D3492" s="10" t="inlineStr">
        <is>
          <t>⚠ Manual erforderlich</t>
        </is>
      </c>
      <c r="E3492" s="11" t="inlineStr"/>
      <c r="F3492" s="11" t="n">
        <v>0</v>
      </c>
      <c r="G3492" s="11">
        <f>E3492-F3492</f>
        <v/>
      </c>
      <c r="H3492" s="11" t="n">
        <v/>
      </c>
      <c r="I3492" s="11" t="n">
        <v/>
      </c>
      <c r="J3492" s="11" t="n">
        <v/>
      </c>
      <c r="K3492" s="4" t="inlineStr">
        <is>
          <t>Abrechnungsart wählen; Stundensätze eingeben</t>
        </is>
      </c>
    </row>
    <row r="3493">
      <c r="A3493" s="4" t="inlineStr">
        <is>
          <t>6727.01 Süwag-BSK-Westallee5-7-Lahnstein</t>
        </is>
      </c>
      <c r="B3493" s="4" t="inlineStr">
        <is>
          <t>● (p) Pos. 1 Aktualisierung BSK</t>
        </is>
      </c>
      <c r="C3493" s="4" t="inlineStr">
        <is>
          <t>Pauschale</t>
        </is>
      </c>
      <c r="D3493" s="10" t="inlineStr">
        <is>
          <t>⚠ Manual erforderlich</t>
        </is>
      </c>
      <c r="E3493" s="11" t="inlineStr"/>
      <c r="F3493" s="11" t="n">
        <v>0</v>
      </c>
      <c r="G3493" s="11">
        <f>E3493-F3493</f>
        <v/>
      </c>
      <c r="H3493" s="11" t="n">
        <v>0</v>
      </c>
      <c r="I3493" s="11" t="n">
        <v>0</v>
      </c>
      <c r="J3493" s="11" t="n">
        <v>0</v>
      </c>
      <c r="K3493" s="4" t="inlineStr">
        <is>
          <t>Stundensätze eingeben</t>
        </is>
      </c>
    </row>
    <row r="3494">
      <c r="A3494" s="4" t="inlineStr">
        <is>
          <t>6727.01 Süwag-BSK-Westallee5-7-Lahnstein</t>
        </is>
      </c>
      <c r="B3494" s="4" t="inlineStr">
        <is>
          <t>● (aN) Pos. 2 BST währ. Planungsphase</t>
        </is>
      </c>
      <c r="C3494" s="4" t="inlineStr">
        <is>
          <t>Nachweis</t>
        </is>
      </c>
      <c r="D3494" s="10" t="inlineStr">
        <is>
          <t>⚠ Manual erforderlich</t>
        </is>
      </c>
      <c r="E3494" s="11" t="inlineStr"/>
      <c r="F3494" s="11" t="n">
        <v>0</v>
      </c>
      <c r="G3494" s="11">
        <f>E3494-F3494</f>
        <v/>
      </c>
      <c r="H3494" s="11" t="n">
        <v/>
      </c>
      <c r="I3494" s="11" t="n">
        <v/>
      </c>
      <c r="J3494" s="11" t="n">
        <v/>
      </c>
      <c r="K3494" s="4" t="inlineStr">
        <is>
          <t>Stundensätze eingeben</t>
        </is>
      </c>
    </row>
    <row r="3495">
      <c r="A3495" s="4" t="inlineStr">
        <is>
          <t>6727.01 Süwag-BSK-Westallee5-7-Lahnstein</t>
        </is>
      </c>
      <c r="B3495" s="4" t="inlineStr">
        <is>
          <t>● (aN) Pos. 3 BAB</t>
        </is>
      </c>
      <c r="C3495" s="4" t="inlineStr">
        <is>
          <t>Nachweis</t>
        </is>
      </c>
      <c r="D3495" s="10" t="inlineStr">
        <is>
          <t>⚠ Manual erforderlich</t>
        </is>
      </c>
      <c r="E3495" s="11" t="inlineStr"/>
      <c r="F3495" s="11" t="n">
        <v>0</v>
      </c>
      <c r="G3495" s="11">
        <f>E3495-F3495</f>
        <v/>
      </c>
      <c r="H3495" s="11" t="n">
        <v/>
      </c>
      <c r="I3495" s="11" t="n">
        <v/>
      </c>
      <c r="J3495" s="11" t="n">
        <v/>
      </c>
      <c r="K3495" s="4" t="inlineStr">
        <is>
          <t>Stundensätze eingeben</t>
        </is>
      </c>
    </row>
    <row r="3496">
      <c r="A3496" s="4" t="inlineStr">
        <is>
          <t>6729 AHO-KABI-LAB-Daimlerstr20-Bad-Homburg</t>
        </is>
      </c>
      <c r="B3496" s="4" t="inlineStr">
        <is>
          <t>● (p.) LP1 Grundllagenermittlung GL</t>
        </is>
      </c>
      <c r="C3496" s="9" t="inlineStr">
        <is>
          <t>Unbekannt</t>
        </is>
      </c>
      <c r="D3496" s="10" t="inlineStr">
        <is>
          <t>⚠ Manual erforderlich</t>
        </is>
      </c>
      <c r="E3496" s="11" t="inlineStr"/>
      <c r="F3496" s="11" t="n">
        <v>0</v>
      </c>
      <c r="G3496" s="11">
        <f>E3496-F3496</f>
        <v/>
      </c>
      <c r="H3496" s="11" t="n">
        <v/>
      </c>
      <c r="I3496" s="11" t="n">
        <v/>
      </c>
      <c r="J3496" s="11" t="n">
        <v/>
      </c>
      <c r="K3496" s="4" t="inlineStr">
        <is>
          <t>Abrechnungsart wählen; Stundensätze eingeben</t>
        </is>
      </c>
    </row>
    <row r="3497">
      <c r="A3497" s="4" t="inlineStr">
        <is>
          <t>6729 AHO-KABI-LAB-Daimlerstr20-Bad-Homburg</t>
        </is>
      </c>
      <c r="B3497" s="4" t="inlineStr">
        <is>
          <t>● (p.) LP1 BL</t>
        </is>
      </c>
      <c r="C3497" s="9" t="inlineStr">
        <is>
          <t>Unbekannt</t>
        </is>
      </c>
      <c r="D3497" s="10" t="inlineStr">
        <is>
          <t>⚠ Manual erforderlich</t>
        </is>
      </c>
      <c r="E3497" s="11" t="inlineStr"/>
      <c r="F3497" s="11" t="n">
        <v>0</v>
      </c>
      <c r="G3497" s="11">
        <f>E3497-F3497</f>
        <v/>
      </c>
      <c r="H3497" s="11" t="n">
        <v/>
      </c>
      <c r="I3497" s="11" t="n">
        <v/>
      </c>
      <c r="J3497" s="11" t="n">
        <v/>
      </c>
      <c r="K3497" s="4" t="inlineStr">
        <is>
          <t>Abrechnungsart wählen; Stundensätze eingeben</t>
        </is>
      </c>
    </row>
    <row r="3498">
      <c r="A3498" s="4" t="inlineStr">
        <is>
          <t>6729 AHO-KABI-LAB-Daimlerstr20-Bad-Homburg</t>
        </is>
      </c>
      <c r="B3498" s="4" t="inlineStr">
        <is>
          <t>● (p.) LP2 Vorplanung GL</t>
        </is>
      </c>
      <c r="C3498" s="9" t="inlineStr">
        <is>
          <t>Unbekannt</t>
        </is>
      </c>
      <c r="D3498" s="10" t="inlineStr">
        <is>
          <t>⚠ Manual erforderlich</t>
        </is>
      </c>
      <c r="E3498" s="11" t="inlineStr"/>
      <c r="F3498" s="11" t="n">
        <v>0</v>
      </c>
      <c r="G3498" s="11">
        <f>E3498-F3498</f>
        <v/>
      </c>
      <c r="H3498" s="11" t="n">
        <v/>
      </c>
      <c r="I3498" s="11" t="n">
        <v/>
      </c>
      <c r="J3498" s="11" t="n">
        <v/>
      </c>
      <c r="K3498" s="4" t="inlineStr">
        <is>
          <t>Abrechnungsart wählen; Stundensätze eingeben</t>
        </is>
      </c>
    </row>
    <row r="3499">
      <c r="A3499" s="4" t="inlineStr">
        <is>
          <t>6729 AHO-KABI-LAB-Daimlerstr20-Bad-Homburg</t>
        </is>
      </c>
      <c r="B3499" s="4" t="inlineStr">
        <is>
          <t>● (p.) LP3  Entwurfsplanung GL</t>
        </is>
      </c>
      <c r="C3499" s="9" t="inlineStr">
        <is>
          <t>Unbekannt</t>
        </is>
      </c>
      <c r="D3499" s="10" t="inlineStr">
        <is>
          <t>⚠ Manual erforderlich</t>
        </is>
      </c>
      <c r="E3499" s="11" t="inlineStr"/>
      <c r="F3499" s="11" t="n">
        <v>0</v>
      </c>
      <c r="G3499" s="11">
        <f>E3499-F3499</f>
        <v/>
      </c>
      <c r="H3499" s="11" t="n">
        <v/>
      </c>
      <c r="I3499" s="11" t="n">
        <v/>
      </c>
      <c r="J3499" s="11" t="n">
        <v/>
      </c>
      <c r="K3499" s="4" t="inlineStr">
        <is>
          <t>Abrechnungsart wählen; Stundensätze eingeben</t>
        </is>
      </c>
    </row>
    <row r="3500">
      <c r="A3500" s="4" t="inlineStr">
        <is>
          <t>6729 AHO-KABI-LAB-Daimlerstr20-Bad-Homburg</t>
        </is>
      </c>
      <c r="B3500" s="4" t="inlineStr">
        <is>
          <t>● (a.N.) LP3 Zusätzl. Leistungen</t>
        </is>
      </c>
      <c r="C3500" s="4" t="inlineStr">
        <is>
          <t>Nachweis</t>
        </is>
      </c>
      <c r="D3500" s="10" t="inlineStr">
        <is>
          <t>⚠ Manual erforderlich</t>
        </is>
      </c>
      <c r="E3500" s="11" t="inlineStr"/>
      <c r="F3500" s="11" t="n">
        <v>0</v>
      </c>
      <c r="G3500" s="11">
        <f>E3500-F3500</f>
        <v/>
      </c>
      <c r="H3500" s="11" t="n">
        <v/>
      </c>
      <c r="I3500" s="11" t="n">
        <v/>
      </c>
      <c r="J3500" s="11" t="n">
        <v/>
      </c>
      <c r="K3500" s="4" t="inlineStr">
        <is>
          <t>Stundensätze eingeben</t>
        </is>
      </c>
    </row>
    <row r="3501">
      <c r="A3501" s="4" t="inlineStr">
        <is>
          <t>6729 AHO-KABI-LAB-Daimlerstr20-Bad-Homburg</t>
        </is>
      </c>
      <c r="B3501" s="4" t="inlineStr">
        <is>
          <t>● (p.) Genehmigungsplanung GL</t>
        </is>
      </c>
      <c r="C3501" s="9" t="inlineStr">
        <is>
          <t>Unbekannt</t>
        </is>
      </c>
      <c r="D3501" s="10" t="inlineStr">
        <is>
          <t>⚠ Manual erforderlich</t>
        </is>
      </c>
      <c r="E3501" s="11" t="inlineStr"/>
      <c r="F3501" s="11" t="n">
        <v>0</v>
      </c>
      <c r="G3501" s="11">
        <f>E3501-F3501</f>
        <v/>
      </c>
      <c r="H3501" s="11" t="n">
        <v/>
      </c>
      <c r="I3501" s="11" t="n">
        <v/>
      </c>
      <c r="J3501" s="11" t="n">
        <v/>
      </c>
      <c r="K3501" s="4" t="inlineStr">
        <is>
          <t>Abrechnungsart wählen; Stundensätze eingeben</t>
        </is>
      </c>
    </row>
    <row r="3502">
      <c r="A3502" s="4" t="inlineStr">
        <is>
          <t>6729 AHO-KABI-LAB-Daimlerstr20-Bad-Homburg</t>
        </is>
      </c>
      <c r="B3502" s="4" t="inlineStr">
        <is>
          <t>● (p) Pos.5 a) LP5 GL</t>
        </is>
      </c>
      <c r="C3502" s="4" t="inlineStr">
        <is>
          <t>Pauschale</t>
        </is>
      </c>
      <c r="D3502" s="10" t="inlineStr">
        <is>
          <t>⚠ Manual erforderlich</t>
        </is>
      </c>
      <c r="E3502" s="11" t="inlineStr"/>
      <c r="F3502" s="11" t="n">
        <v>0</v>
      </c>
      <c r="G3502" s="11">
        <f>E3502-F3502</f>
        <v/>
      </c>
      <c r="H3502" s="11" t="n">
        <v>0</v>
      </c>
      <c r="I3502" s="11" t="n">
        <v>0</v>
      </c>
      <c r="J3502" s="11" t="n">
        <v>0</v>
      </c>
      <c r="K3502" s="4" t="inlineStr">
        <is>
          <t>Stundensätze eingeben</t>
        </is>
      </c>
    </row>
    <row r="3503">
      <c r="A3503" s="4" t="inlineStr">
        <is>
          <t>6729 AHO-KABI-LAB-Daimlerstr20-Bad-Homburg</t>
        </is>
      </c>
      <c r="B3503" s="4" t="inlineStr">
        <is>
          <t>● (p) Pos.5 b) BL Planung der Ausstattung mit Feuerlöschern ohne Berechnung</t>
        </is>
      </c>
      <c r="C3503" s="4" t="inlineStr">
        <is>
          <t>Pauschale</t>
        </is>
      </c>
      <c r="D3503" s="10" t="inlineStr">
        <is>
          <t>⚠ Manual erforderlich</t>
        </is>
      </c>
      <c r="E3503" s="11" t="inlineStr"/>
      <c r="F3503" s="11" t="n">
        <v>0</v>
      </c>
      <c r="G3503" s="11">
        <f>E3503-F3503</f>
        <v/>
      </c>
      <c r="H3503" s="11" t="n">
        <v>0</v>
      </c>
      <c r="I3503" s="11" t="n">
        <v>0</v>
      </c>
      <c r="J3503" s="11" t="n">
        <v>0</v>
      </c>
      <c r="K3503" s="4" t="inlineStr">
        <is>
          <t>Stundensätze eingeben</t>
        </is>
      </c>
    </row>
    <row r="3504">
      <c r="A3504" s="4" t="inlineStr">
        <is>
          <t>6729 AHO-KABI-LAB-Daimlerstr20-Bad-Homburg</t>
        </is>
      </c>
      <c r="B3504" s="4" t="inlineStr">
        <is>
          <t>● (p) Pos.8 a) LP8 GL Niveau 1 (Prüf. auf prinzipielle Übereinst. inkl. 3 Begehungseinheiten</t>
        </is>
      </c>
      <c r="C3504" s="4" t="inlineStr">
        <is>
          <t>Pauschale</t>
        </is>
      </c>
      <c r="D3504" s="10" t="inlineStr">
        <is>
          <t>⚠ Manual erforderlich</t>
        </is>
      </c>
      <c r="E3504" s="11" t="inlineStr"/>
      <c r="F3504" s="11" t="n">
        <v>0</v>
      </c>
      <c r="G3504" s="11">
        <f>E3504-F3504</f>
        <v/>
      </c>
      <c r="H3504" s="11" t="n">
        <v>0</v>
      </c>
      <c r="I3504" s="11" t="n">
        <v>0</v>
      </c>
      <c r="J3504" s="11" t="n">
        <v>0</v>
      </c>
      <c r="K3504" s="4" t="inlineStr">
        <is>
          <t>Stundensätze eingeben</t>
        </is>
      </c>
    </row>
    <row r="3505">
      <c r="A3505" s="4" t="inlineStr">
        <is>
          <t>6729 AHO-KABI-LAB-Daimlerstr20-Bad-Homburg</t>
        </is>
      </c>
      <c r="B3505" s="4" t="inlineStr">
        <is>
          <t>● (p) Pos.8 b) LP8 BL Niveau 2 system-stichprobenartige Kontrolle/4Monate m.2 Begehubngen a 4h</t>
        </is>
      </c>
      <c r="C3505" s="4" t="inlineStr">
        <is>
          <t>Pauschale</t>
        </is>
      </c>
      <c r="D3505" s="10" t="inlineStr">
        <is>
          <t>⚠ Manual erforderlich</t>
        </is>
      </c>
      <c r="E3505" s="11" t="inlineStr"/>
      <c r="F3505" s="11" t="n">
        <v>0</v>
      </c>
      <c r="G3505" s="11">
        <f>E3505-F3505</f>
        <v/>
      </c>
      <c r="H3505" s="11" t="n">
        <v>0</v>
      </c>
      <c r="I3505" s="11" t="n">
        <v>0</v>
      </c>
      <c r="J3505" s="11" t="n">
        <v>0</v>
      </c>
      <c r="K3505" s="4" t="inlineStr">
        <is>
          <t>Stundensätze eingeben</t>
        </is>
      </c>
    </row>
    <row r="3506">
      <c r="A3506" s="4" t="inlineStr">
        <is>
          <t>6729 AHO-KABI-LAB-Daimlerstr20-Bad-Homburg</t>
        </is>
      </c>
      <c r="B3506" s="4" t="inlineStr">
        <is>
          <t>● (p) Pos.8 b) LP8 BL Steuermatrix</t>
        </is>
      </c>
      <c r="C3506" s="4" t="inlineStr">
        <is>
          <t>Pauschale</t>
        </is>
      </c>
      <c r="D3506" s="10" t="inlineStr">
        <is>
          <t>⚠ Manual erforderlich</t>
        </is>
      </c>
      <c r="E3506" s="11" t="inlineStr"/>
      <c r="F3506" s="11" t="n">
        <v>0</v>
      </c>
      <c r="G3506" s="11">
        <f>E3506-F3506</f>
        <v/>
      </c>
      <c r="H3506" s="11" t="n">
        <v>0</v>
      </c>
      <c r="I3506" s="11" t="n">
        <v>0</v>
      </c>
      <c r="J3506" s="11" t="n">
        <v>0</v>
      </c>
      <c r="K3506" s="4" t="inlineStr">
        <is>
          <t>Stundensätze eingeben</t>
        </is>
      </c>
    </row>
    <row r="3507">
      <c r="A3507" s="4" t="inlineStr">
        <is>
          <t>6729 AHO-KABI-LAB-Daimlerstr20-Bad-Homburg</t>
        </is>
      </c>
      <c r="B3507" s="4" t="inlineStr">
        <is>
          <t>● (p) Pos.9 b) LP9 Optional FWP</t>
        </is>
      </c>
      <c r="C3507" s="4" t="inlineStr">
        <is>
          <t>Pauschale</t>
        </is>
      </c>
      <c r="D3507" s="10" t="inlineStr">
        <is>
          <t>⚠ Manual erforderlich</t>
        </is>
      </c>
      <c r="E3507" s="11" t="inlineStr"/>
      <c r="F3507" s="11" t="n">
        <v>0</v>
      </c>
      <c r="G3507" s="11">
        <f>E3507-F3507</f>
        <v/>
      </c>
      <c r="H3507" s="11" t="n">
        <v>0</v>
      </c>
      <c r="I3507" s="11" t="n">
        <v>0</v>
      </c>
      <c r="J3507" s="11" t="n">
        <v>0</v>
      </c>
      <c r="K3507" s="4" t="inlineStr">
        <is>
          <t>Stundensätze eingeben</t>
        </is>
      </c>
    </row>
    <row r="3508">
      <c r="A3508" s="4" t="inlineStr">
        <is>
          <t>6729 AHO-KABI-LAB-Daimlerstr20-Bad-Homburg</t>
        </is>
      </c>
      <c r="B3508" s="4" t="inlineStr">
        <is>
          <t>● (p) Pos.9 b) Optional FRP</t>
        </is>
      </c>
      <c r="C3508" s="4" t="inlineStr">
        <is>
          <t>Pauschale</t>
        </is>
      </c>
      <c r="D3508" s="10" t="inlineStr">
        <is>
          <t>⚠ Manual erforderlich</t>
        </is>
      </c>
      <c r="E3508" s="11" t="inlineStr"/>
      <c r="F3508" s="11" t="n">
        <v>0</v>
      </c>
      <c r="G3508" s="11">
        <f>E3508-F3508</f>
        <v/>
      </c>
      <c r="H3508" s="11" t="n">
        <v>0</v>
      </c>
      <c r="I3508" s="11" t="n">
        <v>0</v>
      </c>
      <c r="J3508" s="11" t="n">
        <v>0</v>
      </c>
      <c r="K3508" s="4" t="inlineStr">
        <is>
          <t>Stundensätze eingeben</t>
        </is>
      </c>
    </row>
    <row r="3509">
      <c r="A3509" s="4" t="inlineStr">
        <is>
          <t>6729.01 NAT03-BST-KABI-LAB-Daimlerstr20-Bad-Homburg-Trennwand</t>
        </is>
      </c>
      <c r="B3509" s="4" t="inlineStr">
        <is>
          <t>● (a.N) Pos. 1 - Erstellung brandschutztechnische Stellungnahme</t>
        </is>
      </c>
      <c r="C3509" s="9" t="inlineStr">
        <is>
          <t>Unbekannt</t>
        </is>
      </c>
      <c r="D3509" s="10" t="inlineStr">
        <is>
          <t>⚠ Manual erforderlich</t>
        </is>
      </c>
      <c r="E3509" s="11" t="inlineStr"/>
      <c r="F3509" s="11" t="n">
        <v>0</v>
      </c>
      <c r="G3509" s="11">
        <f>E3509-F3509</f>
        <v/>
      </c>
      <c r="H3509" s="11" t="n">
        <v/>
      </c>
      <c r="I3509" s="11" t="n">
        <v/>
      </c>
      <c r="J3509" s="11" t="n">
        <v/>
      </c>
      <c r="K3509" s="4" t="inlineStr">
        <is>
          <t>Abrechnungsart wählen; Stundensätze eingeben</t>
        </is>
      </c>
    </row>
    <row r="3510">
      <c r="A3510" s="4" t="inlineStr">
        <is>
          <t>6729.02 Fresenius-Fortschr-BSK-KABI-LAB-Daimlerstr20-Bad-Homburg</t>
        </is>
      </c>
      <c r="B3510" s="4" t="inlineStr">
        <is>
          <t>● (p) Pos. 1 Fortschreibung Brandschutzkonzep</t>
        </is>
      </c>
      <c r="C3510" s="4" t="inlineStr">
        <is>
          <t>Pauschale</t>
        </is>
      </c>
      <c r="D3510" s="10" t="inlineStr">
        <is>
          <t>⚠ Manual erforderlich</t>
        </is>
      </c>
      <c r="E3510" s="11" t="inlineStr"/>
      <c r="F3510" s="11" t="n">
        <v>0</v>
      </c>
      <c r="G3510" s="11">
        <f>E3510-F3510</f>
        <v/>
      </c>
      <c r="H3510" s="11" t="n">
        <v>0</v>
      </c>
      <c r="I3510" s="11" t="n">
        <v>0</v>
      </c>
      <c r="J3510" s="11" t="n">
        <v>0</v>
      </c>
      <c r="K3510" s="4" t="inlineStr">
        <is>
          <t>Stundensätze eingeben</t>
        </is>
      </c>
    </row>
    <row r="3511">
      <c r="A3511" s="4" t="inlineStr">
        <is>
          <t>6732 AHO-BSK-Los4-Waldschule-Brückenstr-35-OF-Obertshausen</t>
        </is>
      </c>
      <c r="B3511" s="4" t="inlineStr">
        <is>
          <t>● (p.) LP1 GL</t>
        </is>
      </c>
      <c r="C3511" s="9" t="inlineStr">
        <is>
          <t>Unbekannt</t>
        </is>
      </c>
      <c r="D3511" s="10" t="inlineStr">
        <is>
          <t>⚠ Manual erforderlich</t>
        </is>
      </c>
      <c r="E3511" s="11" t="inlineStr"/>
      <c r="F3511" s="11" t="n">
        <v>0</v>
      </c>
      <c r="G3511" s="11">
        <f>E3511-F3511</f>
        <v/>
      </c>
      <c r="H3511" s="11" t="n">
        <v/>
      </c>
      <c r="I3511" s="11" t="n">
        <v/>
      </c>
      <c r="J3511" s="11" t="n">
        <v/>
      </c>
      <c r="K3511" s="4" t="inlineStr">
        <is>
          <t>Abrechnungsart wählen; Stundensätze eingeben</t>
        </is>
      </c>
    </row>
    <row r="3512">
      <c r="A3512" s="4" t="inlineStr">
        <is>
          <t>6732 AHO-BSK-Los4-Waldschule-Brückenstr-35-OF-Obertshausen</t>
        </is>
      </c>
      <c r="B3512" s="4" t="inlineStr">
        <is>
          <t>● (p.) LP2 GL + BL</t>
        </is>
      </c>
      <c r="C3512" s="9" t="inlineStr">
        <is>
          <t>Unbekannt</t>
        </is>
      </c>
      <c r="D3512" s="10" t="inlineStr">
        <is>
          <t>⚠ Manual erforderlich</t>
        </is>
      </c>
      <c r="E3512" s="11" t="inlineStr"/>
      <c r="F3512" s="11" t="n">
        <v>0</v>
      </c>
      <c r="G3512" s="11">
        <f>E3512-F3512</f>
        <v/>
      </c>
      <c r="H3512" s="11" t="n">
        <v/>
      </c>
      <c r="I3512" s="11" t="n">
        <v/>
      </c>
      <c r="J3512" s="11" t="n">
        <v/>
      </c>
      <c r="K3512" s="4" t="inlineStr">
        <is>
          <t>Abrechnungsart wählen; Stundensätze eingeben</t>
        </is>
      </c>
    </row>
    <row r="3513">
      <c r="A3513" s="4" t="inlineStr">
        <is>
          <t>6732 AHO-BSK-Los4-Waldschule-Brückenstr-35-OF-Obertshausen</t>
        </is>
      </c>
      <c r="B3513" s="4" t="inlineStr">
        <is>
          <t>● (p.) LP3 GL</t>
        </is>
      </c>
      <c r="C3513" s="9" t="inlineStr">
        <is>
          <t>Unbekannt</t>
        </is>
      </c>
      <c r="D3513" s="10" t="inlineStr">
        <is>
          <t>⚠ Manual erforderlich</t>
        </is>
      </c>
      <c r="E3513" s="11" t="inlineStr"/>
      <c r="F3513" s="11" t="n">
        <v>0</v>
      </c>
      <c r="G3513" s="11">
        <f>E3513-F3513</f>
        <v/>
      </c>
      <c r="H3513" s="11" t="n">
        <v/>
      </c>
      <c r="I3513" s="11" t="n">
        <v/>
      </c>
      <c r="J3513" s="11" t="n">
        <v/>
      </c>
      <c r="K3513" s="4" t="inlineStr">
        <is>
          <t>Abrechnungsart wählen; Stundensätze eingeben</t>
        </is>
      </c>
    </row>
    <row r="3514">
      <c r="A3514" s="4" t="inlineStr">
        <is>
          <t>6732 AHO-BSK-Los4-Waldschule-Brückenstr-35-OF-Obertshausen</t>
        </is>
      </c>
      <c r="B3514" s="4" t="inlineStr">
        <is>
          <t>● (p.) LP4 GL</t>
        </is>
      </c>
      <c r="C3514" s="9" t="inlineStr">
        <is>
          <t>Unbekannt</t>
        </is>
      </c>
      <c r="D3514" s="10" t="inlineStr">
        <is>
          <t>⚠ Manual erforderlich</t>
        </is>
      </c>
      <c r="E3514" s="11" t="inlineStr"/>
      <c r="F3514" s="11" t="n">
        <v>0</v>
      </c>
      <c r="G3514" s="11">
        <f>E3514-F3514</f>
        <v/>
      </c>
      <c r="H3514" s="11" t="n">
        <v/>
      </c>
      <c r="I3514" s="11" t="n">
        <v/>
      </c>
      <c r="J3514" s="11" t="n">
        <v/>
      </c>
      <c r="K3514" s="4" t="inlineStr">
        <is>
          <t>Abrechnungsart wählen; Stundensätze eingeben</t>
        </is>
      </c>
    </row>
    <row r="3515">
      <c r="A3515" s="4" t="inlineStr">
        <is>
          <t>6732 AHO-BSK-Los4-Waldschule-Brückenstr-35-OF-Obertshausen</t>
        </is>
      </c>
      <c r="B3515" s="4" t="inlineStr">
        <is>
          <t>● (p.) LP5 GL</t>
        </is>
      </c>
      <c r="C3515" s="9" t="inlineStr">
        <is>
          <t>Unbekannt</t>
        </is>
      </c>
      <c r="D3515" s="10" t="inlineStr">
        <is>
          <t>⚠ Manual erforderlich</t>
        </is>
      </c>
      <c r="E3515" s="11" t="inlineStr"/>
      <c r="F3515" s="11" t="n">
        <v>0</v>
      </c>
      <c r="G3515" s="11">
        <f>E3515-F3515</f>
        <v/>
      </c>
      <c r="H3515" s="11" t="n">
        <v/>
      </c>
      <c r="I3515" s="11" t="n">
        <v/>
      </c>
      <c r="J3515" s="11" t="n">
        <v/>
      </c>
      <c r="K3515" s="4" t="inlineStr">
        <is>
          <t>Abrechnungsart wählen; Stundensätze eingeben</t>
        </is>
      </c>
    </row>
    <row r="3516">
      <c r="A3516" s="4" t="inlineStr">
        <is>
          <t>6732 AHO-BSK-Los4-Waldschule-Brückenstr-35-OF-Obertshausen</t>
        </is>
      </c>
      <c r="B3516" s="4" t="inlineStr">
        <is>
          <t>● (p.) LP8 GL + BL</t>
        </is>
      </c>
      <c r="C3516" s="9" t="inlineStr">
        <is>
          <t>Unbekannt</t>
        </is>
      </c>
      <c r="D3516" s="10" t="inlineStr">
        <is>
          <t>⚠ Manual erforderlich</t>
        </is>
      </c>
      <c r="E3516" s="11" t="inlineStr"/>
      <c r="F3516" s="11" t="n">
        <v>0</v>
      </c>
      <c r="G3516" s="11">
        <f>E3516-F3516</f>
        <v/>
      </c>
      <c r="H3516" s="11" t="n">
        <v/>
      </c>
      <c r="I3516" s="11" t="n">
        <v/>
      </c>
      <c r="J3516" s="11" t="n">
        <v/>
      </c>
      <c r="K3516" s="4" t="inlineStr">
        <is>
          <t>Abrechnungsart wählen; Stundensätze eingeben</t>
        </is>
      </c>
    </row>
    <row r="3517">
      <c r="A3517" s="4" t="inlineStr">
        <is>
          <t>6739 AHO-ZWI-2. BA-Neubau-Industriehalle-Hanauer-Landstraße-345-Frankfurt</t>
        </is>
      </c>
      <c r="B3517" s="4" t="inlineStr">
        <is>
          <t>● (p) LP 1 - GL (beauftragt 27.07.2022)</t>
        </is>
      </c>
      <c r="C3517" s="4" t="inlineStr">
        <is>
          <t>Pauschale</t>
        </is>
      </c>
      <c r="D3517" s="10" t="inlineStr">
        <is>
          <t>⚠ Manual erforderlich</t>
        </is>
      </c>
      <c r="E3517" s="11" t="inlineStr"/>
      <c r="F3517" s="11" t="n">
        <v>0</v>
      </c>
      <c r="G3517" s="11">
        <f>E3517-F3517</f>
        <v/>
      </c>
      <c r="H3517" s="11" t="n">
        <v>0</v>
      </c>
      <c r="I3517" s="11" t="n">
        <v>0</v>
      </c>
      <c r="J3517" s="11" t="n">
        <v>0</v>
      </c>
      <c r="K3517" s="4" t="inlineStr">
        <is>
          <t>Stundensätze eingeben</t>
        </is>
      </c>
    </row>
    <row r="3518">
      <c r="A3518" s="4" t="inlineStr">
        <is>
          <t>6739 AHO-ZWI-2. BA-Neubau-Industriehalle-Hanauer-Landstraße-345-Frankfurt</t>
        </is>
      </c>
      <c r="B3518" s="4" t="inlineStr">
        <is>
          <t>● (p) LP 2 - GL + BL (beauftragt 27.07.2022)</t>
        </is>
      </c>
      <c r="C3518" s="4" t="inlineStr">
        <is>
          <t>Pauschale</t>
        </is>
      </c>
      <c r="D3518" s="10" t="inlineStr">
        <is>
          <t>⚠ Manual erforderlich</t>
        </is>
      </c>
      <c r="E3518" s="11" t="inlineStr"/>
      <c r="F3518" s="11" t="n">
        <v>0</v>
      </c>
      <c r="G3518" s="11">
        <f>E3518-F3518</f>
        <v/>
      </c>
      <c r="H3518" s="11" t="n">
        <v>0</v>
      </c>
      <c r="I3518" s="11" t="n">
        <v>0</v>
      </c>
      <c r="J3518" s="11" t="n">
        <v>0</v>
      </c>
      <c r="K3518" s="4" t="inlineStr">
        <is>
          <t>Stundensätze eingeben</t>
        </is>
      </c>
    </row>
    <row r="3519">
      <c r="A3519" s="4" t="inlineStr">
        <is>
          <t>6739 AHO-ZWI-2. BA-Neubau-Industriehalle-Hanauer-Landstraße-345-Frankfurt</t>
        </is>
      </c>
      <c r="B3519" s="4" t="inlineStr">
        <is>
          <t>● (p) LP 3 - GL (beauftragt 27.07.2022)</t>
        </is>
      </c>
      <c r="C3519" s="4" t="inlineStr">
        <is>
          <t>Pauschale</t>
        </is>
      </c>
      <c r="D3519" s="10" t="inlineStr">
        <is>
          <t>⚠ Manual erforderlich</t>
        </is>
      </c>
      <c r="E3519" s="11" t="inlineStr"/>
      <c r="F3519" s="11" t="n">
        <v>0</v>
      </c>
      <c r="G3519" s="11">
        <f>E3519-F3519</f>
        <v/>
      </c>
      <c r="H3519" s="11" t="n">
        <v>0</v>
      </c>
      <c r="I3519" s="11" t="n">
        <v>0</v>
      </c>
      <c r="J3519" s="11" t="n">
        <v>0</v>
      </c>
      <c r="K3519" s="4" t="inlineStr">
        <is>
          <t>Stundensätze eingeben</t>
        </is>
      </c>
    </row>
    <row r="3520">
      <c r="A3520" s="4" t="inlineStr">
        <is>
          <t>6739 AHO-ZWI-2. BA-Neubau-Industriehalle-Hanauer-Landstraße-345-Frankfurt</t>
        </is>
      </c>
      <c r="B3520" s="4" t="inlineStr">
        <is>
          <t>● (p) LP 4 - GL + BL (beauftragt 27.07.2022)</t>
        </is>
      </c>
      <c r="C3520" s="4" t="inlineStr">
        <is>
          <t>Pauschale</t>
        </is>
      </c>
      <c r="D3520" s="10" t="inlineStr">
        <is>
          <t>⚠ Manual erforderlich</t>
        </is>
      </c>
      <c r="E3520" s="11" t="inlineStr"/>
      <c r="F3520" s="11" t="n">
        <v>0</v>
      </c>
      <c r="G3520" s="11">
        <f>E3520-F3520</f>
        <v/>
      </c>
      <c r="H3520" s="11" t="n">
        <v>0</v>
      </c>
      <c r="I3520" s="11" t="n">
        <v>0</v>
      </c>
      <c r="J3520" s="11" t="n">
        <v>0</v>
      </c>
      <c r="K3520" s="4" t="inlineStr">
        <is>
          <t>Stundensätze eingeben</t>
        </is>
      </c>
    </row>
    <row r="3521">
      <c r="A3521" s="4" t="inlineStr">
        <is>
          <t>6739 AHO-ZWI-2. BA-Neubau-Industriehalle-Hanauer-Landstraße-345-Frankfurt</t>
        </is>
      </c>
      <c r="B3521" s="4" t="inlineStr">
        <is>
          <t>● (p) LP 5 - GL</t>
        </is>
      </c>
      <c r="C3521" s="4" t="inlineStr">
        <is>
          <t>Pauschale</t>
        </is>
      </c>
      <c r="D3521" s="10" t="inlineStr">
        <is>
          <t>⚠ Manual erforderlich</t>
        </is>
      </c>
      <c r="E3521" s="11" t="inlineStr"/>
      <c r="F3521" s="11" t="n">
        <v>0</v>
      </c>
      <c r="G3521" s="11">
        <f>E3521-F3521</f>
        <v/>
      </c>
      <c r="H3521" s="11" t="n">
        <v>0</v>
      </c>
      <c r="I3521" s="11" t="n">
        <v>0</v>
      </c>
      <c r="J3521" s="11" t="n">
        <v>0</v>
      </c>
      <c r="K3521" s="4" t="inlineStr">
        <is>
          <t>Stundensätze eingeben</t>
        </is>
      </c>
    </row>
    <row r="3522">
      <c r="A3522" s="4" t="inlineStr">
        <is>
          <t>6739 AHO-ZWI-2. BA-Neubau-Industriehalle-Hanauer-Landstraße-345-Frankfurt</t>
        </is>
      </c>
      <c r="B3522" s="4" t="inlineStr">
        <is>
          <t>● (p) LP 5 - BL</t>
        </is>
      </c>
      <c r="C3522" s="4" t="inlineStr">
        <is>
          <t>Pauschale</t>
        </is>
      </c>
      <c r="D3522" s="10" t="inlineStr">
        <is>
          <t>⚠ Manual erforderlich</t>
        </is>
      </c>
      <c r="E3522" s="11" t="inlineStr"/>
      <c r="F3522" s="11" t="n">
        <v>0</v>
      </c>
      <c r="G3522" s="11">
        <f>E3522-F3522</f>
        <v/>
      </c>
      <c r="H3522" s="11" t="n">
        <v>0</v>
      </c>
      <c r="I3522" s="11" t="n">
        <v>0</v>
      </c>
      <c r="J3522" s="11" t="n">
        <v>0</v>
      </c>
      <c r="K3522" s="4" t="inlineStr">
        <is>
          <t>Stundensätze eingeben</t>
        </is>
      </c>
    </row>
    <row r="3523">
      <c r="A3523" s="4" t="inlineStr">
        <is>
          <t>6739 AHO-ZWI-2. BA-Neubau-Industriehalle-Hanauer-Landstraße-345-Frankfurt</t>
        </is>
      </c>
      <c r="B3523" s="4" t="inlineStr">
        <is>
          <t>● (p) LP 6 BL +7  BL</t>
        </is>
      </c>
      <c r="C3523" s="4" t="inlineStr">
        <is>
          <t>Pauschale</t>
        </is>
      </c>
      <c r="D3523" s="10" t="inlineStr">
        <is>
          <t>⚠ Manual erforderlich</t>
        </is>
      </c>
      <c r="E3523" s="11" t="inlineStr"/>
      <c r="F3523" s="11" t="n">
        <v>0</v>
      </c>
      <c r="G3523" s="11">
        <f>E3523-F3523</f>
        <v/>
      </c>
      <c r="H3523" s="11" t="n">
        <v>0</v>
      </c>
      <c r="I3523" s="11" t="n">
        <v>0</v>
      </c>
      <c r="J3523" s="11" t="n">
        <v>0</v>
      </c>
      <c r="K3523" s="4" t="inlineStr">
        <is>
          <t>Stundensätze eingeben</t>
        </is>
      </c>
    </row>
    <row r="3524">
      <c r="A3524" s="4" t="inlineStr">
        <is>
          <t>6739 AHO-ZWI-2. BA-Neubau-Industriehalle-Hanauer-Landstraße-345-Frankfurt</t>
        </is>
      </c>
      <c r="B3524" s="4" t="inlineStr">
        <is>
          <t>● (p) LP 8</t>
        </is>
      </c>
      <c r="C3524" s="4" t="inlineStr">
        <is>
          <t>Pauschale</t>
        </is>
      </c>
      <c r="D3524" s="10" t="inlineStr">
        <is>
          <t>⚠ Manual erforderlich</t>
        </is>
      </c>
      <c r="E3524" s="11" t="inlineStr"/>
      <c r="F3524" s="11" t="n">
        <v>0</v>
      </c>
      <c r="G3524" s="11">
        <f>E3524-F3524</f>
        <v/>
      </c>
      <c r="H3524" s="11" t="n">
        <v>0</v>
      </c>
      <c r="I3524" s="11" t="n">
        <v>0</v>
      </c>
      <c r="J3524" s="11" t="n">
        <v>0</v>
      </c>
      <c r="K3524" s="4" t="inlineStr">
        <is>
          <t>Stundensätze eingeben</t>
        </is>
      </c>
    </row>
    <row r="3525">
      <c r="A3525" s="4" t="inlineStr">
        <is>
          <t>6739 AHO-ZWI-2. BA-Neubau-Industriehalle-Hanauer-Landstraße-345-Frankfurt</t>
        </is>
      </c>
      <c r="B3525" s="4" t="inlineStr">
        <is>
          <t>● (p) LP 9</t>
        </is>
      </c>
      <c r="C3525" s="4" t="inlineStr">
        <is>
          <t>Pauschale</t>
        </is>
      </c>
      <c r="D3525" s="10" t="inlineStr">
        <is>
          <t>⚠ Manual erforderlich</t>
        </is>
      </c>
      <c r="E3525" s="11" t="inlineStr"/>
      <c r="F3525" s="11" t="n">
        <v>0</v>
      </c>
      <c r="G3525" s="11">
        <f>E3525-F3525</f>
        <v/>
      </c>
      <c r="H3525" s="11" t="n">
        <v>0</v>
      </c>
      <c r="I3525" s="11" t="n">
        <v>0</v>
      </c>
      <c r="J3525" s="11" t="n">
        <v>0</v>
      </c>
      <c r="K3525" s="4" t="inlineStr">
        <is>
          <t>Stundensätze eingeben</t>
        </is>
      </c>
    </row>
    <row r="3526">
      <c r="A3526" s="4" t="inlineStr">
        <is>
          <t>6741 Fortschr-BSK-Porsche-Zentrum-Hilpertstraße-6-Darmstadt</t>
        </is>
      </c>
      <c r="B3526" s="4" t="inlineStr">
        <is>
          <t>● (a.N.) Fortschreibung BSK</t>
        </is>
      </c>
      <c r="C3526" s="4" t="inlineStr">
        <is>
          <t>Nachweis</t>
        </is>
      </c>
      <c r="D3526" s="10" t="inlineStr">
        <is>
          <t>⚠ Manual erforderlich</t>
        </is>
      </c>
      <c r="E3526" s="11" t="inlineStr"/>
      <c r="F3526" s="11" t="n">
        <v>0</v>
      </c>
      <c r="G3526" s="11">
        <f>E3526-F3526</f>
        <v/>
      </c>
      <c r="H3526" s="11" t="n">
        <v/>
      </c>
      <c r="I3526" s="11" t="n">
        <v/>
      </c>
      <c r="J3526" s="11" t="n">
        <v/>
      </c>
      <c r="K3526" s="4" t="inlineStr">
        <is>
          <t>Stundensätze eingeben</t>
        </is>
      </c>
    </row>
    <row r="3527">
      <c r="A3527" s="4" t="inlineStr">
        <is>
          <t>6741 Fortschr-BSK-Porsche-Zentrum-Hilpertstraße-6-Darmstadt</t>
        </is>
      </c>
      <c r="B3527" s="4" t="inlineStr">
        <is>
          <t>● (a.N.) Fortschreibung BSK-Pläne</t>
        </is>
      </c>
      <c r="C3527" s="4" t="inlineStr">
        <is>
          <t>Nachweis</t>
        </is>
      </c>
      <c r="D3527" s="10" t="inlineStr">
        <is>
          <t>⚠ Manual erforderlich</t>
        </is>
      </c>
      <c r="E3527" s="11" t="inlineStr"/>
      <c r="F3527" s="11" t="n">
        <v>0</v>
      </c>
      <c r="G3527" s="11">
        <f>E3527-F3527</f>
        <v/>
      </c>
      <c r="H3527" s="11" t="n">
        <v/>
      </c>
      <c r="I3527" s="11" t="n">
        <v/>
      </c>
      <c r="J3527" s="11" t="n">
        <v/>
      </c>
      <c r="K3527" s="4" t="inlineStr">
        <is>
          <t>Stundensätze eingeben</t>
        </is>
      </c>
    </row>
    <row r="3528">
      <c r="A3528" s="4" t="inlineStr">
        <is>
          <t>6741.01 AutohausWiest-BAB+Pläne-Porsche-Zentrum-Hilpertstraße-6-Darmstadt</t>
        </is>
      </c>
      <c r="B3528" s="4" t="inlineStr">
        <is>
          <t>● (aN) Pos. 1 Überwachung der Bauausführung</t>
        </is>
      </c>
      <c r="C3528" s="4" t="inlineStr">
        <is>
          <t>Nachweis</t>
        </is>
      </c>
      <c r="D3528" s="10" t="inlineStr">
        <is>
          <t>⚠ Manual erforderlich</t>
        </is>
      </c>
      <c r="E3528" s="11" t="inlineStr"/>
      <c r="F3528" s="11" t="n">
        <v>0</v>
      </c>
      <c r="G3528" s="11">
        <f>E3528-F3528</f>
        <v/>
      </c>
      <c r="H3528" s="11" t="n">
        <v/>
      </c>
      <c r="I3528" s="11" t="n">
        <v/>
      </c>
      <c r="J3528" s="11" t="n">
        <v/>
      </c>
      <c r="K3528" s="4" t="inlineStr">
        <is>
          <t>Stundensätze eingeben</t>
        </is>
      </c>
    </row>
    <row r="3529">
      <c r="A3529" s="4" t="inlineStr">
        <is>
          <t>6741.01 AutohausWiest-BAB+Pläne-Porsche-Zentrum-Hilpertstraße-6-Darmstadt</t>
        </is>
      </c>
      <c r="B3529" s="4" t="inlineStr">
        <is>
          <t>● (p) Pos. 2 Feuerwehrpläne</t>
        </is>
      </c>
      <c r="C3529" s="4" t="inlineStr">
        <is>
          <t>Pauschale</t>
        </is>
      </c>
      <c r="D3529" s="10" t="inlineStr">
        <is>
          <t>⚠ Manual erforderlich</t>
        </is>
      </c>
      <c r="E3529" s="11" t="inlineStr"/>
      <c r="F3529" s="11" t="n">
        <v>0</v>
      </c>
      <c r="G3529" s="11">
        <f>E3529-F3529</f>
        <v/>
      </c>
      <c r="H3529" s="11" t="n">
        <v>0</v>
      </c>
      <c r="I3529" s="11" t="n">
        <v>0</v>
      </c>
      <c r="J3529" s="11" t="n">
        <v>0</v>
      </c>
      <c r="K3529" s="4" t="inlineStr">
        <is>
          <t>Stundensätze eingeben</t>
        </is>
      </c>
    </row>
    <row r="3530">
      <c r="A3530" s="4" t="inlineStr">
        <is>
          <t>6741.01 AutohausWiest-BAB+Pläne-Porsche-Zentrum-Hilpertstraße-6-Darmstadt</t>
        </is>
      </c>
      <c r="B3530" s="4" t="inlineStr">
        <is>
          <t>● (p) Pos. 3 Flucht- und Rettungspläne</t>
        </is>
      </c>
      <c r="C3530" s="4" t="inlineStr">
        <is>
          <t>Pauschale</t>
        </is>
      </c>
      <c r="D3530" s="10" t="inlineStr">
        <is>
          <t>⚠ Manual erforderlich</t>
        </is>
      </c>
      <c r="E3530" s="11" t="inlineStr"/>
      <c r="F3530" s="11" t="n">
        <v>0</v>
      </c>
      <c r="G3530" s="11">
        <f>E3530-F3530</f>
        <v/>
      </c>
      <c r="H3530" s="11" t="n">
        <v>0</v>
      </c>
      <c r="I3530" s="11" t="n">
        <v>0</v>
      </c>
      <c r="J3530" s="11" t="n">
        <v>0</v>
      </c>
      <c r="K3530" s="4" t="inlineStr">
        <is>
          <t>Stundensätze eingeben</t>
        </is>
      </c>
    </row>
    <row r="3531">
      <c r="A3531" s="4" t="inlineStr">
        <is>
          <t>6747.01 NAT-BSK-ESTW-Ebersdorf-Neustadt-Coburg</t>
        </is>
      </c>
      <c r="B3531" s="4" t="inlineStr">
        <is>
          <t>● (p) Pos.1 Anp. BSK und -pläne für die ESTWs Coburg, Neustadt, Ebersdorf</t>
        </is>
      </c>
      <c r="C3531" s="4" t="inlineStr">
        <is>
          <t>Pauschale</t>
        </is>
      </c>
      <c r="D3531" s="10" t="inlineStr">
        <is>
          <t>⚠ Manual erforderlich</t>
        </is>
      </c>
      <c r="E3531" s="11" t="inlineStr"/>
      <c r="F3531" s="11" t="n">
        <v>0</v>
      </c>
      <c r="G3531" s="11">
        <f>E3531-F3531</f>
        <v/>
      </c>
      <c r="H3531" s="11" t="n">
        <v>0</v>
      </c>
      <c r="I3531" s="11" t="n">
        <v>0</v>
      </c>
      <c r="J3531" s="11" t="n">
        <v>0</v>
      </c>
      <c r="K3531" s="4" t="inlineStr">
        <is>
          <t>Stundensätze eingeben</t>
        </is>
      </c>
    </row>
    <row r="3532">
      <c r="A3532" s="4" t="inlineStr">
        <is>
          <t>6747.01 NAT-BSK-ESTW-Ebersdorf-Neustadt-Coburg</t>
        </is>
      </c>
      <c r="B3532" s="4" t="inlineStr">
        <is>
          <t>● (aN) Pos.2  Anpassungen und Beratungsleistung über Pos 1 hinaus</t>
        </is>
      </c>
      <c r="C3532" s="4" t="inlineStr">
        <is>
          <t>Nachweis</t>
        </is>
      </c>
      <c r="D3532" s="10" t="inlineStr">
        <is>
          <t>⚠ Manual erforderlich</t>
        </is>
      </c>
      <c r="E3532" s="11" t="inlineStr"/>
      <c r="F3532" s="11" t="n">
        <v>0</v>
      </c>
      <c r="G3532" s="11">
        <f>E3532-F3532</f>
        <v/>
      </c>
      <c r="H3532" s="11" t="n">
        <v/>
      </c>
      <c r="I3532" s="11" t="n">
        <v/>
      </c>
      <c r="J3532" s="11" t="n">
        <v/>
      </c>
      <c r="K3532" s="4" t="inlineStr">
        <is>
          <t>Stundensätze eingeben</t>
        </is>
      </c>
    </row>
    <row r="3533">
      <c r="A3533" s="4" t="inlineStr">
        <is>
          <t>6747.04 BSK-ESTW-Ebersdorf-Neustadt-Coburg-Löschwassernachweis-Fortschreibung</t>
        </is>
      </c>
      <c r="B3533" s="4" t="inlineStr">
        <is>
          <t>● (p) Pos.1 Fortschr. der 3 BSK für Coburg, Ebersdorf + Neustadt</t>
        </is>
      </c>
      <c r="C3533" s="4" t="inlineStr">
        <is>
          <t>Pauschale</t>
        </is>
      </c>
      <c r="D3533" s="10" t="inlineStr">
        <is>
          <t>⚠ Manual erforderlich</t>
        </is>
      </c>
      <c r="E3533" s="11" t="inlineStr"/>
      <c r="F3533" s="11" t="n">
        <v>0</v>
      </c>
      <c r="G3533" s="11">
        <f>E3533-F3533</f>
        <v/>
      </c>
      <c r="H3533" s="11" t="n">
        <v>0</v>
      </c>
      <c r="I3533" s="11" t="n">
        <v>0</v>
      </c>
      <c r="J3533" s="11" t="n">
        <v>0</v>
      </c>
      <c r="K3533" s="4" t="inlineStr">
        <is>
          <t>Stundensätze eingeben</t>
        </is>
      </c>
    </row>
    <row r="3534">
      <c r="A3534" s="4" t="inlineStr">
        <is>
          <t>6748 LBB-AHO-NB-Schießanlage-ISAR-Baumholder</t>
        </is>
      </c>
      <c r="B3534" s="4" t="inlineStr">
        <is>
          <t>● (p.) LPH1 GL</t>
        </is>
      </c>
      <c r="C3534" s="9" t="inlineStr">
        <is>
          <t>Unbekannt</t>
        </is>
      </c>
      <c r="D3534" s="10" t="inlineStr">
        <is>
          <t>⚠ Manual erforderlich</t>
        </is>
      </c>
      <c r="E3534" s="11" t="inlineStr"/>
      <c r="F3534" s="11" t="n">
        <v>0</v>
      </c>
      <c r="G3534" s="11">
        <f>E3534-F3534</f>
        <v/>
      </c>
      <c r="H3534" s="11" t="n">
        <v/>
      </c>
      <c r="I3534" s="11" t="n">
        <v/>
      </c>
      <c r="J3534" s="11" t="n">
        <v/>
      </c>
      <c r="K3534" s="4" t="inlineStr">
        <is>
          <t>Abrechnungsart wählen; Stundensätze eingeben</t>
        </is>
      </c>
    </row>
    <row r="3535">
      <c r="A3535" s="4" t="inlineStr">
        <is>
          <t>6748 LBB-AHO-NB-Schießanlage-ISAR-Baumholder</t>
        </is>
      </c>
      <c r="B3535" s="4" t="inlineStr">
        <is>
          <t>● (p.) LPH1 BL</t>
        </is>
      </c>
      <c r="C3535" s="9" t="inlineStr">
        <is>
          <t>Unbekannt</t>
        </is>
      </c>
      <c r="D3535" s="10" t="inlineStr">
        <is>
          <t>⚠ Manual erforderlich</t>
        </is>
      </c>
      <c r="E3535" s="11" t="inlineStr"/>
      <c r="F3535" s="11" t="n">
        <v>0</v>
      </c>
      <c r="G3535" s="11">
        <f>E3535-F3535</f>
        <v/>
      </c>
      <c r="H3535" s="11" t="n">
        <v/>
      </c>
      <c r="I3535" s="11" t="n">
        <v/>
      </c>
      <c r="J3535" s="11" t="n">
        <v/>
      </c>
      <c r="K3535" s="4" t="inlineStr">
        <is>
          <t>Abrechnungsart wählen; Stundensätze eingeben</t>
        </is>
      </c>
    </row>
    <row r="3536">
      <c r="A3536" s="4" t="inlineStr">
        <is>
          <t>6748 LBB-AHO-NB-Schießanlage-ISAR-Baumholder</t>
        </is>
      </c>
      <c r="B3536" s="4" t="inlineStr">
        <is>
          <t>● (p.) LPH 2 GL</t>
        </is>
      </c>
      <c r="C3536" s="9" t="inlineStr">
        <is>
          <t>Unbekannt</t>
        </is>
      </c>
      <c r="D3536" s="10" t="inlineStr">
        <is>
          <t>⚠ Manual erforderlich</t>
        </is>
      </c>
      <c r="E3536" s="11" t="inlineStr"/>
      <c r="F3536" s="11" t="n">
        <v>0</v>
      </c>
      <c r="G3536" s="11">
        <f>E3536-F3536</f>
        <v/>
      </c>
      <c r="H3536" s="11" t="n">
        <v/>
      </c>
      <c r="I3536" s="11" t="n">
        <v/>
      </c>
      <c r="J3536" s="11" t="n">
        <v/>
      </c>
      <c r="K3536" s="4" t="inlineStr">
        <is>
          <t>Abrechnungsart wählen; Stundensätze eingeben</t>
        </is>
      </c>
    </row>
    <row r="3537">
      <c r="A3537" s="4" t="inlineStr">
        <is>
          <t>6748 LBB-AHO-NB-Schießanlage-ISAR-Baumholder</t>
        </is>
      </c>
      <c r="B3537" s="4" t="inlineStr">
        <is>
          <t>● (p.) LPH 2 BL</t>
        </is>
      </c>
      <c r="C3537" s="9" t="inlineStr">
        <is>
          <t>Unbekannt</t>
        </is>
      </c>
      <c r="D3537" s="10" t="inlineStr">
        <is>
          <t>⚠ Manual erforderlich</t>
        </is>
      </c>
      <c r="E3537" s="11" t="inlineStr"/>
      <c r="F3537" s="11" t="n">
        <v>0</v>
      </c>
      <c r="G3537" s="11">
        <f>E3537-F3537</f>
        <v/>
      </c>
      <c r="H3537" s="11" t="n">
        <v/>
      </c>
      <c r="I3537" s="11" t="n">
        <v/>
      </c>
      <c r="J3537" s="11" t="n">
        <v/>
      </c>
      <c r="K3537" s="4" t="inlineStr">
        <is>
          <t>Abrechnungsart wählen; Stundensätze eingeben</t>
        </is>
      </c>
    </row>
    <row r="3538">
      <c r="A3538" s="4" t="inlineStr">
        <is>
          <t>6748 LBB-AHO-NB-Schießanlage-ISAR-Baumholder</t>
        </is>
      </c>
      <c r="B3538" s="4" t="inlineStr">
        <is>
          <t>● (p) LP 3 GL</t>
        </is>
      </c>
      <c r="C3538" s="4" t="inlineStr">
        <is>
          <t>Pauschale</t>
        </is>
      </c>
      <c r="D3538" s="10" t="inlineStr">
        <is>
          <t>⚠ Manual erforderlich</t>
        </is>
      </c>
      <c r="E3538" s="11" t="inlineStr"/>
      <c r="F3538" s="11" t="n">
        <v>0</v>
      </c>
      <c r="G3538" s="11">
        <f>E3538-F3538</f>
        <v/>
      </c>
      <c r="H3538" s="11" t="n">
        <v>0</v>
      </c>
      <c r="I3538" s="11" t="n">
        <v>0</v>
      </c>
      <c r="J3538" s="11" t="n">
        <v>0</v>
      </c>
      <c r="K3538" s="4" t="inlineStr">
        <is>
          <t>Stundensätze eingeben</t>
        </is>
      </c>
    </row>
    <row r="3539">
      <c r="A3539" s="4" t="inlineStr">
        <is>
          <t>6748 LBB-AHO-NB-Schießanlage-ISAR-Baumholder</t>
        </is>
      </c>
      <c r="B3539" s="4" t="inlineStr">
        <is>
          <t>● (p) LP 3 BL</t>
        </is>
      </c>
      <c r="C3539" s="4" t="inlineStr">
        <is>
          <t>Pauschale</t>
        </is>
      </c>
      <c r="D3539" s="10" t="inlineStr">
        <is>
          <t>⚠ Manual erforderlich</t>
        </is>
      </c>
      <c r="E3539" s="11" t="inlineStr"/>
      <c r="F3539" s="11" t="n">
        <v>0</v>
      </c>
      <c r="G3539" s="11">
        <f>E3539-F3539</f>
        <v/>
      </c>
      <c r="H3539" s="11" t="n">
        <v>0</v>
      </c>
      <c r="I3539" s="11" t="n">
        <v>0</v>
      </c>
      <c r="J3539" s="11" t="n">
        <v>0</v>
      </c>
      <c r="K3539" s="4" t="inlineStr">
        <is>
          <t>Stundensätze eingeben</t>
        </is>
      </c>
    </row>
    <row r="3540">
      <c r="A3540" s="4" t="inlineStr">
        <is>
          <t>6748 LBB-AHO-NB-Schießanlage-ISAR-Baumholder</t>
        </is>
      </c>
      <c r="B3540" s="4" t="inlineStr">
        <is>
          <t>● (p) LP 4 GL</t>
        </is>
      </c>
      <c r="C3540" s="4" t="inlineStr">
        <is>
          <t>Pauschale</t>
        </is>
      </c>
      <c r="D3540" s="10" t="inlineStr">
        <is>
          <t>⚠ Manual erforderlich</t>
        </is>
      </c>
      <c r="E3540" s="11" t="inlineStr"/>
      <c r="F3540" s="11" t="n">
        <v>0</v>
      </c>
      <c r="G3540" s="11">
        <f>E3540-F3540</f>
        <v/>
      </c>
      <c r="H3540" s="11" t="n">
        <v>0</v>
      </c>
      <c r="I3540" s="11" t="n">
        <v>0</v>
      </c>
      <c r="J3540" s="11" t="n">
        <v>0</v>
      </c>
      <c r="K3540" s="4" t="inlineStr">
        <is>
          <t>Stundensätze eingeben</t>
        </is>
      </c>
    </row>
    <row r="3541">
      <c r="A3541" s="4" t="inlineStr">
        <is>
          <t>6748 LBB-AHO-NB-Schießanlage-ISAR-Baumholder</t>
        </is>
      </c>
      <c r="B3541" s="4" t="inlineStr">
        <is>
          <t>● (p) LP 4 BL</t>
        </is>
      </c>
      <c r="C3541" s="4" t="inlineStr">
        <is>
          <t>Pauschale</t>
        </is>
      </c>
      <c r="D3541" s="10" t="inlineStr">
        <is>
          <t>⚠ Manual erforderlich</t>
        </is>
      </c>
      <c r="E3541" s="11" t="inlineStr"/>
      <c r="F3541" s="11" t="n">
        <v>0</v>
      </c>
      <c r="G3541" s="11">
        <f>E3541-F3541</f>
        <v/>
      </c>
      <c r="H3541" s="11" t="n">
        <v>0</v>
      </c>
      <c r="I3541" s="11" t="n">
        <v>0</v>
      </c>
      <c r="J3541" s="11" t="n">
        <v>0</v>
      </c>
      <c r="K3541" s="4" t="inlineStr">
        <is>
          <t>Stundensätze eingeben</t>
        </is>
      </c>
    </row>
    <row r="3542">
      <c r="A3542" s="4" t="inlineStr">
        <is>
          <t>6748 LBB-AHO-NB-Schießanlage-ISAR-Baumholder</t>
        </is>
      </c>
      <c r="B3542" s="4" t="inlineStr">
        <is>
          <t>● (p) LP 5</t>
        </is>
      </c>
      <c r="C3542" s="4" t="inlineStr">
        <is>
          <t>Pauschale</t>
        </is>
      </c>
      <c r="D3542" s="10" t="inlineStr">
        <is>
          <t>⚠ Manual erforderlich</t>
        </is>
      </c>
      <c r="E3542" s="11" t="inlineStr"/>
      <c r="F3542" s="11" t="n">
        <v>0</v>
      </c>
      <c r="G3542" s="11">
        <f>E3542-F3542</f>
        <v/>
      </c>
      <c r="H3542" s="11" t="n">
        <v>0</v>
      </c>
      <c r="I3542" s="11" t="n">
        <v>0</v>
      </c>
      <c r="J3542" s="11" t="n">
        <v>0</v>
      </c>
      <c r="K3542" s="4" t="inlineStr">
        <is>
          <t>Stundensätze eingeben</t>
        </is>
      </c>
    </row>
    <row r="3543">
      <c r="A3543" s="4" t="inlineStr">
        <is>
          <t>6749.02 GebW5-B30-LP5-8-VdS-Mängelbeseitigung-Porscheplatz1-Stuttgart</t>
        </is>
      </c>
      <c r="B3543" s="4" t="inlineStr">
        <is>
          <t>●  (p) LP 5</t>
        </is>
      </c>
      <c r="C3543" s="4" t="inlineStr">
        <is>
          <t>Pauschale</t>
        </is>
      </c>
      <c r="D3543" s="10" t="inlineStr">
        <is>
          <t>⚠ Manual erforderlich</t>
        </is>
      </c>
      <c r="E3543" s="11" t="inlineStr"/>
      <c r="F3543" s="11" t="n">
        <v>0</v>
      </c>
      <c r="G3543" s="11">
        <f>E3543-F3543</f>
        <v/>
      </c>
      <c r="H3543" s="11" t="n">
        <v>0</v>
      </c>
      <c r="I3543" s="11" t="n">
        <v>0</v>
      </c>
      <c r="J3543" s="11" t="n">
        <v>0</v>
      </c>
      <c r="K3543" s="4" t="inlineStr">
        <is>
          <t>Stundensätze eingeben</t>
        </is>
      </c>
    </row>
    <row r="3544">
      <c r="A3544" s="4" t="inlineStr">
        <is>
          <t>6749.02 GebW5-B30-LP5-8-VdS-Mängelbeseitigung-Porscheplatz1-Stuttgart</t>
        </is>
      </c>
      <c r="B3544" s="4" t="inlineStr">
        <is>
          <t>● (p) LP 6</t>
        </is>
      </c>
      <c r="C3544" s="4" t="inlineStr">
        <is>
          <t>Pauschale</t>
        </is>
      </c>
      <c r="D3544" s="10" t="inlineStr">
        <is>
          <t>⚠ Manual erforderlich</t>
        </is>
      </c>
      <c r="E3544" s="11" t="inlineStr"/>
      <c r="F3544" s="11" t="n">
        <v>0</v>
      </c>
      <c r="G3544" s="11">
        <f>E3544-F3544</f>
        <v/>
      </c>
      <c r="H3544" s="11" t="n">
        <v>0</v>
      </c>
      <c r="I3544" s="11" t="n">
        <v>0</v>
      </c>
      <c r="J3544" s="11" t="n">
        <v>0</v>
      </c>
      <c r="K3544" s="4" t="inlineStr">
        <is>
          <t>Stundensätze eingeben</t>
        </is>
      </c>
    </row>
    <row r="3545">
      <c r="A3545" s="4" t="inlineStr">
        <is>
          <t>6749.02 GebW5-B30-LP5-8-VdS-Mängelbeseitigung-Porscheplatz1-Stuttgart</t>
        </is>
      </c>
      <c r="B3545" s="4" t="inlineStr">
        <is>
          <t>● (p) LP 7</t>
        </is>
      </c>
      <c r="C3545" s="4" t="inlineStr">
        <is>
          <t>Pauschale</t>
        </is>
      </c>
      <c r="D3545" s="10" t="inlineStr">
        <is>
          <t>⚠ Manual erforderlich</t>
        </is>
      </c>
      <c r="E3545" s="11" t="inlineStr"/>
      <c r="F3545" s="11" t="n">
        <v>0</v>
      </c>
      <c r="G3545" s="11">
        <f>E3545-F3545</f>
        <v/>
      </c>
      <c r="H3545" s="11" t="n">
        <v>0</v>
      </c>
      <c r="I3545" s="11" t="n">
        <v>0</v>
      </c>
      <c r="J3545" s="11" t="n">
        <v>0</v>
      </c>
      <c r="K3545" s="4" t="inlineStr">
        <is>
          <t>Stundensätze eingeben</t>
        </is>
      </c>
    </row>
    <row r="3546">
      <c r="A3546" s="4" t="inlineStr">
        <is>
          <t>6749.02 GebW5-B30-LP5-8-VdS-Mängelbeseitigung-Porscheplatz1-Stuttgart</t>
        </is>
      </c>
      <c r="B3546" s="4" t="inlineStr">
        <is>
          <t>● (aN) LP 8</t>
        </is>
      </c>
      <c r="C3546" s="4" t="inlineStr">
        <is>
          <t>Nachweis</t>
        </is>
      </c>
      <c r="D3546" s="10" t="inlineStr">
        <is>
          <t>⚠ Manual erforderlich</t>
        </is>
      </c>
      <c r="E3546" s="11" t="inlineStr"/>
      <c r="F3546" s="11" t="n">
        <v>0</v>
      </c>
      <c r="G3546" s="11">
        <f>E3546-F3546</f>
        <v/>
      </c>
      <c r="H3546" s="11" t="n">
        <v/>
      </c>
      <c r="I3546" s="11" t="n">
        <v/>
      </c>
      <c r="J3546" s="11" t="n">
        <v/>
      </c>
      <c r="K3546" s="4" t="inlineStr">
        <is>
          <t>Stundensätze eingeben</t>
        </is>
      </c>
    </row>
    <row r="3547">
      <c r="A3547" s="4" t="inlineStr">
        <is>
          <t>6749.10 Porsche-FLA-Funktionsprüfstand-W4-B53-Porschplatz1-Stuttgart</t>
        </is>
      </c>
      <c r="B3547" s="4" t="inlineStr">
        <is>
          <t>● (aN) Pos. 1 Planung Sprinklerschutz FP</t>
        </is>
      </c>
      <c r="C3547" s="4" t="inlineStr">
        <is>
          <t>Nachweis</t>
        </is>
      </c>
      <c r="D3547" s="10" t="inlineStr">
        <is>
          <t>⚠ Manual erforderlich</t>
        </is>
      </c>
      <c r="E3547" s="11" t="inlineStr"/>
      <c r="F3547" s="11" t="n">
        <v>0</v>
      </c>
      <c r="G3547" s="11">
        <f>E3547-F3547</f>
        <v/>
      </c>
      <c r="H3547" s="11" t="n">
        <v/>
      </c>
      <c r="I3547" s="11" t="n">
        <v/>
      </c>
      <c r="J3547" s="11" t="n">
        <v/>
      </c>
      <c r="K3547" s="4" t="inlineStr">
        <is>
          <t>Stundensätze eingeben</t>
        </is>
      </c>
    </row>
    <row r="3548">
      <c r="A3548" s="4" t="inlineStr">
        <is>
          <t>6749.10 Porsche-FLA-Funktionsprüfstand-W4-B53-Porschplatz1-Stuttgart</t>
        </is>
      </c>
      <c r="B3548" s="4" t="inlineStr">
        <is>
          <t>● (aN) Pos. 2 Planung Sprinklerschutz CAD</t>
        </is>
      </c>
      <c r="C3548" s="4" t="inlineStr">
        <is>
          <t>Nachweis</t>
        </is>
      </c>
      <c r="D3548" s="10" t="inlineStr">
        <is>
          <t>⚠ Manual erforderlich</t>
        </is>
      </c>
      <c r="E3548" s="11" t="inlineStr"/>
      <c r="F3548" s="11" t="n">
        <v>0</v>
      </c>
      <c r="G3548" s="11">
        <f>E3548-F3548</f>
        <v/>
      </c>
      <c r="H3548" s="11" t="n">
        <v/>
      </c>
      <c r="I3548" s="11" t="n">
        <v/>
      </c>
      <c r="J3548" s="11" t="n">
        <v/>
      </c>
      <c r="K3548" s="4" t="inlineStr">
        <is>
          <t>Stundensätze eingeben</t>
        </is>
      </c>
    </row>
    <row r="3549">
      <c r="A3549" s="4" t="inlineStr">
        <is>
          <t>6749.10 Porsche-FLA-Funktionsprüfstand-W4-B53-Porschplatz1-Stuttgart</t>
        </is>
      </c>
      <c r="B3549" s="4" t="inlineStr">
        <is>
          <t>● (p) Pos. 3 Auftragsbearbeitung</t>
        </is>
      </c>
      <c r="C3549" s="4" t="inlineStr">
        <is>
          <t>Pauschale</t>
        </is>
      </c>
      <c r="D3549" s="10" t="inlineStr">
        <is>
          <t>⚠ Manual erforderlich</t>
        </is>
      </c>
      <c r="E3549" s="11" t="inlineStr"/>
      <c r="F3549" s="11" t="n">
        <v>0</v>
      </c>
      <c r="G3549" s="11">
        <f>E3549-F3549</f>
        <v/>
      </c>
      <c r="H3549" s="11" t="n">
        <v>0</v>
      </c>
      <c r="I3549" s="11" t="n">
        <v>0</v>
      </c>
      <c r="J3549" s="11" t="n">
        <v>0</v>
      </c>
      <c r="K3549" s="4" t="inlineStr">
        <is>
          <t>Stundensätze eingeben</t>
        </is>
      </c>
    </row>
    <row r="3550">
      <c r="A3550" s="4" t="inlineStr">
        <is>
          <t>6749.11 Porsche-FLA-Bypass-Ringleitung-DN300-Porschplatz1-Stuttgart</t>
        </is>
      </c>
      <c r="B3550" s="4" t="inlineStr">
        <is>
          <t>● (p) Pos. 1 Leistungsphase 1 (Grundlagenermittlung)</t>
        </is>
      </c>
      <c r="C3550" s="4" t="inlineStr">
        <is>
          <t>Pauschale</t>
        </is>
      </c>
      <c r="D3550" s="10" t="inlineStr">
        <is>
          <t>⚠ Manual erforderlich</t>
        </is>
      </c>
      <c r="E3550" s="11" t="inlineStr"/>
      <c r="F3550" s="11" t="n">
        <v>0</v>
      </c>
      <c r="G3550" s="11">
        <f>E3550-F3550</f>
        <v/>
      </c>
      <c r="H3550" s="11" t="n">
        <v>0</v>
      </c>
      <c r="I3550" s="11" t="n">
        <v>0</v>
      </c>
      <c r="J3550" s="11" t="n">
        <v>0</v>
      </c>
      <c r="K3550" s="4" t="inlineStr">
        <is>
          <t>Stundensätze eingeben</t>
        </is>
      </c>
    </row>
    <row r="3551">
      <c r="A3551" s="4" t="inlineStr">
        <is>
          <t>6749.11 Porsche-FLA-Bypass-Ringleitung-DN300-Porschplatz1-Stuttgart</t>
        </is>
      </c>
      <c r="B3551" s="4" t="inlineStr">
        <is>
          <t>● (p) Pos. 2 Leistungsphase 2 (Vorplanung)</t>
        </is>
      </c>
      <c r="C3551" s="4" t="inlineStr">
        <is>
          <t>Pauschale</t>
        </is>
      </c>
      <c r="D3551" s="10" t="inlineStr">
        <is>
          <t>⚠ Manual erforderlich</t>
        </is>
      </c>
      <c r="E3551" s="11" t="inlineStr"/>
      <c r="F3551" s="11" t="n">
        <v>0</v>
      </c>
      <c r="G3551" s="11">
        <f>E3551-F3551</f>
        <v/>
      </c>
      <c r="H3551" s="11" t="n">
        <v>0</v>
      </c>
      <c r="I3551" s="11" t="n">
        <v>0</v>
      </c>
      <c r="J3551" s="11" t="n">
        <v>0</v>
      </c>
      <c r="K3551" s="4" t="inlineStr">
        <is>
          <t>Stundensätze eingeben</t>
        </is>
      </c>
    </row>
    <row r="3552">
      <c r="A3552" s="4" t="inlineStr">
        <is>
          <t>6749.11 Porsche-FLA-Bypass-Ringleitung-DN300-Porschplatz1-Stuttgart</t>
        </is>
      </c>
      <c r="B3552" s="4" t="inlineStr">
        <is>
          <t>● (p) Pos. 3 Leistungsphase 3 (Entwurfsplanung)</t>
        </is>
      </c>
      <c r="C3552" s="4" t="inlineStr">
        <is>
          <t>Pauschale</t>
        </is>
      </c>
      <c r="D3552" s="10" t="inlineStr">
        <is>
          <t>⚠ Manual erforderlich</t>
        </is>
      </c>
      <c r="E3552" s="11" t="inlineStr"/>
      <c r="F3552" s="11" t="n">
        <v>0</v>
      </c>
      <c r="G3552" s="11">
        <f>E3552-F3552</f>
        <v/>
      </c>
      <c r="H3552" s="11" t="n">
        <v>0</v>
      </c>
      <c r="I3552" s="11" t="n">
        <v>0</v>
      </c>
      <c r="J3552" s="11" t="n">
        <v>0</v>
      </c>
      <c r="K3552" s="4" t="inlineStr">
        <is>
          <t>Stundensätze eingeben</t>
        </is>
      </c>
    </row>
    <row r="3553">
      <c r="A3553" s="4" t="inlineStr">
        <is>
          <t>6749.11 Porsche-FLA-Bypass-Ringleitung-DN300-Porschplatz1-Stuttgart</t>
        </is>
      </c>
      <c r="B3553" s="4" t="inlineStr">
        <is>
          <t>● (p) Pos. 4 Leistungsphase 4 (Genehmigungsplanung-Abstimmung VdS)</t>
        </is>
      </c>
      <c r="C3553" s="4" t="inlineStr">
        <is>
          <t>Pauschale</t>
        </is>
      </c>
      <c r="D3553" s="10" t="inlineStr">
        <is>
          <t>⚠ Manual erforderlich</t>
        </is>
      </c>
      <c r="E3553" s="11" t="inlineStr"/>
      <c r="F3553" s="11" t="n">
        <v>0</v>
      </c>
      <c r="G3553" s="11">
        <f>E3553-F3553</f>
        <v/>
      </c>
      <c r="H3553" s="11" t="n">
        <v>0</v>
      </c>
      <c r="I3553" s="11" t="n">
        <v>0</v>
      </c>
      <c r="J3553" s="11" t="n">
        <v>0</v>
      </c>
      <c r="K3553" s="4" t="inlineStr">
        <is>
          <t>Stundensätze eingeben</t>
        </is>
      </c>
    </row>
    <row r="3554">
      <c r="A3554" s="4" t="inlineStr">
        <is>
          <t>6749.11 Porsche-FLA-Bypass-Ringleitung-DN300-Porschplatz1-Stuttgart</t>
        </is>
      </c>
      <c r="B3554" s="4" t="inlineStr">
        <is>
          <t>● (p) Pos. 5 Leistungsphase 5 (Ausführungsplanung)</t>
        </is>
      </c>
      <c r="C3554" s="4" t="inlineStr">
        <is>
          <t>Pauschale</t>
        </is>
      </c>
      <c r="D3554" s="10" t="inlineStr">
        <is>
          <t>⚠ Manual erforderlich</t>
        </is>
      </c>
      <c r="E3554" s="11" t="inlineStr"/>
      <c r="F3554" s="11" t="n">
        <v>0</v>
      </c>
      <c r="G3554" s="11">
        <f>E3554-F3554</f>
        <v/>
      </c>
      <c r="H3554" s="11" t="n">
        <v>0</v>
      </c>
      <c r="I3554" s="11" t="n">
        <v>0</v>
      </c>
      <c r="J3554" s="11" t="n">
        <v>0</v>
      </c>
      <c r="K3554" s="4" t="inlineStr">
        <is>
          <t>Stundensätze eingeben</t>
        </is>
      </c>
    </row>
    <row r="3555">
      <c r="A3555" s="4" t="inlineStr">
        <is>
          <t>6749.11 Porsche-FLA-Bypass-Ringleitung-DN300-Porschplatz1-Stuttgart</t>
        </is>
      </c>
      <c r="B3555" s="4" t="inlineStr">
        <is>
          <t>● (p) Pos. 6 Leistungsphase 6 (Vorbereiten der Vergabe)</t>
        </is>
      </c>
      <c r="C3555" s="4" t="inlineStr">
        <is>
          <t>Pauschale</t>
        </is>
      </c>
      <c r="D3555" s="10" t="inlineStr">
        <is>
          <t>⚠ Manual erforderlich</t>
        </is>
      </c>
      <c r="E3555" s="11" t="inlineStr"/>
      <c r="F3555" s="11" t="n">
        <v>0</v>
      </c>
      <c r="G3555" s="11">
        <f>E3555-F3555</f>
        <v/>
      </c>
      <c r="H3555" s="11" t="n">
        <v>0</v>
      </c>
      <c r="I3555" s="11" t="n">
        <v>0</v>
      </c>
      <c r="J3555" s="11" t="n">
        <v>0</v>
      </c>
      <c r="K3555" s="4" t="inlineStr">
        <is>
          <t>Stundensätze eingeben</t>
        </is>
      </c>
    </row>
    <row r="3556">
      <c r="A3556" s="4" t="inlineStr">
        <is>
          <t>6749.11 Porsche-FLA-Bypass-Ringleitung-DN300-Porschplatz1-Stuttgart</t>
        </is>
      </c>
      <c r="B3556" s="4" t="inlineStr">
        <is>
          <t>● (p) Pos. 7 Leistungsphase 7 (Mitwirken bei der Vergabe)</t>
        </is>
      </c>
      <c r="C3556" s="4" t="inlineStr">
        <is>
          <t>Pauschale</t>
        </is>
      </c>
      <c r="D3556" s="10" t="inlineStr">
        <is>
          <t>⚠ Manual erforderlich</t>
        </is>
      </c>
      <c r="E3556" s="11" t="inlineStr"/>
      <c r="F3556" s="11" t="n">
        <v>0</v>
      </c>
      <c r="G3556" s="11">
        <f>E3556-F3556</f>
        <v/>
      </c>
      <c r="H3556" s="11" t="n">
        <v>0</v>
      </c>
      <c r="I3556" s="11" t="n">
        <v>0</v>
      </c>
      <c r="J3556" s="11" t="n">
        <v>0</v>
      </c>
      <c r="K3556" s="4" t="inlineStr">
        <is>
          <t>Stundensätze eingeben</t>
        </is>
      </c>
    </row>
    <row r="3557">
      <c r="A3557" s="4" t="inlineStr">
        <is>
          <t>6749.11 Porsche-FLA-Bypass-Ringleitung-DN300-Porschplatz1-Stuttgart</t>
        </is>
      </c>
      <c r="B3557" s="4" t="inlineStr">
        <is>
          <t>● (p) ADM</t>
        </is>
      </c>
      <c r="C3557" s="4" t="inlineStr">
        <is>
          <t>Pauschale</t>
        </is>
      </c>
      <c r="D3557" s="10" t="inlineStr">
        <is>
          <t>⚠ Manual erforderlich</t>
        </is>
      </c>
      <c r="E3557" s="11" t="inlineStr"/>
      <c r="F3557" s="11" t="n">
        <v>0</v>
      </c>
      <c r="G3557" s="11">
        <f>E3557-F3557</f>
        <v/>
      </c>
      <c r="H3557" s="11" t="n">
        <v>0</v>
      </c>
      <c r="I3557" s="11" t="n">
        <v>0</v>
      </c>
      <c r="J3557" s="11" t="n">
        <v>0</v>
      </c>
      <c r="K3557" s="4" t="inlineStr">
        <is>
          <t>Stundensätze eingeben</t>
        </is>
      </c>
    </row>
    <row r="3558">
      <c r="A3558" s="4" t="inlineStr">
        <is>
          <t>6749.12 Porsche-PLA-Aufnahme-AS-Built-Abgleich-Dokumentation-W1-B13-Porscheplatz1-Stuttgart</t>
        </is>
      </c>
      <c r="B3558" s="4" t="inlineStr">
        <is>
          <t>● (p) Pos. 1 Gruppe 41, 42, + 43 Bau 13 Karosseriespeicher / EG - OG4 Achsen A-E/19-22</t>
        </is>
      </c>
      <c r="C3558" s="4" t="inlineStr">
        <is>
          <t>Pauschale</t>
        </is>
      </c>
      <c r="D3558" s="10" t="inlineStr">
        <is>
          <t>⚠ Manual erforderlich</t>
        </is>
      </c>
      <c r="E3558" s="11" t="inlineStr"/>
      <c r="F3558" s="11" t="n">
        <v>0</v>
      </c>
      <c r="G3558" s="11">
        <f>E3558-F3558</f>
        <v/>
      </c>
      <c r="H3558" s="11" t="n">
        <v>0</v>
      </c>
      <c r="I3558" s="11" t="n">
        <v>0</v>
      </c>
      <c r="J3558" s="11" t="n">
        <v>0</v>
      </c>
      <c r="K3558" s="4" t="inlineStr">
        <is>
          <t>Stundensätze eingeben</t>
        </is>
      </c>
    </row>
    <row r="3559">
      <c r="A3559" s="4" t="inlineStr">
        <is>
          <t>6749.12 Porsche-PLA-Aufnahme-AS-Built-Abgleich-Dokumentation-W1-B13-Porscheplatz1-Stuttgart</t>
        </is>
      </c>
      <c r="B3559" s="4" t="inlineStr">
        <is>
          <t>● (p) Pos. 2 Tagessatz Fachplaner + CAD einschl. Wochenendzuschl.</t>
        </is>
      </c>
      <c r="C3559" s="4" t="inlineStr">
        <is>
          <t>Pauschale</t>
        </is>
      </c>
      <c r="D3559" s="10" t="inlineStr">
        <is>
          <t>⚠ Manual erforderlich</t>
        </is>
      </c>
      <c r="E3559" s="11" t="inlineStr"/>
      <c r="F3559" s="11" t="n">
        <v>0</v>
      </c>
      <c r="G3559" s="11">
        <f>E3559-F3559</f>
        <v/>
      </c>
      <c r="H3559" s="11" t="n">
        <v>0</v>
      </c>
      <c r="I3559" s="11" t="n">
        <v>0</v>
      </c>
      <c r="J3559" s="11" t="n">
        <v>0</v>
      </c>
      <c r="K3559" s="4" t="inlineStr">
        <is>
          <t>Stundensätze eingeben</t>
        </is>
      </c>
    </row>
    <row r="3560">
      <c r="A3560" s="4" t="inlineStr">
        <is>
          <t>6749.12 Porsche-PLA-Aufnahme-AS-Built-Abgleich-Dokumentation-W1-B13-Porscheplatz1-Stuttgart</t>
        </is>
      </c>
      <c r="B3560" s="4" t="inlineStr">
        <is>
          <t>● (p) Pos. 2 Auftragsbearbeitung</t>
        </is>
      </c>
      <c r="C3560" s="4" t="inlineStr">
        <is>
          <t>Pauschale</t>
        </is>
      </c>
      <c r="D3560" s="10" t="inlineStr">
        <is>
          <t>⚠ Manual erforderlich</t>
        </is>
      </c>
      <c r="E3560" s="11" t="inlineStr"/>
      <c r="F3560" s="11" t="n">
        <v>0</v>
      </c>
      <c r="G3560" s="11">
        <f>E3560-F3560</f>
        <v/>
      </c>
      <c r="H3560" s="11" t="n">
        <v>0</v>
      </c>
      <c r="I3560" s="11" t="n">
        <v>0</v>
      </c>
      <c r="J3560" s="11" t="n">
        <v>0</v>
      </c>
      <c r="K3560" s="4" t="inlineStr">
        <is>
          <t>Stundensätze eingeben</t>
        </is>
      </c>
    </row>
    <row r="3561">
      <c r="A3561" s="4" t="inlineStr">
        <is>
          <t>6749.13 Porsche-PLA-Hydraulikberechnung-Porscheplatz1-Stuttgart</t>
        </is>
      </c>
      <c r="B3561" s="4" t="inlineStr">
        <is>
          <t>● (p) Pos. 1 Gebäude W4, B51+52 - Gruppen 5, 7 8</t>
        </is>
      </c>
      <c r="C3561" s="4" t="inlineStr">
        <is>
          <t>Pauschale</t>
        </is>
      </c>
      <c r="D3561" s="10" t="inlineStr">
        <is>
          <t>⚠ Manual erforderlich</t>
        </is>
      </c>
      <c r="E3561" s="11" t="inlineStr"/>
      <c r="F3561" s="11" t="n">
        <v>0</v>
      </c>
      <c r="G3561" s="11">
        <f>E3561-F3561</f>
        <v/>
      </c>
      <c r="H3561" s="11" t="n">
        <v>0</v>
      </c>
      <c r="I3561" s="11" t="n">
        <v>0</v>
      </c>
      <c r="J3561" s="11" t="n">
        <v>0</v>
      </c>
      <c r="K3561" s="4" t="inlineStr">
        <is>
          <t>Stundensätze eingeben</t>
        </is>
      </c>
    </row>
    <row r="3562">
      <c r="A3562" s="4" t="inlineStr">
        <is>
          <t>6749.13 Porsche-PLA-Hydraulikberechnung-Porscheplatz1-Stuttgart</t>
        </is>
      </c>
      <c r="B3562" s="4" t="inlineStr">
        <is>
          <t>● (p) Pos. 2 Auftragsbearbeitung</t>
        </is>
      </c>
      <c r="C3562" s="4" t="inlineStr">
        <is>
          <t>Pauschale</t>
        </is>
      </c>
      <c r="D3562" s="10" t="inlineStr">
        <is>
          <t>⚠ Manual erforderlich</t>
        </is>
      </c>
      <c r="E3562" s="11" t="inlineStr"/>
      <c r="F3562" s="11" t="n">
        <v>0</v>
      </c>
      <c r="G3562" s="11">
        <f>E3562-F3562</f>
        <v/>
      </c>
      <c r="H3562" s="11" t="n">
        <v>0</v>
      </c>
      <c r="I3562" s="11" t="n">
        <v>0</v>
      </c>
      <c r="J3562" s="11" t="n">
        <v>0</v>
      </c>
      <c r="K3562" s="4" t="inlineStr">
        <is>
          <t>Stundensätze eingeben</t>
        </is>
      </c>
    </row>
    <row r="3563">
      <c r="A3563" s="4" t="inlineStr">
        <is>
          <t>6750 BTB-Karat5-Raiffeisenstr14-Neu-Ansbach</t>
        </is>
      </c>
      <c r="B3563" s="4" t="inlineStr">
        <is>
          <t>● (a.N.) BTB</t>
        </is>
      </c>
      <c r="C3563" s="4" t="inlineStr">
        <is>
          <t>Nachweis</t>
        </is>
      </c>
      <c r="D3563" s="10" t="inlineStr">
        <is>
          <t>⚠ Manual erforderlich</t>
        </is>
      </c>
      <c r="E3563" s="11" t="inlineStr"/>
      <c r="F3563" s="11" t="n">
        <v>0</v>
      </c>
      <c r="G3563" s="11">
        <f>E3563-F3563</f>
        <v/>
      </c>
      <c r="H3563" s="11" t="n">
        <v/>
      </c>
      <c r="I3563" s="11" t="n">
        <v/>
      </c>
      <c r="J3563" s="11" t="n">
        <v/>
      </c>
      <c r="K3563" s="4" t="inlineStr">
        <is>
          <t>Stundensätze eingeben</t>
        </is>
      </c>
    </row>
    <row r="3564">
      <c r="A3564" s="4" t="inlineStr">
        <is>
          <t>6752.01 FRP- Hochschule-Fresenius-Moritzstr-17-Wiesbaden-Neubau</t>
        </is>
      </c>
      <c r="B3564" s="4" t="inlineStr">
        <is>
          <t>● (p) Aktualisierung der Flucht- und Rettungspläne</t>
        </is>
      </c>
      <c r="C3564" s="4" t="inlineStr">
        <is>
          <t>Pauschale</t>
        </is>
      </c>
      <c r="D3564" s="10" t="inlineStr">
        <is>
          <t>⚠ Manual erforderlich</t>
        </is>
      </c>
      <c r="E3564" s="11" t="inlineStr"/>
      <c r="F3564" s="11" t="n">
        <v>0</v>
      </c>
      <c r="G3564" s="11">
        <f>E3564-F3564</f>
        <v/>
      </c>
      <c r="H3564" s="11" t="n">
        <v>0</v>
      </c>
      <c r="I3564" s="11" t="n">
        <v>0</v>
      </c>
      <c r="J3564" s="11" t="n">
        <v>0</v>
      </c>
      <c r="K3564" s="4" t="inlineStr">
        <is>
          <t>Stundensätze eingeben</t>
        </is>
      </c>
    </row>
    <row r="3565">
      <c r="A3565" s="4" t="inlineStr">
        <is>
          <t>6753.01 BSK-Röntgenstraße-6-Alzenau-</t>
        </is>
      </c>
      <c r="B3565" s="4" t="inlineStr">
        <is>
          <t>● (p) Pos.1 BTB bezgl. Fortschr. BSK</t>
        </is>
      </c>
      <c r="C3565" s="4" t="inlineStr">
        <is>
          <t>Pauschale</t>
        </is>
      </c>
      <c r="D3565" s="10" t="inlineStr">
        <is>
          <t>⚠ Manual erforderlich</t>
        </is>
      </c>
      <c r="E3565" s="11" t="inlineStr"/>
      <c r="F3565" s="11" t="n">
        <v>0</v>
      </c>
      <c r="G3565" s="11">
        <f>E3565-F3565</f>
        <v/>
      </c>
      <c r="H3565" s="11" t="n">
        <v>0</v>
      </c>
      <c r="I3565" s="11" t="n">
        <v>0</v>
      </c>
      <c r="J3565" s="11" t="n">
        <v>0</v>
      </c>
      <c r="K3565" s="4" t="inlineStr">
        <is>
          <t>Stundensätze eingeben</t>
        </is>
      </c>
    </row>
    <row r="3566">
      <c r="A3566" s="4" t="inlineStr">
        <is>
          <t>6753.01 BSK-Röntgenstraße-6-Alzenau-</t>
        </is>
      </c>
      <c r="B3566" s="4" t="inlineStr">
        <is>
          <t>● (p) Pos.2 Fortschr. BSK</t>
        </is>
      </c>
      <c r="C3566" s="4" t="inlineStr">
        <is>
          <t>Pauschale</t>
        </is>
      </c>
      <c r="D3566" s="10" t="inlineStr">
        <is>
          <t>⚠ Manual erforderlich</t>
        </is>
      </c>
      <c r="E3566" s="11" t="inlineStr"/>
      <c r="F3566" s="11" t="n">
        <v>0</v>
      </c>
      <c r="G3566" s="11">
        <f>E3566-F3566</f>
        <v/>
      </c>
      <c r="H3566" s="11" t="n">
        <v>0</v>
      </c>
      <c r="I3566" s="11" t="n">
        <v>0</v>
      </c>
      <c r="J3566" s="11" t="n">
        <v>0</v>
      </c>
      <c r="K3566" s="4" t="inlineStr">
        <is>
          <t>Stundensätze eingeben</t>
        </is>
      </c>
    </row>
    <row r="3567">
      <c r="A3567" s="4" t="inlineStr">
        <is>
          <t>6754 BSN-Heidestraße50-Frankfurt-HPPVO</t>
        </is>
      </c>
      <c r="B3567" s="4" t="inlineStr">
        <is>
          <t>● (a.N.) Prüfung Brandschutznachweis</t>
        </is>
      </c>
      <c r="C3567" s="4" t="inlineStr">
        <is>
          <t>Nachweis</t>
        </is>
      </c>
      <c r="D3567" s="10" t="inlineStr">
        <is>
          <t>⚠ Manual erforderlich</t>
        </is>
      </c>
      <c r="E3567" s="11" t="inlineStr"/>
      <c r="F3567" s="11" t="n">
        <v>0</v>
      </c>
      <c r="G3567" s="11">
        <f>E3567-F3567</f>
        <v/>
      </c>
      <c r="H3567" s="11" t="n">
        <v/>
      </c>
      <c r="I3567" s="11" t="n">
        <v/>
      </c>
      <c r="J3567" s="11" t="n">
        <v/>
      </c>
      <c r="K3567" s="4" t="inlineStr">
        <is>
          <t>Stundensätze eingeben</t>
        </is>
      </c>
    </row>
    <row r="3568">
      <c r="A3568" s="4" t="inlineStr">
        <is>
          <t>6754 BSN-Heidestraße50-Frankfurt-HPPVO</t>
        </is>
      </c>
      <c r="B3568" s="4" t="inlineStr">
        <is>
          <t>● (a.N.) Überwachung Bauausführung</t>
        </is>
      </c>
      <c r="C3568" s="4" t="inlineStr">
        <is>
          <t>Nachweis</t>
        </is>
      </c>
      <c r="D3568" s="10" t="inlineStr">
        <is>
          <t>⚠ Manual erforderlich</t>
        </is>
      </c>
      <c r="E3568" s="11" t="inlineStr"/>
      <c r="F3568" s="11" t="n">
        <v>0</v>
      </c>
      <c r="G3568" s="11">
        <f>E3568-F3568</f>
        <v/>
      </c>
      <c r="H3568" s="11" t="n">
        <v/>
      </c>
      <c r="I3568" s="11" t="n">
        <v/>
      </c>
      <c r="J3568" s="11" t="n">
        <v/>
      </c>
      <c r="K3568" s="4" t="inlineStr">
        <is>
          <t>Stundensätze eingeben</t>
        </is>
      </c>
    </row>
    <row r="3569">
      <c r="A3569" s="4" t="inlineStr">
        <is>
          <t>6754 BSN-Heidestraße50-Frankfurt-HPPVO</t>
        </is>
      </c>
      <c r="B3569" s="4" t="inlineStr">
        <is>
          <t>● (a.N.) Abfrage Leistungsfähigkeit FW</t>
        </is>
      </c>
      <c r="C3569" s="4" t="inlineStr">
        <is>
          <t>Nachweis</t>
        </is>
      </c>
      <c r="D3569" s="10" t="inlineStr">
        <is>
          <t>⚠ Manual erforderlich</t>
        </is>
      </c>
      <c r="E3569" s="11" t="inlineStr"/>
      <c r="F3569" s="11" t="n">
        <v>0</v>
      </c>
      <c r="G3569" s="11">
        <f>E3569-F3569</f>
        <v/>
      </c>
      <c r="H3569" s="11" t="n">
        <v/>
      </c>
      <c r="I3569" s="11" t="n">
        <v/>
      </c>
      <c r="J3569" s="11" t="n">
        <v/>
      </c>
      <c r="K3569" s="4" t="inlineStr">
        <is>
          <t>Stundensätze eingeben</t>
        </is>
      </c>
    </row>
    <row r="3570">
      <c r="A3570" s="4" t="inlineStr">
        <is>
          <t>6755 AHO-Goethestraße-12-Emmy-Noether-Schule-Offenbach (Gym-Güterbahnhof)</t>
        </is>
      </c>
      <c r="B3570" s="4" t="inlineStr">
        <is>
          <t>● STUFE I</t>
        </is>
      </c>
      <c r="C3570" s="9" t="inlineStr">
        <is>
          <t>Unbekannt</t>
        </is>
      </c>
      <c r="D3570" s="10" t="inlineStr">
        <is>
          <t>⚠ Manual erforderlich</t>
        </is>
      </c>
      <c r="E3570" s="11" t="inlineStr"/>
      <c r="F3570" s="11" t="n">
        <v>0</v>
      </c>
      <c r="G3570" s="11">
        <f>E3570-F3570</f>
        <v/>
      </c>
      <c r="H3570" s="11" t="n">
        <v/>
      </c>
      <c r="I3570" s="11" t="n">
        <v/>
      </c>
      <c r="J3570" s="11" t="n">
        <v/>
      </c>
      <c r="K3570" s="4" t="inlineStr">
        <is>
          <t>Abrechnungsart wählen; Stundensätze eingeben</t>
        </is>
      </c>
    </row>
    <row r="3571">
      <c r="A3571" s="4" t="inlineStr">
        <is>
          <t>6755 AHO-Goethestraße-12-Emmy-Noether-Schule-Offenbach (Gym-Güterbahnhof)</t>
        </is>
      </c>
      <c r="B3571" s="4" t="inlineStr">
        <is>
          <t>● p - LP 1 GL</t>
        </is>
      </c>
      <c r="C3571" s="9" t="inlineStr">
        <is>
          <t>Unbekannt</t>
        </is>
      </c>
      <c r="D3571" s="10" t="inlineStr">
        <is>
          <t>⚠ Manual erforderlich</t>
        </is>
      </c>
      <c r="E3571" s="11" t="inlineStr"/>
      <c r="F3571" s="11" t="n">
        <v>0</v>
      </c>
      <c r="G3571" s="11">
        <f>E3571-F3571</f>
        <v/>
      </c>
      <c r="H3571" s="11" t="n">
        <v/>
      </c>
      <c r="I3571" s="11" t="n">
        <v/>
      </c>
      <c r="J3571" s="11" t="n">
        <v/>
      </c>
      <c r="K3571" s="4" t="inlineStr">
        <is>
          <t>Abrechnungsart wählen; Stundensätze eingeben</t>
        </is>
      </c>
    </row>
    <row r="3572">
      <c r="A3572" s="4" t="inlineStr">
        <is>
          <t>6755 AHO-Goethestraße-12-Emmy-Noether-Schule-Offenbach (Gym-Güterbahnhof)</t>
        </is>
      </c>
      <c r="B3572" s="4" t="inlineStr">
        <is>
          <t>● p - LP 2 GL</t>
        </is>
      </c>
      <c r="C3572" s="9" t="inlineStr">
        <is>
          <t>Unbekannt</t>
        </is>
      </c>
      <c r="D3572" s="10" t="inlineStr">
        <is>
          <t>⚠ Manual erforderlich</t>
        </is>
      </c>
      <c r="E3572" s="11" t="inlineStr"/>
      <c r="F3572" s="11" t="n">
        <v>0</v>
      </c>
      <c r="G3572" s="11">
        <f>E3572-F3572</f>
        <v/>
      </c>
      <c r="H3572" s="11" t="n">
        <v/>
      </c>
      <c r="I3572" s="11" t="n">
        <v/>
      </c>
      <c r="J3572" s="11" t="n">
        <v/>
      </c>
      <c r="K3572" s="4" t="inlineStr">
        <is>
          <t>Abrechnungsart wählen; Stundensätze eingeben</t>
        </is>
      </c>
    </row>
    <row r="3573">
      <c r="A3573" s="4" t="inlineStr">
        <is>
          <t>6755 AHO-Goethestraße-12-Emmy-Noether-Schule-Offenbach (Gym-Güterbahnhof)</t>
        </is>
      </c>
      <c r="B3573" s="4" t="inlineStr">
        <is>
          <t>● p - LP 2 BL</t>
        </is>
      </c>
      <c r="C3573" s="9" t="inlineStr">
        <is>
          <t>Unbekannt</t>
        </is>
      </c>
      <c r="D3573" s="10" t="inlineStr">
        <is>
          <t>⚠ Manual erforderlich</t>
        </is>
      </c>
      <c r="E3573" s="11" t="inlineStr"/>
      <c r="F3573" s="11" t="n">
        <v>0</v>
      </c>
      <c r="G3573" s="11">
        <f>E3573-F3573</f>
        <v/>
      </c>
      <c r="H3573" s="11" t="n">
        <v/>
      </c>
      <c r="I3573" s="11" t="n">
        <v/>
      </c>
      <c r="J3573" s="11" t="n">
        <v/>
      </c>
      <c r="K3573" s="4" t="inlineStr">
        <is>
          <t>Abrechnungsart wählen; Stundensätze eingeben</t>
        </is>
      </c>
    </row>
    <row r="3574">
      <c r="A3574" s="4" t="inlineStr">
        <is>
          <t>6755 AHO-Goethestraße-12-Emmy-Noether-Schule-Offenbach (Gym-Güterbahnhof)</t>
        </is>
      </c>
      <c r="B3574" s="4" t="inlineStr">
        <is>
          <t>● p - LP 3 GL</t>
        </is>
      </c>
      <c r="C3574" s="9" t="inlineStr">
        <is>
          <t>Unbekannt</t>
        </is>
      </c>
      <c r="D3574" s="10" t="inlineStr">
        <is>
          <t>⚠ Manual erforderlich</t>
        </is>
      </c>
      <c r="E3574" s="11" t="inlineStr"/>
      <c r="F3574" s="11" t="n">
        <v>0</v>
      </c>
      <c r="G3574" s="11">
        <f>E3574-F3574</f>
        <v/>
      </c>
      <c r="H3574" s="11" t="n">
        <v/>
      </c>
      <c r="I3574" s="11" t="n">
        <v/>
      </c>
      <c r="J3574" s="11" t="n">
        <v/>
      </c>
      <c r="K3574" s="4" t="inlineStr">
        <is>
          <t>Abrechnungsart wählen; Stundensätze eingeben</t>
        </is>
      </c>
    </row>
    <row r="3575">
      <c r="A3575" s="4" t="inlineStr">
        <is>
          <t>6755 AHO-Goethestraße-12-Emmy-Noether-Schule-Offenbach (Gym-Güterbahnhof)</t>
        </is>
      </c>
      <c r="B3575" s="4" t="inlineStr">
        <is>
          <t>● p - LP 3 BL</t>
        </is>
      </c>
      <c r="C3575" s="9" t="inlineStr">
        <is>
          <t>Unbekannt</t>
        </is>
      </c>
      <c r="D3575" s="10" t="inlineStr">
        <is>
          <t>⚠ Manual erforderlich</t>
        </is>
      </c>
      <c r="E3575" s="11" t="inlineStr"/>
      <c r="F3575" s="11" t="n">
        <v>0</v>
      </c>
      <c r="G3575" s="11">
        <f>E3575-F3575</f>
        <v/>
      </c>
      <c r="H3575" s="11" t="n">
        <v/>
      </c>
      <c r="I3575" s="11" t="n">
        <v/>
      </c>
      <c r="J3575" s="11" t="n">
        <v/>
      </c>
      <c r="K3575" s="4" t="inlineStr">
        <is>
          <t>Abrechnungsart wählen; Stundensätze eingeben</t>
        </is>
      </c>
    </row>
    <row r="3576">
      <c r="A3576" s="4" t="inlineStr">
        <is>
          <t>6755 AHO-Goethestraße-12-Emmy-Noether-Schule-Offenbach (Gym-Güterbahnhof)</t>
        </is>
      </c>
      <c r="B3576" s="4" t="inlineStr">
        <is>
          <t>● STUFE II</t>
        </is>
      </c>
      <c r="C3576" s="9" t="inlineStr">
        <is>
          <t>Unbekannt</t>
        </is>
      </c>
      <c r="D3576" s="10" t="inlineStr">
        <is>
          <t>⚠ Manual erforderlich</t>
        </is>
      </c>
      <c r="E3576" s="11" t="inlineStr"/>
      <c r="F3576" s="11" t="n">
        <v>0</v>
      </c>
      <c r="G3576" s="11">
        <f>E3576-F3576</f>
        <v/>
      </c>
      <c r="H3576" s="11" t="n">
        <v/>
      </c>
      <c r="I3576" s="11" t="n">
        <v/>
      </c>
      <c r="J3576" s="11" t="n">
        <v/>
      </c>
      <c r="K3576" s="4" t="inlineStr">
        <is>
          <t>Abrechnungsart wählen; Stundensätze eingeben</t>
        </is>
      </c>
    </row>
    <row r="3577">
      <c r="A3577" s="4" t="inlineStr">
        <is>
          <t>6755 AHO-Goethestraße-12-Emmy-Noether-Schule-Offenbach (Gym-Güterbahnhof)</t>
        </is>
      </c>
      <c r="B3577" s="4" t="inlineStr">
        <is>
          <t>● p - LP 4 GL</t>
        </is>
      </c>
      <c r="C3577" s="9" t="inlineStr">
        <is>
          <t>Unbekannt</t>
        </is>
      </c>
      <c r="D3577" s="10" t="inlineStr">
        <is>
          <t>⚠ Manual erforderlich</t>
        </is>
      </c>
      <c r="E3577" s="11" t="inlineStr"/>
      <c r="F3577" s="11" t="n">
        <v>0</v>
      </c>
      <c r="G3577" s="11">
        <f>E3577-F3577</f>
        <v/>
      </c>
      <c r="H3577" s="11" t="n">
        <v/>
      </c>
      <c r="I3577" s="11" t="n">
        <v/>
      </c>
      <c r="J3577" s="11" t="n">
        <v/>
      </c>
      <c r="K3577" s="4" t="inlineStr">
        <is>
          <t>Abrechnungsart wählen; Stundensätze eingeben</t>
        </is>
      </c>
    </row>
    <row r="3578">
      <c r="A3578" s="4" t="inlineStr">
        <is>
          <t>6755 AHO-Goethestraße-12-Emmy-Noether-Schule-Offenbach (Gym-Güterbahnhof)</t>
        </is>
      </c>
      <c r="B3578" s="4" t="inlineStr">
        <is>
          <t>● p - LP 4 BL</t>
        </is>
      </c>
      <c r="C3578" s="9" t="inlineStr">
        <is>
          <t>Unbekannt</t>
        </is>
      </c>
      <c r="D3578" s="10" t="inlineStr">
        <is>
          <t>⚠ Manual erforderlich</t>
        </is>
      </c>
      <c r="E3578" s="11" t="inlineStr"/>
      <c r="F3578" s="11" t="n">
        <v>0</v>
      </c>
      <c r="G3578" s="11">
        <f>E3578-F3578</f>
        <v/>
      </c>
      <c r="H3578" s="11" t="n">
        <v/>
      </c>
      <c r="I3578" s="11" t="n">
        <v/>
      </c>
      <c r="J3578" s="11" t="n">
        <v/>
      </c>
      <c r="K3578" s="4" t="inlineStr">
        <is>
          <t>Abrechnungsart wählen; Stundensätze eingeben</t>
        </is>
      </c>
    </row>
    <row r="3579">
      <c r="A3579" s="4" t="inlineStr">
        <is>
          <t>6755 AHO-Goethestraße-12-Emmy-Noether-Schule-Offenbach (Gym-Güterbahnhof)</t>
        </is>
      </c>
      <c r="B3579" s="4" t="inlineStr">
        <is>
          <t>● p - LP 5 GL</t>
        </is>
      </c>
      <c r="C3579" s="9" t="inlineStr">
        <is>
          <t>Unbekannt</t>
        </is>
      </c>
      <c r="D3579" s="10" t="inlineStr">
        <is>
          <t>⚠ Manual erforderlich</t>
        </is>
      </c>
      <c r="E3579" s="11" t="inlineStr"/>
      <c r="F3579" s="11" t="n">
        <v>0</v>
      </c>
      <c r="G3579" s="11">
        <f>E3579-F3579</f>
        <v/>
      </c>
      <c r="H3579" s="11" t="n">
        <v/>
      </c>
      <c r="I3579" s="11" t="n">
        <v/>
      </c>
      <c r="J3579" s="11" t="n">
        <v/>
      </c>
      <c r="K3579" s="4" t="inlineStr">
        <is>
          <t>Abrechnungsart wählen; Stundensätze eingeben</t>
        </is>
      </c>
    </row>
    <row r="3580">
      <c r="A3580" s="4" t="inlineStr">
        <is>
          <t>6755 AHO-Goethestraße-12-Emmy-Noether-Schule-Offenbach (Gym-Güterbahnhof)</t>
        </is>
      </c>
      <c r="B3580" s="4" t="inlineStr">
        <is>
          <t>● p - LP 5 BL</t>
        </is>
      </c>
      <c r="C3580" s="9" t="inlineStr">
        <is>
          <t>Unbekannt</t>
        </is>
      </c>
      <c r="D3580" s="10" t="inlineStr">
        <is>
          <t>⚠ Manual erforderlich</t>
        </is>
      </c>
      <c r="E3580" s="11" t="inlineStr"/>
      <c r="F3580" s="11" t="n">
        <v>0</v>
      </c>
      <c r="G3580" s="11">
        <f>E3580-F3580</f>
        <v/>
      </c>
      <c r="H3580" s="11" t="n">
        <v/>
      </c>
      <c r="I3580" s="11" t="n">
        <v/>
      </c>
      <c r="J3580" s="11" t="n">
        <v/>
      </c>
      <c r="K3580" s="4" t="inlineStr">
        <is>
          <t>Abrechnungsart wählen; Stundensätze eingeben</t>
        </is>
      </c>
    </row>
    <row r="3581">
      <c r="A3581" s="4" t="inlineStr">
        <is>
          <t>6755 AHO-Goethestraße-12-Emmy-Noether-Schule-Offenbach (Gym-Güterbahnhof)</t>
        </is>
      </c>
      <c r="B3581" s="4" t="inlineStr">
        <is>
          <t>● p - LP 6 BL</t>
        </is>
      </c>
      <c r="C3581" s="9" t="inlineStr">
        <is>
          <t>Unbekannt</t>
        </is>
      </c>
      <c r="D3581" s="10" t="inlineStr">
        <is>
          <t>⚠ Manual erforderlich</t>
        </is>
      </c>
      <c r="E3581" s="11" t="inlineStr"/>
      <c r="F3581" s="11" t="n">
        <v>0</v>
      </c>
      <c r="G3581" s="11">
        <f>E3581-F3581</f>
        <v/>
      </c>
      <c r="H3581" s="11" t="n">
        <v/>
      </c>
      <c r="I3581" s="11" t="n">
        <v/>
      </c>
      <c r="J3581" s="11" t="n">
        <v/>
      </c>
      <c r="K3581" s="4" t="inlineStr">
        <is>
          <t>Abrechnungsart wählen; Stundensätze eingeben</t>
        </is>
      </c>
    </row>
    <row r="3582">
      <c r="A3582" s="4" t="inlineStr">
        <is>
          <t>6755 AHO-Goethestraße-12-Emmy-Noether-Schule-Offenbach (Gym-Güterbahnhof)</t>
        </is>
      </c>
      <c r="B3582" s="4" t="inlineStr">
        <is>
          <t>● STUFE III</t>
        </is>
      </c>
      <c r="C3582" s="9" t="inlineStr">
        <is>
          <t>Unbekannt</t>
        </is>
      </c>
      <c r="D3582" s="10" t="inlineStr">
        <is>
          <t>⚠ Manual erforderlich</t>
        </is>
      </c>
      <c r="E3582" s="11" t="inlineStr"/>
      <c r="F3582" s="11" t="n">
        <v>0</v>
      </c>
      <c r="G3582" s="11">
        <f>E3582-F3582</f>
        <v/>
      </c>
      <c r="H3582" s="11" t="n">
        <v/>
      </c>
      <c r="I3582" s="11" t="n">
        <v/>
      </c>
      <c r="J3582" s="11" t="n">
        <v/>
      </c>
      <c r="K3582" s="4" t="inlineStr">
        <is>
          <t>Abrechnungsart wählen; Stundensätze eingeben</t>
        </is>
      </c>
    </row>
    <row r="3583">
      <c r="A3583" s="4" t="inlineStr">
        <is>
          <t>6755 AHO-Goethestraße-12-Emmy-Noether-Schule-Offenbach (Gym-Güterbahnhof)</t>
        </is>
      </c>
      <c r="B3583" s="4" t="inlineStr">
        <is>
          <t>● p - LP 8 GL</t>
        </is>
      </c>
      <c r="C3583" s="9" t="inlineStr">
        <is>
          <t>Unbekannt</t>
        </is>
      </c>
      <c r="D3583" s="10" t="inlineStr">
        <is>
          <t>⚠ Manual erforderlich</t>
        </is>
      </c>
      <c r="E3583" s="11" t="inlineStr"/>
      <c r="F3583" s="11" t="n">
        <v>0</v>
      </c>
      <c r="G3583" s="11">
        <f>E3583-F3583</f>
        <v/>
      </c>
      <c r="H3583" s="11" t="n">
        <v/>
      </c>
      <c r="I3583" s="11" t="n">
        <v/>
      </c>
      <c r="J3583" s="11" t="n">
        <v/>
      </c>
      <c r="K3583" s="4" t="inlineStr">
        <is>
          <t>Abrechnungsart wählen; Stundensätze eingeben</t>
        </is>
      </c>
    </row>
    <row r="3584">
      <c r="A3584" s="4" t="inlineStr">
        <is>
          <t>6755 AHO-Goethestraße-12-Emmy-Noether-Schule-Offenbach (Gym-Güterbahnhof)</t>
        </is>
      </c>
      <c r="B3584" s="4" t="inlineStr">
        <is>
          <t>● p - LP 8 BL</t>
        </is>
      </c>
      <c r="C3584" s="9" t="inlineStr">
        <is>
          <t>Unbekannt</t>
        </is>
      </c>
      <c r="D3584" s="10" t="inlineStr">
        <is>
          <t>⚠ Manual erforderlich</t>
        </is>
      </c>
      <c r="E3584" s="11" t="inlineStr"/>
      <c r="F3584" s="11" t="n">
        <v>0</v>
      </c>
      <c r="G3584" s="11">
        <f>E3584-F3584</f>
        <v/>
      </c>
      <c r="H3584" s="11" t="n">
        <v/>
      </c>
      <c r="I3584" s="11" t="n">
        <v/>
      </c>
      <c r="J3584" s="11" t="n">
        <v/>
      </c>
      <c r="K3584" s="4" t="inlineStr">
        <is>
          <t>Abrechnungsart wählen; Stundensätze eingeben</t>
        </is>
      </c>
    </row>
    <row r="3585">
      <c r="A3585" s="4" t="inlineStr">
        <is>
          <t>6755 AHO-Goethestraße-12-Emmy-Noether-Schule-Offenbach (Gym-Güterbahnhof)</t>
        </is>
      </c>
      <c r="B3585" s="4" t="inlineStr">
        <is>
          <t>● STUFE IV</t>
        </is>
      </c>
      <c r="C3585" s="9" t="inlineStr">
        <is>
          <t>Unbekannt</t>
        </is>
      </c>
      <c r="D3585" s="10" t="inlineStr">
        <is>
          <t>⚠ Manual erforderlich</t>
        </is>
      </c>
      <c r="E3585" s="11" t="inlineStr"/>
      <c r="F3585" s="11" t="n">
        <v>0</v>
      </c>
      <c r="G3585" s="11">
        <f>E3585-F3585</f>
        <v/>
      </c>
      <c r="H3585" s="11" t="n">
        <v/>
      </c>
      <c r="I3585" s="11" t="n">
        <v/>
      </c>
      <c r="J3585" s="11" t="n">
        <v/>
      </c>
      <c r="K3585" s="4" t="inlineStr">
        <is>
          <t>Abrechnungsart wählen; Stundensätze eingeben</t>
        </is>
      </c>
    </row>
    <row r="3586">
      <c r="A3586" s="4" t="inlineStr">
        <is>
          <t>6755 AHO-Goethestraße-12-Emmy-Noether-Schule-Offenbach (Gym-Güterbahnhof)</t>
        </is>
      </c>
      <c r="B3586" s="4" t="inlineStr">
        <is>
          <t>● p - LP 9 BL</t>
        </is>
      </c>
      <c r="C3586" s="9" t="inlineStr">
        <is>
          <t>Unbekannt</t>
        </is>
      </c>
      <c r="D3586" s="10" t="inlineStr">
        <is>
          <t>⚠ Manual erforderlich</t>
        </is>
      </c>
      <c r="E3586" s="11" t="inlineStr"/>
      <c r="F3586" s="11" t="n">
        <v>0</v>
      </c>
      <c r="G3586" s="11">
        <f>E3586-F3586</f>
        <v/>
      </c>
      <c r="H3586" s="11" t="n">
        <v/>
      </c>
      <c r="I3586" s="11" t="n">
        <v/>
      </c>
      <c r="J3586" s="11" t="n">
        <v/>
      </c>
      <c r="K3586" s="4" t="inlineStr">
        <is>
          <t>Abrechnungsart wählen; Stundensätze eingeben</t>
        </is>
      </c>
    </row>
    <row r="3587">
      <c r="A3587" s="4" t="inlineStr">
        <is>
          <t>6755 AHO-Goethestraße-12-Emmy-Noether-Schule-Offenbach (Gym-Güterbahnhof)</t>
        </is>
      </c>
      <c r="B3587" s="4" t="inlineStr">
        <is>
          <t>● OPTIONAL</t>
        </is>
      </c>
      <c r="C3587" s="9" t="inlineStr">
        <is>
          <t>Unbekannt</t>
        </is>
      </c>
      <c r="D3587" s="10" t="inlineStr">
        <is>
          <t>⚠ Manual erforderlich</t>
        </is>
      </c>
      <c r="E3587" s="11" t="inlineStr"/>
      <c r="F3587" s="11" t="n">
        <v>0</v>
      </c>
      <c r="G3587" s="11">
        <f>E3587-F3587</f>
        <v/>
      </c>
      <c r="H3587" s="11" t="n">
        <v/>
      </c>
      <c r="I3587" s="11" t="n">
        <v/>
      </c>
      <c r="J3587" s="11" t="n">
        <v/>
      </c>
      <c r="K3587" s="4" t="inlineStr">
        <is>
          <t>Abrechnungsart wählen; Stundensätze eingeben</t>
        </is>
      </c>
    </row>
    <row r="3588">
      <c r="A3588" s="4" t="inlineStr">
        <is>
          <t>6756 BTB-SiriusBusinessPark-Markgröningen</t>
        </is>
      </c>
      <c r="B3588" s="4" t="inlineStr">
        <is>
          <t>● (a.N.) BTB</t>
        </is>
      </c>
      <c r="C3588" s="4" t="inlineStr">
        <is>
          <t>Nachweis</t>
        </is>
      </c>
      <c r="D3588" s="10" t="inlineStr">
        <is>
          <t>⚠ Manual erforderlich</t>
        </is>
      </c>
      <c r="E3588" s="11" t="inlineStr"/>
      <c r="F3588" s="11" t="n">
        <v>0</v>
      </c>
      <c r="G3588" s="11">
        <f>E3588-F3588</f>
        <v/>
      </c>
      <c r="H3588" s="11" t="n">
        <v/>
      </c>
      <c r="I3588" s="11" t="n">
        <v/>
      </c>
      <c r="J3588" s="11" t="n">
        <v/>
      </c>
      <c r="K3588" s="4" t="inlineStr">
        <is>
          <t>Stundensätze eingeben</t>
        </is>
      </c>
    </row>
    <row r="3589">
      <c r="A3589" s="4" t="inlineStr">
        <is>
          <t>6769.01 Juwi-Anp-BSK-Selser-Berg</t>
        </is>
      </c>
      <c r="B3589" s="4" t="inlineStr">
        <is>
          <t>● (p) Anp. BSK</t>
        </is>
      </c>
      <c r="C3589" s="4" t="inlineStr">
        <is>
          <t>Pauschale</t>
        </is>
      </c>
      <c r="D3589" s="10" t="inlineStr">
        <is>
          <t>⚠ Manual erforderlich</t>
        </is>
      </c>
      <c r="E3589" s="11" t="inlineStr"/>
      <c r="F3589" s="11" t="n">
        <v>0</v>
      </c>
      <c r="G3589" s="11">
        <f>E3589-F3589</f>
        <v/>
      </c>
      <c r="H3589" s="11" t="n">
        <v>0</v>
      </c>
      <c r="I3589" s="11" t="n">
        <v>0</v>
      </c>
      <c r="J3589" s="11" t="n">
        <v>0</v>
      </c>
      <c r="K3589" s="4" t="inlineStr">
        <is>
          <t>Stundensätze eingeben</t>
        </is>
      </c>
    </row>
    <row r="3590">
      <c r="A3590" s="4" t="inlineStr">
        <is>
          <t>6770 FLA-LP1-8-Station-Hauptwache-VGF-Frankfurt</t>
        </is>
      </c>
      <c r="B3590" s="4" t="inlineStr">
        <is>
          <t>● (p.) Stufe 1, LP 1-4</t>
        </is>
      </c>
      <c r="C3590" s="9" t="inlineStr">
        <is>
          <t>Unbekannt</t>
        </is>
      </c>
      <c r="D3590" s="10" t="inlineStr">
        <is>
          <t>⚠ Manual erforderlich</t>
        </is>
      </c>
      <c r="E3590" s="11" t="inlineStr"/>
      <c r="F3590" s="11" t="n">
        <v>0</v>
      </c>
      <c r="G3590" s="11">
        <f>E3590-F3590</f>
        <v/>
      </c>
      <c r="H3590" s="11" t="n">
        <v/>
      </c>
      <c r="I3590" s="11" t="n">
        <v/>
      </c>
      <c r="J3590" s="11" t="n">
        <v/>
      </c>
      <c r="K3590" s="4" t="inlineStr">
        <is>
          <t>Abrechnungsart wählen; Stundensätze eingeben</t>
        </is>
      </c>
    </row>
    <row r="3591">
      <c r="A3591" s="4" t="inlineStr">
        <is>
          <t>6770 FLA-LP1-8-Station-Hauptwache-VGF-Frankfurt</t>
        </is>
      </c>
      <c r="B3591" s="4" t="inlineStr">
        <is>
          <t>● (p.) Stufe 2, LP 5-7</t>
        </is>
      </c>
      <c r="C3591" s="9" t="inlineStr">
        <is>
          <t>Unbekannt</t>
        </is>
      </c>
      <c r="D3591" s="10" t="inlineStr">
        <is>
          <t>⚠ Manual erforderlich</t>
        </is>
      </c>
      <c r="E3591" s="11" t="inlineStr"/>
      <c r="F3591" s="11" t="n">
        <v>0</v>
      </c>
      <c r="G3591" s="11">
        <f>E3591-F3591</f>
        <v/>
      </c>
      <c r="H3591" s="11" t="n">
        <v/>
      </c>
      <c r="I3591" s="11" t="n">
        <v/>
      </c>
      <c r="J3591" s="11" t="n">
        <v/>
      </c>
      <c r="K3591" s="4" t="inlineStr">
        <is>
          <t>Abrechnungsart wählen; Stundensätze eingeben</t>
        </is>
      </c>
    </row>
    <row r="3592">
      <c r="A3592" s="4" t="inlineStr">
        <is>
          <t>6771 AHO-HochTief-Data-Center-1-Heiligenhaus</t>
        </is>
      </c>
      <c r="B3592" s="4" t="inlineStr">
        <is>
          <t>● (p)  LP 1 GL</t>
        </is>
      </c>
      <c r="C3592" s="4" t="inlineStr">
        <is>
          <t>Pauschale</t>
        </is>
      </c>
      <c r="D3592" s="10" t="inlineStr">
        <is>
          <t>⚠ Manual erforderlich</t>
        </is>
      </c>
      <c r="E3592" s="11" t="inlineStr"/>
      <c r="F3592" s="11" t="n">
        <v>0</v>
      </c>
      <c r="G3592" s="11">
        <f>E3592-F3592</f>
        <v/>
      </c>
      <c r="H3592" s="11" t="n">
        <v>0</v>
      </c>
      <c r="I3592" s="11" t="n">
        <v>0</v>
      </c>
      <c r="J3592" s="11" t="n">
        <v>0</v>
      </c>
      <c r="K3592" s="4" t="inlineStr">
        <is>
          <t>Stundensätze eingeben</t>
        </is>
      </c>
    </row>
    <row r="3593">
      <c r="A3593" s="4" t="inlineStr">
        <is>
          <t>6771 AHO-HochTief-Data-Center-1-Heiligenhaus</t>
        </is>
      </c>
      <c r="B3593" s="4" t="inlineStr">
        <is>
          <t>● (p) LP 1 BL</t>
        </is>
      </c>
      <c r="C3593" s="4" t="inlineStr">
        <is>
          <t>Pauschale</t>
        </is>
      </c>
      <c r="D3593" s="10" t="inlineStr">
        <is>
          <t>⚠ Manual erforderlich</t>
        </is>
      </c>
      <c r="E3593" s="11" t="inlineStr"/>
      <c r="F3593" s="11" t="n">
        <v>0</v>
      </c>
      <c r="G3593" s="11">
        <f>E3593-F3593</f>
        <v/>
      </c>
      <c r="H3593" s="11" t="n">
        <v>0</v>
      </c>
      <c r="I3593" s="11" t="n">
        <v>0</v>
      </c>
      <c r="J3593" s="11" t="n">
        <v>0</v>
      </c>
      <c r="K3593" s="4" t="inlineStr">
        <is>
          <t>Stundensätze eingeben</t>
        </is>
      </c>
    </row>
    <row r="3594">
      <c r="A3594" s="4" t="inlineStr">
        <is>
          <t>6771 AHO-HochTief-Data-Center-1-Heiligenhaus</t>
        </is>
      </c>
      <c r="B3594" s="4" t="inlineStr">
        <is>
          <t>● (p) LP 2 GL</t>
        </is>
      </c>
      <c r="C3594" s="4" t="inlineStr">
        <is>
          <t>Pauschale</t>
        </is>
      </c>
      <c r="D3594" s="10" t="inlineStr">
        <is>
          <t>⚠ Manual erforderlich</t>
        </is>
      </c>
      <c r="E3594" s="11" t="inlineStr"/>
      <c r="F3594" s="11" t="n">
        <v>0</v>
      </c>
      <c r="G3594" s="11">
        <f>E3594-F3594</f>
        <v/>
      </c>
      <c r="H3594" s="11" t="n">
        <v>0</v>
      </c>
      <c r="I3594" s="11" t="n">
        <v>0</v>
      </c>
      <c r="J3594" s="11" t="n">
        <v>0</v>
      </c>
      <c r="K3594" s="4" t="inlineStr">
        <is>
          <t>Stundensätze eingeben</t>
        </is>
      </c>
    </row>
    <row r="3595">
      <c r="A3595" s="4" t="inlineStr">
        <is>
          <t>6771 AHO-HochTief-Data-Center-1-Heiligenhaus</t>
        </is>
      </c>
      <c r="B3595" s="4" t="inlineStr">
        <is>
          <t>● (p) LP 3 GL</t>
        </is>
      </c>
      <c r="C3595" s="4" t="inlineStr">
        <is>
          <t>Pauschale</t>
        </is>
      </c>
      <c r="D3595" s="10" t="inlineStr">
        <is>
          <t>⚠ Manual erforderlich</t>
        </is>
      </c>
      <c r="E3595" s="11" t="inlineStr"/>
      <c r="F3595" s="11" t="n">
        <v>0</v>
      </c>
      <c r="G3595" s="11">
        <f>E3595-F3595</f>
        <v/>
      </c>
      <c r="H3595" s="11" t="n">
        <v>0</v>
      </c>
      <c r="I3595" s="11" t="n">
        <v>0</v>
      </c>
      <c r="J3595" s="11" t="n">
        <v>0</v>
      </c>
      <c r="K3595" s="4" t="inlineStr">
        <is>
          <t>Stundensätze eingeben</t>
        </is>
      </c>
    </row>
    <row r="3596">
      <c r="A3596" s="4" t="inlineStr">
        <is>
          <t>6771 AHO-HochTief-Data-Center-1-Heiligenhaus</t>
        </is>
      </c>
      <c r="B3596" s="4" t="inlineStr">
        <is>
          <t>● (p) LP 4 GL</t>
        </is>
      </c>
      <c r="C3596" s="4" t="inlineStr">
        <is>
          <t>Pauschale</t>
        </is>
      </c>
      <c r="D3596" s="10" t="inlineStr">
        <is>
          <t>⚠ Manual erforderlich</t>
        </is>
      </c>
      <c r="E3596" s="11" t="inlineStr"/>
      <c r="F3596" s="11" t="n">
        <v>0</v>
      </c>
      <c r="G3596" s="11">
        <f>E3596-F3596</f>
        <v/>
      </c>
      <c r="H3596" s="11" t="n">
        <v>0</v>
      </c>
      <c r="I3596" s="11" t="n">
        <v>0</v>
      </c>
      <c r="J3596" s="11" t="n">
        <v>0</v>
      </c>
      <c r="K3596" s="4" t="inlineStr">
        <is>
          <t>Stundensätze eingeben</t>
        </is>
      </c>
    </row>
    <row r="3597">
      <c r="A3597" s="4" t="inlineStr">
        <is>
          <t>6771 AHO-HochTief-Data-Center-1-Heiligenhaus</t>
        </is>
      </c>
      <c r="B3597" s="4" t="inlineStr">
        <is>
          <t>● (p) LP 5 GL</t>
        </is>
      </c>
      <c r="C3597" s="4" t="inlineStr">
        <is>
          <t>Pauschale</t>
        </is>
      </c>
      <c r="D3597" s="10" t="inlineStr">
        <is>
          <t>⚠ Manual erforderlich</t>
        </is>
      </c>
      <c r="E3597" s="11" t="inlineStr"/>
      <c r="F3597" s="11" t="n">
        <v>0</v>
      </c>
      <c r="G3597" s="11">
        <f>E3597-F3597</f>
        <v/>
      </c>
      <c r="H3597" s="11" t="n">
        <v>0</v>
      </c>
      <c r="I3597" s="11" t="n">
        <v>0</v>
      </c>
      <c r="J3597" s="11" t="n">
        <v>0</v>
      </c>
      <c r="K3597" s="4" t="inlineStr">
        <is>
          <t>Stundensätze eingeben</t>
        </is>
      </c>
    </row>
    <row r="3598">
      <c r="A3598" s="4" t="inlineStr">
        <is>
          <t>6771 AHO-HochTief-Data-Center-1-Heiligenhaus</t>
        </is>
      </c>
      <c r="B3598" s="4" t="inlineStr">
        <is>
          <t>● (p) LP 8 GL - Pos. 00030</t>
        </is>
      </c>
      <c r="C3598" s="4" t="inlineStr">
        <is>
          <t>Pauschale</t>
        </is>
      </c>
      <c r="D3598" s="10" t="inlineStr">
        <is>
          <t>⚠ Manual erforderlich</t>
        </is>
      </c>
      <c r="E3598" s="11" t="inlineStr"/>
      <c r="F3598" s="11" t="n">
        <v>0</v>
      </c>
      <c r="G3598" s="11">
        <f>E3598-F3598</f>
        <v/>
      </c>
      <c r="H3598" s="11" t="n">
        <v>0</v>
      </c>
      <c r="I3598" s="11" t="n">
        <v>0</v>
      </c>
      <c r="J3598" s="11" t="n">
        <v>0</v>
      </c>
      <c r="K3598" s="4" t="inlineStr">
        <is>
          <t>Stundensätze eingeben</t>
        </is>
      </c>
    </row>
    <row r="3599">
      <c r="A3599" s="4" t="inlineStr">
        <is>
          <t>6771 AHO-HochTief-Data-Center-1-Heiligenhaus</t>
        </is>
      </c>
      <c r="B3599" s="4" t="inlineStr">
        <is>
          <t>● (p) LP 9 - FRP</t>
        </is>
      </c>
      <c r="C3599" s="4" t="inlineStr">
        <is>
          <t>Pauschale</t>
        </is>
      </c>
      <c r="D3599" s="10" t="inlineStr">
        <is>
          <t>⚠ Manual erforderlich</t>
        </is>
      </c>
      <c r="E3599" s="11" t="inlineStr"/>
      <c r="F3599" s="11" t="n">
        <v>0</v>
      </c>
      <c r="G3599" s="11">
        <f>E3599-F3599</f>
        <v/>
      </c>
      <c r="H3599" s="11" t="n">
        <v>0</v>
      </c>
      <c r="I3599" s="11" t="n">
        <v>0</v>
      </c>
      <c r="J3599" s="11" t="n">
        <v>0</v>
      </c>
      <c r="K3599" s="4" t="inlineStr">
        <is>
          <t>Stundensätze eingeben</t>
        </is>
      </c>
    </row>
    <row r="3600">
      <c r="A3600" s="4" t="inlineStr">
        <is>
          <t>6771 AHO-HochTief-Data-Center-1-Heiligenhaus</t>
        </is>
      </c>
      <c r="B3600" s="4" t="inlineStr">
        <is>
          <t>● (p) LP 9 - FWP</t>
        </is>
      </c>
      <c r="C3600" s="4" t="inlineStr">
        <is>
          <t>Pauschale</t>
        </is>
      </c>
      <c r="D3600" s="10" t="inlineStr">
        <is>
          <t>⚠ Manual erforderlich</t>
        </is>
      </c>
      <c r="E3600" s="11" t="inlineStr"/>
      <c r="F3600" s="11" t="n">
        <v>0</v>
      </c>
      <c r="G3600" s="11">
        <f>E3600-F3600</f>
        <v/>
      </c>
      <c r="H3600" s="11" t="n">
        <v>0</v>
      </c>
      <c r="I3600" s="11" t="n">
        <v>0</v>
      </c>
      <c r="J3600" s="11" t="n">
        <v>0</v>
      </c>
      <c r="K3600" s="4" t="inlineStr">
        <is>
          <t>Stundensätze eingeben</t>
        </is>
      </c>
    </row>
    <row r="3601">
      <c r="A3601" s="4" t="inlineStr">
        <is>
          <t>6771 AHO-HochTief-Data-Center-1-Heiligenhaus</t>
        </is>
      </c>
      <c r="B3601" s="4" t="inlineStr">
        <is>
          <t>● (p) NAT 07 BSO in den Teilen A bis C (Teil A ist in Teil B inkludiert)</t>
        </is>
      </c>
      <c r="C3601" s="4" t="inlineStr">
        <is>
          <t>Pauschale</t>
        </is>
      </c>
      <c r="D3601" s="10" t="inlineStr">
        <is>
          <t>⚠ Manual erforderlich</t>
        </is>
      </c>
      <c r="E3601" s="11" t="inlineStr"/>
      <c r="F3601" s="11" t="n">
        <v>0</v>
      </c>
      <c r="G3601" s="11">
        <f>E3601-F3601</f>
        <v/>
      </c>
      <c r="H3601" s="11" t="n">
        <v>0</v>
      </c>
      <c r="I3601" s="11" t="n">
        <v>0</v>
      </c>
      <c r="J3601" s="11" t="n">
        <v>0</v>
      </c>
      <c r="K3601" s="4" t="inlineStr">
        <is>
          <t>Stundensätze eingeben</t>
        </is>
      </c>
    </row>
    <row r="3602">
      <c r="A3602" s="4" t="inlineStr">
        <is>
          <t>6772.01 WKS-AnpassungBSK-WP-Gomadingen</t>
        </is>
      </c>
      <c r="B3602" s="4" t="inlineStr">
        <is>
          <t>● (aN) Anpassung BSK</t>
        </is>
      </c>
      <c r="C3602" s="4" t="inlineStr">
        <is>
          <t>Nachweis</t>
        </is>
      </c>
      <c r="D3602" s="10" t="inlineStr">
        <is>
          <t>⚠ Manual erforderlich</t>
        </is>
      </c>
      <c r="E3602" s="11" t="inlineStr"/>
      <c r="F3602" s="11" t="n">
        <v>0</v>
      </c>
      <c r="G3602" s="11">
        <f>E3602-F3602</f>
        <v/>
      </c>
      <c r="H3602" s="11" t="n">
        <v/>
      </c>
      <c r="I3602" s="11" t="n">
        <v/>
      </c>
      <c r="J3602" s="11" t="n">
        <v/>
      </c>
      <c r="K3602" s="4" t="inlineStr">
        <is>
          <t>Stundensätze eingeben</t>
        </is>
      </c>
    </row>
    <row r="3603">
      <c r="A3603" s="4" t="inlineStr">
        <is>
          <t>6774 AHO-Feuerwehrstützpunkt-Heiligenröderstraße-74-Niestetal</t>
        </is>
      </c>
      <c r="B3603" s="4" t="inlineStr">
        <is>
          <t>● (p) 1.Stufe - LP 1-3 GL</t>
        </is>
      </c>
      <c r="C3603" s="4" t="inlineStr">
        <is>
          <t>Pauschale</t>
        </is>
      </c>
      <c r="D3603" s="10" t="inlineStr">
        <is>
          <t>⚠ Manual erforderlich</t>
        </is>
      </c>
      <c r="E3603" s="11" t="inlineStr"/>
      <c r="F3603" s="11" t="n">
        <v>0</v>
      </c>
      <c r="G3603" s="11">
        <f>E3603-F3603</f>
        <v/>
      </c>
      <c r="H3603" s="11" t="n">
        <v>0</v>
      </c>
      <c r="I3603" s="11" t="n">
        <v>0</v>
      </c>
      <c r="J3603" s="11" t="n">
        <v>0</v>
      </c>
      <c r="K3603" s="4" t="inlineStr">
        <is>
          <t>Stundensätze eingeben</t>
        </is>
      </c>
    </row>
    <row r="3604">
      <c r="A3604" s="4" t="inlineStr">
        <is>
          <t>6774 AHO-Feuerwehrstützpunkt-Heiligenröderstraße-74-Niestetal</t>
        </is>
      </c>
      <c r="B3604" s="4" t="inlineStr">
        <is>
          <t>● (p) 2. Stufe LP 4-5 GL</t>
        </is>
      </c>
      <c r="C3604" s="4" t="inlineStr">
        <is>
          <t>Pauschale</t>
        </is>
      </c>
      <c r="D3604" s="10" t="inlineStr">
        <is>
          <t>⚠ Manual erforderlich</t>
        </is>
      </c>
      <c r="E3604" s="11" t="inlineStr"/>
      <c r="F3604" s="11" t="n">
        <v>0</v>
      </c>
      <c r="G3604" s="11">
        <f>E3604-F3604</f>
        <v/>
      </c>
      <c r="H3604" s="11" t="n">
        <v>0</v>
      </c>
      <c r="I3604" s="11" t="n">
        <v>0</v>
      </c>
      <c r="J3604" s="11" t="n">
        <v>0</v>
      </c>
      <c r="K3604" s="4" t="inlineStr">
        <is>
          <t>Stundensätze eingeben</t>
        </is>
      </c>
    </row>
    <row r="3605">
      <c r="A3605" s="4" t="inlineStr">
        <is>
          <t>6774 AHO-Feuerwehrstützpunkt-Heiligenröderstraße-74-Niestetal</t>
        </is>
      </c>
      <c r="B3605" s="4" t="inlineStr">
        <is>
          <t>● (p) 3. Stufe LP 8 GL</t>
        </is>
      </c>
      <c r="C3605" s="4" t="inlineStr">
        <is>
          <t>Pauschale</t>
        </is>
      </c>
      <c r="D3605" s="10" t="inlineStr">
        <is>
          <t>⚠ Manual erforderlich</t>
        </is>
      </c>
      <c r="E3605" s="11" t="inlineStr"/>
      <c r="F3605" s="11" t="n">
        <v>0</v>
      </c>
      <c r="G3605" s="11">
        <f>E3605-F3605</f>
        <v/>
      </c>
      <c r="H3605" s="11" t="n">
        <v>0</v>
      </c>
      <c r="I3605" s="11" t="n">
        <v>0</v>
      </c>
      <c r="J3605" s="11" t="n">
        <v>0</v>
      </c>
      <c r="K3605" s="4" t="inlineStr">
        <is>
          <t>Stundensätze eingeben</t>
        </is>
      </c>
    </row>
    <row r="3606">
      <c r="A3606" s="4" t="inlineStr">
        <is>
          <t>6774 AHO-Feuerwehrstützpunkt-Heiligenröderstraße-74-Niestetal</t>
        </is>
      </c>
      <c r="B3606" s="4" t="inlineStr">
        <is>
          <t>● (p) 3. Stufe LP 8 BL</t>
        </is>
      </c>
      <c r="C3606" s="4" t="inlineStr">
        <is>
          <t>Pauschale</t>
        </is>
      </c>
      <c r="D3606" s="10" t="inlineStr">
        <is>
          <t>⚠ Manual erforderlich</t>
        </is>
      </c>
      <c r="E3606" s="11" t="inlineStr"/>
      <c r="F3606" s="11" t="n">
        <v>0</v>
      </c>
      <c r="G3606" s="11">
        <f>E3606-F3606</f>
        <v/>
      </c>
      <c r="H3606" s="11" t="n">
        <v>0</v>
      </c>
      <c r="I3606" s="11" t="n">
        <v>0</v>
      </c>
      <c r="J3606" s="11" t="n">
        <v>0</v>
      </c>
      <c r="K3606" s="4" t="inlineStr">
        <is>
          <t>Stundensätze eingeben</t>
        </is>
      </c>
    </row>
    <row r="3607">
      <c r="A3607" s="4" t="inlineStr">
        <is>
          <t>6774 AHO-Feuerwehrstützpunkt-Heiligenröderstraße-74-Niestetal</t>
        </is>
      </c>
      <c r="B3607" s="4" t="inlineStr">
        <is>
          <t>● (p) Pos.1 Nachtrag Stufe 1 (LPH 1-3)</t>
        </is>
      </c>
      <c r="C3607" s="4" t="inlineStr">
        <is>
          <t>Pauschale</t>
        </is>
      </c>
      <c r="D3607" s="10" t="inlineStr">
        <is>
          <t>⚠ Manual erforderlich</t>
        </is>
      </c>
      <c r="E3607" s="11" t="inlineStr"/>
      <c r="F3607" s="11" t="n">
        <v>0</v>
      </c>
      <c r="G3607" s="11">
        <f>E3607-F3607</f>
        <v/>
      </c>
      <c r="H3607" s="11" t="n">
        <v>0</v>
      </c>
      <c r="I3607" s="11" t="n">
        <v>0</v>
      </c>
      <c r="J3607" s="11" t="n">
        <v>0</v>
      </c>
      <c r="K3607" s="4" t="inlineStr">
        <is>
          <t>Stundensätze eingeben</t>
        </is>
      </c>
    </row>
    <row r="3608">
      <c r="A3608" s="4" t="inlineStr">
        <is>
          <t>6774 AHO-Feuerwehrstützpunkt-Heiligenröderstraße-74-Niestetal</t>
        </is>
      </c>
      <c r="B3608" s="4" t="inlineStr">
        <is>
          <t>● (p) Pos.1 Stufe 1 2025 (LPH 2 Vorpl. + LPH 3 Entwurfspl.)</t>
        </is>
      </c>
      <c r="C3608" s="4" t="inlineStr">
        <is>
          <t>Pauschale</t>
        </is>
      </c>
      <c r="D3608" s="10" t="inlineStr">
        <is>
          <t>⚠ Manual erforderlich</t>
        </is>
      </c>
      <c r="E3608" s="11" t="inlineStr"/>
      <c r="F3608" s="11" t="n">
        <v>0</v>
      </c>
      <c r="G3608" s="11">
        <f>E3608-F3608</f>
        <v/>
      </c>
      <c r="H3608" s="11" t="n">
        <v>0</v>
      </c>
      <c r="I3608" s="11" t="n">
        <v>0</v>
      </c>
      <c r="J3608" s="11" t="n">
        <v>0</v>
      </c>
      <c r="K3608" s="4" t="inlineStr">
        <is>
          <t>Stundensätze eingeben</t>
        </is>
      </c>
    </row>
    <row r="3609">
      <c r="A3609" s="4" t="inlineStr">
        <is>
          <t>6774 AHO-Feuerwehrstützpunkt-Heiligenröderstraße-74-Niestetal</t>
        </is>
      </c>
      <c r="B3609" s="4" t="inlineStr">
        <is>
          <t>● (p) Pos.2 Stufe 2 2025 (LPH 4 Genehmigungspl. + LPH 5 Ausführungspl.)</t>
        </is>
      </c>
      <c r="C3609" s="4" t="inlineStr">
        <is>
          <t>Pauschale</t>
        </is>
      </c>
      <c r="D3609" s="10" t="inlineStr">
        <is>
          <t>⚠ Manual erforderlich</t>
        </is>
      </c>
      <c r="E3609" s="11" t="inlineStr"/>
      <c r="F3609" s="11" t="n">
        <v>0</v>
      </c>
      <c r="G3609" s="11">
        <f>E3609-F3609</f>
        <v/>
      </c>
      <c r="H3609" s="11" t="n">
        <v>0</v>
      </c>
      <c r="I3609" s="11" t="n">
        <v>0</v>
      </c>
      <c r="J3609" s="11" t="n">
        <v>0</v>
      </c>
      <c r="K3609" s="4" t="inlineStr">
        <is>
          <t>Stundensätze eingeben</t>
        </is>
      </c>
    </row>
    <row r="3610">
      <c r="A3610" s="4" t="inlineStr">
        <is>
          <t>6774 AHO-Feuerwehrstützpunkt-Heiligenröderstraße-74-Niestetal</t>
        </is>
      </c>
      <c r="B3610" s="4" t="inlineStr">
        <is>
          <t>● (p) Pos.3 Stufe 3 2025 (LPH 8 Objektüberwachung)</t>
        </is>
      </c>
      <c r="C3610" s="4" t="inlineStr">
        <is>
          <t>Pauschale</t>
        </is>
      </c>
      <c r="D3610" s="10" t="inlineStr">
        <is>
          <t>⚠ Manual erforderlich</t>
        </is>
      </c>
      <c r="E3610" s="11" t="inlineStr"/>
      <c r="F3610" s="11" t="n">
        <v>0</v>
      </c>
      <c r="G3610" s="11">
        <f>E3610-F3610</f>
        <v/>
      </c>
      <c r="H3610" s="11" t="n">
        <v>0</v>
      </c>
      <c r="I3610" s="11" t="n">
        <v>0</v>
      </c>
      <c r="J3610" s="11" t="n">
        <v>0</v>
      </c>
      <c r="K3610" s="4" t="inlineStr">
        <is>
          <t>Stundensätze eingeben</t>
        </is>
      </c>
    </row>
    <row r="3611">
      <c r="A3611" s="4" t="inlineStr">
        <is>
          <t>6776 FWP-Casinoparkhaus-Bad-Homburg</t>
        </is>
      </c>
      <c r="B3611" s="4" t="inlineStr">
        <is>
          <t>● (p) Erstellung Feuerwehrpläne</t>
        </is>
      </c>
      <c r="C3611" s="4" t="inlineStr">
        <is>
          <t>Pauschale</t>
        </is>
      </c>
      <c r="D3611" s="10" t="inlineStr">
        <is>
          <t>⚠ Manual erforderlich</t>
        </is>
      </c>
      <c r="E3611" s="11" t="inlineStr"/>
      <c r="F3611" s="11" t="n">
        <v>0</v>
      </c>
      <c r="G3611" s="11">
        <f>E3611-F3611</f>
        <v/>
      </c>
      <c r="H3611" s="11" t="n">
        <v>0</v>
      </c>
      <c r="I3611" s="11" t="n">
        <v>0</v>
      </c>
      <c r="J3611" s="11" t="n">
        <v>0</v>
      </c>
      <c r="K3611" s="4" t="inlineStr">
        <is>
          <t>Stundensätze eingeben</t>
        </is>
      </c>
    </row>
    <row r="3612">
      <c r="A3612" s="4" t="inlineStr">
        <is>
          <t>6780 Waldstraße18-Offenbach-HPPVO</t>
        </is>
      </c>
      <c r="B3612" s="4" t="inlineStr">
        <is>
          <t>● • (a.N.) Prüfung/Bescheinigung BSN</t>
        </is>
      </c>
      <c r="C3612" s="4" t="inlineStr">
        <is>
          <t>Nachweis</t>
        </is>
      </c>
      <c r="D3612" s="10" t="inlineStr">
        <is>
          <t>⚠ Manual erforderlich</t>
        </is>
      </c>
      <c r="E3612" s="11" t="inlineStr"/>
      <c r="F3612" s="11" t="n">
        <v>0</v>
      </c>
      <c r="G3612" s="11">
        <f>E3612-F3612</f>
        <v/>
      </c>
      <c r="H3612" s="11" t="n">
        <v/>
      </c>
      <c r="I3612" s="11" t="n">
        <v/>
      </c>
      <c r="J3612" s="11" t="n">
        <v/>
      </c>
      <c r="K3612" s="4" t="inlineStr">
        <is>
          <t>Stundensätze eingeben</t>
        </is>
      </c>
    </row>
    <row r="3613">
      <c r="A3613" s="4" t="inlineStr">
        <is>
          <t>6780 Waldstraße18-Offenbach-HPPVO</t>
        </is>
      </c>
      <c r="B3613" s="4" t="inlineStr">
        <is>
          <t>● • (a.N.) Überwachung/Bescheinigung Bauausführung BSN</t>
        </is>
      </c>
      <c r="C3613" s="4" t="inlineStr">
        <is>
          <t>Nachweis</t>
        </is>
      </c>
      <c r="D3613" s="10" t="inlineStr">
        <is>
          <t>⚠ Manual erforderlich</t>
        </is>
      </c>
      <c r="E3613" s="11" t="inlineStr"/>
      <c r="F3613" s="11" t="n">
        <v>0</v>
      </c>
      <c r="G3613" s="11">
        <f>E3613-F3613</f>
        <v/>
      </c>
      <c r="H3613" s="11" t="n">
        <v/>
      </c>
      <c r="I3613" s="11" t="n">
        <v/>
      </c>
      <c r="J3613" s="11" t="n">
        <v/>
      </c>
      <c r="K3613" s="4" t="inlineStr">
        <is>
          <t>Stundensätze eingeben</t>
        </is>
      </c>
    </row>
    <row r="3614">
      <c r="A3614" s="4" t="inlineStr">
        <is>
          <t>6780 Waldstraße18-Offenbach-HPPVO</t>
        </is>
      </c>
      <c r="B3614" s="4" t="inlineStr">
        <is>
          <t>● • (a.N.) Abfrage Leistungsfähigkeit FW</t>
        </is>
      </c>
      <c r="C3614" s="4" t="inlineStr">
        <is>
          <t>Nachweis</t>
        </is>
      </c>
      <c r="D3614" s="10" t="inlineStr">
        <is>
          <t>⚠ Manual erforderlich</t>
        </is>
      </c>
      <c r="E3614" s="11" t="inlineStr"/>
      <c r="F3614" s="11" t="n">
        <v>0</v>
      </c>
      <c r="G3614" s="11">
        <f>E3614-F3614</f>
        <v/>
      </c>
      <c r="H3614" s="11" t="n">
        <v/>
      </c>
      <c r="I3614" s="11" t="n">
        <v/>
      </c>
      <c r="J3614" s="11" t="n">
        <v/>
      </c>
      <c r="K3614" s="4" t="inlineStr">
        <is>
          <t>Stundensätze eingeben</t>
        </is>
      </c>
    </row>
    <row r="3615">
      <c r="A3615" s="4" t="inlineStr">
        <is>
          <t>6781 Planung-Sprinkler-Pumpenzentrale-Südwerk-Rudolf-Eber-Straße-2-Oberkochen-Zeiss-FLA</t>
        </is>
      </c>
      <c r="B3615" s="4" t="inlineStr">
        <is>
          <t>● (p) LP1</t>
        </is>
      </c>
      <c r="C3615" s="4" t="inlineStr">
        <is>
          <t>Pauschale</t>
        </is>
      </c>
      <c r="D3615" s="10" t="inlineStr">
        <is>
          <t>⚠ Manual erforderlich</t>
        </is>
      </c>
      <c r="E3615" s="11" t="inlineStr"/>
      <c r="F3615" s="11" t="n">
        <v>0</v>
      </c>
      <c r="G3615" s="11">
        <f>E3615-F3615</f>
        <v/>
      </c>
      <c r="H3615" s="11" t="n">
        <v>0</v>
      </c>
      <c r="I3615" s="11" t="n">
        <v>0</v>
      </c>
      <c r="J3615" s="11" t="n">
        <v>0</v>
      </c>
      <c r="K3615" s="4" t="inlineStr">
        <is>
          <t>Stundensätze eingeben</t>
        </is>
      </c>
    </row>
    <row r="3616">
      <c r="A3616" s="4" t="inlineStr">
        <is>
          <t>6781 Planung-Sprinkler-Pumpenzentrale-Südwerk-Rudolf-Eber-Straße-2-Oberkochen-Zeiss-FLA</t>
        </is>
      </c>
      <c r="B3616" s="4" t="inlineStr">
        <is>
          <t>● (p) LP2</t>
        </is>
      </c>
      <c r="C3616" s="4" t="inlineStr">
        <is>
          <t>Pauschale</t>
        </is>
      </c>
      <c r="D3616" s="10" t="inlineStr">
        <is>
          <t>⚠ Manual erforderlich</t>
        </is>
      </c>
      <c r="E3616" s="11" t="inlineStr"/>
      <c r="F3616" s="11" t="n">
        <v>0</v>
      </c>
      <c r="G3616" s="11">
        <f>E3616-F3616</f>
        <v/>
      </c>
      <c r="H3616" s="11" t="n">
        <v>0</v>
      </c>
      <c r="I3616" s="11" t="n">
        <v>0</v>
      </c>
      <c r="J3616" s="11" t="n">
        <v>0</v>
      </c>
      <c r="K3616" s="4" t="inlineStr">
        <is>
          <t>Stundensätze eingeben</t>
        </is>
      </c>
    </row>
    <row r="3617">
      <c r="A3617" s="4" t="inlineStr">
        <is>
          <t>6781 Planung-Sprinkler-Pumpenzentrale-Südwerk-Rudolf-Eber-Straße-2-Oberkochen-Zeiss-FLA</t>
        </is>
      </c>
      <c r="B3617" s="4" t="inlineStr">
        <is>
          <t>● (p) LP3</t>
        </is>
      </c>
      <c r="C3617" s="4" t="inlineStr">
        <is>
          <t>Pauschale</t>
        </is>
      </c>
      <c r="D3617" s="10" t="inlineStr">
        <is>
          <t>⚠ Manual erforderlich</t>
        </is>
      </c>
      <c r="E3617" s="11" t="inlineStr"/>
      <c r="F3617" s="11" t="n">
        <v>0</v>
      </c>
      <c r="G3617" s="11">
        <f>E3617-F3617</f>
        <v/>
      </c>
      <c r="H3617" s="11" t="n">
        <v>0</v>
      </c>
      <c r="I3617" s="11" t="n">
        <v>0</v>
      </c>
      <c r="J3617" s="11" t="n">
        <v>0</v>
      </c>
      <c r="K3617" s="4" t="inlineStr">
        <is>
          <t>Stundensätze eingeben</t>
        </is>
      </c>
    </row>
    <row r="3618">
      <c r="A3618" s="4" t="inlineStr">
        <is>
          <t>6782 Fraport-RV-BTB-Geb455</t>
        </is>
      </c>
      <c r="B3618" s="4" t="inlineStr">
        <is>
          <t>● (a.N.) BTB</t>
        </is>
      </c>
      <c r="C3618" s="4" t="inlineStr">
        <is>
          <t>Nachweis</t>
        </is>
      </c>
      <c r="D3618" s="10" t="inlineStr">
        <is>
          <t>⚠ Manual erforderlich</t>
        </is>
      </c>
      <c r="E3618" s="11" t="inlineStr"/>
      <c r="F3618" s="11" t="n">
        <v>0</v>
      </c>
      <c r="G3618" s="11">
        <f>E3618-F3618</f>
        <v/>
      </c>
      <c r="H3618" s="11" t="n">
        <v/>
      </c>
      <c r="I3618" s="11" t="n">
        <v/>
      </c>
      <c r="J3618" s="11" t="n">
        <v/>
      </c>
      <c r="K3618" s="4" t="inlineStr">
        <is>
          <t>Stundensätze eingeben</t>
        </is>
      </c>
    </row>
    <row r="3619">
      <c r="A3619" s="4" t="inlineStr">
        <is>
          <t>6782.01 Fraport-RV-BTB-FuR-Geb455</t>
        </is>
      </c>
      <c r="B3619" s="4" t="inlineStr">
        <is>
          <t>● (p) Pos. 1 Überarbeitung / Überprüfung der Flucht- und Rettungspläne</t>
        </is>
      </c>
      <c r="C3619" s="4" t="inlineStr">
        <is>
          <t>Pauschale</t>
        </is>
      </c>
      <c r="D3619" s="10" t="inlineStr">
        <is>
          <t>⚠ Manual erforderlich</t>
        </is>
      </c>
      <c r="E3619" s="11" t="inlineStr"/>
      <c r="F3619" s="11" t="n">
        <v>0</v>
      </c>
      <c r="G3619" s="11">
        <f>E3619-F3619</f>
        <v/>
      </c>
      <c r="H3619" s="11" t="n">
        <v>0</v>
      </c>
      <c r="I3619" s="11" t="n">
        <v>0</v>
      </c>
      <c r="J3619" s="11" t="n">
        <v>0</v>
      </c>
      <c r="K3619" s="4" t="inlineStr">
        <is>
          <t>Stundensätze eingeben</t>
        </is>
      </c>
    </row>
    <row r="3620">
      <c r="A3620" s="4" t="inlineStr">
        <is>
          <t>6782.01 Fraport-RV-BTB-FuR-Geb455</t>
        </is>
      </c>
      <c r="B3620" s="4" t="inlineStr">
        <is>
          <t>● (p) Pos. 2 Überarbeitung / Überprüfung der Feuerwehrpläne</t>
        </is>
      </c>
      <c r="C3620" s="4" t="inlineStr">
        <is>
          <t>Pauschale</t>
        </is>
      </c>
      <c r="D3620" s="10" t="inlineStr">
        <is>
          <t>⚠ Manual erforderlich</t>
        </is>
      </c>
      <c r="E3620" s="11" t="inlineStr"/>
      <c r="F3620" s="11" t="n">
        <v>0</v>
      </c>
      <c r="G3620" s="11">
        <f>E3620-F3620</f>
        <v/>
      </c>
      <c r="H3620" s="11" t="n">
        <v>0</v>
      </c>
      <c r="I3620" s="11" t="n">
        <v>0</v>
      </c>
      <c r="J3620" s="11" t="n">
        <v>0</v>
      </c>
      <c r="K3620" s="4" t="inlineStr">
        <is>
          <t>Stundensätze eingeben</t>
        </is>
      </c>
    </row>
    <row r="3621">
      <c r="A3621" s="4" t="inlineStr">
        <is>
          <t>6782.01 Fraport-RV-BTB-FuR-Geb455</t>
        </is>
      </c>
      <c r="B3621" s="4" t="inlineStr">
        <is>
          <t>● (p) Pos. 3 Brandschutztechnische Beratung</t>
        </is>
      </c>
      <c r="C3621" s="4" t="inlineStr">
        <is>
          <t>Pauschale</t>
        </is>
      </c>
      <c r="D3621" s="10" t="inlineStr">
        <is>
          <t>⚠ Manual erforderlich</t>
        </is>
      </c>
      <c r="E3621" s="11" t="inlineStr"/>
      <c r="F3621" s="11" t="n">
        <v>0</v>
      </c>
      <c r="G3621" s="11">
        <f>E3621-F3621</f>
        <v/>
      </c>
      <c r="H3621" s="11" t="n">
        <v>0</v>
      </c>
      <c r="I3621" s="11" t="n">
        <v>0</v>
      </c>
      <c r="J3621" s="11" t="n">
        <v>0</v>
      </c>
      <c r="K3621" s="4" t="inlineStr">
        <is>
          <t>Stundensätze eingeben</t>
        </is>
      </c>
    </row>
    <row r="3622">
      <c r="A3622" s="4" t="inlineStr">
        <is>
          <t>6787 LAK-Redundanz-Sprinkleranbindung-Rudolf-Eber-Straße-2-Oberkochen-Zeiss-FLA</t>
        </is>
      </c>
      <c r="B3622" s="4" t="inlineStr">
        <is>
          <t>● (aN) LP 1</t>
        </is>
      </c>
      <c r="C3622" s="4" t="inlineStr">
        <is>
          <t>Nachweis</t>
        </is>
      </c>
      <c r="D3622" s="10" t="inlineStr">
        <is>
          <t>⚠ Manual erforderlich</t>
        </is>
      </c>
      <c r="E3622" s="11" t="inlineStr"/>
      <c r="F3622" s="11" t="n">
        <v>0</v>
      </c>
      <c r="G3622" s="11">
        <f>E3622-F3622</f>
        <v/>
      </c>
      <c r="H3622" s="11" t="n">
        <v/>
      </c>
      <c r="I3622" s="11" t="n">
        <v/>
      </c>
      <c r="J3622" s="11" t="n">
        <v/>
      </c>
      <c r="K3622" s="4" t="inlineStr">
        <is>
          <t>Stundensätze eingeben</t>
        </is>
      </c>
    </row>
    <row r="3623">
      <c r="A3623" s="4" t="inlineStr">
        <is>
          <t>6787 LAK-Redundanz-Sprinkleranbindung-Rudolf-Eber-Straße-2-Oberkochen-Zeiss-FLA</t>
        </is>
      </c>
      <c r="B3623" s="4" t="inlineStr">
        <is>
          <t>● (p) LP2</t>
        </is>
      </c>
      <c r="C3623" s="4" t="inlineStr">
        <is>
          <t>Pauschale</t>
        </is>
      </c>
      <c r="D3623" s="10" t="inlineStr">
        <is>
          <t>⚠ Manual erforderlich</t>
        </is>
      </c>
      <c r="E3623" s="11" t="inlineStr"/>
      <c r="F3623" s="11" t="n">
        <v>0</v>
      </c>
      <c r="G3623" s="11">
        <f>E3623-F3623</f>
        <v/>
      </c>
      <c r="H3623" s="11" t="n">
        <v>0</v>
      </c>
      <c r="I3623" s="11" t="n">
        <v>0</v>
      </c>
      <c r="J3623" s="11" t="n">
        <v>0</v>
      </c>
      <c r="K3623" s="4" t="inlineStr">
        <is>
          <t>Stundensätze eingeben</t>
        </is>
      </c>
    </row>
    <row r="3624">
      <c r="A3624" s="4" t="inlineStr">
        <is>
          <t>6787 LAK-Redundanz-Sprinkleranbindung-Rudolf-Eber-Straße-2-Oberkochen-Zeiss-FLA</t>
        </is>
      </c>
      <c r="B3624" s="4" t="inlineStr">
        <is>
          <t>● (p) LP3</t>
        </is>
      </c>
      <c r="C3624" s="4" t="inlineStr">
        <is>
          <t>Pauschale</t>
        </is>
      </c>
      <c r="D3624" s="10" t="inlineStr">
        <is>
          <t>⚠ Manual erforderlich</t>
        </is>
      </c>
      <c r="E3624" s="11" t="inlineStr"/>
      <c r="F3624" s="11" t="n">
        <v>0</v>
      </c>
      <c r="G3624" s="11">
        <f>E3624-F3624</f>
        <v/>
      </c>
      <c r="H3624" s="11" t="n">
        <v>0</v>
      </c>
      <c r="I3624" s="11" t="n">
        <v>0</v>
      </c>
      <c r="J3624" s="11" t="n">
        <v>0</v>
      </c>
      <c r="K3624" s="4" t="inlineStr">
        <is>
          <t>Stundensätze eingeben</t>
        </is>
      </c>
    </row>
    <row r="3625">
      <c r="A3625" s="4" t="inlineStr">
        <is>
          <t>6787.03 CZ-FLA-LP5-Projektlaufzeitverlängerung-LAK-Redundanz-Sprinkleranbindung-RudolfEberStr2-Oberkochen</t>
        </is>
      </c>
      <c r="B3625" s="4" t="inlineStr">
        <is>
          <t>● (aN) Pos. 1 Projektlaufzeitverlängerung LP5 um 6 Monate</t>
        </is>
      </c>
      <c r="C3625" s="4" t="inlineStr">
        <is>
          <t>Nachweis</t>
        </is>
      </c>
      <c r="D3625" s="10" t="inlineStr">
        <is>
          <t>⚠ Manual erforderlich</t>
        </is>
      </c>
      <c r="E3625" s="11" t="inlineStr"/>
      <c r="F3625" s="11" t="n">
        <v>0</v>
      </c>
      <c r="G3625" s="11">
        <f>E3625-F3625</f>
        <v/>
      </c>
      <c r="H3625" s="11" t="n">
        <v/>
      </c>
      <c r="I3625" s="11" t="n">
        <v/>
      </c>
      <c r="J3625" s="11" t="n">
        <v/>
      </c>
      <c r="K3625" s="4" t="inlineStr">
        <is>
          <t>Stundensätze eingeben</t>
        </is>
      </c>
    </row>
    <row r="3626">
      <c r="A3626" s="4" t="inlineStr">
        <is>
          <t>6787.04 CZ-FLA-Konzeptstudie-LAK-Redundanz-Sprinkleranbindung-RudolfEberStr2-Oberkochen</t>
        </is>
      </c>
      <c r="B3626" s="4" t="inlineStr">
        <is>
          <t>● (a.N.) Konzeptstudie Löschwasser-Vorratsbehälter</t>
        </is>
      </c>
      <c r="C3626" s="4" t="inlineStr">
        <is>
          <t>Nachweis</t>
        </is>
      </c>
      <c r="D3626" s="10" t="inlineStr">
        <is>
          <t>⚠ Manual erforderlich</t>
        </is>
      </c>
      <c r="E3626" s="11" t="inlineStr"/>
      <c r="F3626" s="11" t="n">
        <v>0</v>
      </c>
      <c r="G3626" s="11">
        <f>E3626-F3626</f>
        <v/>
      </c>
      <c r="H3626" s="11" t="n">
        <v/>
      </c>
      <c r="I3626" s="11" t="n">
        <v/>
      </c>
      <c r="J3626" s="11" t="n">
        <v/>
      </c>
      <c r="K3626" s="4" t="inlineStr">
        <is>
          <t>Stundensätze eingeben</t>
        </is>
      </c>
    </row>
    <row r="3627">
      <c r="A3627" s="4" t="inlineStr">
        <is>
          <t>6788.01 StadthalleGmbH-BST-FWP-FRP-Stadthalle-Rathausplatz2-Oberursel</t>
        </is>
      </c>
      <c r="B3627" s="4" t="inlineStr">
        <is>
          <t>● • (aN) Pos. 1 Erstellung einer Brandschutztechnischen Stellungnahme</t>
        </is>
      </c>
      <c r="C3627" s="4" t="inlineStr">
        <is>
          <t>Nachweis</t>
        </is>
      </c>
      <c r="D3627" s="10" t="inlineStr">
        <is>
          <t>⚠ Manual erforderlich</t>
        </is>
      </c>
      <c r="E3627" s="11" t="inlineStr"/>
      <c r="F3627" s="11" t="n">
        <v>0</v>
      </c>
      <c r="G3627" s="11">
        <f>E3627-F3627</f>
        <v/>
      </c>
      <c r="H3627" s="11" t="n">
        <v/>
      </c>
      <c r="I3627" s="11" t="n">
        <v/>
      </c>
      <c r="J3627" s="11" t="n">
        <v/>
      </c>
      <c r="K3627" s="4" t="inlineStr">
        <is>
          <t>Stundensätze eingeben</t>
        </is>
      </c>
    </row>
    <row r="3628">
      <c r="A3628" s="4" t="inlineStr">
        <is>
          <t>6788.01 StadthalleGmbH-BST-FWP-FRP-Stadthalle-Rathausplatz2-Oberursel</t>
        </is>
      </c>
      <c r="B3628" s="4" t="inlineStr">
        <is>
          <t>● • (aN) Pos. 2 Anpassung des Brandschutzplatzes 1. OG</t>
        </is>
      </c>
      <c r="C3628" s="4" t="inlineStr">
        <is>
          <t>Nachweis</t>
        </is>
      </c>
      <c r="D3628" s="10" t="inlineStr">
        <is>
          <t>⚠ Manual erforderlich</t>
        </is>
      </c>
      <c r="E3628" s="11" t="inlineStr"/>
      <c r="F3628" s="11" t="n">
        <v>0</v>
      </c>
      <c r="G3628" s="11">
        <f>E3628-F3628</f>
        <v/>
      </c>
      <c r="H3628" s="11" t="n">
        <v/>
      </c>
      <c r="I3628" s="11" t="n">
        <v/>
      </c>
      <c r="J3628" s="11" t="n">
        <v/>
      </c>
      <c r="K3628" s="4" t="inlineStr">
        <is>
          <t>Stundensätze eingeben</t>
        </is>
      </c>
    </row>
    <row r="3629">
      <c r="A3629" s="4" t="inlineStr">
        <is>
          <t>6788.01 StadthalleGmbH-BST-FWP-FRP-Stadthalle-Rathausplatz2-Oberursel</t>
        </is>
      </c>
      <c r="B3629" s="4" t="inlineStr">
        <is>
          <t>● • (p) Pos. 3 Aktualisierung der Feuerwehrpläne</t>
        </is>
      </c>
      <c r="C3629" s="4" t="inlineStr">
        <is>
          <t>Pauschale</t>
        </is>
      </c>
      <c r="D3629" s="10" t="inlineStr">
        <is>
          <t>⚠ Manual erforderlich</t>
        </is>
      </c>
      <c r="E3629" s="11" t="inlineStr"/>
      <c r="F3629" s="11" t="n">
        <v>0</v>
      </c>
      <c r="G3629" s="11">
        <f>E3629-F3629</f>
        <v/>
      </c>
      <c r="H3629" s="11" t="n">
        <v>0</v>
      </c>
      <c r="I3629" s="11" t="n">
        <v>0</v>
      </c>
      <c r="J3629" s="11" t="n">
        <v>0</v>
      </c>
      <c r="K3629" s="4" t="inlineStr">
        <is>
          <t>Stundensätze eingeben</t>
        </is>
      </c>
    </row>
    <row r="3630">
      <c r="A3630" s="4" t="inlineStr">
        <is>
          <t>6788.01 StadthalleGmbH-BST-FWP-FRP-Stadthalle-Rathausplatz2-Oberursel</t>
        </is>
      </c>
      <c r="B3630" s="4" t="inlineStr">
        <is>
          <t>● • (p) Pos. 4 Aktualisierung der Flucht- und Rettungspläne</t>
        </is>
      </c>
      <c r="C3630" s="4" t="inlineStr">
        <is>
          <t>Pauschale</t>
        </is>
      </c>
      <c r="D3630" s="10" t="inlineStr">
        <is>
          <t>⚠ Manual erforderlich</t>
        </is>
      </c>
      <c r="E3630" s="11" t="inlineStr"/>
      <c r="F3630" s="11" t="n">
        <v>0</v>
      </c>
      <c r="G3630" s="11">
        <f>E3630-F3630</f>
        <v/>
      </c>
      <c r="H3630" s="11" t="n">
        <v>0</v>
      </c>
      <c r="I3630" s="11" t="n">
        <v>0</v>
      </c>
      <c r="J3630" s="11" t="n">
        <v>0</v>
      </c>
      <c r="K3630" s="4" t="inlineStr">
        <is>
          <t>Stundensätze eingeben</t>
        </is>
      </c>
    </row>
    <row r="3631">
      <c r="A3631" s="4" t="inlineStr">
        <is>
          <t>6788.01 StadthalleGmbH-BST-FWP-FRP-Stadthalle-Rathausplatz2-Oberursel</t>
        </is>
      </c>
      <c r="B3631" s="4" t="inlineStr">
        <is>
          <t>● • (aN) Pos. 5 nur Tiefgarage</t>
        </is>
      </c>
      <c r="C3631" s="4" t="inlineStr">
        <is>
          <t>Nachweis</t>
        </is>
      </c>
      <c r="D3631" s="10" t="inlineStr">
        <is>
          <t>⚠ Manual erforderlich</t>
        </is>
      </c>
      <c r="E3631" s="11" t="inlineStr"/>
      <c r="F3631" s="11" t="n">
        <v>0</v>
      </c>
      <c r="G3631" s="11">
        <f>E3631-F3631</f>
        <v/>
      </c>
      <c r="H3631" s="11" t="n">
        <v/>
      </c>
      <c r="I3631" s="11" t="n">
        <v/>
      </c>
      <c r="J3631" s="11" t="n">
        <v/>
      </c>
      <c r="K3631" s="4" t="inlineStr">
        <is>
          <t>Stundensätze eingeben</t>
        </is>
      </c>
    </row>
    <row r="3632">
      <c r="A3632" s="4" t="inlineStr">
        <is>
          <t>6788.02 StadtwerkeGmbH-BST-FWP-FRP-Tiefgarage-Rathausplatz2-Oberursel</t>
        </is>
      </c>
      <c r="B3632" s="4" t="inlineStr">
        <is>
          <t>● • (aN) Pos. 1 Erstellung einer Brandschutztechnischen Stellungnahme</t>
        </is>
      </c>
      <c r="C3632" s="4" t="inlineStr">
        <is>
          <t>Nachweis</t>
        </is>
      </c>
      <c r="D3632" s="10" t="inlineStr">
        <is>
          <t>⚠ Manual erforderlich</t>
        </is>
      </c>
      <c r="E3632" s="11" t="inlineStr"/>
      <c r="F3632" s="11" t="n">
        <v>0</v>
      </c>
      <c r="G3632" s="11">
        <f>E3632-F3632</f>
        <v/>
      </c>
      <c r="H3632" s="11" t="n">
        <v/>
      </c>
      <c r="I3632" s="11" t="n">
        <v/>
      </c>
      <c r="J3632" s="11" t="n">
        <v/>
      </c>
      <c r="K3632" s="4" t="inlineStr">
        <is>
          <t>Stundensätze eingeben</t>
        </is>
      </c>
    </row>
    <row r="3633">
      <c r="A3633" s="4" t="inlineStr">
        <is>
          <t>6788.02 StadtwerkeGmbH-BST-FWP-FRP-Tiefgarage-Rathausplatz2-Oberursel</t>
        </is>
      </c>
      <c r="B3633" s="4" t="inlineStr">
        <is>
          <t>● • (aN) Pos. 2 Anpassung des Brandschutzplatzes 1. OG</t>
        </is>
      </c>
      <c r="C3633" s="4" t="inlineStr">
        <is>
          <t>Nachweis</t>
        </is>
      </c>
      <c r="D3633" s="10" t="inlineStr">
        <is>
          <t>⚠ Manual erforderlich</t>
        </is>
      </c>
      <c r="E3633" s="11" t="inlineStr"/>
      <c r="F3633" s="11" t="n">
        <v>0</v>
      </c>
      <c r="G3633" s="11">
        <f>E3633-F3633</f>
        <v/>
      </c>
      <c r="H3633" s="11" t="n">
        <v/>
      </c>
      <c r="I3633" s="11" t="n">
        <v/>
      </c>
      <c r="J3633" s="11" t="n">
        <v/>
      </c>
      <c r="K3633" s="4" t="inlineStr">
        <is>
          <t>Stundensätze eingeben</t>
        </is>
      </c>
    </row>
    <row r="3634">
      <c r="A3634" s="4" t="inlineStr">
        <is>
          <t>6788.02 StadtwerkeGmbH-BST-FWP-FRP-Tiefgarage-Rathausplatz2-Oberursel</t>
        </is>
      </c>
      <c r="B3634" s="4" t="inlineStr">
        <is>
          <t>● • (p) Pos. 3 Aktualisierung der Feuerwehrpläne</t>
        </is>
      </c>
      <c r="C3634" s="4" t="inlineStr">
        <is>
          <t>Pauschale</t>
        </is>
      </c>
      <c r="D3634" s="10" t="inlineStr">
        <is>
          <t>⚠ Manual erforderlich</t>
        </is>
      </c>
      <c r="E3634" s="11" t="inlineStr"/>
      <c r="F3634" s="11" t="n">
        <v>0</v>
      </c>
      <c r="G3634" s="11">
        <f>E3634-F3634</f>
        <v/>
      </c>
      <c r="H3634" s="11" t="n">
        <v>0</v>
      </c>
      <c r="I3634" s="11" t="n">
        <v>0</v>
      </c>
      <c r="J3634" s="11" t="n">
        <v>0</v>
      </c>
      <c r="K3634" s="4" t="inlineStr">
        <is>
          <t>Stundensätze eingeben</t>
        </is>
      </c>
    </row>
    <row r="3635">
      <c r="A3635" s="4" t="inlineStr">
        <is>
          <t>6788.02 StadtwerkeGmbH-BST-FWP-FRP-Tiefgarage-Rathausplatz2-Oberursel</t>
        </is>
      </c>
      <c r="B3635" s="4" t="inlineStr">
        <is>
          <t>● • (p) Pos. 4 Aktualisierung der Flucht- und Rettungspläne</t>
        </is>
      </c>
      <c r="C3635" s="4" t="inlineStr">
        <is>
          <t>Pauschale</t>
        </is>
      </c>
      <c r="D3635" s="10" t="inlineStr">
        <is>
          <t>⚠ Manual erforderlich</t>
        </is>
      </c>
      <c r="E3635" s="11" t="inlineStr"/>
      <c r="F3635" s="11" t="n">
        <v>0</v>
      </c>
      <c r="G3635" s="11">
        <f>E3635-F3635</f>
        <v/>
      </c>
      <c r="H3635" s="11" t="n">
        <v/>
      </c>
      <c r="I3635" s="11" t="n">
        <v/>
      </c>
      <c r="J3635" s="11" t="n">
        <v/>
      </c>
      <c r="K3635" s="4" t="inlineStr">
        <is>
          <t>Stundensätze eingeben</t>
        </is>
      </c>
    </row>
    <row r="3636">
      <c r="A3636" s="4" t="inlineStr">
        <is>
          <t>6788.02 StadtwerkeGmbH-BST-FWP-FRP-Tiefgarage-Rathausplatz2-Oberursel</t>
        </is>
      </c>
      <c r="B3636" s="4" t="inlineStr">
        <is>
          <t>● • (aN) Pos. 5 nur Tiefgarage</t>
        </is>
      </c>
      <c r="C3636" s="4" t="inlineStr">
        <is>
          <t>Nachweis</t>
        </is>
      </c>
      <c r="D3636" s="10" t="inlineStr">
        <is>
          <t>⚠ Manual erforderlich</t>
        </is>
      </c>
      <c r="E3636" s="11" t="inlineStr"/>
      <c r="F3636" s="11" t="n">
        <v>0</v>
      </c>
      <c r="G3636" s="11">
        <f>E3636-F3636</f>
        <v/>
      </c>
      <c r="H3636" s="11" t="n">
        <v/>
      </c>
      <c r="I3636" s="11" t="n">
        <v/>
      </c>
      <c r="J3636" s="11" t="n">
        <v/>
      </c>
      <c r="K3636" s="4" t="inlineStr">
        <is>
          <t>Stundensätze eingeben</t>
        </is>
      </c>
    </row>
    <row r="3637">
      <c r="A3637" s="4" t="inlineStr">
        <is>
          <t>6792 BST-AFF1-Mooswaldallee1-Freiburg</t>
        </is>
      </c>
      <c r="B3637" s="4" t="inlineStr">
        <is>
          <t>● (p.) BST</t>
        </is>
      </c>
      <c r="C3637" s="9" t="inlineStr">
        <is>
          <t>Unbekannt</t>
        </is>
      </c>
      <c r="D3637" s="10" t="inlineStr">
        <is>
          <t>⚠ Manual erforderlich</t>
        </is>
      </c>
      <c r="E3637" s="11" t="inlineStr"/>
      <c r="F3637" s="11" t="n">
        <v>0</v>
      </c>
      <c r="G3637" s="11">
        <f>E3637-F3637</f>
        <v/>
      </c>
      <c r="H3637" s="11" t="n">
        <v/>
      </c>
      <c r="I3637" s="11" t="n">
        <v/>
      </c>
      <c r="J3637" s="11" t="n">
        <v/>
      </c>
      <c r="K3637" s="4" t="inlineStr">
        <is>
          <t>Abrechnungsart wählen; Stundensätze eingeben</t>
        </is>
      </c>
    </row>
    <row r="3638">
      <c r="A3638" s="4" t="inlineStr">
        <is>
          <t>6794 BTB-Carl-Bosch-Str-38-Ludwigshafen</t>
        </is>
      </c>
      <c r="B3638" s="4" t="inlineStr">
        <is>
          <t>● (a.N.) Brandschutztechnische Beratung (BTB)</t>
        </is>
      </c>
      <c r="C3638" s="4" t="inlineStr">
        <is>
          <t>Nachweis</t>
        </is>
      </c>
      <c r="D3638" s="10" t="inlineStr">
        <is>
          <t>⚠ Manual erforderlich</t>
        </is>
      </c>
      <c r="E3638" s="11" t="inlineStr"/>
      <c r="F3638" s="11" t="n">
        <v>0</v>
      </c>
      <c r="G3638" s="11">
        <f>E3638-F3638</f>
        <v/>
      </c>
      <c r="H3638" s="11" t="n">
        <v/>
      </c>
      <c r="I3638" s="11" t="n">
        <v/>
      </c>
      <c r="J3638" s="11" t="n">
        <v/>
      </c>
      <c r="K3638" s="4" t="inlineStr">
        <is>
          <t>Stundensätze eingeben</t>
        </is>
      </c>
    </row>
    <row r="3639">
      <c r="A3639" s="4" t="inlineStr">
        <is>
          <t>6797 Fraport-RV-FRP-Geb462</t>
        </is>
      </c>
      <c r="B3639" s="4" t="inlineStr">
        <is>
          <t>● (a.N.) FRP</t>
        </is>
      </c>
      <c r="C3639" s="4" t="inlineStr">
        <is>
          <t>Nachweis</t>
        </is>
      </c>
      <c r="D3639" s="10" t="inlineStr">
        <is>
          <t>⚠ Manual erforderlich</t>
        </is>
      </c>
      <c r="E3639" s="11" t="inlineStr"/>
      <c r="F3639" s="11" t="n">
        <v>0</v>
      </c>
      <c r="G3639" s="11">
        <f>E3639-F3639</f>
        <v/>
      </c>
      <c r="H3639" s="11" t="n">
        <v/>
      </c>
      <c r="I3639" s="11" t="n">
        <v/>
      </c>
      <c r="J3639" s="11" t="n">
        <v/>
      </c>
      <c r="K3639" s="4" t="inlineStr">
        <is>
          <t>Stundensätze eingeben</t>
        </is>
      </c>
    </row>
    <row r="3640">
      <c r="A3640" s="4" t="inlineStr">
        <is>
          <t>6803.01 Thor-Anp-BSK-NB-Geb6-Landwehrstraße1-Speyer</t>
        </is>
      </c>
      <c r="B3640" s="4" t="inlineStr">
        <is>
          <t>● (p) Pos. 1 Anpassung Brandschutzkonzept</t>
        </is>
      </c>
      <c r="C3640" s="4" t="inlineStr">
        <is>
          <t>Pauschale</t>
        </is>
      </c>
      <c r="D3640" s="10" t="inlineStr">
        <is>
          <t>⚠ Manual erforderlich</t>
        </is>
      </c>
      <c r="E3640" s="11" t="inlineStr"/>
      <c r="F3640" s="11" t="n">
        <v>0</v>
      </c>
      <c r="G3640" s="11">
        <f>E3640-F3640</f>
        <v/>
      </c>
      <c r="H3640" s="11" t="n">
        <v>0</v>
      </c>
      <c r="I3640" s="11" t="n">
        <v>0</v>
      </c>
      <c r="J3640" s="11" t="n">
        <v>0</v>
      </c>
      <c r="K3640" s="4" t="inlineStr">
        <is>
          <t>Stundensätze eingeben</t>
        </is>
      </c>
    </row>
    <row r="3641">
      <c r="A3641" s="4" t="inlineStr">
        <is>
          <t>6803.01 Thor-Anp-BSK-NB-Geb6-Landwehrstraße1-Speyer</t>
        </is>
      </c>
      <c r="B3641" s="4" t="inlineStr">
        <is>
          <t>● (aN) Pos. 2 Abstimmungstermin Genehmigungsbehörde</t>
        </is>
      </c>
      <c r="C3641" s="4" t="inlineStr">
        <is>
          <t>Nachweis</t>
        </is>
      </c>
      <c r="D3641" s="10" t="inlineStr">
        <is>
          <t>⚠ Manual erforderlich</t>
        </is>
      </c>
      <c r="E3641" s="11" t="inlineStr"/>
      <c r="F3641" s="11" t="n">
        <v>0</v>
      </c>
      <c r="G3641" s="11">
        <f>E3641-F3641</f>
        <v/>
      </c>
      <c r="H3641" s="11" t="n">
        <v/>
      </c>
      <c r="I3641" s="11" t="n">
        <v/>
      </c>
      <c r="J3641" s="11" t="n">
        <v/>
      </c>
      <c r="K3641" s="4" t="inlineStr">
        <is>
          <t>Stundensätze eingeben</t>
        </is>
      </c>
    </row>
    <row r="3642">
      <c r="A3642" s="4" t="inlineStr">
        <is>
          <t>6803.02 Thor-PLA-Landwehrstraße1-Speyer-Logistiklager</t>
        </is>
      </c>
      <c r="B3642" s="4" t="inlineStr">
        <is>
          <t>● (p) Pos. 1 Fachtechnische Beratung FLA/Bedarfsplanung (LP0) für den Bau einer Logistikhalle</t>
        </is>
      </c>
      <c r="C3642" s="4" t="inlineStr">
        <is>
          <t>Pauschale</t>
        </is>
      </c>
      <c r="D3642" s="10" t="inlineStr">
        <is>
          <t>⚠ Manual erforderlich</t>
        </is>
      </c>
      <c r="E3642" s="11" t="inlineStr"/>
      <c r="F3642" s="11" t="n">
        <v>0</v>
      </c>
      <c r="G3642" s="11">
        <f>E3642-F3642</f>
        <v/>
      </c>
      <c r="H3642" s="11" t="n">
        <v>0</v>
      </c>
      <c r="I3642" s="11" t="n">
        <v>0</v>
      </c>
      <c r="J3642" s="11" t="n">
        <v>0</v>
      </c>
      <c r="K3642" s="4" t="inlineStr">
        <is>
          <t>Stundensätze eingeben</t>
        </is>
      </c>
    </row>
    <row r="3643">
      <c r="A3643" s="4" t="inlineStr">
        <is>
          <t>6803.03 Thor-BSD-Landwehrstraße1-Speyer</t>
        </is>
      </c>
      <c r="B3643" s="4" t="inlineStr">
        <is>
          <t>● (aN) BTB + BAB</t>
        </is>
      </c>
      <c r="C3643" s="4" t="inlineStr">
        <is>
          <t>Nachweis</t>
        </is>
      </c>
      <c r="D3643" s="10" t="inlineStr">
        <is>
          <t>⚠ Manual erforderlich</t>
        </is>
      </c>
      <c r="E3643" s="11" t="inlineStr"/>
      <c r="F3643" s="11" t="n">
        <v>0</v>
      </c>
      <c r="G3643" s="11">
        <f>E3643-F3643</f>
        <v/>
      </c>
      <c r="H3643" s="11" t="n">
        <v/>
      </c>
      <c r="I3643" s="11" t="n">
        <v/>
      </c>
      <c r="J3643" s="11" t="n">
        <v/>
      </c>
      <c r="K3643" s="4" t="inlineStr">
        <is>
          <t>Stundensätze eingeben</t>
        </is>
      </c>
    </row>
    <row r="3644">
      <c r="A3644" s="4" t="inlineStr">
        <is>
          <t>6816 BTB-Justus-von-Liebig-Str-5-BadHomburg</t>
        </is>
      </c>
      <c r="B3644" s="4" t="inlineStr">
        <is>
          <t>● (an) BTB</t>
        </is>
      </c>
      <c r="C3644" s="4" t="inlineStr">
        <is>
          <t>Nachweis</t>
        </is>
      </c>
      <c r="D3644" s="10" t="inlineStr">
        <is>
          <t>⚠ Manual erforderlich</t>
        </is>
      </c>
      <c r="E3644" s="11" t="inlineStr"/>
      <c r="F3644" s="11" t="n">
        <v>0</v>
      </c>
      <c r="G3644" s="11">
        <f>E3644-F3644</f>
        <v/>
      </c>
      <c r="H3644" s="11" t="n">
        <v/>
      </c>
      <c r="I3644" s="11" t="n">
        <v/>
      </c>
      <c r="J3644" s="11" t="n">
        <v/>
      </c>
      <c r="K3644" s="4" t="inlineStr">
        <is>
          <t>Stundensätze eingeben</t>
        </is>
      </c>
    </row>
    <row r="3645">
      <c r="A3645" s="4" t="inlineStr">
        <is>
          <t>6816 BTB-Justus-von-Liebig-Str-5-BadHomburg</t>
        </is>
      </c>
      <c r="B3645" s="4" t="inlineStr">
        <is>
          <t>● (p) FWP</t>
        </is>
      </c>
      <c r="C3645" s="4" t="inlineStr">
        <is>
          <t>Pauschale</t>
        </is>
      </c>
      <c r="D3645" s="10" t="inlineStr">
        <is>
          <t>⚠ Manual erforderlich</t>
        </is>
      </c>
      <c r="E3645" s="11" t="inlineStr"/>
      <c r="F3645" s="11" t="n">
        <v>0</v>
      </c>
      <c r="G3645" s="11">
        <f>E3645-F3645</f>
        <v/>
      </c>
      <c r="H3645" s="11" t="n">
        <v>0</v>
      </c>
      <c r="I3645" s="11" t="n">
        <v>0</v>
      </c>
      <c r="J3645" s="11" t="n">
        <v>0</v>
      </c>
      <c r="K3645" s="4" t="inlineStr">
        <is>
          <t>Stundensätze eingeben</t>
        </is>
      </c>
    </row>
    <row r="3646">
      <c r="A3646" s="4" t="inlineStr">
        <is>
          <t>6816 BTB-Justus-von-Liebig-Str-5-BadHomburg</t>
        </is>
      </c>
      <c r="B3646" s="4" t="inlineStr">
        <is>
          <t>● (p) FRP</t>
        </is>
      </c>
      <c r="C3646" s="4" t="inlineStr">
        <is>
          <t>Pauschale</t>
        </is>
      </c>
      <c r="D3646" s="10" t="inlineStr">
        <is>
          <t>⚠ Manual erforderlich</t>
        </is>
      </c>
      <c r="E3646" s="11" t="inlineStr"/>
      <c r="F3646" s="11" t="n">
        <v>0</v>
      </c>
      <c r="G3646" s="11">
        <f>E3646-F3646</f>
        <v/>
      </c>
      <c r="H3646" s="11" t="n">
        <v>0</v>
      </c>
      <c r="I3646" s="11" t="n">
        <v>0</v>
      </c>
      <c r="J3646" s="11" t="n">
        <v>0</v>
      </c>
      <c r="K3646" s="4" t="inlineStr">
        <is>
          <t>Stundensätze eingeben</t>
        </is>
      </c>
    </row>
    <row r="3647">
      <c r="A3647" s="4" t="inlineStr">
        <is>
          <t>6816 BTB-Justus-von-Liebig-Str-5-BadHomburg</t>
        </is>
      </c>
      <c r="B3647" s="4" t="inlineStr">
        <is>
          <t>● (p) NAT Digitalisierung von DWG-Dateien</t>
        </is>
      </c>
      <c r="C3647" s="4" t="inlineStr">
        <is>
          <t>Pauschale</t>
        </is>
      </c>
      <c r="D3647" s="10" t="inlineStr">
        <is>
          <t>⚠ Manual erforderlich</t>
        </is>
      </c>
      <c r="E3647" s="11" t="inlineStr"/>
      <c r="F3647" s="11" t="n">
        <v>0</v>
      </c>
      <c r="G3647" s="11">
        <f>E3647-F3647</f>
        <v/>
      </c>
      <c r="H3647" s="11" t="n">
        <v>0</v>
      </c>
      <c r="I3647" s="11" t="n">
        <v>0</v>
      </c>
      <c r="J3647" s="11" t="n">
        <v>0</v>
      </c>
      <c r="K3647" s="4" t="inlineStr">
        <is>
          <t>Stundensätze eingeben</t>
        </is>
      </c>
    </row>
    <row r="3648">
      <c r="A3648" s="4" t="inlineStr">
        <is>
          <t>6821 BTB-Eichgärtenallee-106-110-Giessen</t>
        </is>
      </c>
      <c r="B3648" s="4" t="inlineStr">
        <is>
          <t>● (a.N.) Brandschutztechnische Beratung</t>
        </is>
      </c>
      <c r="C3648" s="4" t="inlineStr">
        <is>
          <t>Nachweis</t>
        </is>
      </c>
      <c r="D3648" s="10" t="inlineStr">
        <is>
          <t>⚠ Manual erforderlich</t>
        </is>
      </c>
      <c r="E3648" s="11" t="inlineStr"/>
      <c r="F3648" s="11" t="n">
        <v>0</v>
      </c>
      <c r="G3648" s="11">
        <f>E3648-F3648</f>
        <v/>
      </c>
      <c r="H3648" s="11" t="n">
        <v/>
      </c>
      <c r="I3648" s="11" t="n">
        <v/>
      </c>
      <c r="J3648" s="11" t="n">
        <v/>
      </c>
      <c r="K3648" s="4" t="inlineStr">
        <is>
          <t>Stundensätze eingeben</t>
        </is>
      </c>
    </row>
    <row r="3649">
      <c r="A3649" s="4" t="inlineStr">
        <is>
          <t>6821 BTB-Eichgärtenallee-106-110-Giessen</t>
        </is>
      </c>
      <c r="B3649" s="4" t="inlineStr">
        <is>
          <t>● (p) Erstellung Brandschutztechnischen Kurzgutachten</t>
        </is>
      </c>
      <c r="C3649" s="4" t="inlineStr">
        <is>
          <t>Pauschale</t>
        </is>
      </c>
      <c r="D3649" s="10" t="inlineStr">
        <is>
          <t>⚠ Manual erforderlich</t>
        </is>
      </c>
      <c r="E3649" s="11" t="inlineStr"/>
      <c r="F3649" s="11" t="n">
        <v>0</v>
      </c>
      <c r="G3649" s="11">
        <f>E3649-F3649</f>
        <v/>
      </c>
      <c r="H3649" s="11" t="n">
        <v>0</v>
      </c>
      <c r="I3649" s="11" t="n">
        <v>0</v>
      </c>
      <c r="J3649" s="11" t="n">
        <v>0</v>
      </c>
      <c r="K3649" s="4" t="inlineStr">
        <is>
          <t>Stundensätze eingeben</t>
        </is>
      </c>
    </row>
    <row r="3650">
      <c r="A3650" s="4" t="inlineStr">
        <is>
          <t>6821 BTB-Eichgärtenallee-106-110-Giessen</t>
        </is>
      </c>
      <c r="B3650" s="4" t="inlineStr">
        <is>
          <t>● (a.N.) Ganzheitliche Fortschreibung des externen Brandschutzkonzeptes</t>
        </is>
      </c>
      <c r="C3650" s="4" t="inlineStr">
        <is>
          <t>Nachweis</t>
        </is>
      </c>
      <c r="D3650" s="10" t="inlineStr">
        <is>
          <t>⚠ Manual erforderlich</t>
        </is>
      </c>
      <c r="E3650" s="11" t="inlineStr"/>
      <c r="F3650" s="11" t="n">
        <v>0</v>
      </c>
      <c r="G3650" s="11">
        <f>E3650-F3650</f>
        <v/>
      </c>
      <c r="H3650" s="11" t="n">
        <v/>
      </c>
      <c r="I3650" s="11" t="n">
        <v/>
      </c>
      <c r="J3650" s="11" t="n">
        <v/>
      </c>
      <c r="K3650" s="4" t="inlineStr">
        <is>
          <t>Stundensätze eingeben</t>
        </is>
      </c>
    </row>
    <row r="3651">
      <c r="A3651" s="4" t="inlineStr">
        <is>
          <t>6822 AHO-Rettungswache-Silostr-23-Ffm</t>
        </is>
      </c>
      <c r="B3651" s="4" t="inlineStr">
        <is>
          <t>● (p) LP 1 GL</t>
        </is>
      </c>
      <c r="C3651" s="4" t="inlineStr">
        <is>
          <t>Pauschale</t>
        </is>
      </c>
      <c r="D3651" s="10" t="inlineStr">
        <is>
          <t>⚠ Manual erforderlich</t>
        </is>
      </c>
      <c r="E3651" s="11" t="inlineStr"/>
      <c r="F3651" s="11" t="n">
        <v>0</v>
      </c>
      <c r="G3651" s="11">
        <f>E3651-F3651</f>
        <v/>
      </c>
      <c r="H3651" s="11" t="n">
        <v>0</v>
      </c>
      <c r="I3651" s="11" t="n">
        <v>0</v>
      </c>
      <c r="J3651" s="11" t="n">
        <v>0</v>
      </c>
      <c r="K3651" s="4" t="inlineStr">
        <is>
          <t>Stundensätze eingeben</t>
        </is>
      </c>
    </row>
    <row r="3652">
      <c r="A3652" s="4" t="inlineStr">
        <is>
          <t>6822 AHO-Rettungswache-Silostr-23-Ffm</t>
        </is>
      </c>
      <c r="B3652" s="4" t="inlineStr">
        <is>
          <t>● (p) LP 2 GL</t>
        </is>
      </c>
      <c r="C3652" s="4" t="inlineStr">
        <is>
          <t>Pauschale</t>
        </is>
      </c>
      <c r="D3652" s="10" t="inlineStr">
        <is>
          <t>⚠ Manual erforderlich</t>
        </is>
      </c>
      <c r="E3652" s="11" t="inlineStr"/>
      <c r="F3652" s="11" t="n">
        <v>0</v>
      </c>
      <c r="G3652" s="11">
        <f>E3652-F3652</f>
        <v/>
      </c>
      <c r="H3652" s="11" t="n">
        <v>0</v>
      </c>
      <c r="I3652" s="11" t="n">
        <v>0</v>
      </c>
      <c r="J3652" s="11" t="n">
        <v>0</v>
      </c>
      <c r="K3652" s="4" t="inlineStr">
        <is>
          <t>Stundensätze eingeben</t>
        </is>
      </c>
    </row>
    <row r="3653">
      <c r="A3653" s="4" t="inlineStr">
        <is>
          <t>6822 AHO-Rettungswache-Silostr-23-Ffm</t>
        </is>
      </c>
      <c r="B3653" s="4" t="inlineStr">
        <is>
          <t>● (p) LP 3 GL</t>
        </is>
      </c>
      <c r="C3653" s="4" t="inlineStr">
        <is>
          <t>Pauschale</t>
        </is>
      </c>
      <c r="D3653" s="10" t="inlineStr">
        <is>
          <t>⚠ Manual erforderlich</t>
        </is>
      </c>
      <c r="E3653" s="11" t="inlineStr"/>
      <c r="F3653" s="11" t="n">
        <v>0</v>
      </c>
      <c r="G3653" s="11">
        <f>E3653-F3653</f>
        <v/>
      </c>
      <c r="H3653" s="11" t="n">
        <v>0</v>
      </c>
      <c r="I3653" s="11" t="n">
        <v>0</v>
      </c>
      <c r="J3653" s="11" t="n">
        <v>0</v>
      </c>
      <c r="K3653" s="4" t="inlineStr">
        <is>
          <t>Stundensätze eingeben</t>
        </is>
      </c>
    </row>
    <row r="3654">
      <c r="A3654" s="4" t="inlineStr">
        <is>
          <t>6822 AHO-Rettungswache-Silostr-23-Ffm</t>
        </is>
      </c>
      <c r="B3654" s="4" t="inlineStr">
        <is>
          <t>● (p) LP 4 GL</t>
        </is>
      </c>
      <c r="C3654" s="4" t="inlineStr">
        <is>
          <t>Pauschale</t>
        </is>
      </c>
      <c r="D3654" s="10" t="inlineStr">
        <is>
          <t>⚠ Manual erforderlich</t>
        </is>
      </c>
      <c r="E3654" s="11" t="inlineStr"/>
      <c r="F3654" s="11" t="n">
        <v>0</v>
      </c>
      <c r="G3654" s="11">
        <f>E3654-F3654</f>
        <v/>
      </c>
      <c r="H3654" s="11" t="n">
        <v>0</v>
      </c>
      <c r="I3654" s="11" t="n">
        <v>0</v>
      </c>
      <c r="J3654" s="11" t="n">
        <v>0</v>
      </c>
      <c r="K3654" s="4" t="inlineStr">
        <is>
          <t>Stundensätze eingeben</t>
        </is>
      </c>
    </row>
    <row r="3655">
      <c r="A3655" s="4" t="inlineStr">
        <is>
          <t>6822 AHO-Rettungswache-Silostr-23-Ffm</t>
        </is>
      </c>
      <c r="B3655" s="4" t="inlineStr">
        <is>
          <t>● (aN) AHO LP5 GL - vorab</t>
        </is>
      </c>
      <c r="C3655" s="4" t="inlineStr">
        <is>
          <t>Nachweis</t>
        </is>
      </c>
      <c r="D3655" s="10" t="inlineStr">
        <is>
          <t>⚠ Manual erforderlich</t>
        </is>
      </c>
      <c r="E3655" s="11" t="inlineStr"/>
      <c r="F3655" s="11" t="n">
        <v>0</v>
      </c>
      <c r="G3655" s="11">
        <f>E3655-F3655</f>
        <v/>
      </c>
      <c r="H3655" s="11" t="n">
        <v/>
      </c>
      <c r="I3655" s="11" t="n">
        <v/>
      </c>
      <c r="J3655" s="11" t="n">
        <v/>
      </c>
      <c r="K3655" s="4" t="inlineStr">
        <is>
          <t>Stundensätze eingeben</t>
        </is>
      </c>
    </row>
    <row r="3656">
      <c r="A3656" s="4" t="inlineStr">
        <is>
          <t>6822 AHO-Rettungswache-Silostr-23-Ffm</t>
        </is>
      </c>
      <c r="B3656" s="4" t="inlineStr">
        <is>
          <t>● (aN) AHO LP8 GL - vorab</t>
        </is>
      </c>
      <c r="C3656" s="4" t="inlineStr">
        <is>
          <t>Nachweis</t>
        </is>
      </c>
      <c r="D3656" s="10" t="inlineStr">
        <is>
          <t>⚠ Manual erforderlich</t>
        </is>
      </c>
      <c r="E3656" s="11" t="inlineStr"/>
      <c r="F3656" s="11" t="n">
        <v>0</v>
      </c>
      <c r="G3656" s="11">
        <f>E3656-F3656</f>
        <v/>
      </c>
      <c r="H3656" s="11" t="n">
        <v/>
      </c>
      <c r="I3656" s="11" t="n">
        <v/>
      </c>
      <c r="J3656" s="11" t="n">
        <v/>
      </c>
      <c r="K3656" s="4" t="inlineStr">
        <is>
          <t>Stundensätze eingeben</t>
        </is>
      </c>
    </row>
    <row r="3657">
      <c r="A3657" s="4" t="inlineStr">
        <is>
          <t>6822.01 FRP+BSO-ASB-Rettungswache-Silostr-23-Ffm</t>
        </is>
      </c>
      <c r="B3657" s="4" t="inlineStr">
        <is>
          <t>● (p) Pos.1 Erstellung FRP</t>
        </is>
      </c>
      <c r="C3657" s="4" t="inlineStr">
        <is>
          <t>Pauschale</t>
        </is>
      </c>
      <c r="D3657" s="10" t="inlineStr">
        <is>
          <t>⚠ Manual erforderlich</t>
        </is>
      </c>
      <c r="E3657" s="11" t="inlineStr"/>
      <c r="F3657" s="11" t="n">
        <v>0</v>
      </c>
      <c r="G3657" s="11">
        <f>E3657-F3657</f>
        <v/>
      </c>
      <c r="H3657" s="11" t="n">
        <v>0</v>
      </c>
      <c r="I3657" s="11" t="n">
        <v>0</v>
      </c>
      <c r="J3657" s="11" t="n">
        <v>0</v>
      </c>
      <c r="K3657" s="4" t="inlineStr">
        <is>
          <t>Stundensätze eingeben</t>
        </is>
      </c>
    </row>
    <row r="3658">
      <c r="A3658" s="4" t="inlineStr">
        <is>
          <t>6822.01 FRP+BSO-ASB-Rettungswache-Silostr-23-Ffm</t>
        </is>
      </c>
      <c r="B3658" s="4" t="inlineStr">
        <is>
          <t>● (p) Pos.2 BSO in den Teilen A+B</t>
        </is>
      </c>
      <c r="C3658" s="4" t="inlineStr">
        <is>
          <t>Pauschale</t>
        </is>
      </c>
      <c r="D3658" s="10" t="inlineStr">
        <is>
          <t>⚠ Manual erforderlich</t>
        </is>
      </c>
      <c r="E3658" s="11" t="inlineStr"/>
      <c r="F3658" s="11" t="n">
        <v>0</v>
      </c>
      <c r="G3658" s="11">
        <f>E3658-F3658</f>
        <v/>
      </c>
      <c r="H3658" s="11" t="n">
        <v>0</v>
      </c>
      <c r="I3658" s="11" t="n">
        <v>0</v>
      </c>
      <c r="J3658" s="11" t="n">
        <v>0</v>
      </c>
      <c r="K3658" s="4" t="inlineStr">
        <is>
          <t>Stundensätze eingeben</t>
        </is>
      </c>
    </row>
    <row r="3659">
      <c r="A3659" s="4" t="inlineStr">
        <is>
          <t>6828 BTB-VVVW-ISSW-NeuheimerFeld700-HD</t>
        </is>
      </c>
      <c r="B3659" s="4" t="inlineStr">
        <is>
          <t>● (aN) BTB während Planungsphase</t>
        </is>
      </c>
      <c r="C3659" s="4" t="inlineStr">
        <is>
          <t>Nachweis</t>
        </is>
      </c>
      <c r="D3659" s="10" t="inlineStr">
        <is>
          <t>⚠ Manual erforderlich</t>
        </is>
      </c>
      <c r="E3659" s="11" t="inlineStr"/>
      <c r="F3659" s="11" t="n">
        <v>0</v>
      </c>
      <c r="G3659" s="11">
        <f>E3659-F3659</f>
        <v/>
      </c>
      <c r="H3659" s="11" t="n">
        <v/>
      </c>
      <c r="I3659" s="11" t="n">
        <v/>
      </c>
      <c r="J3659" s="11" t="n">
        <v/>
      </c>
      <c r="K3659" s="4" t="inlineStr">
        <is>
          <t>Stundensätze eingeben</t>
        </is>
      </c>
    </row>
    <row r="3660">
      <c r="A3660" s="4" t="inlineStr">
        <is>
          <t>6829 BSN-Medicom-Landsteinerstr2b-Dreieich-HPPVO</t>
        </is>
      </c>
      <c r="B3660" s="4" t="inlineStr">
        <is>
          <t>● (aN) Prüfung/Bescheinigung BSN</t>
        </is>
      </c>
      <c r="C3660" s="4" t="inlineStr">
        <is>
          <t>Nachweis</t>
        </is>
      </c>
      <c r="D3660" s="10" t="inlineStr">
        <is>
          <t>⚠ Manual erforderlich</t>
        </is>
      </c>
      <c r="E3660" s="11" t="inlineStr"/>
      <c r="F3660" s="11" t="n">
        <v>0</v>
      </c>
      <c r="G3660" s="11">
        <f>E3660-F3660</f>
        <v/>
      </c>
      <c r="H3660" s="11" t="n">
        <v/>
      </c>
      <c r="I3660" s="11" t="n">
        <v/>
      </c>
      <c r="J3660" s="11" t="n">
        <v/>
      </c>
      <c r="K3660" s="4" t="inlineStr">
        <is>
          <t>Stundensätze eingeben</t>
        </is>
      </c>
    </row>
    <row r="3661">
      <c r="A3661" s="4" t="inlineStr">
        <is>
          <t>6829 BSN-Medicom-Landsteinerstr2b-Dreieich-HPPVO</t>
        </is>
      </c>
      <c r="B3661" s="4" t="inlineStr">
        <is>
          <t>● (aN) Überwachung/Bescheinigung Bauausführung mit BSN</t>
        </is>
      </c>
      <c r="C3661" s="4" t="inlineStr">
        <is>
          <t>Nachweis</t>
        </is>
      </c>
      <c r="D3661" s="10" t="inlineStr">
        <is>
          <t>⚠ Manual erforderlich</t>
        </is>
      </c>
      <c r="E3661" s="11" t="inlineStr"/>
      <c r="F3661" s="11" t="n">
        <v>0</v>
      </c>
      <c r="G3661" s="11">
        <f>E3661-F3661</f>
        <v/>
      </c>
      <c r="H3661" s="11" t="n">
        <v/>
      </c>
      <c r="I3661" s="11" t="n">
        <v/>
      </c>
      <c r="J3661" s="11" t="n">
        <v/>
      </c>
      <c r="K3661" s="4" t="inlineStr">
        <is>
          <t>Stundensätze eingeben</t>
        </is>
      </c>
    </row>
    <row r="3662">
      <c r="A3662" s="4" t="inlineStr">
        <is>
          <t>6829 BSN-Medicom-Landsteinerstr2b-Dreieich-HPPVO</t>
        </is>
      </c>
      <c r="B3662" s="4" t="inlineStr">
        <is>
          <t>● (p) Abfrage Leistungsfähigkeit FW</t>
        </is>
      </c>
      <c r="C3662" s="4" t="inlineStr">
        <is>
          <t>Pauschale</t>
        </is>
      </c>
      <c r="D3662" s="10" t="inlineStr">
        <is>
          <t>⚠ Manual erforderlich</t>
        </is>
      </c>
      <c r="E3662" s="11" t="inlineStr"/>
      <c r="F3662" s="11" t="n">
        <v>0</v>
      </c>
      <c r="G3662" s="11">
        <f>E3662-F3662</f>
        <v/>
      </c>
      <c r="H3662" s="11" t="n">
        <v>0</v>
      </c>
      <c r="I3662" s="11" t="n">
        <v>0</v>
      </c>
      <c r="J3662" s="11" t="n">
        <v>0</v>
      </c>
      <c r="K3662" s="4" t="inlineStr">
        <is>
          <t>Stundensätze eingeben</t>
        </is>
      </c>
    </row>
    <row r="3663">
      <c r="A3663" s="4" t="inlineStr">
        <is>
          <t>6832 FAIR-Helmholtz-Darmstadt-LP1+LP8-Planckstraße 1-Darmstadt</t>
        </is>
      </c>
      <c r="B3663" s="4" t="inlineStr">
        <is>
          <t>● (p) LP 1 - Einarbeitung</t>
        </is>
      </c>
      <c r="C3663" s="4" t="inlineStr">
        <is>
          <t>Pauschale</t>
        </is>
      </c>
      <c r="D3663" s="10" t="inlineStr">
        <is>
          <t>⚠ Manual erforderlich</t>
        </is>
      </c>
      <c r="E3663" s="11" t="inlineStr"/>
      <c r="F3663" s="11" t="n">
        <v>0</v>
      </c>
      <c r="G3663" s="11">
        <f>E3663-F3663</f>
        <v/>
      </c>
      <c r="H3663" s="11" t="n">
        <v>0</v>
      </c>
      <c r="I3663" s="11" t="n">
        <v>0</v>
      </c>
      <c r="J3663" s="11" t="n">
        <v>0</v>
      </c>
      <c r="K3663" s="4" t="inlineStr">
        <is>
          <t>Stundensätze eingeben</t>
        </is>
      </c>
    </row>
    <row r="3664">
      <c r="A3664" s="4" t="inlineStr">
        <is>
          <t>6832 FAIR-Helmholtz-Darmstadt-LP1+LP8-Planckstraße 1-Darmstadt</t>
        </is>
      </c>
      <c r="B3664" s="4" t="inlineStr">
        <is>
          <t>● (a.N.) LP 8 - Objektüberwachung</t>
        </is>
      </c>
      <c r="C3664" s="4" t="inlineStr">
        <is>
          <t>Nachweis</t>
        </is>
      </c>
      <c r="D3664" s="10" t="inlineStr">
        <is>
          <t>⚠ Manual erforderlich</t>
        </is>
      </c>
      <c r="E3664" s="11" t="inlineStr"/>
      <c r="F3664" s="11" t="n">
        <v>0</v>
      </c>
      <c r="G3664" s="11">
        <f>E3664-F3664</f>
        <v/>
      </c>
      <c r="H3664" s="11" t="n">
        <v/>
      </c>
      <c r="I3664" s="11" t="n">
        <v/>
      </c>
      <c r="J3664" s="11" t="n">
        <v/>
      </c>
      <c r="K3664" s="4" t="inlineStr">
        <is>
          <t>Stundensätze eingeben</t>
        </is>
      </c>
    </row>
    <row r="3665">
      <c r="A3665" s="4" t="inlineStr">
        <is>
          <t>6832.01 FAIR-LP8-Geb1-K0923A-Planckstraße1-Darmstadt</t>
        </is>
      </c>
      <c r="B3665" s="4" t="inlineStr">
        <is>
          <t>● 01.4.1.a Leistungsgegenstand Ausarbeitung, Begleitung der Ausschreibung und  Vergabe</t>
        </is>
      </c>
      <c r="C3665" s="9" t="inlineStr">
        <is>
          <t>Unbekannt</t>
        </is>
      </c>
      <c r="D3665" s="10" t="inlineStr">
        <is>
          <t>⚠ Manual erforderlich</t>
        </is>
      </c>
      <c r="E3665" s="11" t="inlineStr"/>
      <c r="F3665" s="11" t="n">
        <v>0</v>
      </c>
      <c r="G3665" s="11">
        <f>E3665-F3665</f>
        <v/>
      </c>
      <c r="H3665" s="11" t="n">
        <v/>
      </c>
      <c r="I3665" s="11" t="n">
        <v/>
      </c>
      <c r="J3665" s="11" t="n">
        <v/>
      </c>
      <c r="K3665" s="4" t="inlineStr">
        <is>
          <t>Abrechnungsart wählen; Stundensätze eingeben</t>
        </is>
      </c>
    </row>
    <row r="3666">
      <c r="A3666" s="4" t="inlineStr">
        <is>
          <t>6832.01 FAIR-LP8-Geb1-K0923A-Planckstraße1-Darmstadt</t>
        </is>
      </c>
      <c r="B3666" s="4" t="inlineStr">
        <is>
          <t>● 01.4.2.a Leistungsgegenstand Bauüberwachung Brandschutz</t>
        </is>
      </c>
      <c r="C3666" s="9" t="inlineStr">
        <is>
          <t>Unbekannt</t>
        </is>
      </c>
      <c r="D3666" s="10" t="inlineStr">
        <is>
          <t>⚠ Manual erforderlich</t>
        </is>
      </c>
      <c r="E3666" s="11" t="inlineStr"/>
      <c r="F3666" s="11" t="n">
        <v>0</v>
      </c>
      <c r="G3666" s="11">
        <f>E3666-F3666</f>
        <v/>
      </c>
      <c r="H3666" s="11" t="n">
        <v/>
      </c>
      <c r="I3666" s="11" t="n">
        <v/>
      </c>
      <c r="J3666" s="11" t="n">
        <v/>
      </c>
      <c r="K3666" s="4" t="inlineStr">
        <is>
          <t>Abrechnungsart wählen; Stundensätze eingeben</t>
        </is>
      </c>
    </row>
    <row r="3667">
      <c r="A3667" s="4" t="inlineStr">
        <is>
          <t>6832.01 FAIR-LP8-Geb1-K0923A-Planckstraße1-Darmstadt</t>
        </is>
      </c>
      <c r="B3667" s="4" t="inlineStr">
        <is>
          <t>● 01.4.3.a Leistungsgegenstand Fachbauleiter Brandschutz in der Leistungsphase 8</t>
        </is>
      </c>
      <c r="C3667" s="9" t="inlineStr">
        <is>
          <t>Unbekannt</t>
        </is>
      </c>
      <c r="D3667" s="10" t="inlineStr">
        <is>
          <t>⚠ Manual erforderlich</t>
        </is>
      </c>
      <c r="E3667" s="11" t="inlineStr"/>
      <c r="F3667" s="11" t="n">
        <v>0</v>
      </c>
      <c r="G3667" s="11">
        <f>E3667-F3667</f>
        <v/>
      </c>
      <c r="H3667" s="11" t="n">
        <v/>
      </c>
      <c r="I3667" s="11" t="n">
        <v/>
      </c>
      <c r="J3667" s="11" t="n">
        <v/>
      </c>
      <c r="K3667" s="4" t="inlineStr">
        <is>
          <t>Abrechnungsart wählen; Stundensätze eingeben</t>
        </is>
      </c>
    </row>
    <row r="3668">
      <c r="A3668" s="4" t="inlineStr">
        <is>
          <t>6832.01 FAIR-LP8-Geb1-K0923A-Planckstraße1-Darmstadt</t>
        </is>
      </c>
      <c r="B3668" s="4" t="inlineStr">
        <is>
          <t>● 01.4.4.a Leistungsgegenstand Objektbetreuung (optional)</t>
        </is>
      </c>
      <c r="C3668" s="9" t="inlineStr">
        <is>
          <t>Unbekannt</t>
        </is>
      </c>
      <c r="D3668" s="10" t="inlineStr">
        <is>
          <t>⚠ Manual erforderlich</t>
        </is>
      </c>
      <c r="E3668" s="11" t="inlineStr"/>
      <c r="F3668" s="11" t="n">
        <v>0</v>
      </c>
      <c r="G3668" s="11">
        <f>E3668-F3668</f>
        <v/>
      </c>
      <c r="H3668" s="11" t="n">
        <v/>
      </c>
      <c r="I3668" s="11" t="n">
        <v/>
      </c>
      <c r="J3668" s="11" t="n">
        <v/>
      </c>
      <c r="K3668" s="4" t="inlineStr">
        <is>
          <t>Abrechnungsart wählen; Stundensätze eingeben</t>
        </is>
      </c>
    </row>
    <row r="3669">
      <c r="A3669" s="4" t="inlineStr">
        <is>
          <t>6832.02 FAIR-LP8-Geb2-G0704A-Planckstraße1-Darmstadt</t>
        </is>
      </c>
      <c r="B3669" s="4" t="inlineStr">
        <is>
          <t>● 02.4.1.a Leistungsgegenstand Ausarbeitung, Begleitung der Ausschreibung und  Vergabe</t>
        </is>
      </c>
      <c r="C3669" s="9" t="inlineStr">
        <is>
          <t>Unbekannt</t>
        </is>
      </c>
      <c r="D3669" s="10" t="inlineStr">
        <is>
          <t>⚠ Manual erforderlich</t>
        </is>
      </c>
      <c r="E3669" s="11" t="inlineStr"/>
      <c r="F3669" s="11" t="n">
        <v>0</v>
      </c>
      <c r="G3669" s="11">
        <f>E3669-F3669</f>
        <v/>
      </c>
      <c r="H3669" s="11" t="n">
        <v/>
      </c>
      <c r="I3669" s="11" t="n">
        <v/>
      </c>
      <c r="J3669" s="11" t="n">
        <v/>
      </c>
      <c r="K3669" s="4" t="inlineStr">
        <is>
          <t>Abrechnungsart wählen; Stundensätze eingeben</t>
        </is>
      </c>
    </row>
    <row r="3670">
      <c r="A3670" s="4" t="inlineStr">
        <is>
          <t>6832.02 FAIR-LP8-Geb2-G0704A-Planckstraße1-Darmstadt</t>
        </is>
      </c>
      <c r="B3670" s="4" t="inlineStr">
        <is>
          <t>● 02.4.2.a Leistungsgegenstand Bauüberwachung Brandschutz</t>
        </is>
      </c>
      <c r="C3670" s="9" t="inlineStr">
        <is>
          <t>Unbekannt</t>
        </is>
      </c>
      <c r="D3670" s="10" t="inlineStr">
        <is>
          <t>⚠ Manual erforderlich</t>
        </is>
      </c>
      <c r="E3670" s="11" t="inlineStr"/>
      <c r="F3670" s="11" t="n">
        <v>0</v>
      </c>
      <c r="G3670" s="11">
        <f>E3670-F3670</f>
        <v/>
      </c>
      <c r="H3670" s="11" t="n">
        <v/>
      </c>
      <c r="I3670" s="11" t="n">
        <v/>
      </c>
      <c r="J3670" s="11" t="n">
        <v/>
      </c>
      <c r="K3670" s="4" t="inlineStr">
        <is>
          <t>Abrechnungsart wählen; Stundensätze eingeben</t>
        </is>
      </c>
    </row>
    <row r="3671">
      <c r="A3671" s="4" t="inlineStr">
        <is>
          <t>6832.02 FAIR-LP8-Geb2-G0704A-Planckstraße1-Darmstadt</t>
        </is>
      </c>
      <c r="B3671" s="4" t="inlineStr">
        <is>
          <t>● 02.4.3.a Leistungsgegenstand Fachbauleiter Brandschutz in der Leistungsphase 8</t>
        </is>
      </c>
      <c r="C3671" s="9" t="inlineStr">
        <is>
          <t>Unbekannt</t>
        </is>
      </c>
      <c r="D3671" s="10" t="inlineStr">
        <is>
          <t>⚠ Manual erforderlich</t>
        </is>
      </c>
      <c r="E3671" s="11" t="inlineStr"/>
      <c r="F3671" s="11" t="n">
        <v>0</v>
      </c>
      <c r="G3671" s="11">
        <f>E3671-F3671</f>
        <v/>
      </c>
      <c r="H3671" s="11" t="n">
        <v/>
      </c>
      <c r="I3671" s="11" t="n">
        <v/>
      </c>
      <c r="J3671" s="11" t="n">
        <v/>
      </c>
      <c r="K3671" s="4" t="inlineStr">
        <is>
          <t>Abrechnungsart wählen; Stundensätze eingeben</t>
        </is>
      </c>
    </row>
    <row r="3672">
      <c r="A3672" s="4" t="inlineStr">
        <is>
          <t>6832.02 FAIR-LP8-Geb2-G0704A-Planckstraße1-Darmstadt</t>
        </is>
      </c>
      <c r="B3672" s="4" t="inlineStr">
        <is>
          <t>● 02.4.4.a Leistungsgegenstand Objektbetreuung (optional)</t>
        </is>
      </c>
      <c r="C3672" s="9" t="inlineStr">
        <is>
          <t>Unbekannt</t>
        </is>
      </c>
      <c r="D3672" s="10" t="inlineStr">
        <is>
          <t>⚠ Manual erforderlich</t>
        </is>
      </c>
      <c r="E3672" s="11" t="inlineStr"/>
      <c r="F3672" s="11" t="n">
        <v>0</v>
      </c>
      <c r="G3672" s="11">
        <f>E3672-F3672</f>
        <v/>
      </c>
      <c r="H3672" s="11" t="n">
        <v/>
      </c>
      <c r="I3672" s="11" t="n">
        <v/>
      </c>
      <c r="J3672" s="11" t="n">
        <v/>
      </c>
      <c r="K3672" s="4" t="inlineStr">
        <is>
          <t>Abrechnungsart wählen; Stundensätze eingeben</t>
        </is>
      </c>
    </row>
    <row r="3673">
      <c r="A3673" s="4" t="inlineStr">
        <is>
          <t>6832.03 FAIR-LP8-Geb3-H0705A-Planckstraße1-Darmstadt</t>
        </is>
      </c>
      <c r="B3673" s="4" t="inlineStr">
        <is>
          <t>● 03.4.1.a Leistungsgegenstand Ausarbeitung, Begleitung der Ausschreibung und  Vergabe</t>
        </is>
      </c>
      <c r="C3673" s="9" t="inlineStr">
        <is>
          <t>Unbekannt</t>
        </is>
      </c>
      <c r="D3673" s="10" t="inlineStr">
        <is>
          <t>⚠ Manual erforderlich</t>
        </is>
      </c>
      <c r="E3673" s="11" t="inlineStr"/>
      <c r="F3673" s="11" t="n">
        <v>0</v>
      </c>
      <c r="G3673" s="11">
        <f>E3673-F3673</f>
        <v/>
      </c>
      <c r="H3673" s="11" t="n">
        <v/>
      </c>
      <c r="I3673" s="11" t="n">
        <v/>
      </c>
      <c r="J3673" s="11" t="n">
        <v/>
      </c>
      <c r="K3673" s="4" t="inlineStr">
        <is>
          <t>Abrechnungsart wählen; Stundensätze eingeben</t>
        </is>
      </c>
    </row>
    <row r="3674">
      <c r="A3674" s="4" t="inlineStr">
        <is>
          <t>6832.03 FAIR-LP8-Geb3-H0705A-Planckstraße1-Darmstadt</t>
        </is>
      </c>
      <c r="B3674" s="4" t="inlineStr">
        <is>
          <t>● 03.4.2.a Leistungsgegenstand Bauüberwachung Brandschutz</t>
        </is>
      </c>
      <c r="C3674" s="9" t="inlineStr">
        <is>
          <t>Unbekannt</t>
        </is>
      </c>
      <c r="D3674" s="10" t="inlineStr">
        <is>
          <t>⚠ Manual erforderlich</t>
        </is>
      </c>
      <c r="E3674" s="11" t="inlineStr"/>
      <c r="F3674" s="11" t="n">
        <v>0</v>
      </c>
      <c r="G3674" s="11">
        <f>E3674-F3674</f>
        <v/>
      </c>
      <c r="H3674" s="11" t="n">
        <v/>
      </c>
      <c r="I3674" s="11" t="n">
        <v/>
      </c>
      <c r="J3674" s="11" t="n">
        <v/>
      </c>
      <c r="K3674" s="4" t="inlineStr">
        <is>
          <t>Abrechnungsart wählen; Stundensätze eingeben</t>
        </is>
      </c>
    </row>
    <row r="3675">
      <c r="A3675" s="4" t="inlineStr">
        <is>
          <t>6832.03 FAIR-LP8-Geb3-H0705A-Planckstraße1-Darmstadt</t>
        </is>
      </c>
      <c r="B3675" s="4" t="inlineStr">
        <is>
          <t>● 03.4.3.a Leistungsgegenstand Fachbauleiter Brandschutz in der Leistungsphase 8</t>
        </is>
      </c>
      <c r="C3675" s="9" t="inlineStr">
        <is>
          <t>Unbekannt</t>
        </is>
      </c>
      <c r="D3675" s="10" t="inlineStr">
        <is>
          <t>⚠ Manual erforderlich</t>
        </is>
      </c>
      <c r="E3675" s="11" t="inlineStr"/>
      <c r="F3675" s="11" t="n">
        <v>0</v>
      </c>
      <c r="G3675" s="11">
        <f>E3675-F3675</f>
        <v/>
      </c>
      <c r="H3675" s="11" t="n">
        <v/>
      </c>
      <c r="I3675" s="11" t="n">
        <v/>
      </c>
      <c r="J3675" s="11" t="n">
        <v/>
      </c>
      <c r="K3675" s="4" t="inlineStr">
        <is>
          <t>Abrechnungsart wählen; Stundensätze eingeben</t>
        </is>
      </c>
    </row>
    <row r="3676">
      <c r="A3676" s="4" t="inlineStr">
        <is>
          <t>6832.03 FAIR-LP8-Geb3-H0705A-Planckstraße1-Darmstadt</t>
        </is>
      </c>
      <c r="B3676" s="4" t="inlineStr">
        <is>
          <t>● 03.4.4.a Leistungsgegenstand Objektbetreuung (optional)</t>
        </is>
      </c>
      <c r="C3676" s="9" t="inlineStr">
        <is>
          <t>Unbekannt</t>
        </is>
      </c>
      <c r="D3676" s="10" t="inlineStr">
        <is>
          <t>⚠ Manual erforderlich</t>
        </is>
      </c>
      <c r="E3676" s="11" t="inlineStr"/>
      <c r="F3676" s="11" t="n">
        <v>0</v>
      </c>
      <c r="G3676" s="11">
        <f>E3676-F3676</f>
        <v/>
      </c>
      <c r="H3676" s="11" t="n">
        <v/>
      </c>
      <c r="I3676" s="11" t="n">
        <v/>
      </c>
      <c r="J3676" s="11" t="n">
        <v/>
      </c>
      <c r="K3676" s="4" t="inlineStr">
        <is>
          <t>Abrechnungsart wählen; Stundensätze eingeben</t>
        </is>
      </c>
    </row>
    <row r="3677">
      <c r="A3677" s="4" t="inlineStr">
        <is>
          <t>6832.04 FAIR-LP8-Geb4-H0719A-Planckstraße1-Darmstadt</t>
        </is>
      </c>
      <c r="B3677" s="4" t="inlineStr">
        <is>
          <t>● 04.4.1.a Leistungsgegenstand Ausarbeitung, Begleitung der Ausschreibung und  Vergabe</t>
        </is>
      </c>
      <c r="C3677" s="9" t="inlineStr">
        <is>
          <t>Unbekannt</t>
        </is>
      </c>
      <c r="D3677" s="10" t="inlineStr">
        <is>
          <t>⚠ Manual erforderlich</t>
        </is>
      </c>
      <c r="E3677" s="11" t="inlineStr"/>
      <c r="F3677" s="11" t="n">
        <v>0</v>
      </c>
      <c r="G3677" s="11">
        <f>E3677-F3677</f>
        <v/>
      </c>
      <c r="H3677" s="11" t="n">
        <v/>
      </c>
      <c r="I3677" s="11" t="n">
        <v/>
      </c>
      <c r="J3677" s="11" t="n">
        <v/>
      </c>
      <c r="K3677" s="4" t="inlineStr">
        <is>
          <t>Abrechnungsart wählen; Stundensätze eingeben</t>
        </is>
      </c>
    </row>
    <row r="3678">
      <c r="A3678" s="4" t="inlineStr">
        <is>
          <t>6832.04 FAIR-LP8-Geb4-H0719A-Planckstraße1-Darmstadt</t>
        </is>
      </c>
      <c r="B3678" s="4" t="inlineStr">
        <is>
          <t>● 04.4.2.a Leistungsgegenstand Bauüberwachung Brandschutz</t>
        </is>
      </c>
      <c r="C3678" s="9" t="inlineStr">
        <is>
          <t>Unbekannt</t>
        </is>
      </c>
      <c r="D3678" s="10" t="inlineStr">
        <is>
          <t>⚠ Manual erforderlich</t>
        </is>
      </c>
      <c r="E3678" s="11" t="inlineStr"/>
      <c r="F3678" s="11" t="n">
        <v>0</v>
      </c>
      <c r="G3678" s="11">
        <f>E3678-F3678</f>
        <v/>
      </c>
      <c r="H3678" s="11" t="n">
        <v/>
      </c>
      <c r="I3678" s="11" t="n">
        <v/>
      </c>
      <c r="J3678" s="11" t="n">
        <v/>
      </c>
      <c r="K3678" s="4" t="inlineStr">
        <is>
          <t>Abrechnungsart wählen; Stundensätze eingeben</t>
        </is>
      </c>
    </row>
    <row r="3679">
      <c r="A3679" s="4" t="inlineStr">
        <is>
          <t>6832.04 FAIR-LP8-Geb4-H0719A-Planckstraße1-Darmstadt</t>
        </is>
      </c>
      <c r="B3679" s="4" t="inlineStr">
        <is>
          <t>● 04.4.3.a Leistungsgegenstand Fachbauleiter Brandschutz in der Leistungsphase 8</t>
        </is>
      </c>
      <c r="C3679" s="9" t="inlineStr">
        <is>
          <t>Unbekannt</t>
        </is>
      </c>
      <c r="D3679" s="10" t="inlineStr">
        <is>
          <t>⚠ Manual erforderlich</t>
        </is>
      </c>
      <c r="E3679" s="11" t="inlineStr"/>
      <c r="F3679" s="11" t="n">
        <v>0</v>
      </c>
      <c r="G3679" s="11">
        <f>E3679-F3679</f>
        <v/>
      </c>
      <c r="H3679" s="11" t="n">
        <v/>
      </c>
      <c r="I3679" s="11" t="n">
        <v/>
      </c>
      <c r="J3679" s="11" t="n">
        <v/>
      </c>
      <c r="K3679" s="4" t="inlineStr">
        <is>
          <t>Abrechnungsart wählen; Stundensätze eingeben</t>
        </is>
      </c>
    </row>
    <row r="3680">
      <c r="A3680" s="4" t="inlineStr">
        <is>
          <t>6832.04 FAIR-LP8-Geb4-H0719A-Planckstraße1-Darmstadt</t>
        </is>
      </c>
      <c r="B3680" s="4" t="inlineStr">
        <is>
          <t>● 04.4.4.a Leistungsgegenstand Objektbetreuung (optional)</t>
        </is>
      </c>
      <c r="C3680" s="9" t="inlineStr">
        <is>
          <t>Unbekannt</t>
        </is>
      </c>
      <c r="D3680" s="10" t="inlineStr">
        <is>
          <t>⚠ Manual erforderlich</t>
        </is>
      </c>
      <c r="E3680" s="11" t="inlineStr"/>
      <c r="F3680" s="11" t="n">
        <v>0</v>
      </c>
      <c r="G3680" s="11">
        <f>E3680-F3680</f>
        <v/>
      </c>
      <c r="H3680" s="11" t="n">
        <v/>
      </c>
      <c r="I3680" s="11" t="n">
        <v/>
      </c>
      <c r="J3680" s="11" t="n">
        <v/>
      </c>
      <c r="K3680" s="4" t="inlineStr">
        <is>
          <t>Abrechnungsart wählen; Stundensätze eingeben</t>
        </is>
      </c>
    </row>
    <row r="3681">
      <c r="A3681" s="4" t="inlineStr">
        <is>
          <t>6832.05 FAIR-LP8-Geb5-K0720A-Planckstraße1-Darmstadt</t>
        </is>
      </c>
      <c r="B3681" s="4" t="inlineStr">
        <is>
          <t>● 05.4.1.a Leistungsgegenstand Ausarbeitung, Begleitung der Ausschreibung und  Vergabe</t>
        </is>
      </c>
      <c r="C3681" s="9" t="inlineStr">
        <is>
          <t>Unbekannt</t>
        </is>
      </c>
      <c r="D3681" s="10" t="inlineStr">
        <is>
          <t>⚠ Manual erforderlich</t>
        </is>
      </c>
      <c r="E3681" s="11" t="inlineStr"/>
      <c r="F3681" s="11" t="n">
        <v>0</v>
      </c>
      <c r="G3681" s="11">
        <f>E3681-F3681</f>
        <v/>
      </c>
      <c r="H3681" s="11" t="n">
        <v/>
      </c>
      <c r="I3681" s="11" t="n">
        <v/>
      </c>
      <c r="J3681" s="11" t="n">
        <v/>
      </c>
      <c r="K3681" s="4" t="inlineStr">
        <is>
          <t>Abrechnungsart wählen; Stundensätze eingeben</t>
        </is>
      </c>
    </row>
    <row r="3682">
      <c r="A3682" s="4" t="inlineStr">
        <is>
          <t>6832.05 FAIR-LP8-Geb5-K0720A-Planckstraße1-Darmstadt</t>
        </is>
      </c>
      <c r="B3682" s="4" t="inlineStr">
        <is>
          <t>● 05.4.2.a Leistungsgegenstand Bauüberwachung Brandschutz</t>
        </is>
      </c>
      <c r="C3682" s="9" t="inlineStr">
        <is>
          <t>Unbekannt</t>
        </is>
      </c>
      <c r="D3682" s="10" t="inlineStr">
        <is>
          <t>⚠ Manual erforderlich</t>
        </is>
      </c>
      <c r="E3682" s="11" t="inlineStr"/>
      <c r="F3682" s="11" t="n">
        <v>0</v>
      </c>
      <c r="G3682" s="11">
        <f>E3682-F3682</f>
        <v/>
      </c>
      <c r="H3682" s="11" t="n">
        <v/>
      </c>
      <c r="I3682" s="11" t="n">
        <v/>
      </c>
      <c r="J3682" s="11" t="n">
        <v/>
      </c>
      <c r="K3682" s="4" t="inlineStr">
        <is>
          <t>Abrechnungsart wählen; Stundensätze eingeben</t>
        </is>
      </c>
    </row>
    <row r="3683">
      <c r="A3683" s="4" t="inlineStr">
        <is>
          <t>6832.05 FAIR-LP8-Geb5-K0720A-Planckstraße1-Darmstadt</t>
        </is>
      </c>
      <c r="B3683" s="4" t="inlineStr">
        <is>
          <t>● 05.4.3.a Leistungsgegenstand Fachbauleiter Brandschutz in der Leistungsphase 8</t>
        </is>
      </c>
      <c r="C3683" s="9" t="inlineStr">
        <is>
          <t>Unbekannt</t>
        </is>
      </c>
      <c r="D3683" s="10" t="inlineStr">
        <is>
          <t>⚠ Manual erforderlich</t>
        </is>
      </c>
      <c r="E3683" s="11" t="inlineStr"/>
      <c r="F3683" s="11" t="n">
        <v>0</v>
      </c>
      <c r="G3683" s="11">
        <f>E3683-F3683</f>
        <v/>
      </c>
      <c r="H3683" s="11" t="n">
        <v/>
      </c>
      <c r="I3683" s="11" t="n">
        <v/>
      </c>
      <c r="J3683" s="11" t="n">
        <v/>
      </c>
      <c r="K3683" s="4" t="inlineStr">
        <is>
          <t>Abrechnungsart wählen; Stundensätze eingeben</t>
        </is>
      </c>
    </row>
    <row r="3684">
      <c r="A3684" s="4" t="inlineStr">
        <is>
          <t>6832.05 FAIR-LP8-Geb5-K0720A-Planckstraße1-Darmstadt</t>
        </is>
      </c>
      <c r="B3684" s="4" t="inlineStr">
        <is>
          <t>● 05.4.4.a Leistungsgegenstand Objektbetreuung (optional)</t>
        </is>
      </c>
      <c r="C3684" s="9" t="inlineStr">
        <is>
          <t>Unbekannt</t>
        </is>
      </c>
      <c r="D3684" s="10" t="inlineStr">
        <is>
          <t>⚠ Manual erforderlich</t>
        </is>
      </c>
      <c r="E3684" s="11" t="inlineStr"/>
      <c r="F3684" s="11" t="n">
        <v>0</v>
      </c>
      <c r="G3684" s="11">
        <f>E3684-F3684</f>
        <v/>
      </c>
      <c r="H3684" s="11" t="n">
        <v/>
      </c>
      <c r="I3684" s="11" t="n">
        <v/>
      </c>
      <c r="J3684" s="11" t="n">
        <v/>
      </c>
      <c r="K3684" s="4" t="inlineStr">
        <is>
          <t>Abrechnungsart wählen; Stundensätze eingeben</t>
        </is>
      </c>
    </row>
    <row r="3685">
      <c r="A3685" s="4" t="inlineStr">
        <is>
          <t>6832.06 FAIR-LP8-Geb6-L0516A-Planckstraße1-Darmstadt</t>
        </is>
      </c>
      <c r="B3685" s="4" t="inlineStr">
        <is>
          <t>● 06.4.1.a Leistungsgegenstand Ausarbeitung, Begleitung der Ausschreibung und  Vergabe</t>
        </is>
      </c>
      <c r="C3685" s="9" t="inlineStr">
        <is>
          <t>Unbekannt</t>
        </is>
      </c>
      <c r="D3685" s="10" t="inlineStr">
        <is>
          <t>⚠ Manual erforderlich</t>
        </is>
      </c>
      <c r="E3685" s="11" t="inlineStr"/>
      <c r="F3685" s="11" t="n">
        <v>0</v>
      </c>
      <c r="G3685" s="11">
        <f>E3685-F3685</f>
        <v/>
      </c>
      <c r="H3685" s="11" t="n">
        <v/>
      </c>
      <c r="I3685" s="11" t="n">
        <v/>
      </c>
      <c r="J3685" s="11" t="n">
        <v/>
      </c>
      <c r="K3685" s="4" t="inlineStr">
        <is>
          <t>Abrechnungsart wählen; Stundensätze eingeben</t>
        </is>
      </c>
    </row>
    <row r="3686">
      <c r="A3686" s="4" t="inlineStr">
        <is>
          <t>6832.06 FAIR-LP8-Geb6-L0516A-Planckstraße1-Darmstadt</t>
        </is>
      </c>
      <c r="B3686" s="4" t="inlineStr">
        <is>
          <t>● 06.4.2.a Leistungsgegenstand Bauüberwachung Brandschutz</t>
        </is>
      </c>
      <c r="C3686" s="9" t="inlineStr">
        <is>
          <t>Unbekannt</t>
        </is>
      </c>
      <c r="D3686" s="10" t="inlineStr">
        <is>
          <t>⚠ Manual erforderlich</t>
        </is>
      </c>
      <c r="E3686" s="11" t="inlineStr"/>
      <c r="F3686" s="11" t="n">
        <v>0</v>
      </c>
      <c r="G3686" s="11">
        <f>E3686-F3686</f>
        <v/>
      </c>
      <c r="H3686" s="11" t="n">
        <v/>
      </c>
      <c r="I3686" s="11" t="n">
        <v/>
      </c>
      <c r="J3686" s="11" t="n">
        <v/>
      </c>
      <c r="K3686" s="4" t="inlineStr">
        <is>
          <t>Abrechnungsart wählen; Stundensätze eingeben</t>
        </is>
      </c>
    </row>
    <row r="3687">
      <c r="A3687" s="4" t="inlineStr">
        <is>
          <t>6832.06 FAIR-LP8-Geb6-L0516A-Planckstraße1-Darmstadt</t>
        </is>
      </c>
      <c r="B3687" s="4" t="inlineStr">
        <is>
          <t>● 06.4.3.a Leistungsgegenstand Fachbauleiter Brandschutz in der Leistungsphase 8</t>
        </is>
      </c>
      <c r="C3687" s="9" t="inlineStr">
        <is>
          <t>Unbekannt</t>
        </is>
      </c>
      <c r="D3687" s="10" t="inlineStr">
        <is>
          <t>⚠ Manual erforderlich</t>
        </is>
      </c>
      <c r="E3687" s="11" t="inlineStr"/>
      <c r="F3687" s="11" t="n">
        <v>0</v>
      </c>
      <c r="G3687" s="11">
        <f>E3687-F3687</f>
        <v/>
      </c>
      <c r="H3687" s="11" t="n">
        <v/>
      </c>
      <c r="I3687" s="11" t="n">
        <v/>
      </c>
      <c r="J3687" s="11" t="n">
        <v/>
      </c>
      <c r="K3687" s="4" t="inlineStr">
        <is>
          <t>Abrechnungsart wählen; Stundensätze eingeben</t>
        </is>
      </c>
    </row>
    <row r="3688">
      <c r="A3688" s="4" t="inlineStr">
        <is>
          <t>6832.06 FAIR-LP8-Geb6-L0516A-Planckstraße1-Darmstadt</t>
        </is>
      </c>
      <c r="B3688" s="4" t="inlineStr">
        <is>
          <t>● 06.4.4.a Leistungsgegenstand Objektbetreuung (optional)</t>
        </is>
      </c>
      <c r="C3688" s="9" t="inlineStr">
        <is>
          <t>Unbekannt</t>
        </is>
      </c>
      <c r="D3688" s="10" t="inlineStr">
        <is>
          <t>⚠ Manual erforderlich</t>
        </is>
      </c>
      <c r="E3688" s="11" t="inlineStr"/>
      <c r="F3688" s="11" t="n">
        <v>0</v>
      </c>
      <c r="G3688" s="11">
        <f>E3688-F3688</f>
        <v/>
      </c>
      <c r="H3688" s="11" t="n">
        <v/>
      </c>
      <c r="I3688" s="11" t="n">
        <v/>
      </c>
      <c r="J3688" s="11" t="n">
        <v/>
      </c>
      <c r="K3688" s="4" t="inlineStr">
        <is>
          <t>Abrechnungsart wählen; Stundensätze eingeben</t>
        </is>
      </c>
    </row>
    <row r="3689">
      <c r="A3689" s="4" t="inlineStr">
        <is>
          <t>6832.07 FAIR-LP8-Geb7-L0321A-Planckstraße1-Darmstadt</t>
        </is>
      </c>
      <c r="B3689" s="4" t="inlineStr">
        <is>
          <t>● 07.4.1.a Leistungsgegenstand Ausarbeitung, Begleitung der Ausschreibung und  Vergabe</t>
        </is>
      </c>
      <c r="C3689" s="9" t="inlineStr">
        <is>
          <t>Unbekannt</t>
        </is>
      </c>
      <c r="D3689" s="10" t="inlineStr">
        <is>
          <t>⚠ Manual erforderlich</t>
        </is>
      </c>
      <c r="E3689" s="11" t="inlineStr"/>
      <c r="F3689" s="11" t="n">
        <v>0</v>
      </c>
      <c r="G3689" s="11">
        <f>E3689-F3689</f>
        <v/>
      </c>
      <c r="H3689" s="11" t="n">
        <v/>
      </c>
      <c r="I3689" s="11" t="n">
        <v/>
      </c>
      <c r="J3689" s="11" t="n">
        <v/>
      </c>
      <c r="K3689" s="4" t="inlineStr">
        <is>
          <t>Abrechnungsart wählen; Stundensätze eingeben</t>
        </is>
      </c>
    </row>
    <row r="3690">
      <c r="A3690" s="4" t="inlineStr">
        <is>
          <t>6832.07 FAIR-LP8-Geb7-L0321A-Planckstraße1-Darmstadt</t>
        </is>
      </c>
      <c r="B3690" s="4" t="inlineStr">
        <is>
          <t>● 07.4.2.a Leistungsgegenstand Bauüberwachung Brandschutz</t>
        </is>
      </c>
      <c r="C3690" s="9" t="inlineStr">
        <is>
          <t>Unbekannt</t>
        </is>
      </c>
      <c r="D3690" s="10" t="inlineStr">
        <is>
          <t>⚠ Manual erforderlich</t>
        </is>
      </c>
      <c r="E3690" s="11" t="inlineStr"/>
      <c r="F3690" s="11" t="n">
        <v>0</v>
      </c>
      <c r="G3690" s="11">
        <f>E3690-F3690</f>
        <v/>
      </c>
      <c r="H3690" s="11" t="n">
        <v/>
      </c>
      <c r="I3690" s="11" t="n">
        <v/>
      </c>
      <c r="J3690" s="11" t="n">
        <v/>
      </c>
      <c r="K3690" s="4" t="inlineStr">
        <is>
          <t>Abrechnungsart wählen; Stundensätze eingeben</t>
        </is>
      </c>
    </row>
    <row r="3691">
      <c r="A3691" s="4" t="inlineStr">
        <is>
          <t>6832.07 FAIR-LP8-Geb7-L0321A-Planckstraße1-Darmstadt</t>
        </is>
      </c>
      <c r="B3691" s="4" t="inlineStr">
        <is>
          <t>● 07.4.3.a Leistungsgegenstand Fachbauleiter Brandschutz in der Leistungsphase 8</t>
        </is>
      </c>
      <c r="C3691" s="9" t="inlineStr">
        <is>
          <t>Unbekannt</t>
        </is>
      </c>
      <c r="D3691" s="10" t="inlineStr">
        <is>
          <t>⚠ Manual erforderlich</t>
        </is>
      </c>
      <c r="E3691" s="11" t="inlineStr"/>
      <c r="F3691" s="11" t="n">
        <v>0</v>
      </c>
      <c r="G3691" s="11">
        <f>E3691-F3691</f>
        <v/>
      </c>
      <c r="H3691" s="11" t="n">
        <v/>
      </c>
      <c r="I3691" s="11" t="n">
        <v/>
      </c>
      <c r="J3691" s="11" t="n">
        <v/>
      </c>
      <c r="K3691" s="4" t="inlineStr">
        <is>
          <t>Abrechnungsart wählen; Stundensätze eingeben</t>
        </is>
      </c>
    </row>
    <row r="3692">
      <c r="A3692" s="4" t="inlineStr">
        <is>
          <t>6832.07 FAIR-LP8-Geb7-L0321A-Planckstraße1-Darmstadt</t>
        </is>
      </c>
      <c r="B3692" s="4" t="inlineStr">
        <is>
          <t>● 07.4.4.a Leistungsgegenstand Objektbetreuung (optional)</t>
        </is>
      </c>
      <c r="C3692" s="9" t="inlineStr">
        <is>
          <t>Unbekannt</t>
        </is>
      </c>
      <c r="D3692" s="10" t="inlineStr">
        <is>
          <t>⚠ Manual erforderlich</t>
        </is>
      </c>
      <c r="E3692" s="11" t="inlineStr"/>
      <c r="F3692" s="11" t="n">
        <v>0</v>
      </c>
      <c r="G3692" s="11">
        <f>E3692-F3692</f>
        <v/>
      </c>
      <c r="H3692" s="11" t="n">
        <v/>
      </c>
      <c r="I3692" s="11" t="n">
        <v/>
      </c>
      <c r="J3692" s="11" t="n">
        <v/>
      </c>
      <c r="K3692" s="4" t="inlineStr">
        <is>
          <t>Abrechnungsart wählen; Stundensätze eingeben</t>
        </is>
      </c>
    </row>
    <row r="3693">
      <c r="A3693" s="4" t="inlineStr">
        <is>
          <t>6832.08 FAIR-LP8-Geb8-K0308A-Planckstraße1-Darmstadt</t>
        </is>
      </c>
      <c r="B3693" s="4" t="inlineStr">
        <is>
          <t>● 08.4.1.a Leistungsgegenstand Ausarbeitung, Begleitung der Ausschreibung und  Vergabe</t>
        </is>
      </c>
      <c r="C3693" s="9" t="inlineStr">
        <is>
          <t>Unbekannt</t>
        </is>
      </c>
      <c r="D3693" s="10" t="inlineStr">
        <is>
          <t>⚠ Manual erforderlich</t>
        </is>
      </c>
      <c r="E3693" s="11" t="inlineStr"/>
      <c r="F3693" s="11" t="n">
        <v>0</v>
      </c>
      <c r="G3693" s="11">
        <f>E3693-F3693</f>
        <v/>
      </c>
      <c r="H3693" s="11" t="n">
        <v/>
      </c>
      <c r="I3693" s="11" t="n">
        <v/>
      </c>
      <c r="J3693" s="11" t="n">
        <v/>
      </c>
      <c r="K3693" s="4" t="inlineStr">
        <is>
          <t>Abrechnungsart wählen; Stundensätze eingeben</t>
        </is>
      </c>
    </row>
    <row r="3694">
      <c r="A3694" s="4" t="inlineStr">
        <is>
          <t>6832.08 FAIR-LP8-Geb8-K0308A-Planckstraße1-Darmstadt</t>
        </is>
      </c>
      <c r="B3694" s="4" t="inlineStr">
        <is>
          <t>● 08.4.2.a Leistungsgegenstand Bauüberwachung Brandschutz</t>
        </is>
      </c>
      <c r="C3694" s="9" t="inlineStr">
        <is>
          <t>Unbekannt</t>
        </is>
      </c>
      <c r="D3694" s="10" t="inlineStr">
        <is>
          <t>⚠ Manual erforderlich</t>
        </is>
      </c>
      <c r="E3694" s="11" t="inlineStr"/>
      <c r="F3694" s="11" t="n">
        <v>0</v>
      </c>
      <c r="G3694" s="11">
        <f>E3694-F3694</f>
        <v/>
      </c>
      <c r="H3694" s="11" t="n">
        <v/>
      </c>
      <c r="I3694" s="11" t="n">
        <v/>
      </c>
      <c r="J3694" s="11" t="n">
        <v/>
      </c>
      <c r="K3694" s="4" t="inlineStr">
        <is>
          <t>Abrechnungsart wählen; Stundensätze eingeben</t>
        </is>
      </c>
    </row>
    <row r="3695">
      <c r="A3695" s="4" t="inlineStr">
        <is>
          <t>6832.08 FAIR-LP8-Geb8-K0308A-Planckstraße1-Darmstadt</t>
        </is>
      </c>
      <c r="B3695" s="4" t="inlineStr">
        <is>
          <t>● 08.4.3.a Leistungsgegenstand Fachbauleiter Brandschutz in der Leistungsphase 8</t>
        </is>
      </c>
      <c r="C3695" s="9" t="inlineStr">
        <is>
          <t>Unbekannt</t>
        </is>
      </c>
      <c r="D3695" s="10" t="inlineStr">
        <is>
          <t>⚠ Manual erforderlich</t>
        </is>
      </c>
      <c r="E3695" s="11" t="inlineStr"/>
      <c r="F3695" s="11" t="n">
        <v>0</v>
      </c>
      <c r="G3695" s="11">
        <f>E3695-F3695</f>
        <v/>
      </c>
      <c r="H3695" s="11" t="n">
        <v/>
      </c>
      <c r="I3695" s="11" t="n">
        <v/>
      </c>
      <c r="J3695" s="11" t="n">
        <v/>
      </c>
      <c r="K3695" s="4" t="inlineStr">
        <is>
          <t>Abrechnungsart wählen; Stundensätze eingeben</t>
        </is>
      </c>
    </row>
    <row r="3696">
      <c r="A3696" s="4" t="inlineStr">
        <is>
          <t>6832.08 FAIR-LP8-Geb8-K0308A-Planckstraße1-Darmstadt</t>
        </is>
      </c>
      <c r="B3696" s="4" t="inlineStr">
        <is>
          <t>● 08.4.4.a Leistungsgegenstand Objektbetreuung (optional)</t>
        </is>
      </c>
      <c r="C3696" s="9" t="inlineStr">
        <is>
          <t>Unbekannt</t>
        </is>
      </c>
      <c r="D3696" s="10" t="inlineStr">
        <is>
          <t>⚠ Manual erforderlich</t>
        </is>
      </c>
      <c r="E3696" s="11" t="inlineStr"/>
      <c r="F3696" s="11" t="n">
        <v>0</v>
      </c>
      <c r="G3696" s="11">
        <f>E3696-F3696</f>
        <v/>
      </c>
      <c r="H3696" s="11" t="n">
        <v/>
      </c>
      <c r="I3696" s="11" t="n">
        <v/>
      </c>
      <c r="J3696" s="11" t="n">
        <v/>
      </c>
      <c r="K3696" s="4" t="inlineStr">
        <is>
          <t>Abrechnungsart wählen; Stundensätze eingeben</t>
        </is>
      </c>
    </row>
    <row r="3697">
      <c r="A3697" s="4" t="inlineStr">
        <is>
          <t>6832.09 FAIR-LP8-Geb9-K0314A-Planckstraße1-Darmstadt</t>
        </is>
      </c>
      <c r="B3697" s="4" t="inlineStr">
        <is>
          <t>● 09.4.1.a Leistungsgegenstand Ausarbeitung, Begleitung der Ausschreibung und  Vergabe</t>
        </is>
      </c>
      <c r="C3697" s="9" t="inlineStr">
        <is>
          <t>Unbekannt</t>
        </is>
      </c>
      <c r="D3697" s="10" t="inlineStr">
        <is>
          <t>⚠ Manual erforderlich</t>
        </is>
      </c>
      <c r="E3697" s="11" t="inlineStr"/>
      <c r="F3697" s="11" t="n">
        <v>0</v>
      </c>
      <c r="G3697" s="11">
        <f>E3697-F3697</f>
        <v/>
      </c>
      <c r="H3697" s="11" t="n">
        <v/>
      </c>
      <c r="I3697" s="11" t="n">
        <v/>
      </c>
      <c r="J3697" s="11" t="n">
        <v/>
      </c>
      <c r="K3697" s="4" t="inlineStr">
        <is>
          <t>Abrechnungsart wählen; Stundensätze eingeben</t>
        </is>
      </c>
    </row>
    <row r="3698">
      <c r="A3698" s="4" t="inlineStr">
        <is>
          <t>6832.09 FAIR-LP8-Geb9-K0314A-Planckstraße1-Darmstadt</t>
        </is>
      </c>
      <c r="B3698" s="4" t="inlineStr">
        <is>
          <t>● 09.4.2.a Leistungsgegenstand Bauüberwachung Brandschutz</t>
        </is>
      </c>
      <c r="C3698" s="9" t="inlineStr">
        <is>
          <t>Unbekannt</t>
        </is>
      </c>
      <c r="D3698" s="10" t="inlineStr">
        <is>
          <t>⚠ Manual erforderlich</t>
        </is>
      </c>
      <c r="E3698" s="11" t="inlineStr"/>
      <c r="F3698" s="11" t="n">
        <v>0</v>
      </c>
      <c r="G3698" s="11">
        <f>E3698-F3698</f>
        <v/>
      </c>
      <c r="H3698" s="11" t="n">
        <v/>
      </c>
      <c r="I3698" s="11" t="n">
        <v/>
      </c>
      <c r="J3698" s="11" t="n">
        <v/>
      </c>
      <c r="K3698" s="4" t="inlineStr">
        <is>
          <t>Abrechnungsart wählen; Stundensätze eingeben</t>
        </is>
      </c>
    </row>
    <row r="3699">
      <c r="A3699" s="4" t="inlineStr">
        <is>
          <t>6832.09 FAIR-LP8-Geb9-K0314A-Planckstraße1-Darmstadt</t>
        </is>
      </c>
      <c r="B3699" s="4" t="inlineStr">
        <is>
          <t>● 09.4.3.a Leistungsgegenstand Fachbauleiter Brandschutz in der Leistungsphase 8</t>
        </is>
      </c>
      <c r="C3699" s="9" t="inlineStr">
        <is>
          <t>Unbekannt</t>
        </is>
      </c>
      <c r="D3699" s="10" t="inlineStr">
        <is>
          <t>⚠ Manual erforderlich</t>
        </is>
      </c>
      <c r="E3699" s="11" t="inlineStr"/>
      <c r="F3699" s="11" t="n">
        <v>0</v>
      </c>
      <c r="G3699" s="11">
        <f>E3699-F3699</f>
        <v/>
      </c>
      <c r="H3699" s="11" t="n">
        <v/>
      </c>
      <c r="I3699" s="11" t="n">
        <v/>
      </c>
      <c r="J3699" s="11" t="n">
        <v/>
      </c>
      <c r="K3699" s="4" t="inlineStr">
        <is>
          <t>Abrechnungsart wählen; Stundensätze eingeben</t>
        </is>
      </c>
    </row>
    <row r="3700">
      <c r="A3700" s="4" t="inlineStr">
        <is>
          <t>6832.09 FAIR-LP8-Geb9-K0314A-Planckstraße1-Darmstadt</t>
        </is>
      </c>
      <c r="B3700" s="4" t="inlineStr">
        <is>
          <t>● 09.4.4.a Leistungsgegenstand Objektbetreuung (optional)</t>
        </is>
      </c>
      <c r="C3700" s="9" t="inlineStr">
        <is>
          <t>Unbekannt</t>
        </is>
      </c>
      <c r="D3700" s="10" t="inlineStr">
        <is>
          <t>⚠ Manual erforderlich</t>
        </is>
      </c>
      <c r="E3700" s="11" t="inlineStr"/>
      <c r="F3700" s="11" t="n">
        <v>0</v>
      </c>
      <c r="G3700" s="11">
        <f>E3700-F3700</f>
        <v/>
      </c>
      <c r="H3700" s="11" t="n">
        <v/>
      </c>
      <c r="I3700" s="11" t="n">
        <v/>
      </c>
      <c r="J3700" s="11" t="n">
        <v/>
      </c>
      <c r="K3700" s="4" t="inlineStr">
        <is>
          <t>Abrechnungsart wählen; Stundensätze eingeben</t>
        </is>
      </c>
    </row>
    <row r="3701">
      <c r="A3701" s="4" t="inlineStr">
        <is>
          <t>6832.10 FAIR-LP8-Geb10-K0321A-Planckstraße1-Darmstadt</t>
        </is>
      </c>
      <c r="B3701" s="4" t="inlineStr">
        <is>
          <t>● 10.4.1.a Leistungsgegenstand Ausarbeitung, Begleitung der Ausschreibung und  Vergabe</t>
        </is>
      </c>
      <c r="C3701" s="9" t="inlineStr">
        <is>
          <t>Unbekannt</t>
        </is>
      </c>
      <c r="D3701" s="10" t="inlineStr">
        <is>
          <t>⚠ Manual erforderlich</t>
        </is>
      </c>
      <c r="E3701" s="11" t="inlineStr"/>
      <c r="F3701" s="11" t="n">
        <v>0</v>
      </c>
      <c r="G3701" s="11">
        <f>E3701-F3701</f>
        <v/>
      </c>
      <c r="H3701" s="11" t="n">
        <v/>
      </c>
      <c r="I3701" s="11" t="n">
        <v/>
      </c>
      <c r="J3701" s="11" t="n">
        <v/>
      </c>
      <c r="K3701" s="4" t="inlineStr">
        <is>
          <t>Abrechnungsart wählen; Stundensätze eingeben</t>
        </is>
      </c>
    </row>
    <row r="3702">
      <c r="A3702" s="4" t="inlineStr">
        <is>
          <t>6832.10 FAIR-LP8-Geb10-K0321A-Planckstraße1-Darmstadt</t>
        </is>
      </c>
      <c r="B3702" s="4" t="inlineStr">
        <is>
          <t>● 10.4.2.a Leistungsgegenstand Bauüberwachung Brandschutz</t>
        </is>
      </c>
      <c r="C3702" s="9" t="inlineStr">
        <is>
          <t>Unbekannt</t>
        </is>
      </c>
      <c r="D3702" s="10" t="inlineStr">
        <is>
          <t>⚠ Manual erforderlich</t>
        </is>
      </c>
      <c r="E3702" s="11" t="inlineStr"/>
      <c r="F3702" s="11" t="n">
        <v>0</v>
      </c>
      <c r="G3702" s="11">
        <f>E3702-F3702</f>
        <v/>
      </c>
      <c r="H3702" s="11" t="n">
        <v/>
      </c>
      <c r="I3702" s="11" t="n">
        <v/>
      </c>
      <c r="J3702" s="11" t="n">
        <v/>
      </c>
      <c r="K3702" s="4" t="inlineStr">
        <is>
          <t>Abrechnungsart wählen; Stundensätze eingeben</t>
        </is>
      </c>
    </row>
    <row r="3703">
      <c r="A3703" s="4" t="inlineStr">
        <is>
          <t>6832.10 FAIR-LP8-Geb10-K0321A-Planckstraße1-Darmstadt</t>
        </is>
      </c>
      <c r="B3703" s="4" t="inlineStr">
        <is>
          <t>● 10.4.3.a Leistungsgegenstand Fachbauleiter Brandschutz in der Leistungsphase 8</t>
        </is>
      </c>
      <c r="C3703" s="9" t="inlineStr">
        <is>
          <t>Unbekannt</t>
        </is>
      </c>
      <c r="D3703" s="10" t="inlineStr">
        <is>
          <t>⚠ Manual erforderlich</t>
        </is>
      </c>
      <c r="E3703" s="11" t="inlineStr"/>
      <c r="F3703" s="11" t="n">
        <v>0</v>
      </c>
      <c r="G3703" s="11">
        <f>E3703-F3703</f>
        <v/>
      </c>
      <c r="H3703" s="11" t="n">
        <v/>
      </c>
      <c r="I3703" s="11" t="n">
        <v/>
      </c>
      <c r="J3703" s="11" t="n">
        <v/>
      </c>
      <c r="K3703" s="4" t="inlineStr">
        <is>
          <t>Abrechnungsart wählen; Stundensätze eingeben</t>
        </is>
      </c>
    </row>
    <row r="3704">
      <c r="A3704" s="4" t="inlineStr">
        <is>
          <t>6832.10 FAIR-LP8-Geb10-K0321A-Planckstraße1-Darmstadt</t>
        </is>
      </c>
      <c r="B3704" s="4" t="inlineStr">
        <is>
          <t>● 10.4.4.a Leistungsgegenstand Objektbetreuung (optional)</t>
        </is>
      </c>
      <c r="C3704" s="9" t="inlineStr">
        <is>
          <t>Unbekannt</t>
        </is>
      </c>
      <c r="D3704" s="10" t="inlineStr">
        <is>
          <t>⚠ Manual erforderlich</t>
        </is>
      </c>
      <c r="E3704" s="11" t="inlineStr"/>
      <c r="F3704" s="11" t="n">
        <v>0</v>
      </c>
      <c r="G3704" s="11">
        <f>E3704-F3704</f>
        <v/>
      </c>
      <c r="H3704" s="11" t="n">
        <v/>
      </c>
      <c r="I3704" s="11" t="n">
        <v/>
      </c>
      <c r="J3704" s="11" t="n">
        <v/>
      </c>
      <c r="K3704" s="4" t="inlineStr">
        <is>
          <t>Abrechnungsart wählen; Stundensätze eingeben</t>
        </is>
      </c>
    </row>
    <row r="3705">
      <c r="A3705" s="4" t="inlineStr">
        <is>
          <t>6832.11 FAIR-LP8-Geb11-K0406A-Planckstraße1-Darmstadt</t>
        </is>
      </c>
      <c r="B3705" s="4" t="inlineStr">
        <is>
          <t>● 11.4.1.a Leistungsgegenstand Ausarbeitung, Begleitung der Ausschreibung und  Vergabe</t>
        </is>
      </c>
      <c r="C3705" s="9" t="inlineStr">
        <is>
          <t>Unbekannt</t>
        </is>
      </c>
      <c r="D3705" s="10" t="inlineStr">
        <is>
          <t>⚠ Manual erforderlich</t>
        </is>
      </c>
      <c r="E3705" s="11" t="inlineStr"/>
      <c r="F3705" s="11" t="n">
        <v>0</v>
      </c>
      <c r="G3705" s="11">
        <f>E3705-F3705</f>
        <v/>
      </c>
      <c r="H3705" s="11" t="n">
        <v/>
      </c>
      <c r="I3705" s="11" t="n">
        <v/>
      </c>
      <c r="J3705" s="11" t="n">
        <v/>
      </c>
      <c r="K3705" s="4" t="inlineStr">
        <is>
          <t>Abrechnungsart wählen; Stundensätze eingeben</t>
        </is>
      </c>
    </row>
    <row r="3706">
      <c r="A3706" s="4" t="inlineStr">
        <is>
          <t>6832.11 FAIR-LP8-Geb11-K0406A-Planckstraße1-Darmstadt</t>
        </is>
      </c>
      <c r="B3706" s="4" t="inlineStr">
        <is>
          <t>● 11.4.2.a Leistungsgegenstand Bauüberwachung Brandschutz</t>
        </is>
      </c>
      <c r="C3706" s="9" t="inlineStr">
        <is>
          <t>Unbekannt</t>
        </is>
      </c>
      <c r="D3706" s="10" t="inlineStr">
        <is>
          <t>⚠ Manual erforderlich</t>
        </is>
      </c>
      <c r="E3706" s="11" t="inlineStr"/>
      <c r="F3706" s="11" t="n">
        <v>0</v>
      </c>
      <c r="G3706" s="11">
        <f>E3706-F3706</f>
        <v/>
      </c>
      <c r="H3706" s="11" t="n">
        <v/>
      </c>
      <c r="I3706" s="11" t="n">
        <v/>
      </c>
      <c r="J3706" s="11" t="n">
        <v/>
      </c>
      <c r="K3706" s="4" t="inlineStr">
        <is>
          <t>Abrechnungsart wählen; Stundensätze eingeben</t>
        </is>
      </c>
    </row>
    <row r="3707">
      <c r="A3707" s="4" t="inlineStr">
        <is>
          <t>6832.11 FAIR-LP8-Geb11-K0406A-Planckstraße1-Darmstadt</t>
        </is>
      </c>
      <c r="B3707" s="4" t="inlineStr">
        <is>
          <t>● 11.4.3.a Leistungsgegenstand Fachbauleiter Brandschutz in der Leistungsphase 8</t>
        </is>
      </c>
      <c r="C3707" s="9" t="inlineStr">
        <is>
          <t>Unbekannt</t>
        </is>
      </c>
      <c r="D3707" s="10" t="inlineStr">
        <is>
          <t>⚠ Manual erforderlich</t>
        </is>
      </c>
      <c r="E3707" s="11" t="inlineStr"/>
      <c r="F3707" s="11" t="n">
        <v>0</v>
      </c>
      <c r="G3707" s="11">
        <f>E3707-F3707</f>
        <v/>
      </c>
      <c r="H3707" s="11" t="n">
        <v/>
      </c>
      <c r="I3707" s="11" t="n">
        <v/>
      </c>
      <c r="J3707" s="11" t="n">
        <v/>
      </c>
      <c r="K3707" s="4" t="inlineStr">
        <is>
          <t>Abrechnungsart wählen; Stundensätze eingeben</t>
        </is>
      </c>
    </row>
    <row r="3708">
      <c r="A3708" s="4" t="inlineStr">
        <is>
          <t>6832.11 FAIR-LP8-Geb11-K0406A-Planckstraße1-Darmstadt</t>
        </is>
      </c>
      <c r="B3708" s="4" t="inlineStr">
        <is>
          <t>● 11.4.4.a Leistungsgegenstand Objektbetreuung (optional)</t>
        </is>
      </c>
      <c r="C3708" s="9" t="inlineStr">
        <is>
          <t>Unbekannt</t>
        </is>
      </c>
      <c r="D3708" s="10" t="inlineStr">
        <is>
          <t>⚠ Manual erforderlich</t>
        </is>
      </c>
      <c r="E3708" s="11" t="inlineStr"/>
      <c r="F3708" s="11" t="n">
        <v>0</v>
      </c>
      <c r="G3708" s="11">
        <f>E3708-F3708</f>
        <v/>
      </c>
      <c r="H3708" s="11" t="n">
        <v/>
      </c>
      <c r="I3708" s="11" t="n">
        <v/>
      </c>
      <c r="J3708" s="11" t="n">
        <v/>
      </c>
      <c r="K3708" s="4" t="inlineStr">
        <is>
          <t>Abrechnungsart wählen; Stundensätze eingeben</t>
        </is>
      </c>
    </row>
    <row r="3709">
      <c r="A3709" s="4" t="inlineStr">
        <is>
          <t>6832.12 FAIR-LP8-Geb12-L0409A-Planckstraße1-Darmstadt</t>
        </is>
      </c>
      <c r="B3709" s="4" t="inlineStr">
        <is>
          <t>● 12.4.1.a Leistungsgegenstand Ausarbeitung, Begleitung der Ausschreibung und  Vergabe</t>
        </is>
      </c>
      <c r="C3709" s="9" t="inlineStr">
        <is>
          <t>Unbekannt</t>
        </is>
      </c>
      <c r="D3709" s="10" t="inlineStr">
        <is>
          <t>⚠ Manual erforderlich</t>
        </is>
      </c>
      <c r="E3709" s="11" t="inlineStr"/>
      <c r="F3709" s="11" t="n">
        <v>0</v>
      </c>
      <c r="G3709" s="11">
        <f>E3709-F3709</f>
        <v/>
      </c>
      <c r="H3709" s="11" t="n">
        <v/>
      </c>
      <c r="I3709" s="11" t="n">
        <v/>
      </c>
      <c r="J3709" s="11" t="n">
        <v/>
      </c>
      <c r="K3709" s="4" t="inlineStr">
        <is>
          <t>Abrechnungsart wählen; Stundensätze eingeben</t>
        </is>
      </c>
    </row>
    <row r="3710">
      <c r="A3710" s="4" t="inlineStr">
        <is>
          <t>6832.12 FAIR-LP8-Geb12-L0409A-Planckstraße1-Darmstadt</t>
        </is>
      </c>
      <c r="B3710" s="4" t="inlineStr">
        <is>
          <t>● 12.4.2.a Leistungsgegenstand Bauüberwachung Brandschutz</t>
        </is>
      </c>
      <c r="C3710" s="9" t="inlineStr">
        <is>
          <t>Unbekannt</t>
        </is>
      </c>
      <c r="D3710" s="10" t="inlineStr">
        <is>
          <t>⚠ Manual erforderlich</t>
        </is>
      </c>
      <c r="E3710" s="11" t="inlineStr"/>
      <c r="F3710" s="11" t="n">
        <v>0</v>
      </c>
      <c r="G3710" s="11">
        <f>E3710-F3710</f>
        <v/>
      </c>
      <c r="H3710" s="11" t="n">
        <v/>
      </c>
      <c r="I3710" s="11" t="n">
        <v/>
      </c>
      <c r="J3710" s="11" t="n">
        <v/>
      </c>
      <c r="K3710" s="4" t="inlineStr">
        <is>
          <t>Abrechnungsart wählen; Stundensätze eingeben</t>
        </is>
      </c>
    </row>
    <row r="3711">
      <c r="A3711" s="4" t="inlineStr">
        <is>
          <t>6832.12 FAIR-LP8-Geb12-L0409A-Planckstraße1-Darmstadt</t>
        </is>
      </c>
      <c r="B3711" s="4" t="inlineStr">
        <is>
          <t>● 12.4.3.a Leistungsgegenstand Fachbauleiter Brandschutz in der Leistungsphase 8</t>
        </is>
      </c>
      <c r="C3711" s="9" t="inlineStr">
        <is>
          <t>Unbekannt</t>
        </is>
      </c>
      <c r="D3711" s="10" t="inlineStr">
        <is>
          <t>⚠ Manual erforderlich</t>
        </is>
      </c>
      <c r="E3711" s="11" t="inlineStr"/>
      <c r="F3711" s="11" t="n">
        <v>0</v>
      </c>
      <c r="G3711" s="11">
        <f>E3711-F3711</f>
        <v/>
      </c>
      <c r="H3711" s="11" t="n">
        <v/>
      </c>
      <c r="I3711" s="11" t="n">
        <v/>
      </c>
      <c r="J3711" s="11" t="n">
        <v/>
      </c>
      <c r="K3711" s="4" t="inlineStr">
        <is>
          <t>Abrechnungsart wählen; Stundensätze eingeben</t>
        </is>
      </c>
    </row>
    <row r="3712">
      <c r="A3712" s="4" t="inlineStr">
        <is>
          <t>6832.12 FAIR-LP8-Geb12-L0409A-Planckstraße1-Darmstadt</t>
        </is>
      </c>
      <c r="B3712" s="4" t="inlineStr">
        <is>
          <t>● 12.4.4.a Leistungsgegenstand Objektbetreuung (optional)</t>
        </is>
      </c>
      <c r="C3712" s="9" t="inlineStr">
        <is>
          <t>Unbekannt</t>
        </is>
      </c>
      <c r="D3712" s="10" t="inlineStr">
        <is>
          <t>⚠ Manual erforderlich</t>
        </is>
      </c>
      <c r="E3712" s="11" t="inlineStr"/>
      <c r="F3712" s="11" t="n">
        <v>0</v>
      </c>
      <c r="G3712" s="11">
        <f>E3712-F3712</f>
        <v/>
      </c>
      <c r="H3712" s="11" t="n">
        <v/>
      </c>
      <c r="I3712" s="11" t="n">
        <v/>
      </c>
      <c r="J3712" s="11" t="n">
        <v/>
      </c>
      <c r="K3712" s="4" t="inlineStr">
        <is>
          <t>Abrechnungsart wählen; Stundensätze eingeben</t>
        </is>
      </c>
    </row>
    <row r="3713">
      <c r="A3713" s="4" t="inlineStr">
        <is>
          <t>6832.13 FAIR-LP8-Geb13-G0702A-Planckstraße1-Darmstadt</t>
        </is>
      </c>
      <c r="B3713" s="4" t="inlineStr">
        <is>
          <t>● 13.4.1.a Leistungsgegenstand Ausarbeitung, Begleitung der Ausschreibung und  Vergabe</t>
        </is>
      </c>
      <c r="C3713" s="9" t="inlineStr">
        <is>
          <t>Unbekannt</t>
        </is>
      </c>
      <c r="D3713" s="10" t="inlineStr">
        <is>
          <t>⚠ Manual erforderlich</t>
        </is>
      </c>
      <c r="E3713" s="11" t="inlineStr"/>
      <c r="F3713" s="11" t="n">
        <v>0</v>
      </c>
      <c r="G3713" s="11">
        <f>E3713-F3713</f>
        <v/>
      </c>
      <c r="H3713" s="11" t="n">
        <v/>
      </c>
      <c r="I3713" s="11" t="n">
        <v/>
      </c>
      <c r="J3713" s="11" t="n">
        <v/>
      </c>
      <c r="K3713" s="4" t="inlineStr">
        <is>
          <t>Abrechnungsart wählen; Stundensätze eingeben</t>
        </is>
      </c>
    </row>
    <row r="3714">
      <c r="A3714" s="4" t="inlineStr">
        <is>
          <t>6832.13 FAIR-LP8-Geb13-G0702A-Planckstraße1-Darmstadt</t>
        </is>
      </c>
      <c r="B3714" s="4" t="inlineStr">
        <is>
          <t>● 13.4.2.a Leistungsgegenstand Bauüberwachung Brandschutz</t>
        </is>
      </c>
      <c r="C3714" s="9" t="inlineStr">
        <is>
          <t>Unbekannt</t>
        </is>
      </c>
      <c r="D3714" s="10" t="inlineStr">
        <is>
          <t>⚠ Manual erforderlich</t>
        </is>
      </c>
      <c r="E3714" s="11" t="inlineStr"/>
      <c r="F3714" s="11" t="n">
        <v>0</v>
      </c>
      <c r="G3714" s="11">
        <f>E3714-F3714</f>
        <v/>
      </c>
      <c r="H3714" s="11" t="n">
        <v/>
      </c>
      <c r="I3714" s="11" t="n">
        <v/>
      </c>
      <c r="J3714" s="11" t="n">
        <v/>
      </c>
      <c r="K3714" s="4" t="inlineStr">
        <is>
          <t>Abrechnungsart wählen; Stundensätze eingeben</t>
        </is>
      </c>
    </row>
    <row r="3715">
      <c r="A3715" s="4" t="inlineStr">
        <is>
          <t>6832.13 FAIR-LP8-Geb13-G0702A-Planckstraße1-Darmstadt</t>
        </is>
      </c>
      <c r="B3715" s="4" t="inlineStr">
        <is>
          <t>● 13.4.3.a Leistungsgegenstand Fachbauleiter Brandschutz in der Leistungsphase 8</t>
        </is>
      </c>
      <c r="C3715" s="9" t="inlineStr">
        <is>
          <t>Unbekannt</t>
        </is>
      </c>
      <c r="D3715" s="10" t="inlineStr">
        <is>
          <t>⚠ Manual erforderlich</t>
        </is>
      </c>
      <c r="E3715" s="11" t="inlineStr"/>
      <c r="F3715" s="11" t="n">
        <v>0</v>
      </c>
      <c r="G3715" s="11">
        <f>E3715-F3715</f>
        <v/>
      </c>
      <c r="H3715" s="11" t="n">
        <v/>
      </c>
      <c r="I3715" s="11" t="n">
        <v/>
      </c>
      <c r="J3715" s="11" t="n">
        <v/>
      </c>
      <c r="K3715" s="4" t="inlineStr">
        <is>
          <t>Abrechnungsart wählen; Stundensätze eingeben</t>
        </is>
      </c>
    </row>
    <row r="3716">
      <c r="A3716" s="4" t="inlineStr">
        <is>
          <t>6832.13 FAIR-LP8-Geb13-G0702A-Planckstraße1-Darmstadt</t>
        </is>
      </c>
      <c r="B3716" s="4" t="inlineStr">
        <is>
          <t>● 13.4.4.a Leistungsgegenstand Objektbetreuung (optional)</t>
        </is>
      </c>
      <c r="C3716" s="9" t="inlineStr">
        <is>
          <t>Unbekannt</t>
        </is>
      </c>
      <c r="D3716" s="10" t="inlineStr">
        <is>
          <t>⚠ Manual erforderlich</t>
        </is>
      </c>
      <c r="E3716" s="11" t="inlineStr"/>
      <c r="F3716" s="11" t="n">
        <v>0</v>
      </c>
      <c r="G3716" s="11">
        <f>E3716-F3716</f>
        <v/>
      </c>
      <c r="H3716" s="11" t="n">
        <v/>
      </c>
      <c r="I3716" s="11" t="n">
        <v/>
      </c>
      <c r="J3716" s="11" t="n">
        <v/>
      </c>
      <c r="K3716" s="4" t="inlineStr">
        <is>
          <t>Abrechnungsart wählen; Stundensätze eingeben</t>
        </is>
      </c>
    </row>
    <row r="3717">
      <c r="A3717" s="4" t="inlineStr">
        <is>
          <t>6832.14 FAIR-LP8-Geb14-K0617A-Planckstraße1-Darmstadt</t>
        </is>
      </c>
      <c r="B3717" s="4" t="inlineStr">
        <is>
          <t>● 14.4.1.a Leistungsgegenstand Ausarbeitung, Begleitung der Ausschreibung und  Vergabe</t>
        </is>
      </c>
      <c r="C3717" s="9" t="inlineStr">
        <is>
          <t>Unbekannt</t>
        </is>
      </c>
      <c r="D3717" s="10" t="inlineStr">
        <is>
          <t>⚠ Manual erforderlich</t>
        </is>
      </c>
      <c r="E3717" s="11" t="inlineStr"/>
      <c r="F3717" s="11" t="n">
        <v>0</v>
      </c>
      <c r="G3717" s="11">
        <f>E3717-F3717</f>
        <v/>
      </c>
      <c r="H3717" s="11" t="n">
        <v/>
      </c>
      <c r="I3717" s="11" t="n">
        <v/>
      </c>
      <c r="J3717" s="11" t="n">
        <v/>
      </c>
      <c r="K3717" s="4" t="inlineStr">
        <is>
          <t>Abrechnungsart wählen; Stundensätze eingeben</t>
        </is>
      </c>
    </row>
    <row r="3718">
      <c r="A3718" s="4" t="inlineStr">
        <is>
          <t>6832.14 FAIR-LP8-Geb14-K0617A-Planckstraße1-Darmstadt</t>
        </is>
      </c>
      <c r="B3718" s="4" t="inlineStr">
        <is>
          <t>● 14.4.2.a Leistungsgegenstand Bauüberwachung Brandschutz</t>
        </is>
      </c>
      <c r="C3718" s="9" t="inlineStr">
        <is>
          <t>Unbekannt</t>
        </is>
      </c>
      <c r="D3718" s="10" t="inlineStr">
        <is>
          <t>⚠ Manual erforderlich</t>
        </is>
      </c>
      <c r="E3718" s="11" t="inlineStr"/>
      <c r="F3718" s="11" t="n">
        <v>0</v>
      </c>
      <c r="G3718" s="11">
        <f>E3718-F3718</f>
        <v/>
      </c>
      <c r="H3718" s="11" t="n">
        <v/>
      </c>
      <c r="I3718" s="11" t="n">
        <v/>
      </c>
      <c r="J3718" s="11" t="n">
        <v/>
      </c>
      <c r="K3718" s="4" t="inlineStr">
        <is>
          <t>Abrechnungsart wählen; Stundensätze eingeben</t>
        </is>
      </c>
    </row>
    <row r="3719">
      <c r="A3719" s="4" t="inlineStr">
        <is>
          <t>6832.14 FAIR-LP8-Geb14-K0617A-Planckstraße1-Darmstadt</t>
        </is>
      </c>
      <c r="B3719" s="4" t="inlineStr">
        <is>
          <t>● 14.4.3.a Leistungsgegenstand Fachbauleiter Brandschutz in der Leistungsphase 8</t>
        </is>
      </c>
      <c r="C3719" s="9" t="inlineStr">
        <is>
          <t>Unbekannt</t>
        </is>
      </c>
      <c r="D3719" s="10" t="inlineStr">
        <is>
          <t>⚠ Manual erforderlich</t>
        </is>
      </c>
      <c r="E3719" s="11" t="inlineStr"/>
      <c r="F3719" s="11" t="n">
        <v>0</v>
      </c>
      <c r="G3719" s="11">
        <f>E3719-F3719</f>
        <v/>
      </c>
      <c r="H3719" s="11" t="n">
        <v/>
      </c>
      <c r="I3719" s="11" t="n">
        <v/>
      </c>
      <c r="J3719" s="11" t="n">
        <v/>
      </c>
      <c r="K3719" s="4" t="inlineStr">
        <is>
          <t>Abrechnungsart wählen; Stundensätze eingeben</t>
        </is>
      </c>
    </row>
    <row r="3720">
      <c r="A3720" s="4" t="inlineStr">
        <is>
          <t>6832.14 FAIR-LP8-Geb14-K0617A-Planckstraße1-Darmstadt</t>
        </is>
      </c>
      <c r="B3720" s="4" t="inlineStr">
        <is>
          <t>● 14.4.4.a Leistungsgegenstand Objektbetreuung (optional)</t>
        </is>
      </c>
      <c r="C3720" s="9" t="inlineStr">
        <is>
          <t>Unbekannt</t>
        </is>
      </c>
      <c r="D3720" s="10" t="inlineStr">
        <is>
          <t>⚠ Manual erforderlich</t>
        </is>
      </c>
      <c r="E3720" s="11" t="inlineStr"/>
      <c r="F3720" s="11" t="n">
        <v>0</v>
      </c>
      <c r="G3720" s="11">
        <f>E3720-F3720</f>
        <v/>
      </c>
      <c r="H3720" s="11" t="n">
        <v/>
      </c>
      <c r="I3720" s="11" t="n">
        <v/>
      </c>
      <c r="J3720" s="11" t="n">
        <v/>
      </c>
      <c r="K3720" s="4" t="inlineStr">
        <is>
          <t>Abrechnungsart wählen; Stundensätze eingeben</t>
        </is>
      </c>
    </row>
    <row r="3721">
      <c r="A3721" s="4" t="inlineStr">
        <is>
          <t>6832.15 FAIR-LP8-Geb15-K0619A-Planckstraße1-Darmstadt</t>
        </is>
      </c>
      <c r="B3721" s="4" t="inlineStr">
        <is>
          <t>● 15.4.1.a Leistungsgegenstand Ausarbeitung, Begleitung der Ausschreibung und  Vergabe</t>
        </is>
      </c>
      <c r="C3721" s="9" t="inlineStr">
        <is>
          <t>Unbekannt</t>
        </is>
      </c>
      <c r="D3721" s="10" t="inlineStr">
        <is>
          <t>⚠ Manual erforderlich</t>
        </is>
      </c>
      <c r="E3721" s="11" t="inlineStr"/>
      <c r="F3721" s="11" t="n">
        <v>0</v>
      </c>
      <c r="G3721" s="11">
        <f>E3721-F3721</f>
        <v/>
      </c>
      <c r="H3721" s="11" t="n">
        <v/>
      </c>
      <c r="I3721" s="11" t="n">
        <v/>
      </c>
      <c r="J3721" s="11" t="n">
        <v/>
      </c>
      <c r="K3721" s="4" t="inlineStr">
        <is>
          <t>Abrechnungsart wählen; Stundensätze eingeben</t>
        </is>
      </c>
    </row>
    <row r="3722">
      <c r="A3722" s="4" t="inlineStr">
        <is>
          <t>6832.15 FAIR-LP8-Geb15-K0619A-Planckstraße1-Darmstadt</t>
        </is>
      </c>
      <c r="B3722" s="4" t="inlineStr">
        <is>
          <t>● 15.4.2.a Leistungsgegenstand Bauüberwachung Brandschutz</t>
        </is>
      </c>
      <c r="C3722" s="9" t="inlineStr">
        <is>
          <t>Unbekannt</t>
        </is>
      </c>
      <c r="D3722" s="10" t="inlineStr">
        <is>
          <t>⚠ Manual erforderlich</t>
        </is>
      </c>
      <c r="E3722" s="11" t="inlineStr"/>
      <c r="F3722" s="11" t="n">
        <v>0</v>
      </c>
      <c r="G3722" s="11">
        <f>E3722-F3722</f>
        <v/>
      </c>
      <c r="H3722" s="11" t="n">
        <v/>
      </c>
      <c r="I3722" s="11" t="n">
        <v/>
      </c>
      <c r="J3722" s="11" t="n">
        <v/>
      </c>
      <c r="K3722" s="4" t="inlineStr">
        <is>
          <t>Abrechnungsart wählen; Stundensätze eingeben</t>
        </is>
      </c>
    </row>
    <row r="3723">
      <c r="A3723" s="4" t="inlineStr">
        <is>
          <t>6832.15 FAIR-LP8-Geb15-K0619A-Planckstraße1-Darmstadt</t>
        </is>
      </c>
      <c r="B3723" s="4" t="inlineStr">
        <is>
          <t>● 15.4.3.a Leistungsgegenstand Fachbauleiter Brandschutz in der Leistungsphase 8</t>
        </is>
      </c>
      <c r="C3723" s="9" t="inlineStr">
        <is>
          <t>Unbekannt</t>
        </is>
      </c>
      <c r="D3723" s="10" t="inlineStr">
        <is>
          <t>⚠ Manual erforderlich</t>
        </is>
      </c>
      <c r="E3723" s="11" t="inlineStr"/>
      <c r="F3723" s="11" t="n">
        <v>0</v>
      </c>
      <c r="G3723" s="11">
        <f>E3723-F3723</f>
        <v/>
      </c>
      <c r="H3723" s="11" t="n">
        <v/>
      </c>
      <c r="I3723" s="11" t="n">
        <v/>
      </c>
      <c r="J3723" s="11" t="n">
        <v/>
      </c>
      <c r="K3723" s="4" t="inlineStr">
        <is>
          <t>Abrechnungsart wählen; Stundensätze eingeben</t>
        </is>
      </c>
    </row>
    <row r="3724">
      <c r="A3724" s="4" t="inlineStr">
        <is>
          <t>6832.15 FAIR-LP8-Geb15-K0619A-Planckstraße1-Darmstadt</t>
        </is>
      </c>
      <c r="B3724" s="4" t="inlineStr">
        <is>
          <t>● 15.4.4.a Leistungsgegenstand Objektbetreuung (optional)</t>
        </is>
      </c>
      <c r="C3724" s="9" t="inlineStr">
        <is>
          <t>Unbekannt</t>
        </is>
      </c>
      <c r="D3724" s="10" t="inlineStr">
        <is>
          <t>⚠ Manual erforderlich</t>
        </is>
      </c>
      <c r="E3724" s="11" t="inlineStr"/>
      <c r="F3724" s="11" t="n">
        <v>0</v>
      </c>
      <c r="G3724" s="11">
        <f>E3724-F3724</f>
        <v/>
      </c>
      <c r="H3724" s="11" t="n">
        <v/>
      </c>
      <c r="I3724" s="11" t="n">
        <v/>
      </c>
      <c r="J3724" s="11" t="n">
        <v/>
      </c>
      <c r="K3724" s="4" t="inlineStr">
        <is>
          <t>Abrechnungsart wählen; Stundensätze eingeben</t>
        </is>
      </c>
    </row>
    <row r="3725">
      <c r="A3725" s="4" t="inlineStr">
        <is>
          <t>6832.16 FAIR-LP8-Geb16-K0503A-Planckstraße1-Darmstadt</t>
        </is>
      </c>
      <c r="B3725" s="4" t="inlineStr">
        <is>
          <t>● 16.4.1.a Leistungsgegenstand Ausarbeitung, Begleitung der Ausschreibung und  Vergabe</t>
        </is>
      </c>
      <c r="C3725" s="9" t="inlineStr">
        <is>
          <t>Unbekannt</t>
        </is>
      </c>
      <c r="D3725" s="10" t="inlineStr">
        <is>
          <t>⚠ Manual erforderlich</t>
        </is>
      </c>
      <c r="E3725" s="11" t="inlineStr"/>
      <c r="F3725" s="11" t="n">
        <v>0</v>
      </c>
      <c r="G3725" s="11">
        <f>E3725-F3725</f>
        <v/>
      </c>
      <c r="H3725" s="11" t="n">
        <v/>
      </c>
      <c r="I3725" s="11" t="n">
        <v/>
      </c>
      <c r="J3725" s="11" t="n">
        <v/>
      </c>
      <c r="K3725" s="4" t="inlineStr">
        <is>
          <t>Abrechnungsart wählen; Stundensätze eingeben</t>
        </is>
      </c>
    </row>
    <row r="3726">
      <c r="A3726" s="4" t="inlineStr">
        <is>
          <t>6832.16 FAIR-LP8-Geb16-K0503A-Planckstraße1-Darmstadt</t>
        </is>
      </c>
      <c r="B3726" s="4" t="inlineStr">
        <is>
          <t>● 16.4.2.a Leistungsgegenstand Bauüberwachung Brandschutz</t>
        </is>
      </c>
      <c r="C3726" s="9" t="inlineStr">
        <is>
          <t>Unbekannt</t>
        </is>
      </c>
      <c r="D3726" s="10" t="inlineStr">
        <is>
          <t>⚠ Manual erforderlich</t>
        </is>
      </c>
      <c r="E3726" s="11" t="inlineStr"/>
      <c r="F3726" s="11" t="n">
        <v>0</v>
      </c>
      <c r="G3726" s="11">
        <f>E3726-F3726</f>
        <v/>
      </c>
      <c r="H3726" s="11" t="n">
        <v/>
      </c>
      <c r="I3726" s="11" t="n">
        <v/>
      </c>
      <c r="J3726" s="11" t="n">
        <v/>
      </c>
      <c r="K3726" s="4" t="inlineStr">
        <is>
          <t>Abrechnungsart wählen; Stundensätze eingeben</t>
        </is>
      </c>
    </row>
    <row r="3727">
      <c r="A3727" s="4" t="inlineStr">
        <is>
          <t>6832.16 FAIR-LP8-Geb16-K0503A-Planckstraße1-Darmstadt</t>
        </is>
      </c>
      <c r="B3727" s="4" t="inlineStr">
        <is>
          <t>● 16.4.3.a Leistungsgegenstand Fachbauleiter Brandschutz in der Leistungsphase 8</t>
        </is>
      </c>
      <c r="C3727" s="9" t="inlineStr">
        <is>
          <t>Unbekannt</t>
        </is>
      </c>
      <c r="D3727" s="10" t="inlineStr">
        <is>
          <t>⚠ Manual erforderlich</t>
        </is>
      </c>
      <c r="E3727" s="11" t="inlineStr"/>
      <c r="F3727" s="11" t="n">
        <v>0</v>
      </c>
      <c r="G3727" s="11">
        <f>E3727-F3727</f>
        <v/>
      </c>
      <c r="H3727" s="11" t="n">
        <v/>
      </c>
      <c r="I3727" s="11" t="n">
        <v/>
      </c>
      <c r="J3727" s="11" t="n">
        <v/>
      </c>
      <c r="K3727" s="4" t="inlineStr">
        <is>
          <t>Abrechnungsart wählen; Stundensätze eingeben</t>
        </is>
      </c>
    </row>
    <row r="3728">
      <c r="A3728" s="4" t="inlineStr">
        <is>
          <t>6832.16 FAIR-LP8-Geb16-K0503A-Planckstraße1-Darmstadt</t>
        </is>
      </c>
      <c r="B3728" s="4" t="inlineStr">
        <is>
          <t>● 16.4.4.a Leistungsgegenstand Objektbetreuung (optional)</t>
        </is>
      </c>
      <c r="C3728" s="9" t="inlineStr">
        <is>
          <t>Unbekannt</t>
        </is>
      </c>
      <c r="D3728" s="10" t="inlineStr">
        <is>
          <t>⚠ Manual erforderlich</t>
        </is>
      </c>
      <c r="E3728" s="11" t="inlineStr"/>
      <c r="F3728" s="11" t="n">
        <v>0</v>
      </c>
      <c r="G3728" s="11">
        <f>E3728-F3728</f>
        <v/>
      </c>
      <c r="H3728" s="11" t="n">
        <v/>
      </c>
      <c r="I3728" s="11" t="n">
        <v/>
      </c>
      <c r="J3728" s="11" t="n">
        <v/>
      </c>
      <c r="K3728" s="4" t="inlineStr">
        <is>
          <t>Abrechnungsart wählen; Stundensätze eingeben</t>
        </is>
      </c>
    </row>
    <row r="3729">
      <c r="A3729" s="4" t="inlineStr">
        <is>
          <t>6832.17 FAIR-LP8-Geb17-K0410A-Planckstraße1-Darmstadt</t>
        </is>
      </c>
      <c r="B3729" s="4" t="inlineStr">
        <is>
          <t>● 17.4.1.a Leistungsgegenstand Ausarbeitung, Begleitung der Ausschreibung und  Vergabe</t>
        </is>
      </c>
      <c r="C3729" s="9" t="inlineStr">
        <is>
          <t>Unbekannt</t>
        </is>
      </c>
      <c r="D3729" s="10" t="inlineStr">
        <is>
          <t>⚠ Manual erforderlich</t>
        </is>
      </c>
      <c r="E3729" s="11" t="inlineStr"/>
      <c r="F3729" s="11" t="n">
        <v>0</v>
      </c>
      <c r="G3729" s="11">
        <f>E3729-F3729</f>
        <v/>
      </c>
      <c r="H3729" s="11" t="n">
        <v/>
      </c>
      <c r="I3729" s="11" t="n">
        <v/>
      </c>
      <c r="J3729" s="11" t="n">
        <v/>
      </c>
      <c r="K3729" s="4" t="inlineStr">
        <is>
          <t>Abrechnungsart wählen; Stundensätze eingeben</t>
        </is>
      </c>
    </row>
    <row r="3730">
      <c r="A3730" s="4" t="inlineStr">
        <is>
          <t>6832.17 FAIR-LP8-Geb17-K0410A-Planckstraße1-Darmstadt</t>
        </is>
      </c>
      <c r="B3730" s="4" t="inlineStr">
        <is>
          <t>● 17.4.2.a Leistungsgegenstand Bauüberwachung Brandschutz</t>
        </is>
      </c>
      <c r="C3730" s="9" t="inlineStr">
        <is>
          <t>Unbekannt</t>
        </is>
      </c>
      <c r="D3730" s="10" t="inlineStr">
        <is>
          <t>⚠ Manual erforderlich</t>
        </is>
      </c>
      <c r="E3730" s="11" t="inlineStr"/>
      <c r="F3730" s="11" t="n">
        <v>0</v>
      </c>
      <c r="G3730" s="11">
        <f>E3730-F3730</f>
        <v/>
      </c>
      <c r="H3730" s="11" t="n">
        <v/>
      </c>
      <c r="I3730" s="11" t="n">
        <v/>
      </c>
      <c r="J3730" s="11" t="n">
        <v/>
      </c>
      <c r="K3730" s="4" t="inlineStr">
        <is>
          <t>Abrechnungsart wählen; Stundensätze eingeben</t>
        </is>
      </c>
    </row>
    <row r="3731">
      <c r="A3731" s="4" t="inlineStr">
        <is>
          <t>6832.17 FAIR-LP8-Geb17-K0410A-Planckstraße1-Darmstadt</t>
        </is>
      </c>
      <c r="B3731" s="4" t="inlineStr">
        <is>
          <t>● 17.4.3.a Leistungsgegenstand Fachbauleiter Brandschutz in der Leistungsphase 8</t>
        </is>
      </c>
      <c r="C3731" s="9" t="inlineStr">
        <is>
          <t>Unbekannt</t>
        </is>
      </c>
      <c r="D3731" s="10" t="inlineStr">
        <is>
          <t>⚠ Manual erforderlich</t>
        </is>
      </c>
      <c r="E3731" s="11" t="inlineStr"/>
      <c r="F3731" s="11" t="n">
        <v>0</v>
      </c>
      <c r="G3731" s="11">
        <f>E3731-F3731</f>
        <v/>
      </c>
      <c r="H3731" s="11" t="n">
        <v/>
      </c>
      <c r="I3731" s="11" t="n">
        <v/>
      </c>
      <c r="J3731" s="11" t="n">
        <v/>
      </c>
      <c r="K3731" s="4" t="inlineStr">
        <is>
          <t>Abrechnungsart wählen; Stundensätze eingeben</t>
        </is>
      </c>
    </row>
    <row r="3732">
      <c r="A3732" s="4" t="inlineStr">
        <is>
          <t>6832.17 FAIR-LP8-Geb17-K0410A-Planckstraße1-Darmstadt</t>
        </is>
      </c>
      <c r="B3732" s="4" t="inlineStr">
        <is>
          <t>● 17.4.4.a Leistungsgegenstand Objektbetreuung (optional)</t>
        </is>
      </c>
      <c r="C3732" s="9" t="inlineStr">
        <is>
          <t>Unbekannt</t>
        </is>
      </c>
      <c r="D3732" s="10" t="inlineStr">
        <is>
          <t>⚠ Manual erforderlich</t>
        </is>
      </c>
      <c r="E3732" s="11" t="inlineStr"/>
      <c r="F3732" s="11" t="n">
        <v>0</v>
      </c>
      <c r="G3732" s="11">
        <f>E3732-F3732</f>
        <v/>
      </c>
      <c r="H3732" s="11" t="n">
        <v/>
      </c>
      <c r="I3732" s="11" t="n">
        <v/>
      </c>
      <c r="J3732" s="11" t="n">
        <v/>
      </c>
      <c r="K3732" s="4" t="inlineStr">
        <is>
          <t>Abrechnungsart wählen; Stundensätze eingeben</t>
        </is>
      </c>
    </row>
    <row r="3733">
      <c r="A3733" s="4" t="inlineStr">
        <is>
          <t>6832.18 FAIR-LP8-Geb18-K0519A-Planckstraße1-Darmstadt</t>
        </is>
      </c>
      <c r="B3733" s="4" t="inlineStr">
        <is>
          <t>● 18.4.1.a Leistungsgegenstand Ausarbeitung, Begleitung der Ausschreibung und  Vergabe</t>
        </is>
      </c>
      <c r="C3733" s="9" t="inlineStr">
        <is>
          <t>Unbekannt</t>
        </is>
      </c>
      <c r="D3733" s="10" t="inlineStr">
        <is>
          <t>⚠ Manual erforderlich</t>
        </is>
      </c>
      <c r="E3733" s="11" t="inlineStr"/>
      <c r="F3733" s="11" t="n">
        <v>0</v>
      </c>
      <c r="G3733" s="11">
        <f>E3733-F3733</f>
        <v/>
      </c>
      <c r="H3733" s="11" t="n">
        <v/>
      </c>
      <c r="I3733" s="11" t="n">
        <v/>
      </c>
      <c r="J3733" s="11" t="n">
        <v/>
      </c>
      <c r="K3733" s="4" t="inlineStr">
        <is>
          <t>Abrechnungsart wählen; Stundensätze eingeben</t>
        </is>
      </c>
    </row>
    <row r="3734">
      <c r="A3734" s="4" t="inlineStr">
        <is>
          <t>6832.18 FAIR-LP8-Geb18-K0519A-Planckstraße1-Darmstadt</t>
        </is>
      </c>
      <c r="B3734" s="4" t="inlineStr">
        <is>
          <t>● 18.4.2.a Leistungsgegenstand Bauüberwachung Brandschutz</t>
        </is>
      </c>
      <c r="C3734" s="9" t="inlineStr">
        <is>
          <t>Unbekannt</t>
        </is>
      </c>
      <c r="D3734" s="10" t="inlineStr">
        <is>
          <t>⚠ Manual erforderlich</t>
        </is>
      </c>
      <c r="E3734" s="11" t="inlineStr"/>
      <c r="F3734" s="11" t="n">
        <v>0</v>
      </c>
      <c r="G3734" s="11">
        <f>E3734-F3734</f>
        <v/>
      </c>
      <c r="H3734" s="11" t="n">
        <v/>
      </c>
      <c r="I3734" s="11" t="n">
        <v/>
      </c>
      <c r="J3734" s="11" t="n">
        <v/>
      </c>
      <c r="K3734" s="4" t="inlineStr">
        <is>
          <t>Abrechnungsart wählen; Stundensätze eingeben</t>
        </is>
      </c>
    </row>
    <row r="3735">
      <c r="A3735" s="4" t="inlineStr">
        <is>
          <t>6832.18 FAIR-LP8-Geb18-K0519A-Planckstraße1-Darmstadt</t>
        </is>
      </c>
      <c r="B3735" s="4" t="inlineStr">
        <is>
          <t>● 18.4.3.a Leistungsgegenstand Fachbauleiter Brandschutz in der Leistungsphase 8</t>
        </is>
      </c>
      <c r="C3735" s="9" t="inlineStr">
        <is>
          <t>Unbekannt</t>
        </is>
      </c>
      <c r="D3735" s="10" t="inlineStr">
        <is>
          <t>⚠ Manual erforderlich</t>
        </is>
      </c>
      <c r="E3735" s="11" t="inlineStr"/>
      <c r="F3735" s="11" t="n">
        <v>0</v>
      </c>
      <c r="G3735" s="11">
        <f>E3735-F3735</f>
        <v/>
      </c>
      <c r="H3735" s="11" t="n">
        <v/>
      </c>
      <c r="I3735" s="11" t="n">
        <v/>
      </c>
      <c r="J3735" s="11" t="n">
        <v/>
      </c>
      <c r="K3735" s="4" t="inlineStr">
        <is>
          <t>Abrechnungsart wählen; Stundensätze eingeben</t>
        </is>
      </c>
    </row>
    <row r="3736">
      <c r="A3736" s="4" t="inlineStr">
        <is>
          <t>6832.18 FAIR-LP8-Geb18-K0519A-Planckstraße1-Darmstadt</t>
        </is>
      </c>
      <c r="B3736" s="4" t="inlineStr">
        <is>
          <t>● 18.4.4.a Leistungsgegenstand Objektbetreuung (optional)</t>
        </is>
      </c>
      <c r="C3736" s="9" t="inlineStr">
        <is>
          <t>Unbekannt</t>
        </is>
      </c>
      <c r="D3736" s="10" t="inlineStr">
        <is>
          <t>⚠ Manual erforderlich</t>
        </is>
      </c>
      <c r="E3736" s="11" t="inlineStr"/>
      <c r="F3736" s="11" t="n">
        <v>0</v>
      </c>
      <c r="G3736" s="11">
        <f>E3736-F3736</f>
        <v/>
      </c>
      <c r="H3736" s="11" t="n">
        <v/>
      </c>
      <c r="I3736" s="11" t="n">
        <v/>
      </c>
      <c r="J3736" s="11" t="n">
        <v/>
      </c>
      <c r="K3736" s="4" t="inlineStr">
        <is>
          <t>Abrechnungsart wählen; Stundensätze eingeben</t>
        </is>
      </c>
    </row>
    <row r="3737">
      <c r="A3737" s="4" t="inlineStr">
        <is>
          <t>6832.19 FAIR-LP8-Geb19-L0608A-Planckstraße1-Darmstadt</t>
        </is>
      </c>
      <c r="B3737" s="4" t="inlineStr">
        <is>
          <t>● 19.4.1.a Leistungsgegenstand Ausarbeitung, Begleitung der Ausschreibung und  Vergabe</t>
        </is>
      </c>
      <c r="C3737" s="9" t="inlineStr">
        <is>
          <t>Unbekannt</t>
        </is>
      </c>
      <c r="D3737" s="10" t="inlineStr">
        <is>
          <t>⚠ Manual erforderlich</t>
        </is>
      </c>
      <c r="E3737" s="11" t="inlineStr"/>
      <c r="F3737" s="11" t="n">
        <v>0</v>
      </c>
      <c r="G3737" s="11">
        <f>E3737-F3737</f>
        <v/>
      </c>
      <c r="H3737" s="11" t="n">
        <v/>
      </c>
      <c r="I3737" s="11" t="n">
        <v/>
      </c>
      <c r="J3737" s="11" t="n">
        <v/>
      </c>
      <c r="K3737" s="4" t="inlineStr">
        <is>
          <t>Abrechnungsart wählen; Stundensätze eingeben</t>
        </is>
      </c>
    </row>
    <row r="3738">
      <c r="A3738" s="4" t="inlineStr">
        <is>
          <t>6832.19 FAIR-LP8-Geb19-L0608A-Planckstraße1-Darmstadt</t>
        </is>
      </c>
      <c r="B3738" s="4" t="inlineStr">
        <is>
          <t>● 19.4.2.a Leistungsgegenstand Bauüberwachung Brandschutz</t>
        </is>
      </c>
      <c r="C3738" s="9" t="inlineStr">
        <is>
          <t>Unbekannt</t>
        </is>
      </c>
      <c r="D3738" s="10" t="inlineStr">
        <is>
          <t>⚠ Manual erforderlich</t>
        </is>
      </c>
      <c r="E3738" s="11" t="inlineStr"/>
      <c r="F3738" s="11" t="n">
        <v>0</v>
      </c>
      <c r="G3738" s="11">
        <f>E3738-F3738</f>
        <v/>
      </c>
      <c r="H3738" s="11" t="n">
        <v/>
      </c>
      <c r="I3738" s="11" t="n">
        <v/>
      </c>
      <c r="J3738" s="11" t="n">
        <v/>
      </c>
      <c r="K3738" s="4" t="inlineStr">
        <is>
          <t>Abrechnungsart wählen; Stundensätze eingeben</t>
        </is>
      </c>
    </row>
    <row r="3739">
      <c r="A3739" s="4" t="inlineStr">
        <is>
          <t>6832.19 FAIR-LP8-Geb19-L0608A-Planckstraße1-Darmstadt</t>
        </is>
      </c>
      <c r="B3739" s="4" t="inlineStr">
        <is>
          <t>● 19.4.3.a Leistungsgegenstand Fachbauleiter Brandschutz in der Leistungsphase 8</t>
        </is>
      </c>
      <c r="C3739" s="9" t="inlineStr">
        <is>
          <t>Unbekannt</t>
        </is>
      </c>
      <c r="D3739" s="10" t="inlineStr">
        <is>
          <t>⚠ Manual erforderlich</t>
        </is>
      </c>
      <c r="E3739" s="11" t="inlineStr"/>
      <c r="F3739" s="11" t="n">
        <v>0</v>
      </c>
      <c r="G3739" s="11">
        <f>E3739-F3739</f>
        <v/>
      </c>
      <c r="H3739" s="11" t="n">
        <v/>
      </c>
      <c r="I3739" s="11" t="n">
        <v/>
      </c>
      <c r="J3739" s="11" t="n">
        <v/>
      </c>
      <c r="K3739" s="4" t="inlineStr">
        <is>
          <t>Abrechnungsart wählen; Stundensätze eingeben</t>
        </is>
      </c>
    </row>
    <row r="3740">
      <c r="A3740" s="4" t="inlineStr">
        <is>
          <t>6832.19 FAIR-LP8-Geb19-L0608A-Planckstraße1-Darmstadt</t>
        </is>
      </c>
      <c r="B3740" s="4" t="inlineStr">
        <is>
          <t>● 19.4.4.a Leistungsgegenstand Objektbetreuung (optional)</t>
        </is>
      </c>
      <c r="C3740" s="9" t="inlineStr">
        <is>
          <t>Unbekannt</t>
        </is>
      </c>
      <c r="D3740" s="10" t="inlineStr">
        <is>
          <t>⚠ Manual erforderlich</t>
        </is>
      </c>
      <c r="E3740" s="11" t="inlineStr"/>
      <c r="F3740" s="11" t="n">
        <v>0</v>
      </c>
      <c r="G3740" s="11">
        <f>E3740-F3740</f>
        <v/>
      </c>
      <c r="H3740" s="11" t="n">
        <v/>
      </c>
      <c r="I3740" s="11" t="n">
        <v/>
      </c>
      <c r="J3740" s="11" t="n">
        <v/>
      </c>
      <c r="K3740" s="4" t="inlineStr">
        <is>
          <t>Abrechnungsart wählen; Stundensätze eingeben</t>
        </is>
      </c>
    </row>
    <row r="3741">
      <c r="A3741" s="4" t="inlineStr">
        <is>
          <t>6832.20 FAIR-LP8-Geb20-L0317A-Planckstraße1-Darmstadt</t>
        </is>
      </c>
      <c r="B3741" s="4" t="inlineStr">
        <is>
          <t>● 20.4.1.a Leistungsgegenstand Ausarbeitung, Begleitung der Ausschreibung und  Vergabe</t>
        </is>
      </c>
      <c r="C3741" s="9" t="inlineStr">
        <is>
          <t>Unbekannt</t>
        </is>
      </c>
      <c r="D3741" s="10" t="inlineStr">
        <is>
          <t>⚠ Manual erforderlich</t>
        </is>
      </c>
      <c r="E3741" s="11" t="inlineStr"/>
      <c r="F3741" s="11" t="n">
        <v>0</v>
      </c>
      <c r="G3741" s="11">
        <f>E3741-F3741</f>
        <v/>
      </c>
      <c r="H3741" s="11" t="n">
        <v/>
      </c>
      <c r="I3741" s="11" t="n">
        <v/>
      </c>
      <c r="J3741" s="11" t="n">
        <v/>
      </c>
      <c r="K3741" s="4" t="inlineStr">
        <is>
          <t>Abrechnungsart wählen; Stundensätze eingeben</t>
        </is>
      </c>
    </row>
    <row r="3742">
      <c r="A3742" s="4" t="inlineStr">
        <is>
          <t>6832.20 FAIR-LP8-Geb20-L0317A-Planckstraße1-Darmstadt</t>
        </is>
      </c>
      <c r="B3742" s="4" t="inlineStr">
        <is>
          <t>● 20.4.2.a Leistungsgegenstand Bauüberwachung Brandschutz</t>
        </is>
      </c>
      <c r="C3742" s="9" t="inlineStr">
        <is>
          <t>Unbekannt</t>
        </is>
      </c>
      <c r="D3742" s="10" t="inlineStr">
        <is>
          <t>⚠ Manual erforderlich</t>
        </is>
      </c>
      <c r="E3742" s="11" t="inlineStr"/>
      <c r="F3742" s="11" t="n">
        <v>0</v>
      </c>
      <c r="G3742" s="11">
        <f>E3742-F3742</f>
        <v/>
      </c>
      <c r="H3742" s="11" t="n">
        <v/>
      </c>
      <c r="I3742" s="11" t="n">
        <v/>
      </c>
      <c r="J3742" s="11" t="n">
        <v/>
      </c>
      <c r="K3742" s="4" t="inlineStr">
        <is>
          <t>Abrechnungsart wählen; Stundensätze eingeben</t>
        </is>
      </c>
    </row>
    <row r="3743">
      <c r="A3743" s="4" t="inlineStr">
        <is>
          <t>6832.20 FAIR-LP8-Geb20-L0317A-Planckstraße1-Darmstadt</t>
        </is>
      </c>
      <c r="B3743" s="4" t="inlineStr">
        <is>
          <t>● 20.4.3.a Leistungsgegenstand Fachbauleiter Brandschutz in der Leistungsphase 8</t>
        </is>
      </c>
      <c r="C3743" s="9" t="inlineStr">
        <is>
          <t>Unbekannt</t>
        </is>
      </c>
      <c r="D3743" s="10" t="inlineStr">
        <is>
          <t>⚠ Manual erforderlich</t>
        </is>
      </c>
      <c r="E3743" s="11" t="inlineStr"/>
      <c r="F3743" s="11" t="n">
        <v>0</v>
      </c>
      <c r="G3743" s="11">
        <f>E3743-F3743</f>
        <v/>
      </c>
      <c r="H3743" s="11" t="n">
        <v/>
      </c>
      <c r="I3743" s="11" t="n">
        <v/>
      </c>
      <c r="J3743" s="11" t="n">
        <v/>
      </c>
      <c r="K3743" s="4" t="inlineStr">
        <is>
          <t>Abrechnungsart wählen; Stundensätze eingeben</t>
        </is>
      </c>
    </row>
    <row r="3744">
      <c r="A3744" s="4" t="inlineStr">
        <is>
          <t>6832.20 FAIR-LP8-Geb20-L0317A-Planckstraße1-Darmstadt</t>
        </is>
      </c>
      <c r="B3744" s="4" t="inlineStr">
        <is>
          <t>● 20.4.4.a Leistungsgegenstand Objektbetreuung (optional)</t>
        </is>
      </c>
      <c r="C3744" s="9" t="inlineStr">
        <is>
          <t>Unbekannt</t>
        </is>
      </c>
      <c r="D3744" s="10" t="inlineStr">
        <is>
          <t>⚠ Manual erforderlich</t>
        </is>
      </c>
      <c r="E3744" s="11" t="inlineStr"/>
      <c r="F3744" s="11" t="n">
        <v>0</v>
      </c>
      <c r="G3744" s="11">
        <f>E3744-F3744</f>
        <v/>
      </c>
      <c r="H3744" s="11" t="n">
        <v/>
      </c>
      <c r="I3744" s="11" t="n">
        <v/>
      </c>
      <c r="J3744" s="11" t="n">
        <v/>
      </c>
      <c r="K3744" s="4" t="inlineStr">
        <is>
          <t>Abrechnungsart wählen; Stundensätze eingeben</t>
        </is>
      </c>
    </row>
    <row r="3745">
      <c r="A3745" s="4" t="inlineStr">
        <is>
          <t>6832.21 FAIR-RGS-Fair-Planckstraße 1-Darmstadt-Kranhalle</t>
        </is>
      </c>
      <c r="B3745" s="4" t="inlineStr">
        <is>
          <t>● (p) Pos.1 RGS - Nachw. d. Temperaturen an den natürlichen Abzugsöffnungen im Hallendach</t>
        </is>
      </c>
      <c r="C3745" s="4" t="inlineStr">
        <is>
          <t>Pauschale</t>
        </is>
      </c>
      <c r="D3745" s="10" t="inlineStr">
        <is>
          <t>⚠ Manual erforderlich</t>
        </is>
      </c>
      <c r="E3745" s="11" t="inlineStr"/>
      <c r="F3745" s="11" t="n">
        <v>0</v>
      </c>
      <c r="G3745" s="11">
        <f>E3745-F3745</f>
        <v/>
      </c>
      <c r="H3745" s="11" t="n">
        <v>0</v>
      </c>
      <c r="I3745" s="11" t="n">
        <v>0</v>
      </c>
      <c r="J3745" s="11" t="n">
        <v>0</v>
      </c>
      <c r="K3745" s="4" t="inlineStr">
        <is>
          <t>Stundensätze eingeben</t>
        </is>
      </c>
    </row>
    <row r="3746">
      <c r="A3746" s="4" t="inlineStr">
        <is>
          <t>6832.21 FAIR-RGS-Fair-Planckstraße 1-Darmstadt-Kranhalle</t>
        </is>
      </c>
      <c r="B3746" s="4" t="inlineStr">
        <is>
          <t>● (p) Pos.2 Ermittlung der tatsächl. Brandleistung</t>
        </is>
      </c>
      <c r="C3746" s="4" t="inlineStr">
        <is>
          <t>Pauschale</t>
        </is>
      </c>
      <c r="D3746" s="10" t="inlineStr">
        <is>
          <t>⚠ Manual erforderlich</t>
        </is>
      </c>
      <c r="E3746" s="11" t="inlineStr"/>
      <c r="F3746" s="11" t="n">
        <v>0</v>
      </c>
      <c r="G3746" s="11">
        <f>E3746-F3746</f>
        <v/>
      </c>
      <c r="H3746" s="11" t="n">
        <v>0</v>
      </c>
      <c r="I3746" s="11" t="n">
        <v>0</v>
      </c>
      <c r="J3746" s="11" t="n">
        <v>0</v>
      </c>
      <c r="K3746" s="4" t="inlineStr">
        <is>
          <t>Stundensätze eingeben</t>
        </is>
      </c>
    </row>
    <row r="3747">
      <c r="A3747" s="4" t="inlineStr">
        <is>
          <t>6833 BSK-Walinusschule-Hauptstr-63-Seligenstadt</t>
        </is>
      </c>
      <c r="B3747" s="4" t="inlineStr">
        <is>
          <t>● (p) Erstellung BSK</t>
        </is>
      </c>
      <c r="C3747" s="4" t="inlineStr">
        <is>
          <t>Pauschale</t>
        </is>
      </c>
      <c r="D3747" s="10" t="inlineStr">
        <is>
          <t>⚠ Manual erforderlich</t>
        </is>
      </c>
      <c r="E3747" s="11" t="inlineStr"/>
      <c r="F3747" s="11" t="n">
        <v>0</v>
      </c>
      <c r="G3747" s="11">
        <f>E3747-F3747</f>
        <v/>
      </c>
      <c r="H3747" s="11" t="n">
        <v>0</v>
      </c>
      <c r="I3747" s="11" t="n">
        <v>0</v>
      </c>
      <c r="J3747" s="11" t="n">
        <v>0</v>
      </c>
      <c r="K3747" s="4" t="inlineStr">
        <is>
          <t>Stundensätze eingeben</t>
        </is>
      </c>
    </row>
    <row r="3748">
      <c r="A3748" s="4" t="inlineStr">
        <is>
          <t>6833 BSK-Walinusschule-Hauptstr-63-Seligenstadt</t>
        </is>
      </c>
      <c r="B3748" s="4" t="inlineStr">
        <is>
          <t>● (a.N.) Baubegl. BSB u. Qualitätsüberw. f.d. Durchführung d.Baumaßnahme</t>
        </is>
      </c>
      <c r="C3748" s="4" t="inlineStr">
        <is>
          <t>Nachweis</t>
        </is>
      </c>
      <c r="D3748" s="10" t="inlineStr">
        <is>
          <t>⚠ Manual erforderlich</t>
        </is>
      </c>
      <c r="E3748" s="11" t="inlineStr"/>
      <c r="F3748" s="11" t="n">
        <v>0</v>
      </c>
      <c r="G3748" s="11">
        <f>E3748-F3748</f>
        <v/>
      </c>
      <c r="H3748" s="11" t="n">
        <v/>
      </c>
      <c r="I3748" s="11" t="n">
        <v/>
      </c>
      <c r="J3748" s="11" t="n">
        <v/>
      </c>
      <c r="K3748" s="4" t="inlineStr">
        <is>
          <t>Stundensätze eingeben</t>
        </is>
      </c>
    </row>
    <row r="3749">
      <c r="A3749" s="4" t="inlineStr">
        <is>
          <t>6835.01 Union-BTB-Motel-One-Rablstr2-Hochstr17-München</t>
        </is>
      </c>
      <c r="B3749" s="4" t="inlineStr">
        <is>
          <t>● (aN) Pos. 1 BAB</t>
        </is>
      </c>
      <c r="C3749" s="4" t="inlineStr">
        <is>
          <t>Nachweis</t>
        </is>
      </c>
      <c r="D3749" s="10" t="inlineStr">
        <is>
          <t>⚠ Manual erforderlich</t>
        </is>
      </c>
      <c r="E3749" s="11" t="inlineStr"/>
      <c r="F3749" s="11" t="n">
        <v>0</v>
      </c>
      <c r="G3749" s="11">
        <f>E3749-F3749</f>
        <v/>
      </c>
      <c r="H3749" s="11" t="n">
        <v/>
      </c>
      <c r="I3749" s="11" t="n">
        <v/>
      </c>
      <c r="J3749" s="11" t="n">
        <v/>
      </c>
      <c r="K3749" s="4" t="inlineStr">
        <is>
          <t>Stundensätze eingeben</t>
        </is>
      </c>
    </row>
    <row r="3750">
      <c r="A3750" s="4" t="inlineStr">
        <is>
          <t>6839 Fraport-RV-FRP-FWP-TunnelWest</t>
        </is>
      </c>
      <c r="B3750" s="4" t="inlineStr">
        <is>
          <t>● (a.N.) FWP</t>
        </is>
      </c>
      <c r="C3750" s="4" t="inlineStr">
        <is>
          <t>Nachweis</t>
        </is>
      </c>
      <c r="D3750" s="10" t="inlineStr">
        <is>
          <t>⚠ Manual erforderlich</t>
        </is>
      </c>
      <c r="E3750" s="11" t="inlineStr"/>
      <c r="F3750" s="11" t="n">
        <v>0</v>
      </c>
      <c r="G3750" s="11">
        <f>E3750-F3750</f>
        <v/>
      </c>
      <c r="H3750" s="11" t="n">
        <v/>
      </c>
      <c r="I3750" s="11" t="n">
        <v/>
      </c>
      <c r="J3750" s="11" t="n">
        <v/>
      </c>
      <c r="K3750" s="4" t="inlineStr">
        <is>
          <t>Stundensätze eingeben</t>
        </is>
      </c>
    </row>
    <row r="3751">
      <c r="A3751" s="4" t="inlineStr">
        <is>
          <t>6839 Fraport-RV-FRP-FWP-TunnelWest</t>
        </is>
      </c>
      <c r="B3751" s="4" t="inlineStr">
        <is>
          <t>● (a.N.) FRP</t>
        </is>
      </c>
      <c r="C3751" s="4" t="inlineStr">
        <is>
          <t>Nachweis</t>
        </is>
      </c>
      <c r="D3751" s="10" t="inlineStr">
        <is>
          <t>⚠ Manual erforderlich</t>
        </is>
      </c>
      <c r="E3751" s="11" t="inlineStr"/>
      <c r="F3751" s="11" t="n">
        <v>0</v>
      </c>
      <c r="G3751" s="11">
        <f>E3751-F3751</f>
        <v/>
      </c>
      <c r="H3751" s="11" t="n">
        <v/>
      </c>
      <c r="I3751" s="11" t="n">
        <v/>
      </c>
      <c r="J3751" s="11" t="n">
        <v/>
      </c>
      <c r="K3751" s="4" t="inlineStr">
        <is>
          <t>Stundensätze eingeben</t>
        </is>
      </c>
    </row>
    <row r="3752">
      <c r="A3752" s="4" t="inlineStr">
        <is>
          <t>6842 BTB-Kloster-Schäftlarn2-Klosterbräustüberl</t>
        </is>
      </c>
      <c r="B3752" s="4" t="inlineStr">
        <is>
          <t>● (aN) BTB</t>
        </is>
      </c>
      <c r="C3752" s="4" t="inlineStr">
        <is>
          <t>Nachweis</t>
        </is>
      </c>
      <c r="D3752" s="10" t="inlineStr">
        <is>
          <t>⚠ Manual erforderlich</t>
        </is>
      </c>
      <c r="E3752" s="11" t="inlineStr"/>
      <c r="F3752" s="11" t="n">
        <v>0</v>
      </c>
      <c r="G3752" s="11">
        <f>E3752-F3752</f>
        <v/>
      </c>
      <c r="H3752" s="11" t="n">
        <v/>
      </c>
      <c r="I3752" s="11" t="n">
        <v/>
      </c>
      <c r="J3752" s="11" t="n">
        <v/>
      </c>
      <c r="K3752" s="4" t="inlineStr">
        <is>
          <t>Stundensätze eingeben</t>
        </is>
      </c>
    </row>
    <row r="3753">
      <c r="A3753" s="4" t="inlineStr">
        <is>
          <t>6850 BTB-Rauchschutztüren-Walther-Kolb-Str-13-Ffm</t>
        </is>
      </c>
      <c r="B3753" s="4" t="inlineStr">
        <is>
          <t>● (a.N.) BTB Rauchschutztüren</t>
        </is>
      </c>
      <c r="C3753" s="4" t="inlineStr">
        <is>
          <t>Nachweis</t>
        </is>
      </c>
      <c r="D3753" s="10" t="inlineStr">
        <is>
          <t>⚠ Manual erforderlich</t>
        </is>
      </c>
      <c r="E3753" s="11" t="inlineStr"/>
      <c r="F3753" s="11" t="n">
        <v>0</v>
      </c>
      <c r="G3753" s="11">
        <f>E3753-F3753</f>
        <v/>
      </c>
      <c r="H3753" s="11" t="n">
        <v/>
      </c>
      <c r="I3753" s="11" t="n">
        <v/>
      </c>
      <c r="J3753" s="11" t="n">
        <v/>
      </c>
      <c r="K3753" s="4" t="inlineStr">
        <is>
          <t>Stundensätze eingeben</t>
        </is>
      </c>
    </row>
    <row r="3754">
      <c r="A3754" s="4" t="inlineStr">
        <is>
          <t>6855 BSK-Dachausbau-Taunusanlage-20-Ffm</t>
        </is>
      </c>
      <c r="B3754" s="4" t="inlineStr">
        <is>
          <t>● (p) Erstellung BSK</t>
        </is>
      </c>
      <c r="C3754" s="4" t="inlineStr">
        <is>
          <t>Pauschale</t>
        </is>
      </c>
      <c r="D3754" s="10" t="inlineStr">
        <is>
          <t>⚠ Manual erforderlich</t>
        </is>
      </c>
      <c r="E3754" s="11" t="inlineStr"/>
      <c r="F3754" s="11" t="n">
        <v>0</v>
      </c>
      <c r="G3754" s="11">
        <f>E3754-F3754</f>
        <v/>
      </c>
      <c r="H3754" s="11" t="n">
        <v>0</v>
      </c>
      <c r="I3754" s="11" t="n">
        <v>0</v>
      </c>
      <c r="J3754" s="11" t="n">
        <v>0</v>
      </c>
      <c r="K3754" s="4" t="inlineStr">
        <is>
          <t>Stundensätze eingeben</t>
        </is>
      </c>
    </row>
    <row r="3755">
      <c r="A3755" s="4" t="inlineStr">
        <is>
          <t>6855 BSK-Dachausbau-Taunusanlage-20-Ffm</t>
        </is>
      </c>
      <c r="B3755" s="4" t="inlineStr">
        <is>
          <t>● (a.N.) BAB + NAT BAB und Qualitätsüberwachung f.d. Durchführung d. Baumaßnahme</t>
        </is>
      </c>
      <c r="C3755" s="4" t="inlineStr">
        <is>
          <t>Nachweis</t>
        </is>
      </c>
      <c r="D3755" s="10" t="inlineStr">
        <is>
          <t>⚠ Manual erforderlich</t>
        </is>
      </c>
      <c r="E3755" s="11" t="inlineStr"/>
      <c r="F3755" s="11" t="n">
        <v>0</v>
      </c>
      <c r="G3755" s="11">
        <f>E3755-F3755</f>
        <v/>
      </c>
      <c r="H3755" s="11" t="n">
        <v/>
      </c>
      <c r="I3755" s="11" t="n">
        <v/>
      </c>
      <c r="J3755" s="11" t="n">
        <v/>
      </c>
      <c r="K3755" s="4" t="inlineStr">
        <is>
          <t>Stundensätze eingeben</t>
        </is>
      </c>
    </row>
    <row r="3756">
      <c r="A3756" s="4" t="inlineStr">
        <is>
          <t>6855 BSK-Dachausbau-Taunusanlage-20-Ffm</t>
        </is>
      </c>
      <c r="B3756" s="4" t="inlineStr">
        <is>
          <t>● (a.N.) Pos.3-zusätzl. Beratungsleistungen</t>
        </is>
      </c>
      <c r="C3756" s="4" t="inlineStr">
        <is>
          <t>Nachweis</t>
        </is>
      </c>
      <c r="D3756" s="10" t="inlineStr">
        <is>
          <t>⚠ Manual erforderlich</t>
        </is>
      </c>
      <c r="E3756" s="11" t="inlineStr"/>
      <c r="F3756" s="11" t="n">
        <v>0</v>
      </c>
      <c r="G3756" s="11">
        <f>E3756-F3756</f>
        <v/>
      </c>
      <c r="H3756" s="11" t="n">
        <v/>
      </c>
      <c r="I3756" s="11" t="n">
        <v/>
      </c>
      <c r="J3756" s="11" t="n">
        <v/>
      </c>
      <c r="K3756" s="4" t="inlineStr">
        <is>
          <t>Stundensätze eingeben</t>
        </is>
      </c>
    </row>
    <row r="3757">
      <c r="A3757" s="4" t="inlineStr">
        <is>
          <t>6855.01 BTB-Taunusanlage-20-Ffm-MOW-Fassadensanierung</t>
        </is>
      </c>
      <c r="B3757" s="4" t="inlineStr">
        <is>
          <t>● (aN) Pos.1 BTB Fassadensanierung inkl. Objektbegehung</t>
        </is>
      </c>
      <c r="C3757" s="4" t="inlineStr">
        <is>
          <t>Nachweis</t>
        </is>
      </c>
      <c r="D3757" s="10" t="inlineStr">
        <is>
          <t>⚠ Manual erforderlich</t>
        </is>
      </c>
      <c r="E3757" s="11" t="inlineStr"/>
      <c r="F3757" s="11" t="n">
        <v>0</v>
      </c>
      <c r="G3757" s="11">
        <f>E3757-F3757</f>
        <v/>
      </c>
      <c r="H3757" s="11" t="n">
        <v/>
      </c>
      <c r="I3757" s="11" t="n">
        <v/>
      </c>
      <c r="J3757" s="11" t="n">
        <v/>
      </c>
      <c r="K3757" s="4" t="inlineStr">
        <is>
          <t>Stundensätze eingeben</t>
        </is>
      </c>
    </row>
    <row r="3758">
      <c r="A3758" s="4" t="inlineStr">
        <is>
          <t>6858.01 NEC-FRP-QuartierD-Kurfürstenanlage36-Heidelberg</t>
        </is>
      </c>
      <c r="B3758" s="4" t="inlineStr">
        <is>
          <t>● (p) Pos. 1 Erstellung von Flucht- und Rettungsplänen</t>
        </is>
      </c>
      <c r="C3758" s="4" t="inlineStr">
        <is>
          <t>Pauschale</t>
        </is>
      </c>
      <c r="D3758" s="10" t="inlineStr">
        <is>
          <t>⚠ Manual erforderlich</t>
        </is>
      </c>
      <c r="E3758" s="11" t="inlineStr"/>
      <c r="F3758" s="11" t="n">
        <v>0</v>
      </c>
      <c r="G3758" s="11">
        <f>E3758-F3758</f>
        <v/>
      </c>
      <c r="H3758" s="11" t="n">
        <v>0</v>
      </c>
      <c r="I3758" s="11" t="n">
        <v>0</v>
      </c>
      <c r="J3758" s="11" t="n">
        <v>0</v>
      </c>
      <c r="K3758" s="4" t="inlineStr">
        <is>
          <t>Stundensätze eingeben</t>
        </is>
      </c>
    </row>
    <row r="3759">
      <c r="A3759" s="4" t="inlineStr">
        <is>
          <t>6860 FVAG-FLA-E-Bus-Überdachung-Besanconallee99-Freiburg</t>
        </is>
      </c>
      <c r="B3759" s="4" t="inlineStr">
        <is>
          <t>● (p) LP1</t>
        </is>
      </c>
      <c r="C3759" s="4" t="inlineStr">
        <is>
          <t>Pauschale</t>
        </is>
      </c>
      <c r="D3759" s="10" t="inlineStr">
        <is>
          <t>⚠ Manual erforderlich</t>
        </is>
      </c>
      <c r="E3759" s="11" t="inlineStr"/>
      <c r="F3759" s="11" t="n">
        <v>0</v>
      </c>
      <c r="G3759" s="11">
        <f>E3759-F3759</f>
        <v/>
      </c>
      <c r="H3759" s="11" t="n">
        <v>0</v>
      </c>
      <c r="I3759" s="11" t="n">
        <v>0</v>
      </c>
      <c r="J3759" s="11" t="n">
        <v>0</v>
      </c>
      <c r="K3759" s="4" t="inlineStr">
        <is>
          <t>Stundensätze eingeben</t>
        </is>
      </c>
    </row>
    <row r="3760">
      <c r="A3760" s="4" t="inlineStr">
        <is>
          <t>6860 FVAG-FLA-E-Bus-Überdachung-Besanconallee99-Freiburg</t>
        </is>
      </c>
      <c r="B3760" s="4" t="inlineStr">
        <is>
          <t>● (p) LP 2</t>
        </is>
      </c>
      <c r="C3760" s="4" t="inlineStr">
        <is>
          <t>Pauschale</t>
        </is>
      </c>
      <c r="D3760" s="10" t="inlineStr">
        <is>
          <t>⚠ Manual erforderlich</t>
        </is>
      </c>
      <c r="E3760" s="11" t="inlineStr"/>
      <c r="F3760" s="11" t="n">
        <v>0</v>
      </c>
      <c r="G3760" s="11">
        <f>E3760-F3760</f>
        <v/>
      </c>
      <c r="H3760" s="11" t="n">
        <v>0</v>
      </c>
      <c r="I3760" s="11" t="n">
        <v>0</v>
      </c>
      <c r="J3760" s="11" t="n">
        <v>0</v>
      </c>
      <c r="K3760" s="4" t="inlineStr">
        <is>
          <t>Stundensätze eingeben</t>
        </is>
      </c>
    </row>
    <row r="3761">
      <c r="A3761" s="4" t="inlineStr">
        <is>
          <t>6860 FVAG-FLA-E-Bus-Überdachung-Besanconallee99-Freiburg</t>
        </is>
      </c>
      <c r="B3761" s="4" t="inlineStr">
        <is>
          <t>● (p) LP 3</t>
        </is>
      </c>
      <c r="C3761" s="4" t="inlineStr">
        <is>
          <t>Pauschale</t>
        </is>
      </c>
      <c r="D3761" s="10" t="inlineStr">
        <is>
          <t>⚠ Manual erforderlich</t>
        </is>
      </c>
      <c r="E3761" s="11" t="inlineStr"/>
      <c r="F3761" s="11" t="n">
        <v>0</v>
      </c>
      <c r="G3761" s="11">
        <f>E3761-F3761</f>
        <v/>
      </c>
      <c r="H3761" s="11" t="n">
        <v>0</v>
      </c>
      <c r="I3761" s="11" t="n">
        <v>0</v>
      </c>
      <c r="J3761" s="11" t="n">
        <v>0</v>
      </c>
      <c r="K3761" s="4" t="inlineStr">
        <is>
          <t>Stundensätze eingeben</t>
        </is>
      </c>
    </row>
    <row r="3762">
      <c r="A3762" s="4" t="inlineStr">
        <is>
          <t>6860 FVAG-FLA-E-Bus-Überdachung-Besanconallee99-Freiburg</t>
        </is>
      </c>
      <c r="B3762" s="4" t="inlineStr">
        <is>
          <t>● (aN) Wdh. LP 3: Umplanung der Löschanlage auf die Forderungen der Versicherung</t>
        </is>
      </c>
      <c r="C3762" s="4" t="inlineStr">
        <is>
          <t>Nachweis</t>
        </is>
      </c>
      <c r="D3762" s="10" t="inlineStr">
        <is>
          <t>⚠ Manual erforderlich</t>
        </is>
      </c>
      <c r="E3762" s="11" t="inlineStr"/>
      <c r="F3762" s="11" t="n">
        <v>0</v>
      </c>
      <c r="G3762" s="11">
        <f>E3762-F3762</f>
        <v/>
      </c>
      <c r="H3762" s="11" t="n">
        <v/>
      </c>
      <c r="I3762" s="11" t="n">
        <v/>
      </c>
      <c r="J3762" s="11" t="n">
        <v/>
      </c>
      <c r="K3762" s="4" t="inlineStr">
        <is>
          <t>Stundensätze eingeben</t>
        </is>
      </c>
    </row>
    <row r="3763">
      <c r="A3763" s="4" t="inlineStr">
        <is>
          <t>6860 FVAG-FLA-E-Bus-Überdachung-Besanconallee99-Freiburg</t>
        </is>
      </c>
      <c r="B3763" s="4" t="inlineStr">
        <is>
          <t>● (p) LP 4</t>
        </is>
      </c>
      <c r="C3763" s="4" t="inlineStr">
        <is>
          <t>Pauschale</t>
        </is>
      </c>
      <c r="D3763" s="10" t="inlineStr">
        <is>
          <t>⚠ Manual erforderlich</t>
        </is>
      </c>
      <c r="E3763" s="11" t="inlineStr"/>
      <c r="F3763" s="11" t="n">
        <v>0</v>
      </c>
      <c r="G3763" s="11">
        <f>E3763-F3763</f>
        <v/>
      </c>
      <c r="H3763" s="11" t="n">
        <v>0</v>
      </c>
      <c r="I3763" s="11" t="n">
        <v>0</v>
      </c>
      <c r="J3763" s="11" t="n">
        <v>0</v>
      </c>
      <c r="K3763" s="4" t="inlineStr">
        <is>
          <t>Stundensätze eingeben</t>
        </is>
      </c>
    </row>
    <row r="3764">
      <c r="A3764" s="4" t="inlineStr">
        <is>
          <t>6860.01 FVAG-LP5-8-FLA-E-Busladestation-Betriebhof-West-Freiburg</t>
        </is>
      </c>
      <c r="B3764" s="4" t="inlineStr">
        <is>
          <t>● (p) LP5</t>
        </is>
      </c>
      <c r="C3764" s="4" t="inlineStr">
        <is>
          <t>Pauschale</t>
        </is>
      </c>
      <c r="D3764" s="10" t="inlineStr">
        <is>
          <t>⚠ Manual erforderlich</t>
        </is>
      </c>
      <c r="E3764" s="11" t="inlineStr"/>
      <c r="F3764" s="11" t="n">
        <v>0</v>
      </c>
      <c r="G3764" s="11">
        <f>E3764-F3764</f>
        <v/>
      </c>
      <c r="H3764" s="11" t="n">
        <v>0</v>
      </c>
      <c r="I3764" s="11" t="n">
        <v>0</v>
      </c>
      <c r="J3764" s="11" t="n">
        <v>0</v>
      </c>
      <c r="K3764" s="4" t="inlineStr">
        <is>
          <t>Stundensätze eingeben</t>
        </is>
      </c>
    </row>
    <row r="3765">
      <c r="A3765" s="4" t="inlineStr">
        <is>
          <t>6860.01 FVAG-LP5-8-FLA-E-Busladestation-Betriebhof-West-Freiburg</t>
        </is>
      </c>
      <c r="B3765" s="4" t="inlineStr">
        <is>
          <t>● (p) LP 6</t>
        </is>
      </c>
      <c r="C3765" s="4" t="inlineStr">
        <is>
          <t>Pauschale</t>
        </is>
      </c>
      <c r="D3765" s="10" t="inlineStr">
        <is>
          <t>⚠ Manual erforderlich</t>
        </is>
      </c>
      <c r="E3765" s="11" t="inlineStr"/>
      <c r="F3765" s="11" t="n">
        <v>0</v>
      </c>
      <c r="G3765" s="11">
        <f>E3765-F3765</f>
        <v/>
      </c>
      <c r="H3765" s="11" t="n">
        <v>0</v>
      </c>
      <c r="I3765" s="11" t="n">
        <v>0</v>
      </c>
      <c r="J3765" s="11" t="n">
        <v>0</v>
      </c>
      <c r="K3765" s="4" t="inlineStr">
        <is>
          <t>Stundensätze eingeben</t>
        </is>
      </c>
    </row>
    <row r="3766">
      <c r="A3766" s="4" t="inlineStr">
        <is>
          <t>6860.01 FVAG-LP5-8-FLA-E-Busladestation-Betriebhof-West-Freiburg</t>
        </is>
      </c>
      <c r="B3766" s="4" t="inlineStr">
        <is>
          <t>● (p) LP 7</t>
        </is>
      </c>
      <c r="C3766" s="4" t="inlineStr">
        <is>
          <t>Pauschale</t>
        </is>
      </c>
      <c r="D3766" s="10" t="inlineStr">
        <is>
          <t>⚠ Manual erforderlich</t>
        </is>
      </c>
      <c r="E3766" s="11" t="inlineStr"/>
      <c r="F3766" s="11" t="n">
        <v>0</v>
      </c>
      <c r="G3766" s="11">
        <f>E3766-F3766</f>
        <v/>
      </c>
      <c r="H3766" s="11" t="n">
        <v>0</v>
      </c>
      <c r="I3766" s="11" t="n">
        <v>0</v>
      </c>
      <c r="J3766" s="11" t="n">
        <v>0</v>
      </c>
      <c r="K3766" s="4" t="inlineStr">
        <is>
          <t>Stundensätze eingeben</t>
        </is>
      </c>
    </row>
    <row r="3767">
      <c r="A3767" s="4" t="inlineStr">
        <is>
          <t>6860.01 FVAG-LP5-8-FLA-E-Busladestation-Betriebhof-West-Freiburg</t>
        </is>
      </c>
      <c r="B3767" s="4" t="inlineStr">
        <is>
          <t>● (p) LP 8</t>
        </is>
      </c>
      <c r="C3767" s="4" t="inlineStr">
        <is>
          <t>Pauschale</t>
        </is>
      </c>
      <c r="D3767" s="10" t="inlineStr">
        <is>
          <t>⚠ Manual erforderlich</t>
        </is>
      </c>
      <c r="E3767" s="11" t="inlineStr"/>
      <c r="F3767" s="11" t="n">
        <v>0</v>
      </c>
      <c r="G3767" s="11">
        <f>E3767-F3767</f>
        <v/>
      </c>
      <c r="H3767" s="11" t="n">
        <v>0</v>
      </c>
      <c r="I3767" s="11" t="n">
        <v>0</v>
      </c>
      <c r="J3767" s="11" t="n">
        <v>0</v>
      </c>
      <c r="K3767" s="4" t="inlineStr">
        <is>
          <t>Stundensätze eingeben</t>
        </is>
      </c>
    </row>
    <row r="3768">
      <c r="A3768" s="4" t="inlineStr">
        <is>
          <t>6866 FLA-T1-FlugsteigB-Berechnung-Sprinkler</t>
        </is>
      </c>
      <c r="B3768" s="4" t="inlineStr">
        <is>
          <t>● (aN) Pos. 1 Sammeln der CAD-Unterlagen, Überprüfung vor Ort</t>
        </is>
      </c>
      <c r="C3768" s="4" t="inlineStr">
        <is>
          <t>Nachweis</t>
        </is>
      </c>
      <c r="D3768" s="10" t="inlineStr">
        <is>
          <t>⚠ Manual erforderlich</t>
        </is>
      </c>
      <c r="E3768" s="11" t="inlineStr"/>
      <c r="F3768" s="11" t="n">
        <v>0</v>
      </c>
      <c r="G3768" s="11">
        <f>E3768-F3768</f>
        <v/>
      </c>
      <c r="H3768" s="11" t="n">
        <v/>
      </c>
      <c r="I3768" s="11" t="n">
        <v/>
      </c>
      <c r="J3768" s="11" t="n">
        <v/>
      </c>
      <c r="K3768" s="4" t="inlineStr">
        <is>
          <t>Stundensätze eingeben</t>
        </is>
      </c>
    </row>
    <row r="3769">
      <c r="A3769" s="4" t="inlineStr">
        <is>
          <t>6866 FLA-T1-FlugsteigB-Berechnung-Sprinkler</t>
        </is>
      </c>
      <c r="B3769" s="4" t="inlineStr">
        <is>
          <t>● (aN) Pos. 2 Hydraulische Berechnung, Erstellung 3D-Berechnungsmodell</t>
        </is>
      </c>
      <c r="C3769" s="4" t="inlineStr">
        <is>
          <t>Nachweis</t>
        </is>
      </c>
      <c r="D3769" s="10" t="inlineStr">
        <is>
          <t>⚠ Manual erforderlich</t>
        </is>
      </c>
      <c r="E3769" s="11" t="inlineStr"/>
      <c r="F3769" s="11" t="n">
        <v>0</v>
      </c>
      <c r="G3769" s="11">
        <f>E3769-F3769</f>
        <v/>
      </c>
      <c r="H3769" s="11" t="n">
        <v/>
      </c>
      <c r="I3769" s="11" t="n">
        <v/>
      </c>
      <c r="J3769" s="11" t="n">
        <v/>
      </c>
      <c r="K3769" s="4" t="inlineStr">
        <is>
          <t>Stundensätze eingeben</t>
        </is>
      </c>
    </row>
    <row r="3770">
      <c r="A3770" s="4" t="inlineStr">
        <is>
          <t>6866 FLA-T1-FlugsteigB-Berechnung-Sprinkler</t>
        </is>
      </c>
      <c r="B3770" s="4" t="inlineStr">
        <is>
          <t>● (aN) Pos. 3 Überprüfung und Übergabe der Berechnungsergebnisse</t>
        </is>
      </c>
      <c r="C3770" s="4" t="inlineStr">
        <is>
          <t>Nachweis</t>
        </is>
      </c>
      <c r="D3770" s="10" t="inlineStr">
        <is>
          <t>⚠ Manual erforderlich</t>
        </is>
      </c>
      <c r="E3770" s="11" t="inlineStr"/>
      <c r="F3770" s="11" t="n">
        <v>0</v>
      </c>
      <c r="G3770" s="11">
        <f>E3770-F3770</f>
        <v/>
      </c>
      <c r="H3770" s="11" t="n">
        <v/>
      </c>
      <c r="I3770" s="11" t="n">
        <v/>
      </c>
      <c r="J3770" s="11" t="n">
        <v/>
      </c>
      <c r="K3770" s="4" t="inlineStr">
        <is>
          <t>Stundensätze eingeben</t>
        </is>
      </c>
    </row>
    <row r="3771">
      <c r="A3771" s="4" t="inlineStr">
        <is>
          <t>6866 FLA-T1-FlugsteigB-Berechnung-Sprinkler</t>
        </is>
      </c>
      <c r="B3771" s="4" t="inlineStr">
        <is>
          <t>● (aN) Pos. 4 Beratung bei der Ausführung (optional)</t>
        </is>
      </c>
      <c r="C3771" s="4" t="inlineStr">
        <is>
          <t>Nachweis</t>
        </is>
      </c>
      <c r="D3771" s="10" t="inlineStr">
        <is>
          <t>⚠ Manual erforderlich</t>
        </is>
      </c>
      <c r="E3771" s="11" t="inlineStr"/>
      <c r="F3771" s="11" t="n">
        <v>0</v>
      </c>
      <c r="G3771" s="11">
        <f>E3771-F3771</f>
        <v/>
      </c>
      <c r="H3771" s="11" t="n">
        <v/>
      </c>
      <c r="I3771" s="11" t="n">
        <v/>
      </c>
      <c r="J3771" s="11" t="n">
        <v/>
      </c>
      <c r="K3771" s="4" t="inlineStr">
        <is>
          <t>Stundensätze eingeben</t>
        </is>
      </c>
    </row>
    <row r="3772">
      <c r="A3772" s="4" t="inlineStr">
        <is>
          <t>6867 BSK-Frauenlobstraße-2-Ffm</t>
        </is>
      </c>
      <c r="B3772" s="4" t="inlineStr">
        <is>
          <t>● (p) Erstellung BSK</t>
        </is>
      </c>
      <c r="C3772" s="4" t="inlineStr">
        <is>
          <t>Pauschale</t>
        </is>
      </c>
      <c r="D3772" s="10" t="inlineStr">
        <is>
          <t>⚠ Manual erforderlich</t>
        </is>
      </c>
      <c r="E3772" s="11" t="inlineStr"/>
      <c r="F3772" s="11" t="n">
        <v>0</v>
      </c>
      <c r="G3772" s="11">
        <f>E3772-F3772</f>
        <v/>
      </c>
      <c r="H3772" s="11" t="n">
        <v>0</v>
      </c>
      <c r="I3772" s="11" t="n">
        <v>0</v>
      </c>
      <c r="J3772" s="11" t="n">
        <v>0</v>
      </c>
      <c r="K3772" s="4" t="inlineStr">
        <is>
          <t>Stundensätze eingeben</t>
        </is>
      </c>
    </row>
    <row r="3773">
      <c r="A3773" s="4" t="inlineStr">
        <is>
          <t>6867 BSK-Frauenlobstraße-2-Ffm</t>
        </is>
      </c>
      <c r="B3773" s="4" t="inlineStr">
        <is>
          <t>● (a.N.) Baubegl. Brandschutzberatung + Qualitätsüberw. f.d. Durchführung d. Baumaßnahme</t>
        </is>
      </c>
      <c r="C3773" s="4" t="inlineStr">
        <is>
          <t>Nachweis</t>
        </is>
      </c>
      <c r="D3773" s="10" t="inlineStr">
        <is>
          <t>⚠ Manual erforderlich</t>
        </is>
      </c>
      <c r="E3773" s="11" t="inlineStr"/>
      <c r="F3773" s="11" t="n">
        <v>0</v>
      </c>
      <c r="G3773" s="11">
        <f>E3773-F3773</f>
        <v/>
      </c>
      <c r="H3773" s="11" t="n">
        <v/>
      </c>
      <c r="I3773" s="11" t="n">
        <v/>
      </c>
      <c r="J3773" s="11" t="n">
        <v/>
      </c>
      <c r="K3773" s="4" t="inlineStr">
        <is>
          <t>Stundensätze eingeben</t>
        </is>
      </c>
    </row>
    <row r="3774">
      <c r="A3774" s="4" t="inlineStr">
        <is>
          <t>6868 BTB-Lagerhalle-Otto-Hahn-Str.11A-Friedrichsdorf</t>
        </is>
      </c>
      <c r="B3774" s="4" t="inlineStr">
        <is>
          <t>● (a.N.) Pos.1-BTB Lagerhalle</t>
        </is>
      </c>
      <c r="C3774" s="4" t="inlineStr">
        <is>
          <t>Nachweis</t>
        </is>
      </c>
      <c r="D3774" s="10" t="inlineStr">
        <is>
          <t>⚠ Manual erforderlich</t>
        </is>
      </c>
      <c r="E3774" s="11" t="inlineStr"/>
      <c r="F3774" s="11" t="n">
        <v>0</v>
      </c>
      <c r="G3774" s="11">
        <f>E3774-F3774</f>
        <v/>
      </c>
      <c r="H3774" s="11" t="n">
        <v/>
      </c>
      <c r="I3774" s="11" t="n">
        <v/>
      </c>
      <c r="J3774" s="11" t="n">
        <v/>
      </c>
      <c r="K3774" s="4" t="inlineStr">
        <is>
          <t>Stundensätze eingeben</t>
        </is>
      </c>
    </row>
    <row r="3775">
      <c r="A3775" s="4" t="inlineStr">
        <is>
          <t>6870 BTB-FMT-WI-Planstr-Taunusstein</t>
        </is>
      </c>
      <c r="B3775" s="4" t="inlineStr">
        <is>
          <t>● (a.N.) Pos.00010 BU/INST - BTB zur Gefahrenverhütungsschau</t>
        </is>
      </c>
      <c r="C3775" s="4" t="inlineStr">
        <is>
          <t>Nachweis</t>
        </is>
      </c>
      <c r="D3775" s="10" t="inlineStr">
        <is>
          <t>⚠ Manual erforderlich</t>
        </is>
      </c>
      <c r="E3775" s="11" t="inlineStr"/>
      <c r="F3775" s="11" t="n">
        <v>0</v>
      </c>
      <c r="G3775" s="11">
        <f>E3775-F3775</f>
        <v/>
      </c>
      <c r="H3775" s="11" t="n">
        <v/>
      </c>
      <c r="I3775" s="11" t="n">
        <v/>
      </c>
      <c r="J3775" s="11" t="n">
        <v/>
      </c>
      <c r="K3775" s="4" t="inlineStr">
        <is>
          <t>Stundensätze eingeben</t>
        </is>
      </c>
    </row>
    <row r="3776">
      <c r="A3776" s="4" t="inlineStr">
        <is>
          <t>6870.01 BSK-FMT-WI-Planstr-Taunusstein</t>
        </is>
      </c>
      <c r="B3776" s="4" t="inlineStr">
        <is>
          <t>● (aN) Pos.1 Beratungslstg. Brandschutz-Planung</t>
        </is>
      </c>
      <c r="C3776" s="4" t="inlineStr">
        <is>
          <t>Nachweis</t>
        </is>
      </c>
      <c r="D3776" s="10" t="inlineStr">
        <is>
          <t>⚠ Manual erforderlich</t>
        </is>
      </c>
      <c r="E3776" s="11" t="inlineStr"/>
      <c r="F3776" s="11" t="n">
        <v>0</v>
      </c>
      <c r="G3776" s="11">
        <f>E3776-F3776</f>
        <v/>
      </c>
      <c r="H3776" s="11" t="n">
        <v/>
      </c>
      <c r="I3776" s="11" t="n">
        <v/>
      </c>
      <c r="J3776" s="11" t="n">
        <v/>
      </c>
      <c r="K3776" s="4" t="inlineStr">
        <is>
          <t>Stundensätze eingeben</t>
        </is>
      </c>
    </row>
    <row r="3777">
      <c r="A3777" s="4" t="inlineStr">
        <is>
          <t>6870.01 BSK-FMT-WI-Planstr-Taunusstein</t>
        </is>
      </c>
      <c r="B3777" s="4" t="inlineStr">
        <is>
          <t>● (aN) Pos.2 Brandschutztechn. Baubegleitung+Objektüberwachung</t>
        </is>
      </c>
      <c r="C3777" s="4" t="inlineStr">
        <is>
          <t>Nachweis</t>
        </is>
      </c>
      <c r="D3777" s="10" t="inlineStr">
        <is>
          <t>⚠ Manual erforderlich</t>
        </is>
      </c>
      <c r="E3777" s="11" t="inlineStr"/>
      <c r="F3777" s="11" t="n">
        <v>0</v>
      </c>
      <c r="G3777" s="11">
        <f>E3777-F3777</f>
        <v/>
      </c>
      <c r="H3777" s="11" t="n">
        <v/>
      </c>
      <c r="I3777" s="11" t="n">
        <v/>
      </c>
      <c r="J3777" s="11" t="n">
        <v/>
      </c>
      <c r="K3777" s="4" t="inlineStr">
        <is>
          <t>Stundensätze eingeben</t>
        </is>
      </c>
    </row>
    <row r="3778">
      <c r="A3778" s="4" t="inlineStr">
        <is>
          <t>6870.01 BSK-FMT-WI-Planstr-Taunusstein</t>
        </is>
      </c>
      <c r="B3778" s="4" t="inlineStr">
        <is>
          <t>● (aN) Pos.3 OPTIONAL Erstellung FWP</t>
        </is>
      </c>
      <c r="C3778" s="4" t="inlineStr">
        <is>
          <t>Nachweis</t>
        </is>
      </c>
      <c r="D3778" s="10" t="inlineStr">
        <is>
          <t>⚠ Manual erforderlich</t>
        </is>
      </c>
      <c r="E3778" s="11" t="inlineStr"/>
      <c r="F3778" s="11" t="n">
        <v>0</v>
      </c>
      <c r="G3778" s="11">
        <f>E3778-F3778</f>
        <v/>
      </c>
      <c r="H3778" s="11" t="n">
        <v/>
      </c>
      <c r="I3778" s="11" t="n">
        <v/>
      </c>
      <c r="J3778" s="11" t="n">
        <v/>
      </c>
      <c r="K3778" s="4" t="inlineStr">
        <is>
          <t>Stundensätze eingeben</t>
        </is>
      </c>
    </row>
    <row r="3779">
      <c r="A3779" s="4" t="inlineStr">
        <is>
          <t>6870.01 BSK-FMT-WI-Planstr-Taunusstein</t>
        </is>
      </c>
      <c r="B3779" s="4" t="inlineStr">
        <is>
          <t>● (aN) Pos.4 Beratungslstg. Brandmeldetechnik</t>
        </is>
      </c>
      <c r="C3779" s="4" t="inlineStr">
        <is>
          <t>Nachweis</t>
        </is>
      </c>
      <c r="D3779" s="10" t="inlineStr">
        <is>
          <t>⚠ Manual erforderlich</t>
        </is>
      </c>
      <c r="E3779" s="11" t="inlineStr"/>
      <c r="F3779" s="11" t="n">
        <v>0</v>
      </c>
      <c r="G3779" s="11">
        <f>E3779-F3779</f>
        <v/>
      </c>
      <c r="H3779" s="11" t="n">
        <v/>
      </c>
      <c r="I3779" s="11" t="n">
        <v/>
      </c>
      <c r="J3779" s="11" t="n">
        <v/>
      </c>
      <c r="K3779" s="4" t="inlineStr">
        <is>
          <t>Stundensätze eingeben</t>
        </is>
      </c>
    </row>
    <row r="3780">
      <c r="A3780" s="4" t="inlineStr">
        <is>
          <t>6870.01 BSK-FMT-WI-Planstr-Taunusstein</t>
        </is>
      </c>
      <c r="B3780" s="4" t="inlineStr">
        <is>
          <t>● (aN) Pos.5 Planung nichtselbsttätigen Feuerlöschanlage</t>
        </is>
      </c>
      <c r="C3780" s="4" t="inlineStr">
        <is>
          <t>Nachweis</t>
        </is>
      </c>
      <c r="D3780" s="10" t="inlineStr">
        <is>
          <t>⚠ Manual erforderlich</t>
        </is>
      </c>
      <c r="E3780" s="11" t="inlineStr"/>
      <c r="F3780" s="11" t="n">
        <v>0</v>
      </c>
      <c r="G3780" s="11">
        <f>E3780-F3780</f>
        <v/>
      </c>
      <c r="H3780" s="11" t="n">
        <v/>
      </c>
      <c r="I3780" s="11" t="n">
        <v/>
      </c>
      <c r="J3780" s="11" t="n">
        <v/>
      </c>
      <c r="K3780" s="4" t="inlineStr">
        <is>
          <t>Stundensätze eingeben</t>
        </is>
      </c>
    </row>
    <row r="3781">
      <c r="A3781" s="4" t="inlineStr">
        <is>
          <t>6874 FLA-FriedrichLoefflerInstitut-Naumburgerstr96a-Jena</t>
        </is>
      </c>
      <c r="B3781" s="4" t="inlineStr">
        <is>
          <t>● (aN) Pos. 1 Prüfen des Löschanlagenkonzeptes</t>
        </is>
      </c>
      <c r="C3781" s="4" t="inlineStr">
        <is>
          <t>Nachweis</t>
        </is>
      </c>
      <c r="D3781" s="10" t="inlineStr">
        <is>
          <t>⚠ Manual erforderlich</t>
        </is>
      </c>
      <c r="E3781" s="11" t="inlineStr"/>
      <c r="F3781" s="11" t="n">
        <v>0</v>
      </c>
      <c r="G3781" s="11">
        <f>E3781-F3781</f>
        <v/>
      </c>
      <c r="H3781" s="11" t="n">
        <v/>
      </c>
      <c r="I3781" s="11" t="n">
        <v/>
      </c>
      <c r="J3781" s="11" t="n">
        <v/>
      </c>
      <c r="K3781" s="4" t="inlineStr">
        <is>
          <t>Stundensätze eingeben</t>
        </is>
      </c>
    </row>
    <row r="3782">
      <c r="A3782" s="4" t="inlineStr">
        <is>
          <t>6874 FLA-FriedrichLoefflerInstitut-Naumburgerstr96a-Jena</t>
        </is>
      </c>
      <c r="B3782" s="4" t="inlineStr">
        <is>
          <t>● (aN) Pos. 2 Prüfen der Pläne</t>
        </is>
      </c>
      <c r="C3782" s="4" t="inlineStr">
        <is>
          <t>Nachweis</t>
        </is>
      </c>
      <c r="D3782" s="10" t="inlineStr">
        <is>
          <t>⚠ Manual erforderlich</t>
        </is>
      </c>
      <c r="E3782" s="11" t="inlineStr"/>
      <c r="F3782" s="11" t="n">
        <v>0</v>
      </c>
      <c r="G3782" s="11">
        <f>E3782-F3782</f>
        <v/>
      </c>
      <c r="H3782" s="11" t="n">
        <v/>
      </c>
      <c r="I3782" s="11" t="n">
        <v/>
      </c>
      <c r="J3782" s="11" t="n">
        <v/>
      </c>
      <c r="K3782" s="4" t="inlineStr">
        <is>
          <t>Stundensätze eingeben</t>
        </is>
      </c>
    </row>
    <row r="3783">
      <c r="A3783" s="4" t="inlineStr">
        <is>
          <t>6874 FLA-FriedrichLoefflerInstitut-Naumburgerstr96a-Jena</t>
        </is>
      </c>
      <c r="B3783" s="4" t="inlineStr">
        <is>
          <t>● (aN) Pos. 3 Hydraulische Berechnungen</t>
        </is>
      </c>
      <c r="C3783" s="4" t="inlineStr">
        <is>
          <t>Nachweis</t>
        </is>
      </c>
      <c r="D3783" s="10" t="inlineStr">
        <is>
          <t>⚠ Manual erforderlich</t>
        </is>
      </c>
      <c r="E3783" s="11" t="inlineStr"/>
      <c r="F3783" s="11" t="n">
        <v>0</v>
      </c>
      <c r="G3783" s="11">
        <f>E3783-F3783</f>
        <v/>
      </c>
      <c r="H3783" s="11" t="n">
        <v/>
      </c>
      <c r="I3783" s="11" t="n">
        <v/>
      </c>
      <c r="J3783" s="11" t="n">
        <v/>
      </c>
      <c r="K3783" s="4" t="inlineStr">
        <is>
          <t>Stundensätze eingeben</t>
        </is>
      </c>
    </row>
    <row r="3784">
      <c r="A3784" s="4" t="inlineStr">
        <is>
          <t>6874 FLA-FriedrichLoefflerInstitut-Naumburgerstr96a-Jena</t>
        </is>
      </c>
      <c r="B3784" s="4" t="inlineStr">
        <is>
          <t>● (aN) Pos. 4 CAD-Bearbeitung 3D-Rohrnetzmodell</t>
        </is>
      </c>
      <c r="C3784" s="4" t="inlineStr">
        <is>
          <t>Nachweis</t>
        </is>
      </c>
      <c r="D3784" s="10" t="inlineStr">
        <is>
          <t>⚠ Manual erforderlich</t>
        </is>
      </c>
      <c r="E3784" s="11" t="inlineStr"/>
      <c r="F3784" s="11" t="n">
        <v>0</v>
      </c>
      <c r="G3784" s="11">
        <f>E3784-F3784</f>
        <v/>
      </c>
      <c r="H3784" s="11" t="n">
        <v/>
      </c>
      <c r="I3784" s="11" t="n">
        <v/>
      </c>
      <c r="J3784" s="11" t="n">
        <v/>
      </c>
      <c r="K3784" s="4" t="inlineStr">
        <is>
          <t>Stundensätze eingeben</t>
        </is>
      </c>
    </row>
    <row r="3785">
      <c r="A3785" s="4" t="inlineStr">
        <is>
          <t>6874 FLA-FriedrichLoefflerInstitut-Naumburgerstr96a-Jena</t>
        </is>
      </c>
      <c r="B3785" s="4" t="inlineStr">
        <is>
          <t>● (aN) Pos. 5 Beratung während der Bauphase</t>
        </is>
      </c>
      <c r="C3785" s="4" t="inlineStr">
        <is>
          <t>Nachweis</t>
        </is>
      </c>
      <c r="D3785" s="10" t="inlineStr">
        <is>
          <t>⚠ Manual erforderlich</t>
        </is>
      </c>
      <c r="E3785" s="11" t="inlineStr"/>
      <c r="F3785" s="11" t="n">
        <v>0</v>
      </c>
      <c r="G3785" s="11">
        <f>E3785-F3785</f>
        <v/>
      </c>
      <c r="H3785" s="11" t="n">
        <v/>
      </c>
      <c r="I3785" s="11" t="n">
        <v/>
      </c>
      <c r="J3785" s="11" t="n">
        <v/>
      </c>
      <c r="K3785" s="4" t="inlineStr">
        <is>
          <t>Stundensätze eingeben</t>
        </is>
      </c>
    </row>
    <row r="3786">
      <c r="A3786" s="4" t="inlineStr">
        <is>
          <t>6875.01 BTB-Zeil-2-Ffm-EG-Kühlgeräte</t>
        </is>
      </c>
      <c r="B3786" s="4" t="inlineStr">
        <is>
          <t>● (aN) BTB einbringen von Kühlgeräten (telef. Beauftragung ohne ANG)</t>
        </is>
      </c>
      <c r="C3786" s="4" t="inlineStr">
        <is>
          <t>Nachweis</t>
        </is>
      </c>
      <c r="D3786" s="10" t="inlineStr">
        <is>
          <t>⚠ Manual erforderlich</t>
        </is>
      </c>
      <c r="E3786" s="11" t="inlineStr"/>
      <c r="F3786" s="11" t="n">
        <v>0</v>
      </c>
      <c r="G3786" s="11">
        <f>E3786-F3786</f>
        <v/>
      </c>
      <c r="H3786" s="11" t="n">
        <v/>
      </c>
      <c r="I3786" s="11" t="n">
        <v/>
      </c>
      <c r="J3786" s="11" t="n">
        <v/>
      </c>
      <c r="K3786" s="4" t="inlineStr">
        <is>
          <t>Stundensätze eingeben</t>
        </is>
      </c>
    </row>
    <row r="3787">
      <c r="A3787" s="4" t="inlineStr">
        <is>
          <t>6880.141 FWP-2025-Carl-Zeiss-Str-3-Metzingen</t>
        </is>
      </c>
      <c r="B3787" s="4" t="inlineStr">
        <is>
          <t>● (a.N.) Pos.1-Erstellen FWP+ Dokumentation lt. RV (ohne ANG) /kk</t>
        </is>
      </c>
      <c r="C3787" s="4" t="inlineStr">
        <is>
          <t>Nachweis</t>
        </is>
      </c>
      <c r="D3787" s="10" t="inlineStr">
        <is>
          <t>⚠ Manual erforderlich</t>
        </is>
      </c>
      <c r="E3787" s="11" t="inlineStr"/>
      <c r="F3787" s="11" t="n">
        <v>0</v>
      </c>
      <c r="G3787" s="11">
        <f>E3787-F3787</f>
        <v/>
      </c>
      <c r="H3787" s="11" t="n">
        <v/>
      </c>
      <c r="I3787" s="11" t="n">
        <v/>
      </c>
      <c r="J3787" s="11" t="n">
        <v/>
      </c>
      <c r="K3787" s="4" t="inlineStr">
        <is>
          <t>Stundensätze eingeben</t>
        </is>
      </c>
    </row>
    <row r="3788">
      <c r="A3788" s="4" t="inlineStr">
        <is>
          <t>6880.151 FWP-2025-Carl-Zeiss-Str-27-Metzingen</t>
        </is>
      </c>
      <c r="B3788" s="4" t="inlineStr">
        <is>
          <t>● (a.N.) Pos.1-Erstellen FWP lt. RV + Dokumentation (ohne ANG)</t>
        </is>
      </c>
      <c r="C3788" s="4" t="inlineStr">
        <is>
          <t>Nachweis</t>
        </is>
      </c>
      <c r="D3788" s="10" t="inlineStr">
        <is>
          <t>⚠ Manual erforderlich</t>
        </is>
      </c>
      <c r="E3788" s="11" t="inlineStr"/>
      <c r="F3788" s="11" t="n">
        <v>0</v>
      </c>
      <c r="G3788" s="11">
        <f>E3788-F3788</f>
        <v/>
      </c>
      <c r="H3788" s="11" t="n">
        <v/>
      </c>
      <c r="I3788" s="11" t="n">
        <v/>
      </c>
      <c r="J3788" s="11" t="n">
        <v/>
      </c>
      <c r="K3788" s="4" t="inlineStr">
        <is>
          <t>Stundensätze eingeben</t>
        </is>
      </c>
    </row>
    <row r="3789">
      <c r="A3789" s="4" t="inlineStr">
        <is>
          <t>6880.161 FWP-2025-Carl-Zeiss-Straße-43-Metzingen-Bürogebäude</t>
        </is>
      </c>
      <c r="B3789" s="4" t="inlineStr">
        <is>
          <t>● (a.N.) Pos.1-Erstellen FWP lt. RV + Dokumentation (ohne ANG)</t>
        </is>
      </c>
      <c r="C3789" s="4" t="inlineStr">
        <is>
          <t>Nachweis</t>
        </is>
      </c>
      <c r="D3789" s="10" t="inlineStr">
        <is>
          <t>⚠ Manual erforderlich</t>
        </is>
      </c>
      <c r="E3789" s="11" t="inlineStr"/>
      <c r="F3789" s="11" t="n">
        <v>0</v>
      </c>
      <c r="G3789" s="11">
        <f>E3789-F3789</f>
        <v/>
      </c>
      <c r="H3789" s="11" t="n">
        <v/>
      </c>
      <c r="I3789" s="11" t="n">
        <v/>
      </c>
      <c r="J3789" s="11" t="n">
        <v/>
      </c>
      <c r="K3789" s="4" t="inlineStr">
        <is>
          <t>Stundensätze eingeben</t>
        </is>
      </c>
    </row>
    <row r="3790">
      <c r="A3790" s="4" t="inlineStr">
        <is>
          <t>6880.162 FWP-2025-Carl-Zeiss-Straße-43-Metzingen-Lagergebäude</t>
        </is>
      </c>
      <c r="B3790" s="4" t="inlineStr">
        <is>
          <t>● (a.N.) Pos.1-Erstellen FWP lt. RV + Dokumentation (ohne ANG)</t>
        </is>
      </c>
      <c r="C3790" s="4" t="inlineStr">
        <is>
          <t>Nachweis</t>
        </is>
      </c>
      <c r="D3790" s="10" t="inlineStr">
        <is>
          <t>⚠ Manual erforderlich</t>
        </is>
      </c>
      <c r="E3790" s="11" t="inlineStr"/>
      <c r="F3790" s="11" t="n">
        <v>0</v>
      </c>
      <c r="G3790" s="11">
        <f>E3790-F3790</f>
        <v/>
      </c>
      <c r="H3790" s="11" t="n">
        <v/>
      </c>
      <c r="I3790" s="11" t="n">
        <v/>
      </c>
      <c r="J3790" s="11" t="n">
        <v/>
      </c>
      <c r="K3790" s="4" t="inlineStr">
        <is>
          <t>Stundensätze eingeben</t>
        </is>
      </c>
    </row>
    <row r="3791">
      <c r="A3791" s="4" t="inlineStr">
        <is>
          <t>6880.191 FRP-2025-Frankenstraße-152-Nürnberg</t>
        </is>
      </c>
      <c r="B3791" s="4" t="inlineStr">
        <is>
          <t>● (aN) Pos.1 Erstellen FRP + Dokumentation (~24h)</t>
        </is>
      </c>
      <c r="C3791" s="4" t="inlineStr">
        <is>
          <t>Nachweis</t>
        </is>
      </c>
      <c r="D3791" s="10" t="inlineStr">
        <is>
          <t>⚠ Manual erforderlich</t>
        </is>
      </c>
      <c r="E3791" s="11" t="inlineStr"/>
      <c r="F3791" s="11" t="n">
        <v>0</v>
      </c>
      <c r="G3791" s="11">
        <f>E3791-F3791</f>
        <v/>
      </c>
      <c r="H3791" s="11" t="n">
        <v/>
      </c>
      <c r="I3791" s="11" t="n">
        <v/>
      </c>
      <c r="J3791" s="11" t="n">
        <v/>
      </c>
      <c r="K3791" s="4" t="inlineStr">
        <is>
          <t>Stundensätze eingeben</t>
        </is>
      </c>
    </row>
    <row r="3792">
      <c r="A3792" s="4" t="inlineStr">
        <is>
          <t>6880.20 LWeiss-BSN-Georg-Maurer-Str6-München</t>
        </is>
      </c>
      <c r="B3792" s="4" t="inlineStr">
        <is>
          <t>● (aN) Brandschutznachweis</t>
        </is>
      </c>
      <c r="C3792" s="4" t="inlineStr">
        <is>
          <t>Nachweis</t>
        </is>
      </c>
      <c r="D3792" s="10" t="inlineStr">
        <is>
          <t>⚠ Manual erforderlich</t>
        </is>
      </c>
      <c r="E3792" s="11" t="inlineStr"/>
      <c r="F3792" s="11" t="n">
        <v>0</v>
      </c>
      <c r="G3792" s="11">
        <f>E3792-F3792</f>
        <v/>
      </c>
      <c r="H3792" s="11" t="n">
        <v/>
      </c>
      <c r="I3792" s="11" t="n">
        <v/>
      </c>
      <c r="J3792" s="11" t="n">
        <v/>
      </c>
      <c r="K3792" s="4" t="inlineStr">
        <is>
          <t>Stundensätze eingeben</t>
        </is>
      </c>
    </row>
    <row r="3793">
      <c r="A3793" s="4" t="inlineStr">
        <is>
          <t>6880.20 LWeiss-BSN-Georg-Maurer-Str6-München</t>
        </is>
      </c>
      <c r="B3793" s="4" t="inlineStr">
        <is>
          <t>● (aN) Brandschutzkonzeptpläne</t>
        </is>
      </c>
      <c r="C3793" s="4" t="inlineStr">
        <is>
          <t>Nachweis</t>
        </is>
      </c>
      <c r="D3793" s="10" t="inlineStr">
        <is>
          <t>⚠ Manual erforderlich</t>
        </is>
      </c>
      <c r="E3793" s="11" t="inlineStr"/>
      <c r="F3793" s="11" t="n">
        <v>0</v>
      </c>
      <c r="G3793" s="11">
        <f>E3793-F3793</f>
        <v/>
      </c>
      <c r="H3793" s="11" t="n">
        <v/>
      </c>
      <c r="I3793" s="11" t="n">
        <v/>
      </c>
      <c r="J3793" s="11" t="n">
        <v/>
      </c>
      <c r="K3793" s="4" t="inlineStr">
        <is>
          <t>Stundensätze eingeben</t>
        </is>
      </c>
    </row>
    <row r="3794">
      <c r="A3794" s="4" t="inlineStr">
        <is>
          <t>6880.22 LWeiss-FRP-FWP-Leonhard-WeissStr12-Göppingen-Neubau</t>
        </is>
      </c>
      <c r="B3794" s="4" t="inlineStr">
        <is>
          <t>● (aN) Pos. 1 Erstellung Flucht- und Rettungspläne</t>
        </is>
      </c>
      <c r="C3794" s="4" t="inlineStr">
        <is>
          <t>Nachweis</t>
        </is>
      </c>
      <c r="D3794" s="10" t="inlineStr">
        <is>
          <t>⚠ Manual erforderlich</t>
        </is>
      </c>
      <c r="E3794" s="11" t="inlineStr"/>
      <c r="F3794" s="11" t="n">
        <v>0</v>
      </c>
      <c r="G3794" s="11">
        <f>E3794-F3794</f>
        <v/>
      </c>
      <c r="H3794" s="11" t="n">
        <v/>
      </c>
      <c r="I3794" s="11" t="n">
        <v/>
      </c>
      <c r="J3794" s="11" t="n">
        <v/>
      </c>
      <c r="K3794" s="4" t="inlineStr">
        <is>
          <t>Stundensätze eingeben</t>
        </is>
      </c>
    </row>
    <row r="3795">
      <c r="A3795" s="4" t="inlineStr">
        <is>
          <t>6880.22 LWeiss-FRP-FWP-Leonhard-WeissStr12-Göppingen-Neubau</t>
        </is>
      </c>
      <c r="B3795" s="4" t="inlineStr">
        <is>
          <t>● (aN) Pos. 2 Erstellung Feuerwehrpläne</t>
        </is>
      </c>
      <c r="C3795" s="4" t="inlineStr">
        <is>
          <t>Nachweis</t>
        </is>
      </c>
      <c r="D3795" s="10" t="inlineStr">
        <is>
          <t>⚠ Manual erforderlich</t>
        </is>
      </c>
      <c r="E3795" s="11" t="inlineStr"/>
      <c r="F3795" s="11" t="n">
        <v>0</v>
      </c>
      <c r="G3795" s="11">
        <f>E3795-F3795</f>
        <v/>
      </c>
      <c r="H3795" s="11" t="n">
        <v/>
      </c>
      <c r="I3795" s="11" t="n">
        <v/>
      </c>
      <c r="J3795" s="11" t="n">
        <v/>
      </c>
      <c r="K3795" s="4" t="inlineStr">
        <is>
          <t>Stundensätze eingeben</t>
        </is>
      </c>
    </row>
    <row r="3796">
      <c r="A3796" s="4" t="inlineStr">
        <is>
          <t>6880.22 LWeiss-FRP-FWP-Leonhard-WeissStr12-Göppingen-Neubau</t>
        </is>
      </c>
      <c r="B3796" s="4" t="inlineStr">
        <is>
          <t>● (aN) Pos. 3 Dokumentation</t>
        </is>
      </c>
      <c r="C3796" s="4" t="inlineStr">
        <is>
          <t>Nachweis</t>
        </is>
      </c>
      <c r="D3796" s="10" t="inlineStr">
        <is>
          <t>⚠ Manual erforderlich</t>
        </is>
      </c>
      <c r="E3796" s="11" t="inlineStr"/>
      <c r="F3796" s="11" t="n">
        <v>0</v>
      </c>
      <c r="G3796" s="11">
        <f>E3796-F3796</f>
        <v/>
      </c>
      <c r="H3796" s="11" t="n">
        <v/>
      </c>
      <c r="I3796" s="11" t="n">
        <v/>
      </c>
      <c r="J3796" s="11" t="n">
        <v/>
      </c>
      <c r="K3796" s="4" t="inlineStr">
        <is>
          <t>Stundensätze eingeben</t>
        </is>
      </c>
    </row>
    <row r="3797">
      <c r="A3797" s="4" t="inlineStr">
        <is>
          <t>6880.22 LWeiss-FRP-FWP-Leonhard-WeissStr12-Göppingen-Neubau</t>
        </is>
      </c>
      <c r="B3797" s="4" t="inlineStr">
        <is>
          <t>● (aN) Pos. 5 Pläne Neubau FWP</t>
        </is>
      </c>
      <c r="C3797" s="4" t="inlineStr">
        <is>
          <t>Nachweis</t>
        </is>
      </c>
      <c r="D3797" s="10" t="inlineStr">
        <is>
          <t>⚠ Manual erforderlich</t>
        </is>
      </c>
      <c r="E3797" s="11" t="inlineStr"/>
      <c r="F3797" s="11" t="n">
        <v>0</v>
      </c>
      <c r="G3797" s="11">
        <f>E3797-F3797</f>
        <v/>
      </c>
      <c r="H3797" s="11" t="n">
        <v/>
      </c>
      <c r="I3797" s="11" t="n">
        <v/>
      </c>
      <c r="J3797" s="11" t="n">
        <v/>
      </c>
      <c r="K3797" s="4" t="inlineStr">
        <is>
          <t>Stundensätze eingeben</t>
        </is>
      </c>
    </row>
    <row r="3798">
      <c r="A3798" s="4" t="inlineStr">
        <is>
          <t>6880.22 LWeiss-FRP-FWP-Leonhard-WeissStr12-Göppingen-Neubau</t>
        </is>
      </c>
      <c r="B3798" s="4" t="inlineStr">
        <is>
          <t>● (aN) Pos. 5 Pläne Neubau FRP</t>
        </is>
      </c>
      <c r="C3798" s="4" t="inlineStr">
        <is>
          <t>Nachweis</t>
        </is>
      </c>
      <c r="D3798" s="10" t="inlineStr">
        <is>
          <t>⚠ Manual erforderlich</t>
        </is>
      </c>
      <c r="E3798" s="11" t="inlineStr"/>
      <c r="F3798" s="11" t="n">
        <v>0</v>
      </c>
      <c r="G3798" s="11">
        <f>E3798-F3798</f>
        <v/>
      </c>
      <c r="H3798" s="11" t="n">
        <v/>
      </c>
      <c r="I3798" s="11" t="n">
        <v/>
      </c>
      <c r="J3798" s="11" t="n">
        <v/>
      </c>
      <c r="K3798" s="4" t="inlineStr">
        <is>
          <t>Stundensätze eingeben</t>
        </is>
      </c>
    </row>
    <row r="3799">
      <c r="A3799" s="4" t="inlineStr">
        <is>
          <t>6880.23 LWeiss-BTB-Im-Wiesengrund-5-Rechberghausen</t>
        </is>
      </c>
      <c r="B3799" s="4" t="inlineStr">
        <is>
          <t>● (aN) Pos. 1 BTB auf Grundlage RV</t>
        </is>
      </c>
      <c r="C3799" s="4" t="inlineStr">
        <is>
          <t>Nachweis</t>
        </is>
      </c>
      <c r="D3799" s="10" t="inlineStr">
        <is>
          <t>⚠ Manual erforderlich</t>
        </is>
      </c>
      <c r="E3799" s="11" t="inlineStr"/>
      <c r="F3799" s="11" t="n">
        <v>0</v>
      </c>
      <c r="G3799" s="11">
        <f>E3799-F3799</f>
        <v/>
      </c>
      <c r="H3799" s="11" t="n">
        <v/>
      </c>
      <c r="I3799" s="11" t="n">
        <v/>
      </c>
      <c r="J3799" s="11" t="n">
        <v/>
      </c>
      <c r="K3799" s="4" t="inlineStr">
        <is>
          <t>Stundensätze eingeben</t>
        </is>
      </c>
    </row>
    <row r="3800">
      <c r="A3800" s="4" t="inlineStr">
        <is>
          <t>6880.24 LWeiss-FRP-FWP-Leonhard-WeissStr12-Göppingen-Bestand</t>
        </is>
      </c>
      <c r="B3800" s="4" t="inlineStr">
        <is>
          <t>● (aN) Pos. 1 Dokumentation</t>
        </is>
      </c>
      <c r="C3800" s="4" t="inlineStr">
        <is>
          <t>Nachweis</t>
        </is>
      </c>
      <c r="D3800" s="10" t="inlineStr">
        <is>
          <t>⚠ Manual erforderlich</t>
        </is>
      </c>
      <c r="E3800" s="11" t="inlineStr"/>
      <c r="F3800" s="11" t="n">
        <v>0</v>
      </c>
      <c r="G3800" s="11">
        <f>E3800-F3800</f>
        <v/>
      </c>
      <c r="H3800" s="11" t="n">
        <v/>
      </c>
      <c r="I3800" s="11" t="n">
        <v/>
      </c>
      <c r="J3800" s="11" t="n">
        <v/>
      </c>
      <c r="K3800" s="4" t="inlineStr">
        <is>
          <t>Stundensätze eingeben</t>
        </is>
      </c>
    </row>
    <row r="3801">
      <c r="A3801" s="4" t="inlineStr">
        <is>
          <t>6880.24 LWeiss-FRP-FWP-Leonhard-WeissStr12-Göppingen-Bestand</t>
        </is>
      </c>
      <c r="B3801" s="4" t="inlineStr">
        <is>
          <t>● (aN) Pos. 4 Pläne Bestand FWP</t>
        </is>
      </c>
      <c r="C3801" s="4" t="inlineStr">
        <is>
          <t>Nachweis</t>
        </is>
      </c>
      <c r="D3801" s="10" t="inlineStr">
        <is>
          <t>⚠ Manual erforderlich</t>
        </is>
      </c>
      <c r="E3801" s="11" t="inlineStr"/>
      <c r="F3801" s="11" t="n">
        <v>0</v>
      </c>
      <c r="G3801" s="11">
        <f>E3801-F3801</f>
        <v/>
      </c>
      <c r="H3801" s="11" t="n">
        <v/>
      </c>
      <c r="I3801" s="11" t="n">
        <v/>
      </c>
      <c r="J3801" s="11" t="n">
        <v/>
      </c>
      <c r="K3801" s="4" t="inlineStr">
        <is>
          <t>Stundensätze eingeben</t>
        </is>
      </c>
    </row>
    <row r="3802">
      <c r="A3802" s="4" t="inlineStr">
        <is>
          <t>6880.24 LWeiss-FRP-FWP-Leonhard-WeissStr12-Göppingen-Bestand</t>
        </is>
      </c>
      <c r="B3802" s="4" t="inlineStr">
        <is>
          <t>●  (aN) Pos. 4 Pläne Bestand FRP</t>
        </is>
      </c>
      <c r="C3802" s="4" t="inlineStr">
        <is>
          <t>Nachweis</t>
        </is>
      </c>
      <c r="D3802" s="10" t="inlineStr">
        <is>
          <t>⚠ Manual erforderlich</t>
        </is>
      </c>
      <c r="E3802" s="11" t="inlineStr"/>
      <c r="F3802" s="11" t="n">
        <v>0</v>
      </c>
      <c r="G3802" s="11">
        <f>E3802-F3802</f>
        <v/>
      </c>
      <c r="H3802" s="11" t="n">
        <v/>
      </c>
      <c r="I3802" s="11" t="n">
        <v/>
      </c>
      <c r="J3802" s="11" t="n">
        <v/>
      </c>
      <c r="K3802" s="4" t="inlineStr">
        <is>
          <t>Stundensätze eingeben</t>
        </is>
      </c>
    </row>
    <row r="3803">
      <c r="A3803" s="4" t="inlineStr">
        <is>
          <t>6880.24 LWeiss-FRP-FWP-Leonhard-WeissStr12-Göppingen-Bestand</t>
        </is>
      </c>
      <c r="B3803" s="4" t="inlineStr">
        <is>
          <t>● (aN) Pos. 6 Ortstermine</t>
        </is>
      </c>
      <c r="C3803" s="4" t="inlineStr">
        <is>
          <t>Nachweis</t>
        </is>
      </c>
      <c r="D3803" s="10" t="inlineStr">
        <is>
          <t>⚠ Manual erforderlich</t>
        </is>
      </c>
      <c r="E3803" s="11" t="inlineStr"/>
      <c r="F3803" s="11" t="n">
        <v>0</v>
      </c>
      <c r="G3803" s="11">
        <f>E3803-F3803</f>
        <v/>
      </c>
      <c r="H3803" s="11" t="n">
        <v/>
      </c>
      <c r="I3803" s="11" t="n">
        <v/>
      </c>
      <c r="J3803" s="11" t="n">
        <v/>
      </c>
      <c r="K3803" s="4" t="inlineStr">
        <is>
          <t>Stundensätze eingeben</t>
        </is>
      </c>
    </row>
    <row r="3804">
      <c r="A3804" s="4" t="inlineStr">
        <is>
          <t>6880.25 BTB-Im-Wiesengrund-7/1-Rechberghausen-Bestandswohnhaus</t>
        </is>
      </c>
      <c r="B3804" s="4" t="inlineStr">
        <is>
          <t>● (aN) Pos.1 BTB</t>
        </is>
      </c>
      <c r="C3804" s="4" t="inlineStr">
        <is>
          <t>Nachweis</t>
        </is>
      </c>
      <c r="D3804" s="10" t="inlineStr">
        <is>
          <t>⚠ Manual erforderlich</t>
        </is>
      </c>
      <c r="E3804" s="11" t="inlineStr"/>
      <c r="F3804" s="11" t="n">
        <v>0</v>
      </c>
      <c r="G3804" s="11">
        <f>E3804-F3804</f>
        <v/>
      </c>
      <c r="H3804" s="11" t="n">
        <v/>
      </c>
      <c r="I3804" s="11" t="n">
        <v/>
      </c>
      <c r="J3804" s="11" t="n">
        <v/>
      </c>
      <c r="K3804" s="4" t="inlineStr">
        <is>
          <t>Stundensätze eingeben</t>
        </is>
      </c>
    </row>
    <row r="3805">
      <c r="A3805" s="4" t="inlineStr">
        <is>
          <t>6880.26 FRP-2025-Carl-Zeiss-Straße-49/1-Metzingen</t>
        </is>
      </c>
      <c r="B3805" s="4" t="inlineStr">
        <is>
          <t>● (a.N.) Pos.1-Erstellen FRP lt. RV + Dokumentation (ohne ANG)</t>
        </is>
      </c>
      <c r="C3805" s="4" t="inlineStr">
        <is>
          <t>Nachweis</t>
        </is>
      </c>
      <c r="D3805" s="10" t="inlineStr">
        <is>
          <t>⚠ Manual erforderlich</t>
        </is>
      </c>
      <c r="E3805" s="11" t="inlineStr"/>
      <c r="F3805" s="11" t="n">
        <v>0</v>
      </c>
      <c r="G3805" s="11">
        <f>E3805-F3805</f>
        <v/>
      </c>
      <c r="H3805" s="11" t="n">
        <v/>
      </c>
      <c r="I3805" s="11" t="n">
        <v/>
      </c>
      <c r="J3805" s="11" t="n">
        <v/>
      </c>
      <c r="K3805" s="4" t="inlineStr">
        <is>
          <t>Stundensätze eingeben</t>
        </is>
      </c>
    </row>
    <row r="3806">
      <c r="A3806" s="4" t="inlineStr">
        <is>
          <t>6880.27 FRP-2025-Wilhelm-Frank-Straße-61-Bad Mergentheim</t>
        </is>
      </c>
      <c r="B3806" s="4" t="inlineStr">
        <is>
          <t>● (a.N.) Pos.1-Erstellen FRP lt. RV + Dokumentation (ohne ANG)</t>
        </is>
      </c>
      <c r="C3806" s="4" t="inlineStr">
        <is>
          <t>Nachweis</t>
        </is>
      </c>
      <c r="D3806" s="10" t="inlineStr">
        <is>
          <t>⚠ Manual erforderlich</t>
        </is>
      </c>
      <c r="E3806" s="11" t="inlineStr"/>
      <c r="F3806" s="11" t="n">
        <v>0</v>
      </c>
      <c r="G3806" s="11">
        <f>E3806-F3806</f>
        <v/>
      </c>
      <c r="H3806" s="11" t="n">
        <v/>
      </c>
      <c r="I3806" s="11" t="n">
        <v/>
      </c>
      <c r="J3806" s="11" t="n">
        <v/>
      </c>
      <c r="K3806" s="4" t="inlineStr">
        <is>
          <t>Stundensätze eingeben</t>
        </is>
      </c>
    </row>
    <row r="3807">
      <c r="A3807" s="4" t="inlineStr">
        <is>
          <t>6880.28 FRP-2025-Kaufstraße-15-Grünkraut-Bürogebäude</t>
        </is>
      </c>
      <c r="B3807" s="4" t="inlineStr">
        <is>
          <t>● (a.N.) Pos.1-Erstellen FRP lt. RV + Dokumentation (ohne ANG)</t>
        </is>
      </c>
      <c r="C3807" s="4" t="inlineStr">
        <is>
          <t>Nachweis</t>
        </is>
      </c>
      <c r="D3807" s="10" t="inlineStr">
        <is>
          <t>⚠ Manual erforderlich</t>
        </is>
      </c>
      <c r="E3807" s="11" t="inlineStr"/>
      <c r="F3807" s="11" t="n">
        <v>0</v>
      </c>
      <c r="G3807" s="11">
        <f>E3807-F3807</f>
        <v/>
      </c>
      <c r="H3807" s="11" t="n">
        <v/>
      </c>
      <c r="I3807" s="11" t="n">
        <v/>
      </c>
      <c r="J3807" s="11" t="n">
        <v/>
      </c>
      <c r="K3807" s="4" t="inlineStr">
        <is>
          <t>Stundensätze eingeben</t>
        </is>
      </c>
    </row>
    <row r="3808">
      <c r="A3808" s="4" t="inlineStr">
        <is>
          <t>6880.29 LWeiss-FRP-August-Horch-Str-2-4-Kottenheim-EG-Büro</t>
        </is>
      </c>
      <c r="B3808" s="4" t="inlineStr">
        <is>
          <t>● (aN) Pos. 1 Dokumentation</t>
        </is>
      </c>
      <c r="C3808" s="4" t="inlineStr">
        <is>
          <t>Nachweis</t>
        </is>
      </c>
      <c r="D3808" s="10" t="inlineStr">
        <is>
          <t>⚠ Manual erforderlich</t>
        </is>
      </c>
      <c r="E3808" s="11" t="inlineStr"/>
      <c r="F3808" s="11" t="n">
        <v>0</v>
      </c>
      <c r="G3808" s="11">
        <f>E3808-F3808</f>
        <v/>
      </c>
      <c r="H3808" s="11" t="n">
        <v/>
      </c>
      <c r="I3808" s="11" t="n">
        <v/>
      </c>
      <c r="J3808" s="11" t="n">
        <v/>
      </c>
      <c r="K3808" s="4" t="inlineStr">
        <is>
          <t>Stundensätze eingeben</t>
        </is>
      </c>
    </row>
    <row r="3809">
      <c r="A3809" s="4" t="inlineStr">
        <is>
          <t>6880.29 LWeiss-FRP-August-Horch-Str-2-4-Kottenheim-EG-Büro</t>
        </is>
      </c>
      <c r="B3809" s="4" t="inlineStr">
        <is>
          <t>●  (aN) Pos. 4 Pläne Bestand FRP</t>
        </is>
      </c>
      <c r="C3809" s="4" t="inlineStr">
        <is>
          <t>Nachweis</t>
        </is>
      </c>
      <c r="D3809" s="10" t="inlineStr">
        <is>
          <t>⚠ Manual erforderlich</t>
        </is>
      </c>
      <c r="E3809" s="11" t="inlineStr"/>
      <c r="F3809" s="11" t="n">
        <v>0</v>
      </c>
      <c r="G3809" s="11">
        <f>E3809-F3809</f>
        <v/>
      </c>
      <c r="H3809" s="11" t="n">
        <v/>
      </c>
      <c r="I3809" s="11" t="n">
        <v/>
      </c>
      <c r="J3809" s="11" t="n">
        <v/>
      </c>
      <c r="K3809" s="4" t="inlineStr">
        <is>
          <t>Stundensätze eingeben</t>
        </is>
      </c>
    </row>
    <row r="3810">
      <c r="A3810" s="4" t="inlineStr">
        <is>
          <t>6880.29 LWeiss-FRP-August-Horch-Str-2-4-Kottenheim-EG-Büro</t>
        </is>
      </c>
      <c r="B3810" s="4" t="inlineStr">
        <is>
          <t>● (aN) Pos. 6 Ortstermine</t>
        </is>
      </c>
      <c r="C3810" s="4" t="inlineStr">
        <is>
          <t>Nachweis</t>
        </is>
      </c>
      <c r="D3810" s="10" t="inlineStr">
        <is>
          <t>⚠ Manual erforderlich</t>
        </is>
      </c>
      <c r="E3810" s="11" t="inlineStr"/>
      <c r="F3810" s="11" t="n">
        <v>0</v>
      </c>
      <c r="G3810" s="11">
        <f>E3810-F3810</f>
        <v/>
      </c>
      <c r="H3810" s="11" t="n">
        <v/>
      </c>
      <c r="I3810" s="11" t="n">
        <v/>
      </c>
      <c r="J3810" s="11" t="n">
        <v/>
      </c>
      <c r="K3810" s="4" t="inlineStr">
        <is>
          <t>Stundensätze eingeben</t>
        </is>
      </c>
    </row>
    <row r="3811">
      <c r="A3811" s="4" t="inlineStr">
        <is>
          <t>6880.30 LWeiss-FRP-August-Horch-Str-2-4-Kottenheim-EG-Halle</t>
        </is>
      </c>
      <c r="B3811" s="4" t="inlineStr">
        <is>
          <t>● (aN) Pos. 1 Dokumentation</t>
        </is>
      </c>
      <c r="C3811" s="4" t="inlineStr">
        <is>
          <t>Nachweis</t>
        </is>
      </c>
      <c r="D3811" s="10" t="inlineStr">
        <is>
          <t>⚠ Manual erforderlich</t>
        </is>
      </c>
      <c r="E3811" s="11" t="inlineStr"/>
      <c r="F3811" s="11" t="n">
        <v>0</v>
      </c>
      <c r="G3811" s="11">
        <f>E3811-F3811</f>
        <v/>
      </c>
      <c r="H3811" s="11" t="n">
        <v/>
      </c>
      <c r="I3811" s="11" t="n">
        <v/>
      </c>
      <c r="J3811" s="11" t="n">
        <v/>
      </c>
      <c r="K3811" s="4" t="inlineStr">
        <is>
          <t>Stundensätze eingeben</t>
        </is>
      </c>
    </row>
    <row r="3812">
      <c r="A3812" s="4" t="inlineStr">
        <is>
          <t>6880.30 LWeiss-FRP-August-Horch-Str-2-4-Kottenheim-EG-Halle</t>
        </is>
      </c>
      <c r="B3812" s="4" t="inlineStr">
        <is>
          <t>●  (aN) Pos. 4 Pläne Bestand FRP</t>
        </is>
      </c>
      <c r="C3812" s="4" t="inlineStr">
        <is>
          <t>Nachweis</t>
        </is>
      </c>
      <c r="D3812" s="10" t="inlineStr">
        <is>
          <t>⚠ Manual erforderlich</t>
        </is>
      </c>
      <c r="E3812" s="11" t="inlineStr"/>
      <c r="F3812" s="11" t="n">
        <v>0</v>
      </c>
      <c r="G3812" s="11">
        <f>E3812-F3812</f>
        <v/>
      </c>
      <c r="H3812" s="11" t="n">
        <v/>
      </c>
      <c r="I3812" s="11" t="n">
        <v/>
      </c>
      <c r="J3812" s="11" t="n">
        <v/>
      </c>
      <c r="K3812" s="4" t="inlineStr">
        <is>
          <t>Stundensätze eingeben</t>
        </is>
      </c>
    </row>
    <row r="3813">
      <c r="A3813" s="4" t="inlineStr">
        <is>
          <t>6880.30 LWeiss-FRP-August-Horch-Str-2-4-Kottenheim-EG-Halle</t>
        </is>
      </c>
      <c r="B3813" s="4" t="inlineStr">
        <is>
          <t>● (aN) Pos. 6 Ortstermine</t>
        </is>
      </c>
      <c r="C3813" s="4" t="inlineStr">
        <is>
          <t>Nachweis</t>
        </is>
      </c>
      <c r="D3813" s="10" t="inlineStr">
        <is>
          <t>⚠ Manual erforderlich</t>
        </is>
      </c>
      <c r="E3813" s="11" t="inlineStr"/>
      <c r="F3813" s="11" t="n">
        <v>0</v>
      </c>
      <c r="G3813" s="11">
        <f>E3813-F3813</f>
        <v/>
      </c>
      <c r="H3813" s="11" t="n">
        <v/>
      </c>
      <c r="I3813" s="11" t="n">
        <v/>
      </c>
      <c r="J3813" s="11" t="n">
        <v/>
      </c>
      <c r="K3813" s="4" t="inlineStr">
        <is>
          <t>Stundensätze eingeben</t>
        </is>
      </c>
    </row>
    <row r="3814">
      <c r="A3814" s="4" t="inlineStr">
        <is>
          <t>6880.31 LWeiss-FRP-Wilhelm-Frank-Str-59-Bad-Mergentheim</t>
        </is>
      </c>
      <c r="B3814" s="4" t="inlineStr">
        <is>
          <t>● (aN) MGH - Erneuerung FRP</t>
        </is>
      </c>
      <c r="C3814" s="4" t="inlineStr">
        <is>
          <t>Nachweis</t>
        </is>
      </c>
      <c r="D3814" s="10" t="inlineStr">
        <is>
          <t>⚠ Manual erforderlich</t>
        </is>
      </c>
      <c r="E3814" s="11" t="inlineStr"/>
      <c r="F3814" s="11" t="n">
        <v>0</v>
      </c>
      <c r="G3814" s="11">
        <f>E3814-F3814</f>
        <v/>
      </c>
      <c r="H3814" s="11" t="n">
        <v/>
      </c>
      <c r="I3814" s="11" t="n">
        <v/>
      </c>
      <c r="J3814" s="11" t="n">
        <v/>
      </c>
      <c r="K3814" s="4" t="inlineStr">
        <is>
          <t>Stundensätze eingeben</t>
        </is>
      </c>
    </row>
    <row r="3815">
      <c r="A3815" s="4" t="inlineStr">
        <is>
          <t>6880.32 LWeiss-RV-FRP-Industriestraße-8-Satteldorf-MB-GEOtec-EG</t>
        </is>
      </c>
      <c r="B3815" s="4" t="inlineStr">
        <is>
          <t>● (aN) FRP für angemietetes Objekt f. geotechn. Daten</t>
        </is>
      </c>
      <c r="C3815" s="4" t="inlineStr">
        <is>
          <t>Nachweis</t>
        </is>
      </c>
      <c r="D3815" s="10" t="inlineStr">
        <is>
          <t>⚠ Manual erforderlich</t>
        </is>
      </c>
      <c r="E3815" s="11" t="inlineStr"/>
      <c r="F3815" s="11" t="n">
        <v>0</v>
      </c>
      <c r="G3815" s="11">
        <f>E3815-F3815</f>
        <v/>
      </c>
      <c r="H3815" s="11" t="n">
        <v/>
      </c>
      <c r="I3815" s="11" t="n">
        <v/>
      </c>
      <c r="J3815" s="11" t="n">
        <v/>
      </c>
      <c r="K3815" s="4" t="inlineStr">
        <is>
          <t>Stundensätze eingeben</t>
        </is>
      </c>
    </row>
    <row r="3816">
      <c r="A3816" s="4" t="inlineStr">
        <is>
          <t>6882 BSK-Funkturm-Ahlen-Tönnishäusschen-26</t>
        </is>
      </c>
      <c r="B3816" s="4" t="inlineStr">
        <is>
          <t>● (p) Pos.1-Brandschutzkonzept Spez. Bauvorhaben - ohne Begehung</t>
        </is>
      </c>
      <c r="C3816" s="4" t="inlineStr">
        <is>
          <t>Pauschale</t>
        </is>
      </c>
      <c r="D3816" s="10" t="inlineStr">
        <is>
          <t>⚠ Manual erforderlich</t>
        </is>
      </c>
      <c r="E3816" s="11" t="inlineStr"/>
      <c r="F3816" s="11" t="n">
        <v>0</v>
      </c>
      <c r="G3816" s="11">
        <f>E3816-F3816</f>
        <v/>
      </c>
      <c r="H3816" s="11" t="n">
        <v>0</v>
      </c>
      <c r="I3816" s="11" t="n">
        <v>0</v>
      </c>
      <c r="J3816" s="11" t="n">
        <v>0</v>
      </c>
      <c r="K3816" s="4" t="inlineStr">
        <is>
          <t>Stundensätze eingeben</t>
        </is>
      </c>
    </row>
    <row r="3817">
      <c r="A3817" s="4" t="inlineStr">
        <is>
          <t>6884 BST-Mittlere-EicherStr38-Kempten</t>
        </is>
      </c>
      <c r="B3817" s="4" t="inlineStr">
        <is>
          <t>● (p) Pos. 1 Erstellung brandschutztechnische Stellungnahme</t>
        </is>
      </c>
      <c r="C3817" s="4" t="inlineStr">
        <is>
          <t>Pauschale</t>
        </is>
      </c>
      <c r="D3817" s="10" t="inlineStr">
        <is>
          <t>⚠ Manual erforderlich</t>
        </is>
      </c>
      <c r="E3817" s="11" t="inlineStr"/>
      <c r="F3817" s="11" t="n">
        <v>0</v>
      </c>
      <c r="G3817" s="11">
        <f>E3817-F3817</f>
        <v/>
      </c>
      <c r="H3817" s="11" t="n">
        <v>0</v>
      </c>
      <c r="I3817" s="11" t="n">
        <v>0</v>
      </c>
      <c r="J3817" s="11" t="n">
        <v>0</v>
      </c>
      <c r="K3817" s="4" t="inlineStr">
        <is>
          <t>Stundensätze eingeben</t>
        </is>
      </c>
    </row>
    <row r="3818">
      <c r="A3818" s="4" t="inlineStr">
        <is>
          <t>6884 BST-Mittlere-EicherStr38-Kempten</t>
        </is>
      </c>
      <c r="B3818" s="4" t="inlineStr">
        <is>
          <t>● (p) Pos. 2 Erstellung Brandschutzpläne</t>
        </is>
      </c>
      <c r="C3818" s="4" t="inlineStr">
        <is>
          <t>Pauschale</t>
        </is>
      </c>
      <c r="D3818" s="10" t="inlineStr">
        <is>
          <t>⚠ Manual erforderlich</t>
        </is>
      </c>
      <c r="E3818" s="11" t="inlineStr"/>
      <c r="F3818" s="11" t="n">
        <v>0</v>
      </c>
      <c r="G3818" s="11">
        <f>E3818-F3818</f>
        <v/>
      </c>
      <c r="H3818" s="11" t="n">
        <v>0</v>
      </c>
      <c r="I3818" s="11" t="n">
        <v>0</v>
      </c>
      <c r="J3818" s="11" t="n">
        <v>0</v>
      </c>
      <c r="K3818" s="4" t="inlineStr">
        <is>
          <t>Stundensätze eingeben</t>
        </is>
      </c>
    </row>
    <row r="3819">
      <c r="A3819" s="4" t="inlineStr">
        <is>
          <t>6884 BST-Mittlere-EicherStr38-Kempten</t>
        </is>
      </c>
      <c r="B3819" s="4" t="inlineStr">
        <is>
          <t>● (aN) Pos. 3 Abnahmebegehung, Abgleich m. Anf. + Ausstellung KOF</t>
        </is>
      </c>
      <c r="C3819" s="4" t="inlineStr">
        <is>
          <t>Nachweis</t>
        </is>
      </c>
      <c r="D3819" s="10" t="inlineStr">
        <is>
          <t>⚠ Manual erforderlich</t>
        </is>
      </c>
      <c r="E3819" s="11" t="inlineStr"/>
      <c r="F3819" s="11" t="n">
        <v>0</v>
      </c>
      <c r="G3819" s="11">
        <f>E3819-F3819</f>
        <v/>
      </c>
      <c r="H3819" s="11" t="n">
        <v/>
      </c>
      <c r="I3819" s="11" t="n">
        <v/>
      </c>
      <c r="J3819" s="11" t="n">
        <v/>
      </c>
      <c r="K3819" s="4" t="inlineStr">
        <is>
          <t>Stundensätze eingeben</t>
        </is>
      </c>
    </row>
    <row r="3820">
      <c r="A3820" s="4" t="inlineStr">
        <is>
          <t>6885.01 BAB-Hbf-Stuttgart-BHH</t>
        </is>
      </c>
      <c r="B3820" s="4" t="inlineStr">
        <is>
          <t>● BAB-LP8 Bahnhofshalle - PFA 1.1_300-BUE_S + PFA 1.1_300-BUE_S_Schl (005S) -</t>
        </is>
      </c>
      <c r="C3820" s="9" t="inlineStr">
        <is>
          <t>Unbekannt</t>
        </is>
      </c>
      <c r="D3820" s="10" t="inlineStr">
        <is>
          <t>⚠ Manual erforderlich</t>
        </is>
      </c>
      <c r="E3820" s="11" t="inlineStr"/>
      <c r="F3820" s="11" t="n">
        <v>0</v>
      </c>
      <c r="G3820" s="11">
        <f>E3820-F3820</f>
        <v/>
      </c>
      <c r="H3820" s="11" t="n">
        <v/>
      </c>
      <c r="I3820" s="11" t="n">
        <v/>
      </c>
      <c r="J3820" s="11" t="n">
        <v/>
      </c>
      <c r="K3820" s="4" t="inlineStr">
        <is>
          <t>Abrechnungsart wählen; Stundensätze eingeben</t>
        </is>
      </c>
    </row>
    <row r="3821">
      <c r="A3821" s="4" t="inlineStr">
        <is>
          <t>6885.02 BAB-Hbf-Stuttgart-BB</t>
        </is>
      </c>
      <c r="B3821" s="4" t="inlineStr">
        <is>
          <t>● (a.N.) LP 8 Bahnhofshalle</t>
        </is>
      </c>
      <c r="C3821" s="4" t="inlineStr">
        <is>
          <t>Nachweis</t>
        </is>
      </c>
      <c r="D3821" s="10" t="inlineStr">
        <is>
          <t>⚠ Manual erforderlich</t>
        </is>
      </c>
      <c r="E3821" s="11" t="inlineStr"/>
      <c r="F3821" s="11" t="n">
        <v>0</v>
      </c>
      <c r="G3821" s="11">
        <f>E3821-F3821</f>
        <v/>
      </c>
      <c r="H3821" s="11" t="n">
        <v/>
      </c>
      <c r="I3821" s="11" t="n">
        <v/>
      </c>
      <c r="J3821" s="11" t="n">
        <v/>
      </c>
      <c r="K3821" s="4" t="inlineStr">
        <is>
          <t>Stundensätze eingeben</t>
        </is>
      </c>
    </row>
    <row r="3822">
      <c r="A3822" s="4" t="inlineStr">
        <is>
          <t>6888.01 Nevinghoff-25-Münster</t>
        </is>
      </c>
      <c r="B3822" s="4" t="inlineStr">
        <is>
          <t>● (aN) Beratungsleistungen übergeordnet</t>
        </is>
      </c>
      <c r="C3822" s="4" t="inlineStr">
        <is>
          <t>Nachweis</t>
        </is>
      </c>
      <c r="D3822" s="10" t="inlineStr">
        <is>
          <t>⚠ Manual erforderlich</t>
        </is>
      </c>
      <c r="E3822" s="11" t="inlineStr"/>
      <c r="F3822" s="11" t="n">
        <v>0</v>
      </c>
      <c r="G3822" s="11">
        <f>E3822-F3822</f>
        <v/>
      </c>
      <c r="H3822" s="11" t="n">
        <v/>
      </c>
      <c r="I3822" s="11" t="n">
        <v/>
      </c>
      <c r="J3822" s="11" t="n">
        <v/>
      </c>
      <c r="K3822" s="4" t="inlineStr">
        <is>
          <t>Stundensätze eingeben</t>
        </is>
      </c>
    </row>
    <row r="3823">
      <c r="A3823" s="4" t="inlineStr">
        <is>
          <t>6888.01 Nevinghoff-25-Münster</t>
        </is>
      </c>
      <c r="B3823" s="4" t="inlineStr">
        <is>
          <t>● (aN) MS10-myFI NewWork-FFM / Münster</t>
        </is>
      </c>
      <c r="C3823" s="4" t="inlineStr">
        <is>
          <t>Nachweis</t>
        </is>
      </c>
      <c r="D3823" s="10" t="inlineStr">
        <is>
          <t>⚠ Manual erforderlich</t>
        </is>
      </c>
      <c r="E3823" s="11" t="inlineStr"/>
      <c r="F3823" s="11" t="n">
        <v>0</v>
      </c>
      <c r="G3823" s="11">
        <f>E3823-F3823</f>
        <v/>
      </c>
      <c r="H3823" s="11" t="n">
        <v/>
      </c>
      <c r="I3823" s="11" t="n">
        <v/>
      </c>
      <c r="J3823" s="11" t="n">
        <v/>
      </c>
      <c r="K3823" s="4" t="inlineStr">
        <is>
          <t>Stundensätze eingeben</t>
        </is>
      </c>
    </row>
    <row r="3824">
      <c r="A3824" s="4" t="inlineStr">
        <is>
          <t>6888.01 Nevinghoff-25-Münster</t>
        </is>
      </c>
      <c r="B3824" s="4" t="inlineStr">
        <is>
          <t>● (aN) Fortschreibung Brandschutzkonzept</t>
        </is>
      </c>
      <c r="C3824" s="4" t="inlineStr">
        <is>
          <t>Nachweis</t>
        </is>
      </c>
      <c r="D3824" s="10" t="inlineStr">
        <is>
          <t>⚠ Manual erforderlich</t>
        </is>
      </c>
      <c r="E3824" s="11" t="inlineStr"/>
      <c r="F3824" s="11" t="n">
        <v>0</v>
      </c>
      <c r="G3824" s="11">
        <f>E3824-F3824</f>
        <v/>
      </c>
      <c r="H3824" s="11" t="n">
        <v/>
      </c>
      <c r="I3824" s="11" t="n">
        <v/>
      </c>
      <c r="J3824" s="11" t="n">
        <v/>
      </c>
      <c r="K3824" s="4" t="inlineStr">
        <is>
          <t>Stundensätze eingeben</t>
        </is>
      </c>
    </row>
    <row r="3825">
      <c r="A3825" s="4" t="inlineStr">
        <is>
          <t>6888.01 Nevinghoff-25-Münster</t>
        </is>
      </c>
      <c r="B3825" s="4" t="inlineStr">
        <is>
          <t>● (aN) Erstellung von Brandschutzkonzeptpläne</t>
        </is>
      </c>
      <c r="C3825" s="4" t="inlineStr">
        <is>
          <t>Nachweis</t>
        </is>
      </c>
      <c r="D3825" s="10" t="inlineStr">
        <is>
          <t>⚠ Manual erforderlich</t>
        </is>
      </c>
      <c r="E3825" s="11" t="inlineStr"/>
      <c r="F3825" s="11" t="n">
        <v>0</v>
      </c>
      <c r="G3825" s="11">
        <f>E3825-F3825</f>
        <v/>
      </c>
      <c r="H3825" s="11" t="n">
        <v/>
      </c>
      <c r="I3825" s="11" t="n">
        <v/>
      </c>
      <c r="J3825" s="11" t="n">
        <v/>
      </c>
      <c r="K3825" s="4" t="inlineStr">
        <is>
          <t>Stundensätze eingeben</t>
        </is>
      </c>
    </row>
    <row r="3826">
      <c r="A3826" s="4" t="inlineStr">
        <is>
          <t>6890 Sigra-CAD-Vordere-Seestraße-19-Waldenbuch</t>
        </is>
      </c>
      <c r="B3826" s="4" t="inlineStr">
        <is>
          <t>● (p) Plangrundlage schaffen</t>
        </is>
      </c>
      <c r="C3826" s="4" t="inlineStr">
        <is>
          <t>Pauschale</t>
        </is>
      </c>
      <c r="D3826" s="10" t="inlineStr">
        <is>
          <t>⚠ Manual erforderlich</t>
        </is>
      </c>
      <c r="E3826" s="11" t="inlineStr"/>
      <c r="F3826" s="11" t="n">
        <v>0</v>
      </c>
      <c r="G3826" s="11">
        <f>E3826-F3826</f>
        <v/>
      </c>
      <c r="H3826" s="11" t="n">
        <v>0</v>
      </c>
      <c r="I3826" s="11" t="n">
        <v>0</v>
      </c>
      <c r="J3826" s="11" t="n">
        <v>0</v>
      </c>
      <c r="K3826" s="4" t="inlineStr">
        <is>
          <t>Stundensätze eingeben</t>
        </is>
      </c>
    </row>
    <row r="3827">
      <c r="A3827" s="4" t="inlineStr">
        <is>
          <t>6890 Sigra-CAD-Vordere-Seestraße-19-Waldenbuch</t>
        </is>
      </c>
      <c r="B3827" s="4" t="inlineStr">
        <is>
          <t>● (p) FRP</t>
        </is>
      </c>
      <c r="C3827" s="4" t="inlineStr">
        <is>
          <t>Pauschale</t>
        </is>
      </c>
      <c r="D3827" s="10" t="inlineStr">
        <is>
          <t>⚠ Manual erforderlich</t>
        </is>
      </c>
      <c r="E3827" s="11" t="inlineStr"/>
      <c r="F3827" s="11" t="n">
        <v>0</v>
      </c>
      <c r="G3827" s="11">
        <f>E3827-F3827</f>
        <v/>
      </c>
      <c r="H3827" s="11" t="n">
        <v>0</v>
      </c>
      <c r="I3827" s="11" t="n">
        <v>0</v>
      </c>
      <c r="J3827" s="11" t="n">
        <v>0</v>
      </c>
      <c r="K3827" s="4" t="inlineStr">
        <is>
          <t>Stundensätze eingeben</t>
        </is>
      </c>
    </row>
    <row r="3828">
      <c r="A3828" s="4" t="inlineStr">
        <is>
          <t>6896 BTB-Richard-Wagner-Straße-4-Stuttgart</t>
        </is>
      </c>
      <c r="B3828" s="4" t="inlineStr">
        <is>
          <t>● (a.N.) Pos.1-Brandschutztechn. Beratung</t>
        </is>
      </c>
      <c r="C3828" s="4" t="inlineStr">
        <is>
          <t>Nachweis</t>
        </is>
      </c>
      <c r="D3828" s="10" t="inlineStr">
        <is>
          <t>⚠ Manual erforderlich</t>
        </is>
      </c>
      <c r="E3828" s="11" t="inlineStr"/>
      <c r="F3828" s="11" t="n">
        <v>0</v>
      </c>
      <c r="G3828" s="11">
        <f>E3828-F3828</f>
        <v/>
      </c>
      <c r="H3828" s="11" t="n">
        <v/>
      </c>
      <c r="I3828" s="11" t="n">
        <v/>
      </c>
      <c r="J3828" s="11" t="n">
        <v/>
      </c>
      <c r="K3828" s="4" t="inlineStr">
        <is>
          <t>Stundensätze eingeben</t>
        </is>
      </c>
    </row>
    <row r="3829">
      <c r="A3829" s="4" t="inlineStr">
        <is>
          <t>6897.01 BSK-Tapachstraße-44-Stuttgart-Kita</t>
        </is>
      </c>
      <c r="B3829" s="4" t="inlineStr">
        <is>
          <t>● (p) Pos.1 Erstellung BSK (1Termin)</t>
        </is>
      </c>
      <c r="C3829" s="4" t="inlineStr">
        <is>
          <t>Pauschale</t>
        </is>
      </c>
      <c r="D3829" s="10" t="inlineStr">
        <is>
          <t>⚠ Manual erforderlich</t>
        </is>
      </c>
      <c r="E3829" s="11" t="inlineStr"/>
      <c r="F3829" s="11" t="n">
        <v>0</v>
      </c>
      <c r="G3829" s="11">
        <f>E3829-F3829</f>
        <v/>
      </c>
      <c r="H3829" s="11" t="n">
        <v>0</v>
      </c>
      <c r="I3829" s="11" t="n">
        <v>0</v>
      </c>
      <c r="J3829" s="11" t="n">
        <v>0</v>
      </c>
      <c r="K3829" s="4" t="inlineStr">
        <is>
          <t>Stundensätze eingeben</t>
        </is>
      </c>
    </row>
    <row r="3830">
      <c r="A3830" s="4" t="inlineStr">
        <is>
          <t>6897.01 BSK-Tapachstraße-44-Stuttgart-Kita</t>
        </is>
      </c>
      <c r="B3830" s="4" t="inlineStr">
        <is>
          <t>● (a.N.) Pos.2 BAB + Qualitätsüberwachung</t>
        </is>
      </c>
      <c r="C3830" s="4" t="inlineStr">
        <is>
          <t>Nachweis</t>
        </is>
      </c>
      <c r="D3830" s="10" t="inlineStr">
        <is>
          <t>⚠ Manual erforderlich</t>
        </is>
      </c>
      <c r="E3830" s="11" t="inlineStr"/>
      <c r="F3830" s="11" t="n">
        <v>0</v>
      </c>
      <c r="G3830" s="11">
        <f>E3830-F3830</f>
        <v/>
      </c>
      <c r="H3830" s="11" t="n">
        <v/>
      </c>
      <c r="I3830" s="11" t="n">
        <v/>
      </c>
      <c r="J3830" s="11" t="n">
        <v/>
      </c>
      <c r="K3830" s="4" t="inlineStr">
        <is>
          <t>Stundensätze eingeben</t>
        </is>
      </c>
    </row>
    <row r="3831">
      <c r="A3831" s="4" t="inlineStr">
        <is>
          <t>6898 BTB-Richard-Wagner-Straße-2-Stuttgart</t>
        </is>
      </c>
      <c r="B3831" s="4" t="inlineStr">
        <is>
          <t>● (a.N.) Pos.1-Brandschutztechn. Beratung</t>
        </is>
      </c>
      <c r="C3831" s="4" t="inlineStr">
        <is>
          <t>Nachweis</t>
        </is>
      </c>
      <c r="D3831" s="10" t="inlineStr">
        <is>
          <t>⚠ Manual erforderlich</t>
        </is>
      </c>
      <c r="E3831" s="11" t="inlineStr"/>
      <c r="F3831" s="11" t="n">
        <v>0</v>
      </c>
      <c r="G3831" s="11">
        <f>E3831-F3831</f>
        <v/>
      </c>
      <c r="H3831" s="11" t="n">
        <v/>
      </c>
      <c r="I3831" s="11" t="n">
        <v/>
      </c>
      <c r="J3831" s="11" t="n">
        <v/>
      </c>
      <c r="K3831" s="4" t="inlineStr">
        <is>
          <t>Stundensätze eingeben</t>
        </is>
      </c>
    </row>
    <row r="3832">
      <c r="A3832" s="4" t="inlineStr">
        <is>
          <t>6900 BST-Kloster-Schäftlarn2-Turnhalle</t>
        </is>
      </c>
      <c r="B3832" s="4" t="inlineStr">
        <is>
          <t>● • Pos. 1 Erstellung einer brandschutztechnischen Stellungnahme</t>
        </is>
      </c>
      <c r="C3832" s="9" t="inlineStr">
        <is>
          <t>Unbekannt</t>
        </is>
      </c>
      <c r="D3832" s="10" t="inlineStr">
        <is>
          <t>⚠ Manual erforderlich</t>
        </is>
      </c>
      <c r="E3832" s="11" t="inlineStr"/>
      <c r="F3832" s="11" t="n">
        <v>0</v>
      </c>
      <c r="G3832" s="11">
        <f>E3832-F3832</f>
        <v/>
      </c>
      <c r="H3832" s="11" t="n">
        <v/>
      </c>
      <c r="I3832" s="11" t="n">
        <v/>
      </c>
      <c r="J3832" s="11" t="n">
        <v/>
      </c>
      <c r="K3832" s="4" t="inlineStr">
        <is>
          <t>Abrechnungsart wählen; Stundensätze eingeben</t>
        </is>
      </c>
    </row>
    <row r="3833">
      <c r="A3833" s="4" t="inlineStr">
        <is>
          <t>6900 BST-Kloster-Schäftlarn2-Turnhalle</t>
        </is>
      </c>
      <c r="B3833" s="4" t="inlineStr">
        <is>
          <t>● • Pos. 2 Erstellung Brandschutzpläne</t>
        </is>
      </c>
      <c r="C3833" s="9" t="inlineStr">
        <is>
          <t>Unbekannt</t>
        </is>
      </c>
      <c r="D3833" s="10" t="inlineStr">
        <is>
          <t>⚠ Manual erforderlich</t>
        </is>
      </c>
      <c r="E3833" s="11" t="inlineStr"/>
      <c r="F3833" s="11" t="n">
        <v>0</v>
      </c>
      <c r="G3833" s="11">
        <f>E3833-F3833</f>
        <v/>
      </c>
      <c r="H3833" s="11" t="n">
        <v/>
      </c>
      <c r="I3833" s="11" t="n">
        <v/>
      </c>
      <c r="J3833" s="11" t="n">
        <v/>
      </c>
      <c r="K3833" s="4" t="inlineStr">
        <is>
          <t>Abrechnungsart wählen; Stundensätze eingeben</t>
        </is>
      </c>
    </row>
    <row r="3834">
      <c r="A3834" s="4" t="inlineStr">
        <is>
          <t>6901 CrossFit069-BTB-HanauerLdstr208-216-FFM</t>
        </is>
      </c>
      <c r="B3834" s="4" t="inlineStr">
        <is>
          <t>● (p) Pos. 1 Erstellung eines neuen Brandschutzkonzeptes</t>
        </is>
      </c>
      <c r="C3834" s="4" t="inlineStr">
        <is>
          <t>Pauschale</t>
        </is>
      </c>
      <c r="D3834" s="10" t="inlineStr">
        <is>
          <t>⚠ Manual erforderlich</t>
        </is>
      </c>
      <c r="E3834" s="11" t="inlineStr"/>
      <c r="F3834" s="11" t="n">
        <v>0</v>
      </c>
      <c r="G3834" s="11">
        <f>E3834-F3834</f>
        <v/>
      </c>
      <c r="H3834" s="11" t="n">
        <v>0</v>
      </c>
      <c r="I3834" s="11" t="n">
        <v>0</v>
      </c>
      <c r="J3834" s="11" t="n">
        <v>0</v>
      </c>
      <c r="K3834" s="4" t="inlineStr">
        <is>
          <t>Stundensätze eingeben</t>
        </is>
      </c>
    </row>
    <row r="3835">
      <c r="A3835" s="4" t="inlineStr">
        <is>
          <t>6901 CrossFit069-BTB-HanauerLdstr208-216-FFM</t>
        </is>
      </c>
      <c r="B3835" s="4" t="inlineStr">
        <is>
          <t>● (aN) Pos. 1 Brandschutztechnische Beratung</t>
        </is>
      </c>
      <c r="C3835" s="4" t="inlineStr">
        <is>
          <t>Nachweis</t>
        </is>
      </c>
      <c r="D3835" s="10" t="inlineStr">
        <is>
          <t>⚠ Manual erforderlich</t>
        </is>
      </c>
      <c r="E3835" s="11" t="inlineStr"/>
      <c r="F3835" s="11" t="n">
        <v>0</v>
      </c>
      <c r="G3835" s="11">
        <f>E3835-F3835</f>
        <v/>
      </c>
      <c r="H3835" s="11" t="n">
        <v/>
      </c>
      <c r="I3835" s="11" t="n">
        <v/>
      </c>
      <c r="J3835" s="11" t="n">
        <v/>
      </c>
      <c r="K3835" s="4" t="inlineStr">
        <is>
          <t>Stundensätze eingeben</t>
        </is>
      </c>
    </row>
    <row r="3836">
      <c r="A3836" s="4" t="inlineStr">
        <is>
          <t>6905 Wolf-BSN-Jahnstr4-Groß-Gerau</t>
        </is>
      </c>
      <c r="B3836" s="4" t="inlineStr">
        <is>
          <t>● (p) Pos. 1 Erstellung eines Brandschutznachweises</t>
        </is>
      </c>
      <c r="C3836" s="4" t="inlineStr">
        <is>
          <t>Pauschale</t>
        </is>
      </c>
      <c r="D3836" s="10" t="inlineStr">
        <is>
          <t>⚠ Manual erforderlich</t>
        </is>
      </c>
      <c r="E3836" s="11" t="inlineStr"/>
      <c r="F3836" s="11" t="n">
        <v>0</v>
      </c>
      <c r="G3836" s="11">
        <f>E3836-F3836</f>
        <v/>
      </c>
      <c r="H3836" s="11" t="n">
        <v>0</v>
      </c>
      <c r="I3836" s="11" t="n">
        <v>0</v>
      </c>
      <c r="J3836" s="11" t="n">
        <v>0</v>
      </c>
      <c r="K3836" s="4" t="inlineStr">
        <is>
          <t>Stundensätze eingeben</t>
        </is>
      </c>
    </row>
    <row r="3837">
      <c r="A3837" s="4" t="inlineStr">
        <is>
          <t>6905 Wolf-BSN-Jahnstr4-Groß-Gerau</t>
        </is>
      </c>
      <c r="B3837" s="4" t="inlineStr">
        <is>
          <t>● (aN) Pos. 2 Brandschutztechnische Baubegleitung und Abnahme</t>
        </is>
      </c>
      <c r="C3837" s="4" t="inlineStr">
        <is>
          <t>Nachweis</t>
        </is>
      </c>
      <c r="D3837" s="10" t="inlineStr">
        <is>
          <t>⚠ Manual erforderlich</t>
        </is>
      </c>
      <c r="E3837" s="11" t="inlineStr"/>
      <c r="F3837" s="11" t="n">
        <v>0</v>
      </c>
      <c r="G3837" s="11">
        <f>E3837-F3837</f>
        <v/>
      </c>
      <c r="H3837" s="11" t="n">
        <v/>
      </c>
      <c r="I3837" s="11" t="n">
        <v/>
      </c>
      <c r="J3837" s="11" t="n">
        <v/>
      </c>
      <c r="K3837" s="4" t="inlineStr">
        <is>
          <t>Stundensätze eingeben</t>
        </is>
      </c>
    </row>
    <row r="3838">
      <c r="A3838" s="4" t="inlineStr">
        <is>
          <t>6911.01 StBA-Krumbach-BTB-Liegenschaft-RaunauerStr55-57-Krumbach</t>
        </is>
      </c>
      <c r="B3838" s="4" t="inlineStr">
        <is>
          <t>● (aN) Pos. 1 Brandschutztechnische Beratung</t>
        </is>
      </c>
      <c r="C3838" s="4" t="inlineStr">
        <is>
          <t>Nachweis</t>
        </is>
      </c>
      <c r="D3838" s="10" t="inlineStr">
        <is>
          <t>⚠ Manual erforderlich</t>
        </is>
      </c>
      <c r="E3838" s="11" t="inlineStr"/>
      <c r="F3838" s="11" t="n">
        <v>0</v>
      </c>
      <c r="G3838" s="11">
        <f>E3838-F3838</f>
        <v/>
      </c>
      <c r="H3838" s="11" t="n">
        <v/>
      </c>
      <c r="I3838" s="11" t="n">
        <v/>
      </c>
      <c r="J3838" s="11" t="n">
        <v/>
      </c>
      <c r="K3838" s="4" t="inlineStr">
        <is>
          <t>Stundensätze eingeben</t>
        </is>
      </c>
    </row>
    <row r="3839">
      <c r="A3839" s="4" t="inlineStr">
        <is>
          <t>6918 BSK-Oeserstraße-180-Ffm</t>
        </is>
      </c>
      <c r="B3839" s="4" t="inlineStr">
        <is>
          <t>● (p) Pos.1 Bestandserfassung</t>
        </is>
      </c>
      <c r="C3839" s="4" t="inlineStr">
        <is>
          <t>Pauschale</t>
        </is>
      </c>
      <c r="D3839" s="10" t="inlineStr">
        <is>
          <t>⚠ Manual erforderlich</t>
        </is>
      </c>
      <c r="E3839" s="11" t="inlineStr"/>
      <c r="F3839" s="11" t="n">
        <v>0</v>
      </c>
      <c r="G3839" s="11">
        <f>E3839-F3839</f>
        <v/>
      </c>
      <c r="H3839" s="11" t="n">
        <v>0</v>
      </c>
      <c r="I3839" s="11" t="n">
        <v>0</v>
      </c>
      <c r="J3839" s="11" t="n">
        <v>0</v>
      </c>
      <c r="K3839" s="4" t="inlineStr">
        <is>
          <t>Stundensätze eingeben</t>
        </is>
      </c>
    </row>
    <row r="3840">
      <c r="A3840" s="4" t="inlineStr">
        <is>
          <t>6918 BSK-Oeserstraße-180-Ffm</t>
        </is>
      </c>
      <c r="B3840" s="4" t="inlineStr">
        <is>
          <t>●  (p) Pos.2 Brandschutzkonzept (6-fach)</t>
        </is>
      </c>
      <c r="C3840" s="4" t="inlineStr">
        <is>
          <t>Pauschale</t>
        </is>
      </c>
      <c r="D3840" s="10" t="inlineStr">
        <is>
          <t>⚠ Manual erforderlich</t>
        </is>
      </c>
      <c r="E3840" s="11" t="inlineStr"/>
      <c r="F3840" s="11" t="n">
        <v>0</v>
      </c>
      <c r="G3840" s="11">
        <f>E3840-F3840</f>
        <v/>
      </c>
      <c r="H3840" s="11" t="n">
        <v>0</v>
      </c>
      <c r="I3840" s="11" t="n">
        <v>0</v>
      </c>
      <c r="J3840" s="11" t="n">
        <v>0</v>
      </c>
      <c r="K3840" s="4" t="inlineStr">
        <is>
          <t>Stundensätze eingeben</t>
        </is>
      </c>
    </row>
    <row r="3841">
      <c r="A3841" s="4" t="inlineStr">
        <is>
          <t>6918 BSK-Oeserstraße-180-Ffm</t>
        </is>
      </c>
      <c r="B3841" s="4" t="inlineStr">
        <is>
          <t>● (a.N.) Pos.3 Beratungsleistungen/Abstimmung</t>
        </is>
      </c>
      <c r="C3841" s="4" t="inlineStr">
        <is>
          <t>Nachweis</t>
        </is>
      </c>
      <c r="D3841" s="10" t="inlineStr">
        <is>
          <t>⚠ Manual erforderlich</t>
        </is>
      </c>
      <c r="E3841" s="11" t="inlineStr"/>
      <c r="F3841" s="11" t="n">
        <v>0</v>
      </c>
      <c r="G3841" s="11">
        <f>E3841-F3841</f>
        <v/>
      </c>
      <c r="H3841" s="11" t="n">
        <v/>
      </c>
      <c r="I3841" s="11" t="n">
        <v/>
      </c>
      <c r="J3841" s="11" t="n">
        <v/>
      </c>
      <c r="K3841" s="4" t="inlineStr">
        <is>
          <t>Stundensätze eingeben</t>
        </is>
      </c>
    </row>
    <row r="3842">
      <c r="A3842" s="4" t="inlineStr">
        <is>
          <t>6918.01 NAT-BSK-Oeserstraße-180-Ffm</t>
        </is>
      </c>
      <c r="B3842" s="4" t="inlineStr">
        <is>
          <t>● (aN) Pos.1 BTB für das als Hotel u. Versammlungsstätte genutzte Hochhaus</t>
        </is>
      </c>
      <c r="C3842" s="4" t="inlineStr">
        <is>
          <t>Nachweis</t>
        </is>
      </c>
      <c r="D3842" s="10" t="inlineStr">
        <is>
          <t>⚠ Manual erforderlich</t>
        </is>
      </c>
      <c r="E3842" s="11" t="inlineStr"/>
      <c r="F3842" s="11" t="n">
        <v>0</v>
      </c>
      <c r="G3842" s="11">
        <f>E3842-F3842</f>
        <v/>
      </c>
      <c r="H3842" s="11" t="n">
        <v/>
      </c>
      <c r="I3842" s="11" t="n">
        <v/>
      </c>
      <c r="J3842" s="11" t="n">
        <v/>
      </c>
      <c r="K3842" s="4" t="inlineStr">
        <is>
          <t>Stundensätze eingeben</t>
        </is>
      </c>
    </row>
    <row r="3843">
      <c r="A3843" s="4" t="inlineStr">
        <is>
          <t>6925 BSK-FMT-Koblenz</t>
        </is>
      </c>
      <c r="B3843" s="4" t="inlineStr">
        <is>
          <t>● (a.N.) Pos.1 -Anlayse d. Genehmigungssitutation</t>
        </is>
      </c>
      <c r="C3843" s="4" t="inlineStr">
        <is>
          <t>Nachweis</t>
        </is>
      </c>
      <c r="D3843" s="10" t="inlineStr">
        <is>
          <t>⚠ Manual erforderlich</t>
        </is>
      </c>
      <c r="E3843" s="11" t="inlineStr"/>
      <c r="F3843" s="11" t="n">
        <v>0</v>
      </c>
      <c r="G3843" s="11">
        <f>E3843-F3843</f>
        <v/>
      </c>
      <c r="H3843" s="11" t="n">
        <v/>
      </c>
      <c r="I3843" s="11" t="n">
        <v/>
      </c>
      <c r="J3843" s="11" t="n">
        <v/>
      </c>
      <c r="K3843" s="4" t="inlineStr">
        <is>
          <t>Stundensätze eingeben</t>
        </is>
      </c>
    </row>
    <row r="3844">
      <c r="A3844" s="4" t="inlineStr">
        <is>
          <t>6925 BSK-FMT-Koblenz</t>
        </is>
      </c>
      <c r="B3844" s="4" t="inlineStr">
        <is>
          <t>● (a.N.) Pos.2 Erst. Maßnahmenkatalog Brandschutz</t>
        </is>
      </c>
      <c r="C3844" s="4" t="inlineStr">
        <is>
          <t>Nachweis</t>
        </is>
      </c>
      <c r="D3844" s="10" t="inlineStr">
        <is>
          <t>⚠ Manual erforderlich</t>
        </is>
      </c>
      <c r="E3844" s="11" t="inlineStr"/>
      <c r="F3844" s="11" t="n">
        <v>0</v>
      </c>
      <c r="G3844" s="11">
        <f>E3844-F3844</f>
        <v/>
      </c>
      <c r="H3844" s="11" t="n">
        <v/>
      </c>
      <c r="I3844" s="11" t="n">
        <v/>
      </c>
      <c r="J3844" s="11" t="n">
        <v/>
      </c>
      <c r="K3844" s="4" t="inlineStr">
        <is>
          <t>Stundensätze eingeben</t>
        </is>
      </c>
    </row>
    <row r="3845">
      <c r="A3845" s="4" t="inlineStr">
        <is>
          <t>6925 BSK-FMT-Koblenz</t>
        </is>
      </c>
      <c r="B3845" s="4" t="inlineStr">
        <is>
          <t>● (a.N.) Pos.3 Löschanlagenplanung - Allgem. Beratungslstg. (Hinweis: Pos. f. FLA)</t>
        </is>
      </c>
      <c r="C3845" s="4" t="inlineStr">
        <is>
          <t>Nachweis</t>
        </is>
      </c>
      <c r="D3845" s="10" t="inlineStr">
        <is>
          <t>⚠ Manual erforderlich</t>
        </is>
      </c>
      <c r="E3845" s="11" t="inlineStr"/>
      <c r="F3845" s="11" t="n">
        <v>0</v>
      </c>
      <c r="G3845" s="11">
        <f>E3845-F3845</f>
        <v/>
      </c>
      <c r="H3845" s="11" t="n">
        <v/>
      </c>
      <c r="I3845" s="11" t="n">
        <v/>
      </c>
      <c r="J3845" s="11" t="n">
        <v/>
      </c>
      <c r="K3845" s="4" t="inlineStr">
        <is>
          <t>Stundensätze eingeben</t>
        </is>
      </c>
    </row>
    <row r="3846">
      <c r="A3846" s="4" t="inlineStr">
        <is>
          <t>6925 BSK-FMT-Koblenz</t>
        </is>
      </c>
      <c r="B3846" s="4" t="inlineStr">
        <is>
          <t>● (a.N.) Pos.4 Abstimung m. Genehmigungsbehörden</t>
        </is>
      </c>
      <c r="C3846" s="4" t="inlineStr">
        <is>
          <t>Nachweis</t>
        </is>
      </c>
      <c r="D3846" s="10" t="inlineStr">
        <is>
          <t>⚠ Manual erforderlich</t>
        </is>
      </c>
      <c r="E3846" s="11" t="inlineStr"/>
      <c r="F3846" s="11" t="n">
        <v>0</v>
      </c>
      <c r="G3846" s="11">
        <f>E3846-F3846</f>
        <v/>
      </c>
      <c r="H3846" s="11" t="n">
        <v/>
      </c>
      <c r="I3846" s="11" t="n">
        <v/>
      </c>
      <c r="J3846" s="11" t="n">
        <v/>
      </c>
      <c r="K3846" s="4" t="inlineStr">
        <is>
          <t>Stundensätze eingeben</t>
        </is>
      </c>
    </row>
    <row r="3847">
      <c r="A3847" s="4" t="inlineStr">
        <is>
          <t>6925 BSK-FMT-Koblenz</t>
        </is>
      </c>
      <c r="B3847" s="4" t="inlineStr">
        <is>
          <t>● (a.N.) Pos.5 Abstimung m. Genehmigungsbehörden (Erst. BSK)</t>
        </is>
      </c>
      <c r="C3847" s="4" t="inlineStr">
        <is>
          <t>Nachweis</t>
        </is>
      </c>
      <c r="D3847" s="10" t="inlineStr">
        <is>
          <t>⚠ Manual erforderlich</t>
        </is>
      </c>
      <c r="E3847" s="11" t="inlineStr"/>
      <c r="F3847" s="11" t="n">
        <v>0</v>
      </c>
      <c r="G3847" s="11">
        <f>E3847-F3847</f>
        <v/>
      </c>
      <c r="H3847" s="11" t="n">
        <v/>
      </c>
      <c r="I3847" s="11" t="n">
        <v/>
      </c>
      <c r="J3847" s="11" t="n">
        <v/>
      </c>
      <c r="K3847" s="4" t="inlineStr">
        <is>
          <t>Stundensätze eingeben</t>
        </is>
      </c>
    </row>
    <row r="3848">
      <c r="A3848" s="4" t="inlineStr">
        <is>
          <t>6929 EKS-AHO-LOS1-Vorb-2.BA-Elbe-Kliniken-Stade-BremervörderStr111-Stade</t>
        </is>
      </c>
      <c r="B3848" s="4" t="inlineStr">
        <is>
          <t>● • (p) LP 1 (GL)</t>
        </is>
      </c>
      <c r="C3848" s="4" t="inlineStr">
        <is>
          <t>Pauschale</t>
        </is>
      </c>
      <c r="D3848" s="10" t="inlineStr">
        <is>
          <t>⚠ Manual erforderlich</t>
        </is>
      </c>
      <c r="E3848" s="11" t="inlineStr"/>
      <c r="F3848" s="11" t="n">
        <v>0</v>
      </c>
      <c r="G3848" s="11">
        <f>E3848-F3848</f>
        <v/>
      </c>
      <c r="H3848" s="11" t="n">
        <v>0</v>
      </c>
      <c r="I3848" s="11" t="n">
        <v>0</v>
      </c>
      <c r="J3848" s="11" t="n">
        <v>0</v>
      </c>
      <c r="K3848" s="4" t="inlineStr">
        <is>
          <t>Stundensätze eingeben</t>
        </is>
      </c>
    </row>
    <row r="3849">
      <c r="A3849" s="4" t="inlineStr">
        <is>
          <t>6929 EKS-AHO-LOS1-Vorb-2.BA-Elbe-Kliniken-Stade-BremervörderStr111-Stade</t>
        </is>
      </c>
      <c r="B3849" s="4" t="inlineStr">
        <is>
          <t>● • (p) LP 1 (BL)</t>
        </is>
      </c>
      <c r="C3849" s="4" t="inlineStr">
        <is>
          <t>Pauschale</t>
        </is>
      </c>
      <c r="D3849" s="10" t="inlineStr">
        <is>
          <t>⚠ Manual erforderlich</t>
        </is>
      </c>
      <c r="E3849" s="11" t="inlineStr"/>
      <c r="F3849" s="11" t="n">
        <v>0</v>
      </c>
      <c r="G3849" s="11">
        <f>E3849-F3849</f>
        <v/>
      </c>
      <c r="H3849" s="11" t="n">
        <v>0</v>
      </c>
      <c r="I3849" s="11" t="n">
        <v>0</v>
      </c>
      <c r="J3849" s="11" t="n">
        <v>0</v>
      </c>
      <c r="K3849" s="4" t="inlineStr">
        <is>
          <t>Stundensätze eingeben</t>
        </is>
      </c>
    </row>
    <row r="3850">
      <c r="A3850" s="4" t="inlineStr">
        <is>
          <t>6929 EKS-AHO-LOS1-Vorb-2.BA-Elbe-Kliniken-Stade-BremervörderStr111-Stade</t>
        </is>
      </c>
      <c r="B3850" s="4" t="inlineStr">
        <is>
          <t>● • (p) LP 2 (GL)</t>
        </is>
      </c>
      <c r="C3850" s="4" t="inlineStr">
        <is>
          <t>Pauschale</t>
        </is>
      </c>
      <c r="D3850" s="10" t="inlineStr">
        <is>
          <t>⚠ Manual erforderlich</t>
        </is>
      </c>
      <c r="E3850" s="11" t="inlineStr"/>
      <c r="F3850" s="11" t="n">
        <v>0</v>
      </c>
      <c r="G3850" s="11">
        <f>E3850-F3850</f>
        <v/>
      </c>
      <c r="H3850" s="11" t="n">
        <v>0</v>
      </c>
      <c r="I3850" s="11" t="n">
        <v>0</v>
      </c>
      <c r="J3850" s="11" t="n">
        <v>0</v>
      </c>
      <c r="K3850" s="4" t="inlineStr">
        <is>
          <t>Stundensätze eingeben</t>
        </is>
      </c>
    </row>
    <row r="3851">
      <c r="A3851" s="4" t="inlineStr">
        <is>
          <t>6929 EKS-AHO-LOS1-Vorb-2.BA-Elbe-Kliniken-Stade-BremervörderStr111-Stade</t>
        </is>
      </c>
      <c r="B3851" s="4" t="inlineStr">
        <is>
          <t>● • (p) LP 2 (BL)</t>
        </is>
      </c>
      <c r="C3851" s="4" t="inlineStr">
        <is>
          <t>Pauschale</t>
        </is>
      </c>
      <c r="D3851" s="10" t="inlineStr">
        <is>
          <t>⚠ Manual erforderlich</t>
        </is>
      </c>
      <c r="E3851" s="11" t="inlineStr"/>
      <c r="F3851" s="11" t="n">
        <v>0</v>
      </c>
      <c r="G3851" s="11">
        <f>E3851-F3851</f>
        <v/>
      </c>
      <c r="H3851" s="11" t="n">
        <v/>
      </c>
      <c r="I3851" s="11" t="n">
        <v/>
      </c>
      <c r="J3851" s="11" t="n">
        <v/>
      </c>
      <c r="K3851" s="4" t="inlineStr">
        <is>
          <t>Stundensätze eingeben</t>
        </is>
      </c>
    </row>
    <row r="3852">
      <c r="A3852" s="4" t="inlineStr">
        <is>
          <t>6929 EKS-AHO-LOS1-Vorb-2.BA-Elbe-Kliniken-Stade-BremervörderStr111-Stade</t>
        </is>
      </c>
      <c r="B3852" s="4" t="inlineStr">
        <is>
          <t>● • (p) LP 3 (GL)</t>
        </is>
      </c>
      <c r="C3852" s="4" t="inlineStr">
        <is>
          <t>Pauschale</t>
        </is>
      </c>
      <c r="D3852" s="10" t="inlineStr">
        <is>
          <t>⚠ Manual erforderlich</t>
        </is>
      </c>
      <c r="E3852" s="11" t="inlineStr"/>
      <c r="F3852" s="11" t="n">
        <v>0</v>
      </c>
      <c r="G3852" s="11">
        <f>E3852-F3852</f>
        <v/>
      </c>
      <c r="H3852" s="11" t="n">
        <v>0</v>
      </c>
      <c r="I3852" s="11" t="n">
        <v>0</v>
      </c>
      <c r="J3852" s="11" t="n">
        <v>0</v>
      </c>
      <c r="K3852" s="4" t="inlineStr">
        <is>
          <t>Stundensätze eingeben</t>
        </is>
      </c>
    </row>
    <row r="3853">
      <c r="A3853" s="4" t="inlineStr">
        <is>
          <t>6929 EKS-AHO-LOS1-Vorb-2.BA-Elbe-Kliniken-Stade-BremervörderStr111-Stade</t>
        </is>
      </c>
      <c r="B3853" s="4" t="inlineStr">
        <is>
          <t>● • (p) LP 3 (BL)</t>
        </is>
      </c>
      <c r="C3853" s="4" t="inlineStr">
        <is>
          <t>Pauschale</t>
        </is>
      </c>
      <c r="D3853" s="10" t="inlineStr">
        <is>
          <t>⚠ Manual erforderlich</t>
        </is>
      </c>
      <c r="E3853" s="11" t="inlineStr"/>
      <c r="F3853" s="11" t="n">
        <v>0</v>
      </c>
      <c r="G3853" s="11">
        <f>E3853-F3853</f>
        <v/>
      </c>
      <c r="H3853" s="11" t="n">
        <v/>
      </c>
      <c r="I3853" s="11" t="n">
        <v/>
      </c>
      <c r="J3853" s="11" t="n">
        <v/>
      </c>
      <c r="K3853" s="4" t="inlineStr">
        <is>
          <t>Stundensätze eingeben</t>
        </is>
      </c>
    </row>
    <row r="3854">
      <c r="A3854" s="4" t="inlineStr">
        <is>
          <t>6929 EKS-AHO-LOS1-Vorb-2.BA-Elbe-Kliniken-Stade-BremervörderStr111-Stade</t>
        </is>
      </c>
      <c r="B3854" s="4" t="inlineStr">
        <is>
          <t>● • (p) LP 4 (GL)</t>
        </is>
      </c>
      <c r="C3854" s="4" t="inlineStr">
        <is>
          <t>Pauschale</t>
        </is>
      </c>
      <c r="D3854" s="10" t="inlineStr">
        <is>
          <t>⚠ Manual erforderlich</t>
        </is>
      </c>
      <c r="E3854" s="11" t="inlineStr"/>
      <c r="F3854" s="11" t="n">
        <v>0</v>
      </c>
      <c r="G3854" s="11">
        <f>E3854-F3854</f>
        <v/>
      </c>
      <c r="H3854" s="11" t="n">
        <v>0</v>
      </c>
      <c r="I3854" s="11" t="n">
        <v>0</v>
      </c>
      <c r="J3854" s="11" t="n">
        <v>0</v>
      </c>
      <c r="K3854" s="4" t="inlineStr">
        <is>
          <t>Stundensätze eingeben</t>
        </is>
      </c>
    </row>
    <row r="3855">
      <c r="A3855" s="4" t="inlineStr">
        <is>
          <t>6929 EKS-AHO-LOS1-Vorb-2.BA-Elbe-Kliniken-Stade-BremervörderStr111-Stade</t>
        </is>
      </c>
      <c r="B3855" s="4" t="inlineStr">
        <is>
          <t>● • (p) LP 4 (BL)</t>
        </is>
      </c>
      <c r="C3855" s="4" t="inlineStr">
        <is>
          <t>Pauschale</t>
        </is>
      </c>
      <c r="D3855" s="10" t="inlineStr">
        <is>
          <t>⚠ Manual erforderlich</t>
        </is>
      </c>
      <c r="E3855" s="11" t="inlineStr"/>
      <c r="F3855" s="11" t="n">
        <v>0</v>
      </c>
      <c r="G3855" s="11">
        <f>E3855-F3855</f>
        <v/>
      </c>
      <c r="H3855" s="11" t="n">
        <v/>
      </c>
      <c r="I3855" s="11" t="n">
        <v/>
      </c>
      <c r="J3855" s="11" t="n">
        <v/>
      </c>
      <c r="K3855" s="4" t="inlineStr">
        <is>
          <t>Stundensätze eingeben</t>
        </is>
      </c>
    </row>
    <row r="3856">
      <c r="A3856" s="4" t="inlineStr">
        <is>
          <t>6929 EKS-AHO-LOS1-Vorb-2.BA-Elbe-Kliniken-Stade-BremervörderStr111-Stade</t>
        </is>
      </c>
      <c r="B3856" s="4" t="inlineStr">
        <is>
          <t>● • (p) LP 1 (GL)</t>
        </is>
      </c>
      <c r="C3856" s="4" t="inlineStr">
        <is>
          <t>Pauschale</t>
        </is>
      </c>
      <c r="D3856" s="10" t="inlineStr">
        <is>
          <t>⚠ Manual erforderlich</t>
        </is>
      </c>
      <c r="E3856" s="11" t="inlineStr"/>
      <c r="F3856" s="11" t="n">
        <v>0</v>
      </c>
      <c r="G3856" s="11">
        <f>E3856-F3856</f>
        <v/>
      </c>
      <c r="H3856" s="11" t="n">
        <v>0</v>
      </c>
      <c r="I3856" s="11" t="n">
        <v>0</v>
      </c>
      <c r="J3856" s="11" t="n">
        <v>0</v>
      </c>
      <c r="K3856" s="4" t="inlineStr">
        <is>
          <t>Stundensätze eingeben</t>
        </is>
      </c>
    </row>
    <row r="3857">
      <c r="A3857" s="4" t="inlineStr">
        <is>
          <t>6929 EKS-AHO-LOS1-Vorb-2.BA-Elbe-Kliniken-Stade-BremervörderStr111-Stade</t>
        </is>
      </c>
      <c r="B3857" s="4" t="inlineStr">
        <is>
          <t>● • (p) LP 1 (BL)</t>
        </is>
      </c>
      <c r="C3857" s="4" t="inlineStr">
        <is>
          <t>Pauschale</t>
        </is>
      </c>
      <c r="D3857" s="10" t="inlineStr">
        <is>
          <t>⚠ Manual erforderlich</t>
        </is>
      </c>
      <c r="E3857" s="11" t="inlineStr"/>
      <c r="F3857" s="11" t="n">
        <v>0</v>
      </c>
      <c r="G3857" s="11">
        <f>E3857-F3857</f>
        <v/>
      </c>
      <c r="H3857" s="11" t="n">
        <v>0</v>
      </c>
      <c r="I3857" s="11" t="n">
        <v>0</v>
      </c>
      <c r="J3857" s="11" t="n">
        <v>0</v>
      </c>
      <c r="K3857" s="4" t="inlineStr">
        <is>
          <t>Stundensätze eingeben</t>
        </is>
      </c>
    </row>
    <row r="3858">
      <c r="A3858" s="4" t="inlineStr">
        <is>
          <t>6929 EKS-AHO-LOS1-Vorb-2.BA-Elbe-Kliniken-Stade-BremervörderStr111-Stade</t>
        </is>
      </c>
      <c r="B3858" s="4" t="inlineStr">
        <is>
          <t>● • (p) LP 2 (GL)</t>
        </is>
      </c>
      <c r="C3858" s="4" t="inlineStr">
        <is>
          <t>Pauschale</t>
        </is>
      </c>
      <c r="D3858" s="10" t="inlineStr">
        <is>
          <t>⚠ Manual erforderlich</t>
        </is>
      </c>
      <c r="E3858" s="11" t="inlineStr"/>
      <c r="F3858" s="11" t="n">
        <v>0</v>
      </c>
      <c r="G3858" s="11">
        <f>E3858-F3858</f>
        <v/>
      </c>
      <c r="H3858" s="11" t="n">
        <v>0</v>
      </c>
      <c r="I3858" s="11" t="n">
        <v>0</v>
      </c>
      <c r="J3858" s="11" t="n">
        <v>0</v>
      </c>
      <c r="K3858" s="4" t="inlineStr">
        <is>
          <t>Stundensätze eingeben</t>
        </is>
      </c>
    </row>
    <row r="3859">
      <c r="A3859" s="4" t="inlineStr">
        <is>
          <t>6929 EKS-AHO-LOS1-Vorb-2.BA-Elbe-Kliniken-Stade-BremervörderStr111-Stade</t>
        </is>
      </c>
      <c r="B3859" s="4" t="inlineStr">
        <is>
          <t>● • (p) LP 2 (BL)</t>
        </is>
      </c>
      <c r="C3859" s="4" t="inlineStr">
        <is>
          <t>Pauschale</t>
        </is>
      </c>
      <c r="D3859" s="10" t="inlineStr">
        <is>
          <t>⚠ Manual erforderlich</t>
        </is>
      </c>
      <c r="E3859" s="11" t="inlineStr"/>
      <c r="F3859" s="11" t="n">
        <v>0</v>
      </c>
      <c r="G3859" s="11">
        <f>E3859-F3859</f>
        <v/>
      </c>
      <c r="H3859" s="11" t="n">
        <v/>
      </c>
      <c r="I3859" s="11" t="n">
        <v/>
      </c>
      <c r="J3859" s="11" t="n">
        <v/>
      </c>
      <c r="K3859" s="4" t="inlineStr">
        <is>
          <t>Stundensätze eingeben</t>
        </is>
      </c>
    </row>
    <row r="3860">
      <c r="A3860" s="4" t="inlineStr">
        <is>
          <t>6929 EKS-AHO-LOS1-Vorb-2.BA-Elbe-Kliniken-Stade-BremervörderStr111-Stade</t>
        </is>
      </c>
      <c r="B3860" s="4" t="inlineStr">
        <is>
          <t>● • (p) LP 3 (GL)</t>
        </is>
      </c>
      <c r="C3860" s="4" t="inlineStr">
        <is>
          <t>Pauschale</t>
        </is>
      </c>
      <c r="D3860" s="10" t="inlineStr">
        <is>
          <t>⚠ Manual erforderlich</t>
        </is>
      </c>
      <c r="E3860" s="11" t="inlineStr"/>
      <c r="F3860" s="11" t="n">
        <v>0</v>
      </c>
      <c r="G3860" s="11">
        <f>E3860-F3860</f>
        <v/>
      </c>
      <c r="H3860" s="11" t="n">
        <v>0</v>
      </c>
      <c r="I3860" s="11" t="n">
        <v>0</v>
      </c>
      <c r="J3860" s="11" t="n">
        <v>0</v>
      </c>
      <c r="K3860" s="4" t="inlineStr">
        <is>
          <t>Stundensätze eingeben</t>
        </is>
      </c>
    </row>
    <row r="3861">
      <c r="A3861" s="4" t="inlineStr">
        <is>
          <t>6929 EKS-AHO-LOS1-Vorb-2.BA-Elbe-Kliniken-Stade-BremervörderStr111-Stade</t>
        </is>
      </c>
      <c r="B3861" s="4" t="inlineStr">
        <is>
          <t>● • (p) LP 4 (GL)</t>
        </is>
      </c>
      <c r="C3861" s="4" t="inlineStr">
        <is>
          <t>Pauschale</t>
        </is>
      </c>
      <c r="D3861" s="10" t="inlineStr">
        <is>
          <t>⚠ Manual erforderlich</t>
        </is>
      </c>
      <c r="E3861" s="11" t="inlineStr"/>
      <c r="F3861" s="11" t="n">
        <v>0</v>
      </c>
      <c r="G3861" s="11">
        <f>E3861-F3861</f>
        <v/>
      </c>
      <c r="H3861" s="11" t="n">
        <v>0</v>
      </c>
      <c r="I3861" s="11" t="n">
        <v>0</v>
      </c>
      <c r="J3861" s="11" t="n">
        <v>0</v>
      </c>
      <c r="K3861" s="4" t="inlineStr">
        <is>
          <t>Stundensätze eingeben</t>
        </is>
      </c>
    </row>
    <row r="3862">
      <c r="A3862" s="4" t="inlineStr">
        <is>
          <t>6929.01 EKS-AHO-LOS2-2.BA-Elbe-Kliniken-Stade-BremervörderStr111-Stade</t>
        </is>
      </c>
      <c r="B3862" s="4" t="inlineStr">
        <is>
          <t>● (p) 1. Stufe - LP 1 GL</t>
        </is>
      </c>
      <c r="C3862" s="4" t="inlineStr">
        <is>
          <t>Pauschale</t>
        </is>
      </c>
      <c r="D3862" s="10" t="inlineStr">
        <is>
          <t>⚠ Manual erforderlich</t>
        </is>
      </c>
      <c r="E3862" s="11" t="inlineStr"/>
      <c r="F3862" s="11" t="n">
        <v>0</v>
      </c>
      <c r="G3862" s="11">
        <f>E3862-F3862</f>
        <v/>
      </c>
      <c r="H3862" s="11" t="n">
        <v>0</v>
      </c>
      <c r="I3862" s="11" t="n">
        <v>0</v>
      </c>
      <c r="J3862" s="11" t="n">
        <v>0</v>
      </c>
      <c r="K3862" s="4" t="inlineStr">
        <is>
          <t>Stundensätze eingeben</t>
        </is>
      </c>
    </row>
    <row r="3863">
      <c r="A3863" s="4" t="inlineStr">
        <is>
          <t>6929.01 EKS-AHO-LOS2-2.BA-Elbe-Kliniken-Stade-BremervörderStr111-Stade</t>
        </is>
      </c>
      <c r="B3863" s="4" t="inlineStr">
        <is>
          <t>● (p) 1. Stufe - LP 1 BL</t>
        </is>
      </c>
      <c r="C3863" s="4" t="inlineStr">
        <is>
          <t>Pauschale</t>
        </is>
      </c>
      <c r="D3863" s="10" t="inlineStr">
        <is>
          <t>⚠ Manual erforderlich</t>
        </is>
      </c>
      <c r="E3863" s="11" t="inlineStr"/>
      <c r="F3863" s="11" t="n">
        <v>0</v>
      </c>
      <c r="G3863" s="11">
        <f>E3863-F3863</f>
        <v/>
      </c>
      <c r="H3863" s="11" t="n">
        <v/>
      </c>
      <c r="I3863" s="11" t="n">
        <v/>
      </c>
      <c r="J3863" s="11" t="n">
        <v/>
      </c>
      <c r="K3863" s="4" t="inlineStr">
        <is>
          <t>Stundensätze eingeben</t>
        </is>
      </c>
    </row>
    <row r="3864">
      <c r="A3864" s="4" t="inlineStr">
        <is>
          <t>6929.01 EKS-AHO-LOS2-2.BA-Elbe-Kliniken-Stade-BremervörderStr111-Stade</t>
        </is>
      </c>
      <c r="B3864" s="4" t="inlineStr">
        <is>
          <t>● (p) 1. Stufe - LP 2 GL</t>
        </is>
      </c>
      <c r="C3864" s="4" t="inlineStr">
        <is>
          <t>Pauschale</t>
        </is>
      </c>
      <c r="D3864" s="10" t="inlineStr">
        <is>
          <t>⚠ Manual erforderlich</t>
        </is>
      </c>
      <c r="E3864" s="11" t="inlineStr"/>
      <c r="F3864" s="11" t="n">
        <v>0</v>
      </c>
      <c r="G3864" s="11">
        <f>E3864-F3864</f>
        <v/>
      </c>
      <c r="H3864" s="11" t="n">
        <v>0</v>
      </c>
      <c r="I3864" s="11" t="n">
        <v>0</v>
      </c>
      <c r="J3864" s="11" t="n">
        <v>0</v>
      </c>
      <c r="K3864" s="4" t="inlineStr">
        <is>
          <t>Stundensätze eingeben</t>
        </is>
      </c>
    </row>
    <row r="3865">
      <c r="A3865" s="4" t="inlineStr">
        <is>
          <t>6929.01 EKS-AHO-LOS2-2.BA-Elbe-Kliniken-Stade-BremervörderStr111-Stade</t>
        </is>
      </c>
      <c r="B3865" s="4" t="inlineStr">
        <is>
          <t>● (p) 1. Stufe - LP 2 BL</t>
        </is>
      </c>
      <c r="C3865" s="4" t="inlineStr">
        <is>
          <t>Pauschale</t>
        </is>
      </c>
      <c r="D3865" s="10" t="inlineStr">
        <is>
          <t>⚠ Manual erforderlich</t>
        </is>
      </c>
      <c r="E3865" s="11" t="inlineStr"/>
      <c r="F3865" s="11" t="n">
        <v>0</v>
      </c>
      <c r="G3865" s="11">
        <f>E3865-F3865</f>
        <v/>
      </c>
      <c r="H3865" s="11" t="n">
        <v/>
      </c>
      <c r="I3865" s="11" t="n">
        <v/>
      </c>
      <c r="J3865" s="11" t="n">
        <v/>
      </c>
      <c r="K3865" s="4" t="inlineStr">
        <is>
          <t>Stundensätze eingeben</t>
        </is>
      </c>
    </row>
    <row r="3866">
      <c r="A3866" s="4" t="inlineStr">
        <is>
          <t>6929.01 EKS-AHO-LOS2-2.BA-Elbe-Kliniken-Stade-BremervörderStr111-Stade</t>
        </is>
      </c>
      <c r="B3866" s="4" t="inlineStr">
        <is>
          <t>● (p) 1. Stufe - LP 3 GL</t>
        </is>
      </c>
      <c r="C3866" s="4" t="inlineStr">
        <is>
          <t>Pauschale</t>
        </is>
      </c>
      <c r="D3866" s="10" t="inlineStr">
        <is>
          <t>⚠ Manual erforderlich</t>
        </is>
      </c>
      <c r="E3866" s="11" t="inlineStr"/>
      <c r="F3866" s="11" t="n">
        <v>0</v>
      </c>
      <c r="G3866" s="11">
        <f>E3866-F3866</f>
        <v/>
      </c>
      <c r="H3866" s="11" t="n">
        <v>0</v>
      </c>
      <c r="I3866" s="11" t="n">
        <v>0</v>
      </c>
      <c r="J3866" s="11" t="n">
        <v>0</v>
      </c>
      <c r="K3866" s="4" t="inlineStr">
        <is>
          <t>Stundensätze eingeben</t>
        </is>
      </c>
    </row>
    <row r="3867">
      <c r="A3867" s="4" t="inlineStr">
        <is>
          <t>6929.01 EKS-AHO-LOS2-2.BA-Elbe-Kliniken-Stade-BremervörderStr111-Stade</t>
        </is>
      </c>
      <c r="B3867" s="4" t="inlineStr">
        <is>
          <t>● (p) 1. Stufe - LP 3 BL</t>
        </is>
      </c>
      <c r="C3867" s="4" t="inlineStr">
        <is>
          <t>Pauschale</t>
        </is>
      </c>
      <c r="D3867" s="10" t="inlineStr">
        <is>
          <t>⚠ Manual erforderlich</t>
        </is>
      </c>
      <c r="E3867" s="11" t="inlineStr"/>
      <c r="F3867" s="11" t="n">
        <v>0</v>
      </c>
      <c r="G3867" s="11">
        <f>E3867-F3867</f>
        <v/>
      </c>
      <c r="H3867" s="11" t="n">
        <v/>
      </c>
      <c r="I3867" s="11" t="n">
        <v/>
      </c>
      <c r="J3867" s="11" t="n">
        <v/>
      </c>
      <c r="K3867" s="4" t="inlineStr">
        <is>
          <t>Stundensätze eingeben</t>
        </is>
      </c>
    </row>
    <row r="3868">
      <c r="A3868" s="4" t="inlineStr">
        <is>
          <t>6929.01 EKS-AHO-LOS2-2.BA-Elbe-Kliniken-Stade-BremervörderStr111-Stade</t>
        </is>
      </c>
      <c r="B3868" s="4" t="inlineStr">
        <is>
          <t>● (p) 1. Stufe - LP 4 GL</t>
        </is>
      </c>
      <c r="C3868" s="4" t="inlineStr">
        <is>
          <t>Pauschale</t>
        </is>
      </c>
      <c r="D3868" s="10" t="inlineStr">
        <is>
          <t>⚠ Manual erforderlich</t>
        </is>
      </c>
      <c r="E3868" s="11" t="inlineStr"/>
      <c r="F3868" s="11" t="n">
        <v>0</v>
      </c>
      <c r="G3868" s="11">
        <f>E3868-F3868</f>
        <v/>
      </c>
      <c r="H3868" s="11" t="n">
        <v>0</v>
      </c>
      <c r="I3868" s="11" t="n">
        <v>0</v>
      </c>
      <c r="J3868" s="11" t="n">
        <v>0</v>
      </c>
      <c r="K3868" s="4" t="inlineStr">
        <is>
          <t>Stundensätze eingeben</t>
        </is>
      </c>
    </row>
    <row r="3869">
      <c r="A3869" s="4" t="inlineStr">
        <is>
          <t>6929.01 EKS-AHO-LOS2-2.BA-Elbe-Kliniken-Stade-BremervörderStr111-Stade</t>
        </is>
      </c>
      <c r="B3869" s="4" t="inlineStr">
        <is>
          <t>● (p) 1. Stufe - LP 4 BL</t>
        </is>
      </c>
      <c r="C3869" s="4" t="inlineStr">
        <is>
          <t>Pauschale</t>
        </is>
      </c>
      <c r="D3869" s="10" t="inlineStr">
        <is>
          <t>⚠ Manual erforderlich</t>
        </is>
      </c>
      <c r="E3869" s="11" t="inlineStr"/>
      <c r="F3869" s="11" t="n">
        <v>0</v>
      </c>
      <c r="G3869" s="11">
        <f>E3869-F3869</f>
        <v/>
      </c>
      <c r="H3869" s="11" t="n">
        <v/>
      </c>
      <c r="I3869" s="11" t="n">
        <v/>
      </c>
      <c r="J3869" s="11" t="n">
        <v/>
      </c>
      <c r="K3869" s="4" t="inlineStr">
        <is>
          <t>Stundensätze eingeben</t>
        </is>
      </c>
    </row>
    <row r="3870">
      <c r="A3870" s="4" t="inlineStr">
        <is>
          <t>6929.01 EKS-AHO-LOS2-2.BA-Elbe-Kliniken-Stade-BremervörderStr111-Stade</t>
        </is>
      </c>
      <c r="B3870" s="4" t="inlineStr">
        <is>
          <t>● (p) 2. Stufe - LP 5 GL</t>
        </is>
      </c>
      <c r="C3870" s="4" t="inlineStr">
        <is>
          <t>Pauschale</t>
        </is>
      </c>
      <c r="D3870" s="10" t="inlineStr">
        <is>
          <t>⚠ Manual erforderlich</t>
        </is>
      </c>
      <c r="E3870" s="11" t="inlineStr"/>
      <c r="F3870" s="11" t="n">
        <v>0</v>
      </c>
      <c r="G3870" s="11">
        <f>E3870-F3870</f>
        <v/>
      </c>
      <c r="H3870" s="11" t="n">
        <v/>
      </c>
      <c r="I3870" s="11" t="n">
        <v/>
      </c>
      <c r="J3870" s="11" t="n">
        <v/>
      </c>
      <c r="K3870" s="4" t="inlineStr">
        <is>
          <t>Stundensätze eingeben</t>
        </is>
      </c>
    </row>
    <row r="3871">
      <c r="A3871" s="4" t="inlineStr">
        <is>
          <t>6929.01 EKS-AHO-LOS2-2.BA-Elbe-Kliniken-Stade-BremervörderStr111-Stade</t>
        </is>
      </c>
      <c r="B3871" s="4" t="inlineStr">
        <is>
          <t>● (p) 2. Stufe - LP 5 BL</t>
        </is>
      </c>
      <c r="C3871" s="4" t="inlineStr">
        <is>
          <t>Pauschale</t>
        </is>
      </c>
      <c r="D3871" s="10" t="inlineStr">
        <is>
          <t>⚠ Manual erforderlich</t>
        </is>
      </c>
      <c r="E3871" s="11" t="inlineStr"/>
      <c r="F3871" s="11" t="n">
        <v>0</v>
      </c>
      <c r="G3871" s="11">
        <f>E3871-F3871</f>
        <v/>
      </c>
      <c r="H3871" s="11" t="n">
        <v/>
      </c>
      <c r="I3871" s="11" t="n">
        <v/>
      </c>
      <c r="J3871" s="11" t="n">
        <v/>
      </c>
      <c r="K3871" s="4" t="inlineStr">
        <is>
          <t>Stundensätze eingeben</t>
        </is>
      </c>
    </row>
    <row r="3872">
      <c r="A3872" s="4" t="inlineStr">
        <is>
          <t>6929.01 EKS-AHO-LOS2-2.BA-Elbe-Kliniken-Stade-BremervörderStr111-Stade</t>
        </is>
      </c>
      <c r="B3872" s="4" t="inlineStr">
        <is>
          <t>● (p) 2. Stufe - LP 6 GL</t>
        </is>
      </c>
      <c r="C3872" s="4" t="inlineStr">
        <is>
          <t>Pauschale</t>
        </is>
      </c>
      <c r="D3872" s="10" t="inlineStr">
        <is>
          <t>⚠ Manual erforderlich</t>
        </is>
      </c>
      <c r="E3872" s="11" t="inlineStr"/>
      <c r="F3872" s="11" t="n">
        <v>0</v>
      </c>
      <c r="G3872" s="11">
        <f>E3872-F3872</f>
        <v/>
      </c>
      <c r="H3872" s="11" t="n">
        <v/>
      </c>
      <c r="I3872" s="11" t="n">
        <v/>
      </c>
      <c r="J3872" s="11" t="n">
        <v/>
      </c>
      <c r="K3872" s="4" t="inlineStr">
        <is>
          <t>Stundensätze eingeben</t>
        </is>
      </c>
    </row>
    <row r="3873">
      <c r="A3873" s="4" t="inlineStr">
        <is>
          <t>6929.01 EKS-AHO-LOS2-2.BA-Elbe-Kliniken-Stade-BremervörderStr111-Stade</t>
        </is>
      </c>
      <c r="B3873" s="4" t="inlineStr">
        <is>
          <t>● (p) 2. Stufe - LP 6 BL</t>
        </is>
      </c>
      <c r="C3873" s="4" t="inlineStr">
        <is>
          <t>Pauschale</t>
        </is>
      </c>
      <c r="D3873" s="10" t="inlineStr">
        <is>
          <t>⚠ Manual erforderlich</t>
        </is>
      </c>
      <c r="E3873" s="11" t="inlineStr"/>
      <c r="F3873" s="11" t="n">
        <v>0</v>
      </c>
      <c r="G3873" s="11">
        <f>E3873-F3873</f>
        <v/>
      </c>
      <c r="H3873" s="11" t="n">
        <v/>
      </c>
      <c r="I3873" s="11" t="n">
        <v/>
      </c>
      <c r="J3873" s="11" t="n">
        <v/>
      </c>
      <c r="K3873" s="4" t="inlineStr">
        <is>
          <t>Stundensätze eingeben</t>
        </is>
      </c>
    </row>
    <row r="3874">
      <c r="A3874" s="4" t="inlineStr">
        <is>
          <t>6929.01 EKS-AHO-LOS2-2.BA-Elbe-Kliniken-Stade-BremervörderStr111-Stade</t>
        </is>
      </c>
      <c r="B3874" s="4" t="inlineStr">
        <is>
          <t>● (p) 3. Stufe - LP 7 GL</t>
        </is>
      </c>
      <c r="C3874" s="4" t="inlineStr">
        <is>
          <t>Pauschale</t>
        </is>
      </c>
      <c r="D3874" s="10" t="inlineStr">
        <is>
          <t>⚠ Manual erforderlich</t>
        </is>
      </c>
      <c r="E3874" s="11" t="inlineStr"/>
      <c r="F3874" s="11" t="n">
        <v>0</v>
      </c>
      <c r="G3874" s="11">
        <f>E3874-F3874</f>
        <v/>
      </c>
      <c r="H3874" s="11" t="n">
        <v/>
      </c>
      <c r="I3874" s="11" t="n">
        <v/>
      </c>
      <c r="J3874" s="11" t="n">
        <v/>
      </c>
      <c r="K3874" s="4" t="inlineStr">
        <is>
          <t>Stundensätze eingeben</t>
        </is>
      </c>
    </row>
    <row r="3875">
      <c r="A3875" s="4" t="inlineStr">
        <is>
          <t>6929.01 EKS-AHO-LOS2-2.BA-Elbe-Kliniken-Stade-BremervörderStr111-Stade</t>
        </is>
      </c>
      <c r="B3875" s="4" t="inlineStr">
        <is>
          <t>● (p) 3. Stufe - LP 7 BL</t>
        </is>
      </c>
      <c r="C3875" s="4" t="inlineStr">
        <is>
          <t>Pauschale</t>
        </is>
      </c>
      <c r="D3875" s="10" t="inlineStr">
        <is>
          <t>⚠ Manual erforderlich</t>
        </is>
      </c>
      <c r="E3875" s="11" t="inlineStr"/>
      <c r="F3875" s="11" t="n">
        <v>0</v>
      </c>
      <c r="G3875" s="11">
        <f>E3875-F3875</f>
        <v/>
      </c>
      <c r="H3875" s="11" t="n">
        <v/>
      </c>
      <c r="I3875" s="11" t="n">
        <v/>
      </c>
      <c r="J3875" s="11" t="n">
        <v/>
      </c>
      <c r="K3875" s="4" t="inlineStr">
        <is>
          <t>Stundensätze eingeben</t>
        </is>
      </c>
    </row>
    <row r="3876">
      <c r="A3876" s="4" t="inlineStr">
        <is>
          <t>6929.01 EKS-AHO-LOS2-2.BA-Elbe-Kliniken-Stade-BremervörderStr111-Stade</t>
        </is>
      </c>
      <c r="B3876" s="4" t="inlineStr">
        <is>
          <t>● (p) 3. Stufe - LP8 GL</t>
        </is>
      </c>
      <c r="C3876" s="4" t="inlineStr">
        <is>
          <t>Pauschale</t>
        </is>
      </c>
      <c r="D3876" s="10" t="inlineStr">
        <is>
          <t>⚠ Manual erforderlich</t>
        </is>
      </c>
      <c r="E3876" s="11" t="inlineStr"/>
      <c r="F3876" s="11" t="n">
        <v>0</v>
      </c>
      <c r="G3876" s="11">
        <f>E3876-F3876</f>
        <v/>
      </c>
      <c r="H3876" s="11" t="n">
        <v/>
      </c>
      <c r="I3876" s="11" t="n">
        <v/>
      </c>
      <c r="J3876" s="11" t="n">
        <v/>
      </c>
      <c r="K3876" s="4" t="inlineStr">
        <is>
          <t>Stundensätze eingeben</t>
        </is>
      </c>
    </row>
    <row r="3877">
      <c r="A3877" s="4" t="inlineStr">
        <is>
          <t>6929.01 EKS-AHO-LOS2-2.BA-Elbe-Kliniken-Stade-BremervörderStr111-Stade</t>
        </is>
      </c>
      <c r="B3877" s="4" t="inlineStr">
        <is>
          <t>● (p) 3. Stufe - LP8 BL</t>
        </is>
      </c>
      <c r="C3877" s="4" t="inlineStr">
        <is>
          <t>Pauschale</t>
        </is>
      </c>
      <c r="D3877" s="10" t="inlineStr">
        <is>
          <t>⚠ Manual erforderlich</t>
        </is>
      </c>
      <c r="E3877" s="11" t="inlineStr"/>
      <c r="F3877" s="11" t="n">
        <v>0</v>
      </c>
      <c r="G3877" s="11">
        <f>E3877-F3877</f>
        <v/>
      </c>
      <c r="H3877" s="11" t="n">
        <v/>
      </c>
      <c r="I3877" s="11" t="n">
        <v/>
      </c>
      <c r="J3877" s="11" t="n">
        <v/>
      </c>
      <c r="K3877" s="4" t="inlineStr">
        <is>
          <t>Stundensätze eingeben</t>
        </is>
      </c>
    </row>
    <row r="3878">
      <c r="A3878" s="4" t="inlineStr">
        <is>
          <t>6929.02 EKS-Bauteil A-Elbe-Kliniken-Stade-BremervörderStr111-Stade</t>
        </is>
      </c>
      <c r="B3878" s="4" t="inlineStr">
        <is>
          <t>● Bauteil A „Bestandssanierung Bauteil A“</t>
        </is>
      </c>
      <c r="C3878" s="9" t="inlineStr">
        <is>
          <t>Unbekannt</t>
        </is>
      </c>
      <c r="D3878" s="10" t="inlineStr">
        <is>
          <t>⚠ Manual erforderlich</t>
        </is>
      </c>
      <c r="E3878" s="11" t="inlineStr"/>
      <c r="F3878" s="11" t="n">
        <v>0</v>
      </c>
      <c r="G3878" s="11">
        <f>E3878-F3878</f>
        <v/>
      </c>
      <c r="H3878" s="11" t="n">
        <v/>
      </c>
      <c r="I3878" s="11" t="n">
        <v/>
      </c>
      <c r="J3878" s="11" t="n">
        <v/>
      </c>
      <c r="K3878" s="4" t="inlineStr">
        <is>
          <t>Abrechnungsart wählen; Stundensätze eingeben</t>
        </is>
      </c>
    </row>
    <row r="3879">
      <c r="A3879" s="4" t="inlineStr">
        <is>
          <t>6934 BSK-Funkturm-Oberauroff</t>
        </is>
      </c>
      <c r="B3879" s="4" t="inlineStr">
        <is>
          <t>● (p) Pos.1 BSK o. Begehung</t>
        </is>
      </c>
      <c r="C3879" s="4" t="inlineStr">
        <is>
          <t>Pauschale</t>
        </is>
      </c>
      <c r="D3879" s="10" t="inlineStr">
        <is>
          <t>⚠ Manual erforderlich</t>
        </is>
      </c>
      <c r="E3879" s="11" t="inlineStr"/>
      <c r="F3879" s="11" t="n">
        <v>0</v>
      </c>
      <c r="G3879" s="11">
        <f>E3879-F3879</f>
        <v/>
      </c>
      <c r="H3879" s="11" t="n">
        <v>0</v>
      </c>
      <c r="I3879" s="11" t="n">
        <v>0</v>
      </c>
      <c r="J3879" s="11" t="n">
        <v>0</v>
      </c>
      <c r="K3879" s="4" t="inlineStr">
        <is>
          <t>Stundensätze eingeben</t>
        </is>
      </c>
    </row>
    <row r="3880">
      <c r="A3880" s="4" t="inlineStr">
        <is>
          <t>6936 BTB-Frühlingstraß1-3-Dreieich</t>
        </is>
      </c>
      <c r="B3880" s="4" t="inlineStr">
        <is>
          <t>● (a.N.) Pos.1 BTB Prüfung d. Machbarkeit zur Nutzung als Versammlungsstätte</t>
        </is>
      </c>
      <c r="C3880" s="4" t="inlineStr">
        <is>
          <t>Nachweis</t>
        </is>
      </c>
      <c r="D3880" s="10" t="inlineStr">
        <is>
          <t>⚠ Manual erforderlich</t>
        </is>
      </c>
      <c r="E3880" s="11" t="inlineStr"/>
      <c r="F3880" s="11" t="n">
        <v>0</v>
      </c>
      <c r="G3880" s="11">
        <f>E3880-F3880</f>
        <v/>
      </c>
      <c r="H3880" s="11" t="n">
        <v/>
      </c>
      <c r="I3880" s="11" t="n">
        <v/>
      </c>
      <c r="J3880" s="11" t="n">
        <v/>
      </c>
      <c r="K3880" s="4" t="inlineStr">
        <is>
          <t>Stundensätze eingeben</t>
        </is>
      </c>
    </row>
    <row r="3881">
      <c r="A3881" s="4" t="inlineStr">
        <is>
          <t>6940 BTB-Opel-Campus-OCG-Werkstr-Rüsselsheim</t>
        </is>
      </c>
      <c r="B3881" s="4" t="inlineStr">
        <is>
          <t>● (p) BTB Stufe 1 zu Leistungen innerhalb der Exklusivitätsphase</t>
        </is>
      </c>
      <c r="C3881" s="4" t="inlineStr">
        <is>
          <t>Pauschale</t>
        </is>
      </c>
      <c r="D3881" s="10" t="inlineStr">
        <is>
          <t>⚠ Manual erforderlich</t>
        </is>
      </c>
      <c r="E3881" s="11" t="inlineStr"/>
      <c r="F3881" s="11" t="n">
        <v>0</v>
      </c>
      <c r="G3881" s="11">
        <f>E3881-F3881</f>
        <v/>
      </c>
      <c r="H3881" s="11" t="n">
        <v>0</v>
      </c>
      <c r="I3881" s="11" t="n">
        <v>0</v>
      </c>
      <c r="J3881" s="11" t="n">
        <v>0</v>
      </c>
      <c r="K3881" s="4" t="inlineStr">
        <is>
          <t>Stundensätze eingeben</t>
        </is>
      </c>
    </row>
    <row r="3882">
      <c r="A3882" s="4" t="inlineStr">
        <is>
          <t>6940 BTB-Opel-Campus-OCG-Werkstr-Rüsselsheim</t>
        </is>
      </c>
      <c r="B3882" s="4" t="inlineStr">
        <is>
          <t>● (p) BTB Stufe 2 zu Leistungen innerhalb der Exklusivitätsphase</t>
        </is>
      </c>
      <c r="C3882" s="4" t="inlineStr">
        <is>
          <t>Pauschale</t>
        </is>
      </c>
      <c r="D3882" s="10" t="inlineStr">
        <is>
          <t>⚠ Manual erforderlich</t>
        </is>
      </c>
      <c r="E3882" s="11" t="inlineStr"/>
      <c r="F3882" s="11" t="n">
        <v>0</v>
      </c>
      <c r="G3882" s="11">
        <f>E3882-F3882</f>
        <v/>
      </c>
      <c r="H3882" s="11" t="n">
        <v>0</v>
      </c>
      <c r="I3882" s="11" t="n">
        <v>0</v>
      </c>
      <c r="J3882" s="11" t="n">
        <v>0</v>
      </c>
      <c r="K3882" s="4" t="inlineStr">
        <is>
          <t>Stundensätze eingeben</t>
        </is>
      </c>
    </row>
    <row r="3883">
      <c r="A3883" s="4" t="inlineStr">
        <is>
          <t>6946 RMK-Altenheim-Fichteneck-Dr-Barner-Str-4-6-Braunlage</t>
        </is>
      </c>
      <c r="B3883" s="4" t="inlineStr">
        <is>
          <t>● (a.N.) Räumungskonzept Klinik für Sigra</t>
        </is>
      </c>
      <c r="C3883" s="4" t="inlineStr">
        <is>
          <t>Nachweis</t>
        </is>
      </c>
      <c r="D3883" s="10" t="inlineStr">
        <is>
          <t>⚠ Manual erforderlich</t>
        </is>
      </c>
      <c r="E3883" s="11" t="inlineStr"/>
      <c r="F3883" s="11" t="n">
        <v>0</v>
      </c>
      <c r="G3883" s="11">
        <f>E3883-F3883</f>
        <v/>
      </c>
      <c r="H3883" s="11" t="n">
        <v/>
      </c>
      <c r="I3883" s="11" t="n">
        <v/>
      </c>
      <c r="J3883" s="11" t="n">
        <v/>
      </c>
      <c r="K3883" s="4" t="inlineStr">
        <is>
          <t>Stundensätze eingeben</t>
        </is>
      </c>
    </row>
    <row r="3884">
      <c r="A3884" s="4" t="inlineStr">
        <is>
          <t>6952.01 WindBauer-BSK-WEA-Bartow-Pfalz</t>
        </is>
      </c>
      <c r="B3884" s="4" t="inlineStr">
        <is>
          <t>● (p) Pos.1 Erstellung eines Brandschutzkonzeptes</t>
        </is>
      </c>
      <c r="C3884" s="4" t="inlineStr">
        <is>
          <t>Pauschale</t>
        </is>
      </c>
      <c r="D3884" s="10" t="inlineStr">
        <is>
          <t>⚠ Manual erforderlich</t>
        </is>
      </c>
      <c r="E3884" s="11" t="inlineStr"/>
      <c r="F3884" s="11" t="n">
        <v>0</v>
      </c>
      <c r="G3884" s="11">
        <f>E3884-F3884</f>
        <v/>
      </c>
      <c r="H3884" s="11" t="n">
        <v>0</v>
      </c>
      <c r="I3884" s="11" t="n">
        <v>0</v>
      </c>
      <c r="J3884" s="11" t="n">
        <v>0</v>
      </c>
      <c r="K3884" s="4" t="inlineStr">
        <is>
          <t>Stundensätze eingeben</t>
        </is>
      </c>
    </row>
    <row r="3885">
      <c r="A3885" s="4" t="inlineStr">
        <is>
          <t>6954 BSN-Sternstraße-1-3-Hanau</t>
        </is>
      </c>
      <c r="B3885" s="4" t="inlineStr">
        <is>
          <t>● (p) Pos.1 Erstellung BSN</t>
        </is>
      </c>
      <c r="C3885" s="4" t="inlineStr">
        <is>
          <t>Pauschale</t>
        </is>
      </c>
      <c r="D3885" s="10" t="inlineStr">
        <is>
          <t>⚠ Manual erforderlich</t>
        </is>
      </c>
      <c r="E3885" s="11" t="inlineStr"/>
      <c r="F3885" s="11" t="n">
        <v>0</v>
      </c>
      <c r="G3885" s="11">
        <f>E3885-F3885</f>
        <v/>
      </c>
      <c r="H3885" s="11" t="n">
        <v>0</v>
      </c>
      <c r="I3885" s="11" t="n">
        <v>0</v>
      </c>
      <c r="J3885" s="11" t="n">
        <v>0</v>
      </c>
      <c r="K3885" s="4" t="inlineStr">
        <is>
          <t>Stundensätze eingeben</t>
        </is>
      </c>
    </row>
    <row r="3886">
      <c r="A3886" s="4" t="inlineStr">
        <is>
          <t>6954 BSN-Sternstraße-1-3-Hanau</t>
        </is>
      </c>
      <c r="B3886" s="4" t="inlineStr">
        <is>
          <t>● (a.N.) Pos.2 Baubegl. Brandschutzberatung+Qualitätsüberw.</t>
        </is>
      </c>
      <c r="C3886" s="4" t="inlineStr">
        <is>
          <t>Nachweis</t>
        </is>
      </c>
      <c r="D3886" s="10" t="inlineStr">
        <is>
          <t>⚠ Manual erforderlich</t>
        </is>
      </c>
      <c r="E3886" s="11" t="inlineStr"/>
      <c r="F3886" s="11" t="n">
        <v>0</v>
      </c>
      <c r="G3886" s="11">
        <f>E3886-F3886</f>
        <v/>
      </c>
      <c r="H3886" s="11" t="n">
        <v/>
      </c>
      <c r="I3886" s="11" t="n">
        <v/>
      </c>
      <c r="J3886" s="11" t="n">
        <v/>
      </c>
      <c r="K3886" s="4" t="inlineStr">
        <is>
          <t>Stundensätze eingeben</t>
        </is>
      </c>
    </row>
    <row r="3887">
      <c r="A3887" s="4" t="inlineStr">
        <is>
          <t>6960.03 BrunoBock-KOF-Eichholzer-Str-23-Marschacht</t>
        </is>
      </c>
      <c r="B3887" s="4" t="inlineStr">
        <is>
          <t>● (p) Pos.1 Abnahme und Ausstellung Konformität</t>
        </is>
      </c>
      <c r="C3887" s="4" t="inlineStr">
        <is>
          <t>Pauschale</t>
        </is>
      </c>
      <c r="D3887" s="10" t="inlineStr">
        <is>
          <t>⚠ Manual erforderlich</t>
        </is>
      </c>
      <c r="E3887" s="11" t="inlineStr"/>
      <c r="F3887" s="11" t="n">
        <v>0</v>
      </c>
      <c r="G3887" s="11">
        <f>E3887-F3887</f>
        <v/>
      </c>
      <c r="H3887" s="11" t="n">
        <v>0</v>
      </c>
      <c r="I3887" s="11" t="n">
        <v>0</v>
      </c>
      <c r="J3887" s="11" t="n">
        <v>0</v>
      </c>
      <c r="K3887" s="4" t="inlineStr">
        <is>
          <t>Stundensätze eingeben</t>
        </is>
      </c>
    </row>
    <row r="3888">
      <c r="A3888" s="4" t="inlineStr">
        <is>
          <t>6960.04 BrunoBock-BST-Umnutzung-BV53-EichholzerStr-Marschacht</t>
        </is>
      </c>
      <c r="B3888" s="4" t="inlineStr">
        <is>
          <t>● (p) Pos. 1 Brandschutztechnische Stellungnahme</t>
        </is>
      </c>
      <c r="C3888" s="4" t="inlineStr">
        <is>
          <t>Pauschale</t>
        </is>
      </c>
      <c r="D3888" s="10" t="inlineStr">
        <is>
          <t>⚠ Manual erforderlich</t>
        </is>
      </c>
      <c r="E3888" s="11" t="inlineStr"/>
      <c r="F3888" s="11" t="n">
        <v>0</v>
      </c>
      <c r="G3888" s="11">
        <f>E3888-F3888</f>
        <v/>
      </c>
      <c r="H3888" s="11" t="n">
        <v>0</v>
      </c>
      <c r="I3888" s="11" t="n">
        <v>0</v>
      </c>
      <c r="J3888" s="11" t="n">
        <v>0</v>
      </c>
      <c r="K3888" s="4" t="inlineStr">
        <is>
          <t>Stundensätze eingeben</t>
        </is>
      </c>
    </row>
    <row r="3889">
      <c r="A3889" s="4" t="inlineStr">
        <is>
          <t>6961.01 Neptune-Rheinhafen-Speyer-allgemeineBeratungsleistungen</t>
        </is>
      </c>
      <c r="B3889" s="4" t="inlineStr">
        <is>
          <t>● (aN) BTB (SV)</t>
        </is>
      </c>
      <c r="C3889" s="4" t="inlineStr">
        <is>
          <t>Nachweis</t>
        </is>
      </c>
      <c r="D3889" s="10" t="inlineStr">
        <is>
          <t>⚠ Manual erforderlich</t>
        </is>
      </c>
      <c r="E3889" s="11" t="inlineStr"/>
      <c r="F3889" s="11" t="n">
        <v>0</v>
      </c>
      <c r="G3889" s="11">
        <f>E3889-F3889</f>
        <v/>
      </c>
      <c r="H3889" s="11" t="n">
        <v/>
      </c>
      <c r="I3889" s="11" t="n">
        <v/>
      </c>
      <c r="J3889" s="11" t="n">
        <v/>
      </c>
      <c r="K3889" s="4" t="inlineStr">
        <is>
          <t>Stundensätze eingeben</t>
        </is>
      </c>
    </row>
    <row r="3890">
      <c r="A3890" s="4" t="inlineStr">
        <is>
          <t>6961.01 Neptune-Rheinhafen-Speyer-allgemeineBeratungsleistungen</t>
        </is>
      </c>
      <c r="B3890" s="4" t="inlineStr">
        <is>
          <t>● (aN) BTB (CAD)</t>
        </is>
      </c>
      <c r="C3890" s="4" t="inlineStr">
        <is>
          <t>Nachweis</t>
        </is>
      </c>
      <c r="D3890" s="10" t="inlineStr">
        <is>
          <t>⚠ Manual erforderlich</t>
        </is>
      </c>
      <c r="E3890" s="11" t="inlineStr"/>
      <c r="F3890" s="11" t="n">
        <v>0</v>
      </c>
      <c r="G3890" s="11">
        <f>E3890-F3890</f>
        <v/>
      </c>
      <c r="H3890" s="11" t="n">
        <v/>
      </c>
      <c r="I3890" s="11" t="n">
        <v/>
      </c>
      <c r="J3890" s="11" t="n">
        <v/>
      </c>
      <c r="K3890" s="4" t="inlineStr">
        <is>
          <t>Stundensätze eingeben</t>
        </is>
      </c>
    </row>
    <row r="3891">
      <c r="A3891" s="4" t="inlineStr">
        <is>
          <t>6962 KKA-Büro-Lagerhalle-Uferstr-Karlsruhe</t>
        </is>
      </c>
      <c r="B3891" s="4" t="inlineStr">
        <is>
          <t>● (p) Pos. 1 brandschutztechnische Beratung</t>
        </is>
      </c>
      <c r="C3891" s="4" t="inlineStr">
        <is>
          <t>Pauschale</t>
        </is>
      </c>
      <c r="D3891" s="10" t="inlineStr">
        <is>
          <t>⚠ Manual erforderlich</t>
        </is>
      </c>
      <c r="E3891" s="11" t="inlineStr"/>
      <c r="F3891" s="11" t="n">
        <v>0</v>
      </c>
      <c r="G3891" s="11">
        <f>E3891-F3891</f>
        <v/>
      </c>
      <c r="H3891" s="11" t="n">
        <v>0</v>
      </c>
      <c r="I3891" s="11" t="n">
        <v>0</v>
      </c>
      <c r="J3891" s="11" t="n">
        <v>0</v>
      </c>
      <c r="K3891" s="4" t="inlineStr">
        <is>
          <t>Stundensätze eingeben</t>
        </is>
      </c>
    </row>
    <row r="3892">
      <c r="A3892" s="4" t="inlineStr">
        <is>
          <t>6962 KKA-Büro-Lagerhalle-Uferstr-Karlsruhe</t>
        </is>
      </c>
      <c r="B3892" s="4" t="inlineStr">
        <is>
          <t>● (p) Pos. 2 BSK für Bauantrag</t>
        </is>
      </c>
      <c r="C3892" s="4" t="inlineStr">
        <is>
          <t>Pauschale</t>
        </is>
      </c>
      <c r="D3892" s="10" t="inlineStr">
        <is>
          <t>⚠ Manual erforderlich</t>
        </is>
      </c>
      <c r="E3892" s="11" t="inlineStr"/>
      <c r="F3892" s="11" t="n">
        <v>0</v>
      </c>
      <c r="G3892" s="11">
        <f>E3892-F3892</f>
        <v/>
      </c>
      <c r="H3892" s="11" t="n">
        <v>0</v>
      </c>
      <c r="I3892" s="11" t="n">
        <v>0</v>
      </c>
      <c r="J3892" s="11" t="n">
        <v>0</v>
      </c>
      <c r="K3892" s="4" t="inlineStr">
        <is>
          <t>Stundensätze eingeben</t>
        </is>
      </c>
    </row>
    <row r="3893">
      <c r="A3893" s="4" t="inlineStr">
        <is>
          <t>6962 KKA-Büro-Lagerhalle-Uferstr-Karlsruhe</t>
        </is>
      </c>
      <c r="B3893" s="4" t="inlineStr">
        <is>
          <t>● (aN) Pos. 3 Abstimmungstermin mit der Genehmigungsbehörde</t>
        </is>
      </c>
      <c r="C3893" s="4" t="inlineStr">
        <is>
          <t>Nachweis</t>
        </is>
      </c>
      <c r="D3893" s="10" t="inlineStr">
        <is>
          <t>⚠ Manual erforderlich</t>
        </is>
      </c>
      <c r="E3893" s="11" t="inlineStr"/>
      <c r="F3893" s="11" t="n">
        <v>0</v>
      </c>
      <c r="G3893" s="11">
        <f>E3893-F3893</f>
        <v/>
      </c>
      <c r="H3893" s="11" t="n">
        <v/>
      </c>
      <c r="I3893" s="11" t="n">
        <v/>
      </c>
      <c r="J3893" s="11" t="n">
        <v/>
      </c>
      <c r="K3893" s="4" t="inlineStr">
        <is>
          <t>Stundensätze eingeben</t>
        </is>
      </c>
    </row>
    <row r="3894">
      <c r="A3894" s="4" t="inlineStr">
        <is>
          <t>6966 FWP-Katzenbergstraße-19a-Lohr-KiTa</t>
        </is>
      </c>
      <c r="B3894" s="4" t="inlineStr">
        <is>
          <t>● (p) Pos.1 Erstellung FRP</t>
        </is>
      </c>
      <c r="C3894" s="4" t="inlineStr">
        <is>
          <t>Pauschale</t>
        </is>
      </c>
      <c r="D3894" s="10" t="inlineStr">
        <is>
          <t>⚠ Manual erforderlich</t>
        </is>
      </c>
      <c r="E3894" s="11" t="inlineStr"/>
      <c r="F3894" s="11" t="n">
        <v>0</v>
      </c>
      <c r="G3894" s="11">
        <f>E3894-F3894</f>
        <v/>
      </c>
      <c r="H3894" s="11" t="n">
        <v>0</v>
      </c>
      <c r="I3894" s="11" t="n">
        <v>0</v>
      </c>
      <c r="J3894" s="11" t="n">
        <v>0</v>
      </c>
      <c r="K3894" s="4" t="inlineStr">
        <is>
          <t>Stundensätze eingeben</t>
        </is>
      </c>
    </row>
    <row r="3895">
      <c r="A3895" s="4" t="inlineStr">
        <is>
          <t>6966 FWP-Katzenbergstraße-19a-Lohr-KiTa</t>
        </is>
      </c>
      <c r="B3895" s="4" t="inlineStr">
        <is>
          <t>● (p) Pos.2  Ermittlung Feuerlöscheinheiten</t>
        </is>
      </c>
      <c r="C3895" s="4" t="inlineStr">
        <is>
          <t>Pauschale</t>
        </is>
      </c>
      <c r="D3895" s="10" t="inlineStr">
        <is>
          <t>⚠ Manual erforderlich</t>
        </is>
      </c>
      <c r="E3895" s="11" t="inlineStr"/>
      <c r="F3895" s="11" t="n">
        <v>0</v>
      </c>
      <c r="G3895" s="11">
        <f>E3895-F3895</f>
        <v/>
      </c>
      <c r="H3895" s="11" t="n">
        <v>0</v>
      </c>
      <c r="I3895" s="11" t="n">
        <v>0</v>
      </c>
      <c r="J3895" s="11" t="n">
        <v>0</v>
      </c>
      <c r="K3895" s="4" t="inlineStr">
        <is>
          <t>Stundensätze eingeben</t>
        </is>
      </c>
    </row>
    <row r="3896">
      <c r="A3896" s="4" t="inlineStr">
        <is>
          <t>6966 FWP-Katzenbergstraße-19a-Lohr-KiTa</t>
        </is>
      </c>
      <c r="B3896" s="4" t="inlineStr">
        <is>
          <t>● (a.N.) Pos.3 Brandschutztechn. Begehung</t>
        </is>
      </c>
      <c r="C3896" s="4" t="inlineStr">
        <is>
          <t>Nachweis</t>
        </is>
      </c>
      <c r="D3896" s="10" t="inlineStr">
        <is>
          <t>⚠ Manual erforderlich</t>
        </is>
      </c>
      <c r="E3896" s="11" t="inlineStr"/>
      <c r="F3896" s="11" t="n">
        <v>0</v>
      </c>
      <c r="G3896" s="11">
        <f>E3896-F3896</f>
        <v/>
      </c>
      <c r="H3896" s="11" t="n">
        <v/>
      </c>
      <c r="I3896" s="11" t="n">
        <v/>
      </c>
      <c r="J3896" s="11" t="n">
        <v/>
      </c>
      <c r="K3896" s="4" t="inlineStr">
        <is>
          <t>Stundensätze eingeben</t>
        </is>
      </c>
    </row>
    <row r="3897">
      <c r="A3897" s="4" t="inlineStr">
        <is>
          <t>6970 EPC-E.on-Abfallmitverbrennungsanlage-WV-Aschaffenburg</t>
        </is>
      </c>
      <c r="B3897" s="4" t="inlineStr">
        <is>
          <t>● • (aN) Planung SV (3100-FLA-Durcharbeiten Planungskonzept)</t>
        </is>
      </c>
      <c r="C3897" s="4" t="inlineStr">
        <is>
          <t>Nachweis</t>
        </is>
      </c>
      <c r="D3897" s="10" t="inlineStr">
        <is>
          <t>⚠ Manual erforderlich</t>
        </is>
      </c>
      <c r="E3897" s="11" t="inlineStr"/>
      <c r="F3897" s="11" t="n">
        <v>0</v>
      </c>
      <c r="G3897" s="11">
        <f>E3897-F3897</f>
        <v/>
      </c>
      <c r="H3897" s="11" t="n">
        <v/>
      </c>
      <c r="I3897" s="11" t="n">
        <v/>
      </c>
      <c r="J3897" s="11" t="n">
        <v/>
      </c>
      <c r="K3897" s="4" t="inlineStr">
        <is>
          <t>Stundensätze eingeben</t>
        </is>
      </c>
    </row>
    <row r="3898">
      <c r="A3898" s="4" t="inlineStr">
        <is>
          <t>6970 EPC-E.on-Abfallmitverbrennungsanlage-WV-Aschaffenburg</t>
        </is>
      </c>
      <c r="B3898" s="4" t="inlineStr">
        <is>
          <t>● • (aN) Planung CAD</t>
        </is>
      </c>
      <c r="C3898" s="4" t="inlineStr">
        <is>
          <t>Nachweis</t>
        </is>
      </c>
      <c r="D3898" s="10" t="inlineStr">
        <is>
          <t>⚠ Manual erforderlich</t>
        </is>
      </c>
      <c r="E3898" s="11" t="inlineStr"/>
      <c r="F3898" s="11" t="n">
        <v>0</v>
      </c>
      <c r="G3898" s="11">
        <f>E3898-F3898</f>
        <v/>
      </c>
      <c r="H3898" s="11" t="n">
        <v/>
      </c>
      <c r="I3898" s="11" t="n">
        <v/>
      </c>
      <c r="J3898" s="11" t="n">
        <v/>
      </c>
      <c r="K3898" s="4" t="inlineStr">
        <is>
          <t>Stundensätze eingeben</t>
        </is>
      </c>
    </row>
    <row r="3899">
      <c r="A3899" s="4" t="inlineStr">
        <is>
          <t>6970 EPC-E.on-Abfallmitverbrennungsanlage-WV-Aschaffenburg</t>
        </is>
      </c>
      <c r="B3899" s="4" t="inlineStr">
        <is>
          <t>● • (aN) LP 6 Vorbereiten der Vergabe</t>
        </is>
      </c>
      <c r="C3899" s="4" t="inlineStr">
        <is>
          <t>Nachweis</t>
        </is>
      </c>
      <c r="D3899" s="10" t="inlineStr">
        <is>
          <t>⚠ Manual erforderlich</t>
        </is>
      </c>
      <c r="E3899" s="11" t="inlineStr"/>
      <c r="F3899" s="11" t="n">
        <v>0</v>
      </c>
      <c r="G3899" s="11">
        <f>E3899-F3899</f>
        <v/>
      </c>
      <c r="H3899" s="11" t="n">
        <v/>
      </c>
      <c r="I3899" s="11" t="n">
        <v/>
      </c>
      <c r="J3899" s="11" t="n">
        <v/>
      </c>
      <c r="K3899" s="4" t="inlineStr">
        <is>
          <t>Stundensätze eingeben</t>
        </is>
      </c>
    </row>
    <row r="3900">
      <c r="A3900" s="4" t="inlineStr">
        <is>
          <t>6970 EPC-E.on-Abfallmitverbrennungsanlage-WV-Aschaffenburg</t>
        </is>
      </c>
      <c r="B3900" s="4" t="inlineStr">
        <is>
          <t>● • (aN) LP 7 Mitwirkung bei der Vergabe</t>
        </is>
      </c>
      <c r="C3900" s="4" t="inlineStr">
        <is>
          <t>Nachweis</t>
        </is>
      </c>
      <c r="D3900" s="10" t="inlineStr">
        <is>
          <t>⚠ Manual erforderlich</t>
        </is>
      </c>
      <c r="E3900" s="11" t="inlineStr"/>
      <c r="F3900" s="11" t="n">
        <v>0</v>
      </c>
      <c r="G3900" s="11">
        <f>E3900-F3900</f>
        <v/>
      </c>
      <c r="H3900" s="11" t="n">
        <v/>
      </c>
      <c r="I3900" s="11" t="n">
        <v/>
      </c>
      <c r="J3900" s="11" t="n">
        <v/>
      </c>
      <c r="K3900" s="4" t="inlineStr">
        <is>
          <t>Stundensätze eingeben</t>
        </is>
      </c>
    </row>
    <row r="3901">
      <c r="A3901" s="4" t="inlineStr">
        <is>
          <t>6970 EPC-E.on-Abfallmitverbrennungsanlage-WV-Aschaffenburg</t>
        </is>
      </c>
      <c r="B3901" s="4" t="inlineStr">
        <is>
          <t>● • (aN) FPL-Planung 5 x autom. Wasserlöschanlage-2xTKF Silo-2xTKF Kessel-1 Austrag Silo</t>
        </is>
      </c>
      <c r="C3901" s="4" t="inlineStr">
        <is>
          <t>Nachweis</t>
        </is>
      </c>
      <c r="D3901" s="10" t="inlineStr">
        <is>
          <t>⚠ Manual erforderlich</t>
        </is>
      </c>
      <c r="E3901" s="11" t="inlineStr"/>
      <c r="F3901" s="11" t="n">
        <v>0</v>
      </c>
      <c r="G3901" s="11">
        <f>E3901-F3901</f>
        <v/>
      </c>
      <c r="H3901" s="11" t="n">
        <v/>
      </c>
      <c r="I3901" s="11" t="n">
        <v/>
      </c>
      <c r="J3901" s="11" t="n">
        <v/>
      </c>
      <c r="K3901" s="4" t="inlineStr">
        <is>
          <t>Stundensätze eingeben</t>
        </is>
      </c>
    </row>
    <row r="3902">
      <c r="A3902" s="4" t="inlineStr">
        <is>
          <t>6970 EPC-E.on-Abfallmitverbrennungsanlage-WV-Aschaffenburg</t>
        </is>
      </c>
      <c r="B3902" s="4" t="inlineStr">
        <is>
          <t>● • (aN) CAD-Planung 5 x autom. Wasserlöschanlage-2xTKF Silo-2xTKF Kessel-1 Austrag Silo</t>
        </is>
      </c>
      <c r="C3902" s="4" t="inlineStr">
        <is>
          <t>Nachweis</t>
        </is>
      </c>
      <c r="D3902" s="10" t="inlineStr">
        <is>
          <t>⚠ Manual erforderlich</t>
        </is>
      </c>
      <c r="E3902" s="11" t="inlineStr"/>
      <c r="F3902" s="11" t="n">
        <v>0</v>
      </c>
      <c r="G3902" s="11">
        <f>E3902-F3902</f>
        <v/>
      </c>
      <c r="H3902" s="11" t="n">
        <v/>
      </c>
      <c r="I3902" s="11" t="n">
        <v/>
      </c>
      <c r="J3902" s="11" t="n">
        <v/>
      </c>
      <c r="K3902" s="4" t="inlineStr">
        <is>
          <t>Stundensätze eingeben</t>
        </is>
      </c>
    </row>
    <row r="3903">
      <c r="A3903" s="4" t="inlineStr">
        <is>
          <t>6970.01 EPC-E.on-Abfallmitverbrennungsanlage-WV-Aschaffenburg-BMA</t>
        </is>
      </c>
      <c r="B3903" s="4" t="inlineStr">
        <is>
          <t>● (aN) Pos. 1 Grundlagenermittlung zur Erstellung BMA-Konzept</t>
        </is>
      </c>
      <c r="C3903" s="4" t="inlineStr">
        <is>
          <t>Nachweis</t>
        </is>
      </c>
      <c r="D3903" s="10" t="inlineStr">
        <is>
          <t>⚠ Manual erforderlich</t>
        </is>
      </c>
      <c r="E3903" s="11" t="inlineStr"/>
      <c r="F3903" s="11" t="n">
        <v>0</v>
      </c>
      <c r="G3903" s="11">
        <f>E3903-F3903</f>
        <v/>
      </c>
      <c r="H3903" s="11" t="n">
        <v/>
      </c>
      <c r="I3903" s="11" t="n">
        <v/>
      </c>
      <c r="J3903" s="11" t="n">
        <v/>
      </c>
      <c r="K3903" s="4" t="inlineStr">
        <is>
          <t>Stundensätze eingeben</t>
        </is>
      </c>
    </row>
    <row r="3904">
      <c r="A3904" s="4" t="inlineStr">
        <is>
          <t>6970.01 EPC-E.on-Abfallmitverbrennungsanlage-WV-Aschaffenburg-BMA</t>
        </is>
      </c>
      <c r="B3904" s="4" t="inlineStr">
        <is>
          <t>● (aN) Pos. 2 Erstellung BMA-Konzept</t>
        </is>
      </c>
      <c r="C3904" s="4" t="inlineStr">
        <is>
          <t>Nachweis</t>
        </is>
      </c>
      <c r="D3904" s="10" t="inlineStr">
        <is>
          <t>⚠ Manual erforderlich</t>
        </is>
      </c>
      <c r="E3904" s="11" t="inlineStr"/>
      <c r="F3904" s="11" t="n">
        <v>0</v>
      </c>
      <c r="G3904" s="11">
        <f>E3904-F3904</f>
        <v/>
      </c>
      <c r="H3904" s="11" t="n">
        <v/>
      </c>
      <c r="I3904" s="11" t="n">
        <v/>
      </c>
      <c r="J3904" s="11" t="n">
        <v/>
      </c>
      <c r="K3904" s="4" t="inlineStr">
        <is>
          <t>Stundensätze eingeben</t>
        </is>
      </c>
    </row>
    <row r="3905">
      <c r="A3905" s="4" t="inlineStr">
        <is>
          <t>6974 IO-Diehl-Fast-Track-V2-AHO-Liegenschaft-Maasberg-Mariahütte</t>
        </is>
      </c>
      <c r="B3905" s="4" t="inlineStr">
        <is>
          <t>● • (p) LP 1 Grundlagenermittlung</t>
        </is>
      </c>
      <c r="C3905" s="4" t="inlineStr">
        <is>
          <t>Pauschale</t>
        </is>
      </c>
      <c r="D3905" s="10" t="inlineStr">
        <is>
          <t>⚠ Manual erforderlich</t>
        </is>
      </c>
      <c r="E3905" s="11" t="inlineStr"/>
      <c r="F3905" s="11" t="n">
        <v>0</v>
      </c>
      <c r="G3905" s="11">
        <f>E3905-F3905</f>
        <v/>
      </c>
      <c r="H3905" s="11" t="n">
        <v>0</v>
      </c>
      <c r="I3905" s="11" t="n">
        <v>0</v>
      </c>
      <c r="J3905" s="11" t="n">
        <v>0</v>
      </c>
      <c r="K3905" s="4" t="inlineStr">
        <is>
          <t>Stundensätze eingeben</t>
        </is>
      </c>
    </row>
    <row r="3906">
      <c r="A3906" s="4" t="inlineStr">
        <is>
          <t>6974 IO-Diehl-Fast-Track-V2-AHO-Liegenschaft-Maasberg-Mariahütte</t>
        </is>
      </c>
      <c r="B3906" s="4" t="inlineStr">
        <is>
          <t>● • (p) LP 2 Vorplanung</t>
        </is>
      </c>
      <c r="C3906" s="4" t="inlineStr">
        <is>
          <t>Pauschale</t>
        </is>
      </c>
      <c r="D3906" s="10" t="inlineStr">
        <is>
          <t>⚠ Manual erforderlich</t>
        </is>
      </c>
      <c r="E3906" s="11" t="inlineStr"/>
      <c r="F3906" s="11" t="n">
        <v>0</v>
      </c>
      <c r="G3906" s="11">
        <f>E3906-F3906</f>
        <v/>
      </c>
      <c r="H3906" s="11" t="n">
        <v>0</v>
      </c>
      <c r="I3906" s="11" t="n">
        <v>0</v>
      </c>
      <c r="J3906" s="11" t="n">
        <v>0</v>
      </c>
      <c r="K3906" s="4" t="inlineStr">
        <is>
          <t>Stundensätze eingeben</t>
        </is>
      </c>
    </row>
    <row r="3907">
      <c r="A3907" s="4" t="inlineStr">
        <is>
          <t>6974 IO-Diehl-Fast-Track-V2-AHO-Liegenschaft-Maasberg-Mariahütte</t>
        </is>
      </c>
      <c r="B3907" s="4" t="inlineStr">
        <is>
          <t>● • (p) LP 3 Entwurfsplanung</t>
        </is>
      </c>
      <c r="C3907" s="4" t="inlineStr">
        <is>
          <t>Pauschale</t>
        </is>
      </c>
      <c r="D3907" s="10" t="inlineStr">
        <is>
          <t>⚠ Manual erforderlich</t>
        </is>
      </c>
      <c r="E3907" s="11" t="inlineStr"/>
      <c r="F3907" s="11" t="n">
        <v>0</v>
      </c>
      <c r="G3907" s="11">
        <f>E3907-F3907</f>
        <v/>
      </c>
      <c r="H3907" s="11" t="n">
        <v/>
      </c>
      <c r="I3907" s="11" t="n">
        <v/>
      </c>
      <c r="J3907" s="11" t="n">
        <v/>
      </c>
      <c r="K3907" s="4" t="inlineStr">
        <is>
          <t>Stundensätze eingeben</t>
        </is>
      </c>
    </row>
    <row r="3908">
      <c r="A3908" s="4" t="inlineStr">
        <is>
          <t>6974 IO-Diehl-Fast-Track-V2-AHO-Liegenschaft-Maasberg-Mariahütte</t>
        </is>
      </c>
      <c r="B3908" s="4" t="inlineStr">
        <is>
          <t>● • (p) LP 4 Genehmigungsplanung</t>
        </is>
      </c>
      <c r="C3908" s="4" t="inlineStr">
        <is>
          <t>Pauschale</t>
        </is>
      </c>
      <c r="D3908" s="10" t="inlineStr">
        <is>
          <t>⚠ Manual erforderlich</t>
        </is>
      </c>
      <c r="E3908" s="11" t="inlineStr"/>
      <c r="F3908" s="11" t="n">
        <v>0</v>
      </c>
      <c r="G3908" s="11">
        <f>E3908-F3908</f>
        <v/>
      </c>
      <c r="H3908" s="11" t="n">
        <v/>
      </c>
      <c r="I3908" s="11" t="n">
        <v/>
      </c>
      <c r="J3908" s="11" t="n">
        <v/>
      </c>
      <c r="K3908" s="4" t="inlineStr">
        <is>
          <t>Stundensätze eingeben</t>
        </is>
      </c>
    </row>
    <row r="3909">
      <c r="A3909" s="4" t="inlineStr">
        <is>
          <t>6974 IO-Diehl-Fast-Track-V2-AHO-Liegenschaft-Maasberg-Mariahütte</t>
        </is>
      </c>
      <c r="B3909" s="4" t="inlineStr">
        <is>
          <t>● • ‧ H74</t>
        </is>
      </c>
      <c r="C3909" s="9" t="inlineStr">
        <is>
          <t>Unbekannt</t>
        </is>
      </c>
      <c r="D3909" s="10" t="inlineStr">
        <is>
          <t>⚠ Manual erforderlich</t>
        </is>
      </c>
      <c r="E3909" s="11" t="inlineStr"/>
      <c r="F3909" s="11" t="n">
        <v>0</v>
      </c>
      <c r="G3909" s="11">
        <f>E3909-F3909</f>
        <v/>
      </c>
      <c r="H3909" s="11" t="n">
        <v/>
      </c>
      <c r="I3909" s="11" t="n">
        <v/>
      </c>
      <c r="J3909" s="11" t="n">
        <v/>
      </c>
      <c r="K3909" s="4" t="inlineStr">
        <is>
          <t>Abrechnungsart wählen; Stundensätze eingeben</t>
        </is>
      </c>
    </row>
    <row r="3910">
      <c r="A3910" s="4" t="inlineStr">
        <is>
          <t>6974 IO-Diehl-Fast-Track-V2-AHO-Liegenschaft-Maasberg-Mariahütte</t>
        </is>
      </c>
      <c r="B3910" s="4" t="inlineStr">
        <is>
          <t>● • ‧ ‧ (p) LP 3 Entwurfsplanung</t>
        </is>
      </c>
      <c r="C3910" s="4" t="inlineStr">
        <is>
          <t>Pauschale</t>
        </is>
      </c>
      <c r="D3910" s="10" t="inlineStr">
        <is>
          <t>⚠ Manual erforderlich</t>
        </is>
      </c>
      <c r="E3910" s="11" t="inlineStr"/>
      <c r="F3910" s="11" t="n">
        <v>0</v>
      </c>
      <c r="G3910" s="11">
        <f>E3910-F3910</f>
        <v/>
      </c>
      <c r="H3910" s="11" t="n">
        <v>0</v>
      </c>
      <c r="I3910" s="11" t="n">
        <v>0</v>
      </c>
      <c r="J3910" s="11" t="n">
        <v>0</v>
      </c>
      <c r="K3910" s="4" t="inlineStr">
        <is>
          <t>Stundensätze eingeben</t>
        </is>
      </c>
    </row>
    <row r="3911">
      <c r="A3911" s="4" t="inlineStr">
        <is>
          <t>6974 IO-Diehl-Fast-Track-V2-AHO-Liegenschaft-Maasberg-Mariahütte</t>
        </is>
      </c>
      <c r="B3911" s="4" t="inlineStr">
        <is>
          <t>● • ‧ ‧ ‧ SV</t>
        </is>
      </c>
      <c r="C3911" s="9" t="inlineStr">
        <is>
          <t>Unbekannt</t>
        </is>
      </c>
      <c r="D3911" s="10" t="inlineStr">
        <is>
          <t>⚠ Manual erforderlich</t>
        </is>
      </c>
      <c r="E3911" s="11" t="inlineStr"/>
      <c r="F3911" s="11" t="n">
        <v>0</v>
      </c>
      <c r="G3911" s="11">
        <f>E3911-F3911</f>
        <v/>
      </c>
      <c r="H3911" s="11" t="n">
        <v/>
      </c>
      <c r="I3911" s="11" t="n">
        <v/>
      </c>
      <c r="J3911" s="11" t="n">
        <v/>
      </c>
      <c r="K3911" s="4" t="inlineStr">
        <is>
          <t>Abrechnungsart wählen; Stundensätze eingeben</t>
        </is>
      </c>
    </row>
    <row r="3912">
      <c r="A3912" s="4" t="inlineStr">
        <is>
          <t>6974 IO-Diehl-Fast-Track-V2-AHO-Liegenschaft-Maasberg-Mariahütte</t>
        </is>
      </c>
      <c r="B3912" s="4" t="inlineStr">
        <is>
          <t>● • ‧ ‧ ‧ CAD</t>
        </is>
      </c>
      <c r="C3912" s="9" t="inlineStr">
        <is>
          <t>Unbekannt</t>
        </is>
      </c>
      <c r="D3912" s="10" t="inlineStr">
        <is>
          <t>⚠ Manual erforderlich</t>
        </is>
      </c>
      <c r="E3912" s="11" t="inlineStr"/>
      <c r="F3912" s="11" t="n">
        <v>0</v>
      </c>
      <c r="G3912" s="11">
        <f>E3912-F3912</f>
        <v/>
      </c>
      <c r="H3912" s="11" t="n">
        <v/>
      </c>
      <c r="I3912" s="11" t="n">
        <v/>
      </c>
      <c r="J3912" s="11" t="n">
        <v/>
      </c>
      <c r="K3912" s="4" t="inlineStr">
        <is>
          <t>Abrechnungsart wählen; Stundensätze eingeben</t>
        </is>
      </c>
    </row>
    <row r="3913">
      <c r="A3913" s="4" t="inlineStr">
        <is>
          <t>6974 IO-Diehl-Fast-Track-V2-AHO-Liegenschaft-Maasberg-Mariahütte</t>
        </is>
      </c>
      <c r="B3913" s="4" t="inlineStr">
        <is>
          <t>● • ‧ ‧ ‧ LP 5 RL</t>
        </is>
      </c>
      <c r="C3913" s="9" t="inlineStr">
        <is>
          <t>Unbekannt</t>
        </is>
      </c>
      <c r="D3913" s="10" t="inlineStr">
        <is>
          <t>⚠ Manual erforderlich</t>
        </is>
      </c>
      <c r="E3913" s="11" t="inlineStr"/>
      <c r="F3913" s="11" t="n">
        <v>0</v>
      </c>
      <c r="G3913" s="11">
        <f>E3913-F3913</f>
        <v/>
      </c>
      <c r="H3913" s="11" t="n">
        <v/>
      </c>
      <c r="I3913" s="11" t="n">
        <v/>
      </c>
      <c r="J3913" s="11" t="n">
        <v/>
      </c>
      <c r="K3913" s="4" t="inlineStr">
        <is>
          <t>Abrechnungsart wählen; Stundensätze eingeben</t>
        </is>
      </c>
    </row>
    <row r="3914">
      <c r="A3914" s="4" t="inlineStr">
        <is>
          <t>6974 IO-Diehl-Fast-Track-V2-AHO-Liegenschaft-Maasberg-Mariahütte</t>
        </is>
      </c>
      <c r="B3914" s="4" t="inlineStr">
        <is>
          <t>● • ‧ ‧ ‧ LP 5 BL Unterstützung Evakuierungs-/Betreiberkonzept</t>
        </is>
      </c>
      <c r="C3914" s="9" t="inlineStr">
        <is>
          <t>Unbekannt</t>
        </is>
      </c>
      <c r="D3914" s="10" t="inlineStr">
        <is>
          <t>⚠ Manual erforderlich</t>
        </is>
      </c>
      <c r="E3914" s="11" t="inlineStr"/>
      <c r="F3914" s="11" t="n">
        <v>0</v>
      </c>
      <c r="G3914" s="11">
        <f>E3914-F3914</f>
        <v/>
      </c>
      <c r="H3914" s="11" t="n">
        <v/>
      </c>
      <c r="I3914" s="11" t="n">
        <v/>
      </c>
      <c r="J3914" s="11" t="n">
        <v/>
      </c>
      <c r="K3914" s="4" t="inlineStr">
        <is>
          <t>Abrechnungsart wählen; Stundensätze eingeben</t>
        </is>
      </c>
    </row>
    <row r="3915">
      <c r="A3915" s="4" t="inlineStr">
        <is>
          <t>6974 IO-Diehl-Fast-Track-V2-AHO-Liegenschaft-Maasberg-Mariahütte</t>
        </is>
      </c>
      <c r="B3915" s="4" t="inlineStr">
        <is>
          <t>● • ‧ ‧ Verlängerung Medientunnel vorab, BAU offen</t>
        </is>
      </c>
      <c r="C3915" s="9" t="inlineStr">
        <is>
          <t>Unbekannt</t>
        </is>
      </c>
      <c r="D3915" s="10" t="inlineStr">
        <is>
          <t>⚠ Manual erforderlich</t>
        </is>
      </c>
      <c r="E3915" s="11" t="inlineStr"/>
      <c r="F3915" s="11" t="n">
        <v>0</v>
      </c>
      <c r="G3915" s="11">
        <f>E3915-F3915</f>
        <v/>
      </c>
      <c r="H3915" s="11" t="n">
        <v/>
      </c>
      <c r="I3915" s="11" t="n">
        <v/>
      </c>
      <c r="J3915" s="11" t="n">
        <v/>
      </c>
      <c r="K3915" s="4" t="inlineStr">
        <is>
          <t>Abrechnungsart wählen; Stundensätze eingeben</t>
        </is>
      </c>
    </row>
    <row r="3916">
      <c r="A3916" s="4" t="inlineStr">
        <is>
          <t>6974 IO-Diehl-Fast-Track-V2-AHO-Liegenschaft-Maasberg-Mariahütte</t>
        </is>
      </c>
      <c r="B3916" s="4" t="inlineStr">
        <is>
          <t>● • ‧ ‧ (p) LP 3 Entwurfsplanung</t>
        </is>
      </c>
      <c r="C3916" s="4" t="inlineStr">
        <is>
          <t>Pauschale</t>
        </is>
      </c>
      <c r="D3916" s="10" t="inlineStr">
        <is>
          <t>⚠ Manual erforderlich</t>
        </is>
      </c>
      <c r="E3916" s="11" t="inlineStr"/>
      <c r="F3916" s="11" t="n">
        <v>0</v>
      </c>
      <c r="G3916" s="11">
        <f>E3916-F3916</f>
        <v/>
      </c>
      <c r="H3916" s="11" t="n">
        <v>0</v>
      </c>
      <c r="I3916" s="11" t="n">
        <v>0</v>
      </c>
      <c r="J3916" s="11" t="n">
        <v>0</v>
      </c>
      <c r="K3916" s="4" t="inlineStr">
        <is>
          <t>Stundensätze eingeben</t>
        </is>
      </c>
    </row>
    <row r="3917">
      <c r="A3917" s="4" t="inlineStr">
        <is>
          <t>6974 IO-Diehl-Fast-Track-V2-AHO-Liegenschaft-Maasberg-Mariahütte</t>
        </is>
      </c>
      <c r="B3917" s="4" t="inlineStr">
        <is>
          <t>● • ‧ ‧ ‧ SV</t>
        </is>
      </c>
      <c r="C3917" s="9" t="inlineStr">
        <is>
          <t>Unbekannt</t>
        </is>
      </c>
      <c r="D3917" s="10" t="inlineStr">
        <is>
          <t>⚠ Manual erforderlich</t>
        </is>
      </c>
      <c r="E3917" s="11" t="inlineStr"/>
      <c r="F3917" s="11" t="n">
        <v>0</v>
      </c>
      <c r="G3917" s="11">
        <f>E3917-F3917</f>
        <v/>
      </c>
      <c r="H3917" s="11" t="n">
        <v/>
      </c>
      <c r="I3917" s="11" t="n">
        <v/>
      </c>
      <c r="J3917" s="11" t="n">
        <v/>
      </c>
      <c r="K3917" s="4" t="inlineStr">
        <is>
          <t>Abrechnungsart wählen; Stundensätze eingeben</t>
        </is>
      </c>
    </row>
    <row r="3918">
      <c r="A3918" s="4" t="inlineStr">
        <is>
          <t>6974 IO-Diehl-Fast-Track-V2-AHO-Liegenschaft-Maasberg-Mariahütte</t>
        </is>
      </c>
      <c r="B3918" s="4" t="inlineStr">
        <is>
          <t>● • ‧ ‧ ‧ CAD</t>
        </is>
      </c>
      <c r="C3918" s="9" t="inlineStr">
        <is>
          <t>Unbekannt</t>
        </is>
      </c>
      <c r="D3918" s="10" t="inlineStr">
        <is>
          <t>⚠ Manual erforderlich</t>
        </is>
      </c>
      <c r="E3918" s="11" t="inlineStr"/>
      <c r="F3918" s="11" t="n">
        <v>0</v>
      </c>
      <c r="G3918" s="11">
        <f>E3918-F3918</f>
        <v/>
      </c>
      <c r="H3918" s="11" t="n">
        <v/>
      </c>
      <c r="I3918" s="11" t="n">
        <v/>
      </c>
      <c r="J3918" s="11" t="n">
        <v/>
      </c>
      <c r="K3918" s="4" t="inlineStr">
        <is>
          <t>Abrechnungsart wählen; Stundensätze eingeben</t>
        </is>
      </c>
    </row>
    <row r="3919">
      <c r="A3919" s="4" t="inlineStr">
        <is>
          <t>6974 IO-Diehl-Fast-Track-V2-AHO-Liegenschaft-Maasberg-Mariahütte</t>
        </is>
      </c>
      <c r="B3919" s="4" t="inlineStr">
        <is>
          <t>● • ‧ ‧ ‧ LP 5 RL</t>
        </is>
      </c>
      <c r="C3919" s="9" t="inlineStr">
        <is>
          <t>Unbekannt</t>
        </is>
      </c>
      <c r="D3919" s="10" t="inlineStr">
        <is>
          <t>⚠ Manual erforderlich</t>
        </is>
      </c>
      <c r="E3919" s="11" t="inlineStr"/>
      <c r="F3919" s="11" t="n">
        <v>0</v>
      </c>
      <c r="G3919" s="11">
        <f>E3919-F3919</f>
        <v/>
      </c>
      <c r="H3919" s="11" t="n">
        <v/>
      </c>
      <c r="I3919" s="11" t="n">
        <v/>
      </c>
      <c r="J3919" s="11" t="n">
        <v/>
      </c>
      <c r="K3919" s="4" t="inlineStr">
        <is>
          <t>Abrechnungsart wählen; Stundensätze eingeben</t>
        </is>
      </c>
    </row>
    <row r="3920">
      <c r="A3920" s="4" t="inlineStr">
        <is>
          <t>6974 IO-Diehl-Fast-Track-V2-AHO-Liegenschaft-Maasberg-Mariahütte</t>
        </is>
      </c>
      <c r="B3920" s="4" t="inlineStr">
        <is>
          <t>● • ‧ ‧ ‧ LP 5 BL Unterstützung Evakuierungs-/Betreiberkonzept</t>
        </is>
      </c>
      <c r="C3920" s="9" t="inlineStr">
        <is>
          <t>Unbekannt</t>
        </is>
      </c>
      <c r="D3920" s="10" t="inlineStr">
        <is>
          <t>⚠ Manual erforderlich</t>
        </is>
      </c>
      <c r="E3920" s="11" t="inlineStr"/>
      <c r="F3920" s="11" t="n">
        <v>0</v>
      </c>
      <c r="G3920" s="11">
        <f>E3920-F3920</f>
        <v/>
      </c>
      <c r="H3920" s="11" t="n">
        <v/>
      </c>
      <c r="I3920" s="11" t="n">
        <v/>
      </c>
      <c r="J3920" s="11" t="n">
        <v/>
      </c>
      <c r="K3920" s="4" t="inlineStr">
        <is>
          <t>Abrechnungsart wählen; Stundensätze eingeben</t>
        </is>
      </c>
    </row>
    <row r="3921">
      <c r="A3921" s="4" t="inlineStr">
        <is>
          <t>6974 IO-Diehl-Fast-Track-V2-AHO-Liegenschaft-Maasberg-Mariahütte</t>
        </is>
      </c>
      <c r="B3921" s="4" t="inlineStr">
        <is>
          <t>● • ‧ ‧ (p) LP 3 Entwurfsplanung</t>
        </is>
      </c>
      <c r="C3921" s="4" t="inlineStr">
        <is>
          <t>Pauschale</t>
        </is>
      </c>
      <c r="D3921" s="10" t="inlineStr">
        <is>
          <t>⚠ Manual erforderlich</t>
        </is>
      </c>
      <c r="E3921" s="11" t="inlineStr"/>
      <c r="F3921" s="11" t="n">
        <v>0</v>
      </c>
      <c r="G3921" s="11">
        <f>E3921-F3921</f>
        <v/>
      </c>
      <c r="H3921" s="11" t="n">
        <v>0</v>
      </c>
      <c r="I3921" s="11" t="n">
        <v>0</v>
      </c>
      <c r="J3921" s="11" t="n">
        <v>0</v>
      </c>
      <c r="K3921" s="4" t="inlineStr">
        <is>
          <t>Stundensätze eingeben</t>
        </is>
      </c>
    </row>
    <row r="3922">
      <c r="A3922" s="4" t="inlineStr">
        <is>
          <t>6974 IO-Diehl-Fast-Track-V2-AHO-Liegenschaft-Maasberg-Mariahütte</t>
        </is>
      </c>
      <c r="B3922" s="4" t="inlineStr">
        <is>
          <t>● • ‧ ‧ ‧ SV</t>
        </is>
      </c>
      <c r="C3922" s="9" t="inlineStr">
        <is>
          <t>Unbekannt</t>
        </is>
      </c>
      <c r="D3922" s="10" t="inlineStr">
        <is>
          <t>⚠ Manual erforderlich</t>
        </is>
      </c>
      <c r="E3922" s="11" t="inlineStr"/>
      <c r="F3922" s="11" t="n">
        <v>0</v>
      </c>
      <c r="G3922" s="11">
        <f>E3922-F3922</f>
        <v/>
      </c>
      <c r="H3922" s="11" t="n">
        <v/>
      </c>
      <c r="I3922" s="11" t="n">
        <v/>
      </c>
      <c r="J3922" s="11" t="n">
        <v/>
      </c>
      <c r="K3922" s="4" t="inlineStr">
        <is>
          <t>Abrechnungsart wählen; Stundensätze eingeben</t>
        </is>
      </c>
    </row>
    <row r="3923">
      <c r="A3923" s="4" t="inlineStr">
        <is>
          <t>6974 IO-Diehl-Fast-Track-V2-AHO-Liegenschaft-Maasberg-Mariahütte</t>
        </is>
      </c>
      <c r="B3923" s="4" t="inlineStr">
        <is>
          <t>● • ‧ ‧ ‧ CAD</t>
        </is>
      </c>
      <c r="C3923" s="9" t="inlineStr">
        <is>
          <t>Unbekannt</t>
        </is>
      </c>
      <c r="D3923" s="10" t="inlineStr">
        <is>
          <t>⚠ Manual erforderlich</t>
        </is>
      </c>
      <c r="E3923" s="11" t="inlineStr"/>
      <c r="F3923" s="11" t="n">
        <v>0</v>
      </c>
      <c r="G3923" s="11">
        <f>E3923-F3923</f>
        <v/>
      </c>
      <c r="H3923" s="11" t="n">
        <v/>
      </c>
      <c r="I3923" s="11" t="n">
        <v/>
      </c>
      <c r="J3923" s="11" t="n">
        <v/>
      </c>
      <c r="K3923" s="4" t="inlineStr">
        <is>
          <t>Abrechnungsart wählen; Stundensätze eingeben</t>
        </is>
      </c>
    </row>
    <row r="3924">
      <c r="A3924" s="4" t="inlineStr">
        <is>
          <t>6974 IO-Diehl-Fast-Track-V2-AHO-Liegenschaft-Maasberg-Mariahütte</t>
        </is>
      </c>
      <c r="B3924" s="4" t="inlineStr">
        <is>
          <t>● • ‧ ‧ ‧ LP 5 RL</t>
        </is>
      </c>
      <c r="C3924" s="9" t="inlineStr">
        <is>
          <t>Unbekannt</t>
        </is>
      </c>
      <c r="D3924" s="10" t="inlineStr">
        <is>
          <t>⚠ Manual erforderlich</t>
        </is>
      </c>
      <c r="E3924" s="11" t="inlineStr"/>
      <c r="F3924" s="11" t="n">
        <v>0</v>
      </c>
      <c r="G3924" s="11">
        <f>E3924-F3924</f>
        <v/>
      </c>
      <c r="H3924" s="11" t="n">
        <v/>
      </c>
      <c r="I3924" s="11" t="n">
        <v/>
      </c>
      <c r="J3924" s="11" t="n">
        <v/>
      </c>
      <c r="K3924" s="4" t="inlineStr">
        <is>
          <t>Abrechnungsart wählen; Stundensätze eingeben</t>
        </is>
      </c>
    </row>
    <row r="3925">
      <c r="A3925" s="4" t="inlineStr">
        <is>
          <t>6974 IO-Diehl-Fast-Track-V2-AHO-Liegenschaft-Maasberg-Mariahütte</t>
        </is>
      </c>
      <c r="B3925" s="4" t="inlineStr">
        <is>
          <t>● • ‧ ‧ ‧ LP 5 BL Unterstützung Evakuierungs-/Betreiberkonzept</t>
        </is>
      </c>
      <c r="C3925" s="9" t="inlineStr">
        <is>
          <t>Unbekannt</t>
        </is>
      </c>
      <c r="D3925" s="10" t="inlineStr">
        <is>
          <t>⚠ Manual erforderlich</t>
        </is>
      </c>
      <c r="E3925" s="11" t="inlineStr"/>
      <c r="F3925" s="11" t="n">
        <v>0</v>
      </c>
      <c r="G3925" s="11">
        <f>E3925-F3925</f>
        <v/>
      </c>
      <c r="H3925" s="11" t="n">
        <v/>
      </c>
      <c r="I3925" s="11" t="n">
        <v/>
      </c>
      <c r="J3925" s="11" t="n">
        <v/>
      </c>
      <c r="K3925" s="4" t="inlineStr">
        <is>
          <t>Abrechnungsart wählen; Stundensätze eingeben</t>
        </is>
      </c>
    </row>
    <row r="3926">
      <c r="A3926" s="4" t="inlineStr">
        <is>
          <t>6974 IO-Diehl-Fast-Track-V2-AHO-Liegenschaft-Maasberg-Mariahütte</t>
        </is>
      </c>
      <c r="B3926" s="4" t="inlineStr">
        <is>
          <t>● • ‧ ‧ LOS 1 OL LP 3</t>
        </is>
      </c>
      <c r="C3926" s="9" t="inlineStr">
        <is>
          <t>Unbekannt</t>
        </is>
      </c>
      <c r="D3926" s="10" t="inlineStr">
        <is>
          <t>⚠ Manual erforderlich</t>
        </is>
      </c>
      <c r="E3926" s="11" t="inlineStr"/>
      <c r="F3926" s="11" t="n">
        <v>0</v>
      </c>
      <c r="G3926" s="11">
        <f>E3926-F3926</f>
        <v/>
      </c>
      <c r="H3926" s="11" t="n">
        <v/>
      </c>
      <c r="I3926" s="11" t="n">
        <v/>
      </c>
      <c r="J3926" s="11" t="n">
        <v/>
      </c>
      <c r="K3926" s="4" t="inlineStr">
        <is>
          <t>Abrechnungsart wählen; Stundensätze eingeben</t>
        </is>
      </c>
    </row>
    <row r="3927">
      <c r="A3927" s="4" t="inlineStr">
        <is>
          <t>6974 IO-Diehl-Fast-Track-V2-AHO-Liegenschaft-Maasberg-Mariahütte</t>
        </is>
      </c>
      <c r="B3927" s="4" t="inlineStr">
        <is>
          <t>● • ‧ ‧ LOS 1 OL LP 4</t>
        </is>
      </c>
      <c r="C3927" s="9" t="inlineStr">
        <is>
          <t>Unbekannt</t>
        </is>
      </c>
      <c r="D3927" s="10" t="inlineStr">
        <is>
          <t>⚠ Manual erforderlich</t>
        </is>
      </c>
      <c r="E3927" s="11" t="inlineStr"/>
      <c r="F3927" s="11" t="n">
        <v>0</v>
      </c>
      <c r="G3927" s="11">
        <f>E3927-F3927</f>
        <v/>
      </c>
      <c r="H3927" s="11" t="n">
        <v/>
      </c>
      <c r="I3927" s="11" t="n">
        <v/>
      </c>
      <c r="J3927" s="11" t="n">
        <v/>
      </c>
      <c r="K3927" s="4" t="inlineStr">
        <is>
          <t>Abrechnungsart wählen; Stundensätze eingeben</t>
        </is>
      </c>
    </row>
    <row r="3928">
      <c r="A3928" s="4" t="inlineStr">
        <is>
          <t>6974 IO-Diehl-Fast-Track-V2-AHO-Liegenschaft-Maasberg-Mariahütte</t>
        </is>
      </c>
      <c r="B3928" s="4" t="inlineStr">
        <is>
          <t>● • ‧ LP 5 Stundendsammler vorab &gt; wird der genutzt?</t>
        </is>
      </c>
      <c r="C3928" s="9" t="inlineStr">
        <is>
          <t>Unbekannt</t>
        </is>
      </c>
      <c r="D3928" s="10" t="inlineStr">
        <is>
          <t>⚠ Manual erforderlich</t>
        </is>
      </c>
      <c r="E3928" s="11" t="inlineStr"/>
      <c r="F3928" s="11" t="n">
        <v>0</v>
      </c>
      <c r="G3928" s="11">
        <f>E3928-F3928</f>
        <v/>
      </c>
      <c r="H3928" s="11" t="n">
        <v/>
      </c>
      <c r="I3928" s="11" t="n">
        <v/>
      </c>
      <c r="J3928" s="11" t="n">
        <v/>
      </c>
      <c r="K3928" s="4" t="inlineStr">
        <is>
          <t>Abrechnungsart wählen; Stundensätze eingeben</t>
        </is>
      </c>
    </row>
    <row r="3929">
      <c r="A3929" s="4" t="inlineStr">
        <is>
          <t>6974 IO-Diehl-Fast-Track-V2-AHO-Liegenschaft-Maasberg-Mariahütte</t>
        </is>
      </c>
      <c r="B3929" s="4" t="inlineStr">
        <is>
          <t>● • ‧ ENTFÄLLT? 04 Integrationsgebäude 2 ENTFÄLLT</t>
        </is>
      </c>
      <c r="C3929" s="9" t="inlineStr">
        <is>
          <t>Unbekannt</t>
        </is>
      </c>
      <c r="D3929" s="10" t="inlineStr">
        <is>
          <t>⚠ Manual erforderlich</t>
        </is>
      </c>
      <c r="E3929" s="11" t="inlineStr"/>
      <c r="F3929" s="11" t="n">
        <v>0</v>
      </c>
      <c r="G3929" s="11">
        <f>E3929-F3929</f>
        <v/>
      </c>
      <c r="H3929" s="11" t="n">
        <v/>
      </c>
      <c r="I3929" s="11" t="n">
        <v/>
      </c>
      <c r="J3929" s="11" t="n">
        <v/>
      </c>
      <c r="K3929" s="4" t="inlineStr">
        <is>
          <t>Abrechnungsart wählen; Stundensätze eingeben</t>
        </is>
      </c>
    </row>
    <row r="3930">
      <c r="A3930" s="4" t="inlineStr">
        <is>
          <t>6974 IO-Diehl-Fast-Track-V2-AHO-Liegenschaft-Maasberg-Mariahütte</t>
        </is>
      </c>
      <c r="B3930" s="4" t="inlineStr">
        <is>
          <t>● • ‧ 05 Pressengebäude</t>
        </is>
      </c>
      <c r="C3930" s="9" t="inlineStr">
        <is>
          <t>Unbekannt</t>
        </is>
      </c>
      <c r="D3930" s="10" t="inlineStr">
        <is>
          <t>⚠ Manual erforderlich</t>
        </is>
      </c>
      <c r="E3930" s="11" t="inlineStr"/>
      <c r="F3930" s="11" t="n">
        <v>0</v>
      </c>
      <c r="G3930" s="11">
        <f>E3930-F3930</f>
        <v/>
      </c>
      <c r="H3930" s="11" t="n">
        <v/>
      </c>
      <c r="I3930" s="11" t="n">
        <v/>
      </c>
      <c r="J3930" s="11" t="n">
        <v/>
      </c>
      <c r="K3930" s="4" t="inlineStr">
        <is>
          <t>Abrechnungsart wählen; Stundensätze eingeben</t>
        </is>
      </c>
    </row>
    <row r="3931">
      <c r="A3931" s="4" t="inlineStr">
        <is>
          <t>6974 IO-Diehl-Fast-Track-V2-AHO-Liegenschaft-Maasberg-Mariahütte</t>
        </is>
      </c>
      <c r="B3931" s="4" t="inlineStr">
        <is>
          <t>● • ‧ 06 Röntgengebäude</t>
        </is>
      </c>
      <c r="C3931" s="9" t="inlineStr">
        <is>
          <t>Unbekannt</t>
        </is>
      </c>
      <c r="D3931" s="10" t="inlineStr">
        <is>
          <t>⚠ Manual erforderlich</t>
        </is>
      </c>
      <c r="E3931" s="11" t="inlineStr"/>
      <c r="F3931" s="11" t="n">
        <v>0</v>
      </c>
      <c r="G3931" s="11">
        <f>E3931-F3931</f>
        <v/>
      </c>
      <c r="H3931" s="11" t="n">
        <v/>
      </c>
      <c r="I3931" s="11" t="n">
        <v/>
      </c>
      <c r="J3931" s="11" t="n">
        <v/>
      </c>
      <c r="K3931" s="4" t="inlineStr">
        <is>
          <t>Abrechnungsart wählen; Stundensätze eingeben</t>
        </is>
      </c>
    </row>
    <row r="3932">
      <c r="A3932" s="4" t="inlineStr">
        <is>
          <t>6974 IO-Diehl-Fast-Track-V2-AHO-Liegenschaft-Maasberg-Mariahütte</t>
        </is>
      </c>
      <c r="B3932" s="4" t="inlineStr">
        <is>
          <t>● • ‧ ANG in BEA! 07 Laborgebäude</t>
        </is>
      </c>
      <c r="C3932" s="9" t="inlineStr">
        <is>
          <t>Unbekannt</t>
        </is>
      </c>
      <c r="D3932" s="10" t="inlineStr">
        <is>
          <t>⚠ Manual erforderlich</t>
        </is>
      </c>
      <c r="E3932" s="11" t="inlineStr"/>
      <c r="F3932" s="11" t="n">
        <v>0</v>
      </c>
      <c r="G3932" s="11">
        <f>E3932-F3932</f>
        <v/>
      </c>
      <c r="H3932" s="11" t="n">
        <v/>
      </c>
      <c r="I3932" s="11" t="n">
        <v/>
      </c>
      <c r="J3932" s="11" t="n">
        <v/>
      </c>
      <c r="K3932" s="4" t="inlineStr">
        <is>
          <t>Abrechnungsart wählen; Stundensätze eingeben</t>
        </is>
      </c>
    </row>
    <row r="3933">
      <c r="A3933" s="4" t="inlineStr">
        <is>
          <t>6974 IO-Diehl-Fast-Track-V2-AHO-Liegenschaft-Maasberg-Mariahütte</t>
        </is>
      </c>
      <c r="B3933" s="4" t="inlineStr">
        <is>
          <t>● • ‧ 08 Gebäude f. weitere Funktionen</t>
        </is>
      </c>
      <c r="C3933" s="9" t="inlineStr">
        <is>
          <t>Unbekannt</t>
        </is>
      </c>
      <c r="D3933" s="10" t="inlineStr">
        <is>
          <t>⚠ Manual erforderlich</t>
        </is>
      </c>
      <c r="E3933" s="11" t="inlineStr"/>
      <c r="F3933" s="11" t="n">
        <v>0</v>
      </c>
      <c r="G3933" s="11">
        <f>E3933-F3933</f>
        <v/>
      </c>
      <c r="H3933" s="11" t="n">
        <v/>
      </c>
      <c r="I3933" s="11" t="n">
        <v/>
      </c>
      <c r="J3933" s="11" t="n">
        <v/>
      </c>
      <c r="K3933" s="4" t="inlineStr">
        <is>
          <t>Abrechnungsart wählen; Stundensätze eingeben</t>
        </is>
      </c>
    </row>
    <row r="3934">
      <c r="A3934" s="4" t="inlineStr">
        <is>
          <t>6974 IO-Diehl-Fast-Track-V2-AHO-Liegenschaft-Maasberg-Mariahütte</t>
        </is>
      </c>
      <c r="B3934" s="4" t="inlineStr">
        <is>
          <t>● • ‧ AUF ABRUF! 09a-c Neubau Explosivstofflager (p) LP 1,2,3,4,8</t>
        </is>
      </c>
      <c r="C3934" s="4" t="inlineStr">
        <is>
          <t>Pauschale</t>
        </is>
      </c>
      <c r="D3934" s="10" t="inlineStr">
        <is>
          <t>⚠ Manual erforderlich</t>
        </is>
      </c>
      <c r="E3934" s="11" t="inlineStr"/>
      <c r="F3934" s="11" t="n">
        <v>0</v>
      </c>
      <c r="G3934" s="11">
        <f>E3934-F3934</f>
        <v/>
      </c>
      <c r="H3934" s="11" t="n">
        <v/>
      </c>
      <c r="I3934" s="11" t="n">
        <v/>
      </c>
      <c r="J3934" s="11" t="n">
        <v/>
      </c>
      <c r="K3934" s="4" t="inlineStr">
        <is>
          <t>Stundensätze eingeben</t>
        </is>
      </c>
    </row>
    <row r="3935">
      <c r="A3935" s="4" t="inlineStr">
        <is>
          <t>6974 IO-Diehl-Fast-Track-V2-AHO-Liegenschaft-Maasberg-Mariahütte</t>
        </is>
      </c>
      <c r="B3935" s="4" t="inlineStr">
        <is>
          <t>● • ‧ AUF ABRUF! 09d DINA Bunker (eh. 12DINA Bunker) (p) LP 1,2,3,4</t>
        </is>
      </c>
      <c r="C3935" s="4" t="inlineStr">
        <is>
          <t>Pauschale</t>
        </is>
      </c>
      <c r="D3935" s="10" t="inlineStr">
        <is>
          <t>⚠ Manual erforderlich</t>
        </is>
      </c>
      <c r="E3935" s="11" t="inlineStr"/>
      <c r="F3935" s="11" t="n">
        <v>0</v>
      </c>
      <c r="G3935" s="11">
        <f>E3935-F3935</f>
        <v/>
      </c>
      <c r="H3935" s="11" t="n">
        <v/>
      </c>
      <c r="I3935" s="11" t="n">
        <v/>
      </c>
      <c r="J3935" s="11" t="n">
        <v/>
      </c>
      <c r="K3935" s="4" t="inlineStr">
        <is>
          <t>Stundensätze eingeben</t>
        </is>
      </c>
    </row>
    <row r="3936">
      <c r="A3936" s="4" t="inlineStr">
        <is>
          <t>6974 IO-Diehl-Fast-Track-V2-AHO-Liegenschaft-Maasberg-Mariahütte</t>
        </is>
      </c>
      <c r="B3936" s="4" t="inlineStr">
        <is>
          <t>● • ‧ 10 DINA Gießgebäude</t>
        </is>
      </c>
      <c r="C3936" s="9" t="inlineStr">
        <is>
          <t>Unbekannt</t>
        </is>
      </c>
      <c r="D3936" s="10" t="inlineStr">
        <is>
          <t>⚠ Manual erforderlich</t>
        </is>
      </c>
      <c r="E3936" s="11" t="inlineStr"/>
      <c r="F3936" s="11" t="n">
        <v>0</v>
      </c>
      <c r="G3936" s="11">
        <f>E3936-F3936</f>
        <v/>
      </c>
      <c r="H3936" s="11" t="n">
        <v/>
      </c>
      <c r="I3936" s="11" t="n">
        <v/>
      </c>
      <c r="J3936" s="11" t="n">
        <v/>
      </c>
      <c r="K3936" s="4" t="inlineStr">
        <is>
          <t>Abrechnungsart wählen; Stundensätze eingeben</t>
        </is>
      </c>
    </row>
    <row r="3937">
      <c r="A3937" s="4" t="inlineStr">
        <is>
          <t>6974 IO-Diehl-Fast-Track-V2-AHO-Liegenschaft-Maasberg-Mariahütte</t>
        </is>
      </c>
      <c r="B3937" s="4" t="inlineStr">
        <is>
          <t>● • ‧ 11 DINALaboriergebäude 1 (eh. Integrationsgebäude 3) + 12 Umschlagplatz mit Geb.</t>
        </is>
      </c>
      <c r="C3937" s="9" t="inlineStr">
        <is>
          <t>Unbekannt</t>
        </is>
      </c>
      <c r="D3937" s="10" t="inlineStr">
        <is>
          <t>⚠ Manual erforderlich</t>
        </is>
      </c>
      <c r="E3937" s="11" t="inlineStr"/>
      <c r="F3937" s="11" t="n">
        <v>0</v>
      </c>
      <c r="G3937" s="11">
        <f>E3937-F3937</f>
        <v/>
      </c>
      <c r="H3937" s="11" t="n">
        <v/>
      </c>
      <c r="I3937" s="11" t="n">
        <v/>
      </c>
      <c r="J3937" s="11" t="n">
        <v/>
      </c>
      <c r="K3937" s="4" t="inlineStr">
        <is>
          <t>Abrechnungsart wählen; Stundensätze eingeben</t>
        </is>
      </c>
    </row>
    <row r="3938">
      <c r="A3938" s="4" t="inlineStr">
        <is>
          <t>6974 IO-Diehl-Fast-Track-V2-AHO-Liegenschaft-Maasberg-Mariahütte</t>
        </is>
      </c>
      <c r="B3938" s="4" t="inlineStr">
        <is>
          <t>● • ‧ 13 Integrationsgebäude RAS</t>
        </is>
      </c>
      <c r="C3938" s="9" t="inlineStr">
        <is>
          <t>Unbekannt</t>
        </is>
      </c>
      <c r="D3938" s="10" t="inlineStr">
        <is>
          <t>⚠ Manual erforderlich</t>
        </is>
      </c>
      <c r="E3938" s="11" t="inlineStr"/>
      <c r="F3938" s="11" t="n">
        <v>0</v>
      </c>
      <c r="G3938" s="11">
        <f>E3938-F3938</f>
        <v/>
      </c>
      <c r="H3938" s="11" t="n">
        <v/>
      </c>
      <c r="I3938" s="11" t="n">
        <v/>
      </c>
      <c r="J3938" s="11" t="n">
        <v/>
      </c>
      <c r="K3938" s="4" t="inlineStr">
        <is>
          <t>Abrechnungsart wählen; Stundensätze eingeben</t>
        </is>
      </c>
    </row>
    <row r="3939">
      <c r="A3939" s="4" t="inlineStr">
        <is>
          <t>6974 IO-Diehl-Fast-Track-V2-AHO-Liegenschaft-Maasberg-Mariahütte</t>
        </is>
      </c>
      <c r="B3939" s="4" t="inlineStr">
        <is>
          <t>● • ‧ OL LOS 2 gesamt</t>
        </is>
      </c>
      <c r="C3939" s="9" t="inlineStr">
        <is>
          <t>Unbekannt</t>
        </is>
      </c>
      <c r="D3939" s="10" t="inlineStr">
        <is>
          <t>⚠ Manual erforderlich</t>
        </is>
      </c>
      <c r="E3939" s="11" t="inlineStr"/>
      <c r="F3939" s="11" t="n">
        <v>0</v>
      </c>
      <c r="G3939" s="11">
        <f>E3939-F3939</f>
        <v/>
      </c>
      <c r="H3939" s="11" t="n">
        <v/>
      </c>
      <c r="I3939" s="11" t="n">
        <v/>
      </c>
      <c r="J3939" s="11" t="n">
        <v/>
      </c>
      <c r="K3939" s="4" t="inlineStr">
        <is>
          <t>Abrechnungsart wählen; Stundensätze eingeben</t>
        </is>
      </c>
    </row>
    <row r="3940">
      <c r="A3940" s="4" t="inlineStr">
        <is>
          <t>6974 IO-Diehl-Fast-Track-V2-AHO-Liegenschaft-Maasberg-Mariahütte</t>
        </is>
      </c>
      <c r="B3940" s="4" t="inlineStr">
        <is>
          <t>● • ‧ Neue Logistik Pforte</t>
        </is>
      </c>
      <c r="C3940" s="9" t="inlineStr">
        <is>
          <t>Unbekannt</t>
        </is>
      </c>
      <c r="D3940" s="10" t="inlineStr">
        <is>
          <t>⚠ Manual erforderlich</t>
        </is>
      </c>
      <c r="E3940" s="11" t="inlineStr"/>
      <c r="F3940" s="11" t="n">
        <v>0</v>
      </c>
      <c r="G3940" s="11">
        <f>E3940-F3940</f>
        <v/>
      </c>
      <c r="H3940" s="11" t="n">
        <v/>
      </c>
      <c r="I3940" s="11" t="n">
        <v/>
      </c>
      <c r="J3940" s="11" t="n">
        <v/>
      </c>
      <c r="K3940" s="4" t="inlineStr">
        <is>
          <t>Abrechnungsart wählen; Stundensätze eingeben</t>
        </is>
      </c>
    </row>
    <row r="3941">
      <c r="A3941" s="4" t="inlineStr">
        <is>
          <t>6974 IO-Diehl-Fast-Track-V2-AHO-Liegenschaft-Maasberg-Mariahütte</t>
        </is>
      </c>
      <c r="B3941" s="4" t="inlineStr">
        <is>
          <t>● • ‧ Neue Feuerwehrzentrale</t>
        </is>
      </c>
      <c r="C3941" s="9" t="inlineStr">
        <is>
          <t>Unbekannt</t>
        </is>
      </c>
      <c r="D3941" s="10" t="inlineStr">
        <is>
          <t>⚠ Manual erforderlich</t>
        </is>
      </c>
      <c r="E3941" s="11" t="inlineStr"/>
      <c r="F3941" s="11" t="n">
        <v>0</v>
      </c>
      <c r="G3941" s="11">
        <f>E3941-F3941</f>
        <v/>
      </c>
      <c r="H3941" s="11" t="n">
        <v/>
      </c>
      <c r="I3941" s="11" t="n">
        <v/>
      </c>
      <c r="J3941" s="11" t="n">
        <v/>
      </c>
      <c r="K3941" s="4" t="inlineStr">
        <is>
          <t>Abrechnungsart wählen; Stundensätze eingeben</t>
        </is>
      </c>
    </row>
    <row r="3942">
      <c r="A3942" s="4" t="inlineStr">
        <is>
          <t>6974 IO-Diehl-Fast-Track-V2-AHO-Liegenschaft-Maasberg-Mariahütte</t>
        </is>
      </c>
      <c r="B3942" s="4" t="inlineStr">
        <is>
          <t>● • ‧ Erweiterung Werkschutz</t>
        </is>
      </c>
      <c r="C3942" s="9" t="inlineStr">
        <is>
          <t>Unbekannt</t>
        </is>
      </c>
      <c r="D3942" s="10" t="inlineStr">
        <is>
          <t>⚠ Manual erforderlich</t>
        </is>
      </c>
      <c r="E3942" s="11" t="inlineStr"/>
      <c r="F3942" s="11" t="n">
        <v>0</v>
      </c>
      <c r="G3942" s="11">
        <f>E3942-F3942</f>
        <v/>
      </c>
      <c r="H3942" s="11" t="n">
        <v/>
      </c>
      <c r="I3942" s="11" t="n">
        <v/>
      </c>
      <c r="J3942" s="11" t="n">
        <v/>
      </c>
      <c r="K3942" s="4" t="inlineStr">
        <is>
          <t>Abrechnungsart wählen; Stundensätze eingeben</t>
        </is>
      </c>
    </row>
    <row r="3943">
      <c r="A3943" s="4" t="inlineStr">
        <is>
          <t>6974 IO-Diehl-Fast-Track-V2-AHO-Liegenschaft-Maasberg-Mariahütte</t>
        </is>
      </c>
      <c r="B3943" s="4" t="inlineStr">
        <is>
          <t>● 0100-Anlage Projekt, Angebot, Versand, Auftrag</t>
        </is>
      </c>
      <c r="C3943" s="9" t="inlineStr">
        <is>
          <t>Unbekannt</t>
        </is>
      </c>
      <c r="D3943" s="10" t="inlineStr">
        <is>
          <t>⚠ Manual erforderlich</t>
        </is>
      </c>
      <c r="E3943" s="11" t="inlineStr"/>
      <c r="F3943" s="11" t="n">
        <v>0</v>
      </c>
      <c r="G3943" s="11">
        <f>E3943-F3943</f>
        <v/>
      </c>
      <c r="H3943" s="11" t="n">
        <v/>
      </c>
      <c r="I3943" s="11" t="n">
        <v/>
      </c>
      <c r="J3943" s="11" t="n">
        <v/>
      </c>
      <c r="K3943" s="4" t="inlineStr">
        <is>
          <t>Abrechnungsart wählen; Stundensätze eingeben</t>
        </is>
      </c>
    </row>
    <row r="3944">
      <c r="A3944" s="4" t="inlineStr">
        <is>
          <t>6974.02 OBG-FWP-Los1-DDFT-Zum-Maasberg-Nonnweiler</t>
        </is>
      </c>
      <c r="B3944" s="4" t="inlineStr">
        <is>
          <t>● FWP Los 1 (IG1, TZ)</t>
        </is>
      </c>
      <c r="C3944" s="9" t="inlineStr">
        <is>
          <t>Unbekannt</t>
        </is>
      </c>
      <c r="D3944" s="10" t="inlineStr">
        <is>
          <t>⚠ Manual erforderlich</t>
        </is>
      </c>
      <c r="E3944" s="11" t="inlineStr"/>
      <c r="F3944" s="11" t="n">
        <v>0</v>
      </c>
      <c r="G3944" s="11">
        <f>E3944-F3944</f>
        <v/>
      </c>
      <c r="H3944" s="11" t="n">
        <v/>
      </c>
      <c r="I3944" s="11" t="n">
        <v/>
      </c>
      <c r="J3944" s="11" t="n">
        <v/>
      </c>
      <c r="K3944" s="4" t="inlineStr">
        <is>
          <t>Abrechnungsart wählen; Stundensätze eingeben</t>
        </is>
      </c>
    </row>
    <row r="3945">
      <c r="A3945" s="4" t="inlineStr">
        <is>
          <t>6976 Reichardt-BTB-Neckarstraße-12-16-Darmstadt</t>
        </is>
      </c>
      <c r="B3945" s="4" t="inlineStr">
        <is>
          <t>● (a.N.) Pos.1 Brandschutztechn. Beratung</t>
        </is>
      </c>
      <c r="C3945" s="4" t="inlineStr">
        <is>
          <t>Nachweis</t>
        </is>
      </c>
      <c r="D3945" s="10" t="inlineStr">
        <is>
          <t>⚠ Manual erforderlich</t>
        </is>
      </c>
      <c r="E3945" s="11" t="inlineStr"/>
      <c r="F3945" s="11" t="n">
        <v>0</v>
      </c>
      <c r="G3945" s="11">
        <f>E3945-F3945</f>
        <v/>
      </c>
      <c r="H3945" s="11" t="n">
        <v/>
      </c>
      <c r="I3945" s="11" t="n">
        <v/>
      </c>
      <c r="J3945" s="11" t="n">
        <v/>
      </c>
      <c r="K3945" s="4" t="inlineStr">
        <is>
          <t>Stundensätze eingeben</t>
        </is>
      </c>
    </row>
    <row r="3946">
      <c r="A3946" s="4" t="inlineStr">
        <is>
          <t>6976.01 Reichardt-BSK-Neckarstraße12-16-Darmstadt</t>
        </is>
      </c>
      <c r="B3946" s="4" t="inlineStr">
        <is>
          <t>● (p) Pos. 1 Erstellung eines Brandschutzkonzeptes</t>
        </is>
      </c>
      <c r="C3946" s="4" t="inlineStr">
        <is>
          <t>Pauschale</t>
        </is>
      </c>
      <c r="D3946" s="10" t="inlineStr">
        <is>
          <t>⚠ Manual erforderlich</t>
        </is>
      </c>
      <c r="E3946" s="11" t="inlineStr"/>
      <c r="F3946" s="11" t="n">
        <v>0</v>
      </c>
      <c r="G3946" s="11">
        <f>E3946-F3946</f>
        <v/>
      </c>
      <c r="H3946" s="11" t="n">
        <v>0</v>
      </c>
      <c r="I3946" s="11" t="n">
        <v>0</v>
      </c>
      <c r="J3946" s="11" t="n">
        <v>0</v>
      </c>
      <c r="K3946" s="4" t="inlineStr">
        <is>
          <t>Stundensätze eingeben</t>
        </is>
      </c>
    </row>
    <row r="3947">
      <c r="A3947" s="4" t="inlineStr">
        <is>
          <t>6976.01 Reichardt-BSK-Neckarstraße12-16-Darmstadt</t>
        </is>
      </c>
      <c r="B3947" s="4" t="inlineStr">
        <is>
          <t>● (p) Pos. 2 Erstellung einer Brandschutztechnischen Stellungnahme</t>
        </is>
      </c>
      <c r="C3947" s="4" t="inlineStr">
        <is>
          <t>Pauschale</t>
        </is>
      </c>
      <c r="D3947" s="10" t="inlineStr">
        <is>
          <t>⚠ Manual erforderlich</t>
        </is>
      </c>
      <c r="E3947" s="11" t="inlineStr"/>
      <c r="F3947" s="11" t="n">
        <v>0</v>
      </c>
      <c r="G3947" s="11">
        <f>E3947-F3947</f>
        <v/>
      </c>
      <c r="H3947" s="11" t="n">
        <v>0</v>
      </c>
      <c r="I3947" s="11" t="n">
        <v>0</v>
      </c>
      <c r="J3947" s="11" t="n">
        <v>0</v>
      </c>
      <c r="K3947" s="4" t="inlineStr">
        <is>
          <t>Stundensätze eingeben</t>
        </is>
      </c>
    </row>
    <row r="3948">
      <c r="A3948" s="4" t="inlineStr">
        <is>
          <t>6976.01 Reichardt-BSK-Neckarstraße12-16-Darmstadt</t>
        </is>
      </c>
      <c r="B3948" s="4" t="inlineStr">
        <is>
          <t>● (p) Pos. 3 Brandschutztechnische Beratungsleistungen</t>
        </is>
      </c>
      <c r="C3948" s="4" t="inlineStr">
        <is>
          <t>Pauschale</t>
        </is>
      </c>
      <c r="D3948" s="10" t="inlineStr">
        <is>
          <t>⚠ Manual erforderlich</t>
        </is>
      </c>
      <c r="E3948" s="11" t="inlineStr"/>
      <c r="F3948" s="11" t="n">
        <v>0</v>
      </c>
      <c r="G3948" s="11">
        <f>E3948-F3948</f>
        <v/>
      </c>
      <c r="H3948" s="11" t="n">
        <v>0</v>
      </c>
      <c r="I3948" s="11" t="n">
        <v>0</v>
      </c>
      <c r="J3948" s="11" t="n">
        <v>0</v>
      </c>
      <c r="K3948" s="4" t="inlineStr">
        <is>
          <t>Stundensätze eingeben</t>
        </is>
      </c>
    </row>
    <row r="3949">
      <c r="A3949" s="4" t="inlineStr">
        <is>
          <t>6976.01 Reichardt-BSK-Neckarstraße12-16-Darmstadt</t>
        </is>
      </c>
      <c r="B3949" s="4" t="inlineStr">
        <is>
          <t>● NAT BSK 2024-07-29</t>
        </is>
      </c>
      <c r="C3949" s="9" t="inlineStr">
        <is>
          <t>Unbekannt</t>
        </is>
      </c>
      <c r="D3949" s="10" t="inlineStr">
        <is>
          <t>⚠ Manual erforderlich</t>
        </is>
      </c>
      <c r="E3949" s="11" t="inlineStr"/>
      <c r="F3949" s="11" t="n">
        <v>0</v>
      </c>
      <c r="G3949" s="11">
        <f>E3949-F3949</f>
        <v/>
      </c>
      <c r="H3949" s="11" t="n">
        <v/>
      </c>
      <c r="I3949" s="11" t="n">
        <v/>
      </c>
      <c r="J3949" s="11" t="n">
        <v/>
      </c>
      <c r="K3949" s="4" t="inlineStr">
        <is>
          <t>Abrechnungsart wählen; Stundensätze eingeben</t>
        </is>
      </c>
    </row>
    <row r="3950">
      <c r="A3950" s="4" t="inlineStr">
        <is>
          <t>6980 BTB-Fitnessstudio-Zeil-72-78-Frankfurt</t>
        </is>
      </c>
      <c r="B3950" s="4" t="inlineStr">
        <is>
          <t>● (a.N.) Pos.1 BTB Mängelbeseitugung zur Entrauchung u. Aufschaltung d. Brandmeldeanlage</t>
        </is>
      </c>
      <c r="C3950" s="4" t="inlineStr">
        <is>
          <t>Nachweis</t>
        </is>
      </c>
      <c r="D3950" s="10" t="inlineStr">
        <is>
          <t>⚠ Manual erforderlich</t>
        </is>
      </c>
      <c r="E3950" s="11" t="inlineStr"/>
      <c r="F3950" s="11" t="n">
        <v>0</v>
      </c>
      <c r="G3950" s="11">
        <f>E3950-F3950</f>
        <v/>
      </c>
      <c r="H3950" s="11" t="n">
        <v/>
      </c>
      <c r="I3950" s="11" t="n">
        <v/>
      </c>
      <c r="J3950" s="11" t="n">
        <v/>
      </c>
      <c r="K3950" s="4" t="inlineStr">
        <is>
          <t>Stundensätze eingeben</t>
        </is>
      </c>
    </row>
    <row r="3951">
      <c r="A3951" s="4" t="inlineStr">
        <is>
          <t>6983 Klebl-AHO-Geb329-Grafenwöhr</t>
        </is>
      </c>
      <c r="B3951" s="4" t="inlineStr">
        <is>
          <t>● • (p) RL</t>
        </is>
      </c>
      <c r="C3951" s="4" t="inlineStr">
        <is>
          <t>Pauschale</t>
        </is>
      </c>
      <c r="D3951" s="10" t="inlineStr">
        <is>
          <t>⚠ Manual erforderlich</t>
        </is>
      </c>
      <c r="E3951" s="11" t="inlineStr"/>
      <c r="F3951" s="11" t="n">
        <v>0</v>
      </c>
      <c r="G3951" s="11">
        <f>E3951-F3951</f>
        <v/>
      </c>
      <c r="H3951" s="11" t="n">
        <v>0</v>
      </c>
      <c r="I3951" s="11" t="n">
        <v>0</v>
      </c>
      <c r="J3951" s="11" t="n">
        <v>0</v>
      </c>
      <c r="K3951" s="4" t="inlineStr">
        <is>
          <t>Stundensätze eingeben</t>
        </is>
      </c>
    </row>
    <row r="3952">
      <c r="A3952" s="4" t="inlineStr">
        <is>
          <t>6983 Klebl-AHO-Geb329-Grafenwöhr</t>
        </is>
      </c>
      <c r="B3952" s="4" t="inlineStr">
        <is>
          <t>● • ‧ Sichtung Bestandsdokumentation</t>
        </is>
      </c>
      <c r="C3952" s="9" t="inlineStr">
        <is>
          <t>Unbekannt</t>
        </is>
      </c>
      <c r="D3952" s="10" t="inlineStr">
        <is>
          <t>⚠ Manual erforderlich</t>
        </is>
      </c>
      <c r="E3952" s="11" t="inlineStr"/>
      <c r="F3952" s="11" t="n">
        <v>0</v>
      </c>
      <c r="G3952" s="11">
        <f>E3952-F3952</f>
        <v/>
      </c>
      <c r="H3952" s="11" t="n">
        <v/>
      </c>
      <c r="I3952" s="11" t="n">
        <v/>
      </c>
      <c r="J3952" s="11" t="n">
        <v/>
      </c>
      <c r="K3952" s="4" t="inlineStr">
        <is>
          <t>Abrechnungsart wählen; Stundensätze eingeben</t>
        </is>
      </c>
    </row>
    <row r="3953">
      <c r="A3953" s="4" t="inlineStr">
        <is>
          <t>6983 Klebl-AHO-Geb329-Grafenwöhr</t>
        </is>
      </c>
      <c r="B3953" s="4" t="inlineStr">
        <is>
          <t>● • ‧ Ortstermin zur Sichtung der Bestandssituation</t>
        </is>
      </c>
      <c r="C3953" s="9" t="inlineStr">
        <is>
          <t>Unbekannt</t>
        </is>
      </c>
      <c r="D3953" s="10" t="inlineStr">
        <is>
          <t>⚠ Manual erforderlich</t>
        </is>
      </c>
      <c r="E3953" s="11" t="inlineStr"/>
      <c r="F3953" s="11" t="n">
        <v>0</v>
      </c>
      <c r="G3953" s="11">
        <f>E3953-F3953</f>
        <v/>
      </c>
      <c r="H3953" s="11" t="n">
        <v/>
      </c>
      <c r="I3953" s="11" t="n">
        <v/>
      </c>
      <c r="J3953" s="11" t="n">
        <v/>
      </c>
      <c r="K3953" s="4" t="inlineStr">
        <is>
          <t>Abrechnungsart wählen; Stundensätze eingeben</t>
        </is>
      </c>
    </row>
    <row r="3954">
      <c r="A3954" s="4" t="inlineStr">
        <is>
          <t>6983 Klebl-AHO-Geb329-Grafenwöhr</t>
        </is>
      </c>
      <c r="B3954" s="4" t="inlineStr">
        <is>
          <t>● • (p) RL</t>
        </is>
      </c>
      <c r="C3954" s="4" t="inlineStr">
        <is>
          <t>Pauschale</t>
        </is>
      </c>
      <c r="D3954" s="10" t="inlineStr">
        <is>
          <t>⚠ Manual erforderlich</t>
        </is>
      </c>
      <c r="E3954" s="11" t="inlineStr"/>
      <c r="F3954" s="11" t="n">
        <v>0</v>
      </c>
      <c r="G3954" s="11">
        <f>E3954-F3954</f>
        <v/>
      </c>
      <c r="H3954" s="11" t="n">
        <v>0</v>
      </c>
      <c r="I3954" s="11" t="n">
        <v>0</v>
      </c>
      <c r="J3954" s="11" t="n">
        <v>0</v>
      </c>
      <c r="K3954" s="4" t="inlineStr">
        <is>
          <t>Stundensätze eingeben</t>
        </is>
      </c>
    </row>
    <row r="3955">
      <c r="A3955" s="4" t="inlineStr">
        <is>
          <t>6983 Klebl-AHO-Geb329-Grafenwöhr</t>
        </is>
      </c>
      <c r="B3955" s="4" t="inlineStr">
        <is>
          <t>● • (p) OL</t>
        </is>
      </c>
      <c r="C3955" s="4" t="inlineStr">
        <is>
          <t>Pauschale</t>
        </is>
      </c>
      <c r="D3955" s="10" t="inlineStr">
        <is>
          <t>⚠ Manual erforderlich</t>
        </is>
      </c>
      <c r="E3955" s="11" t="inlineStr"/>
      <c r="F3955" s="11" t="n">
        <v>0</v>
      </c>
      <c r="G3955" s="11">
        <f>E3955-F3955</f>
        <v/>
      </c>
      <c r="H3955" s="11" t="n">
        <v/>
      </c>
      <c r="I3955" s="11" t="n">
        <v/>
      </c>
      <c r="J3955" s="11" t="n">
        <v/>
      </c>
      <c r="K3955" s="4" t="inlineStr">
        <is>
          <t>Stundensätze eingeben</t>
        </is>
      </c>
    </row>
    <row r="3956">
      <c r="A3956" s="4" t="inlineStr">
        <is>
          <t>6983 Klebl-AHO-Geb329-Grafenwöhr</t>
        </is>
      </c>
      <c r="B3956" s="4" t="inlineStr">
        <is>
          <t>● • (p) RL</t>
        </is>
      </c>
      <c r="C3956" s="4" t="inlineStr">
        <is>
          <t>Pauschale</t>
        </is>
      </c>
      <c r="D3956" s="10" t="inlineStr">
        <is>
          <t>⚠ Manual erforderlich</t>
        </is>
      </c>
      <c r="E3956" s="11" t="inlineStr"/>
      <c r="F3956" s="11" t="n">
        <v>0</v>
      </c>
      <c r="G3956" s="11">
        <f>E3956-F3956</f>
        <v/>
      </c>
      <c r="H3956" s="11" t="n">
        <v>0</v>
      </c>
      <c r="I3956" s="11" t="n">
        <v>0</v>
      </c>
      <c r="J3956" s="11" t="n">
        <v>0</v>
      </c>
      <c r="K3956" s="4" t="inlineStr">
        <is>
          <t>Stundensätze eingeben</t>
        </is>
      </c>
    </row>
    <row r="3957">
      <c r="A3957" s="4" t="inlineStr">
        <is>
          <t>6983 Klebl-AHO-Geb329-Grafenwöhr</t>
        </is>
      </c>
      <c r="B3957" s="4" t="inlineStr">
        <is>
          <t>● • (p) OL</t>
        </is>
      </c>
      <c r="C3957" s="4" t="inlineStr">
        <is>
          <t>Pauschale</t>
        </is>
      </c>
      <c r="D3957" s="10" t="inlineStr">
        <is>
          <t>⚠ Manual erforderlich</t>
        </is>
      </c>
      <c r="E3957" s="11" t="inlineStr"/>
      <c r="F3957" s="11" t="n">
        <v>0</v>
      </c>
      <c r="G3957" s="11">
        <f>E3957-F3957</f>
        <v/>
      </c>
      <c r="H3957" s="11" t="n">
        <v/>
      </c>
      <c r="I3957" s="11" t="n">
        <v/>
      </c>
      <c r="J3957" s="11" t="n">
        <v/>
      </c>
      <c r="K3957" s="4" t="inlineStr">
        <is>
          <t>Stundensätze eingeben</t>
        </is>
      </c>
    </row>
    <row r="3958">
      <c r="A3958" s="4" t="inlineStr">
        <is>
          <t>6983 Klebl-AHO-Geb329-Grafenwöhr</t>
        </is>
      </c>
      <c r="B3958" s="4" t="inlineStr">
        <is>
          <t>● • ‧ SV</t>
        </is>
      </c>
      <c r="C3958" s="9" t="inlineStr">
        <is>
          <t>Unbekannt</t>
        </is>
      </c>
      <c r="D3958" s="10" t="inlineStr">
        <is>
          <t>⚠ Manual erforderlich</t>
        </is>
      </c>
      <c r="E3958" s="11" t="inlineStr"/>
      <c r="F3958" s="11" t="n">
        <v>0</v>
      </c>
      <c r="G3958" s="11">
        <f>E3958-F3958</f>
        <v/>
      </c>
      <c r="H3958" s="11" t="n">
        <v/>
      </c>
      <c r="I3958" s="11" t="n">
        <v/>
      </c>
      <c r="J3958" s="11" t="n">
        <v/>
      </c>
      <c r="K3958" s="4" t="inlineStr">
        <is>
          <t>Abrechnungsart wählen; Stundensätze eingeben</t>
        </is>
      </c>
    </row>
    <row r="3959">
      <c r="A3959" s="4" t="inlineStr">
        <is>
          <t>6983 Klebl-AHO-Geb329-Grafenwöhr</t>
        </is>
      </c>
      <c r="B3959" s="4" t="inlineStr">
        <is>
          <t>● • ‧ CAD</t>
        </is>
      </c>
      <c r="C3959" s="9" t="inlineStr">
        <is>
          <t>Unbekannt</t>
        </is>
      </c>
      <c r="D3959" s="10" t="inlineStr">
        <is>
          <t>⚠ Manual erforderlich</t>
        </is>
      </c>
      <c r="E3959" s="11" t="inlineStr"/>
      <c r="F3959" s="11" t="n">
        <v>0</v>
      </c>
      <c r="G3959" s="11">
        <f>E3959-F3959</f>
        <v/>
      </c>
      <c r="H3959" s="11" t="n">
        <v/>
      </c>
      <c r="I3959" s="11" t="n">
        <v/>
      </c>
      <c r="J3959" s="11" t="n">
        <v/>
      </c>
      <c r="K3959" s="4" t="inlineStr">
        <is>
          <t>Abrechnungsart wählen; Stundensätze eingeben</t>
        </is>
      </c>
    </row>
    <row r="3960">
      <c r="A3960" s="4" t="inlineStr">
        <is>
          <t>6983 Klebl-AHO-Geb329-Grafenwöhr</t>
        </is>
      </c>
      <c r="B3960" s="4" t="inlineStr">
        <is>
          <t>● • ‧ Erstellung eines Code Compliance Summary Sheet</t>
        </is>
      </c>
      <c r="C3960" s="9" t="inlineStr">
        <is>
          <t>Unbekannt</t>
        </is>
      </c>
      <c r="D3960" s="10" t="inlineStr">
        <is>
          <t>⚠ Manual erforderlich</t>
        </is>
      </c>
      <c r="E3960" s="11" t="inlineStr"/>
      <c r="F3960" s="11" t="n">
        <v>0</v>
      </c>
      <c r="G3960" s="11">
        <f>E3960-F3960</f>
        <v/>
      </c>
      <c r="H3960" s="11" t="n">
        <v/>
      </c>
      <c r="I3960" s="11" t="n">
        <v/>
      </c>
      <c r="J3960" s="11" t="n">
        <v/>
      </c>
      <c r="K3960" s="4" t="inlineStr">
        <is>
          <t>Abrechnungsart wählen; Stundensätze eingeben</t>
        </is>
      </c>
    </row>
    <row r="3961">
      <c r="A3961" s="4" t="inlineStr">
        <is>
          <t>6983 Klebl-AHO-Geb329-Grafenwöhr</t>
        </is>
      </c>
      <c r="B3961" s="4" t="inlineStr">
        <is>
          <t>● • ‧ Erstellung eines Code Compliance Site Plan</t>
        </is>
      </c>
      <c r="C3961" s="9" t="inlineStr">
        <is>
          <t>Unbekannt</t>
        </is>
      </c>
      <c r="D3961" s="10" t="inlineStr">
        <is>
          <t>⚠ Manual erforderlich</t>
        </is>
      </c>
      <c r="E3961" s="11" t="inlineStr"/>
      <c r="F3961" s="11" t="n">
        <v>0</v>
      </c>
      <c r="G3961" s="11">
        <f>E3961-F3961</f>
        <v/>
      </c>
      <c r="H3961" s="11" t="n">
        <v/>
      </c>
      <c r="I3961" s="11" t="n">
        <v/>
      </c>
      <c r="J3961" s="11" t="n">
        <v/>
      </c>
      <c r="K3961" s="4" t="inlineStr">
        <is>
          <t>Abrechnungsart wählen; Stundensätze eingeben</t>
        </is>
      </c>
    </row>
    <row r="3962">
      <c r="A3962" s="4" t="inlineStr">
        <is>
          <t>6983 Klebl-AHO-Geb329-Grafenwöhr</t>
        </is>
      </c>
      <c r="B3962" s="4" t="inlineStr">
        <is>
          <t>● • (p) RL</t>
        </is>
      </c>
      <c r="C3962" s="4" t="inlineStr">
        <is>
          <t>Pauschale</t>
        </is>
      </c>
      <c r="D3962" s="10" t="inlineStr">
        <is>
          <t>⚠ Manual erforderlich</t>
        </is>
      </c>
      <c r="E3962" s="11" t="inlineStr"/>
      <c r="F3962" s="11" t="n">
        <v>0</v>
      </c>
      <c r="G3962" s="11">
        <f>E3962-F3962</f>
        <v/>
      </c>
      <c r="H3962" s="11" t="n">
        <v>0</v>
      </c>
      <c r="I3962" s="11" t="n">
        <v>0</v>
      </c>
      <c r="J3962" s="11" t="n">
        <v>0</v>
      </c>
      <c r="K3962" s="4" t="inlineStr">
        <is>
          <t>Stundensätze eingeben</t>
        </is>
      </c>
    </row>
    <row r="3963">
      <c r="A3963" s="4" t="inlineStr">
        <is>
          <t>6983 Klebl-AHO-Geb329-Grafenwöhr</t>
        </is>
      </c>
      <c r="B3963" s="4" t="inlineStr">
        <is>
          <t>● • ‧ Teilnehmen 65% Reviewtermin</t>
        </is>
      </c>
      <c r="C3963" s="9" t="inlineStr">
        <is>
          <t>Unbekannt</t>
        </is>
      </c>
      <c r="D3963" s="10" t="inlineStr">
        <is>
          <t>⚠ Manual erforderlich</t>
        </is>
      </c>
      <c r="E3963" s="11" t="inlineStr"/>
      <c r="F3963" s="11" t="n">
        <v>0</v>
      </c>
      <c r="G3963" s="11">
        <f>E3963-F3963</f>
        <v/>
      </c>
      <c r="H3963" s="11" t="n">
        <v/>
      </c>
      <c r="I3963" s="11" t="n">
        <v/>
      </c>
      <c r="J3963" s="11" t="n">
        <v/>
      </c>
      <c r="K3963" s="4" t="inlineStr">
        <is>
          <t>Abrechnungsart wählen; Stundensätze eingeben</t>
        </is>
      </c>
    </row>
    <row r="3964">
      <c r="A3964" s="4" t="inlineStr">
        <is>
          <t>6983 Klebl-AHO-Geb329-Grafenwöhr</t>
        </is>
      </c>
      <c r="B3964" s="4" t="inlineStr">
        <is>
          <t>● • ‧ Teilnehmen 95% Reviewtermin</t>
        </is>
      </c>
      <c r="C3964" s="9" t="inlineStr">
        <is>
          <t>Unbekannt</t>
        </is>
      </c>
      <c r="D3964" s="10" t="inlineStr">
        <is>
          <t>⚠ Manual erforderlich</t>
        </is>
      </c>
      <c r="E3964" s="11" t="inlineStr"/>
      <c r="F3964" s="11" t="n">
        <v>0</v>
      </c>
      <c r="G3964" s="11">
        <f>E3964-F3964</f>
        <v/>
      </c>
      <c r="H3964" s="11" t="n">
        <v/>
      </c>
      <c r="I3964" s="11" t="n">
        <v/>
      </c>
      <c r="J3964" s="11" t="n">
        <v/>
      </c>
      <c r="K3964" s="4" t="inlineStr">
        <is>
          <t>Abrechnungsart wählen; Stundensätze eingeben</t>
        </is>
      </c>
    </row>
    <row r="3965">
      <c r="A3965" s="4" t="inlineStr">
        <is>
          <t>6983 Klebl-AHO-Geb329-Grafenwöhr</t>
        </is>
      </c>
      <c r="B3965" s="4" t="inlineStr">
        <is>
          <t>● • ‧ Teilnehmen 100% Reviewtermin</t>
        </is>
      </c>
      <c r="C3965" s="9" t="inlineStr">
        <is>
          <t>Unbekannt</t>
        </is>
      </c>
      <c r="D3965" s="10" t="inlineStr">
        <is>
          <t>⚠ Manual erforderlich</t>
        </is>
      </c>
      <c r="E3965" s="11" t="inlineStr"/>
      <c r="F3965" s="11" t="n">
        <v>0</v>
      </c>
      <c r="G3965" s="11">
        <f>E3965-F3965</f>
        <v/>
      </c>
      <c r="H3965" s="11" t="n">
        <v/>
      </c>
      <c r="I3965" s="11" t="n">
        <v/>
      </c>
      <c r="J3965" s="11" t="n">
        <v/>
      </c>
      <c r="K3965" s="4" t="inlineStr">
        <is>
          <t>Abrechnungsart wählen; Stundensätze eingeben</t>
        </is>
      </c>
    </row>
    <row r="3966">
      <c r="A3966" s="4" t="inlineStr">
        <is>
          <t>6983 Klebl-AHO-Geb329-Grafenwöhr</t>
        </is>
      </c>
      <c r="B3966" s="4" t="inlineStr">
        <is>
          <t>● (p) Pos. 8 LPH 8 Objektüberwachung</t>
        </is>
      </c>
      <c r="C3966" s="4" t="inlineStr">
        <is>
          <t>Pauschale</t>
        </is>
      </c>
      <c r="D3966" s="10" t="inlineStr">
        <is>
          <t>⚠ Manual erforderlich</t>
        </is>
      </c>
      <c r="E3966" s="11" t="inlineStr"/>
      <c r="F3966" s="11" t="n">
        <v>0</v>
      </c>
      <c r="G3966" s="11">
        <f>E3966-F3966</f>
        <v/>
      </c>
      <c r="H3966" s="11" t="n">
        <v>0</v>
      </c>
      <c r="I3966" s="11" t="n">
        <v>0</v>
      </c>
      <c r="J3966" s="11" t="n">
        <v>0</v>
      </c>
      <c r="K3966" s="4" t="inlineStr">
        <is>
          <t>Stundensätze eingeben</t>
        </is>
      </c>
    </row>
    <row r="3967">
      <c r="A3967" s="4" t="inlineStr">
        <is>
          <t>6990 Brey-AHO-Kramerstr32-Memmingen</t>
        </is>
      </c>
      <c r="B3967" s="4" t="inlineStr">
        <is>
          <t>● (p) LP 1 Grundlagenermittlung</t>
        </is>
      </c>
      <c r="C3967" s="4" t="inlineStr">
        <is>
          <t>Pauschale</t>
        </is>
      </c>
      <c r="D3967" s="10" t="inlineStr">
        <is>
          <t>⚠ Manual erforderlich</t>
        </is>
      </c>
      <c r="E3967" s="11" t="inlineStr"/>
      <c r="F3967" s="11" t="n">
        <v>0</v>
      </c>
      <c r="G3967" s="11">
        <f>E3967-F3967</f>
        <v/>
      </c>
      <c r="H3967" s="11" t="n">
        <v>0</v>
      </c>
      <c r="I3967" s="11" t="n">
        <v>0</v>
      </c>
      <c r="J3967" s="11" t="n">
        <v>0</v>
      </c>
      <c r="K3967" s="4" t="inlineStr">
        <is>
          <t>Stundensätze eingeben</t>
        </is>
      </c>
    </row>
    <row r="3968">
      <c r="A3968" s="4" t="inlineStr">
        <is>
          <t>6990 Brey-AHO-Kramerstr32-Memmingen</t>
        </is>
      </c>
      <c r="B3968" s="4" t="inlineStr">
        <is>
          <t>● (p) LP 2 Vorplanung</t>
        </is>
      </c>
      <c r="C3968" s="4" t="inlineStr">
        <is>
          <t>Pauschale</t>
        </is>
      </c>
      <c r="D3968" s="10" t="inlineStr">
        <is>
          <t>⚠ Manual erforderlich</t>
        </is>
      </c>
      <c r="E3968" s="11" t="inlineStr"/>
      <c r="F3968" s="11" t="n">
        <v>0</v>
      </c>
      <c r="G3968" s="11">
        <f>E3968-F3968</f>
        <v/>
      </c>
      <c r="H3968" s="11" t="n">
        <v>0</v>
      </c>
      <c r="I3968" s="11" t="n">
        <v>0</v>
      </c>
      <c r="J3968" s="11" t="n">
        <v>0</v>
      </c>
      <c r="K3968" s="4" t="inlineStr">
        <is>
          <t>Stundensätze eingeben</t>
        </is>
      </c>
    </row>
    <row r="3969">
      <c r="A3969" s="4" t="inlineStr">
        <is>
          <t>6990 Brey-AHO-Kramerstr32-Memmingen</t>
        </is>
      </c>
      <c r="B3969" s="4" t="inlineStr">
        <is>
          <t>● (p) LP 3 Entwurfsplanung</t>
        </is>
      </c>
      <c r="C3969" s="4" t="inlineStr">
        <is>
          <t>Pauschale</t>
        </is>
      </c>
      <c r="D3969" s="10" t="inlineStr">
        <is>
          <t>⚠ Manual erforderlich</t>
        </is>
      </c>
      <c r="E3969" s="11" t="inlineStr"/>
      <c r="F3969" s="11" t="n">
        <v>0</v>
      </c>
      <c r="G3969" s="11">
        <f>E3969-F3969</f>
        <v/>
      </c>
      <c r="H3969" s="11" t="n">
        <v>0</v>
      </c>
      <c r="I3969" s="11" t="n">
        <v>0</v>
      </c>
      <c r="J3969" s="11" t="n">
        <v>0</v>
      </c>
      <c r="K3969" s="4" t="inlineStr">
        <is>
          <t>Stundensätze eingeben</t>
        </is>
      </c>
    </row>
    <row r="3970">
      <c r="A3970" s="4" t="inlineStr">
        <is>
          <t>6990 Brey-AHO-Kramerstr32-Memmingen</t>
        </is>
      </c>
      <c r="B3970" s="4" t="inlineStr">
        <is>
          <t>● (p) LP 4 Genehmigungsplanung</t>
        </is>
      </c>
      <c r="C3970" s="4" t="inlineStr">
        <is>
          <t>Pauschale</t>
        </is>
      </c>
      <c r="D3970" s="10" t="inlineStr">
        <is>
          <t>⚠ Manual erforderlich</t>
        </is>
      </c>
      <c r="E3970" s="11" t="inlineStr"/>
      <c r="F3970" s="11" t="n">
        <v>0</v>
      </c>
      <c r="G3970" s="11">
        <f>E3970-F3970</f>
        <v/>
      </c>
      <c r="H3970" s="11" t="n">
        <v>0</v>
      </c>
      <c r="I3970" s="11" t="n">
        <v>0</v>
      </c>
      <c r="J3970" s="11" t="n">
        <v>0</v>
      </c>
      <c r="K3970" s="4" t="inlineStr">
        <is>
          <t>Stundensätze eingeben</t>
        </is>
      </c>
    </row>
    <row r="3971">
      <c r="A3971" s="4" t="inlineStr">
        <is>
          <t>6990.01 Brey-AHO-BSN-Kramerstr32-Memmingen</t>
        </is>
      </c>
      <c r="B3971" s="4" t="inlineStr">
        <is>
          <t>● (aN) Pos. 9 Bestätigung BSN</t>
        </is>
      </c>
      <c r="C3971" s="4" t="inlineStr">
        <is>
          <t>Nachweis</t>
        </is>
      </c>
      <c r="D3971" s="10" t="inlineStr">
        <is>
          <t>⚠ Manual erforderlich</t>
        </is>
      </c>
      <c r="E3971" s="11" t="inlineStr"/>
      <c r="F3971" s="11" t="n">
        <v>0</v>
      </c>
      <c r="G3971" s="11">
        <f>E3971-F3971</f>
        <v/>
      </c>
      <c r="H3971" s="11" t="n">
        <v/>
      </c>
      <c r="I3971" s="11" t="n">
        <v/>
      </c>
      <c r="J3971" s="11" t="n">
        <v/>
      </c>
      <c r="K3971" s="4" t="inlineStr">
        <is>
          <t>Stundensätze eingeben</t>
        </is>
      </c>
    </row>
    <row r="3972">
      <c r="A3972" s="4" t="inlineStr">
        <is>
          <t>6995 Telehouse-BSK-TDE-RZ-GebN-Kleyerstraße75-89-FFM</t>
        </is>
      </c>
      <c r="B3972" s="4" t="inlineStr">
        <is>
          <t>● (aN) Pos. 1 Brandschutztechnische Beratung während der Planungsphase</t>
        </is>
      </c>
      <c r="C3972" s="4" t="inlineStr">
        <is>
          <t>Nachweis</t>
        </is>
      </c>
      <c r="D3972" s="10" t="inlineStr">
        <is>
          <t>⚠ Manual erforderlich</t>
        </is>
      </c>
      <c r="E3972" s="11" t="inlineStr"/>
      <c r="F3972" s="11" t="n">
        <v>0</v>
      </c>
      <c r="G3972" s="11">
        <f>E3972-F3972</f>
        <v/>
      </c>
      <c r="H3972" s="11" t="n">
        <v/>
      </c>
      <c r="I3972" s="11" t="n">
        <v/>
      </c>
      <c r="J3972" s="11" t="n">
        <v/>
      </c>
      <c r="K3972" s="4" t="inlineStr">
        <is>
          <t>Stundensätze eingeben</t>
        </is>
      </c>
    </row>
    <row r="3973">
      <c r="A3973" s="4" t="inlineStr">
        <is>
          <t>6995 Telehouse-BSK-TDE-RZ-GebN-Kleyerstraße75-89-FFM</t>
        </is>
      </c>
      <c r="B3973" s="4" t="inlineStr">
        <is>
          <t>● (aN) Pos. 2 Erstellung Brandschutzkonzept</t>
        </is>
      </c>
      <c r="C3973" s="4" t="inlineStr">
        <is>
          <t>Nachweis</t>
        </is>
      </c>
      <c r="D3973" s="10" t="inlineStr">
        <is>
          <t>⚠ Manual erforderlich</t>
        </is>
      </c>
      <c r="E3973" s="11" t="inlineStr"/>
      <c r="F3973" s="11" t="n">
        <v>0</v>
      </c>
      <c r="G3973" s="11">
        <f>E3973-F3973</f>
        <v/>
      </c>
      <c r="H3973" s="11" t="n">
        <v/>
      </c>
      <c r="I3973" s="11" t="n">
        <v/>
      </c>
      <c r="J3973" s="11" t="n">
        <v/>
      </c>
      <c r="K3973" s="4" t="inlineStr">
        <is>
          <t>Stundensätze eingeben</t>
        </is>
      </c>
    </row>
    <row r="3974">
      <c r="A3974" s="4" t="inlineStr">
        <is>
          <t>6995 Telehouse-BSK-TDE-RZ-GebN-Kleyerstraße75-89-FFM</t>
        </is>
      </c>
      <c r="B3974" s="4" t="inlineStr">
        <is>
          <t>● (p) Pos. 3 Baubegleitende Brandschutzberatung und Qualitätsüberwachung für die Durchführung der Baumaßnahme</t>
        </is>
      </c>
      <c r="C3974" s="4" t="inlineStr">
        <is>
          <t>Pauschale</t>
        </is>
      </c>
      <c r="D3974" s="10" t="inlineStr">
        <is>
          <t>⚠ Manual erforderlich</t>
        </is>
      </c>
      <c r="E3974" s="11" t="inlineStr"/>
      <c r="F3974" s="11" t="n">
        <v>0</v>
      </c>
      <c r="G3974" s="11">
        <f>E3974-F3974</f>
        <v/>
      </c>
      <c r="H3974" s="11" t="n">
        <v>0</v>
      </c>
      <c r="I3974" s="11" t="n">
        <v>0</v>
      </c>
      <c r="J3974" s="11" t="n">
        <v>0</v>
      </c>
      <c r="K3974" s="4" t="inlineStr">
        <is>
          <t>Stundensätze eingeben</t>
        </is>
      </c>
    </row>
    <row r="3975">
      <c r="A3975" s="4" t="inlineStr">
        <is>
          <t>6997 Salco--EG-Lutherplatz1-3-Langen-HPPVO</t>
        </is>
      </c>
      <c r="B3975" s="4" t="inlineStr">
        <is>
          <t>● (p) Pos. 1 Prüfung des Brandschutznachweises</t>
        </is>
      </c>
      <c r="C3975" s="4" t="inlineStr">
        <is>
          <t>Pauschale</t>
        </is>
      </c>
      <c r="D3975" s="10" t="inlineStr">
        <is>
          <t>⚠ Manual erforderlich</t>
        </is>
      </c>
      <c r="E3975" s="11" t="inlineStr"/>
      <c r="F3975" s="11" t="n">
        <v>0</v>
      </c>
      <c r="G3975" s="11">
        <f>E3975-F3975</f>
        <v/>
      </c>
      <c r="H3975" s="11" t="n">
        <v>0</v>
      </c>
      <c r="I3975" s="11" t="n">
        <v>0</v>
      </c>
      <c r="J3975" s="11" t="n">
        <v>0</v>
      </c>
      <c r="K3975" s="4" t="inlineStr">
        <is>
          <t>Stundensätze eingeben</t>
        </is>
      </c>
    </row>
    <row r="3976">
      <c r="A3976" s="4" t="inlineStr">
        <is>
          <t>6997 Salco--EG-Lutherplatz1-3-Langen-HPPVO</t>
        </is>
      </c>
      <c r="B3976" s="4" t="inlineStr">
        <is>
          <t>● (aN) Pos. 2 Überwachung u. Bescheinigung Bauausführung</t>
        </is>
      </c>
      <c r="C3976" s="4" t="inlineStr">
        <is>
          <t>Nachweis</t>
        </is>
      </c>
      <c r="D3976" s="10" t="inlineStr">
        <is>
          <t>⚠ Manual erforderlich</t>
        </is>
      </c>
      <c r="E3976" s="11" t="inlineStr"/>
      <c r="F3976" s="11" t="n">
        <v>0</v>
      </c>
      <c r="G3976" s="11">
        <f>E3976-F3976</f>
        <v/>
      </c>
      <c r="H3976" s="11" t="n">
        <v/>
      </c>
      <c r="I3976" s="11" t="n">
        <v/>
      </c>
      <c r="J3976" s="11" t="n">
        <v/>
      </c>
      <c r="K3976" s="4" t="inlineStr">
        <is>
          <t>Stundensätze eingeben</t>
        </is>
      </c>
    </row>
    <row r="3977">
      <c r="A3977" s="4" t="inlineStr">
        <is>
          <t>7000.01 RES-NAT-BSK-WEA-Oberrot</t>
        </is>
      </c>
      <c r="B3977" s="4" t="inlineStr">
        <is>
          <t>● (p) Pos. 1 Anp. BSK WP Oberrot</t>
        </is>
      </c>
      <c r="C3977" s="4" t="inlineStr">
        <is>
          <t>Pauschale</t>
        </is>
      </c>
      <c r="D3977" s="10" t="inlineStr">
        <is>
          <t>⚠ Manual erforderlich</t>
        </is>
      </c>
      <c r="E3977" s="11" t="inlineStr"/>
      <c r="F3977" s="11" t="n">
        <v>0</v>
      </c>
      <c r="G3977" s="11">
        <f>E3977-F3977</f>
        <v/>
      </c>
      <c r="H3977" s="11" t="n">
        <v>0</v>
      </c>
      <c r="I3977" s="11" t="n">
        <v>0</v>
      </c>
      <c r="J3977" s="11" t="n">
        <v>0</v>
      </c>
      <c r="K3977" s="4" t="inlineStr">
        <is>
          <t>Stundensätze eingeben</t>
        </is>
      </c>
    </row>
    <row r="3978">
      <c r="A3978" s="4" t="inlineStr">
        <is>
          <t>7002 TU-Darmstadt-FRP-FWP-El-Lissitzky-Str1-Darmstadt</t>
        </is>
      </c>
      <c r="B3978" s="4" t="inlineStr">
        <is>
          <t>● (p) Pos. 3 Erstellung von Flucht- und Rettungsplänen für die Bauphase</t>
        </is>
      </c>
      <c r="C3978" s="4" t="inlineStr">
        <is>
          <t>Pauschale</t>
        </is>
      </c>
      <c r="D3978" s="10" t="inlineStr">
        <is>
          <t>⚠ Manual erforderlich</t>
        </is>
      </c>
      <c r="E3978" s="11" t="inlineStr"/>
      <c r="F3978" s="11" t="n">
        <v>0</v>
      </c>
      <c r="G3978" s="11">
        <f>E3978-F3978</f>
        <v/>
      </c>
      <c r="H3978" s="11" t="n">
        <v>0</v>
      </c>
      <c r="I3978" s="11" t="n">
        <v>0</v>
      </c>
      <c r="J3978" s="11" t="n">
        <v>0</v>
      </c>
      <c r="K3978" s="4" t="inlineStr">
        <is>
          <t>Stundensätze eingeben</t>
        </is>
      </c>
    </row>
    <row r="3979">
      <c r="A3979" s="4" t="inlineStr">
        <is>
          <t>7002 TU-Darmstadt-FRP-FWP-El-Lissitzky-Str1-Darmstadt</t>
        </is>
      </c>
      <c r="B3979" s="4" t="inlineStr">
        <is>
          <t>● (p) Pos. 4 Erstellung von Feuerwehrplänen für die Bauphase</t>
        </is>
      </c>
      <c r="C3979" s="4" t="inlineStr">
        <is>
          <t>Pauschale</t>
        </is>
      </c>
      <c r="D3979" s="10" t="inlineStr">
        <is>
          <t>⚠ Manual erforderlich</t>
        </is>
      </c>
      <c r="E3979" s="11" t="inlineStr"/>
      <c r="F3979" s="11" t="n">
        <v>0</v>
      </c>
      <c r="G3979" s="11">
        <f>E3979-F3979</f>
        <v/>
      </c>
      <c r="H3979" s="11" t="n">
        <v>0</v>
      </c>
      <c r="I3979" s="11" t="n">
        <v>0</v>
      </c>
      <c r="J3979" s="11" t="n">
        <v>0</v>
      </c>
      <c r="K3979" s="4" t="inlineStr">
        <is>
          <t>Stundensätze eingeben</t>
        </is>
      </c>
    </row>
    <row r="3980">
      <c r="A3980" s="4" t="inlineStr">
        <is>
          <t>7003.01 Dechema-BSK-Theodor-Hess-Allee25-FFM</t>
        </is>
      </c>
      <c r="B3980" s="4" t="inlineStr">
        <is>
          <t>● (aN) Pos. 1 Grundlagenermittlung</t>
        </is>
      </c>
      <c r="C3980" s="4" t="inlineStr">
        <is>
          <t>Nachweis</t>
        </is>
      </c>
      <c r="D3980" s="10" t="inlineStr">
        <is>
          <t>⚠ Manual erforderlich</t>
        </is>
      </c>
      <c r="E3980" s="11" t="inlineStr"/>
      <c r="F3980" s="11" t="n">
        <v>0</v>
      </c>
      <c r="G3980" s="11">
        <f>E3980-F3980</f>
        <v/>
      </c>
      <c r="H3980" s="11" t="n">
        <v/>
      </c>
      <c r="I3980" s="11" t="n">
        <v/>
      </c>
      <c r="J3980" s="11" t="n">
        <v/>
      </c>
      <c r="K3980" s="4" t="inlineStr">
        <is>
          <t>Stundensätze eingeben</t>
        </is>
      </c>
    </row>
    <row r="3981">
      <c r="A3981" s="4" t="inlineStr">
        <is>
          <t>7003.01 Dechema-BSK-Theodor-Hess-Allee25-FFM</t>
        </is>
      </c>
      <c r="B3981" s="4" t="inlineStr">
        <is>
          <t>● (p) Pos. 2 Erstellung eines Brandschutzkonzeptes</t>
        </is>
      </c>
      <c r="C3981" s="4" t="inlineStr">
        <is>
          <t>Pauschale</t>
        </is>
      </c>
      <c r="D3981" s="10" t="inlineStr">
        <is>
          <t>⚠ Manual erforderlich</t>
        </is>
      </c>
      <c r="E3981" s="11" t="inlineStr"/>
      <c r="F3981" s="11" t="n">
        <v>0</v>
      </c>
      <c r="G3981" s="11">
        <f>E3981-F3981</f>
        <v/>
      </c>
      <c r="H3981" s="11" t="n">
        <v>0</v>
      </c>
      <c r="I3981" s="11" t="n">
        <v>0</v>
      </c>
      <c r="J3981" s="11" t="n">
        <v>0</v>
      </c>
      <c r="K3981" s="4" t="inlineStr">
        <is>
          <t>Stundensätze eingeben</t>
        </is>
      </c>
    </row>
    <row r="3982">
      <c r="A3982" s="4" t="inlineStr">
        <is>
          <t>7003.01 Dechema-BSK-Theodor-Hess-Allee25-FFM</t>
        </is>
      </c>
      <c r="B3982" s="4" t="inlineStr">
        <is>
          <t>● (aN) Pos. 3 Brandschutztechnische Beratungsleistung</t>
        </is>
      </c>
      <c r="C3982" s="4" t="inlineStr">
        <is>
          <t>Nachweis</t>
        </is>
      </c>
      <c r="D3982" s="10" t="inlineStr">
        <is>
          <t>⚠ Manual erforderlich</t>
        </is>
      </c>
      <c r="E3982" s="11" t="inlineStr"/>
      <c r="F3982" s="11" t="n">
        <v>0</v>
      </c>
      <c r="G3982" s="11">
        <f>E3982-F3982</f>
        <v/>
      </c>
      <c r="H3982" s="11" t="n">
        <v/>
      </c>
      <c r="I3982" s="11" t="n">
        <v/>
      </c>
      <c r="J3982" s="11" t="n">
        <v/>
      </c>
      <c r="K3982" s="4" t="inlineStr">
        <is>
          <t>Stundensätze eingeben</t>
        </is>
      </c>
    </row>
    <row r="3983">
      <c r="A3983" s="4" t="inlineStr">
        <is>
          <t>7005.01 Merck-FLA-GebN50-FrankfurterStr250-Darmstadt</t>
        </is>
      </c>
      <c r="B3983" s="4" t="inlineStr">
        <is>
          <t>● (p) Pos. 1 Planung Austausch Schaummittel Geb. N50 - LP 1-6</t>
        </is>
      </c>
      <c r="C3983" s="4" t="inlineStr">
        <is>
          <t>Pauschale</t>
        </is>
      </c>
      <c r="D3983" s="10" t="inlineStr">
        <is>
          <t>⚠ Manual erforderlich</t>
        </is>
      </c>
      <c r="E3983" s="11" t="inlineStr"/>
      <c r="F3983" s="11" t="n">
        <v>0</v>
      </c>
      <c r="G3983" s="11">
        <f>E3983-F3983</f>
        <v/>
      </c>
      <c r="H3983" s="11" t="n">
        <v>0</v>
      </c>
      <c r="I3983" s="11" t="n">
        <v>0</v>
      </c>
      <c r="J3983" s="11" t="n">
        <v>0</v>
      </c>
      <c r="K3983" s="4" t="inlineStr">
        <is>
          <t>Stundensätze eingeben</t>
        </is>
      </c>
    </row>
    <row r="3984">
      <c r="A3984" s="4" t="inlineStr">
        <is>
          <t>7005.01 Merck-FLA-GebN50-FrankfurterStr250-Darmstadt</t>
        </is>
      </c>
      <c r="B3984" s="4" t="inlineStr">
        <is>
          <t>● Auftragserhöhung - LP 7+8</t>
        </is>
      </c>
      <c r="C3984" s="9" t="inlineStr">
        <is>
          <t>Unbekannt</t>
        </is>
      </c>
      <c r="D3984" s="10" t="inlineStr">
        <is>
          <t>⚠ Manual erforderlich</t>
        </is>
      </c>
      <c r="E3984" s="11" t="inlineStr"/>
      <c r="F3984" s="11" t="n">
        <v>0</v>
      </c>
      <c r="G3984" s="11">
        <f>E3984-F3984</f>
        <v/>
      </c>
      <c r="H3984" s="11" t="n">
        <v/>
      </c>
      <c r="I3984" s="11" t="n">
        <v/>
      </c>
      <c r="J3984" s="11" t="n">
        <v/>
      </c>
      <c r="K3984" s="4" t="inlineStr">
        <is>
          <t>Abrechnungsart wählen; Stundensätze eingeben</t>
        </is>
      </c>
    </row>
    <row r="3985">
      <c r="A3985" s="4" t="inlineStr">
        <is>
          <t>7005.012 Merck-FLA-GebN50-Überarbeitung-Vordach-FrankfurterStr250-Darmstadt</t>
        </is>
      </c>
      <c r="B3985" s="4" t="inlineStr">
        <is>
          <t>● (p) Pos. 1 Umplanung Sprinkleranlage Vordach Geb. N50</t>
        </is>
      </c>
      <c r="C3985" s="4" t="inlineStr">
        <is>
          <t>Pauschale</t>
        </is>
      </c>
      <c r="D3985" s="10" t="inlineStr">
        <is>
          <t>⚠ Manual erforderlich</t>
        </is>
      </c>
      <c r="E3985" s="11" t="inlineStr"/>
      <c r="F3985" s="11" t="n">
        <v>0</v>
      </c>
      <c r="G3985" s="11">
        <f>E3985-F3985</f>
        <v/>
      </c>
      <c r="H3985" s="11" t="n">
        <v>0</v>
      </c>
      <c r="I3985" s="11" t="n">
        <v>0</v>
      </c>
      <c r="J3985" s="11" t="n">
        <v>0</v>
      </c>
      <c r="K3985" s="4" t="inlineStr">
        <is>
          <t>Stundensätze eingeben</t>
        </is>
      </c>
    </row>
    <row r="3986">
      <c r="A3986" s="4" t="inlineStr">
        <is>
          <t>7005.012 Merck-FLA-GebN50-Überarbeitung-Vordach-FrankfurterStr250-Darmstadt</t>
        </is>
      </c>
      <c r="B3986" s="4" t="inlineStr">
        <is>
          <t>● (p) Pos. 2 Auftragsbearbeitung</t>
        </is>
      </c>
      <c r="C3986" s="4" t="inlineStr">
        <is>
          <t>Pauschale</t>
        </is>
      </c>
      <c r="D3986" s="10" t="inlineStr">
        <is>
          <t>⚠ Manual erforderlich</t>
        </is>
      </c>
      <c r="E3986" s="11" t="inlineStr"/>
      <c r="F3986" s="11" t="n">
        <v>0</v>
      </c>
      <c r="G3986" s="11">
        <f>E3986-F3986</f>
        <v/>
      </c>
      <c r="H3986" s="11" t="n">
        <v>0</v>
      </c>
      <c r="I3986" s="11" t="n">
        <v>0</v>
      </c>
      <c r="J3986" s="11" t="n">
        <v>0</v>
      </c>
      <c r="K3986" s="4" t="inlineStr">
        <is>
          <t>Stundensätze eingeben</t>
        </is>
      </c>
    </row>
    <row r="3987">
      <c r="A3987" s="4" t="inlineStr">
        <is>
          <t>7005.02 Merck-FLA-GebN88-FrankfurterStr250-Darmstadt</t>
        </is>
      </c>
      <c r="B3987" s="4" t="inlineStr">
        <is>
          <t>● (p) Pos. 1 Planung Austausch Schaummittel LP1-6 GL</t>
        </is>
      </c>
      <c r="C3987" s="4" t="inlineStr">
        <is>
          <t>Pauschale</t>
        </is>
      </c>
      <c r="D3987" s="10" t="inlineStr">
        <is>
          <t>⚠ Manual erforderlich</t>
        </is>
      </c>
      <c r="E3987" s="11" t="inlineStr"/>
      <c r="F3987" s="11" t="n">
        <v>0</v>
      </c>
      <c r="G3987" s="11">
        <f>E3987-F3987</f>
        <v/>
      </c>
      <c r="H3987" s="11" t="n">
        <v>0</v>
      </c>
      <c r="I3987" s="11" t="n">
        <v>0</v>
      </c>
      <c r="J3987" s="11" t="n">
        <v>0</v>
      </c>
      <c r="K3987" s="4" t="inlineStr">
        <is>
          <t>Stundensätze eingeben</t>
        </is>
      </c>
    </row>
    <row r="3988">
      <c r="A3988" s="4" t="inlineStr">
        <is>
          <t>7005.02 Merck-FLA-GebN88-FrankfurterStr250-Darmstadt</t>
        </is>
      </c>
      <c r="B3988" s="4" t="inlineStr">
        <is>
          <t>● (p) Auftragserhöhung LP 7+8</t>
        </is>
      </c>
      <c r="C3988" s="4" t="inlineStr">
        <is>
          <t>Pauschale</t>
        </is>
      </c>
      <c r="D3988" s="10" t="inlineStr">
        <is>
          <t>⚠ Manual erforderlich</t>
        </is>
      </c>
      <c r="E3988" s="11" t="inlineStr"/>
      <c r="F3988" s="11" t="n">
        <v>0</v>
      </c>
      <c r="G3988" s="11">
        <f>E3988-F3988</f>
        <v/>
      </c>
      <c r="H3988" s="11" t="n">
        <v>0</v>
      </c>
      <c r="I3988" s="11" t="n">
        <v>0</v>
      </c>
      <c r="J3988" s="11" t="n">
        <v>0</v>
      </c>
      <c r="K3988" s="4" t="inlineStr">
        <is>
          <t>Stundensätze eingeben</t>
        </is>
      </c>
    </row>
    <row r="3989">
      <c r="A3989" s="4" t="inlineStr">
        <is>
          <t>7005.03 Merck-FLA-GebN90-FrankfurterStr250-Darmstadt</t>
        </is>
      </c>
      <c r="B3989" s="4" t="inlineStr">
        <is>
          <t>● (p) Pos. 1 Planung Austausch Schaummittel LP1-6</t>
        </is>
      </c>
      <c r="C3989" s="4" t="inlineStr">
        <is>
          <t>Pauschale</t>
        </is>
      </c>
      <c r="D3989" s="10" t="inlineStr">
        <is>
          <t>⚠ Manual erforderlich</t>
        </is>
      </c>
      <c r="E3989" s="11" t="inlineStr"/>
      <c r="F3989" s="11" t="n">
        <v>0</v>
      </c>
      <c r="G3989" s="11">
        <f>E3989-F3989</f>
        <v/>
      </c>
      <c r="H3989" s="11" t="n">
        <v>0</v>
      </c>
      <c r="I3989" s="11" t="n">
        <v>0</v>
      </c>
      <c r="J3989" s="11" t="n">
        <v>0</v>
      </c>
      <c r="K3989" s="4" t="inlineStr">
        <is>
          <t>Stundensätze eingeben</t>
        </is>
      </c>
    </row>
    <row r="3990">
      <c r="A3990" s="4" t="inlineStr">
        <is>
          <t>7005.03 Merck-FLA-GebN90-FrankfurterStr250-Darmstadt</t>
        </is>
      </c>
      <c r="B3990" s="4" t="inlineStr">
        <is>
          <t>● (p) Auftragserhöhung LP 7+8</t>
        </is>
      </c>
      <c r="C3990" s="4" t="inlineStr">
        <is>
          <t>Pauschale</t>
        </is>
      </c>
      <c r="D3990" s="10" t="inlineStr">
        <is>
          <t>⚠ Manual erforderlich</t>
        </is>
      </c>
      <c r="E3990" s="11" t="inlineStr"/>
      <c r="F3990" s="11" t="n">
        <v>0</v>
      </c>
      <c r="G3990" s="11">
        <f>E3990-F3990</f>
        <v/>
      </c>
      <c r="H3990" s="11" t="n">
        <v>0</v>
      </c>
      <c r="I3990" s="11" t="n">
        <v>0</v>
      </c>
      <c r="J3990" s="11" t="n">
        <v>0</v>
      </c>
      <c r="K3990" s="4" t="inlineStr">
        <is>
          <t>Stundensätze eingeben</t>
        </is>
      </c>
    </row>
    <row r="3991">
      <c r="A3991" s="4" t="inlineStr">
        <is>
          <t>7007 SigraS-FLA-Neckarspinnerei-Quartier-Wendlingen</t>
        </is>
      </c>
      <c r="B3991" s="4" t="inlineStr">
        <is>
          <t>● (aN) Pos. 3.001 Sprinklervorplanung / LP1 Grundlagenermittlung (ANG01)</t>
        </is>
      </c>
      <c r="C3991" s="4" t="inlineStr">
        <is>
          <t>Nachweis</t>
        </is>
      </c>
      <c r="D3991" s="10" t="inlineStr">
        <is>
          <t>⚠ Manual erforderlich</t>
        </is>
      </c>
      <c r="E3991" s="11" t="inlineStr"/>
      <c r="F3991" s="11" t="n">
        <v>0</v>
      </c>
      <c r="G3991" s="11">
        <f>E3991-F3991</f>
        <v/>
      </c>
      <c r="H3991" s="11" t="n">
        <v/>
      </c>
      <c r="I3991" s="11" t="n">
        <v/>
      </c>
      <c r="J3991" s="11" t="n">
        <v/>
      </c>
      <c r="K3991" s="4" t="inlineStr">
        <is>
          <t>Stundensätze eingeben</t>
        </is>
      </c>
    </row>
    <row r="3992">
      <c r="A3992" s="4" t="inlineStr">
        <is>
          <t>7007 SigraS-FLA-Neckarspinnerei-Quartier-Wendlingen</t>
        </is>
      </c>
      <c r="B3992" s="4" t="inlineStr">
        <is>
          <t>● (aN) Pos. 3.001 Sprinklervorplanung / LP2 (NAT01)</t>
        </is>
      </c>
      <c r="C3992" s="4" t="inlineStr">
        <is>
          <t>Nachweis</t>
        </is>
      </c>
      <c r="D3992" s="10" t="inlineStr">
        <is>
          <t>⚠ Manual erforderlich</t>
        </is>
      </c>
      <c r="E3992" s="11" t="inlineStr"/>
      <c r="F3992" s="11" t="n">
        <v>0</v>
      </c>
      <c r="G3992" s="11">
        <f>E3992-F3992</f>
        <v/>
      </c>
      <c r="H3992" s="11" t="n">
        <v/>
      </c>
      <c r="I3992" s="11" t="n">
        <v/>
      </c>
      <c r="J3992" s="11" t="n">
        <v/>
      </c>
      <c r="K3992" s="4" t="inlineStr">
        <is>
          <t>Stundensätze eingeben</t>
        </is>
      </c>
    </row>
    <row r="3993">
      <c r="A3993" s="4" t="inlineStr">
        <is>
          <t>7007 SigraS-FLA-Neckarspinnerei-Quartier-Wendlingen</t>
        </is>
      </c>
      <c r="B3993" s="4" t="inlineStr">
        <is>
          <t>● (aN) NAT 2 - LP3</t>
        </is>
      </c>
      <c r="C3993" s="4" t="inlineStr">
        <is>
          <t>Nachweis</t>
        </is>
      </c>
      <c r="D3993" s="10" t="inlineStr">
        <is>
          <t>⚠ Manual erforderlich</t>
        </is>
      </c>
      <c r="E3993" s="11" t="inlineStr"/>
      <c r="F3993" s="11" t="n">
        <v>0</v>
      </c>
      <c r="G3993" s="11">
        <f>E3993-F3993</f>
        <v/>
      </c>
      <c r="H3993" s="11" t="n">
        <v/>
      </c>
      <c r="I3993" s="11" t="n">
        <v/>
      </c>
      <c r="J3993" s="11" t="n">
        <v/>
      </c>
      <c r="K3993" s="4" t="inlineStr">
        <is>
          <t>Stundensätze eingeben</t>
        </is>
      </c>
    </row>
    <row r="3994">
      <c r="A3994" s="4" t="inlineStr">
        <is>
          <t>7009 ADAC-BST-Moritzstr18-Wiesbaden</t>
        </is>
      </c>
      <c r="B3994" s="4" t="inlineStr">
        <is>
          <t>● (aN) Pos. 1 Brandschutztechnische Beratungsleistungen</t>
        </is>
      </c>
      <c r="C3994" s="4" t="inlineStr">
        <is>
          <t>Nachweis</t>
        </is>
      </c>
      <c r="D3994" s="10" t="inlineStr">
        <is>
          <t>⚠ Manual erforderlich</t>
        </is>
      </c>
      <c r="E3994" s="11" t="inlineStr"/>
      <c r="F3994" s="11" t="n">
        <v>0</v>
      </c>
      <c r="G3994" s="11">
        <f>E3994-F3994</f>
        <v/>
      </c>
      <c r="H3994" s="11" t="n">
        <v/>
      </c>
      <c r="I3994" s="11" t="n">
        <v/>
      </c>
      <c r="J3994" s="11" t="n">
        <v/>
      </c>
      <c r="K3994" s="4" t="inlineStr">
        <is>
          <t>Stundensätze eingeben</t>
        </is>
      </c>
    </row>
    <row r="3995">
      <c r="A3995" s="4" t="inlineStr">
        <is>
          <t>7010 Dummy-Ausschreibung-FWP-div.-Schulen</t>
        </is>
      </c>
      <c r="B3995" s="4" t="inlineStr">
        <is>
          <t>● (p) Begehungen-Aktualisierung-FWP-Erstellung FWP-div. Schulen</t>
        </is>
      </c>
      <c r="C3995" s="4" t="inlineStr">
        <is>
          <t>Pauschale</t>
        </is>
      </c>
      <c r="D3995" s="10" t="inlineStr">
        <is>
          <t>⚠ Manual erforderlich</t>
        </is>
      </c>
      <c r="E3995" s="11" t="inlineStr"/>
      <c r="F3995" s="11" t="n">
        <v>0</v>
      </c>
      <c r="G3995" s="11">
        <f>E3995-F3995</f>
        <v/>
      </c>
      <c r="H3995" s="11" t="n">
        <v/>
      </c>
      <c r="I3995" s="11" t="n">
        <v/>
      </c>
      <c r="J3995" s="11" t="n">
        <v/>
      </c>
      <c r="K3995" s="4" t="inlineStr">
        <is>
          <t>Stundensätze eingeben</t>
        </is>
      </c>
    </row>
    <row r="3996">
      <c r="A3996" s="4" t="inlineStr">
        <is>
          <t>7010.05 RV-FWP-Wingertstraße-33-Wölfersheim-Singbergschule</t>
        </is>
      </c>
      <c r="B3996" s="4" t="inlineStr">
        <is>
          <t>● (p) Pos.1 Erstbegehung, Bestandsaufnahme einer weiterführenden Schule</t>
        </is>
      </c>
      <c r="C3996" s="4" t="inlineStr">
        <is>
          <t>Pauschale</t>
        </is>
      </c>
      <c r="D3996" s="10" t="inlineStr">
        <is>
          <t>⚠ Manual erforderlich</t>
        </is>
      </c>
      <c r="E3996" s="11" t="inlineStr"/>
      <c r="F3996" s="11" t="n">
        <v>0</v>
      </c>
      <c r="G3996" s="11">
        <f>E3996-F3996</f>
        <v/>
      </c>
      <c r="H3996" s="11" t="n">
        <v>0</v>
      </c>
      <c r="I3996" s="11" t="n">
        <v>0</v>
      </c>
      <c r="J3996" s="11" t="n">
        <v>0</v>
      </c>
      <c r="K3996" s="4" t="inlineStr">
        <is>
          <t>Stundensätze eingeben</t>
        </is>
      </c>
    </row>
    <row r="3997">
      <c r="A3997" s="4" t="inlineStr">
        <is>
          <t>7010.05 RV-FWP-Wingertstraße-33-Wölfersheim-Singbergschule</t>
        </is>
      </c>
      <c r="B3997" s="4" t="inlineStr">
        <is>
          <t>● (p) Pos.2 Erstellung FWP</t>
        </is>
      </c>
      <c r="C3997" s="4" t="inlineStr">
        <is>
          <t>Pauschale</t>
        </is>
      </c>
      <c r="D3997" s="10" t="inlineStr">
        <is>
          <t>⚠ Manual erforderlich</t>
        </is>
      </c>
      <c r="E3997" s="11" t="inlineStr"/>
      <c r="F3997" s="11" t="n">
        <v>0</v>
      </c>
      <c r="G3997" s="11">
        <f>E3997-F3997</f>
        <v/>
      </c>
      <c r="H3997" s="11" t="n">
        <v>0</v>
      </c>
      <c r="I3997" s="11" t="n">
        <v>0</v>
      </c>
      <c r="J3997" s="11" t="n">
        <v>0</v>
      </c>
      <c r="K3997" s="4" t="inlineStr">
        <is>
          <t>Stundensätze eingeben</t>
        </is>
      </c>
    </row>
    <row r="3998">
      <c r="A3998" s="4" t="inlineStr">
        <is>
          <t>7014 HD-AHO-FortschrBSK-alteStallungen-ehm.CampbellBarracks-Heidelberg</t>
        </is>
      </c>
      <c r="B3998" s="4" t="inlineStr">
        <is>
          <t>● • (p) RL LP 1-4</t>
        </is>
      </c>
      <c r="C3998" s="4" t="inlineStr">
        <is>
          <t>Pauschale</t>
        </is>
      </c>
      <c r="D3998" s="10" t="inlineStr">
        <is>
          <t>⚠ Manual erforderlich</t>
        </is>
      </c>
      <c r="E3998" s="11" t="inlineStr"/>
      <c r="F3998" s="11" t="n">
        <v>0</v>
      </c>
      <c r="G3998" s="11">
        <f>E3998-F3998</f>
        <v/>
      </c>
      <c r="H3998" s="11" t="n">
        <v>0</v>
      </c>
      <c r="I3998" s="11" t="n">
        <v>0</v>
      </c>
      <c r="J3998" s="11" t="n">
        <v>0</v>
      </c>
      <c r="K3998" s="4" t="inlineStr">
        <is>
          <t>Stundensätze eingeben</t>
        </is>
      </c>
    </row>
    <row r="3999">
      <c r="A3999" s="4" t="inlineStr">
        <is>
          <t>7014 HD-AHO-FortschrBSK-alteStallungen-ehm.CampbellBarracks-Heidelberg</t>
        </is>
      </c>
      <c r="B3999" s="4" t="inlineStr">
        <is>
          <t>● • (aN) OL LP 1-4</t>
        </is>
      </c>
      <c r="C3999" s="4" t="inlineStr">
        <is>
          <t>Nachweis</t>
        </is>
      </c>
      <c r="D3999" s="10" t="inlineStr">
        <is>
          <t>⚠ Manual erforderlich</t>
        </is>
      </c>
      <c r="E3999" s="11" t="inlineStr"/>
      <c r="F3999" s="11" t="n">
        <v>0</v>
      </c>
      <c r="G3999" s="11">
        <f>E3999-F3999</f>
        <v/>
      </c>
      <c r="H3999" s="11" t="n">
        <v/>
      </c>
      <c r="I3999" s="11" t="n">
        <v/>
      </c>
      <c r="J3999" s="11" t="n">
        <v/>
      </c>
      <c r="K3999" s="4" t="inlineStr">
        <is>
          <t>Stundensätze eingeben</t>
        </is>
      </c>
    </row>
    <row r="4000">
      <c r="A4000" s="4" t="inlineStr">
        <is>
          <t>7014 HD-AHO-FortschrBSK-alteStallungen-ehm.CampbellBarracks-Heidelberg</t>
        </is>
      </c>
      <c r="B4000" s="4" t="inlineStr">
        <is>
          <t>● • FRP (Abrechnung in Klärung)</t>
        </is>
      </c>
      <c r="C4000" s="9" t="inlineStr">
        <is>
          <t>Unbekannt</t>
        </is>
      </c>
      <c r="D4000" s="10" t="inlineStr">
        <is>
          <t>⚠ Manual erforderlich</t>
        </is>
      </c>
      <c r="E4000" s="11" t="inlineStr"/>
      <c r="F4000" s="11" t="n">
        <v>0</v>
      </c>
      <c r="G4000" s="11">
        <f>E4000-F4000</f>
        <v/>
      </c>
      <c r="H4000" s="11" t="n">
        <v/>
      </c>
      <c r="I4000" s="11" t="n">
        <v/>
      </c>
      <c r="J4000" s="11" t="n">
        <v/>
      </c>
      <c r="K4000" s="4" t="inlineStr">
        <is>
          <t>Abrechnungsart wählen; Stundensätze eingeben</t>
        </is>
      </c>
    </row>
    <row r="4001">
      <c r="A4001" s="4" t="inlineStr">
        <is>
          <t>7014 HD-AHO-FortschrBSK-alteStallungen-ehm.CampbellBarracks-Heidelberg</t>
        </is>
      </c>
      <c r="B4001" s="4" t="inlineStr">
        <is>
          <t>● • LP 5 Abruf offen</t>
        </is>
      </c>
      <c r="C4001" s="9" t="inlineStr">
        <is>
          <t>Unbekannt</t>
        </is>
      </c>
      <c r="D4001" s="10" t="inlineStr">
        <is>
          <t>⚠ Manual erforderlich</t>
        </is>
      </c>
      <c r="E4001" s="11" t="inlineStr"/>
      <c r="F4001" s="11" t="n">
        <v>0</v>
      </c>
      <c r="G4001" s="11">
        <f>E4001-F4001</f>
        <v/>
      </c>
      <c r="H4001" s="11" t="n">
        <v/>
      </c>
      <c r="I4001" s="11" t="n">
        <v/>
      </c>
      <c r="J4001" s="11" t="n">
        <v/>
      </c>
      <c r="K4001" s="4" t="inlineStr">
        <is>
          <t>Abrechnungsart wählen; Stundensätze eingeben</t>
        </is>
      </c>
    </row>
    <row r="4002">
      <c r="A4002" s="4" t="inlineStr">
        <is>
          <t>7014 HD-AHO-FortschrBSK-alteStallungen-ehm.CampbellBarracks-Heidelberg</t>
        </is>
      </c>
      <c r="B4002" s="4" t="inlineStr">
        <is>
          <t>● • LP 8 Abruf offen</t>
        </is>
      </c>
      <c r="C4002" s="9" t="inlineStr">
        <is>
          <t>Unbekannt</t>
        </is>
      </c>
      <c r="D4002" s="10" t="inlineStr">
        <is>
          <t>⚠ Manual erforderlich</t>
        </is>
      </c>
      <c r="E4002" s="11" t="inlineStr"/>
      <c r="F4002" s="11" t="n">
        <v>0</v>
      </c>
      <c r="G4002" s="11">
        <f>E4002-F4002</f>
        <v/>
      </c>
      <c r="H4002" s="11" t="n">
        <v/>
      </c>
      <c r="I4002" s="11" t="n">
        <v/>
      </c>
      <c r="J4002" s="11" t="n">
        <v/>
      </c>
      <c r="K4002" s="4" t="inlineStr">
        <is>
          <t>Abrechnungsart wählen; Stundensätze eingeben</t>
        </is>
      </c>
    </row>
    <row r="4003">
      <c r="A4003" s="4" t="inlineStr">
        <is>
          <t>7014 HD-AHO-FortschrBSK-alteStallungen-ehm.CampbellBarracks-Heidelberg</t>
        </is>
      </c>
      <c r="B4003" s="4" t="inlineStr">
        <is>
          <t>● NORDFLÜGEL (BA 2) Abruf offen</t>
        </is>
      </c>
      <c r="C4003" s="9" t="inlineStr">
        <is>
          <t>Unbekannt</t>
        </is>
      </c>
      <c r="D4003" s="10" t="inlineStr">
        <is>
          <t>⚠ Manual erforderlich</t>
        </is>
      </c>
      <c r="E4003" s="11" t="inlineStr"/>
      <c r="F4003" s="11" t="n">
        <v>0</v>
      </c>
      <c r="G4003" s="11">
        <f>E4003-F4003</f>
        <v/>
      </c>
      <c r="H4003" s="11" t="n">
        <v/>
      </c>
      <c r="I4003" s="11" t="n">
        <v/>
      </c>
      <c r="J4003" s="11" t="n">
        <v/>
      </c>
      <c r="K4003" s="4" t="inlineStr">
        <is>
          <t>Abrechnungsart wählen; Stundensätze eingeben</t>
        </is>
      </c>
    </row>
    <row r="4004">
      <c r="A4004" s="4" t="inlineStr">
        <is>
          <t>7015.02 HeyLagerGmbH-BAB-Garagenpark-Alzenau</t>
        </is>
      </c>
      <c r="B4004" s="4" t="inlineStr">
        <is>
          <t>● (p) Pos. 1 BAB + KOF</t>
        </is>
      </c>
      <c r="C4004" s="4" t="inlineStr">
        <is>
          <t>Pauschale</t>
        </is>
      </c>
      <c r="D4004" s="10" t="inlineStr">
        <is>
          <t>⚠ Manual erforderlich</t>
        </is>
      </c>
      <c r="E4004" s="11" t="inlineStr"/>
      <c r="F4004" s="11" t="n">
        <v>0</v>
      </c>
      <c r="G4004" s="11">
        <f>E4004-F4004</f>
        <v/>
      </c>
      <c r="H4004" s="11" t="n">
        <v>0</v>
      </c>
      <c r="I4004" s="11" t="n">
        <v>0</v>
      </c>
      <c r="J4004" s="11" t="n">
        <v>0</v>
      </c>
      <c r="K4004" s="4" t="inlineStr">
        <is>
          <t>Stundensätze eingeben</t>
        </is>
      </c>
    </row>
    <row r="4005">
      <c r="A4005" s="4" t="inlineStr">
        <is>
          <t>7019.03 Mankiewicz-Fortschr-BSK-Georg-Wilhelm-Straße-189-Hamburg-Halle-12</t>
        </is>
      </c>
      <c r="B4005" s="4" t="inlineStr">
        <is>
          <t>● (p) Pos.1 Fortschr. BSK Halle 12</t>
        </is>
      </c>
      <c r="C4005" s="4" t="inlineStr">
        <is>
          <t>Pauschale</t>
        </is>
      </c>
      <c r="D4005" s="10" t="inlineStr">
        <is>
          <t>⚠ Manual erforderlich</t>
        </is>
      </c>
      <c r="E4005" s="11" t="inlineStr"/>
      <c r="F4005" s="11" t="n">
        <v>0</v>
      </c>
      <c r="G4005" s="11">
        <f>E4005-F4005</f>
        <v/>
      </c>
      <c r="H4005" s="11" t="n">
        <v>0</v>
      </c>
      <c r="I4005" s="11" t="n">
        <v>0</v>
      </c>
      <c r="J4005" s="11" t="n">
        <v>0</v>
      </c>
      <c r="K4005" s="4" t="inlineStr">
        <is>
          <t>Stundensätze eingeben</t>
        </is>
      </c>
    </row>
    <row r="4006">
      <c r="A4006" s="4" t="inlineStr">
        <is>
          <t>7027.01 Werkhaus-NAT-BSK-Winsener-Straße-190-Hamburg</t>
        </is>
      </c>
      <c r="B4006" s="4" t="inlineStr">
        <is>
          <t>● (p) Pos.1 NAT zum BSK</t>
        </is>
      </c>
      <c r="C4006" s="4" t="inlineStr">
        <is>
          <t>Pauschale</t>
        </is>
      </c>
      <c r="D4006" s="10" t="inlineStr">
        <is>
          <t>⚠ Manual erforderlich</t>
        </is>
      </c>
      <c r="E4006" s="11" t="inlineStr"/>
      <c r="F4006" s="11" t="n">
        <v>0</v>
      </c>
      <c r="G4006" s="11">
        <f>E4006-F4006</f>
        <v/>
      </c>
      <c r="H4006" s="11" t="n">
        <v>0</v>
      </c>
      <c r="I4006" s="11" t="n">
        <v>0</v>
      </c>
      <c r="J4006" s="11" t="n">
        <v>0</v>
      </c>
      <c r="K4006" s="4" t="inlineStr">
        <is>
          <t>Stundensätze eingeben</t>
        </is>
      </c>
    </row>
    <row r="4007">
      <c r="A4007" s="4" t="inlineStr">
        <is>
          <t>7029 BSK-Campingplatz-Bärensee-Bruchköbel</t>
        </is>
      </c>
      <c r="B4007" s="4" t="inlineStr">
        <is>
          <t>● (a.N.) Pos.1 Bestandserfassung</t>
        </is>
      </c>
      <c r="C4007" s="4" t="inlineStr">
        <is>
          <t>Nachweis</t>
        </is>
      </c>
      <c r="D4007" s="10" t="inlineStr">
        <is>
          <t>⚠ Manual erforderlich</t>
        </is>
      </c>
      <c r="E4007" s="11" t="inlineStr"/>
      <c r="F4007" s="11" t="n">
        <v>0</v>
      </c>
      <c r="G4007" s="11">
        <f>E4007-F4007</f>
        <v/>
      </c>
      <c r="H4007" s="11" t="n">
        <v/>
      </c>
      <c r="I4007" s="11" t="n">
        <v/>
      </c>
      <c r="J4007" s="11" t="n">
        <v/>
      </c>
      <c r="K4007" s="4" t="inlineStr">
        <is>
          <t>Stundensätze eingeben</t>
        </is>
      </c>
    </row>
    <row r="4008">
      <c r="A4008" s="4" t="inlineStr">
        <is>
          <t>7029 BSK-Campingplatz-Bärensee-Bruchköbel</t>
        </is>
      </c>
      <c r="B4008" s="4" t="inlineStr">
        <is>
          <t>● (a.N.) Pos.2 Brandschutzkonzept Texteil 6-fach</t>
        </is>
      </c>
      <c r="C4008" s="4" t="inlineStr">
        <is>
          <t>Nachweis</t>
        </is>
      </c>
      <c r="D4008" s="10" t="inlineStr">
        <is>
          <t>⚠ Manual erforderlich</t>
        </is>
      </c>
      <c r="E4008" s="11" t="inlineStr"/>
      <c r="F4008" s="11" t="n">
        <v>0</v>
      </c>
      <c r="G4008" s="11">
        <f>E4008-F4008</f>
        <v/>
      </c>
      <c r="H4008" s="11" t="n">
        <v/>
      </c>
      <c r="I4008" s="11" t="n">
        <v/>
      </c>
      <c r="J4008" s="11" t="n">
        <v/>
      </c>
      <c r="K4008" s="4" t="inlineStr">
        <is>
          <t>Stundensätze eingeben</t>
        </is>
      </c>
    </row>
    <row r="4009">
      <c r="A4009" s="4" t="inlineStr">
        <is>
          <t>7029 BSK-Campingplatz-Bärensee-Bruchköbel</t>
        </is>
      </c>
      <c r="B4009" s="4" t="inlineStr">
        <is>
          <t>● (a.N.) Pos.3 Brandschutzkonzept Planteil 6-fach</t>
        </is>
      </c>
      <c r="C4009" s="4" t="inlineStr">
        <is>
          <t>Nachweis</t>
        </is>
      </c>
      <c r="D4009" s="10" t="inlineStr">
        <is>
          <t>⚠ Manual erforderlich</t>
        </is>
      </c>
      <c r="E4009" s="11" t="inlineStr"/>
      <c r="F4009" s="11" t="n">
        <v>0</v>
      </c>
      <c r="G4009" s="11">
        <f>E4009-F4009</f>
        <v/>
      </c>
      <c r="H4009" s="11" t="n">
        <v/>
      </c>
      <c r="I4009" s="11" t="n">
        <v/>
      </c>
      <c r="J4009" s="11" t="n">
        <v/>
      </c>
      <c r="K4009" s="4" t="inlineStr">
        <is>
          <t>Stundensätze eingeben</t>
        </is>
      </c>
    </row>
    <row r="4010">
      <c r="A4010" s="4" t="inlineStr">
        <is>
          <t>7029 BSK-Campingplatz-Bärensee-Bruchköbel</t>
        </is>
      </c>
      <c r="B4010" s="4" t="inlineStr">
        <is>
          <t>● (a.N.) Beratungsleistung / Abstimmung</t>
        </is>
      </c>
      <c r="C4010" s="4" t="inlineStr">
        <is>
          <t>Nachweis</t>
        </is>
      </c>
      <c r="D4010" s="10" t="inlineStr">
        <is>
          <t>⚠ Manual erforderlich</t>
        </is>
      </c>
      <c r="E4010" s="11" t="inlineStr"/>
      <c r="F4010" s="11" t="n">
        <v>0</v>
      </c>
      <c r="G4010" s="11">
        <f>E4010-F4010</f>
        <v/>
      </c>
      <c r="H4010" s="11" t="n">
        <v/>
      </c>
      <c r="I4010" s="11" t="n">
        <v/>
      </c>
      <c r="J4010" s="11" t="n">
        <v/>
      </c>
      <c r="K4010" s="4" t="inlineStr">
        <is>
          <t>Stundensätze eingeben</t>
        </is>
      </c>
    </row>
    <row r="4011">
      <c r="A4011" s="4" t="inlineStr">
        <is>
          <t>7029.01 BSO-Campingplatz-Bärensee-Bruchköbel</t>
        </is>
      </c>
      <c r="B4011" s="4" t="inlineStr">
        <is>
          <t>● (aN) Pos.1 Erstellen einer BSO in den Teilen A, B und C</t>
        </is>
      </c>
      <c r="C4011" s="4" t="inlineStr">
        <is>
          <t>Nachweis</t>
        </is>
      </c>
      <c r="D4011" s="10" t="inlineStr">
        <is>
          <t>⚠ Manual erforderlich</t>
        </is>
      </c>
      <c r="E4011" s="11" t="inlineStr"/>
      <c r="F4011" s="11" t="n">
        <v>0</v>
      </c>
      <c r="G4011" s="11">
        <f>E4011-F4011</f>
        <v/>
      </c>
      <c r="H4011" s="11" t="n">
        <v/>
      </c>
      <c r="I4011" s="11" t="n">
        <v/>
      </c>
      <c r="J4011" s="11" t="n">
        <v/>
      </c>
      <c r="K4011" s="4" t="inlineStr">
        <is>
          <t>Stundensätze eingeben</t>
        </is>
      </c>
    </row>
    <row r="4012">
      <c r="A4012" s="4" t="inlineStr">
        <is>
          <t>7029.02 WiBe-FWP-Campingplatz-Bärensee-Bruchköbel</t>
        </is>
      </c>
      <c r="B4012" s="4" t="inlineStr">
        <is>
          <t>● (p) Pos.1 Aktualisierung FWP</t>
        </is>
      </c>
      <c r="C4012" s="4" t="inlineStr">
        <is>
          <t>Pauschale</t>
        </is>
      </c>
      <c r="D4012" s="10" t="inlineStr">
        <is>
          <t>⚠ Manual erforderlich</t>
        </is>
      </c>
      <c r="E4012" s="11" t="inlineStr"/>
      <c r="F4012" s="11" t="n">
        <v>0</v>
      </c>
      <c r="G4012" s="11">
        <f>E4012-F4012</f>
        <v/>
      </c>
      <c r="H4012" s="11" t="n">
        <v>0</v>
      </c>
      <c r="I4012" s="11" t="n">
        <v>0</v>
      </c>
      <c r="J4012" s="11" t="n">
        <v>0</v>
      </c>
      <c r="K4012" s="4" t="inlineStr">
        <is>
          <t>Stundensätze eingeben</t>
        </is>
      </c>
    </row>
    <row r="4013">
      <c r="A4013" s="4" t="inlineStr">
        <is>
          <t>7030.01 BASF-PLA-Trennung-Wandhydranten-Löschkanonen-GebF616-Carl-Bosch-Str38-LUD</t>
        </is>
      </c>
      <c r="B4013" s="4" t="inlineStr">
        <is>
          <t>● Pos. 1 Leistungsphase 2 (Vorplanung) 8,8% von 9%</t>
        </is>
      </c>
      <c r="C4013" s="9" t="inlineStr">
        <is>
          <t>Unbekannt</t>
        </is>
      </c>
      <c r="D4013" s="10" t="inlineStr">
        <is>
          <t>⚠ Manual erforderlich</t>
        </is>
      </c>
      <c r="E4013" s="11" t="inlineStr"/>
      <c r="F4013" s="11" t="n">
        <v>0</v>
      </c>
      <c r="G4013" s="11">
        <f>E4013-F4013</f>
        <v/>
      </c>
      <c r="H4013" s="11" t="n">
        <v/>
      </c>
      <c r="I4013" s="11" t="n">
        <v/>
      </c>
      <c r="J4013" s="11" t="n">
        <v/>
      </c>
      <c r="K4013" s="4" t="inlineStr">
        <is>
          <t>Abrechnungsart wählen; Stundensätze eingeben</t>
        </is>
      </c>
    </row>
    <row r="4014">
      <c r="A4014" s="4" t="inlineStr">
        <is>
          <t>7030.01 BASF-PLA-Trennung-Wandhydranten-Löschkanonen-GebF616-Carl-Bosch-Str38-LUD</t>
        </is>
      </c>
      <c r="B4014" s="4" t="inlineStr">
        <is>
          <t>● Pos. 2 Leistungsphase 3 (Entwurfsplanung) 16,85 von 17%</t>
        </is>
      </c>
      <c r="C4014" s="9" t="inlineStr">
        <is>
          <t>Unbekannt</t>
        </is>
      </c>
      <c r="D4014" s="10" t="inlineStr">
        <is>
          <t>⚠ Manual erforderlich</t>
        </is>
      </c>
      <c r="E4014" s="11" t="inlineStr"/>
      <c r="F4014" s="11" t="n">
        <v>0</v>
      </c>
      <c r="G4014" s="11">
        <f>E4014-F4014</f>
        <v/>
      </c>
      <c r="H4014" s="11" t="n">
        <v/>
      </c>
      <c r="I4014" s="11" t="n">
        <v/>
      </c>
      <c r="J4014" s="11" t="n">
        <v/>
      </c>
      <c r="K4014" s="4" t="inlineStr">
        <is>
          <t>Abrechnungsart wählen; Stundensätze eingeben</t>
        </is>
      </c>
    </row>
    <row r="4015">
      <c r="A4015" s="4" t="inlineStr">
        <is>
          <t>7030.01 BASF-PLA-Trennung-Wandhydranten-Löschkanonen-GebF616-Carl-Bosch-Str38-LUD</t>
        </is>
      </c>
      <c r="B4015" s="4" t="inlineStr">
        <is>
          <t>● Pos. 3 Leistungsphase 5 (Ausführungsplanung) 17,5 % von 22%</t>
        </is>
      </c>
      <c r="C4015" s="9" t="inlineStr">
        <is>
          <t>Unbekannt</t>
        </is>
      </c>
      <c r="D4015" s="10" t="inlineStr">
        <is>
          <t>⚠ Manual erforderlich</t>
        </is>
      </c>
      <c r="E4015" s="11" t="inlineStr"/>
      <c r="F4015" s="11" t="n">
        <v>0</v>
      </c>
      <c r="G4015" s="11">
        <f>E4015-F4015</f>
        <v/>
      </c>
      <c r="H4015" s="11" t="n">
        <v/>
      </c>
      <c r="I4015" s="11" t="n">
        <v/>
      </c>
      <c r="J4015" s="11" t="n">
        <v/>
      </c>
      <c r="K4015" s="4" t="inlineStr">
        <is>
          <t>Abrechnungsart wählen; Stundensätze eingeben</t>
        </is>
      </c>
    </row>
    <row r="4016">
      <c r="A4016" s="4" t="inlineStr">
        <is>
          <t>7030.01 BASF-PLA-Trennung-Wandhydranten-Löschkanonen-GebF616-Carl-Bosch-Str38-LUD</t>
        </is>
      </c>
      <c r="B4016" s="4" t="inlineStr">
        <is>
          <t>● Pos. 4 Optional: Leistungsphase 6 (Vorbereiten der Vergabe)</t>
        </is>
      </c>
      <c r="C4016" s="9" t="inlineStr">
        <is>
          <t>Unbekannt</t>
        </is>
      </c>
      <c r="D4016" s="10" t="inlineStr">
        <is>
          <t>⚠ Manual erforderlich</t>
        </is>
      </c>
      <c r="E4016" s="11" t="inlineStr"/>
      <c r="F4016" s="11" t="n">
        <v>0</v>
      </c>
      <c r="G4016" s="11">
        <f>E4016-F4016</f>
        <v/>
      </c>
      <c r="H4016" s="11" t="n">
        <v/>
      </c>
      <c r="I4016" s="11" t="n">
        <v/>
      </c>
      <c r="J4016" s="11" t="n">
        <v/>
      </c>
      <c r="K4016" s="4" t="inlineStr">
        <is>
          <t>Abrechnungsart wählen; Stundensätze eingeben</t>
        </is>
      </c>
    </row>
    <row r="4017">
      <c r="A4017" s="4" t="inlineStr">
        <is>
          <t>7030.01 BASF-PLA-Trennung-Wandhydranten-Löschkanonen-GebF616-Carl-Bosch-Str38-LUD</t>
        </is>
      </c>
      <c r="B4017" s="4" t="inlineStr">
        <is>
          <t>● Pos. 5 Auftragsbearbeitung</t>
        </is>
      </c>
      <c r="C4017" s="9" t="inlineStr">
        <is>
          <t>Unbekannt</t>
        </is>
      </c>
      <c r="D4017" s="10" t="inlineStr">
        <is>
          <t>⚠ Manual erforderlich</t>
        </is>
      </c>
      <c r="E4017" s="11" t="inlineStr"/>
      <c r="F4017" s="11" t="n">
        <v>0</v>
      </c>
      <c r="G4017" s="11">
        <f>E4017-F4017</f>
        <v/>
      </c>
      <c r="H4017" s="11" t="n">
        <v/>
      </c>
      <c r="I4017" s="11" t="n">
        <v/>
      </c>
      <c r="J4017" s="11" t="n">
        <v/>
      </c>
      <c r="K4017" s="4" t="inlineStr">
        <is>
          <t>Abrechnungsart wählen; Stundensätze eingeben</t>
        </is>
      </c>
    </row>
    <row r="4018">
      <c r="A4018" s="4" t="inlineStr">
        <is>
          <t>7040 Fraunhofer-AHO-BSK-ISE-Freiburg-Neubau-Hykos</t>
        </is>
      </c>
      <c r="B4018" s="4" t="inlineStr">
        <is>
          <t>● • (p) LP 1/LP 2 Vorplanung</t>
        </is>
      </c>
      <c r="C4018" s="4" t="inlineStr">
        <is>
          <t>Pauschale</t>
        </is>
      </c>
      <c r="D4018" s="10" t="inlineStr">
        <is>
          <t>⚠ Manual erforderlich</t>
        </is>
      </c>
      <c r="E4018" s="11" t="inlineStr"/>
      <c r="F4018" s="11" t="n">
        <v>0</v>
      </c>
      <c r="G4018" s="11">
        <f>E4018-F4018</f>
        <v/>
      </c>
      <c r="H4018" s="11" t="n">
        <v>0</v>
      </c>
      <c r="I4018" s="11" t="n">
        <v>0</v>
      </c>
      <c r="J4018" s="11" t="n">
        <v>0</v>
      </c>
      <c r="K4018" s="4" t="inlineStr">
        <is>
          <t>Stundensätze eingeben</t>
        </is>
      </c>
    </row>
    <row r="4019">
      <c r="A4019" s="4" t="inlineStr">
        <is>
          <t>7040 Fraunhofer-AHO-BSK-ISE-Freiburg-Neubau-Hykos</t>
        </is>
      </c>
      <c r="B4019" s="4" t="inlineStr">
        <is>
          <t>● • (p) LP 3 Entwurfsplanung</t>
        </is>
      </c>
      <c r="C4019" s="4" t="inlineStr">
        <is>
          <t>Pauschale</t>
        </is>
      </c>
      <c r="D4019" s="10" t="inlineStr">
        <is>
          <t>⚠ Manual erforderlich</t>
        </is>
      </c>
      <c r="E4019" s="11" t="inlineStr"/>
      <c r="F4019" s="11" t="n">
        <v>0</v>
      </c>
      <c r="G4019" s="11">
        <f>E4019-F4019</f>
        <v/>
      </c>
      <c r="H4019" s="11" t="n">
        <v>0</v>
      </c>
      <c r="I4019" s="11" t="n">
        <v>0</v>
      </c>
      <c r="J4019" s="11" t="n">
        <v>0</v>
      </c>
      <c r="K4019" s="4" t="inlineStr">
        <is>
          <t>Stundensätze eingeben</t>
        </is>
      </c>
    </row>
    <row r="4020">
      <c r="A4020" s="4" t="inlineStr">
        <is>
          <t>7040 Fraunhofer-AHO-BSK-ISE-Freiburg-Neubau-Hykos</t>
        </is>
      </c>
      <c r="B4020" s="4" t="inlineStr">
        <is>
          <t>● • (p) LP 4 Genehmigungsplanung</t>
        </is>
      </c>
      <c r="C4020" s="4" t="inlineStr">
        <is>
          <t>Pauschale</t>
        </is>
      </c>
      <c r="D4020" s="10" t="inlineStr">
        <is>
          <t>⚠ Manual erforderlich</t>
        </is>
      </c>
      <c r="E4020" s="11" t="inlineStr"/>
      <c r="F4020" s="11" t="n">
        <v>0</v>
      </c>
      <c r="G4020" s="11">
        <f>E4020-F4020</f>
        <v/>
      </c>
      <c r="H4020" s="11" t="n">
        <v>0</v>
      </c>
      <c r="I4020" s="11" t="n">
        <v>0</v>
      </c>
      <c r="J4020" s="11" t="n">
        <v>0</v>
      </c>
      <c r="K4020" s="4" t="inlineStr">
        <is>
          <t>Stundensätze eingeben</t>
        </is>
      </c>
    </row>
    <row r="4021">
      <c r="A4021" s="4" t="inlineStr">
        <is>
          <t>7040 Fraunhofer-AHO-BSK-ISE-Freiburg-Neubau-Hykos</t>
        </is>
      </c>
      <c r="B4021" s="4" t="inlineStr">
        <is>
          <t>● • NAT 01 (p) Pos. 1 Wdh-Leistungen LPH 2</t>
        </is>
      </c>
      <c r="C4021" s="4" t="inlineStr">
        <is>
          <t>Pauschale</t>
        </is>
      </c>
      <c r="D4021" s="10" t="inlineStr">
        <is>
          <t>⚠ Manual erforderlich</t>
        </is>
      </c>
      <c r="E4021" s="11" t="inlineStr"/>
      <c r="F4021" s="11" t="n">
        <v>0</v>
      </c>
      <c r="G4021" s="11">
        <f>E4021-F4021</f>
        <v/>
      </c>
      <c r="H4021" s="11" t="n">
        <v>0</v>
      </c>
      <c r="I4021" s="11" t="n">
        <v>0</v>
      </c>
      <c r="J4021" s="11" t="n">
        <v>0</v>
      </c>
      <c r="K4021" s="4" t="inlineStr">
        <is>
          <t>Stundensätze eingeben</t>
        </is>
      </c>
    </row>
    <row r="4022">
      <c r="A4022" s="4" t="inlineStr">
        <is>
          <t>7040 Fraunhofer-AHO-BSK-ISE-Freiburg-Neubau-Hykos</t>
        </is>
      </c>
      <c r="B4022" s="4" t="inlineStr">
        <is>
          <t>● • NAT 02 (aN) LP2 Hykos+H2T (Beratung a.N. bis Ausschreibung beauftragt)</t>
        </is>
      </c>
      <c r="C4022" s="4" t="inlineStr">
        <is>
          <t>Nachweis</t>
        </is>
      </c>
      <c r="D4022" s="10" t="inlineStr">
        <is>
          <t>⚠ Manual erforderlich</t>
        </is>
      </c>
      <c r="E4022" s="11" t="inlineStr"/>
      <c r="F4022" s="11" t="n">
        <v>0</v>
      </c>
      <c r="G4022" s="11">
        <f>E4022-F4022</f>
        <v/>
      </c>
      <c r="H4022" s="11" t="n">
        <v/>
      </c>
      <c r="I4022" s="11" t="n">
        <v/>
      </c>
      <c r="J4022" s="11" t="n">
        <v/>
      </c>
      <c r="K4022" s="4" t="inlineStr">
        <is>
          <t>Stundensätze eingeben</t>
        </is>
      </c>
    </row>
    <row r="4023">
      <c r="A4023" s="4" t="inlineStr">
        <is>
          <t>7040 Fraunhofer-AHO-BSK-ISE-Freiburg-Neubau-Hykos</t>
        </is>
      </c>
      <c r="B4023" s="4" t="inlineStr">
        <is>
          <t>● • (p) LP 5 Ausführungsplanung</t>
        </is>
      </c>
      <c r="C4023" s="4" t="inlineStr">
        <is>
          <t>Pauschale</t>
        </is>
      </c>
      <c r="D4023" s="10" t="inlineStr">
        <is>
          <t>⚠ Manual erforderlich</t>
        </is>
      </c>
      <c r="E4023" s="11" t="inlineStr"/>
      <c r="F4023" s="11" t="n">
        <v>0</v>
      </c>
      <c r="G4023" s="11">
        <f>E4023-F4023</f>
        <v/>
      </c>
      <c r="H4023" s="11" t="n">
        <v/>
      </c>
      <c r="I4023" s="11" t="n">
        <v/>
      </c>
      <c r="J4023" s="11" t="n">
        <v/>
      </c>
      <c r="K4023" s="4" t="inlineStr">
        <is>
          <t>Stundensätze eingeben</t>
        </is>
      </c>
    </row>
    <row r="4024">
      <c r="A4024" s="4" t="inlineStr">
        <is>
          <t>7040 Fraunhofer-AHO-BSK-ISE-Freiburg-Neubau-Hykos</t>
        </is>
      </c>
      <c r="B4024" s="4" t="inlineStr">
        <is>
          <t>● • ‧ SV</t>
        </is>
      </c>
      <c r="C4024" s="9" t="inlineStr">
        <is>
          <t>Unbekannt</t>
        </is>
      </c>
      <c r="D4024" s="10" t="inlineStr">
        <is>
          <t>⚠ Manual erforderlich</t>
        </is>
      </c>
      <c r="E4024" s="11" t="inlineStr"/>
      <c r="F4024" s="11" t="n">
        <v>0</v>
      </c>
      <c r="G4024" s="11">
        <f>E4024-F4024</f>
        <v/>
      </c>
      <c r="H4024" s="11" t="n">
        <v/>
      </c>
      <c r="I4024" s="11" t="n">
        <v/>
      </c>
      <c r="J4024" s="11" t="n">
        <v/>
      </c>
      <c r="K4024" s="4" t="inlineStr">
        <is>
          <t>Abrechnungsart wählen; Stundensätze eingeben</t>
        </is>
      </c>
    </row>
    <row r="4025">
      <c r="A4025" s="4" t="inlineStr">
        <is>
          <t>7040 Fraunhofer-AHO-BSK-ISE-Freiburg-Neubau-Hykos</t>
        </is>
      </c>
      <c r="B4025" s="4" t="inlineStr">
        <is>
          <t>● • ‧ ING</t>
        </is>
      </c>
      <c r="C4025" s="9" t="inlineStr">
        <is>
          <t>Unbekannt</t>
        </is>
      </c>
      <c r="D4025" s="10" t="inlineStr">
        <is>
          <t>⚠ Manual erforderlich</t>
        </is>
      </c>
      <c r="E4025" s="11" t="inlineStr"/>
      <c r="F4025" s="11" t="n">
        <v>0</v>
      </c>
      <c r="G4025" s="11">
        <f>E4025-F4025</f>
        <v/>
      </c>
      <c r="H4025" s="11" t="n">
        <v/>
      </c>
      <c r="I4025" s="11" t="n">
        <v/>
      </c>
      <c r="J4025" s="11" t="n">
        <v/>
      </c>
      <c r="K4025" s="4" t="inlineStr">
        <is>
          <t>Abrechnungsart wählen; Stundensätze eingeben</t>
        </is>
      </c>
    </row>
    <row r="4026">
      <c r="A4026" s="4" t="inlineStr">
        <is>
          <t>7040 Fraunhofer-AHO-BSK-ISE-Freiburg-Neubau-Hykos</t>
        </is>
      </c>
      <c r="B4026" s="4" t="inlineStr">
        <is>
          <t>● • ‧ CAD</t>
        </is>
      </c>
      <c r="C4026" s="9" t="inlineStr">
        <is>
          <t>Unbekannt</t>
        </is>
      </c>
      <c r="D4026" s="10" t="inlineStr">
        <is>
          <t>⚠ Manual erforderlich</t>
        </is>
      </c>
      <c r="E4026" s="11" t="inlineStr"/>
      <c r="F4026" s="11" t="n">
        <v>0</v>
      </c>
      <c r="G4026" s="11">
        <f>E4026-F4026</f>
        <v/>
      </c>
      <c r="H4026" s="11" t="n">
        <v/>
      </c>
      <c r="I4026" s="11" t="n">
        <v/>
      </c>
      <c r="J4026" s="11" t="n">
        <v/>
      </c>
      <c r="K4026" s="4" t="inlineStr">
        <is>
          <t>Abrechnungsart wählen; Stundensätze eingeben</t>
        </is>
      </c>
    </row>
    <row r="4027">
      <c r="A4027" s="4" t="inlineStr">
        <is>
          <t>7040 Fraunhofer-AHO-BSK-ISE-Freiburg-Neubau-Hykos</t>
        </is>
      </c>
      <c r="B4027" s="4" t="inlineStr">
        <is>
          <t>● • ‧ ADM</t>
        </is>
      </c>
      <c r="C4027" s="9" t="inlineStr">
        <is>
          <t>Unbekannt</t>
        </is>
      </c>
      <c r="D4027" s="10" t="inlineStr">
        <is>
          <t>⚠ Manual erforderlich</t>
        </is>
      </c>
      <c r="E4027" s="11" t="inlineStr"/>
      <c r="F4027" s="11" t="n">
        <v>0</v>
      </c>
      <c r="G4027" s="11">
        <f>E4027-F4027</f>
        <v/>
      </c>
      <c r="H4027" s="11" t="n">
        <v/>
      </c>
      <c r="I4027" s="11" t="n">
        <v/>
      </c>
      <c r="J4027" s="11" t="n">
        <v/>
      </c>
      <c r="K4027" s="4" t="inlineStr">
        <is>
          <t>Abrechnungsart wählen; Stundensätze eingeben</t>
        </is>
      </c>
    </row>
    <row r="4028">
      <c r="A4028" s="4" t="inlineStr">
        <is>
          <t>7040.01 Fraunhofer-SIK-Neubau-HAZOP-Freiburg</t>
        </is>
      </c>
      <c r="B4028" s="4" t="inlineStr">
        <is>
          <t>● • (p) Pos. 1 Erstellung einer Sicherheitsstudie (HAZOP)</t>
        </is>
      </c>
      <c r="C4028" s="4" t="inlineStr">
        <is>
          <t>Pauschale</t>
        </is>
      </c>
      <c r="D4028" s="10" t="inlineStr">
        <is>
          <t>⚠ Manual erforderlich</t>
        </is>
      </c>
      <c r="E4028" s="11" t="inlineStr"/>
      <c r="F4028" s="11" t="n">
        <v>0</v>
      </c>
      <c r="G4028" s="11">
        <f>E4028-F4028</f>
        <v/>
      </c>
      <c r="H4028" s="11" t="n">
        <v>0</v>
      </c>
      <c r="I4028" s="11" t="n">
        <v>0</v>
      </c>
      <c r="J4028" s="11" t="n">
        <v>0</v>
      </c>
      <c r="K4028" s="4" t="inlineStr">
        <is>
          <t>Stundensätze eingeben</t>
        </is>
      </c>
    </row>
    <row r="4029">
      <c r="A4029" s="4" t="inlineStr">
        <is>
          <t>7040.01 Fraunhofer-SIK-Neubau-HAZOP-Freiburg</t>
        </is>
      </c>
      <c r="B4029" s="4" t="inlineStr">
        <is>
          <t>● • (p) Pos. 2 SIL-Klassifizierung von identifizierten Sicherheitsabschaltung 550€/pro SIL-Schaltung</t>
        </is>
      </c>
      <c r="C4029" s="4" t="inlineStr">
        <is>
          <t>Pauschale</t>
        </is>
      </c>
      <c r="D4029" s="10" t="inlineStr">
        <is>
          <t>⚠ Manual erforderlich</t>
        </is>
      </c>
      <c r="E4029" s="11" t="inlineStr"/>
      <c r="F4029" s="11" t="n">
        <v>0</v>
      </c>
      <c r="G4029" s="11">
        <f>E4029-F4029</f>
        <v/>
      </c>
      <c r="H4029" s="11" t="n">
        <v>0</v>
      </c>
      <c r="I4029" s="11" t="n">
        <v>0</v>
      </c>
      <c r="J4029" s="11" t="n">
        <v>0</v>
      </c>
      <c r="K4029" s="4" t="inlineStr">
        <is>
          <t>Stundensätze eingeben</t>
        </is>
      </c>
    </row>
    <row r="4030">
      <c r="A4030" s="4" t="inlineStr">
        <is>
          <t>7040.01 Fraunhofer-SIK-Neubau-HAZOP-Freiburg</t>
        </is>
      </c>
      <c r="B4030" s="4" t="inlineStr">
        <is>
          <t>● • (p) Pos. 3 Ortstermine 3.200€/pro Ortstermin</t>
        </is>
      </c>
      <c r="C4030" s="4" t="inlineStr">
        <is>
          <t>Pauschale</t>
        </is>
      </c>
      <c r="D4030" s="10" t="inlineStr">
        <is>
          <t>⚠ Manual erforderlich</t>
        </is>
      </c>
      <c r="E4030" s="11" t="inlineStr"/>
      <c r="F4030" s="11" t="n">
        <v>0</v>
      </c>
      <c r="G4030" s="11">
        <f>E4030-F4030</f>
        <v/>
      </c>
      <c r="H4030" s="11" t="n">
        <v>0</v>
      </c>
      <c r="I4030" s="11" t="n">
        <v>0</v>
      </c>
      <c r="J4030" s="11" t="n">
        <v>0</v>
      </c>
      <c r="K4030" s="4" t="inlineStr">
        <is>
          <t>Stundensätze eingeben</t>
        </is>
      </c>
    </row>
    <row r="4031">
      <c r="A4031" s="4" t="inlineStr">
        <is>
          <t>7041 Bösch-BSN-Hofham39-BadEndorf</t>
        </is>
      </c>
      <c r="B4031" s="4" t="inlineStr">
        <is>
          <t>● (aN) Pos. 1 Darstellung brandschutztechnischer Anforderungen</t>
        </is>
      </c>
      <c r="C4031" s="4" t="inlineStr">
        <is>
          <t>Nachweis</t>
        </is>
      </c>
      <c r="D4031" s="10" t="inlineStr">
        <is>
          <t>⚠ Manual erforderlich</t>
        </is>
      </c>
      <c r="E4031" s="11" t="inlineStr"/>
      <c r="F4031" s="11" t="n">
        <v>0</v>
      </c>
      <c r="G4031" s="11">
        <f>E4031-F4031</f>
        <v/>
      </c>
      <c r="H4031" s="11" t="n">
        <v/>
      </c>
      <c r="I4031" s="11" t="n">
        <v/>
      </c>
      <c r="J4031" s="11" t="n">
        <v/>
      </c>
      <c r="K4031" s="4" t="inlineStr">
        <is>
          <t>Stundensätze eingeben</t>
        </is>
      </c>
    </row>
    <row r="4032">
      <c r="A4032" s="4" t="inlineStr">
        <is>
          <t>7041 Bösch-BSN-Hofham39-BadEndorf</t>
        </is>
      </c>
      <c r="B4032" s="4" t="inlineStr">
        <is>
          <t>● (aN) Pos. 2 optional: Beratungsleistung in der Ausführungsplanung</t>
        </is>
      </c>
      <c r="C4032" s="4" t="inlineStr">
        <is>
          <t>Nachweis</t>
        </is>
      </c>
      <c r="D4032" s="10" t="inlineStr">
        <is>
          <t>⚠ Manual erforderlich</t>
        </is>
      </c>
      <c r="E4032" s="11" t="inlineStr"/>
      <c r="F4032" s="11" t="n">
        <v>0</v>
      </c>
      <c r="G4032" s="11">
        <f>E4032-F4032</f>
        <v/>
      </c>
      <c r="H4032" s="11" t="n">
        <v/>
      </c>
      <c r="I4032" s="11" t="n">
        <v/>
      </c>
      <c r="J4032" s="11" t="n">
        <v/>
      </c>
      <c r="K4032" s="4" t="inlineStr">
        <is>
          <t>Stundensätze eingeben</t>
        </is>
      </c>
    </row>
    <row r="4033">
      <c r="A4033" s="4" t="inlineStr">
        <is>
          <t>7041 Bösch-BSN-Hofham39-BadEndorf</t>
        </is>
      </c>
      <c r="B4033" s="4" t="inlineStr">
        <is>
          <t>● (aN) Pos. 3 optional: Beratungsleistung während der Bauphase</t>
        </is>
      </c>
      <c r="C4033" s="4" t="inlineStr">
        <is>
          <t>Nachweis</t>
        </is>
      </c>
      <c r="D4033" s="10" t="inlineStr">
        <is>
          <t>⚠ Manual erforderlich</t>
        </is>
      </c>
      <c r="E4033" s="11" t="inlineStr"/>
      <c r="F4033" s="11" t="n">
        <v>0</v>
      </c>
      <c r="G4033" s="11">
        <f>E4033-F4033</f>
        <v/>
      </c>
      <c r="H4033" s="11" t="n">
        <v/>
      </c>
      <c r="I4033" s="11" t="n">
        <v/>
      </c>
      <c r="J4033" s="11" t="n">
        <v/>
      </c>
      <c r="K4033" s="4" t="inlineStr">
        <is>
          <t>Stundensätze eingeben</t>
        </is>
      </c>
    </row>
    <row r="4034">
      <c r="A4034" s="4" t="inlineStr">
        <is>
          <t>7042 EDAG-BTB-AmNordring32-Muenchen</t>
        </is>
      </c>
      <c r="B4034" s="4" t="inlineStr">
        <is>
          <t>● (aN) Pos. 1 Brandschutztechnische Beratung</t>
        </is>
      </c>
      <c r="C4034" s="4" t="inlineStr">
        <is>
          <t>Nachweis</t>
        </is>
      </c>
      <c r="D4034" s="10" t="inlineStr">
        <is>
          <t>⚠ Manual erforderlich</t>
        </is>
      </c>
      <c r="E4034" s="11" t="inlineStr"/>
      <c r="F4034" s="11" t="n">
        <v>0</v>
      </c>
      <c r="G4034" s="11">
        <f>E4034-F4034</f>
        <v/>
      </c>
      <c r="H4034" s="11" t="n">
        <v/>
      </c>
      <c r="I4034" s="11" t="n">
        <v/>
      </c>
      <c r="J4034" s="11" t="n">
        <v/>
      </c>
      <c r="K4034" s="4" t="inlineStr">
        <is>
          <t>Stundensätze eingeben</t>
        </is>
      </c>
    </row>
    <row r="4035">
      <c r="A4035" s="4" t="inlineStr">
        <is>
          <t>7051.05 Schmees-RV-BSK-Funkturm-Dortmunder-Straße-Unna</t>
        </is>
      </c>
      <c r="B4035" s="4" t="inlineStr">
        <is>
          <t>● (p) Pos.1 BSK für Beton+Stahlgittermasten ohne Begehung</t>
        </is>
      </c>
      <c r="C4035" s="4" t="inlineStr">
        <is>
          <t>Pauschale</t>
        </is>
      </c>
      <c r="D4035" s="10" t="inlineStr">
        <is>
          <t>⚠ Manual erforderlich</t>
        </is>
      </c>
      <c r="E4035" s="11" t="inlineStr"/>
      <c r="F4035" s="11" t="n">
        <v>0</v>
      </c>
      <c r="G4035" s="11">
        <f>E4035-F4035</f>
        <v/>
      </c>
      <c r="H4035" s="11" t="n">
        <v>0</v>
      </c>
      <c r="I4035" s="11" t="n">
        <v>0</v>
      </c>
      <c r="J4035" s="11" t="n">
        <v>0</v>
      </c>
      <c r="K4035" s="4" t="inlineStr">
        <is>
          <t>Stundensätze eingeben</t>
        </is>
      </c>
    </row>
    <row r="4036">
      <c r="A4036" s="4" t="inlineStr">
        <is>
          <t>7051.06 Schmees-RV-BSK-Funkturm-Binnerfeld-51-Arnsberg-Neheim-61</t>
        </is>
      </c>
      <c r="B4036" s="4" t="inlineStr">
        <is>
          <t>● (p) Pos.1 BSK für Beton+Stahlgittermasten ohne Begehung</t>
        </is>
      </c>
      <c r="C4036" s="4" t="inlineStr">
        <is>
          <t>Pauschale</t>
        </is>
      </c>
      <c r="D4036" s="10" t="inlineStr">
        <is>
          <t>⚠ Manual erforderlich</t>
        </is>
      </c>
      <c r="E4036" s="11" t="inlineStr"/>
      <c r="F4036" s="11" t="n">
        <v>0</v>
      </c>
      <c r="G4036" s="11">
        <f>E4036-F4036</f>
        <v/>
      </c>
      <c r="H4036" s="11" t="n">
        <v>0</v>
      </c>
      <c r="I4036" s="11" t="n">
        <v>0</v>
      </c>
      <c r="J4036" s="11" t="n">
        <v>0</v>
      </c>
      <c r="K4036" s="4" t="inlineStr">
        <is>
          <t>Stundensätze eingeben</t>
        </is>
      </c>
    </row>
    <row r="4037">
      <c r="A4037" s="4" t="inlineStr">
        <is>
          <t>7052 BTB-Grüneburgweg-2-Frankfurt</t>
        </is>
      </c>
      <c r="B4037" s="4" t="inlineStr">
        <is>
          <t>● (a.N.) Pos.1 BTB Abtrennung i.Verl.d. Brandwand</t>
        </is>
      </c>
      <c r="C4037" s="4" t="inlineStr">
        <is>
          <t>Nachweis</t>
        </is>
      </c>
      <c r="D4037" s="10" t="inlineStr">
        <is>
          <t>⚠ Manual erforderlich</t>
        </is>
      </c>
      <c r="E4037" s="11" t="inlineStr"/>
      <c r="F4037" s="11" t="n">
        <v>0</v>
      </c>
      <c r="G4037" s="11">
        <f>E4037-F4037</f>
        <v/>
      </c>
      <c r="H4037" s="11" t="n">
        <v/>
      </c>
      <c r="I4037" s="11" t="n">
        <v/>
      </c>
      <c r="J4037" s="11" t="n">
        <v/>
      </c>
      <c r="K4037" s="4" t="inlineStr">
        <is>
          <t>Stundensätze eingeben</t>
        </is>
      </c>
    </row>
    <row r="4038">
      <c r="A4038" s="4" t="inlineStr">
        <is>
          <t>7053 Syna-BSN-Brüningstr3,5,7-Frankfurt</t>
        </is>
      </c>
      <c r="B4038" s="4" t="inlineStr">
        <is>
          <t>● (aN) Pos. 1 Erstellung einer Machbarkeitsstudie / Brandschutznachweis</t>
        </is>
      </c>
      <c r="C4038" s="4" t="inlineStr">
        <is>
          <t>Nachweis</t>
        </is>
      </c>
      <c r="D4038" s="10" t="inlineStr">
        <is>
          <t>⚠ Manual erforderlich</t>
        </is>
      </c>
      <c r="E4038" s="11" t="inlineStr"/>
      <c r="F4038" s="11" t="n">
        <v>0</v>
      </c>
      <c r="G4038" s="11">
        <f>E4038-F4038</f>
        <v/>
      </c>
      <c r="H4038" s="11" t="n">
        <v/>
      </c>
      <c r="I4038" s="11" t="n">
        <v/>
      </c>
      <c r="J4038" s="11" t="n">
        <v/>
      </c>
      <c r="K4038" s="4" t="inlineStr">
        <is>
          <t>Stundensätze eingeben</t>
        </is>
      </c>
    </row>
    <row r="4039">
      <c r="A4039" s="4" t="inlineStr">
        <is>
          <t>7053 Syna-BSN-Brüningstr3,5,7-Frankfurt</t>
        </is>
      </c>
      <c r="B4039" s="4" t="inlineStr">
        <is>
          <t>● (aN) Pos. 2 Brandschutztechnische Baubegleitung / Abnahme</t>
        </is>
      </c>
      <c r="C4039" s="4" t="inlineStr">
        <is>
          <t>Nachweis</t>
        </is>
      </c>
      <c r="D4039" s="10" t="inlineStr">
        <is>
          <t>⚠ Manual erforderlich</t>
        </is>
      </c>
      <c r="E4039" s="11" t="inlineStr"/>
      <c r="F4039" s="11" t="n">
        <v>0</v>
      </c>
      <c r="G4039" s="11">
        <f>E4039-F4039</f>
        <v/>
      </c>
      <c r="H4039" s="11" t="n">
        <v/>
      </c>
      <c r="I4039" s="11" t="n">
        <v/>
      </c>
      <c r="J4039" s="11" t="n">
        <v/>
      </c>
      <c r="K4039" s="4" t="inlineStr">
        <is>
          <t>Stundensätze eingeben</t>
        </is>
      </c>
    </row>
    <row r="4040">
      <c r="A4040" s="4" t="inlineStr">
        <is>
          <t>7059 Karadag-HPPVO-KönigsteinerStr196-Frankfurt</t>
        </is>
      </c>
      <c r="B4040" s="4" t="inlineStr">
        <is>
          <t>●  (p) Pos. 1 Prüfung und Bescheinigung des Nachweises des vorbeugenden Brandschutzes</t>
        </is>
      </c>
      <c r="C4040" s="4" t="inlineStr">
        <is>
          <t>Pauschale</t>
        </is>
      </c>
      <c r="D4040" s="10" t="inlineStr">
        <is>
          <t>⚠ Manual erforderlich</t>
        </is>
      </c>
      <c r="E4040" s="11" t="inlineStr"/>
      <c r="F4040" s="11" t="n">
        <v>0</v>
      </c>
      <c r="G4040" s="11">
        <f>E4040-F4040</f>
        <v/>
      </c>
      <c r="H4040" s="11" t="n">
        <v>0</v>
      </c>
      <c r="I4040" s="11" t="n">
        <v>0</v>
      </c>
      <c r="J4040" s="11" t="n">
        <v>0</v>
      </c>
      <c r="K4040" s="4" t="inlineStr">
        <is>
          <t>Stundensätze eingeben</t>
        </is>
      </c>
    </row>
    <row r="4041">
      <c r="A4041" s="4" t="inlineStr">
        <is>
          <t>7059 Karadag-HPPVO-KönigsteinerStr196-Frankfurt</t>
        </is>
      </c>
      <c r="B4041" s="4" t="inlineStr">
        <is>
          <t>● (p + aN) Pos. 2 Überwachung und Bescheinigung der übereinstimmenden Bauausführung</t>
        </is>
      </c>
      <c r="C4041" s="9" t="inlineStr">
        <is>
          <t>Unbekannt</t>
        </is>
      </c>
      <c r="D4041" s="10" t="inlineStr">
        <is>
          <t>⚠ Manual erforderlich</t>
        </is>
      </c>
      <c r="E4041" s="11" t="inlineStr"/>
      <c r="F4041" s="11" t="n">
        <v>0</v>
      </c>
      <c r="G4041" s="11">
        <f>E4041-F4041</f>
        <v/>
      </c>
      <c r="H4041" s="11" t="n">
        <v/>
      </c>
      <c r="I4041" s="11" t="n">
        <v/>
      </c>
      <c r="J4041" s="11" t="n">
        <v/>
      </c>
      <c r="K4041" s="4" t="inlineStr">
        <is>
          <t>Abrechnungsart wählen; Stundensätze eingeben</t>
        </is>
      </c>
    </row>
    <row r="4042">
      <c r="A4042" s="4" t="inlineStr">
        <is>
          <t>7061 Equinix-BAB-Lärchenstr139-Ffm-FR8-P.1</t>
        </is>
      </c>
      <c r="B4042" s="4" t="inlineStr">
        <is>
          <t>● (a.N.) Pos.1 BAB-Construction supervision and fire safety consulting FR8 P.1</t>
        </is>
      </c>
      <c r="C4042" s="4" t="inlineStr">
        <is>
          <t>Nachweis</t>
        </is>
      </c>
      <c r="D4042" s="10" t="inlineStr">
        <is>
          <t>⚠ Manual erforderlich</t>
        </is>
      </c>
      <c r="E4042" s="11" t="inlineStr"/>
      <c r="F4042" s="11" t="n">
        <v>0</v>
      </c>
      <c r="G4042" s="11">
        <f>E4042-F4042</f>
        <v/>
      </c>
      <c r="H4042" s="11" t="n">
        <v/>
      </c>
      <c r="I4042" s="11" t="n">
        <v/>
      </c>
      <c r="J4042" s="11" t="n">
        <v/>
      </c>
      <c r="K4042" s="4" t="inlineStr">
        <is>
          <t>Stundensätze eingeben</t>
        </is>
      </c>
    </row>
    <row r="4043">
      <c r="A4043" s="4" t="inlineStr">
        <is>
          <t>7061.01 Equinix-BAB-Lärchenstr139-Ffm-FR8-2</t>
        </is>
      </c>
      <c r="B4043" s="4" t="inlineStr">
        <is>
          <t>● (a.N.) Pos.2 Construction supervision and fire safety consulting FR8.2</t>
        </is>
      </c>
      <c r="C4043" s="4" t="inlineStr">
        <is>
          <t>Nachweis</t>
        </is>
      </c>
      <c r="D4043" s="10" t="inlineStr">
        <is>
          <t>⚠ Manual erforderlich</t>
        </is>
      </c>
      <c r="E4043" s="11" t="inlineStr"/>
      <c r="F4043" s="11" t="n">
        <v>0</v>
      </c>
      <c r="G4043" s="11">
        <f>E4043-F4043</f>
        <v/>
      </c>
      <c r="H4043" s="11" t="n">
        <v/>
      </c>
      <c r="I4043" s="11" t="n">
        <v/>
      </c>
      <c r="J4043" s="11" t="n">
        <v/>
      </c>
      <c r="K4043" s="4" t="inlineStr">
        <is>
          <t>Stundensätze eingeben</t>
        </is>
      </c>
    </row>
    <row r="4044">
      <c r="A4044" s="4" t="inlineStr">
        <is>
          <t>7063 BSN-Bachgrundstraße-22-Biedenkopf-Seniorenwohnanlage</t>
        </is>
      </c>
      <c r="B4044" s="4" t="inlineStr">
        <is>
          <t>● (p) Pos.1 Erstellung BSK</t>
        </is>
      </c>
      <c r="C4044" s="4" t="inlineStr">
        <is>
          <t>Pauschale</t>
        </is>
      </c>
      <c r="D4044" s="10" t="inlineStr">
        <is>
          <t>⚠ Manual erforderlich</t>
        </is>
      </c>
      <c r="E4044" s="11" t="inlineStr"/>
      <c r="F4044" s="11" t="n">
        <v>0</v>
      </c>
      <c r="G4044" s="11">
        <f>E4044-F4044</f>
        <v/>
      </c>
      <c r="H4044" s="11" t="n">
        <v>0</v>
      </c>
      <c r="I4044" s="11" t="n">
        <v>0</v>
      </c>
      <c r="J4044" s="11" t="n">
        <v>0</v>
      </c>
      <c r="K4044" s="4" t="inlineStr">
        <is>
          <t>Stundensätze eingeben</t>
        </is>
      </c>
    </row>
    <row r="4045">
      <c r="A4045" s="4" t="inlineStr">
        <is>
          <t>7063 BSN-Bachgrundstraße-22-Biedenkopf-Seniorenwohnanlage</t>
        </is>
      </c>
      <c r="B4045" s="4" t="inlineStr">
        <is>
          <t>● (a.N.) Pos.3 Baubegleitende Brandschutzberatung+Qualitätsüberw.</t>
        </is>
      </c>
      <c r="C4045" s="4" t="inlineStr">
        <is>
          <t>Nachweis</t>
        </is>
      </c>
      <c r="D4045" s="10" t="inlineStr">
        <is>
          <t>⚠ Manual erforderlich</t>
        </is>
      </c>
      <c r="E4045" s="11" t="inlineStr"/>
      <c r="F4045" s="11" t="n">
        <v>0</v>
      </c>
      <c r="G4045" s="11">
        <f>E4045-F4045</f>
        <v/>
      </c>
      <c r="H4045" s="11" t="n">
        <v/>
      </c>
      <c r="I4045" s="11" t="n">
        <v/>
      </c>
      <c r="J4045" s="11" t="n">
        <v/>
      </c>
      <c r="K4045" s="4" t="inlineStr">
        <is>
          <t>Stundensätze eingeben</t>
        </is>
      </c>
    </row>
    <row r="4046">
      <c r="A4046" s="4" t="inlineStr">
        <is>
          <t>7063 BSN-Bachgrundstraße-22-Biedenkopf-Seniorenwohnanlage</t>
        </is>
      </c>
      <c r="B4046" s="4" t="inlineStr">
        <is>
          <t>● (aN) Pos.2 Erarbeiten v. BSK - BAU 2025-01-16</t>
        </is>
      </c>
      <c r="C4046" s="4" t="inlineStr">
        <is>
          <t>Nachweis</t>
        </is>
      </c>
      <c r="D4046" s="10" t="inlineStr">
        <is>
          <t>⚠ Manual erforderlich</t>
        </is>
      </c>
      <c r="E4046" s="11" t="inlineStr"/>
      <c r="F4046" s="11" t="n">
        <v>0</v>
      </c>
      <c r="G4046" s="11">
        <f>E4046-F4046</f>
        <v/>
      </c>
      <c r="H4046" s="11" t="n">
        <v/>
      </c>
      <c r="I4046" s="11" t="n">
        <v/>
      </c>
      <c r="J4046" s="11" t="n">
        <v/>
      </c>
      <c r="K4046" s="4" t="inlineStr">
        <is>
          <t>Stundensätze eingeben</t>
        </is>
      </c>
    </row>
    <row r="4047">
      <c r="A4047" s="4" t="inlineStr">
        <is>
          <t>7065 LBB-IO-AHO-NB-Schießhauskomplex-(BHMH)-Smith-Barracks-Baumholder</t>
        </is>
      </c>
      <c r="B4047" s="4" t="inlineStr">
        <is>
          <t>● (p) LP 1</t>
        </is>
      </c>
      <c r="C4047" s="4" t="inlineStr">
        <is>
          <t>Pauschale</t>
        </is>
      </c>
      <c r="D4047" s="10" t="inlineStr">
        <is>
          <t>⚠ Manual erforderlich</t>
        </is>
      </c>
      <c r="E4047" s="11" t="inlineStr"/>
      <c r="F4047" s="11" t="n">
        <v>0</v>
      </c>
      <c r="G4047" s="11">
        <f>E4047-F4047</f>
        <v/>
      </c>
      <c r="H4047" s="11" t="n">
        <v>0</v>
      </c>
      <c r="I4047" s="11" t="n">
        <v>0</v>
      </c>
      <c r="J4047" s="11" t="n">
        <v>0</v>
      </c>
      <c r="K4047" s="4" t="inlineStr">
        <is>
          <t>Stundensätze eingeben</t>
        </is>
      </c>
    </row>
    <row r="4048">
      <c r="A4048" s="4" t="inlineStr">
        <is>
          <t>7065 LBB-IO-AHO-NB-Schießhauskomplex-(BHMH)-Smith-Barracks-Baumholder</t>
        </is>
      </c>
      <c r="B4048" s="4" t="inlineStr">
        <is>
          <t>● (p) LP 2</t>
        </is>
      </c>
      <c r="C4048" s="4" t="inlineStr">
        <is>
          <t>Pauschale</t>
        </is>
      </c>
      <c r="D4048" s="10" t="inlineStr">
        <is>
          <t>⚠ Manual erforderlich</t>
        </is>
      </c>
      <c r="E4048" s="11" t="inlineStr"/>
      <c r="F4048" s="11" t="n">
        <v>0</v>
      </c>
      <c r="G4048" s="11">
        <f>E4048-F4048</f>
        <v/>
      </c>
      <c r="H4048" s="11" t="n">
        <v>0</v>
      </c>
      <c r="I4048" s="11" t="n">
        <v>0</v>
      </c>
      <c r="J4048" s="11" t="n">
        <v>0</v>
      </c>
      <c r="K4048" s="4" t="inlineStr">
        <is>
          <t>Stundensätze eingeben</t>
        </is>
      </c>
    </row>
    <row r="4049">
      <c r="A4049" s="4" t="inlineStr">
        <is>
          <t>7065 LBB-IO-AHO-NB-Schießhauskomplex-(BHMH)-Smith-Barracks-Baumholder</t>
        </is>
      </c>
      <c r="B4049" s="4" t="inlineStr">
        <is>
          <t>● (p) LP 3</t>
        </is>
      </c>
      <c r="C4049" s="4" t="inlineStr">
        <is>
          <t>Pauschale</t>
        </is>
      </c>
      <c r="D4049" s="10" t="inlineStr">
        <is>
          <t>⚠ Manual erforderlich</t>
        </is>
      </c>
      <c r="E4049" s="11" t="inlineStr"/>
      <c r="F4049" s="11" t="n">
        <v>0</v>
      </c>
      <c r="G4049" s="11">
        <f>E4049-F4049</f>
        <v/>
      </c>
      <c r="H4049" s="11" t="n">
        <v>0</v>
      </c>
      <c r="I4049" s="11" t="n">
        <v>0</v>
      </c>
      <c r="J4049" s="11" t="n">
        <v>0</v>
      </c>
      <c r="K4049" s="4" t="inlineStr">
        <is>
          <t>Stundensätze eingeben</t>
        </is>
      </c>
    </row>
    <row r="4050">
      <c r="A4050" s="4" t="inlineStr">
        <is>
          <t>7065 LBB-IO-AHO-NB-Schießhauskomplex-(BHMH)-Smith-Barracks-Baumholder</t>
        </is>
      </c>
      <c r="B4050" s="4" t="inlineStr">
        <is>
          <t>● (p) LP 4</t>
        </is>
      </c>
      <c r="C4050" s="4" t="inlineStr">
        <is>
          <t>Pauschale</t>
        </is>
      </c>
      <c r="D4050" s="10" t="inlineStr">
        <is>
          <t>⚠ Manual erforderlich</t>
        </is>
      </c>
      <c r="E4050" s="11" t="inlineStr"/>
      <c r="F4050" s="11" t="n">
        <v>0</v>
      </c>
      <c r="G4050" s="11">
        <f>E4050-F4050</f>
        <v/>
      </c>
      <c r="H4050" s="11" t="n">
        <v>0</v>
      </c>
      <c r="I4050" s="11" t="n">
        <v>0</v>
      </c>
      <c r="J4050" s="11" t="n">
        <v>0</v>
      </c>
      <c r="K4050" s="4" t="inlineStr">
        <is>
          <t>Stundensätze eingeben</t>
        </is>
      </c>
    </row>
    <row r="4051">
      <c r="A4051" s="4" t="inlineStr">
        <is>
          <t>7065 LBB-IO-AHO-NB-Schießhauskomplex-(BHMH)-Smith-Barracks-Baumholder</t>
        </is>
      </c>
      <c r="B4051" s="4" t="inlineStr">
        <is>
          <t>● (p) LP 5</t>
        </is>
      </c>
      <c r="C4051" s="4" t="inlineStr">
        <is>
          <t>Pauschale</t>
        </is>
      </c>
      <c r="D4051" s="10" t="inlineStr">
        <is>
          <t>⚠ Manual erforderlich</t>
        </is>
      </c>
      <c r="E4051" s="11" t="inlineStr"/>
      <c r="F4051" s="11" t="n">
        <v>0</v>
      </c>
      <c r="G4051" s="11">
        <f>E4051-F4051</f>
        <v/>
      </c>
      <c r="H4051" s="11" t="n">
        <v>0</v>
      </c>
      <c r="I4051" s="11" t="n">
        <v>0</v>
      </c>
      <c r="J4051" s="11" t="n">
        <v>0</v>
      </c>
      <c r="K4051" s="4" t="inlineStr">
        <is>
          <t>Stundensätze eingeben</t>
        </is>
      </c>
    </row>
    <row r="4052">
      <c r="A4052" s="4" t="inlineStr">
        <is>
          <t>7065 LBB-IO-AHO-NB-Schießhauskomplex-(BHMH)-Smith-Barracks-Baumholder</t>
        </is>
      </c>
      <c r="B4052" s="4" t="inlineStr">
        <is>
          <t>● (p) LP 6</t>
        </is>
      </c>
      <c r="C4052" s="4" t="inlineStr">
        <is>
          <t>Pauschale</t>
        </is>
      </c>
      <c r="D4052" s="10" t="inlineStr">
        <is>
          <t>⚠ Manual erforderlich</t>
        </is>
      </c>
      <c r="E4052" s="11" t="inlineStr"/>
      <c r="F4052" s="11" t="n">
        <v>0</v>
      </c>
      <c r="G4052" s="11">
        <f>E4052-F4052</f>
        <v/>
      </c>
      <c r="H4052" s="11" t="n">
        <v>0</v>
      </c>
      <c r="I4052" s="11" t="n">
        <v>0</v>
      </c>
      <c r="J4052" s="11" t="n">
        <v>0</v>
      </c>
      <c r="K4052" s="4" t="inlineStr">
        <is>
          <t>Stundensätze eingeben</t>
        </is>
      </c>
    </row>
    <row r="4053">
      <c r="A4053" s="4" t="inlineStr">
        <is>
          <t>7065 LBB-IO-AHO-NB-Schießhauskomplex-(BHMH)-Smith-Barracks-Baumholder</t>
        </is>
      </c>
      <c r="B4053" s="4" t="inlineStr">
        <is>
          <t>● (p) LP 7</t>
        </is>
      </c>
      <c r="C4053" s="4" t="inlineStr">
        <is>
          <t>Pauschale</t>
        </is>
      </c>
      <c r="D4053" s="10" t="inlineStr">
        <is>
          <t>⚠ Manual erforderlich</t>
        </is>
      </c>
      <c r="E4053" s="11" t="inlineStr"/>
      <c r="F4053" s="11" t="n">
        <v>0</v>
      </c>
      <c r="G4053" s="11">
        <f>E4053-F4053</f>
        <v/>
      </c>
      <c r="H4053" s="11" t="n">
        <v>0</v>
      </c>
      <c r="I4053" s="11" t="n">
        <v>0</v>
      </c>
      <c r="J4053" s="11" t="n">
        <v>0</v>
      </c>
      <c r="K4053" s="4" t="inlineStr">
        <is>
          <t>Stundensätze eingeben</t>
        </is>
      </c>
    </row>
    <row r="4054">
      <c r="A4054" s="4" t="inlineStr">
        <is>
          <t>7066.01 Fraport-RV-NAT01-BSK-Vorfeld-Geb396</t>
        </is>
      </c>
      <c r="B4054" s="4" t="inlineStr">
        <is>
          <t>● (aN) Pos. 1 Erstellung BSK (SV)</t>
        </is>
      </c>
      <c r="C4054" s="4" t="inlineStr">
        <is>
          <t>Nachweis</t>
        </is>
      </c>
      <c r="D4054" s="10" t="inlineStr">
        <is>
          <t>⚠ Manual erforderlich</t>
        </is>
      </c>
      <c r="E4054" s="11" t="inlineStr"/>
      <c r="F4054" s="11" t="n">
        <v>0</v>
      </c>
      <c r="G4054" s="11">
        <f>E4054-F4054</f>
        <v/>
      </c>
      <c r="H4054" s="11" t="n">
        <v/>
      </c>
      <c r="I4054" s="11" t="n">
        <v/>
      </c>
      <c r="J4054" s="11" t="n">
        <v/>
      </c>
      <c r="K4054" s="4" t="inlineStr">
        <is>
          <t>Stundensätze eingeben</t>
        </is>
      </c>
    </row>
    <row r="4055">
      <c r="A4055" s="4" t="inlineStr">
        <is>
          <t>7066.01 Fraport-RV-NAT01-BSK-Vorfeld-Geb396</t>
        </is>
      </c>
      <c r="B4055" s="4" t="inlineStr">
        <is>
          <t>● (aN) Pos. 2 Erstellung BSK-Pläne (CAD)</t>
        </is>
      </c>
      <c r="C4055" s="4" t="inlineStr">
        <is>
          <t>Nachweis</t>
        </is>
      </c>
      <c r="D4055" s="10" t="inlineStr">
        <is>
          <t>⚠ Manual erforderlich</t>
        </is>
      </c>
      <c r="E4055" s="11" t="inlineStr"/>
      <c r="F4055" s="11" t="n">
        <v>0</v>
      </c>
      <c r="G4055" s="11">
        <f>E4055-F4055</f>
        <v/>
      </c>
      <c r="H4055" s="11" t="n">
        <v/>
      </c>
      <c r="I4055" s="11" t="n">
        <v/>
      </c>
      <c r="J4055" s="11" t="n">
        <v/>
      </c>
      <c r="K4055" s="4" t="inlineStr">
        <is>
          <t>Stundensätze eingeben</t>
        </is>
      </c>
    </row>
    <row r="4056">
      <c r="A4056" s="4" t="inlineStr">
        <is>
          <t>7066.01 Fraport-RV-NAT01-BSK-Vorfeld-Geb396</t>
        </is>
      </c>
      <c r="B4056" s="4" t="inlineStr">
        <is>
          <t>● (aN) Pos. 3 - Erstellung BMA-Konzept (SV)</t>
        </is>
      </c>
      <c r="C4056" s="4" t="inlineStr">
        <is>
          <t>Nachweis</t>
        </is>
      </c>
      <c r="D4056" s="10" t="inlineStr">
        <is>
          <t>⚠ Manual erforderlich</t>
        </is>
      </c>
      <c r="E4056" s="11" t="inlineStr"/>
      <c r="F4056" s="11" t="n">
        <v>0</v>
      </c>
      <c r="G4056" s="11">
        <f>E4056-F4056</f>
        <v/>
      </c>
      <c r="H4056" s="11" t="n">
        <v/>
      </c>
      <c r="I4056" s="11" t="n">
        <v/>
      </c>
      <c r="J4056" s="11" t="n">
        <v/>
      </c>
      <c r="K4056" s="4" t="inlineStr">
        <is>
          <t>Stundensätze eingeben</t>
        </is>
      </c>
    </row>
    <row r="4057">
      <c r="A4057" s="4" t="inlineStr">
        <is>
          <t>7066.02 Fraport-FLA-Geb-396-Vorfeld</t>
        </is>
      </c>
      <c r="B4057" s="4" t="inlineStr">
        <is>
          <t>● (p) PS 1: Grundlagenermittlung</t>
        </is>
      </c>
      <c r="C4057" s="4" t="inlineStr">
        <is>
          <t>Pauschale</t>
        </is>
      </c>
      <c r="D4057" s="10" t="inlineStr">
        <is>
          <t>⚠ Manual erforderlich</t>
        </is>
      </c>
      <c r="E4057" s="11" t="inlineStr"/>
      <c r="F4057" s="11" t="n">
        <v>0</v>
      </c>
      <c r="G4057" s="11">
        <f>E4057-F4057</f>
        <v/>
      </c>
      <c r="H4057" s="11" t="n">
        <v>0</v>
      </c>
      <c r="I4057" s="11" t="n">
        <v>0</v>
      </c>
      <c r="J4057" s="11" t="n">
        <v>0</v>
      </c>
      <c r="K4057" s="4" t="inlineStr">
        <is>
          <t>Stundensätze eingeben</t>
        </is>
      </c>
    </row>
    <row r="4058">
      <c r="A4058" s="4" t="inlineStr">
        <is>
          <t>7066.02 Fraport-FLA-Geb-396-Vorfeld</t>
        </is>
      </c>
      <c r="B4058" s="4" t="inlineStr">
        <is>
          <t>● (p) PS 2 Vorplanung</t>
        </is>
      </c>
      <c r="C4058" s="4" t="inlineStr">
        <is>
          <t>Pauschale</t>
        </is>
      </c>
      <c r="D4058" s="10" t="inlineStr">
        <is>
          <t>⚠ Manual erforderlich</t>
        </is>
      </c>
      <c r="E4058" s="11" t="inlineStr"/>
      <c r="F4058" s="11" t="n">
        <v>0</v>
      </c>
      <c r="G4058" s="11">
        <f>E4058-F4058</f>
        <v/>
      </c>
      <c r="H4058" s="11" t="n">
        <v>0</v>
      </c>
      <c r="I4058" s="11" t="n">
        <v>0</v>
      </c>
      <c r="J4058" s="11" t="n">
        <v>0</v>
      </c>
      <c r="K4058" s="4" t="inlineStr">
        <is>
          <t>Stundensätze eingeben</t>
        </is>
      </c>
    </row>
    <row r="4059">
      <c r="A4059" s="4" t="inlineStr">
        <is>
          <t>7066.02 Fraport-FLA-Geb-396-Vorfeld</t>
        </is>
      </c>
      <c r="B4059" s="4" t="inlineStr">
        <is>
          <t>● (p) PS 3 Entwurfsplanung</t>
        </is>
      </c>
      <c r="C4059" s="4" t="inlineStr">
        <is>
          <t>Pauschale</t>
        </is>
      </c>
      <c r="D4059" s="10" t="inlineStr">
        <is>
          <t>⚠ Manual erforderlich</t>
        </is>
      </c>
      <c r="E4059" s="11" t="inlineStr"/>
      <c r="F4059" s="11" t="n">
        <v>0</v>
      </c>
      <c r="G4059" s="11">
        <f>E4059-F4059</f>
        <v/>
      </c>
      <c r="H4059" s="11" t="n">
        <v>0</v>
      </c>
      <c r="I4059" s="11" t="n">
        <v>0</v>
      </c>
      <c r="J4059" s="11" t="n">
        <v>0</v>
      </c>
      <c r="K4059" s="4" t="inlineStr">
        <is>
          <t>Stundensätze eingeben</t>
        </is>
      </c>
    </row>
    <row r="4060">
      <c r="A4060" s="4" t="inlineStr">
        <is>
          <t>7066.02 Fraport-FLA-Geb-396-Vorfeld</t>
        </is>
      </c>
      <c r="B4060" s="4" t="inlineStr">
        <is>
          <t>● (p) PS 5: Ausführungsplanung</t>
        </is>
      </c>
      <c r="C4060" s="4" t="inlineStr">
        <is>
          <t>Pauschale</t>
        </is>
      </c>
      <c r="D4060" s="10" t="inlineStr">
        <is>
          <t>⚠ Manual erforderlich</t>
        </is>
      </c>
      <c r="E4060" s="11" t="inlineStr"/>
      <c r="F4060" s="11" t="n">
        <v>0</v>
      </c>
      <c r="G4060" s="11">
        <f>E4060-F4060</f>
        <v/>
      </c>
      <c r="H4060" s="11" t="n">
        <v>0</v>
      </c>
      <c r="I4060" s="11" t="n">
        <v>0</v>
      </c>
      <c r="J4060" s="11" t="n">
        <v>0</v>
      </c>
      <c r="K4060" s="4" t="inlineStr">
        <is>
          <t>Stundensätze eingeben</t>
        </is>
      </c>
    </row>
    <row r="4061">
      <c r="A4061" s="4" t="inlineStr">
        <is>
          <t>7066.02 Fraport-FLA-Geb-396-Vorfeld</t>
        </is>
      </c>
      <c r="B4061" s="4" t="inlineStr">
        <is>
          <t>● (p) PS 6 Vorbereitung der Vergabe</t>
        </is>
      </c>
      <c r="C4061" s="4" t="inlineStr">
        <is>
          <t>Pauschale</t>
        </is>
      </c>
      <c r="D4061" s="10" t="inlineStr">
        <is>
          <t>⚠ Manual erforderlich</t>
        </is>
      </c>
      <c r="E4061" s="11" t="inlineStr"/>
      <c r="F4061" s="11" t="n">
        <v>0</v>
      </c>
      <c r="G4061" s="11">
        <f>E4061-F4061</f>
        <v/>
      </c>
      <c r="H4061" s="11" t="n">
        <v>0</v>
      </c>
      <c r="I4061" s="11" t="n">
        <v>0</v>
      </c>
      <c r="J4061" s="11" t="n">
        <v>0</v>
      </c>
      <c r="K4061" s="4" t="inlineStr">
        <is>
          <t>Stundensätze eingeben</t>
        </is>
      </c>
    </row>
    <row r="4062">
      <c r="A4062" s="4" t="inlineStr">
        <is>
          <t>7066.02 Fraport-FLA-Geb-396-Vorfeld</t>
        </is>
      </c>
      <c r="B4062" s="4" t="inlineStr">
        <is>
          <t>● (p) PS 7 Mitwirkung bei der Vergabe</t>
        </is>
      </c>
      <c r="C4062" s="4" t="inlineStr">
        <is>
          <t>Pauschale</t>
        </is>
      </c>
      <c r="D4062" s="10" t="inlineStr">
        <is>
          <t>⚠ Manual erforderlich</t>
        </is>
      </c>
      <c r="E4062" s="11" t="inlineStr"/>
      <c r="F4062" s="11" t="n">
        <v>0</v>
      </c>
      <c r="G4062" s="11">
        <f>E4062-F4062</f>
        <v/>
      </c>
      <c r="H4062" s="11" t="n">
        <v>0</v>
      </c>
      <c r="I4062" s="11" t="n">
        <v>0</v>
      </c>
      <c r="J4062" s="11" t="n">
        <v>0</v>
      </c>
      <c r="K4062" s="4" t="inlineStr">
        <is>
          <t>Stundensätze eingeben</t>
        </is>
      </c>
    </row>
    <row r="4063">
      <c r="A4063" s="4" t="inlineStr">
        <is>
          <t>7066.02 Fraport-FLA-Geb-396-Vorfeld</t>
        </is>
      </c>
      <c r="B4063" s="4" t="inlineStr">
        <is>
          <t>● (p) PS 8 Objektüberwachung</t>
        </is>
      </c>
      <c r="C4063" s="4" t="inlineStr">
        <is>
          <t>Pauschale</t>
        </is>
      </c>
      <c r="D4063" s="10" t="inlineStr">
        <is>
          <t>⚠ Manual erforderlich</t>
        </is>
      </c>
      <c r="E4063" s="11" t="inlineStr"/>
      <c r="F4063" s="11" t="n">
        <v>0</v>
      </c>
      <c r="G4063" s="11">
        <f>E4063-F4063</f>
        <v/>
      </c>
      <c r="H4063" s="11" t="n">
        <v>0</v>
      </c>
      <c r="I4063" s="11" t="n">
        <v>0</v>
      </c>
      <c r="J4063" s="11" t="n">
        <v>0</v>
      </c>
      <c r="K4063" s="4" t="inlineStr">
        <is>
          <t>Stundensätze eingeben</t>
        </is>
      </c>
    </row>
    <row r="4064">
      <c r="A4064" s="4" t="inlineStr">
        <is>
          <t>7066.02 Fraport-FLA-Geb-396-Vorfeld</t>
        </is>
      </c>
      <c r="B4064" s="4" t="inlineStr">
        <is>
          <t>● (p) PS 9 Objektbetreuung</t>
        </is>
      </c>
      <c r="C4064" s="4" t="inlineStr">
        <is>
          <t>Pauschale</t>
        </is>
      </c>
      <c r="D4064" s="10" t="inlineStr">
        <is>
          <t>⚠ Manual erforderlich</t>
        </is>
      </c>
      <c r="E4064" s="11" t="inlineStr"/>
      <c r="F4064" s="11" t="n">
        <v>0</v>
      </c>
      <c r="G4064" s="11">
        <f>E4064-F4064</f>
        <v/>
      </c>
      <c r="H4064" s="11" t="n">
        <v/>
      </c>
      <c r="I4064" s="11" t="n">
        <v/>
      </c>
      <c r="J4064" s="11" t="n">
        <v/>
      </c>
      <c r="K4064" s="4" t="inlineStr">
        <is>
          <t>Stundensätze eingeben</t>
        </is>
      </c>
    </row>
    <row r="4065">
      <c r="A4065" s="4" t="inlineStr">
        <is>
          <t>7067.01 BTB-Pfingstweidstraße-3-Frankfurt</t>
        </is>
      </c>
      <c r="B4065" s="4" t="inlineStr">
        <is>
          <t>● (a.N.) Pos. 1 BTB zur Thematik Leagalisierung der BM</t>
        </is>
      </c>
      <c r="C4065" s="4" t="inlineStr">
        <is>
          <t>Nachweis</t>
        </is>
      </c>
      <c r="D4065" s="10" t="inlineStr">
        <is>
          <t>⚠ Manual erforderlich</t>
        </is>
      </c>
      <c r="E4065" s="11" t="inlineStr"/>
      <c r="F4065" s="11" t="n">
        <v>0</v>
      </c>
      <c r="G4065" s="11">
        <f>E4065-F4065</f>
        <v/>
      </c>
      <c r="H4065" s="11" t="n">
        <v/>
      </c>
      <c r="I4065" s="11" t="n">
        <v/>
      </c>
      <c r="J4065" s="11" t="n">
        <v/>
      </c>
      <c r="K4065" s="4" t="inlineStr">
        <is>
          <t>Stundensätze eingeben</t>
        </is>
      </c>
    </row>
    <row r="4066">
      <c r="A4066" s="4" t="inlineStr">
        <is>
          <t>7068 BKS-DB-uPva-Fernbahntunnel-Ffm-Hbf</t>
        </is>
      </c>
      <c r="B4066" s="4" t="inlineStr">
        <is>
          <t>● (aN) A.1.0 Erst./ Fortschr. BSK gem. Leitfaden Anford. DB S&amp;S AG an ganzheitl. BSK f. PVA</t>
        </is>
      </c>
      <c r="C4066" s="4" t="inlineStr">
        <is>
          <t>Nachweis</t>
        </is>
      </c>
      <c r="D4066" s="10" t="inlineStr">
        <is>
          <t>⚠ Manual erforderlich</t>
        </is>
      </c>
      <c r="E4066" s="11" t="inlineStr"/>
      <c r="F4066" s="11" t="n">
        <v>0</v>
      </c>
      <c r="G4066" s="11">
        <f>E4066-F4066</f>
        <v/>
      </c>
      <c r="H4066" s="11" t="n">
        <v/>
      </c>
      <c r="I4066" s="11" t="n">
        <v/>
      </c>
      <c r="J4066" s="11" t="n">
        <v/>
      </c>
      <c r="K4066" s="4" t="inlineStr">
        <is>
          <t>Stundensätze eingeben</t>
        </is>
      </c>
    </row>
    <row r="4067">
      <c r="A4067" s="4" t="inlineStr">
        <is>
          <t>7068 BKS-DB-uPva-Fernbahntunnel-Ffm-Hbf</t>
        </is>
      </c>
      <c r="B4067" s="4" t="inlineStr">
        <is>
          <t>● (p) A 1.3 Bestandserfassung vor Ort und Auswertung Bauakten/ Brandschutzakten</t>
        </is>
      </c>
      <c r="C4067" s="4" t="inlineStr">
        <is>
          <t>Pauschale</t>
        </is>
      </c>
      <c r="D4067" s="10" t="inlineStr">
        <is>
          <t>⚠ Manual erforderlich</t>
        </is>
      </c>
      <c r="E4067" s="11" t="inlineStr"/>
      <c r="F4067" s="11" t="n">
        <v>0</v>
      </c>
      <c r="G4067" s="11">
        <f>E4067-F4067</f>
        <v/>
      </c>
      <c r="H4067" s="11" t="n">
        <v>0</v>
      </c>
      <c r="I4067" s="11" t="n">
        <v>0</v>
      </c>
      <c r="J4067" s="11" t="n">
        <v>0</v>
      </c>
      <c r="K4067" s="4" t="inlineStr">
        <is>
          <t>Stundensätze eingeben</t>
        </is>
      </c>
    </row>
    <row r="4068">
      <c r="A4068" s="4" t="inlineStr">
        <is>
          <t>7068 BKS-DB-uPva-Fernbahntunnel-Ffm-Hbf</t>
        </is>
      </c>
      <c r="B4068" s="4" t="inlineStr">
        <is>
          <t>● (aN) A 1.4  Einarbeitung Planungsergebnisses (Inhalt BSK) in BIM-Gesamtmodell + Fachmodelle</t>
        </is>
      </c>
      <c r="C4068" s="4" t="inlineStr">
        <is>
          <t>Nachweis</t>
        </is>
      </c>
      <c r="D4068" s="10" t="inlineStr">
        <is>
          <t>⚠ Manual erforderlich</t>
        </is>
      </c>
      <c r="E4068" s="11" t="inlineStr"/>
      <c r="F4068" s="11" t="n">
        <v>0</v>
      </c>
      <c r="G4068" s="11">
        <f>E4068-F4068</f>
        <v/>
      </c>
      <c r="H4068" s="11" t="n">
        <v/>
      </c>
      <c r="I4068" s="11" t="n">
        <v/>
      </c>
      <c r="J4068" s="11" t="n">
        <v/>
      </c>
      <c r="K4068" s="4" t="inlineStr">
        <is>
          <t>Stundensätze eingeben</t>
        </is>
      </c>
    </row>
    <row r="4069">
      <c r="A4069" s="4" t="inlineStr">
        <is>
          <t>7068 BKS-DB-uPva-Fernbahntunnel-Ffm-Hbf</t>
        </is>
      </c>
      <c r="B4069" s="4" t="inlineStr">
        <is>
          <t>● (p) A 1.5 Erst. brandschutztechn.Fachmodells (Ersatzposition für BIM zu A.1.2) (bis zu 5Stck)</t>
        </is>
      </c>
      <c r="C4069" s="4" t="inlineStr">
        <is>
          <t>Pauschale</t>
        </is>
      </c>
      <c r="D4069" s="10" t="inlineStr">
        <is>
          <t>⚠ Manual erforderlich</t>
        </is>
      </c>
      <c r="E4069" s="11" t="inlineStr"/>
      <c r="F4069" s="11" t="n">
        <v>0</v>
      </c>
      <c r="G4069" s="11">
        <f>E4069-F4069</f>
        <v/>
      </c>
      <c r="H4069" s="11" t="n">
        <v>0</v>
      </c>
      <c r="I4069" s="11" t="n">
        <v>0</v>
      </c>
      <c r="J4069" s="11" t="n">
        <v>0</v>
      </c>
      <c r="K4069" s="4" t="inlineStr">
        <is>
          <t>Stundensätze eingeben</t>
        </is>
      </c>
    </row>
    <row r="4070">
      <c r="A4070" s="4" t="inlineStr">
        <is>
          <t>7068 BKS-DB-uPva-Fernbahntunnel-Ffm-Hbf</t>
        </is>
      </c>
      <c r="B4070" s="4" t="inlineStr">
        <is>
          <t>● (p) A 2.2 Evak.konzep/Erm.rechn. sicher evakuierbaren Max.personenanzahl (bis zu 5 Konzepte)</t>
        </is>
      </c>
      <c r="C4070" s="4" t="inlineStr">
        <is>
          <t>Pauschale</t>
        </is>
      </c>
      <c r="D4070" s="10" t="inlineStr">
        <is>
          <t>⚠ Manual erforderlich</t>
        </is>
      </c>
      <c r="E4070" s="11" t="inlineStr"/>
      <c r="F4070" s="11" t="n">
        <v>0</v>
      </c>
      <c r="G4070" s="11">
        <f>E4070-F4070</f>
        <v/>
      </c>
      <c r="H4070" s="11" t="n">
        <v>0</v>
      </c>
      <c r="I4070" s="11" t="n">
        <v>0</v>
      </c>
      <c r="J4070" s="11" t="n">
        <v>0</v>
      </c>
      <c r="K4070" s="4" t="inlineStr">
        <is>
          <t>Stundensätze eingeben</t>
        </is>
      </c>
    </row>
    <row r="4071">
      <c r="A4071" s="4" t="inlineStr">
        <is>
          <t>7068 BKS-DB-uPva-Fernbahntunnel-Ffm-Hbf</t>
        </is>
      </c>
      <c r="B4071" s="4" t="inlineStr">
        <is>
          <t>● (p) A 3.0 Erarbeitung mehrerer Brandsimulationen (bis zu 20 Stck.)</t>
        </is>
      </c>
      <c r="C4071" s="4" t="inlineStr">
        <is>
          <t>Pauschale</t>
        </is>
      </c>
      <c r="D4071" s="10" t="inlineStr">
        <is>
          <t>⚠ Manual erforderlich</t>
        </is>
      </c>
      <c r="E4071" s="11" t="inlineStr"/>
      <c r="F4071" s="11" t="n">
        <v>0</v>
      </c>
      <c r="G4071" s="11">
        <f>E4071-F4071</f>
        <v/>
      </c>
      <c r="H4071" s="11" t="n">
        <v>0</v>
      </c>
      <c r="I4071" s="11" t="n">
        <v>0</v>
      </c>
      <c r="J4071" s="11" t="n">
        <v>0</v>
      </c>
      <c r="K4071" s="4" t="inlineStr">
        <is>
          <t>Stundensätze eingeben</t>
        </is>
      </c>
    </row>
    <row r="4072">
      <c r="A4072" s="4" t="inlineStr">
        <is>
          <t>7068 BKS-DB-uPva-Fernbahntunnel-Ffm-Hbf</t>
        </is>
      </c>
      <c r="B4072" s="4" t="inlineStr">
        <is>
          <t>● (p) A 3.1 Erarbeiten mehrerer Entrauchungskonzepte (bis zu 5stck)</t>
        </is>
      </c>
      <c r="C4072" s="4" t="inlineStr">
        <is>
          <t>Pauschale</t>
        </is>
      </c>
      <c r="D4072" s="10" t="inlineStr">
        <is>
          <t>⚠ Manual erforderlich</t>
        </is>
      </c>
      <c r="E4072" s="11" t="inlineStr"/>
      <c r="F4072" s="11" t="n">
        <v>0</v>
      </c>
      <c r="G4072" s="11">
        <f>E4072-F4072</f>
        <v/>
      </c>
      <c r="H4072" s="11" t="n">
        <v>0</v>
      </c>
      <c r="I4072" s="11" t="n">
        <v>0</v>
      </c>
      <c r="J4072" s="11" t="n">
        <v>0</v>
      </c>
      <c r="K4072" s="4" t="inlineStr">
        <is>
          <t>Stundensätze eingeben</t>
        </is>
      </c>
    </row>
    <row r="4073">
      <c r="A4073" s="4" t="inlineStr">
        <is>
          <t>7068 BKS-DB-uPva-Fernbahntunnel-Ffm-Hbf</t>
        </is>
      </c>
      <c r="B4073" s="4" t="inlineStr">
        <is>
          <t>● (p/aN) Leistungsphase 1: Grundlagenermittlung</t>
        </is>
      </c>
      <c r="C4073" s="9" t="inlineStr">
        <is>
          <t>Unbekannt</t>
        </is>
      </c>
      <c r="D4073" s="10" t="inlineStr">
        <is>
          <t>⚠ Manual erforderlich</t>
        </is>
      </c>
      <c r="E4073" s="11" t="inlineStr"/>
      <c r="F4073" s="11" t="n">
        <v>0</v>
      </c>
      <c r="G4073" s="11">
        <f>E4073-F4073</f>
        <v/>
      </c>
      <c r="H4073" s="11" t="n">
        <v/>
      </c>
      <c r="I4073" s="11" t="n">
        <v/>
      </c>
      <c r="J4073" s="11" t="n">
        <v/>
      </c>
      <c r="K4073" s="4" t="inlineStr">
        <is>
          <t>Abrechnungsart wählen; Stundensätze eingeben</t>
        </is>
      </c>
    </row>
    <row r="4074">
      <c r="A4074" s="4" t="inlineStr">
        <is>
          <t>7068 BKS-DB-uPva-Fernbahntunnel-Ffm-Hbf</t>
        </is>
      </c>
      <c r="B4074" s="4" t="inlineStr">
        <is>
          <t>● (p/aN) Leistungsphase 2: Vorplanung</t>
        </is>
      </c>
      <c r="C4074" s="9" t="inlineStr">
        <is>
          <t>Unbekannt</t>
        </is>
      </c>
      <c r="D4074" s="10" t="inlineStr">
        <is>
          <t>⚠ Manual erforderlich</t>
        </is>
      </c>
      <c r="E4074" s="11" t="inlineStr"/>
      <c r="F4074" s="11" t="n">
        <v>0</v>
      </c>
      <c r="G4074" s="11">
        <f>E4074-F4074</f>
        <v/>
      </c>
      <c r="H4074" s="11" t="n">
        <v/>
      </c>
      <c r="I4074" s="11" t="n">
        <v/>
      </c>
      <c r="J4074" s="11" t="n">
        <v/>
      </c>
      <c r="K4074" s="4" t="inlineStr">
        <is>
          <t>Abrechnungsart wählen; Stundensätze eingeben</t>
        </is>
      </c>
    </row>
    <row r="4075">
      <c r="A4075" s="4" t="inlineStr">
        <is>
          <t>7069 BSK-Funkturm-Heidenroth-Zorn</t>
        </is>
      </c>
      <c r="B4075" s="4" t="inlineStr">
        <is>
          <t>● (p) Pos.1 BSK für Beton und Stahlgittermasten mit Technikgebäude</t>
        </is>
      </c>
      <c r="C4075" s="4" t="inlineStr">
        <is>
          <t>Pauschale</t>
        </is>
      </c>
      <c r="D4075" s="10" t="inlineStr">
        <is>
          <t>⚠ Manual erforderlich</t>
        </is>
      </c>
      <c r="E4075" s="11" t="inlineStr"/>
      <c r="F4075" s="11" t="n">
        <v>0</v>
      </c>
      <c r="G4075" s="11">
        <f>E4075-F4075</f>
        <v/>
      </c>
      <c r="H4075" s="11" t="n">
        <v>0</v>
      </c>
      <c r="I4075" s="11" t="n">
        <v>0</v>
      </c>
      <c r="J4075" s="11" t="n">
        <v>0</v>
      </c>
      <c r="K4075" s="4" t="inlineStr">
        <is>
          <t>Stundensätze eingeben</t>
        </is>
      </c>
    </row>
    <row r="4076">
      <c r="A4076" s="4" t="inlineStr">
        <is>
          <t>7070.08 Abel-RV-FWP-Riedöschingen</t>
        </is>
      </c>
      <c r="B4076" s="4" t="inlineStr">
        <is>
          <t>● (p) Pos.3 aus RV FWP (</t>
        </is>
      </c>
      <c r="C4076" s="4" t="inlineStr">
        <is>
          <t>Pauschale</t>
        </is>
      </c>
      <c r="D4076" s="10" t="inlineStr">
        <is>
          <t>⚠ Manual erforderlich</t>
        </is>
      </c>
      <c r="E4076" s="11" t="inlineStr"/>
      <c r="F4076" s="11" t="n">
        <v>0</v>
      </c>
      <c r="G4076" s="11">
        <f>E4076-F4076</f>
        <v/>
      </c>
      <c r="H4076" s="11" t="n">
        <v>0</v>
      </c>
      <c r="I4076" s="11" t="n">
        <v>0</v>
      </c>
      <c r="J4076" s="11" t="n">
        <v>0</v>
      </c>
      <c r="K4076" s="4" t="inlineStr">
        <is>
          <t>Stundensätze eingeben</t>
        </is>
      </c>
    </row>
    <row r="4077">
      <c r="A4077" s="4" t="inlineStr">
        <is>
          <t>7070.10 RV-BSK-Funkturm-Thannhausen-STORNO</t>
        </is>
      </c>
      <c r="B4077" s="4" t="inlineStr">
        <is>
          <t>● (p) Pos.1 BSK für Beton und Stahlgittermasten ohne Begehung</t>
        </is>
      </c>
      <c r="C4077" s="4" t="inlineStr">
        <is>
          <t>Pauschale</t>
        </is>
      </c>
      <c r="D4077" s="10" t="inlineStr">
        <is>
          <t>⚠ Manual erforderlich</t>
        </is>
      </c>
      <c r="E4077" s="11" t="inlineStr"/>
      <c r="F4077" s="11" t="n">
        <v>0</v>
      </c>
      <c r="G4077" s="11">
        <f>E4077-F4077</f>
        <v/>
      </c>
      <c r="H4077" s="11" t="n">
        <v>0</v>
      </c>
      <c r="I4077" s="11" t="n">
        <v>0</v>
      </c>
      <c r="J4077" s="11" t="n">
        <v>0</v>
      </c>
      <c r="K4077" s="4" t="inlineStr">
        <is>
          <t>Stundensätze eingeben</t>
        </is>
      </c>
    </row>
    <row r="4078">
      <c r="A4078" s="4" t="inlineStr">
        <is>
          <t>7070.12 RV-FWP-Funkturm-Mönchweiler</t>
        </is>
      </c>
      <c r="B4078" s="4" t="inlineStr">
        <is>
          <t>● (p) Pos.3 RV Erstellung FWP</t>
        </is>
      </c>
      <c r="C4078" s="4" t="inlineStr">
        <is>
          <t>Pauschale</t>
        </is>
      </c>
      <c r="D4078" s="10" t="inlineStr">
        <is>
          <t>⚠ Manual erforderlich</t>
        </is>
      </c>
      <c r="E4078" s="11" t="inlineStr"/>
      <c r="F4078" s="11" t="n">
        <v>0</v>
      </c>
      <c r="G4078" s="11">
        <f>E4078-F4078</f>
        <v/>
      </c>
      <c r="H4078" s="11" t="n">
        <v>0</v>
      </c>
      <c r="I4078" s="11" t="n">
        <v>0</v>
      </c>
      <c r="J4078" s="11" t="n">
        <v>0</v>
      </c>
      <c r="K4078" s="4" t="inlineStr">
        <is>
          <t>Stundensätze eingeben</t>
        </is>
      </c>
    </row>
    <row r="4079">
      <c r="A4079" s="4" t="inlineStr">
        <is>
          <t>7070.13 RV-FWP-Funkturm-Furtwangen</t>
        </is>
      </c>
      <c r="B4079" s="4" t="inlineStr">
        <is>
          <t>● (p) Pos.3 RV Erstellung FWP</t>
        </is>
      </c>
      <c r="C4079" s="4" t="inlineStr">
        <is>
          <t>Pauschale</t>
        </is>
      </c>
      <c r="D4079" s="10" t="inlineStr">
        <is>
          <t>⚠ Manual erforderlich</t>
        </is>
      </c>
      <c r="E4079" s="11" t="inlineStr"/>
      <c r="F4079" s="11" t="n">
        <v>0</v>
      </c>
      <c r="G4079" s="11">
        <f>E4079-F4079</f>
        <v/>
      </c>
      <c r="H4079" s="11" t="n">
        <v>0</v>
      </c>
      <c r="I4079" s="11" t="n">
        <v>0</v>
      </c>
      <c r="J4079" s="11" t="n">
        <v>0</v>
      </c>
      <c r="K4079" s="4" t="inlineStr">
        <is>
          <t>Stundensätze eingeben</t>
        </is>
      </c>
    </row>
    <row r="4080">
      <c r="A4080" s="4" t="inlineStr">
        <is>
          <t>7072 Renner-Gemüsebau-BSK-Neustadter-Str95-Mutterstadt</t>
        </is>
      </c>
      <c r="B4080" s="4" t="inlineStr">
        <is>
          <t>● (aN) Pos. 1 Ortstermin + Abstimmungstermine sowie BTB (beide Gebäude)</t>
        </is>
      </c>
      <c r="C4080" s="4" t="inlineStr">
        <is>
          <t>Nachweis</t>
        </is>
      </c>
      <c r="D4080" s="10" t="inlineStr">
        <is>
          <t>⚠ Manual erforderlich</t>
        </is>
      </c>
      <c r="E4080" s="11" t="inlineStr"/>
      <c r="F4080" s="11" t="n">
        <v>0</v>
      </c>
      <c r="G4080" s="11">
        <f>E4080-F4080</f>
        <v/>
      </c>
      <c r="H4080" s="11" t="n">
        <v/>
      </c>
      <c r="I4080" s="11" t="n">
        <v/>
      </c>
      <c r="J4080" s="11" t="n">
        <v/>
      </c>
      <c r="K4080" s="4" t="inlineStr">
        <is>
          <t>Stundensätze eingeben</t>
        </is>
      </c>
    </row>
    <row r="4081">
      <c r="A4081" s="4" t="inlineStr">
        <is>
          <t>7072 Renner-Gemüsebau-BSK-Neustadter-Str95-Mutterstadt</t>
        </is>
      </c>
      <c r="B4081" s="4" t="inlineStr">
        <is>
          <t>● (p) Pos. 2 Erstellung BSK (Werkstattgebäude)</t>
        </is>
      </c>
      <c r="C4081" s="4" t="inlineStr">
        <is>
          <t>Pauschale</t>
        </is>
      </c>
      <c r="D4081" s="10" t="inlineStr">
        <is>
          <t>⚠ Manual erforderlich</t>
        </is>
      </c>
      <c r="E4081" s="11" t="inlineStr"/>
      <c r="F4081" s="11" t="n">
        <v>0</v>
      </c>
      <c r="G4081" s="11">
        <f>E4081-F4081</f>
        <v/>
      </c>
      <c r="H4081" s="11" t="n">
        <v>0</v>
      </c>
      <c r="I4081" s="11" t="n">
        <v>0</v>
      </c>
      <c r="J4081" s="11" t="n">
        <v>0</v>
      </c>
      <c r="K4081" s="4" t="inlineStr">
        <is>
          <t>Stundensätze eingeben</t>
        </is>
      </c>
    </row>
    <row r="4082">
      <c r="A4082" s="4" t="inlineStr">
        <is>
          <t>7072 Renner-Gemüsebau-BSK-Neustadter-Str95-Mutterstadt</t>
        </is>
      </c>
      <c r="B4082" s="4" t="inlineStr">
        <is>
          <t>● (p) Pos. 3 Erstellung BSK (Verwaltungsgebäude)</t>
        </is>
      </c>
      <c r="C4082" s="4" t="inlineStr">
        <is>
          <t>Pauschale</t>
        </is>
      </c>
      <c r="D4082" s="10" t="inlineStr">
        <is>
          <t>⚠ Manual erforderlich</t>
        </is>
      </c>
      <c r="E4082" s="11" t="inlineStr"/>
      <c r="F4082" s="11" t="n">
        <v>0</v>
      </c>
      <c r="G4082" s="11">
        <f>E4082-F4082</f>
        <v/>
      </c>
      <c r="H4082" s="11" t="n">
        <v>0</v>
      </c>
      <c r="I4082" s="11" t="n">
        <v>0</v>
      </c>
      <c r="J4082" s="11" t="n">
        <v>0</v>
      </c>
      <c r="K4082" s="4" t="inlineStr">
        <is>
          <t>Stundensätze eingeben</t>
        </is>
      </c>
    </row>
    <row r="4083">
      <c r="A4083" s="4" t="inlineStr">
        <is>
          <t>7072 Renner-Gemüsebau-BSK-Neustadter-Str95-Mutterstadt</t>
        </is>
      </c>
      <c r="B4083" s="4" t="inlineStr">
        <is>
          <t>● noch nicht beauftragt: (aN) Pos. 4 BAB (Werkstattgebäude)</t>
        </is>
      </c>
      <c r="C4083" s="4" t="inlineStr">
        <is>
          <t>Nachweis</t>
        </is>
      </c>
      <c r="D4083" s="10" t="inlineStr">
        <is>
          <t>⚠ Manual erforderlich</t>
        </is>
      </c>
      <c r="E4083" s="11" t="inlineStr"/>
      <c r="F4083" s="11" t="n">
        <v>0</v>
      </c>
      <c r="G4083" s="11">
        <f>E4083-F4083</f>
        <v/>
      </c>
      <c r="H4083" s="11" t="n">
        <v/>
      </c>
      <c r="I4083" s="11" t="n">
        <v/>
      </c>
      <c r="J4083" s="11" t="n">
        <v/>
      </c>
      <c r="K4083" s="4" t="inlineStr">
        <is>
          <t>Stundensätze eingeben</t>
        </is>
      </c>
    </row>
    <row r="4084">
      <c r="A4084" s="4" t="inlineStr">
        <is>
          <t>7072 Renner-Gemüsebau-BSK-Neustadter-Str95-Mutterstadt</t>
        </is>
      </c>
      <c r="B4084" s="4" t="inlineStr">
        <is>
          <t>● noch nicht beauftragt: (aN) Pos. 5 BAB (Verwaltungsgebäude)</t>
        </is>
      </c>
      <c r="C4084" s="4" t="inlineStr">
        <is>
          <t>Nachweis</t>
        </is>
      </c>
      <c r="D4084" s="10" t="inlineStr">
        <is>
          <t>⚠ Manual erforderlich</t>
        </is>
      </c>
      <c r="E4084" s="11" t="inlineStr"/>
      <c r="F4084" s="11" t="n">
        <v>0</v>
      </c>
      <c r="G4084" s="11">
        <f>E4084-F4084</f>
        <v/>
      </c>
      <c r="H4084" s="11" t="n">
        <v/>
      </c>
      <c r="I4084" s="11" t="n">
        <v/>
      </c>
      <c r="J4084" s="11" t="n">
        <v/>
      </c>
      <c r="K4084" s="4" t="inlineStr">
        <is>
          <t>Stundensätze eingeben</t>
        </is>
      </c>
    </row>
    <row r="4085">
      <c r="A4085" s="4" t="inlineStr">
        <is>
          <t>7072 Renner-Gemüsebau-BSK-Neustadter-Str95-Mutterstadt</t>
        </is>
      </c>
      <c r="B4085" s="4" t="inlineStr">
        <is>
          <t>● noch nicht beauftragt: (p) Pos. 6 opt.:Erstellung Brandfallsteuertabelle (Verwaltungsgebäude)</t>
        </is>
      </c>
      <c r="C4085" s="4" t="inlineStr">
        <is>
          <t>Pauschale</t>
        </is>
      </c>
      <c r="D4085" s="10" t="inlineStr">
        <is>
          <t>⚠ Manual erforderlich</t>
        </is>
      </c>
      <c r="E4085" s="11" t="inlineStr"/>
      <c r="F4085" s="11" t="n">
        <v>0</v>
      </c>
      <c r="G4085" s="11">
        <f>E4085-F4085</f>
        <v/>
      </c>
      <c r="H4085" s="11" t="n">
        <v>0</v>
      </c>
      <c r="I4085" s="11" t="n">
        <v>0</v>
      </c>
      <c r="J4085" s="11" t="n">
        <v>0</v>
      </c>
      <c r="K4085" s="4" t="inlineStr">
        <is>
          <t>Stundensätze eingeben</t>
        </is>
      </c>
    </row>
    <row r="4086">
      <c r="A4086" s="4" t="inlineStr">
        <is>
          <t>7072.01 Renner-Gemüsebau-FUR-NeustadterStr95-Mutterstadt</t>
        </is>
      </c>
      <c r="B4086" s="4" t="inlineStr">
        <is>
          <t>● • (p) Pos. 1 FUR (Neubau Werkstattgebäude)</t>
        </is>
      </c>
      <c r="C4086" s="4" t="inlineStr">
        <is>
          <t>Pauschale</t>
        </is>
      </c>
      <c r="D4086" s="10" t="inlineStr">
        <is>
          <t>⚠ Manual erforderlich</t>
        </is>
      </c>
      <c r="E4086" s="11" t="inlineStr"/>
      <c r="F4086" s="11" t="n">
        <v>0</v>
      </c>
      <c r="G4086" s="11">
        <f>E4086-F4086</f>
        <v/>
      </c>
      <c r="H4086" s="11" t="n">
        <v>0</v>
      </c>
      <c r="I4086" s="11" t="n">
        <v>0</v>
      </c>
      <c r="J4086" s="11" t="n">
        <v>0</v>
      </c>
      <c r="K4086" s="4" t="inlineStr">
        <is>
          <t>Stundensätze eingeben</t>
        </is>
      </c>
    </row>
    <row r="4087">
      <c r="A4087" s="4" t="inlineStr">
        <is>
          <t>7072.01 Renner-Gemüsebau-FUR-NeustadterStr95-Mutterstadt</t>
        </is>
      </c>
      <c r="B4087" s="4" t="inlineStr">
        <is>
          <t>● • (p) Pos. 2 FUR (Neubau Verwaltungsgebäude)</t>
        </is>
      </c>
      <c r="C4087" s="4" t="inlineStr">
        <is>
          <t>Pauschale</t>
        </is>
      </c>
      <c r="D4087" s="10" t="inlineStr">
        <is>
          <t>⚠ Manual erforderlich</t>
        </is>
      </c>
      <c r="E4087" s="11" t="inlineStr"/>
      <c r="F4087" s="11" t="n">
        <v>0</v>
      </c>
      <c r="G4087" s="11">
        <f>E4087-F4087</f>
        <v/>
      </c>
      <c r="H4087" s="11" t="n">
        <v>0</v>
      </c>
      <c r="I4087" s="11" t="n">
        <v>0</v>
      </c>
      <c r="J4087" s="11" t="n">
        <v>0</v>
      </c>
      <c r="K4087" s="4" t="inlineStr">
        <is>
          <t>Stundensätze eingeben</t>
        </is>
      </c>
    </row>
    <row r="4088">
      <c r="A4088" s="4" t="inlineStr">
        <is>
          <t>7073 BSK-Jahnstraße-Seligenstadt-NB-Mehrzweckhalle</t>
        </is>
      </c>
      <c r="B4088" s="4" t="inlineStr">
        <is>
          <t>● (p) Pos.1 LP 1-4 Erstellen BSK</t>
        </is>
      </c>
      <c r="C4088" s="4" t="inlineStr">
        <is>
          <t>Pauschale</t>
        </is>
      </c>
      <c r="D4088" s="10" t="inlineStr">
        <is>
          <t>⚠ Manual erforderlich</t>
        </is>
      </c>
      <c r="E4088" s="11" t="inlineStr"/>
      <c r="F4088" s="11" t="n">
        <v>0</v>
      </c>
      <c r="G4088" s="11">
        <f>E4088-F4088</f>
        <v/>
      </c>
      <c r="H4088" s="11" t="n">
        <v>0</v>
      </c>
      <c r="I4088" s="11" t="n">
        <v>0</v>
      </c>
      <c r="J4088" s="11" t="n">
        <v>0</v>
      </c>
      <c r="K4088" s="4" t="inlineStr">
        <is>
          <t>Stundensätze eingeben</t>
        </is>
      </c>
    </row>
    <row r="4089">
      <c r="A4089" s="4" t="inlineStr">
        <is>
          <t>7073 BSK-Jahnstraße-Seligenstadt-NB-Mehrzweckhalle</t>
        </is>
      </c>
      <c r="B4089" s="4" t="inlineStr">
        <is>
          <t>● (p) Pos.2  -Teilnahme an Online-Besprechungen und Teilnahme an Ortsterminen</t>
        </is>
      </c>
      <c r="C4089" s="4" t="inlineStr">
        <is>
          <t>Pauschale</t>
        </is>
      </c>
      <c r="D4089" s="10" t="inlineStr">
        <is>
          <t>⚠ Manual erforderlich</t>
        </is>
      </c>
      <c r="E4089" s="11" t="inlineStr"/>
      <c r="F4089" s="11" t="n">
        <v>0</v>
      </c>
      <c r="G4089" s="11">
        <f>E4089-F4089</f>
        <v/>
      </c>
      <c r="H4089" s="11" t="n">
        <v>0</v>
      </c>
      <c r="I4089" s="11" t="n">
        <v>0</v>
      </c>
      <c r="J4089" s="11" t="n">
        <v>0</v>
      </c>
      <c r="K4089" s="4" t="inlineStr">
        <is>
          <t>Stundensätze eingeben</t>
        </is>
      </c>
    </row>
    <row r="4090">
      <c r="A4090" s="4" t="inlineStr">
        <is>
          <t>7073 BSK-Jahnstraße-Seligenstadt-NB-Mehrzweckhalle</t>
        </is>
      </c>
      <c r="B4090" s="4" t="inlineStr">
        <is>
          <t>● (a.N.) Pos.3 BTB in der Ausführungsplanung LP5 (Optional beauftragt)</t>
        </is>
      </c>
      <c r="C4090" s="4" t="inlineStr">
        <is>
          <t>Nachweis</t>
        </is>
      </c>
      <c r="D4090" s="10" t="inlineStr">
        <is>
          <t>⚠ Manual erforderlich</t>
        </is>
      </c>
      <c r="E4090" s="11" t="inlineStr"/>
      <c r="F4090" s="11" t="n">
        <v>0</v>
      </c>
      <c r="G4090" s="11">
        <f>E4090-F4090</f>
        <v/>
      </c>
      <c r="H4090" s="11" t="n">
        <v/>
      </c>
      <c r="I4090" s="11" t="n">
        <v/>
      </c>
      <c r="J4090" s="11" t="n">
        <v/>
      </c>
      <c r="K4090" s="4" t="inlineStr">
        <is>
          <t>Stundensätze eingeben</t>
        </is>
      </c>
    </row>
    <row r="4091">
      <c r="A4091" s="4" t="inlineStr">
        <is>
          <t>7076 AHO-GP-MOW-SEF-Goldsteinstraße-238-Frankfurt-Lagerhalle</t>
        </is>
      </c>
      <c r="B4091" s="4" t="inlineStr">
        <is>
          <t>● (a.N.) Pos.1 Optionale Lstg.-BTB Lagerhalle</t>
        </is>
      </c>
      <c r="C4091" s="4" t="inlineStr">
        <is>
          <t>Nachweis</t>
        </is>
      </c>
      <c r="D4091" s="10" t="inlineStr">
        <is>
          <t>⚠ Manual erforderlich</t>
        </is>
      </c>
      <c r="E4091" s="11" t="inlineStr"/>
      <c r="F4091" s="11" t="n">
        <v>0</v>
      </c>
      <c r="G4091" s="11">
        <f>E4091-F4091</f>
        <v/>
      </c>
      <c r="H4091" s="11" t="n">
        <v/>
      </c>
      <c r="I4091" s="11" t="n">
        <v/>
      </c>
      <c r="J4091" s="11" t="n">
        <v/>
      </c>
      <c r="K4091" s="4" t="inlineStr">
        <is>
          <t>Stundensätze eingeben</t>
        </is>
      </c>
    </row>
    <row r="4092">
      <c r="A4092" s="4" t="inlineStr">
        <is>
          <t>7076 AHO-GP-MOW-SEF-Goldsteinstraße-238-Frankfurt-Lagerhalle</t>
        </is>
      </c>
      <c r="B4092" s="4" t="inlineStr">
        <is>
          <t>● (p) Pos.2 - LPH 3-Entwurfsplanung</t>
        </is>
      </c>
      <c r="C4092" s="4" t="inlineStr">
        <is>
          <t>Pauschale</t>
        </is>
      </c>
      <c r="D4092" s="10" t="inlineStr">
        <is>
          <t>⚠ Manual erforderlich</t>
        </is>
      </c>
      <c r="E4092" s="11" t="inlineStr"/>
      <c r="F4092" s="11" t="n">
        <v>0</v>
      </c>
      <c r="G4092" s="11">
        <f>E4092-F4092</f>
        <v/>
      </c>
      <c r="H4092" s="11" t="n">
        <v>0</v>
      </c>
      <c r="I4092" s="11" t="n">
        <v>0</v>
      </c>
      <c r="J4092" s="11" t="n">
        <v>0</v>
      </c>
      <c r="K4092" s="4" t="inlineStr">
        <is>
          <t>Stundensätze eingeben</t>
        </is>
      </c>
    </row>
    <row r="4093">
      <c r="A4093" s="4" t="inlineStr">
        <is>
          <t>7076 AHO-GP-MOW-SEF-Goldsteinstraße-238-Frankfurt-Lagerhalle</t>
        </is>
      </c>
      <c r="B4093" s="4" t="inlineStr">
        <is>
          <t>● (p) Pos.3 - LPH 4-Genehmigungsplanung</t>
        </is>
      </c>
      <c r="C4093" s="4" t="inlineStr">
        <is>
          <t>Pauschale</t>
        </is>
      </c>
      <c r="D4093" s="10" t="inlineStr">
        <is>
          <t>⚠ Manual erforderlich</t>
        </is>
      </c>
      <c r="E4093" s="11" t="inlineStr"/>
      <c r="F4093" s="11" t="n">
        <v>0</v>
      </c>
      <c r="G4093" s="11">
        <f>E4093-F4093</f>
        <v/>
      </c>
      <c r="H4093" s="11" t="n">
        <v>0</v>
      </c>
      <c r="I4093" s="11" t="n">
        <v>0</v>
      </c>
      <c r="J4093" s="11" t="n">
        <v>0</v>
      </c>
      <c r="K4093" s="4" t="inlineStr">
        <is>
          <t>Stundensätze eingeben</t>
        </is>
      </c>
    </row>
    <row r="4094">
      <c r="A4094" s="4" t="inlineStr">
        <is>
          <t>7076 AHO-GP-MOW-SEF-Goldsteinstraße-238-Frankfurt-Lagerhalle</t>
        </is>
      </c>
      <c r="B4094" s="4" t="inlineStr">
        <is>
          <t>● (p) Pos.4 LPH 5 Ausführungsplanung</t>
        </is>
      </c>
      <c r="C4094" s="4" t="inlineStr">
        <is>
          <t>Pauschale</t>
        </is>
      </c>
      <c r="D4094" s="10" t="inlineStr">
        <is>
          <t>⚠ Manual erforderlich</t>
        </is>
      </c>
      <c r="E4094" s="11" t="inlineStr"/>
      <c r="F4094" s="11" t="n">
        <v>0</v>
      </c>
      <c r="G4094" s="11">
        <f>E4094-F4094</f>
        <v/>
      </c>
      <c r="H4094" s="11" t="n">
        <v>0</v>
      </c>
      <c r="I4094" s="11" t="n">
        <v>0</v>
      </c>
      <c r="J4094" s="11" t="n">
        <v>0</v>
      </c>
      <c r="K4094" s="4" t="inlineStr">
        <is>
          <t>Stundensätze eingeben</t>
        </is>
      </c>
    </row>
    <row r="4095">
      <c r="A4095" s="4" t="inlineStr">
        <is>
          <t>7076.01 AHO-GP-MOW-SEF-Goldsteinstraße-238-Frankfurt-Fahrzeughalle</t>
        </is>
      </c>
      <c r="B4095" s="4" t="inlineStr">
        <is>
          <t>● (a.N.) Pos.1 Optionale Leistungen BTB-Fahrzeughalle</t>
        </is>
      </c>
      <c r="C4095" s="4" t="inlineStr">
        <is>
          <t>Nachweis</t>
        </is>
      </c>
      <c r="D4095" s="10" t="inlineStr">
        <is>
          <t>⚠ Manual erforderlich</t>
        </is>
      </c>
      <c r="E4095" s="11" t="inlineStr"/>
      <c r="F4095" s="11" t="n">
        <v>0</v>
      </c>
      <c r="G4095" s="11">
        <f>E4095-F4095</f>
        <v/>
      </c>
      <c r="H4095" s="11" t="n">
        <v/>
      </c>
      <c r="I4095" s="11" t="n">
        <v/>
      </c>
      <c r="J4095" s="11" t="n">
        <v/>
      </c>
      <c r="K4095" s="4" t="inlineStr">
        <is>
          <t>Stundensätze eingeben</t>
        </is>
      </c>
    </row>
    <row r="4096">
      <c r="A4096" s="4" t="inlineStr">
        <is>
          <t>7076.01 AHO-GP-MOW-SEF-Goldsteinstraße-238-Frankfurt-Fahrzeughalle</t>
        </is>
      </c>
      <c r="B4096" s="4" t="inlineStr">
        <is>
          <t>● (p) Pos.2 - LPH 3-Entwurfsplanung</t>
        </is>
      </c>
      <c r="C4096" s="4" t="inlineStr">
        <is>
          <t>Pauschale</t>
        </is>
      </c>
      <c r="D4096" s="10" t="inlineStr">
        <is>
          <t>⚠ Manual erforderlich</t>
        </is>
      </c>
      <c r="E4096" s="11" t="inlineStr"/>
      <c r="F4096" s="11" t="n">
        <v>0</v>
      </c>
      <c r="G4096" s="11">
        <f>E4096-F4096</f>
        <v/>
      </c>
      <c r="H4096" s="11" t="n">
        <v>0</v>
      </c>
      <c r="I4096" s="11" t="n">
        <v>0</v>
      </c>
      <c r="J4096" s="11" t="n">
        <v>0</v>
      </c>
      <c r="K4096" s="4" t="inlineStr">
        <is>
          <t>Stundensätze eingeben</t>
        </is>
      </c>
    </row>
    <row r="4097">
      <c r="A4097" s="4" t="inlineStr">
        <is>
          <t>7076.01 AHO-GP-MOW-SEF-Goldsteinstraße-238-Frankfurt-Fahrzeughalle</t>
        </is>
      </c>
      <c r="B4097" s="4" t="inlineStr">
        <is>
          <t>● (p) Pos.3 - LPH 4-Genehmigungsplanung</t>
        </is>
      </c>
      <c r="C4097" s="4" t="inlineStr">
        <is>
          <t>Pauschale</t>
        </is>
      </c>
      <c r="D4097" s="10" t="inlineStr">
        <is>
          <t>⚠ Manual erforderlich</t>
        </is>
      </c>
      <c r="E4097" s="11" t="inlineStr"/>
      <c r="F4097" s="11" t="n">
        <v>0</v>
      </c>
      <c r="G4097" s="11">
        <f>E4097-F4097</f>
        <v/>
      </c>
      <c r="H4097" s="11" t="n">
        <v>0</v>
      </c>
      <c r="I4097" s="11" t="n">
        <v>0</v>
      </c>
      <c r="J4097" s="11" t="n">
        <v>0</v>
      </c>
      <c r="K4097" s="4" t="inlineStr">
        <is>
          <t>Stundensätze eingeben</t>
        </is>
      </c>
    </row>
    <row r="4098">
      <c r="A4098" s="4" t="inlineStr">
        <is>
          <t>7076.01 AHO-GP-MOW-SEF-Goldsteinstraße-238-Frankfurt-Fahrzeughalle</t>
        </is>
      </c>
      <c r="B4098" s="4" t="inlineStr">
        <is>
          <t>● (p) Pos.4 LPH 5 Ausführungsplanung</t>
        </is>
      </c>
      <c r="C4098" s="4" t="inlineStr">
        <is>
          <t>Pauschale</t>
        </is>
      </c>
      <c r="D4098" s="10" t="inlineStr">
        <is>
          <t>⚠ Manual erforderlich</t>
        </is>
      </c>
      <c r="E4098" s="11" t="inlineStr"/>
      <c r="F4098" s="11" t="n">
        <v>0</v>
      </c>
      <c r="G4098" s="11">
        <f>E4098-F4098</f>
        <v/>
      </c>
      <c r="H4098" s="11" t="n">
        <v>0</v>
      </c>
      <c r="I4098" s="11" t="n">
        <v>0</v>
      </c>
      <c r="J4098" s="11" t="n">
        <v>0</v>
      </c>
      <c r="K4098" s="4" t="inlineStr">
        <is>
          <t>Stundensätze eingeben</t>
        </is>
      </c>
    </row>
    <row r="4099">
      <c r="A4099" s="4" t="inlineStr">
        <is>
          <t>7076.02 BTB-Goldsteinstraße-238-Frankfurt-Büro-Werkstatt</t>
        </is>
      </c>
      <c r="B4099" s="4" t="inlineStr">
        <is>
          <t>● (a.N.) Pos.1 Optionale Leistungen BTB-Büro-Werkstatt</t>
        </is>
      </c>
      <c r="C4099" s="4" t="inlineStr">
        <is>
          <t>Nachweis</t>
        </is>
      </c>
      <c r="D4099" s="10" t="inlineStr">
        <is>
          <t>⚠ Manual erforderlich</t>
        </is>
      </c>
      <c r="E4099" s="11" t="inlineStr"/>
      <c r="F4099" s="11" t="n">
        <v>0</v>
      </c>
      <c r="G4099" s="11">
        <f>E4099-F4099</f>
        <v/>
      </c>
      <c r="H4099" s="11" t="n">
        <v/>
      </c>
      <c r="I4099" s="11" t="n">
        <v/>
      </c>
      <c r="J4099" s="11" t="n">
        <v/>
      </c>
      <c r="K4099" s="4" t="inlineStr">
        <is>
          <t>Stundensätze eingeben</t>
        </is>
      </c>
    </row>
    <row r="4100">
      <c r="A4100" s="4" t="inlineStr">
        <is>
          <t>7076.02 BTB-Goldsteinstraße-238-Frankfurt-Büro-Werkstatt</t>
        </is>
      </c>
      <c r="B4100" s="4" t="inlineStr">
        <is>
          <t>● Pos.2 - LPH 3-Entwurfsplanung</t>
        </is>
      </c>
      <c r="C4100" s="9" t="inlineStr">
        <is>
          <t>Unbekannt</t>
        </is>
      </c>
      <c r="D4100" s="10" t="inlineStr">
        <is>
          <t>⚠ Manual erforderlich</t>
        </is>
      </c>
      <c r="E4100" s="11" t="inlineStr"/>
      <c r="F4100" s="11" t="n">
        <v>0</v>
      </c>
      <c r="G4100" s="11">
        <f>E4100-F4100</f>
        <v/>
      </c>
      <c r="H4100" s="11" t="n">
        <v/>
      </c>
      <c r="I4100" s="11" t="n">
        <v/>
      </c>
      <c r="J4100" s="11" t="n">
        <v/>
      </c>
      <c r="K4100" s="4" t="inlineStr">
        <is>
          <t>Abrechnungsart wählen; Stundensätze eingeben</t>
        </is>
      </c>
    </row>
    <row r="4101">
      <c r="A4101" s="4" t="inlineStr">
        <is>
          <t>7076.02 BTB-Goldsteinstraße-238-Frankfurt-Büro-Werkstatt</t>
        </is>
      </c>
      <c r="B4101" s="4" t="inlineStr">
        <is>
          <t>● (p) Pos.3 - LPH 4-Genehmigungsplanung</t>
        </is>
      </c>
      <c r="C4101" s="4" t="inlineStr">
        <is>
          <t>Pauschale</t>
        </is>
      </c>
      <c r="D4101" s="10" t="inlineStr">
        <is>
          <t>⚠ Manual erforderlich</t>
        </is>
      </c>
      <c r="E4101" s="11" t="inlineStr"/>
      <c r="F4101" s="11" t="n">
        <v>0</v>
      </c>
      <c r="G4101" s="11">
        <f>E4101-F4101</f>
        <v/>
      </c>
      <c r="H4101" s="11" t="n">
        <v>0</v>
      </c>
      <c r="I4101" s="11" t="n">
        <v>0</v>
      </c>
      <c r="J4101" s="11" t="n">
        <v>0</v>
      </c>
      <c r="K4101" s="4" t="inlineStr">
        <is>
          <t>Stundensätze eingeben</t>
        </is>
      </c>
    </row>
    <row r="4102">
      <c r="A4102" s="4" t="inlineStr">
        <is>
          <t>7076.02 BTB-Goldsteinstraße-238-Frankfurt-Büro-Werkstatt</t>
        </is>
      </c>
      <c r="B4102" s="4" t="inlineStr">
        <is>
          <t>● (p) Pos.4 LPH 5 Ausführungsplanung</t>
        </is>
      </c>
      <c r="C4102" s="4" t="inlineStr">
        <is>
          <t>Pauschale</t>
        </is>
      </c>
      <c r="D4102" s="10" t="inlineStr">
        <is>
          <t>⚠ Manual erforderlich</t>
        </is>
      </c>
      <c r="E4102" s="11" t="inlineStr"/>
      <c r="F4102" s="11" t="n">
        <v>0</v>
      </c>
      <c r="G4102" s="11">
        <f>E4102-F4102</f>
        <v/>
      </c>
      <c r="H4102" s="11" t="n">
        <v>0</v>
      </c>
      <c r="I4102" s="11" t="n">
        <v>0</v>
      </c>
      <c r="J4102" s="11" t="n">
        <v>0</v>
      </c>
      <c r="K4102" s="4" t="inlineStr">
        <is>
          <t>Stundensätze eingeben</t>
        </is>
      </c>
    </row>
    <row r="4103">
      <c r="A4103" s="4" t="inlineStr">
        <is>
          <t>7080 BSK-Albert-Einstein-Schule-Berliner-Allee-90-Langen</t>
        </is>
      </c>
      <c r="B4103" s="4" t="inlineStr">
        <is>
          <t>● LP 1 - GL</t>
        </is>
      </c>
      <c r="C4103" s="9" t="inlineStr">
        <is>
          <t>Unbekannt</t>
        </is>
      </c>
      <c r="D4103" s="10" t="inlineStr">
        <is>
          <t>⚠ Manual erforderlich</t>
        </is>
      </c>
      <c r="E4103" s="11" t="inlineStr"/>
      <c r="F4103" s="11" t="n">
        <v>0</v>
      </c>
      <c r="G4103" s="11">
        <f>E4103-F4103</f>
        <v/>
      </c>
      <c r="H4103" s="11" t="n">
        <v/>
      </c>
      <c r="I4103" s="11" t="n">
        <v/>
      </c>
      <c r="J4103" s="11" t="n">
        <v/>
      </c>
      <c r="K4103" s="4" t="inlineStr">
        <is>
          <t>Abrechnungsart wählen; Stundensätze eingeben</t>
        </is>
      </c>
    </row>
    <row r="4104">
      <c r="A4104" s="4" t="inlineStr">
        <is>
          <t>7080 BSK-Albert-Einstein-Schule-Berliner-Allee-90-Langen</t>
        </is>
      </c>
      <c r="B4104" s="4" t="inlineStr">
        <is>
          <t>● LP 2 - GL +  NAT zur LPH 2 aufgrund v. Wiederholungsleistungen</t>
        </is>
      </c>
      <c r="C4104" s="9" t="inlineStr">
        <is>
          <t>Unbekannt</t>
        </is>
      </c>
      <c r="D4104" s="10" t="inlineStr">
        <is>
          <t>⚠ Manual erforderlich</t>
        </is>
      </c>
      <c r="E4104" s="11" t="inlineStr"/>
      <c r="F4104" s="11" t="n">
        <v>0</v>
      </c>
      <c r="G4104" s="11">
        <f>E4104-F4104</f>
        <v/>
      </c>
      <c r="H4104" s="11" t="n">
        <v/>
      </c>
      <c r="I4104" s="11" t="n">
        <v/>
      </c>
      <c r="J4104" s="11" t="n">
        <v/>
      </c>
      <c r="K4104" s="4" t="inlineStr">
        <is>
          <t>Abrechnungsart wählen; Stundensätze eingeben</t>
        </is>
      </c>
    </row>
    <row r="4105">
      <c r="A4105" s="4" t="inlineStr">
        <is>
          <t>7080 BSK-Albert-Einstein-Schule-Berliner-Allee-90-Langen</t>
        </is>
      </c>
      <c r="B4105" s="4" t="inlineStr">
        <is>
          <t>● LP 3 - GL</t>
        </is>
      </c>
      <c r="C4105" s="9" t="inlineStr">
        <is>
          <t>Unbekannt</t>
        </is>
      </c>
      <c r="D4105" s="10" t="inlineStr">
        <is>
          <t>⚠ Manual erforderlich</t>
        </is>
      </c>
      <c r="E4105" s="11" t="inlineStr"/>
      <c r="F4105" s="11" t="n">
        <v>0</v>
      </c>
      <c r="G4105" s="11">
        <f>E4105-F4105</f>
        <v/>
      </c>
      <c r="H4105" s="11" t="n">
        <v/>
      </c>
      <c r="I4105" s="11" t="n">
        <v/>
      </c>
      <c r="J4105" s="11" t="n">
        <v/>
      </c>
      <c r="K4105" s="4" t="inlineStr">
        <is>
          <t>Abrechnungsart wählen; Stundensätze eingeben</t>
        </is>
      </c>
    </row>
    <row r="4106">
      <c r="A4106" s="4" t="inlineStr">
        <is>
          <t>7080 BSK-Albert-Einstein-Schule-Berliner-Allee-90-Langen</t>
        </is>
      </c>
      <c r="B4106" s="4" t="inlineStr">
        <is>
          <t>● LP 4 - GL</t>
        </is>
      </c>
      <c r="C4106" s="9" t="inlineStr">
        <is>
          <t>Unbekannt</t>
        </is>
      </c>
      <c r="D4106" s="10" t="inlineStr">
        <is>
          <t>⚠ Manual erforderlich</t>
        </is>
      </c>
      <c r="E4106" s="11" t="inlineStr"/>
      <c r="F4106" s="11" t="n">
        <v>0</v>
      </c>
      <c r="G4106" s="11">
        <f>E4106-F4106</f>
        <v/>
      </c>
      <c r="H4106" s="11" t="n">
        <v/>
      </c>
      <c r="I4106" s="11" t="n">
        <v/>
      </c>
      <c r="J4106" s="11" t="n">
        <v/>
      </c>
      <c r="K4106" s="4" t="inlineStr">
        <is>
          <t>Abrechnungsart wählen; Stundensätze eingeben</t>
        </is>
      </c>
    </row>
    <row r="4107">
      <c r="A4107" s="4" t="inlineStr">
        <is>
          <t>7080 BSK-Albert-Einstein-Schule-Berliner-Allee-90-Langen</t>
        </is>
      </c>
      <c r="B4107" s="4" t="inlineStr">
        <is>
          <t>● LP 5 - GL</t>
        </is>
      </c>
      <c r="C4107" s="9" t="inlineStr">
        <is>
          <t>Unbekannt</t>
        </is>
      </c>
      <c r="D4107" s="10" t="inlineStr">
        <is>
          <t>⚠ Manual erforderlich</t>
        </is>
      </c>
      <c r="E4107" s="11" t="inlineStr"/>
      <c r="F4107" s="11" t="n">
        <v>0</v>
      </c>
      <c r="G4107" s="11">
        <f>E4107-F4107</f>
        <v/>
      </c>
      <c r="H4107" s="11" t="n">
        <v/>
      </c>
      <c r="I4107" s="11" t="n">
        <v/>
      </c>
      <c r="J4107" s="11" t="n">
        <v/>
      </c>
      <c r="K4107" s="4" t="inlineStr">
        <is>
          <t>Abrechnungsart wählen; Stundensätze eingeben</t>
        </is>
      </c>
    </row>
    <row r="4108">
      <c r="A4108" s="4" t="inlineStr">
        <is>
          <t>7080 BSK-Albert-Einstein-Schule-Berliner-Allee-90-Langen</t>
        </is>
      </c>
      <c r="B4108" s="4" t="inlineStr">
        <is>
          <t>● LP 8 - GL</t>
        </is>
      </c>
      <c r="C4108" s="9" t="inlineStr">
        <is>
          <t>Unbekannt</t>
        </is>
      </c>
      <c r="D4108" s="10" t="inlineStr">
        <is>
          <t>⚠ Manual erforderlich</t>
        </is>
      </c>
      <c r="E4108" s="11" t="inlineStr"/>
      <c r="F4108" s="11" t="n">
        <v>0</v>
      </c>
      <c r="G4108" s="11">
        <f>E4108-F4108</f>
        <v/>
      </c>
      <c r="H4108" s="11" t="n">
        <v/>
      </c>
      <c r="I4108" s="11" t="n">
        <v/>
      </c>
      <c r="J4108" s="11" t="n">
        <v/>
      </c>
      <c r="K4108" s="4" t="inlineStr">
        <is>
          <t>Abrechnungsart wählen; Stundensätze eingeben</t>
        </is>
      </c>
    </row>
    <row r="4109">
      <c r="A4109" s="4" t="inlineStr">
        <is>
          <t>7080 BSK-Albert-Einstein-Schule-Berliner-Allee-90-Langen</t>
        </is>
      </c>
      <c r="B4109" s="4" t="inlineStr">
        <is>
          <t>● LP 2 - BL</t>
        </is>
      </c>
      <c r="C4109" s="9" t="inlineStr">
        <is>
          <t>Unbekannt</t>
        </is>
      </c>
      <c r="D4109" s="10" t="inlineStr">
        <is>
          <t>⚠ Manual erforderlich</t>
        </is>
      </c>
      <c r="E4109" s="11" t="inlineStr"/>
      <c r="F4109" s="11" t="n">
        <v>0</v>
      </c>
      <c r="G4109" s="11">
        <f>E4109-F4109</f>
        <v/>
      </c>
      <c r="H4109" s="11" t="n">
        <v/>
      </c>
      <c r="I4109" s="11" t="n">
        <v/>
      </c>
      <c r="J4109" s="11" t="n">
        <v/>
      </c>
      <c r="K4109" s="4" t="inlineStr">
        <is>
          <t>Abrechnungsart wählen; Stundensätze eingeben</t>
        </is>
      </c>
    </row>
    <row r="4110">
      <c r="A4110" s="4" t="inlineStr">
        <is>
          <t>7080 BSK-Albert-Einstein-Schule-Berliner-Allee-90-Langen</t>
        </is>
      </c>
      <c r="B4110" s="4" t="inlineStr">
        <is>
          <t>● LP 3 - BL</t>
        </is>
      </c>
      <c r="C4110" s="9" t="inlineStr">
        <is>
          <t>Unbekannt</t>
        </is>
      </c>
      <c r="D4110" s="10" t="inlineStr">
        <is>
          <t>⚠ Manual erforderlich</t>
        </is>
      </c>
      <c r="E4110" s="11" t="inlineStr"/>
      <c r="F4110" s="11" t="n">
        <v>0</v>
      </c>
      <c r="G4110" s="11">
        <f>E4110-F4110</f>
        <v/>
      </c>
      <c r="H4110" s="11" t="n">
        <v/>
      </c>
      <c r="I4110" s="11" t="n">
        <v/>
      </c>
      <c r="J4110" s="11" t="n">
        <v/>
      </c>
      <c r="K4110" s="4" t="inlineStr">
        <is>
          <t>Abrechnungsart wählen; Stundensätze eingeben</t>
        </is>
      </c>
    </row>
    <row r="4111">
      <c r="A4111" s="4" t="inlineStr">
        <is>
          <t>7080 BSK-Albert-Einstein-Schule-Berliner-Allee-90-Langen</t>
        </is>
      </c>
      <c r="B4111" s="4" t="inlineStr">
        <is>
          <t>● LP 5 - BL</t>
        </is>
      </c>
      <c r="C4111" s="9" t="inlineStr">
        <is>
          <t>Unbekannt</t>
        </is>
      </c>
      <c r="D4111" s="10" t="inlineStr">
        <is>
          <t>⚠ Manual erforderlich</t>
        </is>
      </c>
      <c r="E4111" s="11" t="inlineStr"/>
      <c r="F4111" s="11" t="n">
        <v>0</v>
      </c>
      <c r="G4111" s="11">
        <f>E4111-F4111</f>
        <v/>
      </c>
      <c r="H4111" s="11" t="n">
        <v/>
      </c>
      <c r="I4111" s="11" t="n">
        <v/>
      </c>
      <c r="J4111" s="11" t="n">
        <v/>
      </c>
      <c r="K4111" s="4" t="inlineStr">
        <is>
          <t>Abrechnungsart wählen; Stundensätze eingeben</t>
        </is>
      </c>
    </row>
    <row r="4112">
      <c r="A4112" s="4" t="inlineStr">
        <is>
          <t>7080 BSK-Albert-Einstein-Schule-Berliner-Allee-90-Langen</t>
        </is>
      </c>
      <c r="B4112" s="4" t="inlineStr">
        <is>
          <t>● LP 6 - BL</t>
        </is>
      </c>
      <c r="C4112" s="9" t="inlineStr">
        <is>
          <t>Unbekannt</t>
        </is>
      </c>
      <c r="D4112" s="10" t="inlineStr">
        <is>
          <t>⚠ Manual erforderlich</t>
        </is>
      </c>
      <c r="E4112" s="11" t="inlineStr"/>
      <c r="F4112" s="11" t="n">
        <v>0</v>
      </c>
      <c r="G4112" s="11">
        <f>E4112-F4112</f>
        <v/>
      </c>
      <c r="H4112" s="11" t="n">
        <v/>
      </c>
      <c r="I4112" s="11" t="n">
        <v/>
      </c>
      <c r="J4112" s="11" t="n">
        <v/>
      </c>
      <c r="K4112" s="4" t="inlineStr">
        <is>
          <t>Abrechnungsart wählen; Stundensätze eingeben</t>
        </is>
      </c>
    </row>
    <row r="4113">
      <c r="A4113" s="4" t="inlineStr">
        <is>
          <t>7080 BSK-Albert-Einstein-Schule-Berliner-Allee-90-Langen</t>
        </is>
      </c>
      <c r="B4113" s="4" t="inlineStr">
        <is>
          <t>● LP 8 - BL</t>
        </is>
      </c>
      <c r="C4113" s="9" t="inlineStr">
        <is>
          <t>Unbekannt</t>
        </is>
      </c>
      <c r="D4113" s="10" t="inlineStr">
        <is>
          <t>⚠ Manual erforderlich</t>
        </is>
      </c>
      <c r="E4113" s="11" t="inlineStr"/>
      <c r="F4113" s="11" t="n">
        <v>0</v>
      </c>
      <c r="G4113" s="11">
        <f>E4113-F4113</f>
        <v/>
      </c>
      <c r="H4113" s="11" t="n">
        <v/>
      </c>
      <c r="I4113" s="11" t="n">
        <v/>
      </c>
      <c r="J4113" s="11" t="n">
        <v/>
      </c>
      <c r="K4113" s="4" t="inlineStr">
        <is>
          <t>Abrechnungsart wählen; Stundensätze eingeben</t>
        </is>
      </c>
    </row>
    <row r="4114">
      <c r="A4114" s="4" t="inlineStr">
        <is>
          <t>7080 BSK-Albert-Einstein-Schule-Berliner-Allee-90-Langen</t>
        </is>
      </c>
      <c r="B4114" s="4" t="inlineStr">
        <is>
          <t>● (p) Pos.1 Erstellung BSK + NT 01 zur Containeranlage Schule</t>
        </is>
      </c>
      <c r="C4114" s="4" t="inlineStr">
        <is>
          <t>Pauschale</t>
        </is>
      </c>
      <c r="D4114" s="10" t="inlineStr">
        <is>
          <t>⚠ Manual erforderlich</t>
        </is>
      </c>
      <c r="E4114" s="11" t="inlineStr"/>
      <c r="F4114" s="11" t="n">
        <v>0</v>
      </c>
      <c r="G4114" s="11">
        <f>E4114-F4114</f>
        <v/>
      </c>
      <c r="H4114" s="11" t="n">
        <v>0</v>
      </c>
      <c r="I4114" s="11" t="n">
        <v>0</v>
      </c>
      <c r="J4114" s="11" t="n">
        <v>0</v>
      </c>
      <c r="K4114" s="4" t="inlineStr">
        <is>
          <t>Stundensätze eingeben</t>
        </is>
      </c>
    </row>
    <row r="4115">
      <c r="A4115" s="4" t="inlineStr">
        <is>
          <t>7080 BSK-Albert-Einstein-Schule-Berliner-Allee-90-Langen</t>
        </is>
      </c>
      <c r="B4115" s="4" t="inlineStr">
        <is>
          <t>● (aN) Pos.2 BAB + Qualitätsüberwachung Durchführung BM</t>
        </is>
      </c>
      <c r="C4115" s="4" t="inlineStr">
        <is>
          <t>Nachweis</t>
        </is>
      </c>
      <c r="D4115" s="10" t="inlineStr">
        <is>
          <t>⚠ Manual erforderlich</t>
        </is>
      </c>
      <c r="E4115" s="11" t="inlineStr"/>
      <c r="F4115" s="11" t="n">
        <v>0</v>
      </c>
      <c r="G4115" s="11">
        <f>E4115-F4115</f>
        <v/>
      </c>
      <c r="H4115" s="11" t="n">
        <v/>
      </c>
      <c r="I4115" s="11" t="n">
        <v/>
      </c>
      <c r="J4115" s="11" t="n">
        <v/>
      </c>
      <c r="K4115" s="4" t="inlineStr">
        <is>
          <t>Stundensätze eingeben</t>
        </is>
      </c>
    </row>
    <row r="4116">
      <c r="A4116" s="4" t="inlineStr">
        <is>
          <t>7081.01 SCH-Gutleutstraße-231-Frankfurt-Schulung-Mainova</t>
        </is>
      </c>
      <c r="B4116" s="4" t="inlineStr">
        <is>
          <t>● (p) Pos. 1 Seminar/1-Tageskurs -  Feuerschutzabschlüsse</t>
        </is>
      </c>
      <c r="C4116" s="4" t="inlineStr">
        <is>
          <t>Pauschale</t>
        </is>
      </c>
      <c r="D4116" s="10" t="inlineStr">
        <is>
          <t>⚠ Manual erforderlich</t>
        </is>
      </c>
      <c r="E4116" s="11" t="inlineStr"/>
      <c r="F4116" s="11" t="n">
        <v>0</v>
      </c>
      <c r="G4116" s="11">
        <f>E4116-F4116</f>
        <v/>
      </c>
      <c r="H4116" s="11" t="n">
        <v>0</v>
      </c>
      <c r="I4116" s="11" t="n">
        <v>0</v>
      </c>
      <c r="J4116" s="11" t="n">
        <v>0</v>
      </c>
      <c r="K4116" s="4" t="inlineStr">
        <is>
          <t>Stundensätze eingeben</t>
        </is>
      </c>
    </row>
    <row r="4117">
      <c r="A4117" s="4" t="inlineStr">
        <is>
          <t>7082.01 Fletzinger-FRP-FWP-Hotel-Fletzinger-Fletzingerstr3-Wasserburg</t>
        </is>
      </c>
      <c r="B4117" s="4" t="inlineStr">
        <is>
          <t>● (aN) Pos. 1 Rettungswegplan für Zimmer</t>
        </is>
      </c>
      <c r="C4117" s="4" t="inlineStr">
        <is>
          <t>Nachweis</t>
        </is>
      </c>
      <c r="D4117" s="10" t="inlineStr">
        <is>
          <t>⚠ Manual erforderlich</t>
        </is>
      </c>
      <c r="E4117" s="11" t="inlineStr"/>
      <c r="F4117" s="11" t="n">
        <v>0</v>
      </c>
      <c r="G4117" s="11">
        <f>E4117-F4117</f>
        <v/>
      </c>
      <c r="H4117" s="11" t="n">
        <v/>
      </c>
      <c r="I4117" s="11" t="n">
        <v/>
      </c>
      <c r="J4117" s="11" t="n">
        <v/>
      </c>
      <c r="K4117" s="4" t="inlineStr">
        <is>
          <t>Stundensätze eingeben</t>
        </is>
      </c>
    </row>
    <row r="4118">
      <c r="A4118" s="4" t="inlineStr">
        <is>
          <t>7082.01 Fletzinger-FRP-FWP-Hotel-Fletzinger-Fletzingerstr3-Wasserburg</t>
        </is>
      </c>
      <c r="B4118" s="4" t="inlineStr">
        <is>
          <t>● (aN) Pos. 2 Feuerwehrpläne</t>
        </is>
      </c>
      <c r="C4118" s="4" t="inlineStr">
        <is>
          <t>Nachweis</t>
        </is>
      </c>
      <c r="D4118" s="10" t="inlineStr">
        <is>
          <t>⚠ Manual erforderlich</t>
        </is>
      </c>
      <c r="E4118" s="11" t="inlineStr"/>
      <c r="F4118" s="11" t="n">
        <v>0</v>
      </c>
      <c r="G4118" s="11">
        <f>E4118-F4118</f>
        <v/>
      </c>
      <c r="H4118" s="11" t="n">
        <v/>
      </c>
      <c r="I4118" s="11" t="n">
        <v/>
      </c>
      <c r="J4118" s="11" t="n">
        <v/>
      </c>
      <c r="K4118" s="4" t="inlineStr">
        <is>
          <t>Stundensätze eingeben</t>
        </is>
      </c>
    </row>
    <row r="4119">
      <c r="A4119" s="4" t="inlineStr">
        <is>
          <t>7082.01 Fletzinger-FRP-FWP-Hotel-Fletzinger-Fletzingerstr3-Wasserburg</t>
        </is>
      </c>
      <c r="B4119" s="4" t="inlineStr">
        <is>
          <t>● (aN) Pos. 3 Flucht- und Rettungspläne</t>
        </is>
      </c>
      <c r="C4119" s="4" t="inlineStr">
        <is>
          <t>Nachweis</t>
        </is>
      </c>
      <c r="D4119" s="10" t="inlineStr">
        <is>
          <t>⚠ Manual erforderlich</t>
        </is>
      </c>
      <c r="E4119" s="11" t="inlineStr"/>
      <c r="F4119" s="11" t="n">
        <v>0</v>
      </c>
      <c r="G4119" s="11">
        <f>E4119-F4119</f>
        <v/>
      </c>
      <c r="H4119" s="11" t="n">
        <v/>
      </c>
      <c r="I4119" s="11" t="n">
        <v/>
      </c>
      <c r="J4119" s="11" t="n">
        <v/>
      </c>
      <c r="K4119" s="4" t="inlineStr">
        <is>
          <t>Stundensätze eingeben</t>
        </is>
      </c>
    </row>
    <row r="4120">
      <c r="A4120" s="4" t="inlineStr">
        <is>
          <t>7086 ICP-BSN-St-Quirin-Str19-SÜD-München</t>
        </is>
      </c>
      <c r="B4120" s="4" t="inlineStr">
        <is>
          <t>● • SV</t>
        </is>
      </c>
      <c r="C4120" s="9" t="inlineStr">
        <is>
          <t>Unbekannt</t>
        </is>
      </c>
      <c r="D4120" s="10" t="inlineStr">
        <is>
          <t>⚠ Manual erforderlich</t>
        </is>
      </c>
      <c r="E4120" s="11" t="inlineStr"/>
      <c r="F4120" s="11" t="n">
        <v>0</v>
      </c>
      <c r="G4120" s="11">
        <f>E4120-F4120</f>
        <v/>
      </c>
      <c r="H4120" s="11" t="n">
        <v/>
      </c>
      <c r="I4120" s="11" t="n">
        <v/>
      </c>
      <c r="J4120" s="11" t="n">
        <v/>
      </c>
      <c r="K4120" s="4" t="inlineStr">
        <is>
          <t>Abrechnungsart wählen; Stundensätze eingeben</t>
        </is>
      </c>
    </row>
    <row r="4121">
      <c r="A4121" s="4" t="inlineStr">
        <is>
          <t>7086 ICP-BSN-St-Quirin-Str19-SÜD-München</t>
        </is>
      </c>
      <c r="B4121" s="4" t="inlineStr">
        <is>
          <t>● • CAD</t>
        </is>
      </c>
      <c r="C4121" s="9" t="inlineStr">
        <is>
          <t>Unbekannt</t>
        </is>
      </c>
      <c r="D4121" s="10" t="inlineStr">
        <is>
          <t>⚠ Manual erforderlich</t>
        </is>
      </c>
      <c r="E4121" s="11" t="inlineStr"/>
      <c r="F4121" s="11" t="n">
        <v>0</v>
      </c>
      <c r="G4121" s="11">
        <f>E4121-F4121</f>
        <v/>
      </c>
      <c r="H4121" s="11" t="n">
        <v/>
      </c>
      <c r="I4121" s="11" t="n">
        <v/>
      </c>
      <c r="J4121" s="11" t="n">
        <v/>
      </c>
      <c r="K4121" s="4" t="inlineStr">
        <is>
          <t>Abrechnungsart wählen; Stundensätze eingeben</t>
        </is>
      </c>
    </row>
    <row r="4122">
      <c r="A4122" s="4" t="inlineStr">
        <is>
          <t>7086.01 ICP-BSN-St-Quirin-Str19-NORD-München</t>
        </is>
      </c>
      <c r="B4122" s="4" t="inlineStr">
        <is>
          <t>● (p) Pos. 1 LPH 1 Grundlagenermittlung</t>
        </is>
      </c>
      <c r="C4122" s="4" t="inlineStr">
        <is>
          <t>Pauschale</t>
        </is>
      </c>
      <c r="D4122" s="10" t="inlineStr">
        <is>
          <t>⚠ Manual erforderlich</t>
        </is>
      </c>
      <c r="E4122" s="11" t="inlineStr"/>
      <c r="F4122" s="11" t="n">
        <v>0</v>
      </c>
      <c r="G4122" s="11">
        <f>E4122-F4122</f>
        <v/>
      </c>
      <c r="H4122" s="11" t="n">
        <v>0</v>
      </c>
      <c r="I4122" s="11" t="n">
        <v>0</v>
      </c>
      <c r="J4122" s="11" t="n">
        <v>0</v>
      </c>
      <c r="K4122" s="4" t="inlineStr">
        <is>
          <t>Stundensätze eingeben</t>
        </is>
      </c>
    </row>
    <row r="4123">
      <c r="A4123" s="4" t="inlineStr">
        <is>
          <t>7086.01 ICP-BSN-St-Quirin-Str19-NORD-München</t>
        </is>
      </c>
      <c r="B4123" s="4" t="inlineStr">
        <is>
          <t>● (p) Pos. 2 LPH 2 Vorplanung</t>
        </is>
      </c>
      <c r="C4123" s="4" t="inlineStr">
        <is>
          <t>Pauschale</t>
        </is>
      </c>
      <c r="D4123" s="10" t="inlineStr">
        <is>
          <t>⚠ Manual erforderlich</t>
        </is>
      </c>
      <c r="E4123" s="11" t="inlineStr"/>
      <c r="F4123" s="11" t="n">
        <v>0</v>
      </c>
      <c r="G4123" s="11">
        <f>E4123-F4123</f>
        <v/>
      </c>
      <c r="H4123" s="11" t="n">
        <v>0</v>
      </c>
      <c r="I4123" s="11" t="n">
        <v>0</v>
      </c>
      <c r="J4123" s="11" t="n">
        <v>0</v>
      </c>
      <c r="K4123" s="4" t="inlineStr">
        <is>
          <t>Stundensätze eingeben</t>
        </is>
      </c>
    </row>
    <row r="4124">
      <c r="A4124" s="4" t="inlineStr">
        <is>
          <t>7086.01 ICP-BSN-St-Quirin-Str19-NORD-München</t>
        </is>
      </c>
      <c r="B4124" s="4" t="inlineStr">
        <is>
          <t>● (p) Pos. 3 LPH 3 Entwurfsplanung</t>
        </is>
      </c>
      <c r="C4124" s="4" t="inlineStr">
        <is>
          <t>Pauschale</t>
        </is>
      </c>
      <c r="D4124" s="10" t="inlineStr">
        <is>
          <t>⚠ Manual erforderlich</t>
        </is>
      </c>
      <c r="E4124" s="11" t="inlineStr"/>
      <c r="F4124" s="11" t="n">
        <v>0</v>
      </c>
      <c r="G4124" s="11">
        <f>E4124-F4124</f>
        <v/>
      </c>
      <c r="H4124" s="11" t="n">
        <v>0</v>
      </c>
      <c r="I4124" s="11" t="n">
        <v>0</v>
      </c>
      <c r="J4124" s="11" t="n">
        <v>0</v>
      </c>
      <c r="K4124" s="4" t="inlineStr">
        <is>
          <t>Stundensätze eingeben</t>
        </is>
      </c>
    </row>
    <row r="4125">
      <c r="A4125" s="4" t="inlineStr">
        <is>
          <t>7086.01 ICP-BSN-St-Quirin-Str19-NORD-München</t>
        </is>
      </c>
      <c r="B4125" s="4" t="inlineStr">
        <is>
          <t>● (p) Pos. 4 LPH 4 Genehmigungsplanung</t>
        </is>
      </c>
      <c r="C4125" s="4" t="inlineStr">
        <is>
          <t>Pauschale</t>
        </is>
      </c>
      <c r="D4125" s="10" t="inlineStr">
        <is>
          <t>⚠ Manual erforderlich</t>
        </is>
      </c>
      <c r="E4125" s="11" t="inlineStr"/>
      <c r="F4125" s="11" t="n">
        <v>0</v>
      </c>
      <c r="G4125" s="11">
        <f>E4125-F4125</f>
        <v/>
      </c>
      <c r="H4125" s="11" t="n">
        <v>0</v>
      </c>
      <c r="I4125" s="11" t="n">
        <v>0</v>
      </c>
      <c r="J4125" s="11" t="n">
        <v>0</v>
      </c>
      <c r="K4125" s="4" t="inlineStr">
        <is>
          <t>Stundensätze eingeben</t>
        </is>
      </c>
    </row>
    <row r="4126">
      <c r="A4126" s="4" t="inlineStr">
        <is>
          <t>7086.02 ICP-BTB-Erw-Aufzug-oAnbau-StQuirinStr19-MUC</t>
        </is>
      </c>
      <c r="B4126" s="4" t="inlineStr">
        <is>
          <t>● (aN) Pos. 1 Brandschutztechnische Beratung</t>
        </is>
      </c>
      <c r="C4126" s="4" t="inlineStr">
        <is>
          <t>Nachweis</t>
        </is>
      </c>
      <c r="D4126" s="10" t="inlineStr">
        <is>
          <t>⚠ Manual erforderlich</t>
        </is>
      </c>
      <c r="E4126" s="11" t="inlineStr"/>
      <c r="F4126" s="11" t="n">
        <v>0</v>
      </c>
      <c r="G4126" s="11">
        <f>E4126-F4126</f>
        <v/>
      </c>
      <c r="H4126" s="11" t="n">
        <v/>
      </c>
      <c r="I4126" s="11" t="n">
        <v/>
      </c>
      <c r="J4126" s="11" t="n">
        <v/>
      </c>
      <c r="K4126" s="4" t="inlineStr">
        <is>
          <t>Stundensätze eingeben</t>
        </is>
      </c>
    </row>
    <row r="4127">
      <c r="A4127" s="4" t="inlineStr">
        <is>
          <t>7087 Raiffeisen-RE-HPPVO-LudwigshafenerStr1-Dannstadt</t>
        </is>
      </c>
      <c r="B4127" s="4" t="inlineStr">
        <is>
          <t>● (aN) Pos. 1 Prüfung eines Brandschutzkonzeptes</t>
        </is>
      </c>
      <c r="C4127" s="4" t="inlineStr">
        <is>
          <t>Nachweis</t>
        </is>
      </c>
      <c r="D4127" s="10" t="inlineStr">
        <is>
          <t>⚠ Manual erforderlich</t>
        </is>
      </c>
      <c r="E4127" s="11" t="inlineStr"/>
      <c r="F4127" s="11" t="n">
        <v>0</v>
      </c>
      <c r="G4127" s="11">
        <f>E4127-F4127</f>
        <v/>
      </c>
      <c r="H4127" s="11" t="n">
        <v/>
      </c>
      <c r="I4127" s="11" t="n">
        <v/>
      </c>
      <c r="J4127" s="11" t="n">
        <v/>
      </c>
      <c r="K4127" s="4" t="inlineStr">
        <is>
          <t>Stundensätze eingeben</t>
        </is>
      </c>
    </row>
    <row r="4128">
      <c r="A4128" s="4" t="inlineStr">
        <is>
          <t>7089.01 Apleona-FRP-Prüfung-An-der-Gehespitz-50-Neu-Isenburg</t>
        </is>
      </c>
      <c r="B4128" s="4" t="inlineStr">
        <is>
          <t>● • (aN) Pos. 1 Überprüfung Gültigkeit (CAD</t>
        </is>
      </c>
      <c r="C4128" s="4" t="inlineStr">
        <is>
          <t>Nachweis</t>
        </is>
      </c>
      <c r="D4128" s="10" t="inlineStr">
        <is>
          <t>⚠ Manual erforderlich</t>
        </is>
      </c>
      <c r="E4128" s="11" t="inlineStr"/>
      <c r="F4128" s="11" t="n">
        <v>0</v>
      </c>
      <c r="G4128" s="11">
        <f>E4128-F4128</f>
        <v/>
      </c>
      <c r="H4128" s="11" t="n">
        <v/>
      </c>
      <c r="I4128" s="11" t="n">
        <v/>
      </c>
      <c r="J4128" s="11" t="n">
        <v/>
      </c>
      <c r="K4128" s="4" t="inlineStr">
        <is>
          <t>Stundensätze eingeben</t>
        </is>
      </c>
    </row>
    <row r="4129">
      <c r="A4129" s="4" t="inlineStr">
        <is>
          <t>7089.01 Apleona-FRP-Prüfung-An-der-Gehespitz-50-Neu-Isenburg</t>
        </is>
      </c>
      <c r="B4129" s="4" t="inlineStr">
        <is>
          <t>● • (p) Pos. 3 Auftragsbearbeitung (ADM</t>
        </is>
      </c>
      <c r="C4129" s="4" t="inlineStr">
        <is>
          <t>Pauschale</t>
        </is>
      </c>
      <c r="D4129" s="10" t="inlineStr">
        <is>
          <t>⚠ Manual erforderlich</t>
        </is>
      </c>
      <c r="E4129" s="11" t="inlineStr"/>
      <c r="F4129" s="11" t="n">
        <v>0</v>
      </c>
      <c r="G4129" s="11">
        <f>E4129-F4129</f>
        <v/>
      </c>
      <c r="H4129" s="11" t="n">
        <v>0</v>
      </c>
      <c r="I4129" s="11" t="n">
        <v>0</v>
      </c>
      <c r="J4129" s="11" t="n">
        <v>0</v>
      </c>
      <c r="K4129" s="4" t="inlineStr">
        <is>
          <t>Stundensätze eingeben</t>
        </is>
      </c>
    </row>
    <row r="4130">
      <c r="A4130" s="4" t="inlineStr">
        <is>
          <t>7089.01 Apleona-FRP-Prüfung-An-der-Gehespitz-50-Neu-Isenburg</t>
        </is>
      </c>
      <c r="B4130" s="4" t="inlineStr">
        <is>
          <t>● • Pos. 2 Flucht- und Rettungsplan, Preis pro Plan, 1 Stk. 175€</t>
        </is>
      </c>
      <c r="C4130" s="9" t="inlineStr">
        <is>
          <t>Unbekannt</t>
        </is>
      </c>
      <c r="D4130" s="10" t="inlineStr">
        <is>
          <t>⚠ Manual erforderlich</t>
        </is>
      </c>
      <c r="E4130" s="11" t="inlineStr"/>
      <c r="F4130" s="11" t="n">
        <v>0</v>
      </c>
      <c r="G4130" s="11">
        <f>E4130-F4130</f>
        <v/>
      </c>
      <c r="H4130" s="11" t="n">
        <v/>
      </c>
      <c r="I4130" s="11" t="n">
        <v/>
      </c>
      <c r="J4130" s="11" t="n">
        <v/>
      </c>
      <c r="K4130" s="4" t="inlineStr">
        <is>
          <t>Abrechnungsart wählen; Stundensätze eingeben</t>
        </is>
      </c>
    </row>
    <row r="4131">
      <c r="A4131" s="4" t="inlineStr">
        <is>
          <t>7090.01 Baupionier-BSK-Garagenpark-Eckersmühlen</t>
        </is>
      </c>
      <c r="B4131" s="4" t="inlineStr">
        <is>
          <t>● (p) Pos. 2 Erstellung Brandschutzkonzept</t>
        </is>
      </c>
      <c r="C4131" s="4" t="inlineStr">
        <is>
          <t>Pauschale</t>
        </is>
      </c>
      <c r="D4131" s="10" t="inlineStr">
        <is>
          <t>⚠ Manual erforderlich</t>
        </is>
      </c>
      <c r="E4131" s="11" t="inlineStr"/>
      <c r="F4131" s="11" t="n">
        <v>0</v>
      </c>
      <c r="G4131" s="11">
        <f>E4131-F4131</f>
        <v/>
      </c>
      <c r="H4131" s="11" t="n">
        <v>0</v>
      </c>
      <c r="I4131" s="11" t="n">
        <v>0</v>
      </c>
      <c r="J4131" s="11" t="n">
        <v>0</v>
      </c>
      <c r="K4131" s="4" t="inlineStr">
        <is>
          <t>Stundensätze eingeben</t>
        </is>
      </c>
    </row>
    <row r="4132">
      <c r="A4132" s="4" t="inlineStr">
        <is>
          <t>7090.02 Baupionier-BSK-Garagenpark-Erlangen</t>
        </is>
      </c>
      <c r="B4132" s="4" t="inlineStr">
        <is>
          <t>● (p) Pos. 1 Abstimmungstermin Behörde</t>
        </is>
      </c>
      <c r="C4132" s="4" t="inlineStr">
        <is>
          <t>Pauschale</t>
        </is>
      </c>
      <c r="D4132" s="10" t="inlineStr">
        <is>
          <t>⚠ Manual erforderlich</t>
        </is>
      </c>
      <c r="E4132" s="11" t="inlineStr"/>
      <c r="F4132" s="11" t="n">
        <v>0</v>
      </c>
      <c r="G4132" s="11">
        <f>E4132-F4132</f>
        <v/>
      </c>
      <c r="H4132" s="11" t="n">
        <v/>
      </c>
      <c r="I4132" s="11" t="n">
        <v/>
      </c>
      <c r="J4132" s="11" t="n">
        <v/>
      </c>
      <c r="K4132" s="4" t="inlineStr">
        <is>
          <t>Stundensätze eingeben</t>
        </is>
      </c>
    </row>
    <row r="4133">
      <c r="A4133" s="4" t="inlineStr">
        <is>
          <t>7090.02 Baupionier-BSK-Garagenpark-Erlangen</t>
        </is>
      </c>
      <c r="B4133" s="4" t="inlineStr">
        <is>
          <t>● (p) Pos. 2 Erstellung Brandschutzkonzept</t>
        </is>
      </c>
      <c r="C4133" s="4" t="inlineStr">
        <is>
          <t>Pauschale</t>
        </is>
      </c>
      <c r="D4133" s="10" t="inlineStr">
        <is>
          <t>⚠ Manual erforderlich</t>
        </is>
      </c>
      <c r="E4133" s="11" t="inlineStr"/>
      <c r="F4133" s="11" t="n">
        <v>0</v>
      </c>
      <c r="G4133" s="11">
        <f>E4133-F4133</f>
        <v/>
      </c>
      <c r="H4133" s="11" t="n">
        <v>0</v>
      </c>
      <c r="I4133" s="11" t="n">
        <v>0</v>
      </c>
      <c r="J4133" s="11" t="n">
        <v>0</v>
      </c>
      <c r="K4133" s="4" t="inlineStr">
        <is>
          <t>Stundensätze eingeben</t>
        </is>
      </c>
    </row>
    <row r="4134">
      <c r="A4134" s="4" t="inlineStr">
        <is>
          <t>7094 BSK-NorthC-Rechenzentrum-FRA1-Mainzer-Landstraße-695-Ffm</t>
        </is>
      </c>
      <c r="B4134" s="4" t="inlineStr">
        <is>
          <t>● (p) Pos.1 Erstellung BSK</t>
        </is>
      </c>
      <c r="C4134" s="4" t="inlineStr">
        <is>
          <t>Pauschale</t>
        </is>
      </c>
      <c r="D4134" s="10" t="inlineStr">
        <is>
          <t>⚠ Manual erforderlich</t>
        </is>
      </c>
      <c r="E4134" s="11" t="inlineStr"/>
      <c r="F4134" s="11" t="n">
        <v>0</v>
      </c>
      <c r="G4134" s="11">
        <f>E4134-F4134</f>
        <v/>
      </c>
      <c r="H4134" s="11" t="n">
        <v>0</v>
      </c>
      <c r="I4134" s="11" t="n">
        <v>0</v>
      </c>
      <c r="J4134" s="11" t="n">
        <v>0</v>
      </c>
      <c r="K4134" s="4" t="inlineStr">
        <is>
          <t>Stundensätze eingeben</t>
        </is>
      </c>
    </row>
    <row r="4135">
      <c r="A4135" s="4" t="inlineStr">
        <is>
          <t>7094 BSK-NorthC-Rechenzentrum-FRA1-Mainzer-Landstraße-695-Ffm</t>
        </is>
      </c>
      <c r="B4135" s="4" t="inlineStr">
        <is>
          <t>● (a.N.) BTB in Vor-, Entwurfs- u. Genehmigungsplanung</t>
        </is>
      </c>
      <c r="C4135" s="4" t="inlineStr">
        <is>
          <t>Nachweis</t>
        </is>
      </c>
      <c r="D4135" s="10" t="inlineStr">
        <is>
          <t>⚠ Manual erforderlich</t>
        </is>
      </c>
      <c r="E4135" s="11" t="inlineStr"/>
      <c r="F4135" s="11" t="n">
        <v>0</v>
      </c>
      <c r="G4135" s="11">
        <f>E4135-F4135</f>
        <v/>
      </c>
      <c r="H4135" s="11" t="n">
        <v/>
      </c>
      <c r="I4135" s="11" t="n">
        <v/>
      </c>
      <c r="J4135" s="11" t="n">
        <v/>
      </c>
      <c r="K4135" s="4" t="inlineStr">
        <is>
          <t>Stundensätze eingeben</t>
        </is>
      </c>
    </row>
    <row r="4136">
      <c r="A4136" s="4" t="inlineStr">
        <is>
          <t>7096 BAB-Alt-Niedereschbach-15-Frankfurt</t>
        </is>
      </c>
      <c r="B4136" s="4" t="inlineStr">
        <is>
          <t>● (a.N.) Pos.1 BTB</t>
        </is>
      </c>
      <c r="C4136" s="4" t="inlineStr">
        <is>
          <t>Nachweis</t>
        </is>
      </c>
      <c r="D4136" s="10" t="inlineStr">
        <is>
          <t>⚠ Manual erforderlich</t>
        </is>
      </c>
      <c r="E4136" s="11" t="inlineStr"/>
      <c r="F4136" s="11" t="n">
        <v>0</v>
      </c>
      <c r="G4136" s="11">
        <f>E4136-F4136</f>
        <v/>
      </c>
      <c r="H4136" s="11" t="n">
        <v/>
      </c>
      <c r="I4136" s="11" t="n">
        <v/>
      </c>
      <c r="J4136" s="11" t="n">
        <v/>
      </c>
      <c r="K4136" s="4" t="inlineStr">
        <is>
          <t>Stundensätze eingeben</t>
        </is>
      </c>
    </row>
    <row r="4137">
      <c r="A4137" s="4" t="inlineStr">
        <is>
          <t>7097 Fraport-Casa-BSN-Rheinallee31-Flörsheim</t>
        </is>
      </c>
      <c r="B4137" s="4" t="inlineStr">
        <is>
          <t>● (p) Pos. 1 Erstellung eines Brandschutznachweises (GK4) (6-fach)</t>
        </is>
      </c>
      <c r="C4137" s="4" t="inlineStr">
        <is>
          <t>Pauschale</t>
        </is>
      </c>
      <c r="D4137" s="10" t="inlineStr">
        <is>
          <t>⚠ Manual erforderlich</t>
        </is>
      </c>
      <c r="E4137" s="11" t="inlineStr"/>
      <c r="F4137" s="11" t="n">
        <v>0</v>
      </c>
      <c r="G4137" s="11">
        <f>E4137-F4137</f>
        <v/>
      </c>
      <c r="H4137" s="11" t="n">
        <v>0</v>
      </c>
      <c r="I4137" s="11" t="n">
        <v>0</v>
      </c>
      <c r="J4137" s="11" t="n">
        <v>0</v>
      </c>
      <c r="K4137" s="4" t="inlineStr">
        <is>
          <t>Stundensätze eingeben</t>
        </is>
      </c>
    </row>
    <row r="4138">
      <c r="A4138" s="4" t="inlineStr">
        <is>
          <t>7097 Fraport-Casa-BSN-Rheinallee31-Flörsheim</t>
        </is>
      </c>
      <c r="B4138" s="4" t="inlineStr">
        <is>
          <t>● (aN) Pos. 2 LP8 Objektüberwachung</t>
        </is>
      </c>
      <c r="C4138" s="4" t="inlineStr">
        <is>
          <t>Nachweis</t>
        </is>
      </c>
      <c r="D4138" s="10" t="inlineStr">
        <is>
          <t>⚠ Manual erforderlich</t>
        </is>
      </c>
      <c r="E4138" s="11" t="inlineStr"/>
      <c r="F4138" s="11" t="n">
        <v>0</v>
      </c>
      <c r="G4138" s="11">
        <f>E4138-F4138</f>
        <v/>
      </c>
      <c r="H4138" s="11" t="n">
        <v/>
      </c>
      <c r="I4138" s="11" t="n">
        <v/>
      </c>
      <c r="J4138" s="11" t="n">
        <v/>
      </c>
      <c r="K4138" s="4" t="inlineStr">
        <is>
          <t>Stundensätze eingeben</t>
        </is>
      </c>
    </row>
    <row r="4139">
      <c r="A4139" s="4" t="inlineStr">
        <is>
          <t>7098 Hinterseer-WEG-BTB-Wachtelweg2-München</t>
        </is>
      </c>
      <c r="B4139" s="4" t="inlineStr">
        <is>
          <t>● (aN) Pos. 1 Brandschutztechnische Beratung</t>
        </is>
      </c>
      <c r="C4139" s="4" t="inlineStr">
        <is>
          <t>Nachweis</t>
        </is>
      </c>
      <c r="D4139" s="10" t="inlineStr">
        <is>
          <t>⚠ Manual erforderlich</t>
        </is>
      </c>
      <c r="E4139" s="11" t="inlineStr"/>
      <c r="F4139" s="11" t="n">
        <v>0</v>
      </c>
      <c r="G4139" s="11">
        <f>E4139-F4139</f>
        <v/>
      </c>
      <c r="H4139" s="11" t="n">
        <v/>
      </c>
      <c r="I4139" s="11" t="n">
        <v/>
      </c>
      <c r="J4139" s="11" t="n">
        <v/>
      </c>
      <c r="K4139" s="4" t="inlineStr">
        <is>
          <t>Stundensätze eingeben</t>
        </is>
      </c>
    </row>
    <row r="4140">
      <c r="A4140" s="4" t="inlineStr">
        <is>
          <t>7099 GemObersulm-AHO-Grundschule-Affaltrach-Obersulm</t>
        </is>
      </c>
      <c r="B4140" s="4" t="inlineStr">
        <is>
          <t>● ANG 24-02-13 AUS-AHO</t>
        </is>
      </c>
      <c r="C4140" s="9" t="inlineStr">
        <is>
          <t>Unbekannt</t>
        </is>
      </c>
      <c r="D4140" s="10" t="inlineStr">
        <is>
          <t>⚠ Manual erforderlich</t>
        </is>
      </c>
      <c r="E4140" s="11" t="inlineStr"/>
      <c r="F4140" s="11" t="n">
        <v>0</v>
      </c>
      <c r="G4140" s="11">
        <f>E4140-F4140</f>
        <v/>
      </c>
      <c r="H4140" s="11" t="n">
        <v/>
      </c>
      <c r="I4140" s="11" t="n">
        <v/>
      </c>
      <c r="J4140" s="11" t="n">
        <v/>
      </c>
      <c r="K4140" s="4" t="inlineStr">
        <is>
          <t>Abrechnungsart wählen; Stundensätze eingeben</t>
        </is>
      </c>
    </row>
    <row r="4141">
      <c r="A4141" s="4" t="inlineStr">
        <is>
          <t>7099 GemObersulm-AHO-Grundschule-Affaltrach-Obersulm</t>
        </is>
      </c>
      <c r="B4141" s="4" t="inlineStr">
        <is>
          <t>● ANG-AHO-002-2025-05-15-Gesamtbetrachtung</t>
        </is>
      </c>
      <c r="C4141" s="9" t="inlineStr">
        <is>
          <t>Unbekannt</t>
        </is>
      </c>
      <c r="D4141" s="10" t="inlineStr">
        <is>
          <t>⚠ Manual erforderlich</t>
        </is>
      </c>
      <c r="E4141" s="11" t="inlineStr"/>
      <c r="F4141" s="11" t="n">
        <v>0</v>
      </c>
      <c r="G4141" s="11">
        <f>E4141-F4141</f>
        <v/>
      </c>
      <c r="H4141" s="11" t="n">
        <v/>
      </c>
      <c r="I4141" s="11" t="n">
        <v/>
      </c>
      <c r="J4141" s="11" t="n">
        <v/>
      </c>
      <c r="K4141" s="4" t="inlineStr">
        <is>
          <t>Abrechnungsart wählen; Stundensätze eingeben</t>
        </is>
      </c>
    </row>
    <row r="4142">
      <c r="A4142" s="4" t="inlineStr">
        <is>
          <t>7099.01 GemObersulm-Anp-BSK-Grundschule-Affaltrach-Obersulm</t>
        </is>
      </c>
      <c r="B4142" s="4" t="inlineStr">
        <is>
          <t>● Anpassung BSK - ANG in BEA</t>
        </is>
      </c>
      <c r="C4142" s="9" t="inlineStr">
        <is>
          <t>Unbekannt</t>
        </is>
      </c>
      <c r="D4142" s="10" t="inlineStr">
        <is>
          <t>⚠ Manual erforderlich</t>
        </is>
      </c>
      <c r="E4142" s="11" t="inlineStr"/>
      <c r="F4142" s="11" t="n">
        <v>0</v>
      </c>
      <c r="G4142" s="11">
        <f>E4142-F4142</f>
        <v/>
      </c>
      <c r="H4142" s="11" t="n">
        <v/>
      </c>
      <c r="I4142" s="11" t="n">
        <v/>
      </c>
      <c r="J4142" s="11" t="n">
        <v/>
      </c>
      <c r="K4142" s="4" t="inlineStr">
        <is>
          <t>Abrechnungsart wählen; Stundensätze eingeben</t>
        </is>
      </c>
    </row>
    <row r="4143">
      <c r="A4143" s="4" t="inlineStr">
        <is>
          <t>7100 Dummy-RV-Funkturm-Cteam</t>
        </is>
      </c>
      <c r="B4143" s="4" t="inlineStr">
        <is>
          <t>● (p) Pos.1 BSK für Beton+Stahlgittermasten ohne Begehung</t>
        </is>
      </c>
      <c r="C4143" s="4" t="inlineStr">
        <is>
          <t>Pauschale</t>
        </is>
      </c>
      <c r="D4143" s="10" t="inlineStr">
        <is>
          <t>⚠ Manual erforderlich</t>
        </is>
      </c>
      <c r="E4143" s="11" t="inlineStr"/>
      <c r="F4143" s="11" t="n">
        <v>0</v>
      </c>
      <c r="G4143" s="11">
        <f>E4143-F4143</f>
        <v/>
      </c>
      <c r="H4143" s="11" t="n">
        <v/>
      </c>
      <c r="I4143" s="11" t="n">
        <v/>
      </c>
      <c r="J4143" s="11" t="n">
        <v/>
      </c>
      <c r="K4143" s="4" t="inlineStr">
        <is>
          <t>Stundensätze eingeben</t>
        </is>
      </c>
    </row>
    <row r="4144">
      <c r="A4144" s="4" t="inlineStr">
        <is>
          <t>7100 Dummy-RV-Funkturm-Cteam</t>
        </is>
      </c>
      <c r="B4144" s="4" t="inlineStr">
        <is>
          <t>● (p) Pos.2 BSK für Funkanlagen im Gebäude</t>
        </is>
      </c>
      <c r="C4144" s="4" t="inlineStr">
        <is>
          <t>Pauschale</t>
        </is>
      </c>
      <c r="D4144" s="10" t="inlineStr">
        <is>
          <t>⚠ Manual erforderlich</t>
        </is>
      </c>
      <c r="E4144" s="11" t="inlineStr"/>
      <c r="F4144" s="11" t="n">
        <v>0</v>
      </c>
      <c r="G4144" s="11">
        <f>E4144-F4144</f>
        <v/>
      </c>
      <c r="H4144" s="11" t="n">
        <v/>
      </c>
      <c r="I4144" s="11" t="n">
        <v/>
      </c>
      <c r="J4144" s="11" t="n">
        <v/>
      </c>
      <c r="K4144" s="4" t="inlineStr">
        <is>
          <t>Stundensätze eingeben</t>
        </is>
      </c>
    </row>
    <row r="4145">
      <c r="A4145" s="4" t="inlineStr">
        <is>
          <t>7100 Dummy-RV-Funkturm-Cteam</t>
        </is>
      </c>
      <c r="B4145" s="4" t="inlineStr">
        <is>
          <t>● (p) Pos.3 FWP</t>
        </is>
      </c>
      <c r="C4145" s="4" t="inlineStr">
        <is>
          <t>Pauschale</t>
        </is>
      </c>
      <c r="D4145" s="10" t="inlineStr">
        <is>
          <t>⚠ Manual erforderlich</t>
        </is>
      </c>
      <c r="E4145" s="11" t="inlineStr"/>
      <c r="F4145" s="11" t="n">
        <v>0</v>
      </c>
      <c r="G4145" s="11">
        <f>E4145-F4145</f>
        <v/>
      </c>
      <c r="H4145" s="11" t="n">
        <v/>
      </c>
      <c r="I4145" s="11" t="n">
        <v/>
      </c>
      <c r="J4145" s="11" t="n">
        <v/>
      </c>
      <c r="K4145" s="4" t="inlineStr">
        <is>
          <t>Stundensätze eingeben</t>
        </is>
      </c>
    </row>
    <row r="4146">
      <c r="A4146" s="4" t="inlineStr">
        <is>
          <t>7100 Dummy-RV-Funkturm-Cteam</t>
        </is>
      </c>
      <c r="B4146" s="4" t="inlineStr">
        <is>
          <t>● (p) Pos.4 Schlussbescheinigung</t>
        </is>
      </c>
      <c r="C4146" s="4" t="inlineStr">
        <is>
          <t>Pauschale</t>
        </is>
      </c>
      <c r="D4146" s="10" t="inlineStr">
        <is>
          <t>⚠ Manual erforderlich</t>
        </is>
      </c>
      <c r="E4146" s="11" t="inlineStr"/>
      <c r="F4146" s="11" t="n">
        <v>0</v>
      </c>
      <c r="G4146" s="11">
        <f>E4146-F4146</f>
        <v/>
      </c>
      <c r="H4146" s="11" t="n">
        <v/>
      </c>
      <c r="I4146" s="11" t="n">
        <v/>
      </c>
      <c r="J4146" s="11" t="n">
        <v/>
      </c>
      <c r="K4146" s="4" t="inlineStr">
        <is>
          <t>Stundensätze eingeben</t>
        </is>
      </c>
    </row>
    <row r="4147">
      <c r="A4147" s="4" t="inlineStr">
        <is>
          <t>7100 Dummy-RV-Funkturm-Cteam</t>
        </is>
      </c>
      <c r="B4147" s="4" t="inlineStr">
        <is>
          <t>● (p) Pos.5 Begehung Spez. BV / Objektbegehung Fahrtstrecke bis 400 km</t>
        </is>
      </c>
      <c r="C4147" s="4" t="inlineStr">
        <is>
          <t>Pauschale</t>
        </is>
      </c>
      <c r="D4147" s="10" t="inlineStr">
        <is>
          <t>⚠ Manual erforderlich</t>
        </is>
      </c>
      <c r="E4147" s="11" t="inlineStr"/>
      <c r="F4147" s="11" t="n">
        <v>0</v>
      </c>
      <c r="G4147" s="11">
        <f>E4147-F4147</f>
        <v/>
      </c>
      <c r="H4147" s="11" t="n">
        <v/>
      </c>
      <c r="I4147" s="11" t="n">
        <v/>
      </c>
      <c r="J4147" s="11" t="n">
        <v/>
      </c>
      <c r="K4147" s="4" t="inlineStr">
        <is>
          <t>Stundensätze eingeben</t>
        </is>
      </c>
    </row>
    <row r="4148">
      <c r="A4148" s="4" t="inlineStr">
        <is>
          <t>7100 Dummy-RV-Funkturm-Cteam</t>
        </is>
      </c>
      <c r="B4148" s="4" t="inlineStr">
        <is>
          <t>● (p) Pos.6 Begehung Spez. BV / Objektbegehung Fahrtstrecke ab 400 km</t>
        </is>
      </c>
      <c r="C4148" s="4" t="inlineStr">
        <is>
          <t>Pauschale</t>
        </is>
      </c>
      <c r="D4148" s="10" t="inlineStr">
        <is>
          <t>⚠ Manual erforderlich</t>
        </is>
      </c>
      <c r="E4148" s="11" t="inlineStr"/>
      <c r="F4148" s="11" t="n">
        <v>0</v>
      </c>
      <c r="G4148" s="11">
        <f>E4148-F4148</f>
        <v/>
      </c>
      <c r="H4148" s="11" t="n">
        <v/>
      </c>
      <c r="I4148" s="11" t="n">
        <v/>
      </c>
      <c r="J4148" s="11" t="n">
        <v/>
      </c>
      <c r="K4148" s="4" t="inlineStr">
        <is>
          <t>Stundensätze eingeben</t>
        </is>
      </c>
    </row>
    <row r="4149">
      <c r="A4149" s="4" t="inlineStr">
        <is>
          <t>7100.04 RV-KOF-Funkturm-Pfullendorf</t>
        </is>
      </c>
      <c r="B4149" s="4" t="inlineStr">
        <is>
          <t>● (p) Pos.4 KOF / Schlussbescheinigung</t>
        </is>
      </c>
      <c r="C4149" s="4" t="inlineStr">
        <is>
          <t>Pauschale</t>
        </is>
      </c>
      <c r="D4149" s="10" t="inlineStr">
        <is>
          <t>⚠ Manual erforderlich</t>
        </is>
      </c>
      <c r="E4149" s="11" t="inlineStr"/>
      <c r="F4149" s="11" t="n">
        <v>0</v>
      </c>
      <c r="G4149" s="11">
        <f>E4149-F4149</f>
        <v/>
      </c>
      <c r="H4149" s="11" t="n">
        <v>0</v>
      </c>
      <c r="I4149" s="11" t="n">
        <v>0</v>
      </c>
      <c r="J4149" s="11" t="n">
        <v>0</v>
      </c>
      <c r="K4149" s="4" t="inlineStr">
        <is>
          <t>Stundensätze eingeben</t>
        </is>
      </c>
    </row>
    <row r="4150">
      <c r="A4150" s="4" t="inlineStr">
        <is>
          <t>7100.05 RV-KOF-Funkturm-Wutöschingen-Willmendingen</t>
        </is>
      </c>
      <c r="B4150" s="4" t="inlineStr">
        <is>
          <t>● (p) Pos.4 Schlussbescheinigung</t>
        </is>
      </c>
      <c r="C4150" s="4" t="inlineStr">
        <is>
          <t>Pauschale</t>
        </is>
      </c>
      <c r="D4150" s="10" t="inlineStr">
        <is>
          <t>⚠ Manual erforderlich</t>
        </is>
      </c>
      <c r="E4150" s="11" t="inlineStr"/>
      <c r="F4150" s="11" t="n">
        <v>0</v>
      </c>
      <c r="G4150" s="11">
        <f>E4150-F4150</f>
        <v/>
      </c>
      <c r="H4150" s="11" t="n">
        <v>0</v>
      </c>
      <c r="I4150" s="11" t="n">
        <v>0</v>
      </c>
      <c r="J4150" s="11" t="n">
        <v>0</v>
      </c>
      <c r="K4150" s="4" t="inlineStr">
        <is>
          <t>Stundensätze eingeben</t>
        </is>
      </c>
    </row>
    <row r="4151">
      <c r="A4151" s="4" t="inlineStr">
        <is>
          <t>7100.06 RV-KOF-Mobilfunkmast-Malsch-Rettigheim</t>
        </is>
      </c>
      <c r="B4151" s="4" t="inlineStr">
        <is>
          <t>● (p) Pos.4 Schlussbescheinigung</t>
        </is>
      </c>
      <c r="C4151" s="4" t="inlineStr">
        <is>
          <t>Pauschale</t>
        </is>
      </c>
      <c r="D4151" s="10" t="inlineStr">
        <is>
          <t>⚠ Manual erforderlich</t>
        </is>
      </c>
      <c r="E4151" s="11" t="inlineStr"/>
      <c r="F4151" s="11" t="n">
        <v>0</v>
      </c>
      <c r="G4151" s="11">
        <f>E4151-F4151</f>
        <v/>
      </c>
      <c r="H4151" s="11" t="n">
        <v>0</v>
      </c>
      <c r="I4151" s="11" t="n">
        <v>0</v>
      </c>
      <c r="J4151" s="11" t="n">
        <v>0</v>
      </c>
      <c r="K4151" s="4" t="inlineStr">
        <is>
          <t>Stundensätze eingeben</t>
        </is>
      </c>
    </row>
    <row r="4152">
      <c r="A4152" s="4" t="inlineStr">
        <is>
          <t>7100.07 RV-KOF-Mobilfunkmast-KA-Im-Schlehert</t>
        </is>
      </c>
      <c r="B4152" s="4" t="inlineStr">
        <is>
          <t>● (p) Pos.4 Schlussbescheinigung</t>
        </is>
      </c>
      <c r="C4152" s="4" t="inlineStr">
        <is>
          <t>Pauschale</t>
        </is>
      </c>
      <c r="D4152" s="10" t="inlineStr">
        <is>
          <t>⚠ Manual erforderlich</t>
        </is>
      </c>
      <c r="E4152" s="11" t="inlineStr"/>
      <c r="F4152" s="11" t="n">
        <v>0</v>
      </c>
      <c r="G4152" s="11">
        <f>E4152-F4152</f>
        <v/>
      </c>
      <c r="H4152" s="11" t="n">
        <v>0</v>
      </c>
      <c r="I4152" s="11" t="n">
        <v>0</v>
      </c>
      <c r="J4152" s="11" t="n">
        <v>0</v>
      </c>
      <c r="K4152" s="4" t="inlineStr">
        <is>
          <t>Stundensätze eingeben</t>
        </is>
      </c>
    </row>
    <row r="4153">
      <c r="A4153" s="4" t="inlineStr">
        <is>
          <t>7100.08 RV-KOF-Funkturm-Weingarten</t>
        </is>
      </c>
      <c r="B4153" s="4" t="inlineStr">
        <is>
          <t>● (p) Pos.4 Schlussbescheinigung</t>
        </is>
      </c>
      <c r="C4153" s="4" t="inlineStr">
        <is>
          <t>Pauschale</t>
        </is>
      </c>
      <c r="D4153" s="10" t="inlineStr">
        <is>
          <t>⚠ Manual erforderlich</t>
        </is>
      </c>
      <c r="E4153" s="11" t="inlineStr"/>
      <c r="F4153" s="11" t="n">
        <v>0</v>
      </c>
      <c r="G4153" s="11">
        <f>E4153-F4153</f>
        <v/>
      </c>
      <c r="H4153" s="11" t="n">
        <v>0</v>
      </c>
      <c r="I4153" s="11" t="n">
        <v>0</v>
      </c>
      <c r="J4153" s="11" t="n">
        <v>0</v>
      </c>
      <c r="K4153" s="4" t="inlineStr">
        <is>
          <t>Stundensätze eingeben</t>
        </is>
      </c>
    </row>
    <row r="4154">
      <c r="A4154" s="4" t="inlineStr">
        <is>
          <t>7100.09 RV-KOF-Funkturm-Crailsheim-Tiefenbach</t>
        </is>
      </c>
      <c r="B4154" s="4" t="inlineStr">
        <is>
          <t>● (p) Pos.4 Schlussbescheinigung</t>
        </is>
      </c>
      <c r="C4154" s="4" t="inlineStr">
        <is>
          <t>Pauschale</t>
        </is>
      </c>
      <c r="D4154" s="10" t="inlineStr">
        <is>
          <t>⚠ Manual erforderlich</t>
        </is>
      </c>
      <c r="E4154" s="11" t="inlineStr"/>
      <c r="F4154" s="11" t="n">
        <v>0</v>
      </c>
      <c r="G4154" s="11">
        <f>E4154-F4154</f>
        <v/>
      </c>
      <c r="H4154" s="11" t="n">
        <v>0</v>
      </c>
      <c r="I4154" s="11" t="n">
        <v>0</v>
      </c>
      <c r="J4154" s="11" t="n">
        <v>0</v>
      </c>
      <c r="K4154" s="4" t="inlineStr">
        <is>
          <t>Stundensätze eingeben</t>
        </is>
      </c>
    </row>
    <row r="4155">
      <c r="A4155" s="4" t="inlineStr">
        <is>
          <t>7100.10 RV-KOF-Funkturm-Walluf-Bahnlinie</t>
        </is>
      </c>
      <c r="B4155" s="4" t="inlineStr">
        <is>
          <t>● (p) Pos.4 Schlussbescheinigung</t>
        </is>
      </c>
      <c r="C4155" s="4" t="inlineStr">
        <is>
          <t>Pauschale</t>
        </is>
      </c>
      <c r="D4155" s="10" t="inlineStr">
        <is>
          <t>⚠ Manual erforderlich</t>
        </is>
      </c>
      <c r="E4155" s="11" t="inlineStr"/>
      <c r="F4155" s="11" t="n">
        <v>0</v>
      </c>
      <c r="G4155" s="11">
        <f>E4155-F4155</f>
        <v/>
      </c>
      <c r="H4155" s="11" t="n">
        <v>0</v>
      </c>
      <c r="I4155" s="11" t="n">
        <v>0</v>
      </c>
      <c r="J4155" s="11" t="n">
        <v>0</v>
      </c>
      <c r="K4155" s="4" t="inlineStr">
        <is>
          <t>Stundensätze eingeben</t>
        </is>
      </c>
    </row>
    <row r="4156">
      <c r="A4156" s="4" t="inlineStr">
        <is>
          <t>7102 KAEP-KKH-Freiberg-AEP</t>
        </is>
      </c>
      <c r="B4156" s="4" t="inlineStr">
        <is>
          <t>● a.N.) Pos.1 Erstellung Risikoanalyse und AEP-Struckturanalyse</t>
        </is>
      </c>
      <c r="C4156" s="9" t="inlineStr">
        <is>
          <t>Unbekannt</t>
        </is>
      </c>
      <c r="D4156" s="10" t="inlineStr">
        <is>
          <t>⚠ Manual erforderlich</t>
        </is>
      </c>
      <c r="E4156" s="11" t="inlineStr"/>
      <c r="F4156" s="11" t="n">
        <v>0</v>
      </c>
      <c r="G4156" s="11">
        <f>E4156-F4156</f>
        <v/>
      </c>
      <c r="H4156" s="11" t="n">
        <v/>
      </c>
      <c r="I4156" s="11" t="n">
        <v/>
      </c>
      <c r="J4156" s="11" t="n">
        <v/>
      </c>
      <c r="K4156" s="4" t="inlineStr">
        <is>
          <t>Abrechnungsart wählen; Stundensätze eingeben</t>
        </is>
      </c>
    </row>
    <row r="4157">
      <c r="A4157" s="4" t="inlineStr">
        <is>
          <t>7104.01 BMS2-Überarbeitung-BSN-Friedenstr19a-Germering</t>
        </is>
      </c>
      <c r="B4157" s="4" t="inlineStr">
        <is>
          <t>● (p) Pos. 7 weitere Leistungen, hier: Überarbeitung BSN</t>
        </is>
      </c>
      <c r="C4157" s="4" t="inlineStr">
        <is>
          <t>Pauschale</t>
        </is>
      </c>
      <c r="D4157" s="10" t="inlineStr">
        <is>
          <t>⚠ Manual erforderlich</t>
        </is>
      </c>
      <c r="E4157" s="11" t="inlineStr"/>
      <c r="F4157" s="11" t="n">
        <v>0</v>
      </c>
      <c r="G4157" s="11">
        <f>E4157-F4157</f>
        <v/>
      </c>
      <c r="H4157" s="11" t="n">
        <v>0</v>
      </c>
      <c r="I4157" s="11" t="n">
        <v>0</v>
      </c>
      <c r="J4157" s="11" t="n">
        <v>0</v>
      </c>
      <c r="K4157" s="4" t="inlineStr">
        <is>
          <t>Stundensätze eingeben</t>
        </is>
      </c>
    </row>
    <row r="4158">
      <c r="A4158" s="4" t="inlineStr">
        <is>
          <t>7108 BTB-Taunushalle-Oberstedten-Heizungs-Lüftungsanlage</t>
        </is>
      </c>
      <c r="B4158" s="4" t="inlineStr">
        <is>
          <t>● (a.N.) Pos.1 BTB Erneuerung Heizungs- und Lüftungsanlage</t>
        </is>
      </c>
      <c r="C4158" s="4" t="inlineStr">
        <is>
          <t>Nachweis</t>
        </is>
      </c>
      <c r="D4158" s="10" t="inlineStr">
        <is>
          <t>⚠ Manual erforderlich</t>
        </is>
      </c>
      <c r="E4158" s="11" t="inlineStr"/>
      <c r="F4158" s="11" t="n">
        <v>0</v>
      </c>
      <c r="G4158" s="11">
        <f>E4158-F4158</f>
        <v/>
      </c>
      <c r="H4158" s="11" t="n">
        <v/>
      </c>
      <c r="I4158" s="11" t="n">
        <v/>
      </c>
      <c r="J4158" s="11" t="n">
        <v/>
      </c>
      <c r="K4158" s="4" t="inlineStr">
        <is>
          <t>Stundensätze eingeben</t>
        </is>
      </c>
    </row>
    <row r="4159">
      <c r="A4159" s="4" t="inlineStr">
        <is>
          <t>7108 BTB-Taunushalle-Oberstedten-Heizungs-Lüftungsanlage</t>
        </is>
      </c>
      <c r="B4159" s="4" t="inlineStr">
        <is>
          <t>● (p) Pos.2 Erstellung BSK (Planungsbespr. max. 3 Termine)</t>
        </is>
      </c>
      <c r="C4159" s="4" t="inlineStr">
        <is>
          <t>Pauschale</t>
        </is>
      </c>
      <c r="D4159" s="10" t="inlineStr">
        <is>
          <t>⚠ Manual erforderlich</t>
        </is>
      </c>
      <c r="E4159" s="11" t="inlineStr"/>
      <c r="F4159" s="11" t="n">
        <v>0</v>
      </c>
      <c r="G4159" s="11">
        <f>E4159-F4159</f>
        <v/>
      </c>
      <c r="H4159" s="11" t="n">
        <v>0</v>
      </c>
      <c r="I4159" s="11" t="n">
        <v>0</v>
      </c>
      <c r="J4159" s="11" t="n">
        <v>0</v>
      </c>
      <c r="K4159" s="4" t="inlineStr">
        <is>
          <t>Stundensätze eingeben</t>
        </is>
      </c>
    </row>
    <row r="4160">
      <c r="A4160" s="4" t="inlineStr">
        <is>
          <t>7108 BTB-Taunushalle-Oberstedten-Heizungs-Lüftungsanlage</t>
        </is>
      </c>
      <c r="B4160" s="4" t="inlineStr">
        <is>
          <t>● (a.N.) Pos.3 BAB</t>
        </is>
      </c>
      <c r="C4160" s="4" t="inlineStr">
        <is>
          <t>Nachweis</t>
        </is>
      </c>
      <c r="D4160" s="10" t="inlineStr">
        <is>
          <t>⚠ Manual erforderlich</t>
        </is>
      </c>
      <c r="E4160" s="11" t="inlineStr"/>
      <c r="F4160" s="11" t="n">
        <v>0</v>
      </c>
      <c r="G4160" s="11">
        <f>E4160-F4160</f>
        <v/>
      </c>
      <c r="H4160" s="11" t="n">
        <v/>
      </c>
      <c r="I4160" s="11" t="n">
        <v/>
      </c>
      <c r="J4160" s="11" t="n">
        <v/>
      </c>
      <c r="K4160" s="4" t="inlineStr">
        <is>
          <t>Stundensätze eingeben</t>
        </is>
      </c>
    </row>
    <row r="4161">
      <c r="A4161" s="4" t="inlineStr">
        <is>
          <t>7108.01 BSK-Taunushalle-Oberstedten</t>
        </is>
      </c>
      <c r="B4161" s="4" t="inlineStr">
        <is>
          <t>● (aN) Pos.1 Erstellung eines ganzheitlichen BSK</t>
        </is>
      </c>
      <c r="C4161" s="4" t="inlineStr">
        <is>
          <t>Nachweis</t>
        </is>
      </c>
      <c r="D4161" s="10" t="inlineStr">
        <is>
          <t>⚠ Manual erforderlich</t>
        </is>
      </c>
      <c r="E4161" s="11" t="inlineStr"/>
      <c r="F4161" s="11" t="n">
        <v>0</v>
      </c>
      <c r="G4161" s="11">
        <f>E4161-F4161</f>
        <v/>
      </c>
      <c r="H4161" s="11" t="n">
        <v/>
      </c>
      <c r="I4161" s="11" t="n">
        <v/>
      </c>
      <c r="J4161" s="11" t="n">
        <v/>
      </c>
      <c r="K4161" s="4" t="inlineStr">
        <is>
          <t>Stundensätze eingeben</t>
        </is>
      </c>
    </row>
    <row r="4162">
      <c r="A4162" s="4" t="inlineStr">
        <is>
          <t>7109.01 BSN-Portstraße-Hohemarkstraße-18-Oberursel-Jugend-Cafe</t>
        </is>
      </c>
      <c r="B4162" s="4" t="inlineStr">
        <is>
          <t>● (p) Pos.1 Erstellung BSN</t>
        </is>
      </c>
      <c r="C4162" s="4" t="inlineStr">
        <is>
          <t>Pauschale</t>
        </is>
      </c>
      <c r="D4162" s="10" t="inlineStr">
        <is>
          <t>⚠ Manual erforderlich</t>
        </is>
      </c>
      <c r="E4162" s="11" t="inlineStr"/>
      <c r="F4162" s="11" t="n">
        <v>0</v>
      </c>
      <c r="G4162" s="11">
        <f>E4162-F4162</f>
        <v/>
      </c>
      <c r="H4162" s="11" t="n">
        <v>0</v>
      </c>
      <c r="I4162" s="11" t="n">
        <v>0</v>
      </c>
      <c r="J4162" s="11" t="n">
        <v>0</v>
      </c>
      <c r="K4162" s="4" t="inlineStr">
        <is>
          <t>Stundensätze eingeben</t>
        </is>
      </c>
    </row>
    <row r="4163">
      <c r="A4163" s="4" t="inlineStr">
        <is>
          <t>7109.01 BSN-Portstraße-Hohemarkstraße-18-Oberursel-Jugend-Cafe</t>
        </is>
      </c>
      <c r="B4163" s="4" t="inlineStr">
        <is>
          <t>● (p) Pos.2 Optional: Erstellung Brandschutzpläne</t>
        </is>
      </c>
      <c r="C4163" s="4" t="inlineStr">
        <is>
          <t>Pauschale</t>
        </is>
      </c>
      <c r="D4163" s="10" t="inlineStr">
        <is>
          <t>⚠ Manual erforderlich</t>
        </is>
      </c>
      <c r="E4163" s="11" t="inlineStr"/>
      <c r="F4163" s="11" t="n">
        <v>0</v>
      </c>
      <c r="G4163" s="11">
        <f>E4163-F4163</f>
        <v/>
      </c>
      <c r="H4163" s="11" t="n">
        <v>0</v>
      </c>
      <c r="I4163" s="11" t="n">
        <v>0</v>
      </c>
      <c r="J4163" s="11" t="n">
        <v>0</v>
      </c>
      <c r="K4163" s="4" t="inlineStr">
        <is>
          <t>Stundensätze eingeben</t>
        </is>
      </c>
    </row>
    <row r="4164">
      <c r="A4164" s="4" t="inlineStr">
        <is>
          <t>7109.01 BSN-Portstraße-Hohemarkstraße-18-Oberursel-Jugend-Cafe</t>
        </is>
      </c>
      <c r="B4164" s="4" t="inlineStr">
        <is>
          <t>● (aN) Pos.3 BAB</t>
        </is>
      </c>
      <c r="C4164" s="4" t="inlineStr">
        <is>
          <t>Nachweis</t>
        </is>
      </c>
      <c r="D4164" s="10" t="inlineStr">
        <is>
          <t>⚠ Manual erforderlich</t>
        </is>
      </c>
      <c r="E4164" s="11" t="inlineStr"/>
      <c r="F4164" s="11" t="n">
        <v>0</v>
      </c>
      <c r="G4164" s="11">
        <f>E4164-F4164</f>
        <v/>
      </c>
      <c r="H4164" s="11" t="n">
        <v/>
      </c>
      <c r="I4164" s="11" t="n">
        <v/>
      </c>
      <c r="J4164" s="11" t="n">
        <v/>
      </c>
      <c r="K4164" s="4" t="inlineStr">
        <is>
          <t>Stundensätze eingeben</t>
        </is>
      </c>
    </row>
    <row r="4165">
      <c r="A4165" s="4" t="inlineStr">
        <is>
          <t>7111 VGP-Park-AHO-HalleD-Wallbergstr3-Baldham</t>
        </is>
      </c>
      <c r="B4165" s="4" t="inlineStr">
        <is>
          <t>● Brandschutzkonzept</t>
        </is>
      </c>
      <c r="C4165" s="9" t="inlineStr">
        <is>
          <t>Unbekannt</t>
        </is>
      </c>
      <c r="D4165" s="10" t="inlineStr">
        <is>
          <t>⚠ Manual erforderlich</t>
        </is>
      </c>
      <c r="E4165" s="11" t="inlineStr"/>
      <c r="F4165" s="11" t="n">
        <v>0</v>
      </c>
      <c r="G4165" s="11">
        <f>E4165-F4165</f>
        <v/>
      </c>
      <c r="H4165" s="11" t="n">
        <v/>
      </c>
      <c r="I4165" s="11" t="n">
        <v/>
      </c>
      <c r="J4165" s="11" t="n">
        <v/>
      </c>
      <c r="K4165" s="4" t="inlineStr">
        <is>
          <t>Abrechnungsart wählen; Stundensätze eingeben</t>
        </is>
      </c>
    </row>
    <row r="4166">
      <c r="A4166" s="4" t="inlineStr">
        <is>
          <t>7111.02 VGP-Park-BTB-Gruberstr-Vaterstetten</t>
        </is>
      </c>
      <c r="B4166" s="4" t="inlineStr">
        <is>
          <t>● (aN) Pos. 1 Anpassung der Brandschutzpläne (CAD)</t>
        </is>
      </c>
      <c r="C4166" s="4" t="inlineStr">
        <is>
          <t>Nachweis</t>
        </is>
      </c>
      <c r="D4166" s="10" t="inlineStr">
        <is>
          <t>⚠ Manual erforderlich</t>
        </is>
      </c>
      <c r="E4166" s="11" t="inlineStr"/>
      <c r="F4166" s="11" t="n">
        <v>0</v>
      </c>
      <c r="G4166" s="11">
        <f>E4166-F4166</f>
        <v/>
      </c>
      <c r="H4166" s="11" t="n">
        <v/>
      </c>
      <c r="I4166" s="11" t="n">
        <v/>
      </c>
      <c r="J4166" s="11" t="n">
        <v/>
      </c>
      <c r="K4166" s="4" t="inlineStr">
        <is>
          <t>Stundensätze eingeben</t>
        </is>
      </c>
    </row>
    <row r="4167">
      <c r="A4167" s="4" t="inlineStr">
        <is>
          <t>7111.02 VGP-Park-BTB-Gruberstr-Vaterstetten</t>
        </is>
      </c>
      <c r="B4167" s="4" t="inlineStr">
        <is>
          <t>● (aN) Pos. 2 Anpassung der Brandschutzpläne Mieterausbau (CAD)</t>
        </is>
      </c>
      <c r="C4167" s="4" t="inlineStr">
        <is>
          <t>Nachweis</t>
        </is>
      </c>
      <c r="D4167" s="10" t="inlineStr">
        <is>
          <t>⚠ Manual erforderlich</t>
        </is>
      </c>
      <c r="E4167" s="11" t="inlineStr"/>
      <c r="F4167" s="11" t="n">
        <v>0</v>
      </c>
      <c r="G4167" s="11">
        <f>E4167-F4167</f>
        <v/>
      </c>
      <c r="H4167" s="11" t="n">
        <v/>
      </c>
      <c r="I4167" s="11" t="n">
        <v/>
      </c>
      <c r="J4167" s="11" t="n">
        <v/>
      </c>
      <c r="K4167" s="4" t="inlineStr">
        <is>
          <t>Stundensätze eingeben</t>
        </is>
      </c>
    </row>
    <row r="4168">
      <c r="A4168" s="4" t="inlineStr">
        <is>
          <t>7111.02 VGP-Park-BTB-Gruberstr-Vaterstetten</t>
        </is>
      </c>
      <c r="B4168" s="4" t="inlineStr">
        <is>
          <t>● (aN) Pos. 3 Anpassung des Brandschutznachweises (SV</t>
        </is>
      </c>
      <c r="C4168" s="4" t="inlineStr">
        <is>
          <t>Nachweis</t>
        </is>
      </c>
      <c r="D4168" s="10" t="inlineStr">
        <is>
          <t>⚠ Manual erforderlich</t>
        </is>
      </c>
      <c r="E4168" s="11" t="inlineStr"/>
      <c r="F4168" s="11" t="n">
        <v>0</v>
      </c>
      <c r="G4168" s="11">
        <f>E4168-F4168</f>
        <v/>
      </c>
      <c r="H4168" s="11" t="n">
        <v/>
      </c>
      <c r="I4168" s="11" t="n">
        <v/>
      </c>
      <c r="J4168" s="11" t="n">
        <v/>
      </c>
      <c r="K4168" s="4" t="inlineStr">
        <is>
          <t>Stundensätze eingeben</t>
        </is>
      </c>
    </row>
    <row r="4169">
      <c r="A4169" s="4" t="inlineStr">
        <is>
          <t>7111.02 VGP-Park-BTB-Gruberstr-Vaterstetten</t>
        </is>
      </c>
      <c r="B4169" s="4" t="inlineStr">
        <is>
          <t>● (aN) Pos. 4 Brandschutztechnische Beratungsleistung in der Ausführungsplanung (SV)</t>
        </is>
      </c>
      <c r="C4169" s="4" t="inlineStr">
        <is>
          <t>Nachweis</t>
        </is>
      </c>
      <c r="D4169" s="10" t="inlineStr">
        <is>
          <t>⚠ Manual erforderlich</t>
        </is>
      </c>
      <c r="E4169" s="11" t="inlineStr"/>
      <c r="F4169" s="11" t="n">
        <v>0</v>
      </c>
      <c r="G4169" s="11">
        <f>E4169-F4169</f>
        <v/>
      </c>
      <c r="H4169" s="11" t="n">
        <v/>
      </c>
      <c r="I4169" s="11" t="n">
        <v/>
      </c>
      <c r="J4169" s="11" t="n">
        <v/>
      </c>
      <c r="K4169" s="4" t="inlineStr">
        <is>
          <t>Stundensätze eingeben</t>
        </is>
      </c>
    </row>
    <row r="4170">
      <c r="A4170" s="4" t="inlineStr">
        <is>
          <t>7112 BSN-Stolzestraße-56-Neu-Isenburg</t>
        </is>
      </c>
      <c r="B4170" s="4" t="inlineStr">
        <is>
          <t>● (p) Pos.1 BSN zum Dachgeschossausbau</t>
        </is>
      </c>
      <c r="C4170" s="4" t="inlineStr">
        <is>
          <t>Pauschale</t>
        </is>
      </c>
      <c r="D4170" s="10" t="inlineStr">
        <is>
          <t>⚠ Manual erforderlich</t>
        </is>
      </c>
      <c r="E4170" s="11" t="inlineStr"/>
      <c r="F4170" s="11" t="n">
        <v>0</v>
      </c>
      <c r="G4170" s="11">
        <f>E4170-F4170</f>
        <v/>
      </c>
      <c r="H4170" s="11" t="n">
        <v>0</v>
      </c>
      <c r="I4170" s="11" t="n">
        <v>0</v>
      </c>
      <c r="J4170" s="11" t="n">
        <v>0</v>
      </c>
      <c r="K4170" s="4" t="inlineStr">
        <is>
          <t>Stundensätze eingeben</t>
        </is>
      </c>
    </row>
    <row r="4171">
      <c r="A4171" s="4" t="inlineStr">
        <is>
          <t>7112 BSN-Stolzestraße-56-Neu-Isenburg</t>
        </is>
      </c>
      <c r="B4171" s="4" t="inlineStr">
        <is>
          <t>● (a.N.) Pos.2 BAB</t>
        </is>
      </c>
      <c r="C4171" s="4" t="inlineStr">
        <is>
          <t>Nachweis</t>
        </is>
      </c>
      <c r="D4171" s="10" t="inlineStr">
        <is>
          <t>⚠ Manual erforderlich</t>
        </is>
      </c>
      <c r="E4171" s="11" t="inlineStr"/>
      <c r="F4171" s="11" t="n">
        <v>0</v>
      </c>
      <c r="G4171" s="11">
        <f>E4171-F4171</f>
        <v/>
      </c>
      <c r="H4171" s="11" t="n">
        <v/>
      </c>
      <c r="I4171" s="11" t="n">
        <v/>
      </c>
      <c r="J4171" s="11" t="n">
        <v/>
      </c>
      <c r="K4171" s="4" t="inlineStr">
        <is>
          <t>Stundensätze eingeben</t>
        </is>
      </c>
    </row>
    <row r="4172">
      <c r="A4172" s="4" t="inlineStr">
        <is>
          <t>7115 DB-RVE-BSK-BHF-Attilastraße-Berlin-PVA</t>
        </is>
      </c>
      <c r="B4172" s="4" t="inlineStr">
        <is>
          <t>● (p) Pos. 01.16.03 aus RVE-BSK Personenverkehrsanlagen (PVA) m. Geb. der Geb-Klasse3</t>
        </is>
      </c>
      <c r="C4172" s="4" t="inlineStr">
        <is>
          <t>Pauschale</t>
        </is>
      </c>
      <c r="D4172" s="10" t="inlineStr">
        <is>
          <t>⚠ Manual erforderlich</t>
        </is>
      </c>
      <c r="E4172" s="11" t="inlineStr"/>
      <c r="F4172" s="11" t="n">
        <v>0</v>
      </c>
      <c r="G4172" s="11">
        <f>E4172-F4172</f>
        <v/>
      </c>
      <c r="H4172" s="11" t="n">
        <v>0</v>
      </c>
      <c r="I4172" s="11" t="n">
        <v>0</v>
      </c>
      <c r="J4172" s="11" t="n">
        <v>0</v>
      </c>
      <c r="K4172" s="4" t="inlineStr">
        <is>
          <t>Stundensätze eingeben</t>
        </is>
      </c>
    </row>
    <row r="4173">
      <c r="A4173" s="4" t="inlineStr">
        <is>
          <t>7117.01 Juwi-WEA-Polch-II-Tektur</t>
        </is>
      </c>
      <c r="B4173" s="4" t="inlineStr">
        <is>
          <t>● (aN) Tektur BSK Polch II (Abruf RV 2024)</t>
        </is>
      </c>
      <c r="C4173" s="4" t="inlineStr">
        <is>
          <t>Nachweis</t>
        </is>
      </c>
      <c r="D4173" s="10" t="inlineStr">
        <is>
          <t>⚠ Manual erforderlich</t>
        </is>
      </c>
      <c r="E4173" s="11" t="inlineStr"/>
      <c r="F4173" s="11" t="n">
        <v>0</v>
      </c>
      <c r="G4173" s="11">
        <f>E4173-F4173</f>
        <v/>
      </c>
      <c r="H4173" s="11" t="n">
        <v/>
      </c>
      <c r="I4173" s="11" t="n">
        <v/>
      </c>
      <c r="J4173" s="11" t="n">
        <v/>
      </c>
      <c r="K4173" s="4" t="inlineStr">
        <is>
          <t>Stundensätze eingeben</t>
        </is>
      </c>
    </row>
    <row r="4174">
      <c r="A4174" s="4" t="inlineStr">
        <is>
          <t>7118 Bau+Service-BSK-FFW-Mitte-Marxstr24-Oberursel</t>
        </is>
      </c>
      <c r="B4174" s="4" t="inlineStr">
        <is>
          <t>● (aN) Pos. 3  BTB inkl. 1 Objektbegehung</t>
        </is>
      </c>
      <c r="C4174" s="4" t="inlineStr">
        <is>
          <t>Nachweis</t>
        </is>
      </c>
      <c r="D4174" s="10" t="inlineStr">
        <is>
          <t>⚠ Manual erforderlich</t>
        </is>
      </c>
      <c r="E4174" s="11" t="inlineStr"/>
      <c r="F4174" s="11" t="n">
        <v>0</v>
      </c>
      <c r="G4174" s="11">
        <f>E4174-F4174</f>
        <v/>
      </c>
      <c r="H4174" s="11" t="n">
        <v/>
      </c>
      <c r="I4174" s="11" t="n">
        <v/>
      </c>
      <c r="J4174" s="11" t="n">
        <v/>
      </c>
      <c r="K4174" s="4" t="inlineStr">
        <is>
          <t>Stundensätze eingeben</t>
        </is>
      </c>
    </row>
    <row r="4175">
      <c r="A4175" s="4" t="inlineStr">
        <is>
          <t>7119 Bau+Service-BSK-FFW-Bommersheim-KalbacherStr10-12-Oberursel</t>
        </is>
      </c>
      <c r="B4175" s="4" t="inlineStr">
        <is>
          <t>● (aN) Pos. 3  BTB inkl. 1 Objektbegehung</t>
        </is>
      </c>
      <c r="C4175" s="4" t="inlineStr">
        <is>
          <t>Nachweis</t>
        </is>
      </c>
      <c r="D4175" s="10" t="inlineStr">
        <is>
          <t>⚠ Manual erforderlich</t>
        </is>
      </c>
      <c r="E4175" s="11" t="inlineStr"/>
      <c r="F4175" s="11" t="n">
        <v>0</v>
      </c>
      <c r="G4175" s="11">
        <f>E4175-F4175</f>
        <v/>
      </c>
      <c r="H4175" s="11" t="n">
        <v/>
      </c>
      <c r="I4175" s="11" t="n">
        <v/>
      </c>
      <c r="J4175" s="11" t="n">
        <v/>
      </c>
      <c r="K4175" s="4" t="inlineStr">
        <is>
          <t>Stundensätze eingeben</t>
        </is>
      </c>
    </row>
    <row r="4176">
      <c r="A4176" s="4" t="inlineStr">
        <is>
          <t>7119 Bau+Service-BSK-FFW-Bommersheim-KalbacherStr10-12-Oberursel</t>
        </is>
      </c>
      <c r="B4176" s="4" t="inlineStr">
        <is>
          <t>● (p) Pos.1 BSK (45h SV / 25h CAD) 7.275€ / 8.400€</t>
        </is>
      </c>
      <c r="C4176" s="4" t="inlineStr">
        <is>
          <t>Pauschale</t>
        </is>
      </c>
      <c r="D4176" s="10" t="inlineStr">
        <is>
          <t>⚠ Manual erforderlich</t>
        </is>
      </c>
      <c r="E4176" s="11" t="inlineStr"/>
      <c r="F4176" s="11" t="n">
        <v>0</v>
      </c>
      <c r="G4176" s="11">
        <f>E4176-F4176</f>
        <v/>
      </c>
      <c r="H4176" s="11" t="n">
        <v>0</v>
      </c>
      <c r="I4176" s="11" t="n">
        <v>0</v>
      </c>
      <c r="J4176" s="11" t="n">
        <v>0</v>
      </c>
      <c r="K4176" s="4" t="inlineStr">
        <is>
          <t>Stundensätze eingeben</t>
        </is>
      </c>
    </row>
    <row r="4177">
      <c r="A4177" s="4" t="inlineStr">
        <is>
          <t>7120 Bau+Service-BSK-FFW-Oberstedten-NiederstedterStr12-Oberursel</t>
        </is>
      </c>
      <c r="B4177" s="4" t="inlineStr">
        <is>
          <t>● (aN) Pos. 3  BTB inkl. 1 Objektbegehung</t>
        </is>
      </c>
      <c r="C4177" s="4" t="inlineStr">
        <is>
          <t>Nachweis</t>
        </is>
      </c>
      <c r="D4177" s="10" t="inlineStr">
        <is>
          <t>⚠ Manual erforderlich</t>
        </is>
      </c>
      <c r="E4177" s="11" t="inlineStr"/>
      <c r="F4177" s="11" t="n">
        <v>0</v>
      </c>
      <c r="G4177" s="11">
        <f>E4177-F4177</f>
        <v/>
      </c>
      <c r="H4177" s="11" t="n">
        <v/>
      </c>
      <c r="I4177" s="11" t="n">
        <v/>
      </c>
      <c r="J4177" s="11" t="n">
        <v/>
      </c>
      <c r="K4177" s="4" t="inlineStr">
        <is>
          <t>Stundensätze eingeben</t>
        </is>
      </c>
    </row>
    <row r="4178">
      <c r="A4178" s="4" t="inlineStr">
        <is>
          <t>7120 Bau+Service-BSK-FFW-Oberstedten-NiederstedterStr12-Oberursel</t>
        </is>
      </c>
      <c r="B4178" s="4" t="inlineStr">
        <is>
          <t>● (p) Pos.1 Erstellung BSK</t>
        </is>
      </c>
      <c r="C4178" s="4" t="inlineStr">
        <is>
          <t>Pauschale</t>
        </is>
      </c>
      <c r="D4178" s="10" t="inlineStr">
        <is>
          <t>⚠ Manual erforderlich</t>
        </is>
      </c>
      <c r="E4178" s="11" t="inlineStr"/>
      <c r="F4178" s="11" t="n">
        <v>0</v>
      </c>
      <c r="G4178" s="11">
        <f>E4178-F4178</f>
        <v/>
      </c>
      <c r="H4178" s="11" t="n">
        <v>0</v>
      </c>
      <c r="I4178" s="11" t="n">
        <v>0</v>
      </c>
      <c r="J4178" s="11" t="n">
        <v>0</v>
      </c>
      <c r="K4178" s="4" t="inlineStr">
        <is>
          <t>Stundensätze eingeben</t>
        </is>
      </c>
    </row>
    <row r="4179">
      <c r="A4179" s="4" t="inlineStr">
        <is>
          <t>7121 Bau+Service-BSK-FFW-Stierstadt-Gartenstr5-Oberursel</t>
        </is>
      </c>
      <c r="B4179" s="4" t="inlineStr">
        <is>
          <t>● (aN) Pos. 3  BTB inkl. 1 Objektbegehung</t>
        </is>
      </c>
      <c r="C4179" s="4" t="inlineStr">
        <is>
          <t>Nachweis</t>
        </is>
      </c>
      <c r="D4179" s="10" t="inlineStr">
        <is>
          <t>⚠ Manual erforderlich</t>
        </is>
      </c>
      <c r="E4179" s="11" t="inlineStr"/>
      <c r="F4179" s="11" t="n">
        <v>0</v>
      </c>
      <c r="G4179" s="11">
        <f>E4179-F4179</f>
        <v/>
      </c>
      <c r="H4179" s="11" t="n">
        <v/>
      </c>
      <c r="I4179" s="11" t="n">
        <v/>
      </c>
      <c r="J4179" s="11" t="n">
        <v/>
      </c>
      <c r="K4179" s="4" t="inlineStr">
        <is>
          <t>Stundensätze eingeben</t>
        </is>
      </c>
    </row>
    <row r="4180">
      <c r="A4180" s="4" t="inlineStr">
        <is>
          <t>7121 Bau+Service-BSK-FFW-Stierstadt-Gartenstr5-Oberursel</t>
        </is>
      </c>
      <c r="B4180" s="4" t="inlineStr">
        <is>
          <t>● (p) Pos.1 Erstellung BSK</t>
        </is>
      </c>
      <c r="C4180" s="4" t="inlineStr">
        <is>
          <t>Pauschale</t>
        </is>
      </c>
      <c r="D4180" s="10" t="inlineStr">
        <is>
          <t>⚠ Manual erforderlich</t>
        </is>
      </c>
      <c r="E4180" s="11" t="inlineStr"/>
      <c r="F4180" s="11" t="n">
        <v>0</v>
      </c>
      <c r="G4180" s="11">
        <f>E4180-F4180</f>
        <v/>
      </c>
      <c r="H4180" s="11" t="n">
        <v>0</v>
      </c>
      <c r="I4180" s="11" t="n">
        <v>0</v>
      </c>
      <c r="J4180" s="11" t="n">
        <v>0</v>
      </c>
      <c r="K4180" s="4" t="inlineStr">
        <is>
          <t>Stundensätze eingeben</t>
        </is>
      </c>
    </row>
    <row r="4181">
      <c r="A4181" s="4" t="inlineStr">
        <is>
          <t>7123 Ehret+Klein-REWE-Ridlerstr37-München</t>
        </is>
      </c>
      <c r="B4181" s="4" t="inlineStr">
        <is>
          <t>● (p) Pos. 1 Fortschreibung des Brandschutznachweises</t>
        </is>
      </c>
      <c r="C4181" s="4" t="inlineStr">
        <is>
          <t>Pauschale</t>
        </is>
      </c>
      <c r="D4181" s="10" t="inlineStr">
        <is>
          <t>⚠ Manual erforderlich</t>
        </is>
      </c>
      <c r="E4181" s="11" t="inlineStr"/>
      <c r="F4181" s="11" t="n">
        <v>0</v>
      </c>
      <c r="G4181" s="11">
        <f>E4181-F4181</f>
        <v/>
      </c>
      <c r="H4181" s="11" t="n">
        <v>0</v>
      </c>
      <c r="I4181" s="11" t="n">
        <v>0</v>
      </c>
      <c r="J4181" s="11" t="n">
        <v>0</v>
      </c>
      <c r="K4181" s="4" t="inlineStr">
        <is>
          <t>Stundensätze eingeben</t>
        </is>
      </c>
    </row>
    <row r="4182">
      <c r="A4182" s="4" t="inlineStr">
        <is>
          <t>7123.02 BTB-FRP-REWE-Ridlerstr37-39-München</t>
        </is>
      </c>
      <c r="B4182" s="4" t="inlineStr">
        <is>
          <t>● (aN) Pos 1. Brandschutztechnische Beratungsleistung im Zuge der Ausführungsplanung</t>
        </is>
      </c>
      <c r="C4182" s="4" t="inlineStr">
        <is>
          <t>Nachweis</t>
        </is>
      </c>
      <c r="D4182" s="10" t="inlineStr">
        <is>
          <t>⚠ Manual erforderlich</t>
        </is>
      </c>
      <c r="E4182" s="11" t="inlineStr"/>
      <c r="F4182" s="11" t="n">
        <v>0</v>
      </c>
      <c r="G4182" s="11">
        <f>E4182-F4182</f>
        <v/>
      </c>
      <c r="H4182" s="11" t="n">
        <v/>
      </c>
      <c r="I4182" s="11" t="n">
        <v/>
      </c>
      <c r="J4182" s="11" t="n">
        <v/>
      </c>
      <c r="K4182" s="4" t="inlineStr">
        <is>
          <t>Stundensätze eingeben</t>
        </is>
      </c>
    </row>
    <row r="4183">
      <c r="A4183" s="4" t="inlineStr">
        <is>
          <t>7123.02 BTB-FRP-REWE-Ridlerstr37-39-München</t>
        </is>
      </c>
      <c r="B4183" s="4" t="inlineStr">
        <is>
          <t>● (aN) Pos 9. Flucht- und Rettungspläne</t>
        </is>
      </c>
      <c r="C4183" s="4" t="inlineStr">
        <is>
          <t>Nachweis</t>
        </is>
      </c>
      <c r="D4183" s="10" t="inlineStr">
        <is>
          <t>⚠ Manual erforderlich</t>
        </is>
      </c>
      <c r="E4183" s="11" t="inlineStr"/>
      <c r="F4183" s="11" t="n">
        <v>0</v>
      </c>
      <c r="G4183" s="11">
        <f>E4183-F4183</f>
        <v/>
      </c>
      <c r="H4183" s="11" t="n">
        <v/>
      </c>
      <c r="I4183" s="11" t="n">
        <v/>
      </c>
      <c r="J4183" s="11" t="n">
        <v/>
      </c>
      <c r="K4183" s="4" t="inlineStr">
        <is>
          <t>Stundensätze eingeben</t>
        </is>
      </c>
    </row>
    <row r="4184">
      <c r="A4184" s="4" t="inlineStr">
        <is>
          <t>7123.03 BSN-Ridlerstr35-37-München</t>
        </is>
      </c>
      <c r="B4184" s="4" t="inlineStr">
        <is>
          <t>● (aN) Pos. 1 BTB inkl. BSN (SV)</t>
        </is>
      </c>
      <c r="C4184" s="4" t="inlineStr">
        <is>
          <t>Nachweis</t>
        </is>
      </c>
      <c r="D4184" s="10" t="inlineStr">
        <is>
          <t>⚠ Manual erforderlich</t>
        </is>
      </c>
      <c r="E4184" s="11" t="inlineStr"/>
      <c r="F4184" s="11" t="n">
        <v>0</v>
      </c>
      <c r="G4184" s="11">
        <f>E4184-F4184</f>
        <v/>
      </c>
      <c r="H4184" s="11" t="n">
        <v/>
      </c>
      <c r="I4184" s="11" t="n">
        <v/>
      </c>
      <c r="J4184" s="11" t="n">
        <v/>
      </c>
      <c r="K4184" s="4" t="inlineStr">
        <is>
          <t>Stundensätze eingeben</t>
        </is>
      </c>
    </row>
    <row r="4185">
      <c r="A4185" s="4" t="inlineStr">
        <is>
          <t>7124 BSK-Hanon-Georg-Schaeffler-Str3-Bad Homburg</t>
        </is>
      </c>
      <c r="B4185" s="4" t="inlineStr">
        <is>
          <t>● (p) Pos.1 Erstellung BSK Errichtung Photovoltaikanlage auf Dachfläche</t>
        </is>
      </c>
      <c r="C4185" s="4" t="inlineStr">
        <is>
          <t>Pauschale</t>
        </is>
      </c>
      <c r="D4185" s="10" t="inlineStr">
        <is>
          <t>⚠ Manual erforderlich</t>
        </is>
      </c>
      <c r="E4185" s="11" t="inlineStr"/>
      <c r="F4185" s="11" t="n">
        <v>0</v>
      </c>
      <c r="G4185" s="11">
        <f>E4185-F4185</f>
        <v/>
      </c>
      <c r="H4185" s="11" t="n">
        <v>0</v>
      </c>
      <c r="I4185" s="11" t="n">
        <v>0</v>
      </c>
      <c r="J4185" s="11" t="n">
        <v>0</v>
      </c>
      <c r="K4185" s="4" t="inlineStr">
        <is>
          <t>Stundensätze eingeben</t>
        </is>
      </c>
    </row>
    <row r="4186">
      <c r="A4186" s="4" t="inlineStr">
        <is>
          <t>7124 BSK-Hanon-Georg-Schaeffler-Str3-Bad Homburg</t>
        </is>
      </c>
      <c r="B4186" s="4" t="inlineStr">
        <is>
          <t>● (a.N.) Pos.2 Baubegl. Brandschutzberatung +Qualitätsüberwachung</t>
        </is>
      </c>
      <c r="C4186" s="4" t="inlineStr">
        <is>
          <t>Nachweis</t>
        </is>
      </c>
      <c r="D4186" s="10" t="inlineStr">
        <is>
          <t>⚠ Manual erforderlich</t>
        </is>
      </c>
      <c r="E4186" s="11" t="inlineStr"/>
      <c r="F4186" s="11" t="n">
        <v>0</v>
      </c>
      <c r="G4186" s="11">
        <f>E4186-F4186</f>
        <v/>
      </c>
      <c r="H4186" s="11" t="n">
        <v/>
      </c>
      <c r="I4186" s="11" t="n">
        <v/>
      </c>
      <c r="J4186" s="11" t="n">
        <v/>
      </c>
      <c r="K4186" s="4" t="inlineStr">
        <is>
          <t>Stundensätze eingeben</t>
        </is>
      </c>
    </row>
    <row r="4187">
      <c r="A4187" s="4" t="inlineStr">
        <is>
          <t>7125 Renner-NeustadterStr95-Mutterstadt (Fortsetzung aus #2505)</t>
        </is>
      </c>
      <c r="B4187" s="4" t="inlineStr">
        <is>
          <t>● 0001-Sonstiges</t>
        </is>
      </c>
      <c r="C4187" s="9" t="inlineStr">
        <is>
          <t>Unbekannt</t>
        </is>
      </c>
      <c r="D4187" s="10" t="inlineStr">
        <is>
          <t>⚠ Manual erforderlich</t>
        </is>
      </c>
      <c r="E4187" s="11" t="inlineStr"/>
      <c r="F4187" s="11" t="n">
        <v>0</v>
      </c>
      <c r="G4187" s="11">
        <f>E4187-F4187</f>
        <v/>
      </c>
      <c r="H4187" s="11" t="n">
        <v/>
      </c>
      <c r="I4187" s="11" t="n">
        <v/>
      </c>
      <c r="J4187" s="11" t="n">
        <v/>
      </c>
      <c r="K4187" s="4" t="inlineStr">
        <is>
          <t>Abrechnungsart wählen; Stundensätze eingeben</t>
        </is>
      </c>
    </row>
    <row r="4188">
      <c r="A4188" s="4" t="inlineStr">
        <is>
          <t>7125 Renner-NeustadterStr95-Mutterstadt (Fortsetzung aus #2505)</t>
        </is>
      </c>
      <c r="B4188" s="4" t="inlineStr">
        <is>
          <t>● 1000-Grundlagenermittlung</t>
        </is>
      </c>
      <c r="C4188" s="9" t="inlineStr">
        <is>
          <t>Unbekannt</t>
        </is>
      </c>
      <c r="D4188" s="10" t="inlineStr">
        <is>
          <t>⚠ Manual erforderlich</t>
        </is>
      </c>
      <c r="E4188" s="11" t="inlineStr"/>
      <c r="F4188" s="11" t="n">
        <v>0</v>
      </c>
      <c r="G4188" s="11">
        <f>E4188-F4188</f>
        <v/>
      </c>
      <c r="H4188" s="11" t="n">
        <v/>
      </c>
      <c r="I4188" s="11" t="n">
        <v/>
      </c>
      <c r="J4188" s="11" t="n">
        <v/>
      </c>
      <c r="K4188" s="4" t="inlineStr">
        <is>
          <t>Abrechnungsart wählen; Stundensätze eingeben</t>
        </is>
      </c>
    </row>
    <row r="4189">
      <c r="A4189" s="4" t="inlineStr">
        <is>
          <t>7125 Renner-NeustadterStr95-Mutterstadt (Fortsetzung aus #2505)</t>
        </is>
      </c>
      <c r="B4189" s="4" t="inlineStr">
        <is>
          <t>● 2000-Vorplanung</t>
        </is>
      </c>
      <c r="C4189" s="9" t="inlineStr">
        <is>
          <t>Unbekannt</t>
        </is>
      </c>
      <c r="D4189" s="10" t="inlineStr">
        <is>
          <t>⚠ Manual erforderlich</t>
        </is>
      </c>
      <c r="E4189" s="11" t="inlineStr"/>
      <c r="F4189" s="11" t="n">
        <v>0</v>
      </c>
      <c r="G4189" s="11">
        <f>E4189-F4189</f>
        <v/>
      </c>
      <c r="H4189" s="11" t="n">
        <v/>
      </c>
      <c r="I4189" s="11" t="n">
        <v/>
      </c>
      <c r="J4189" s="11" t="n">
        <v/>
      </c>
      <c r="K4189" s="4" t="inlineStr">
        <is>
          <t>Abrechnungsart wählen; Stundensätze eingeben</t>
        </is>
      </c>
    </row>
    <row r="4190">
      <c r="A4190" s="4" t="inlineStr">
        <is>
          <t>7125 Renner-NeustadterStr95-Mutterstadt (Fortsetzung aus #2505)</t>
        </is>
      </c>
      <c r="B4190" s="4" t="inlineStr">
        <is>
          <t>● 3000-Entwurfsplanung</t>
        </is>
      </c>
      <c r="C4190" s="9" t="inlineStr">
        <is>
          <t>Unbekannt</t>
        </is>
      </c>
      <c r="D4190" s="10" t="inlineStr">
        <is>
          <t>⚠ Manual erforderlich</t>
        </is>
      </c>
      <c r="E4190" s="11" t="inlineStr"/>
      <c r="F4190" s="11" t="n">
        <v>0</v>
      </c>
      <c r="G4190" s="11">
        <f>E4190-F4190</f>
        <v/>
      </c>
      <c r="H4190" s="11" t="n">
        <v/>
      </c>
      <c r="I4190" s="11" t="n">
        <v/>
      </c>
      <c r="J4190" s="11" t="n">
        <v/>
      </c>
      <c r="K4190" s="4" t="inlineStr">
        <is>
          <t>Abrechnungsart wählen; Stundensätze eingeben</t>
        </is>
      </c>
    </row>
    <row r="4191">
      <c r="A4191" s="4" t="inlineStr">
        <is>
          <t>7125 Renner-NeustadterStr95-Mutterstadt (Fortsetzung aus #2505)</t>
        </is>
      </c>
      <c r="B4191" s="4" t="inlineStr">
        <is>
          <t>● 4000-Genehmigungsplanung</t>
        </is>
      </c>
      <c r="C4191" s="9" t="inlineStr">
        <is>
          <t>Unbekannt</t>
        </is>
      </c>
      <c r="D4191" s="10" t="inlineStr">
        <is>
          <t>⚠ Manual erforderlich</t>
        </is>
      </c>
      <c r="E4191" s="11" t="inlineStr"/>
      <c r="F4191" s="11" t="n">
        <v>0</v>
      </c>
      <c r="G4191" s="11">
        <f>E4191-F4191</f>
        <v/>
      </c>
      <c r="H4191" s="11" t="n">
        <v/>
      </c>
      <c r="I4191" s="11" t="n">
        <v/>
      </c>
      <c r="J4191" s="11" t="n">
        <v/>
      </c>
      <c r="K4191" s="4" t="inlineStr">
        <is>
          <t>Abrechnungsart wählen; Stundensätze eingeben</t>
        </is>
      </c>
    </row>
    <row r="4192">
      <c r="A4192" s="4" t="inlineStr">
        <is>
          <t>7125 Renner-NeustadterStr95-Mutterstadt (Fortsetzung aus #2505)</t>
        </is>
      </c>
      <c r="B4192" s="4" t="inlineStr">
        <is>
          <t>● 5000-Ausführungsplanung</t>
        </is>
      </c>
      <c r="C4192" s="9" t="inlineStr">
        <is>
          <t>Unbekannt</t>
        </is>
      </c>
      <c r="D4192" s="10" t="inlineStr">
        <is>
          <t>⚠ Manual erforderlich</t>
        </is>
      </c>
      <c r="E4192" s="11" t="inlineStr"/>
      <c r="F4192" s="11" t="n">
        <v>0</v>
      </c>
      <c r="G4192" s="11">
        <f>E4192-F4192</f>
        <v/>
      </c>
      <c r="H4192" s="11" t="n">
        <v/>
      </c>
      <c r="I4192" s="11" t="n">
        <v/>
      </c>
      <c r="J4192" s="11" t="n">
        <v/>
      </c>
      <c r="K4192" s="4" t="inlineStr">
        <is>
          <t>Abrechnungsart wählen; Stundensätze eingeben</t>
        </is>
      </c>
    </row>
    <row r="4193">
      <c r="A4193" s="4" t="inlineStr">
        <is>
          <t>7125 Renner-NeustadterStr95-Mutterstadt (Fortsetzung aus #2505)</t>
        </is>
      </c>
      <c r="B4193" s="4" t="inlineStr">
        <is>
          <t>● 6000-Vorbereiten der Vergabe</t>
        </is>
      </c>
      <c r="C4193" s="9" t="inlineStr">
        <is>
          <t>Unbekannt</t>
        </is>
      </c>
      <c r="D4193" s="10" t="inlineStr">
        <is>
          <t>⚠ Manual erforderlich</t>
        </is>
      </c>
      <c r="E4193" s="11" t="inlineStr"/>
      <c r="F4193" s="11" t="n">
        <v>0</v>
      </c>
      <c r="G4193" s="11">
        <f>E4193-F4193</f>
        <v/>
      </c>
      <c r="H4193" s="11" t="n">
        <v/>
      </c>
      <c r="I4193" s="11" t="n">
        <v/>
      </c>
      <c r="J4193" s="11" t="n">
        <v/>
      </c>
      <c r="K4193" s="4" t="inlineStr">
        <is>
          <t>Abrechnungsart wählen; Stundensätze eingeben</t>
        </is>
      </c>
    </row>
    <row r="4194">
      <c r="A4194" s="4" t="inlineStr">
        <is>
          <t>7125 Renner-NeustadterStr95-Mutterstadt (Fortsetzung aus #2505)</t>
        </is>
      </c>
      <c r="B4194" s="4" t="inlineStr">
        <is>
          <t>● 7000-Mitwirkung bei der Vergabe</t>
        </is>
      </c>
      <c r="C4194" s="9" t="inlineStr">
        <is>
          <t>Unbekannt</t>
        </is>
      </c>
      <c r="D4194" s="10" t="inlineStr">
        <is>
          <t>⚠ Manual erforderlich</t>
        </is>
      </c>
      <c r="E4194" s="11" t="inlineStr"/>
      <c r="F4194" s="11" t="n">
        <v>0</v>
      </c>
      <c r="G4194" s="11">
        <f>E4194-F4194</f>
        <v/>
      </c>
      <c r="H4194" s="11" t="n">
        <v/>
      </c>
      <c r="I4194" s="11" t="n">
        <v/>
      </c>
      <c r="J4194" s="11" t="n">
        <v/>
      </c>
      <c r="K4194" s="4" t="inlineStr">
        <is>
          <t>Abrechnungsart wählen; Stundensätze eingeben</t>
        </is>
      </c>
    </row>
    <row r="4195">
      <c r="A4195" s="4" t="inlineStr">
        <is>
          <t>7125 Renner-NeustadterStr95-Mutterstadt (Fortsetzung aus #2505)</t>
        </is>
      </c>
      <c r="B4195" s="4" t="inlineStr">
        <is>
          <t>● 8000-Objektüberwachung</t>
        </is>
      </c>
      <c r="C4195" s="9" t="inlineStr">
        <is>
          <t>Unbekannt</t>
        </is>
      </c>
      <c r="D4195" s="10" t="inlineStr">
        <is>
          <t>⚠ Manual erforderlich</t>
        </is>
      </c>
      <c r="E4195" s="11" t="inlineStr"/>
      <c r="F4195" s="11" t="n">
        <v>0</v>
      </c>
      <c r="G4195" s="11">
        <f>E4195-F4195</f>
        <v/>
      </c>
      <c r="H4195" s="11" t="n">
        <v/>
      </c>
      <c r="I4195" s="11" t="n">
        <v/>
      </c>
      <c r="J4195" s="11" t="n">
        <v/>
      </c>
      <c r="K4195" s="4" t="inlineStr">
        <is>
          <t>Abrechnungsart wählen; Stundensätze eingeben</t>
        </is>
      </c>
    </row>
    <row r="4196">
      <c r="A4196" s="4" t="inlineStr">
        <is>
          <t>7125 Renner-NeustadterStr95-Mutterstadt (Fortsetzung aus #2505)</t>
        </is>
      </c>
      <c r="B4196" s="4" t="inlineStr">
        <is>
          <t>● 9000-Objektbetreuung und Dokumentation</t>
        </is>
      </c>
      <c r="C4196" s="9" t="inlineStr">
        <is>
          <t>Unbekannt</t>
        </is>
      </c>
      <c r="D4196" s="10" t="inlineStr">
        <is>
          <t>⚠ Manual erforderlich</t>
        </is>
      </c>
      <c r="E4196" s="11" t="inlineStr"/>
      <c r="F4196" s="11" t="n">
        <v>0</v>
      </c>
      <c r="G4196" s="11">
        <f>E4196-F4196</f>
        <v/>
      </c>
      <c r="H4196" s="11" t="n">
        <v/>
      </c>
      <c r="I4196" s="11" t="n">
        <v/>
      </c>
      <c r="J4196" s="11" t="n">
        <v/>
      </c>
      <c r="K4196" s="4" t="inlineStr">
        <is>
          <t>Abrechnungsart wählen; Stundensätze eingeben</t>
        </is>
      </c>
    </row>
    <row r="4197">
      <c r="A4197" s="4" t="inlineStr">
        <is>
          <t>7126 Renner-Gemüsebau-BSB-NeustadterStr95-Mutterstadt</t>
        </is>
      </c>
      <c r="B4197" s="4" t="inlineStr">
        <is>
          <t>● (aN) BSB 2024 (ab 1.1.24, unbefr. Verlängerung)</t>
        </is>
      </c>
      <c r="C4197" s="4" t="inlineStr">
        <is>
          <t>Nachweis</t>
        </is>
      </c>
      <c r="D4197" s="10" t="inlineStr">
        <is>
          <t>⚠ Manual erforderlich</t>
        </is>
      </c>
      <c r="E4197" s="11" t="inlineStr"/>
      <c r="F4197" s="11" t="n">
        <v>0</v>
      </c>
      <c r="G4197" s="11">
        <f>E4197-F4197</f>
        <v/>
      </c>
      <c r="H4197" s="11" t="n">
        <v/>
      </c>
      <c r="I4197" s="11" t="n">
        <v/>
      </c>
      <c r="J4197" s="11" t="n">
        <v/>
      </c>
      <c r="K4197" s="4" t="inlineStr">
        <is>
          <t>Stundensätze eingeben</t>
        </is>
      </c>
    </row>
    <row r="4198">
      <c r="A4198" s="4" t="inlineStr">
        <is>
          <t>7126.02 Renner-Gemüsebau-BSB-NeustadterStr95-Mutterstadt</t>
        </is>
      </c>
      <c r="B4198" s="4" t="inlineStr">
        <is>
          <t>● (aN) BSB 2025</t>
        </is>
      </c>
      <c r="C4198" s="4" t="inlineStr">
        <is>
          <t>Nachweis</t>
        </is>
      </c>
      <c r="D4198" s="10" t="inlineStr">
        <is>
          <t>⚠ Manual erforderlich</t>
        </is>
      </c>
      <c r="E4198" s="11" t="inlineStr"/>
      <c r="F4198" s="11" t="n">
        <v>0</v>
      </c>
      <c r="G4198" s="11">
        <f>E4198-F4198</f>
        <v/>
      </c>
      <c r="H4198" s="11" t="n">
        <v/>
      </c>
      <c r="I4198" s="11" t="n">
        <v/>
      </c>
      <c r="J4198" s="11" t="n">
        <v/>
      </c>
      <c r="K4198" s="4" t="inlineStr">
        <is>
          <t>Stundensätze eingeben</t>
        </is>
      </c>
    </row>
    <row r="4199">
      <c r="A4199" s="4" t="inlineStr">
        <is>
          <t>7127 ARGE-Schönhofviertel-Baufeld G-ZechBau-Morsestr. 25-FFM</t>
        </is>
      </c>
      <c r="B4199" s="4" t="inlineStr">
        <is>
          <t>● (p) Pos. 1 LPH 5 Ausführungsplanung</t>
        </is>
      </c>
      <c r="C4199" s="4" t="inlineStr">
        <is>
          <t>Pauschale</t>
        </is>
      </c>
      <c r="D4199" s="10" t="inlineStr">
        <is>
          <t>⚠ Manual erforderlich</t>
        </is>
      </c>
      <c r="E4199" s="11" t="inlineStr"/>
      <c r="F4199" s="11" t="n">
        <v>0</v>
      </c>
      <c r="G4199" s="11">
        <f>E4199-F4199</f>
        <v/>
      </c>
      <c r="H4199" s="11" t="n">
        <v>0</v>
      </c>
      <c r="I4199" s="11" t="n">
        <v>0</v>
      </c>
      <c r="J4199" s="11" t="n">
        <v>0</v>
      </c>
      <c r="K4199" s="4" t="inlineStr">
        <is>
          <t>Stundensätze eingeben</t>
        </is>
      </c>
    </row>
    <row r="4200">
      <c r="A4200" s="4" t="inlineStr">
        <is>
          <t>7127 ARGE-Schönhofviertel-Baufeld G-ZechBau-Morsestr. 25-FFM</t>
        </is>
      </c>
      <c r="B4200" s="4" t="inlineStr">
        <is>
          <t>● (p) Pos. 4 LPH 8 Objektüberwachung</t>
        </is>
      </c>
      <c r="C4200" s="4" t="inlineStr">
        <is>
          <t>Pauschale</t>
        </is>
      </c>
      <c r="D4200" s="10" t="inlineStr">
        <is>
          <t>⚠ Manual erforderlich</t>
        </is>
      </c>
      <c r="E4200" s="11" t="inlineStr"/>
      <c r="F4200" s="11" t="n">
        <v>0</v>
      </c>
      <c r="G4200" s="11">
        <f>E4200-F4200</f>
        <v/>
      </c>
      <c r="H4200" s="11" t="n">
        <v>0</v>
      </c>
      <c r="I4200" s="11" t="n">
        <v>0</v>
      </c>
      <c r="J4200" s="11" t="n">
        <v>0</v>
      </c>
      <c r="K4200" s="4" t="inlineStr">
        <is>
          <t>Stundensätze eingeben</t>
        </is>
      </c>
    </row>
    <row r="4201">
      <c r="A4201" s="4" t="inlineStr">
        <is>
          <t>7127 ARGE-Schönhofviertel-Baufeld G-ZechBau-Morsestr. 25-FFM</t>
        </is>
      </c>
      <c r="B4201" s="4" t="inlineStr">
        <is>
          <t>● (aN) Pos.1.1  NAT LP5 zusätzl. Ingenieurstd. i.R.d. LP5</t>
        </is>
      </c>
      <c r="C4201" s="4" t="inlineStr">
        <is>
          <t>Nachweis</t>
        </is>
      </c>
      <c r="D4201" s="10" t="inlineStr">
        <is>
          <t>⚠ Manual erforderlich</t>
        </is>
      </c>
      <c r="E4201" s="11" t="inlineStr"/>
      <c r="F4201" s="11" t="n">
        <v>0</v>
      </c>
      <c r="G4201" s="11">
        <f>E4201-F4201</f>
        <v/>
      </c>
      <c r="H4201" s="11" t="n">
        <v/>
      </c>
      <c r="I4201" s="11" t="n">
        <v/>
      </c>
      <c r="J4201" s="11" t="n">
        <v/>
      </c>
      <c r="K4201" s="4" t="inlineStr">
        <is>
          <t>Stundensätze eingeben</t>
        </is>
      </c>
    </row>
    <row r="4202">
      <c r="A4202" s="4" t="inlineStr">
        <is>
          <t>7128 BSK-Segmüller-Neumarkt-1-Oberhausen</t>
        </is>
      </c>
      <c r="B4202" s="4" t="inlineStr">
        <is>
          <t>● (p) Pos.1 BSK Verkaufsstätte für Bestandstandsgebäude</t>
        </is>
      </c>
      <c r="C4202" s="4" t="inlineStr">
        <is>
          <t>Pauschale</t>
        </is>
      </c>
      <c r="D4202" s="10" t="inlineStr">
        <is>
          <t>⚠ Manual erforderlich</t>
        </is>
      </c>
      <c r="E4202" s="11" t="inlineStr"/>
      <c r="F4202" s="11" t="n">
        <v>0</v>
      </c>
      <c r="G4202" s="11">
        <f>E4202-F4202</f>
        <v/>
      </c>
      <c r="H4202" s="11" t="n">
        <v>0</v>
      </c>
      <c r="I4202" s="11" t="n">
        <v>0</v>
      </c>
      <c r="J4202" s="11" t="n">
        <v>0</v>
      </c>
      <c r="K4202" s="4" t="inlineStr">
        <is>
          <t>Stundensätze eingeben</t>
        </is>
      </c>
    </row>
    <row r="4203">
      <c r="A4203" s="4" t="inlineStr">
        <is>
          <t>7128 BSK-Segmüller-Neumarkt-1-Oberhausen</t>
        </is>
      </c>
      <c r="B4203" s="4" t="inlineStr">
        <is>
          <t>● (p) Pos.2 BSK TG</t>
        </is>
      </c>
      <c r="C4203" s="4" t="inlineStr">
        <is>
          <t>Pauschale</t>
        </is>
      </c>
      <c r="D4203" s="10" t="inlineStr">
        <is>
          <t>⚠ Manual erforderlich</t>
        </is>
      </c>
      <c r="E4203" s="11" t="inlineStr"/>
      <c r="F4203" s="11" t="n">
        <v>0</v>
      </c>
      <c r="G4203" s="11">
        <f>E4203-F4203</f>
        <v/>
      </c>
      <c r="H4203" s="11" t="n">
        <v>0</v>
      </c>
      <c r="I4203" s="11" t="n">
        <v>0</v>
      </c>
      <c r="J4203" s="11" t="n">
        <v>0</v>
      </c>
      <c r="K4203" s="4" t="inlineStr">
        <is>
          <t>Stundensätze eingeben</t>
        </is>
      </c>
    </row>
    <row r="4204">
      <c r="A4204" s="4" t="inlineStr">
        <is>
          <t>7128 BSK-Segmüller-Neumarkt-1-Oberhausen</t>
        </is>
      </c>
      <c r="B4204" s="4" t="inlineStr">
        <is>
          <t>● (a.N.) Pos.3 Brandschutztechnische Beratungsleistung</t>
        </is>
      </c>
      <c r="C4204" s="4" t="inlineStr">
        <is>
          <t>Nachweis</t>
        </is>
      </c>
      <c r="D4204" s="10" t="inlineStr">
        <is>
          <t>⚠ Manual erforderlich</t>
        </is>
      </c>
      <c r="E4204" s="11" t="inlineStr"/>
      <c r="F4204" s="11" t="n">
        <v>0</v>
      </c>
      <c r="G4204" s="11">
        <f>E4204-F4204</f>
        <v/>
      </c>
      <c r="H4204" s="11" t="n">
        <v/>
      </c>
      <c r="I4204" s="11" t="n">
        <v/>
      </c>
      <c r="J4204" s="11" t="n">
        <v/>
      </c>
      <c r="K4204" s="4" t="inlineStr">
        <is>
          <t>Stundensätze eingeben</t>
        </is>
      </c>
    </row>
    <row r="4205">
      <c r="A4205" s="4" t="inlineStr">
        <is>
          <t>7128 BSK-Segmüller-Neumarkt-1-Oberhausen</t>
        </is>
      </c>
      <c r="B4205" s="4" t="inlineStr">
        <is>
          <t>● (p) Pos.4 FRP</t>
        </is>
      </c>
      <c r="C4205" s="4" t="inlineStr">
        <is>
          <t>Pauschale</t>
        </is>
      </c>
      <c r="D4205" s="10" t="inlineStr">
        <is>
          <t>⚠ Manual erforderlich</t>
        </is>
      </c>
      <c r="E4205" s="11" t="inlineStr"/>
      <c r="F4205" s="11" t="n">
        <v>0</v>
      </c>
      <c r="G4205" s="11">
        <f>E4205-F4205</f>
        <v/>
      </c>
      <c r="H4205" s="11" t="n">
        <v>0</v>
      </c>
      <c r="I4205" s="11" t="n">
        <v>0</v>
      </c>
      <c r="J4205" s="11" t="n">
        <v>0</v>
      </c>
      <c r="K4205" s="4" t="inlineStr">
        <is>
          <t>Stundensätze eingeben</t>
        </is>
      </c>
    </row>
    <row r="4206">
      <c r="A4206" s="4" t="inlineStr">
        <is>
          <t>7128 BSK-Segmüller-Neumarkt-1-Oberhausen</t>
        </is>
      </c>
      <c r="B4206" s="4" t="inlineStr">
        <is>
          <t>● (p) Pos.5  FWP</t>
        </is>
      </c>
      <c r="C4206" s="4" t="inlineStr">
        <is>
          <t>Pauschale</t>
        </is>
      </c>
      <c r="D4206" s="10" t="inlineStr">
        <is>
          <t>⚠ Manual erforderlich</t>
        </is>
      </c>
      <c r="E4206" s="11" t="inlineStr"/>
      <c r="F4206" s="11" t="n">
        <v>0</v>
      </c>
      <c r="G4206" s="11">
        <f>E4206-F4206</f>
        <v/>
      </c>
      <c r="H4206" s="11" t="n">
        <v>0</v>
      </c>
      <c r="I4206" s="11" t="n">
        <v>0</v>
      </c>
      <c r="J4206" s="11" t="n">
        <v>0</v>
      </c>
      <c r="K4206" s="4" t="inlineStr">
        <is>
          <t>Stundensätze eingeben</t>
        </is>
      </c>
    </row>
    <row r="4207">
      <c r="A4207" s="4" t="inlineStr">
        <is>
          <t>7128 BSK-Segmüller-Neumarkt-1-Oberhausen</t>
        </is>
      </c>
      <c r="B4207" s="4" t="inlineStr">
        <is>
          <t>● (p) Pos.6 Bestandsaufnahme  FWP+FRP</t>
        </is>
      </c>
      <c r="C4207" s="4" t="inlineStr">
        <is>
          <t>Pauschale</t>
        </is>
      </c>
      <c r="D4207" s="10" t="inlineStr">
        <is>
          <t>⚠ Manual erforderlich</t>
        </is>
      </c>
      <c r="E4207" s="11" t="inlineStr"/>
      <c r="F4207" s="11" t="n">
        <v>0</v>
      </c>
      <c r="G4207" s="11">
        <f>E4207-F4207</f>
        <v/>
      </c>
      <c r="H4207" s="11" t="n">
        <v>0</v>
      </c>
      <c r="I4207" s="11" t="n">
        <v>0</v>
      </c>
      <c r="J4207" s="11" t="n">
        <v>0</v>
      </c>
      <c r="K4207" s="4" t="inlineStr">
        <is>
          <t>Stundensätze eingeben</t>
        </is>
      </c>
    </row>
    <row r="4208">
      <c r="A4208" s="4" t="inlineStr">
        <is>
          <t>7129 BSK-Grundschule-Schöne-Aussicht-17-Kronberg</t>
        </is>
      </c>
      <c r="B4208" s="4" t="inlineStr">
        <is>
          <t>● (p) Pos.1 BSK</t>
        </is>
      </c>
      <c r="C4208" s="4" t="inlineStr">
        <is>
          <t>Pauschale</t>
        </is>
      </c>
      <c r="D4208" s="10" t="inlineStr">
        <is>
          <t>⚠ Manual erforderlich</t>
        </is>
      </c>
      <c r="E4208" s="11" t="inlineStr"/>
      <c r="F4208" s="11" t="n">
        <v>0</v>
      </c>
      <c r="G4208" s="11">
        <f>E4208-F4208</f>
        <v/>
      </c>
      <c r="H4208" s="11" t="n">
        <v>0</v>
      </c>
      <c r="I4208" s="11" t="n">
        <v>0</v>
      </c>
      <c r="J4208" s="11" t="n">
        <v>0</v>
      </c>
      <c r="K4208" s="4" t="inlineStr">
        <is>
          <t>Stundensätze eingeben</t>
        </is>
      </c>
    </row>
    <row r="4209">
      <c r="A4209" s="4" t="inlineStr">
        <is>
          <t>7129 BSK-Grundschule-Schöne-Aussicht-17-Kronberg</t>
        </is>
      </c>
      <c r="B4209" s="4" t="inlineStr">
        <is>
          <t>● (a.N.) Pos.2 BAB über die Ausführung von Brandschutzmaßnahmen</t>
        </is>
      </c>
      <c r="C4209" s="4" t="inlineStr">
        <is>
          <t>Nachweis</t>
        </is>
      </c>
      <c r="D4209" s="10" t="inlineStr">
        <is>
          <t>⚠ Manual erforderlich</t>
        </is>
      </c>
      <c r="E4209" s="11" t="inlineStr"/>
      <c r="F4209" s="11" t="n">
        <v>0</v>
      </c>
      <c r="G4209" s="11">
        <f>E4209-F4209</f>
        <v/>
      </c>
      <c r="H4209" s="11" t="n">
        <v/>
      </c>
      <c r="I4209" s="11" t="n">
        <v/>
      </c>
      <c r="J4209" s="11" t="n">
        <v/>
      </c>
      <c r="K4209" s="4" t="inlineStr">
        <is>
          <t>Stundensätze eingeben</t>
        </is>
      </c>
    </row>
    <row r="4210">
      <c r="A4210" s="4" t="inlineStr">
        <is>
          <t>7130 AECOM-Projekte</t>
        </is>
      </c>
      <c r="B4210" s="4" t="inlineStr">
        <is>
          <t>● Fahrzeuginstandsetzungshalle-Baumholder</t>
        </is>
      </c>
      <c r="C4210" s="9" t="inlineStr">
        <is>
          <t>Unbekannt</t>
        </is>
      </c>
      <c r="D4210" s="10" t="inlineStr">
        <is>
          <t>⚠ Manual erforderlich</t>
        </is>
      </c>
      <c r="E4210" s="11" t="inlineStr"/>
      <c r="F4210" s="11" t="n">
        <v>0</v>
      </c>
      <c r="G4210" s="11">
        <f>E4210-F4210</f>
        <v/>
      </c>
      <c r="H4210" s="11" t="n">
        <v/>
      </c>
      <c r="I4210" s="11" t="n">
        <v/>
      </c>
      <c r="J4210" s="11" t="n">
        <v/>
      </c>
      <c r="K4210" s="4" t="inlineStr">
        <is>
          <t>Abrechnungsart wählen; Stundensätze eingeben</t>
        </is>
      </c>
    </row>
    <row r="4211">
      <c r="A4211" s="4" t="inlineStr">
        <is>
          <t>7130 AECOM-Projekte</t>
        </is>
      </c>
      <c r="B4211" s="4" t="inlineStr">
        <is>
          <t>● ETMN-project-of-NVY-P-8A-SIM-MOD-Nordholz</t>
        </is>
      </c>
      <c r="C4211" s="9" t="inlineStr">
        <is>
          <t>Unbekannt</t>
        </is>
      </c>
      <c r="D4211" s="10" t="inlineStr">
        <is>
          <t>⚠ Manual erforderlich</t>
        </is>
      </c>
      <c r="E4211" s="11" t="inlineStr"/>
      <c r="F4211" s="11" t="n">
        <v>0</v>
      </c>
      <c r="G4211" s="11">
        <f>E4211-F4211</f>
        <v/>
      </c>
      <c r="H4211" s="11" t="n">
        <v/>
      </c>
      <c r="I4211" s="11" t="n">
        <v/>
      </c>
      <c r="J4211" s="11" t="n">
        <v/>
      </c>
      <c r="K4211" s="4" t="inlineStr">
        <is>
          <t>Abrechnungsart wählen; Stundensätze eingeben</t>
        </is>
      </c>
    </row>
    <row r="4212">
      <c r="A4212" s="4" t="inlineStr">
        <is>
          <t>7130 AECOM-Projekte</t>
        </is>
      </c>
      <c r="B4212" s="4" t="inlineStr">
        <is>
          <t>● Post-Office-Ansbach &gt; STORNIERT</t>
        </is>
      </c>
      <c r="C4212" s="9" t="inlineStr">
        <is>
          <t>Unbekannt</t>
        </is>
      </c>
      <c r="D4212" s="10" t="inlineStr">
        <is>
          <t>⚠ Manual erforderlich</t>
        </is>
      </c>
      <c r="E4212" s="11" t="inlineStr"/>
      <c r="F4212" s="11" t="n">
        <v>0</v>
      </c>
      <c r="G4212" s="11">
        <f>E4212-F4212</f>
        <v/>
      </c>
      <c r="H4212" s="11" t="n">
        <v/>
      </c>
      <c r="I4212" s="11" t="n">
        <v/>
      </c>
      <c r="J4212" s="11" t="n">
        <v/>
      </c>
      <c r="K4212" s="4" t="inlineStr">
        <is>
          <t>Abrechnungsart wählen; Stundensätze eingeben</t>
        </is>
      </c>
    </row>
    <row r="4213">
      <c r="A4213" s="4" t="inlineStr">
        <is>
          <t>7130 AECOM-Projekte</t>
        </is>
      </c>
      <c r="B4213" s="4" t="inlineStr">
        <is>
          <t>● Wash-Station-Hohenfels</t>
        </is>
      </c>
      <c r="C4213" s="9" t="inlineStr">
        <is>
          <t>Unbekannt</t>
        </is>
      </c>
      <c r="D4213" s="10" t="inlineStr">
        <is>
          <t>⚠ Manual erforderlich</t>
        </is>
      </c>
      <c r="E4213" s="11" t="inlineStr"/>
      <c r="F4213" s="11" t="n">
        <v>0</v>
      </c>
      <c r="G4213" s="11">
        <f>E4213-F4213</f>
        <v/>
      </c>
      <c r="H4213" s="11" t="n">
        <v/>
      </c>
      <c r="I4213" s="11" t="n">
        <v/>
      </c>
      <c r="J4213" s="11" t="n">
        <v/>
      </c>
      <c r="K4213" s="4" t="inlineStr">
        <is>
          <t>Abrechnungsart wählen; Stundensätze eingeben</t>
        </is>
      </c>
    </row>
    <row r="4214">
      <c r="A4214" s="4" t="inlineStr">
        <is>
          <t>7130 AECOM-Projekte</t>
        </is>
      </c>
      <c r="B4214" s="4" t="inlineStr">
        <is>
          <t>● US-Liegenschaft Ansbach/Urlas</t>
        </is>
      </c>
      <c r="C4214" s="9" t="inlineStr">
        <is>
          <t>Unbekannt</t>
        </is>
      </c>
      <c r="D4214" s="10" t="inlineStr">
        <is>
          <t>⚠ Manual erforderlich</t>
        </is>
      </c>
      <c r="E4214" s="11" t="inlineStr"/>
      <c r="F4214" s="11" t="n">
        <v>0</v>
      </c>
      <c r="G4214" s="11">
        <f>E4214-F4214</f>
        <v/>
      </c>
      <c r="H4214" s="11" t="n">
        <v/>
      </c>
      <c r="I4214" s="11" t="n">
        <v/>
      </c>
      <c r="J4214" s="11" t="n">
        <v/>
      </c>
      <c r="K4214" s="4" t="inlineStr">
        <is>
          <t>Abrechnungsart wählen; Stundensätze eingeben</t>
        </is>
      </c>
    </row>
    <row r="4215">
      <c r="A4215" s="4" t="inlineStr">
        <is>
          <t>7130.02 ITR-UPH-95-Phase-Barrack-Baumholder</t>
        </is>
      </c>
      <c r="B4215" s="4" t="inlineStr">
        <is>
          <t>● • Prüfung 95% -Phase</t>
        </is>
      </c>
      <c r="C4215" s="9" t="inlineStr">
        <is>
          <t>Unbekannt</t>
        </is>
      </c>
      <c r="D4215" s="10" t="inlineStr">
        <is>
          <t>⚠ Manual erforderlich</t>
        </is>
      </c>
      <c r="E4215" s="11" t="inlineStr"/>
      <c r="F4215" s="11" t="n">
        <v>0</v>
      </c>
      <c r="G4215" s="11">
        <f>E4215-F4215</f>
        <v/>
      </c>
      <c r="H4215" s="11" t="n">
        <v/>
      </c>
      <c r="I4215" s="11" t="n">
        <v/>
      </c>
      <c r="J4215" s="11" t="n">
        <v/>
      </c>
      <c r="K4215" s="4" t="inlineStr">
        <is>
          <t>Abrechnungsart wählen; Stundensätze eingeben</t>
        </is>
      </c>
    </row>
    <row r="4216">
      <c r="A4216" s="4" t="inlineStr">
        <is>
          <t>7130.03 Brandschutzplanung-Pulaski-Barracks</t>
        </is>
      </c>
      <c r="B4216" s="4" t="inlineStr">
        <is>
          <t>● (aN) Teilnahme Besprechungen</t>
        </is>
      </c>
      <c r="C4216" s="4" t="inlineStr">
        <is>
          <t>Nachweis</t>
        </is>
      </c>
      <c r="D4216" s="10" t="inlineStr">
        <is>
          <t>⚠ Manual erforderlich</t>
        </is>
      </c>
      <c r="E4216" s="11" t="inlineStr"/>
      <c r="F4216" s="11" t="n">
        <v>0</v>
      </c>
      <c r="G4216" s="11">
        <f>E4216-F4216</f>
        <v/>
      </c>
      <c r="H4216" s="11" t="n">
        <v/>
      </c>
      <c r="I4216" s="11" t="n">
        <v/>
      </c>
      <c r="J4216" s="11" t="n">
        <v/>
      </c>
      <c r="K4216" s="4" t="inlineStr">
        <is>
          <t>Stundensätze eingeben</t>
        </is>
      </c>
    </row>
    <row r="4217">
      <c r="A4217" s="4" t="inlineStr">
        <is>
          <t>7130.03 Brandschutzplanung-Pulaski-Barracks</t>
        </is>
      </c>
      <c r="B4217" s="4" t="inlineStr">
        <is>
          <t>● (aN) Brandschutzplanung (BSK) inkl. Pläne</t>
        </is>
      </c>
      <c r="C4217" s="4" t="inlineStr">
        <is>
          <t>Nachweis</t>
        </is>
      </c>
      <c r="D4217" s="10" t="inlineStr">
        <is>
          <t>⚠ Manual erforderlich</t>
        </is>
      </c>
      <c r="E4217" s="11" t="inlineStr"/>
      <c r="F4217" s="11" t="n">
        <v>0</v>
      </c>
      <c r="G4217" s="11">
        <f>E4217-F4217</f>
        <v/>
      </c>
      <c r="H4217" s="11" t="n">
        <v/>
      </c>
      <c r="I4217" s="11" t="n">
        <v/>
      </c>
      <c r="J4217" s="11" t="n">
        <v/>
      </c>
      <c r="K4217" s="4" t="inlineStr">
        <is>
          <t>Stundensätze eingeben</t>
        </is>
      </c>
    </row>
    <row r="4218">
      <c r="A4218" s="4" t="inlineStr">
        <is>
          <t>7130.03 Brandschutzplanung-Pulaski-Barracks</t>
        </is>
      </c>
      <c r="B4218" s="4" t="inlineStr">
        <is>
          <t>● (aN) Teilnahme Charette (vor Ort)</t>
        </is>
      </c>
      <c r="C4218" s="4" t="inlineStr">
        <is>
          <t>Nachweis</t>
        </is>
      </c>
      <c r="D4218" s="10" t="inlineStr">
        <is>
          <t>⚠ Manual erforderlich</t>
        </is>
      </c>
      <c r="E4218" s="11" t="inlineStr"/>
      <c r="F4218" s="11" t="n">
        <v>0</v>
      </c>
      <c r="G4218" s="11">
        <f>E4218-F4218</f>
        <v/>
      </c>
      <c r="H4218" s="11" t="n">
        <v/>
      </c>
      <c r="I4218" s="11" t="n">
        <v/>
      </c>
      <c r="J4218" s="11" t="n">
        <v/>
      </c>
      <c r="K4218" s="4" t="inlineStr">
        <is>
          <t>Stundensätze eingeben</t>
        </is>
      </c>
    </row>
    <row r="4219">
      <c r="A4219" s="4" t="inlineStr">
        <is>
          <t>7130.03 Brandschutzplanung-Pulaski-Barracks</t>
        </is>
      </c>
      <c r="B4219" s="4" t="inlineStr">
        <is>
          <t>● (aN) Code Compliance Matrix (SV 15h)</t>
        </is>
      </c>
      <c r="C4219" s="4" t="inlineStr">
        <is>
          <t>Nachweis</t>
        </is>
      </c>
      <c r="D4219" s="10" t="inlineStr">
        <is>
          <t>⚠ Manual erforderlich</t>
        </is>
      </c>
      <c r="E4219" s="11" t="inlineStr"/>
      <c r="F4219" s="11" t="n">
        <v>0</v>
      </c>
      <c r="G4219" s="11">
        <f>E4219-F4219</f>
        <v/>
      </c>
      <c r="H4219" s="11" t="n">
        <v/>
      </c>
      <c r="I4219" s="11" t="n">
        <v/>
      </c>
      <c r="J4219" s="11" t="n">
        <v/>
      </c>
      <c r="K4219" s="4" t="inlineStr">
        <is>
          <t>Stundensätze eingeben</t>
        </is>
      </c>
    </row>
    <row r="4220">
      <c r="A4220" s="4" t="inlineStr">
        <is>
          <t>7130.03 Brandschutzplanung-Pulaski-Barracks</t>
        </is>
      </c>
      <c r="B4220" s="4" t="inlineStr">
        <is>
          <t>● (aN) Design Analysis (SV 10h)</t>
        </is>
      </c>
      <c r="C4220" s="4" t="inlineStr">
        <is>
          <t>Nachweis</t>
        </is>
      </c>
      <c r="D4220" s="10" t="inlineStr">
        <is>
          <t>⚠ Manual erforderlich</t>
        </is>
      </c>
      <c r="E4220" s="11" t="inlineStr"/>
      <c r="F4220" s="11" t="n">
        <v>0</v>
      </c>
      <c r="G4220" s="11">
        <f>E4220-F4220</f>
        <v/>
      </c>
      <c r="H4220" s="11" t="n">
        <v/>
      </c>
      <c r="I4220" s="11" t="n">
        <v/>
      </c>
      <c r="J4220" s="11" t="n">
        <v/>
      </c>
      <c r="K4220" s="4" t="inlineStr">
        <is>
          <t>Stundensätze eingeben</t>
        </is>
      </c>
    </row>
    <row r="4221">
      <c r="A4221" s="4" t="inlineStr">
        <is>
          <t>7130.03 Brandschutzplanung-Pulaski-Barracks</t>
        </is>
      </c>
      <c r="B4221" s="4" t="inlineStr">
        <is>
          <t>● (aN) 15% Design</t>
        </is>
      </c>
      <c r="C4221" s="4" t="inlineStr">
        <is>
          <t>Nachweis</t>
        </is>
      </c>
      <c r="D4221" s="10" t="inlineStr">
        <is>
          <t>⚠ Manual erforderlich</t>
        </is>
      </c>
      <c r="E4221" s="11" t="inlineStr"/>
      <c r="F4221" s="11" t="n">
        <v>0</v>
      </c>
      <c r="G4221" s="11">
        <f>E4221-F4221</f>
        <v/>
      </c>
      <c r="H4221" s="11" t="n">
        <v/>
      </c>
      <c r="I4221" s="11" t="n">
        <v/>
      </c>
      <c r="J4221" s="11" t="n">
        <v/>
      </c>
      <c r="K4221" s="4" t="inlineStr">
        <is>
          <t>Stundensätze eingeben</t>
        </is>
      </c>
    </row>
    <row r="4222">
      <c r="A4222" s="4" t="inlineStr">
        <is>
          <t>7130.03 Brandschutzplanung-Pulaski-Barracks</t>
        </is>
      </c>
      <c r="B4222" s="4" t="inlineStr">
        <is>
          <t>● (aN) 35 % Design</t>
        </is>
      </c>
      <c r="C4222" s="4" t="inlineStr">
        <is>
          <t>Nachweis</t>
        </is>
      </c>
      <c r="D4222" s="10" t="inlineStr">
        <is>
          <t>⚠ Manual erforderlich</t>
        </is>
      </c>
      <c r="E4222" s="11" t="inlineStr"/>
      <c r="F4222" s="11" t="n">
        <v>0</v>
      </c>
      <c r="G4222" s="11">
        <f>E4222-F4222</f>
        <v/>
      </c>
      <c r="H4222" s="11" t="n">
        <v/>
      </c>
      <c r="I4222" s="11" t="n">
        <v/>
      </c>
      <c r="J4222" s="11" t="n">
        <v/>
      </c>
      <c r="K4222" s="4" t="inlineStr">
        <is>
          <t>Stundensätze eingeben</t>
        </is>
      </c>
    </row>
    <row r="4223">
      <c r="A4223" s="4" t="inlineStr">
        <is>
          <t>7130.03 Brandschutzplanung-Pulaski-Barracks</t>
        </is>
      </c>
      <c r="B4223" s="4" t="inlineStr">
        <is>
          <t>● (aN) 65 % Abgabe</t>
        </is>
      </c>
      <c r="C4223" s="4" t="inlineStr">
        <is>
          <t>Nachweis</t>
        </is>
      </c>
      <c r="D4223" s="10" t="inlineStr">
        <is>
          <t>⚠ Manual erforderlich</t>
        </is>
      </c>
      <c r="E4223" s="11" t="inlineStr"/>
      <c r="F4223" s="11" t="n">
        <v>0</v>
      </c>
      <c r="G4223" s="11">
        <f>E4223-F4223</f>
        <v/>
      </c>
      <c r="H4223" s="11" t="n">
        <v/>
      </c>
      <c r="I4223" s="11" t="n">
        <v/>
      </c>
      <c r="J4223" s="11" t="n">
        <v/>
      </c>
      <c r="K4223" s="4" t="inlineStr">
        <is>
          <t>Stundensätze eingeben</t>
        </is>
      </c>
    </row>
    <row r="4224">
      <c r="A4224" s="4" t="inlineStr">
        <is>
          <t>7130.03 Brandschutzplanung-Pulaski-Barracks</t>
        </is>
      </c>
      <c r="B4224" s="4" t="inlineStr">
        <is>
          <t>● (aN) 95 % Design Abgabe</t>
        </is>
      </c>
      <c r="C4224" s="4" t="inlineStr">
        <is>
          <t>Nachweis</t>
        </is>
      </c>
      <c r="D4224" s="10" t="inlineStr">
        <is>
          <t>⚠ Manual erforderlich</t>
        </is>
      </c>
      <c r="E4224" s="11" t="inlineStr"/>
      <c r="F4224" s="11" t="n">
        <v>0</v>
      </c>
      <c r="G4224" s="11">
        <f>E4224-F4224</f>
        <v/>
      </c>
      <c r="H4224" s="11" t="n">
        <v/>
      </c>
      <c r="I4224" s="11" t="n">
        <v/>
      </c>
      <c r="J4224" s="11" t="n">
        <v/>
      </c>
      <c r="K4224" s="4" t="inlineStr">
        <is>
          <t>Stundensätze eingeben</t>
        </is>
      </c>
    </row>
    <row r="4225">
      <c r="A4225" s="4" t="inlineStr">
        <is>
          <t>7130.03 Brandschutzplanung-Pulaski-Barracks</t>
        </is>
      </c>
      <c r="B4225" s="4" t="inlineStr">
        <is>
          <t>● (aN) 100 % Design Abgabe</t>
        </is>
      </c>
      <c r="C4225" s="4" t="inlineStr">
        <is>
          <t>Nachweis</t>
        </is>
      </c>
      <c r="D4225" s="10" t="inlineStr">
        <is>
          <t>⚠ Manual erforderlich</t>
        </is>
      </c>
      <c r="E4225" s="11" t="inlineStr"/>
      <c r="F4225" s="11" t="n">
        <v>0</v>
      </c>
      <c r="G4225" s="11">
        <f>E4225-F4225</f>
        <v/>
      </c>
      <c r="H4225" s="11" t="n">
        <v/>
      </c>
      <c r="I4225" s="11" t="n">
        <v/>
      </c>
      <c r="J4225" s="11" t="n">
        <v/>
      </c>
      <c r="K4225" s="4" t="inlineStr">
        <is>
          <t>Stundensätze eingeben</t>
        </is>
      </c>
    </row>
    <row r="4226">
      <c r="A4226" s="4" t="inlineStr">
        <is>
          <t>7131 CZ-FLA-LAK-KVA1289-Lagerliftsystem-RudolfEberStr2-Oberkochen</t>
        </is>
      </c>
      <c r="B4226" s="4" t="inlineStr">
        <is>
          <t>● Pos. 1 Ausführungsplanung (ANG 24-05-02)</t>
        </is>
      </c>
      <c r="C4226" s="9" t="inlineStr">
        <is>
          <t>Unbekannt</t>
        </is>
      </c>
      <c r="D4226" s="10" t="inlineStr">
        <is>
          <t>⚠ Manual erforderlich</t>
        </is>
      </c>
      <c r="E4226" s="11" t="inlineStr"/>
      <c r="F4226" s="11" t="n">
        <v>0</v>
      </c>
      <c r="G4226" s="11">
        <f>E4226-F4226</f>
        <v/>
      </c>
      <c r="H4226" s="11" t="n">
        <v/>
      </c>
      <c r="I4226" s="11" t="n">
        <v/>
      </c>
      <c r="J4226" s="11" t="n">
        <v/>
      </c>
      <c r="K4226" s="4" t="inlineStr">
        <is>
          <t>Abrechnungsart wählen; Stundensätze eingeben</t>
        </is>
      </c>
    </row>
    <row r="4227">
      <c r="A4227" s="4" t="inlineStr">
        <is>
          <t>7131 CZ-FLA-LAK-KVA1289-Lagerliftsystem-RudolfEberStr2-Oberkochen</t>
        </is>
      </c>
      <c r="B4227" s="4" t="inlineStr">
        <is>
          <t>● Pos. 1 Umbauten H 3.1 TE-Nachtrag-E03, Halle 3.1 (NAT 24-08-12)</t>
        </is>
      </c>
      <c r="C4227" s="9" t="inlineStr">
        <is>
          <t>Unbekannt</t>
        </is>
      </c>
      <c r="D4227" s="10" t="inlineStr">
        <is>
          <t>⚠ Manual erforderlich</t>
        </is>
      </c>
      <c r="E4227" s="11" t="inlineStr"/>
      <c r="F4227" s="11" t="n">
        <v>0</v>
      </c>
      <c r="G4227" s="11">
        <f>E4227-F4227</f>
        <v/>
      </c>
      <c r="H4227" s="11" t="n">
        <v/>
      </c>
      <c r="I4227" s="11" t="n">
        <v/>
      </c>
      <c r="J4227" s="11" t="n">
        <v/>
      </c>
      <c r="K4227" s="4" t="inlineStr">
        <is>
          <t>Abrechnungsart wählen; Stundensätze eingeben</t>
        </is>
      </c>
    </row>
    <row r="4228">
      <c r="A4228" s="4" t="inlineStr">
        <is>
          <t>7135 MD-SolidBau-HPPVO-Goethestr112-114-Münster</t>
        </is>
      </c>
      <c r="B4228" s="4" t="inlineStr">
        <is>
          <t>● (aN) Pos. 1 Prüfung und Bescheinigung des Nachweises des vorbeugenden Brandschutzes auf Vollständigkeit und Richtigkeit</t>
        </is>
      </c>
      <c r="C4228" s="4" t="inlineStr">
        <is>
          <t>Nachweis</t>
        </is>
      </c>
      <c r="D4228" s="10" t="inlineStr">
        <is>
          <t>⚠ Manual erforderlich</t>
        </is>
      </c>
      <c r="E4228" s="11" t="inlineStr"/>
      <c r="F4228" s="11" t="n">
        <v>0</v>
      </c>
      <c r="G4228" s="11">
        <f>E4228-F4228</f>
        <v/>
      </c>
      <c r="H4228" s="11" t="n">
        <v/>
      </c>
      <c r="I4228" s="11" t="n">
        <v/>
      </c>
      <c r="J4228" s="11" t="n">
        <v/>
      </c>
      <c r="K4228" s="4" t="inlineStr">
        <is>
          <t>Stundensätze eingeben</t>
        </is>
      </c>
    </row>
    <row r="4229">
      <c r="A4229" s="4" t="inlineStr">
        <is>
          <t>7135 MD-SolidBau-HPPVO-Goethestr112-114-Münster</t>
        </is>
      </c>
      <c r="B4229" s="4" t="inlineStr">
        <is>
          <t>● (aN) Pos. 2 Überwachung und Bescheinigung der übereinstimmenden Bauausführung mit dem bescheinigten Nachweis des vorbeugenden Brandschutze</t>
        </is>
      </c>
      <c r="C4229" s="4" t="inlineStr">
        <is>
          <t>Nachweis</t>
        </is>
      </c>
      <c r="D4229" s="10" t="inlineStr">
        <is>
          <t>⚠ Manual erforderlich</t>
        </is>
      </c>
      <c r="E4229" s="11" t="inlineStr"/>
      <c r="F4229" s="11" t="n">
        <v>0</v>
      </c>
      <c r="G4229" s="11">
        <f>E4229-F4229</f>
        <v/>
      </c>
      <c r="H4229" s="11" t="n">
        <v/>
      </c>
      <c r="I4229" s="11" t="n">
        <v/>
      </c>
      <c r="J4229" s="11" t="n">
        <v/>
      </c>
      <c r="K4229" s="4" t="inlineStr">
        <is>
          <t>Stundensätze eingeben</t>
        </is>
      </c>
    </row>
    <row r="4230">
      <c r="A4230" s="4" t="inlineStr">
        <is>
          <t>7137 Stadt-Lahnstein-AHO-Schillerstr1-Schillerschule-Lahnstein</t>
        </is>
      </c>
      <c r="B4230" s="4" t="inlineStr">
        <is>
          <t>● • LP 1 Grundlagenermittlung/GL</t>
        </is>
      </c>
      <c r="C4230" s="9" t="inlineStr">
        <is>
          <t>Unbekannt</t>
        </is>
      </c>
      <c r="D4230" s="10" t="inlineStr">
        <is>
          <t>⚠ Manual erforderlich</t>
        </is>
      </c>
      <c r="E4230" s="11" t="inlineStr"/>
      <c r="F4230" s="11" t="n">
        <v>0</v>
      </c>
      <c r="G4230" s="11">
        <f>E4230-F4230</f>
        <v/>
      </c>
      <c r="H4230" s="11" t="n">
        <v/>
      </c>
      <c r="I4230" s="11" t="n">
        <v/>
      </c>
      <c r="J4230" s="11" t="n">
        <v/>
      </c>
      <c r="K4230" s="4" t="inlineStr">
        <is>
          <t>Abrechnungsart wählen; Stundensätze eingeben</t>
        </is>
      </c>
    </row>
    <row r="4231">
      <c r="A4231" s="4" t="inlineStr">
        <is>
          <t>7137 Stadt-Lahnstein-AHO-Schillerstr1-Schillerschule-Lahnstein</t>
        </is>
      </c>
      <c r="B4231" s="4" t="inlineStr">
        <is>
          <t>● • LP 2 Vorplanung/GL</t>
        </is>
      </c>
      <c r="C4231" s="9" t="inlineStr">
        <is>
          <t>Unbekannt</t>
        </is>
      </c>
      <c r="D4231" s="10" t="inlineStr">
        <is>
          <t>⚠ Manual erforderlich</t>
        </is>
      </c>
      <c r="E4231" s="11" t="inlineStr"/>
      <c r="F4231" s="11" t="n">
        <v>0</v>
      </c>
      <c r="G4231" s="11">
        <f>E4231-F4231</f>
        <v/>
      </c>
      <c r="H4231" s="11" t="n">
        <v/>
      </c>
      <c r="I4231" s="11" t="n">
        <v/>
      </c>
      <c r="J4231" s="11" t="n">
        <v/>
      </c>
      <c r="K4231" s="4" t="inlineStr">
        <is>
          <t>Abrechnungsart wählen; Stundensätze eingeben</t>
        </is>
      </c>
    </row>
    <row r="4232">
      <c r="A4232" s="4" t="inlineStr">
        <is>
          <t>7137 Stadt-Lahnstein-AHO-Schillerstr1-Schillerschule-Lahnstein</t>
        </is>
      </c>
      <c r="B4232" s="4" t="inlineStr">
        <is>
          <t>● • LP 3 Entwurfsplanung/GL</t>
        </is>
      </c>
      <c r="C4232" s="9" t="inlineStr">
        <is>
          <t>Unbekannt</t>
        </is>
      </c>
      <c r="D4232" s="10" t="inlineStr">
        <is>
          <t>⚠ Manual erforderlich</t>
        </is>
      </c>
      <c r="E4232" s="11" t="inlineStr"/>
      <c r="F4232" s="11" t="n">
        <v>0</v>
      </c>
      <c r="G4232" s="11">
        <f>E4232-F4232</f>
        <v/>
      </c>
      <c r="H4232" s="11" t="n">
        <v/>
      </c>
      <c r="I4232" s="11" t="n">
        <v/>
      </c>
      <c r="J4232" s="11" t="n">
        <v/>
      </c>
      <c r="K4232" s="4" t="inlineStr">
        <is>
          <t>Abrechnungsart wählen; Stundensätze eingeben</t>
        </is>
      </c>
    </row>
    <row r="4233">
      <c r="A4233" s="4" t="inlineStr">
        <is>
          <t>7137 Stadt-Lahnstein-AHO-Schillerstr1-Schillerschule-Lahnstein</t>
        </is>
      </c>
      <c r="B4233" s="4" t="inlineStr">
        <is>
          <t>● • LP 4 Genehmigungsplanung/GL</t>
        </is>
      </c>
      <c r="C4233" s="9" t="inlineStr">
        <is>
          <t>Unbekannt</t>
        </is>
      </c>
      <c r="D4233" s="10" t="inlineStr">
        <is>
          <t>⚠ Manual erforderlich</t>
        </is>
      </c>
      <c r="E4233" s="11" t="inlineStr"/>
      <c r="F4233" s="11" t="n">
        <v>0</v>
      </c>
      <c r="G4233" s="11">
        <f>E4233-F4233</f>
        <v/>
      </c>
      <c r="H4233" s="11" t="n">
        <v/>
      </c>
      <c r="I4233" s="11" t="n">
        <v/>
      </c>
      <c r="J4233" s="11" t="n">
        <v/>
      </c>
      <c r="K4233" s="4" t="inlineStr">
        <is>
          <t>Abrechnungsart wählen; Stundensätze eingeben</t>
        </is>
      </c>
    </row>
    <row r="4234">
      <c r="A4234" s="4" t="inlineStr">
        <is>
          <t>7137 Stadt-Lahnstein-AHO-Schillerstr1-Schillerschule-Lahnstein</t>
        </is>
      </c>
      <c r="B4234" s="4" t="inlineStr">
        <is>
          <t>● • LP 5 noch nicht abgerufen</t>
        </is>
      </c>
      <c r="C4234" s="9" t="inlineStr">
        <is>
          <t>Unbekannt</t>
        </is>
      </c>
      <c r="D4234" s="10" t="inlineStr">
        <is>
          <t>⚠ Manual erforderlich</t>
        </is>
      </c>
      <c r="E4234" s="11" t="inlineStr"/>
      <c r="F4234" s="11" t="n">
        <v>0</v>
      </c>
      <c r="G4234" s="11">
        <f>E4234-F4234</f>
        <v/>
      </c>
      <c r="H4234" s="11" t="n">
        <v/>
      </c>
      <c r="I4234" s="11" t="n">
        <v/>
      </c>
      <c r="J4234" s="11" t="n">
        <v/>
      </c>
      <c r="K4234" s="4" t="inlineStr">
        <is>
          <t>Abrechnungsart wählen; Stundensätze eingeben</t>
        </is>
      </c>
    </row>
    <row r="4235">
      <c r="A4235" s="4" t="inlineStr">
        <is>
          <t>7137 Stadt-Lahnstein-AHO-Schillerstr1-Schillerschule-Lahnstein</t>
        </is>
      </c>
      <c r="B4235" s="4" t="inlineStr">
        <is>
          <t>● • LP 8 noch nicht abgerufen</t>
        </is>
      </c>
      <c r="C4235" s="9" t="inlineStr">
        <is>
          <t>Unbekannt</t>
        </is>
      </c>
      <c r="D4235" s="10" t="inlineStr">
        <is>
          <t>⚠ Manual erforderlich</t>
        </is>
      </c>
      <c r="E4235" s="11" t="inlineStr"/>
      <c r="F4235" s="11" t="n">
        <v>0</v>
      </c>
      <c r="G4235" s="11">
        <f>E4235-F4235</f>
        <v/>
      </c>
      <c r="H4235" s="11" t="n">
        <v/>
      </c>
      <c r="I4235" s="11" t="n">
        <v/>
      </c>
      <c r="J4235" s="11" t="n">
        <v/>
      </c>
      <c r="K4235" s="4" t="inlineStr">
        <is>
          <t>Abrechnungsart wählen; Stundensätze eingeben</t>
        </is>
      </c>
    </row>
    <row r="4236">
      <c r="A4236" s="4" t="inlineStr">
        <is>
          <t>7137 Stadt-Lahnstein-AHO-Schillerstr1-Schillerschule-Lahnstein</t>
        </is>
      </c>
      <c r="B4236" s="4" t="inlineStr">
        <is>
          <t>● • LP 6 optional</t>
        </is>
      </c>
      <c r="C4236" s="9" t="inlineStr">
        <is>
          <t>Unbekannt</t>
        </is>
      </c>
      <c r="D4236" s="10" t="inlineStr">
        <is>
          <t>⚠ Manual erforderlich</t>
        </is>
      </c>
      <c r="E4236" s="11" t="inlineStr"/>
      <c r="F4236" s="11" t="n">
        <v>0</v>
      </c>
      <c r="G4236" s="11">
        <f>E4236-F4236</f>
        <v/>
      </c>
      <c r="H4236" s="11" t="n">
        <v/>
      </c>
      <c r="I4236" s="11" t="n">
        <v/>
      </c>
      <c r="J4236" s="11" t="n">
        <v/>
      </c>
      <c r="K4236" s="4" t="inlineStr">
        <is>
          <t>Abrechnungsart wählen; Stundensätze eingeben</t>
        </is>
      </c>
    </row>
    <row r="4237">
      <c r="A4237" s="4" t="inlineStr">
        <is>
          <t>7137 Stadt-Lahnstein-AHO-Schillerstr1-Schillerschule-Lahnstein</t>
        </is>
      </c>
      <c r="B4237" s="4" t="inlineStr">
        <is>
          <t>● • LP 7 optional</t>
        </is>
      </c>
      <c r="C4237" s="9" t="inlineStr">
        <is>
          <t>Unbekannt</t>
        </is>
      </c>
      <c r="D4237" s="10" t="inlineStr">
        <is>
          <t>⚠ Manual erforderlich</t>
        </is>
      </c>
      <c r="E4237" s="11" t="inlineStr"/>
      <c r="F4237" s="11" t="n">
        <v>0</v>
      </c>
      <c r="G4237" s="11">
        <f>E4237-F4237</f>
        <v/>
      </c>
      <c r="H4237" s="11" t="n">
        <v/>
      </c>
      <c r="I4237" s="11" t="n">
        <v/>
      </c>
      <c r="J4237" s="11" t="n">
        <v/>
      </c>
      <c r="K4237" s="4" t="inlineStr">
        <is>
          <t>Abrechnungsart wählen; Stundensätze eingeben</t>
        </is>
      </c>
    </row>
    <row r="4238">
      <c r="A4238" s="4" t="inlineStr">
        <is>
          <t>7137 Stadt-Lahnstein-AHO-Schillerstr1-Schillerschule-Lahnstein</t>
        </is>
      </c>
      <c r="B4238" s="4" t="inlineStr">
        <is>
          <t>● • LP 1 Grundlagenermittlung/GL</t>
        </is>
      </c>
      <c r="C4238" s="9" t="inlineStr">
        <is>
          <t>Unbekannt</t>
        </is>
      </c>
      <c r="D4238" s="10" t="inlineStr">
        <is>
          <t>⚠ Manual erforderlich</t>
        </is>
      </c>
      <c r="E4238" s="11" t="inlineStr"/>
      <c r="F4238" s="11" t="n">
        <v>0</v>
      </c>
      <c r="G4238" s="11">
        <f>E4238-F4238</f>
        <v/>
      </c>
      <c r="H4238" s="11" t="n">
        <v/>
      </c>
      <c r="I4238" s="11" t="n">
        <v/>
      </c>
      <c r="J4238" s="11" t="n">
        <v/>
      </c>
      <c r="K4238" s="4" t="inlineStr">
        <is>
          <t>Abrechnungsart wählen; Stundensätze eingeben</t>
        </is>
      </c>
    </row>
    <row r="4239">
      <c r="A4239" s="4" t="inlineStr">
        <is>
          <t>7137 Stadt-Lahnstein-AHO-Schillerstr1-Schillerschule-Lahnstein</t>
        </is>
      </c>
      <c r="B4239" s="4" t="inlineStr">
        <is>
          <t>● • LP 2 Vorplanung/GL</t>
        </is>
      </c>
      <c r="C4239" s="9" t="inlineStr">
        <is>
          <t>Unbekannt</t>
        </is>
      </c>
      <c r="D4239" s="10" t="inlineStr">
        <is>
          <t>⚠ Manual erforderlich</t>
        </is>
      </c>
      <c r="E4239" s="11" t="inlineStr"/>
      <c r="F4239" s="11" t="n">
        <v>0</v>
      </c>
      <c r="G4239" s="11">
        <f>E4239-F4239</f>
        <v/>
      </c>
      <c r="H4239" s="11" t="n">
        <v/>
      </c>
      <c r="I4239" s="11" t="n">
        <v/>
      </c>
      <c r="J4239" s="11" t="n">
        <v/>
      </c>
      <c r="K4239" s="4" t="inlineStr">
        <is>
          <t>Abrechnungsart wählen; Stundensätze eingeben</t>
        </is>
      </c>
    </row>
    <row r="4240">
      <c r="A4240" s="4" t="inlineStr">
        <is>
          <t>7137 Stadt-Lahnstein-AHO-Schillerstr1-Schillerschule-Lahnstein</t>
        </is>
      </c>
      <c r="B4240" s="4" t="inlineStr">
        <is>
          <t>● • LP 3 Entwurfsplanung/GL</t>
        </is>
      </c>
      <c r="C4240" s="9" t="inlineStr">
        <is>
          <t>Unbekannt</t>
        </is>
      </c>
      <c r="D4240" s="10" t="inlineStr">
        <is>
          <t>⚠ Manual erforderlich</t>
        </is>
      </c>
      <c r="E4240" s="11" t="inlineStr"/>
      <c r="F4240" s="11" t="n">
        <v>0</v>
      </c>
      <c r="G4240" s="11">
        <f>E4240-F4240</f>
        <v/>
      </c>
      <c r="H4240" s="11" t="n">
        <v/>
      </c>
      <c r="I4240" s="11" t="n">
        <v/>
      </c>
      <c r="J4240" s="11" t="n">
        <v/>
      </c>
      <c r="K4240" s="4" t="inlineStr">
        <is>
          <t>Abrechnungsart wählen; Stundensätze eingeben</t>
        </is>
      </c>
    </row>
    <row r="4241">
      <c r="A4241" s="4" t="inlineStr">
        <is>
          <t>7137 Stadt-Lahnstein-AHO-Schillerstr1-Schillerschule-Lahnstein</t>
        </is>
      </c>
      <c r="B4241" s="4" t="inlineStr">
        <is>
          <t>● • LP 4 Genehmigungsplanung/GL</t>
        </is>
      </c>
      <c r="C4241" s="9" t="inlineStr">
        <is>
          <t>Unbekannt</t>
        </is>
      </c>
      <c r="D4241" s="10" t="inlineStr">
        <is>
          <t>⚠ Manual erforderlich</t>
        </is>
      </c>
      <c r="E4241" s="11" t="inlineStr"/>
      <c r="F4241" s="11" t="n">
        <v>0</v>
      </c>
      <c r="G4241" s="11">
        <f>E4241-F4241</f>
        <v/>
      </c>
      <c r="H4241" s="11" t="n">
        <v/>
      </c>
      <c r="I4241" s="11" t="n">
        <v/>
      </c>
      <c r="J4241" s="11" t="n">
        <v/>
      </c>
      <c r="K4241" s="4" t="inlineStr">
        <is>
          <t>Abrechnungsart wählen; Stundensätze eingeben</t>
        </is>
      </c>
    </row>
    <row r="4242">
      <c r="A4242" s="4" t="inlineStr">
        <is>
          <t>7137 Stadt-Lahnstein-AHO-Schillerstr1-Schillerschule-Lahnstein</t>
        </is>
      </c>
      <c r="B4242" s="4" t="inlineStr">
        <is>
          <t>● • (p) Unterstützung bei der Bedarfsplanung nach DIN 18205</t>
        </is>
      </c>
      <c r="C4242" s="4" t="inlineStr">
        <is>
          <t>Pauschale</t>
        </is>
      </c>
      <c r="D4242" s="10" t="inlineStr">
        <is>
          <t>⚠ Manual erforderlich</t>
        </is>
      </c>
      <c r="E4242" s="11" t="inlineStr"/>
      <c r="F4242" s="11" t="n">
        <v>0</v>
      </c>
      <c r="G4242" s="11">
        <f>E4242-F4242</f>
        <v/>
      </c>
      <c r="H4242" s="11" t="n">
        <v>0</v>
      </c>
      <c r="I4242" s="11" t="n">
        <v>0</v>
      </c>
      <c r="J4242" s="11" t="n">
        <v>0</v>
      </c>
      <c r="K4242" s="4" t="inlineStr">
        <is>
          <t>Stundensätze eingeben</t>
        </is>
      </c>
    </row>
    <row r="4243">
      <c r="A4243" s="4" t="inlineStr">
        <is>
          <t>7137 Stadt-Lahnstein-AHO-Schillerstr1-Schillerschule-Lahnstein</t>
        </is>
      </c>
      <c r="B4243" s="4" t="inlineStr">
        <is>
          <t>● • (aN) Prüfen und Werten von Nebenangeboten nach Bedarf</t>
        </is>
      </c>
      <c r="C4243" s="4" t="inlineStr">
        <is>
          <t>Nachweis</t>
        </is>
      </c>
      <c r="D4243" s="10" t="inlineStr">
        <is>
          <t>⚠ Manual erforderlich</t>
        </is>
      </c>
      <c r="E4243" s="11" t="inlineStr"/>
      <c r="F4243" s="11" t="n">
        <v>0</v>
      </c>
      <c r="G4243" s="11">
        <f>E4243-F4243</f>
        <v/>
      </c>
      <c r="H4243" s="11" t="n">
        <v/>
      </c>
      <c r="I4243" s="11" t="n">
        <v/>
      </c>
      <c r="J4243" s="11" t="n">
        <v/>
      </c>
      <c r="K4243" s="4" t="inlineStr">
        <is>
          <t>Stundensätze eingeben</t>
        </is>
      </c>
    </row>
    <row r="4244">
      <c r="A4244" s="4" t="inlineStr">
        <is>
          <t>7137 Stadt-Lahnstein-AHO-Schillerstr1-Schillerschule-Lahnstein</t>
        </is>
      </c>
      <c r="B4244" s="4" t="inlineStr">
        <is>
          <t>● • (aN) Überwachung der Mangelbeseitigung innerhalb der Verjährfristen nach Bedarf</t>
        </is>
      </c>
      <c r="C4244" s="4" t="inlineStr">
        <is>
          <t>Nachweis</t>
        </is>
      </c>
      <c r="D4244" s="10" t="inlineStr">
        <is>
          <t>⚠ Manual erforderlich</t>
        </is>
      </c>
      <c r="E4244" s="11" t="inlineStr"/>
      <c r="F4244" s="11" t="n">
        <v>0</v>
      </c>
      <c r="G4244" s="11">
        <f>E4244-F4244</f>
        <v/>
      </c>
      <c r="H4244" s="11" t="n">
        <v/>
      </c>
      <c r="I4244" s="11" t="n">
        <v/>
      </c>
      <c r="J4244" s="11" t="n">
        <v/>
      </c>
      <c r="K4244" s="4" t="inlineStr">
        <is>
          <t>Stundensätze eingeben</t>
        </is>
      </c>
    </row>
    <row r="4245">
      <c r="A4245" s="4" t="inlineStr">
        <is>
          <t>7137 Stadt-Lahnstein-AHO-Schillerstr1-Schillerschule-Lahnstein</t>
        </is>
      </c>
      <c r="B4245" s="4" t="inlineStr">
        <is>
          <t>● • (aN?) Dreidimensionale Darstellung IFC-Dateien</t>
        </is>
      </c>
      <c r="C4245" s="9" t="inlineStr">
        <is>
          <t>Unbekannt</t>
        </is>
      </c>
      <c r="D4245" s="10" t="inlineStr">
        <is>
          <t>⚠ Manual erforderlich</t>
        </is>
      </c>
      <c r="E4245" s="11" t="inlineStr"/>
      <c r="F4245" s="11" t="n">
        <v>0</v>
      </c>
      <c r="G4245" s="11">
        <f>E4245-F4245</f>
        <v/>
      </c>
      <c r="H4245" s="11" t="n">
        <v/>
      </c>
      <c r="I4245" s="11" t="n">
        <v/>
      </c>
      <c r="J4245" s="11" t="n">
        <v/>
      </c>
      <c r="K4245" s="4" t="inlineStr">
        <is>
          <t>Abrechnungsart wählen; Stundensätze eingeben</t>
        </is>
      </c>
    </row>
    <row r="4246">
      <c r="A4246" s="4" t="inlineStr">
        <is>
          <t>7137 Stadt-Lahnstein-AHO-Schillerstr1-Schillerschule-Lahnstein</t>
        </is>
      </c>
      <c r="B4246" s="4" t="inlineStr">
        <is>
          <t>● • (p) Dokumentation jedes Baustellenbesuchs während der Bauzeit/Bautagebuch?</t>
        </is>
      </c>
      <c r="C4246" s="4" t="inlineStr">
        <is>
          <t>Pauschale</t>
        </is>
      </c>
      <c r="D4246" s="10" t="inlineStr">
        <is>
          <t>⚠ Manual erforderlich</t>
        </is>
      </c>
      <c r="E4246" s="11" t="inlineStr"/>
      <c r="F4246" s="11" t="n">
        <v>0</v>
      </c>
      <c r="G4246" s="11">
        <f>E4246-F4246</f>
        <v/>
      </c>
      <c r="H4246" s="11" t="n">
        <v>0</v>
      </c>
      <c r="I4246" s="11" t="n">
        <v>0</v>
      </c>
      <c r="J4246" s="11" t="n">
        <v>0</v>
      </c>
      <c r="K4246" s="4" t="inlineStr">
        <is>
          <t>Stundensätze eingeben</t>
        </is>
      </c>
    </row>
    <row r="4247">
      <c r="A4247" s="4" t="inlineStr">
        <is>
          <t>7137 Stadt-Lahnstein-AHO-Schillerstr1-Schillerschule-Lahnstein</t>
        </is>
      </c>
      <c r="B4247" s="4" t="inlineStr">
        <is>
          <t>● • (p) Zusendung der aktuellen und freigegebenen Pläne in Papierform (4-fach)/pdf/DWG-Dateien</t>
        </is>
      </c>
      <c r="C4247" s="4" t="inlineStr">
        <is>
          <t>Pauschale</t>
        </is>
      </c>
      <c r="D4247" s="10" t="inlineStr">
        <is>
          <t>⚠ Manual erforderlich</t>
        </is>
      </c>
      <c r="E4247" s="11" t="inlineStr"/>
      <c r="F4247" s="11" t="n">
        <v>0</v>
      </c>
      <c r="G4247" s="11">
        <f>E4247-F4247</f>
        <v/>
      </c>
      <c r="H4247" s="11" t="n">
        <v>0</v>
      </c>
      <c r="I4247" s="11" t="n">
        <v>0</v>
      </c>
      <c r="J4247" s="11" t="n">
        <v>0</v>
      </c>
      <c r="K4247" s="4" t="inlineStr">
        <is>
          <t>Stundensätze eingeben</t>
        </is>
      </c>
    </row>
    <row r="4248">
      <c r="A4248" s="4" t="inlineStr">
        <is>
          <t>7137 Stadt-Lahnstein-AHO-Schillerstr1-Schillerschule-Lahnstein</t>
        </is>
      </c>
      <c r="B4248" s="4" t="inlineStr">
        <is>
          <t>● • (p) Teilnahme an Sitzungsterminen (Ratssitzungen, Ausschusssitzungen und  Bürgerinformationen) für mind. 10 Termine</t>
        </is>
      </c>
      <c r="C4248" s="4" t="inlineStr">
        <is>
          <t>Pauschale</t>
        </is>
      </c>
      <c r="D4248" s="10" t="inlineStr">
        <is>
          <t>⚠ Manual erforderlich</t>
        </is>
      </c>
      <c r="E4248" s="11" t="inlineStr"/>
      <c r="F4248" s="11" t="n">
        <v>0</v>
      </c>
      <c r="G4248" s="11">
        <f>E4248-F4248</f>
        <v/>
      </c>
      <c r="H4248" s="11" t="n">
        <v/>
      </c>
      <c r="I4248" s="11" t="n">
        <v/>
      </c>
      <c r="J4248" s="11" t="n">
        <v/>
      </c>
      <c r="K4248" s="4" t="inlineStr">
        <is>
          <t>Stundensätze eingeben</t>
        </is>
      </c>
    </row>
    <row r="4249">
      <c r="A4249" s="4" t="inlineStr">
        <is>
          <t>7137.01 Stadt-Lahnstein-BSK-Container-Schillerschule-Schillerstr1-Lahnstein</t>
        </is>
      </c>
      <c r="B4249" s="4" t="inlineStr">
        <is>
          <t>● (aN) Pos. 1 Ortstermin, Abstimmungstermine + BTB</t>
        </is>
      </c>
      <c r="C4249" s="4" t="inlineStr">
        <is>
          <t>Nachweis</t>
        </is>
      </c>
      <c r="D4249" s="10" t="inlineStr">
        <is>
          <t>⚠ Manual erforderlich</t>
        </is>
      </c>
      <c r="E4249" s="11" t="inlineStr"/>
      <c r="F4249" s="11" t="n">
        <v>0</v>
      </c>
      <c r="G4249" s="11">
        <f>E4249-F4249</f>
        <v/>
      </c>
      <c r="H4249" s="11" t="n">
        <v/>
      </c>
      <c r="I4249" s="11" t="n">
        <v/>
      </c>
      <c r="J4249" s="11" t="n">
        <v/>
      </c>
      <c r="K4249" s="4" t="inlineStr">
        <is>
          <t>Stundensätze eingeben</t>
        </is>
      </c>
    </row>
    <row r="4250">
      <c r="A4250" s="4" t="inlineStr">
        <is>
          <t>7137.01 Stadt-Lahnstein-BSK-Container-Schillerschule-Schillerstr1-Lahnstein</t>
        </is>
      </c>
      <c r="B4250" s="4" t="inlineStr">
        <is>
          <t>● (aN) Pos. 2 BSK</t>
        </is>
      </c>
      <c r="C4250" s="4" t="inlineStr">
        <is>
          <t>Nachweis</t>
        </is>
      </c>
      <c r="D4250" s="10" t="inlineStr">
        <is>
          <t>⚠ Manual erforderlich</t>
        </is>
      </c>
      <c r="E4250" s="11" t="inlineStr"/>
      <c r="F4250" s="11" t="n">
        <v>0</v>
      </c>
      <c r="G4250" s="11">
        <f>E4250-F4250</f>
        <v/>
      </c>
      <c r="H4250" s="11" t="n">
        <v/>
      </c>
      <c r="I4250" s="11" t="n">
        <v/>
      </c>
      <c r="J4250" s="11" t="n">
        <v/>
      </c>
      <c r="K4250" s="4" t="inlineStr">
        <is>
          <t>Stundensätze eingeben</t>
        </is>
      </c>
    </row>
    <row r="4251">
      <c r="A4251" s="4" t="inlineStr">
        <is>
          <t>7137.01 Stadt-Lahnstein-BSK-Container-Schillerschule-Schillerstr1-Lahnstein</t>
        </is>
      </c>
      <c r="B4251" s="4" t="inlineStr">
        <is>
          <t>● (aN) Pos. 3 Erstellung BSK-Pläne</t>
        </is>
      </c>
      <c r="C4251" s="4" t="inlineStr">
        <is>
          <t>Nachweis</t>
        </is>
      </c>
      <c r="D4251" s="10" t="inlineStr">
        <is>
          <t>⚠ Manual erforderlich</t>
        </is>
      </c>
      <c r="E4251" s="11" t="inlineStr"/>
      <c r="F4251" s="11" t="n">
        <v>0</v>
      </c>
      <c r="G4251" s="11">
        <f>E4251-F4251</f>
        <v/>
      </c>
      <c r="H4251" s="11" t="n">
        <v/>
      </c>
      <c r="I4251" s="11" t="n">
        <v/>
      </c>
      <c r="J4251" s="11" t="n">
        <v/>
      </c>
      <c r="K4251" s="4" t="inlineStr">
        <is>
          <t>Stundensätze eingeben</t>
        </is>
      </c>
    </row>
    <row r="4252">
      <c r="A4252" s="4" t="inlineStr">
        <is>
          <t>7140 HochTief-AHO-YEXIO-DC-2-Bad Lippspringe</t>
        </is>
      </c>
      <c r="B4252" s="4" t="inlineStr">
        <is>
          <t>● (p) Pos.1 - 2.2.1 LP1 Regelleistungen</t>
        </is>
      </c>
      <c r="C4252" s="4" t="inlineStr">
        <is>
          <t>Pauschale</t>
        </is>
      </c>
      <c r="D4252" s="10" t="inlineStr">
        <is>
          <t>⚠ Manual erforderlich</t>
        </is>
      </c>
      <c r="E4252" s="11" t="inlineStr"/>
      <c r="F4252" s="11" t="n">
        <v>0</v>
      </c>
      <c r="G4252" s="11">
        <f>E4252-F4252</f>
        <v/>
      </c>
      <c r="H4252" s="11" t="n">
        <v>0</v>
      </c>
      <c r="I4252" s="11" t="n">
        <v>0</v>
      </c>
      <c r="J4252" s="11" t="n">
        <v>0</v>
      </c>
      <c r="K4252" s="4" t="inlineStr">
        <is>
          <t>Stundensätze eingeben</t>
        </is>
      </c>
    </row>
    <row r="4253">
      <c r="A4253" s="4" t="inlineStr">
        <is>
          <t>7140 HochTief-AHO-YEXIO-DC-2-Bad Lippspringe</t>
        </is>
      </c>
      <c r="B4253" s="4" t="inlineStr">
        <is>
          <t>● (p) Pos.2 - 2.2.2 LP2 Regelleistungen</t>
        </is>
      </c>
      <c r="C4253" s="4" t="inlineStr">
        <is>
          <t>Pauschale</t>
        </is>
      </c>
      <c r="D4253" s="10" t="inlineStr">
        <is>
          <t>⚠ Manual erforderlich</t>
        </is>
      </c>
      <c r="E4253" s="11" t="inlineStr"/>
      <c r="F4253" s="11" t="n">
        <v>0</v>
      </c>
      <c r="G4253" s="11">
        <f>E4253-F4253</f>
        <v/>
      </c>
      <c r="H4253" s="11" t="n">
        <v>0</v>
      </c>
      <c r="I4253" s="11" t="n">
        <v>0</v>
      </c>
      <c r="J4253" s="11" t="n">
        <v>0</v>
      </c>
      <c r="K4253" s="4" t="inlineStr">
        <is>
          <t>Stundensätze eingeben</t>
        </is>
      </c>
    </row>
    <row r="4254">
      <c r="A4254" s="4" t="inlineStr">
        <is>
          <t>7140 HochTief-AHO-YEXIO-DC-2-Bad Lippspringe</t>
        </is>
      </c>
      <c r="B4254" s="4" t="inlineStr">
        <is>
          <t>● (p) Pos.3 - 2.2.4 LP3 Regelleistungen</t>
        </is>
      </c>
      <c r="C4254" s="4" t="inlineStr">
        <is>
          <t>Pauschale</t>
        </is>
      </c>
      <c r="D4254" s="10" t="inlineStr">
        <is>
          <t>⚠ Manual erforderlich</t>
        </is>
      </c>
      <c r="E4254" s="11" t="inlineStr"/>
      <c r="F4254" s="11" t="n">
        <v>0</v>
      </c>
      <c r="G4254" s="11">
        <f>E4254-F4254</f>
        <v/>
      </c>
      <c r="H4254" s="11" t="n">
        <v>0</v>
      </c>
      <c r="I4254" s="11" t="n">
        <v>0</v>
      </c>
      <c r="J4254" s="11" t="n">
        <v>0</v>
      </c>
      <c r="K4254" s="4" t="inlineStr">
        <is>
          <t>Stundensätze eingeben</t>
        </is>
      </c>
    </row>
    <row r="4255">
      <c r="A4255" s="4" t="inlineStr">
        <is>
          <t>7140 HochTief-AHO-YEXIO-DC-2-Bad Lippspringe</t>
        </is>
      </c>
      <c r="B4255" s="4" t="inlineStr">
        <is>
          <t>● (p) Pos.4 - 2.2.6 LP4 Regelleistungen</t>
        </is>
      </c>
      <c r="C4255" s="4" t="inlineStr">
        <is>
          <t>Pauschale</t>
        </is>
      </c>
      <c r="D4255" s="10" t="inlineStr">
        <is>
          <t>⚠ Manual erforderlich</t>
        </is>
      </c>
      <c r="E4255" s="11" t="inlineStr"/>
      <c r="F4255" s="11" t="n">
        <v>0</v>
      </c>
      <c r="G4255" s="11">
        <f>E4255-F4255</f>
        <v/>
      </c>
      <c r="H4255" s="11" t="n">
        <v>0</v>
      </c>
      <c r="I4255" s="11" t="n">
        <v>0</v>
      </c>
      <c r="J4255" s="11" t="n">
        <v>0</v>
      </c>
      <c r="K4255" s="4" t="inlineStr">
        <is>
          <t>Stundensätze eingeben</t>
        </is>
      </c>
    </row>
    <row r="4256">
      <c r="A4256" s="4" t="inlineStr">
        <is>
          <t>7140 HochTief-AHO-YEXIO-DC-2-Bad Lippspringe</t>
        </is>
      </c>
      <c r="B4256" s="4" t="inlineStr">
        <is>
          <t>● (p) Pos.5 - 2.2.8 LP5 Regelleistungen</t>
        </is>
      </c>
      <c r="C4256" s="4" t="inlineStr">
        <is>
          <t>Pauschale</t>
        </is>
      </c>
      <c r="D4256" s="10" t="inlineStr">
        <is>
          <t>⚠ Manual erforderlich</t>
        </is>
      </c>
      <c r="E4256" s="11" t="inlineStr"/>
      <c r="F4256" s="11" t="n">
        <v>0</v>
      </c>
      <c r="G4256" s="11">
        <f>E4256-F4256</f>
        <v/>
      </c>
      <c r="H4256" s="11" t="n">
        <v>0</v>
      </c>
      <c r="I4256" s="11" t="n">
        <v>0</v>
      </c>
      <c r="J4256" s="11" t="n">
        <v>0</v>
      </c>
      <c r="K4256" s="4" t="inlineStr">
        <is>
          <t>Stundensätze eingeben</t>
        </is>
      </c>
    </row>
    <row r="4257">
      <c r="A4257" s="4" t="inlineStr">
        <is>
          <t>7140.01 HochTief-LP8-YEXIO-DC-2-Bad Lippspringe</t>
        </is>
      </c>
      <c r="B4257" s="4" t="inlineStr">
        <is>
          <t>● (p) Pos.8 a) - 2.2.12 LP8  RL</t>
        </is>
      </c>
      <c r="C4257" s="4" t="inlineStr">
        <is>
          <t>Pauschale</t>
        </is>
      </c>
      <c r="D4257" s="10" t="inlineStr">
        <is>
          <t>⚠ Manual erforderlich</t>
        </is>
      </c>
      <c r="E4257" s="11" t="inlineStr"/>
      <c r="F4257" s="11" t="n">
        <v>0</v>
      </c>
      <c r="G4257" s="11">
        <f>E4257-F4257</f>
        <v/>
      </c>
      <c r="H4257" s="11" t="n">
        <v>0</v>
      </c>
      <c r="I4257" s="11" t="n">
        <v>0</v>
      </c>
      <c r="J4257" s="11" t="n">
        <v>0</v>
      </c>
      <c r="K4257" s="4" t="inlineStr">
        <is>
          <t>Stundensätze eingeben</t>
        </is>
      </c>
    </row>
    <row r="4258">
      <c r="A4258" s="4" t="inlineStr">
        <is>
          <t>7141.01 BAB-Wolff-Knippenberg-Str.1a-Amt Wachsenburg</t>
        </is>
      </c>
      <c r="B4258" s="4" t="inlineStr">
        <is>
          <t>● (a.N.) Pos.1.001 - LP 5 Ausführungsplanung</t>
        </is>
      </c>
      <c r="C4258" s="4" t="inlineStr">
        <is>
          <t>Nachweis</t>
        </is>
      </c>
      <c r="D4258" s="10" t="inlineStr">
        <is>
          <t>⚠ Manual erforderlich</t>
        </is>
      </c>
      <c r="E4258" s="11" t="inlineStr"/>
      <c r="F4258" s="11" t="n">
        <v>0</v>
      </c>
      <c r="G4258" s="11">
        <f>E4258-F4258</f>
        <v/>
      </c>
      <c r="H4258" s="11" t="n">
        <v/>
      </c>
      <c r="I4258" s="11" t="n">
        <v/>
      </c>
      <c r="J4258" s="11" t="n">
        <v/>
      </c>
      <c r="K4258" s="4" t="inlineStr">
        <is>
          <t>Stundensätze eingeben</t>
        </is>
      </c>
    </row>
    <row r="4259">
      <c r="A4259" s="4" t="inlineStr">
        <is>
          <t>7141.01 BAB-Wolff-Knippenberg-Str.1a-Amt Wachsenburg</t>
        </is>
      </c>
      <c r="B4259" s="4" t="inlineStr">
        <is>
          <t>● (p) Pos.1.002 LP 8 - Begehungstermin</t>
        </is>
      </c>
      <c r="C4259" s="4" t="inlineStr">
        <is>
          <t>Pauschale</t>
        </is>
      </c>
      <c r="D4259" s="10" t="inlineStr">
        <is>
          <t>⚠ Manual erforderlich</t>
        </is>
      </c>
      <c r="E4259" s="11" t="inlineStr"/>
      <c r="F4259" s="11" t="n">
        <v>0</v>
      </c>
      <c r="G4259" s="11">
        <f>E4259-F4259</f>
        <v/>
      </c>
      <c r="H4259" s="11" t="n">
        <v>0</v>
      </c>
      <c r="I4259" s="11" t="n">
        <v>0</v>
      </c>
      <c r="J4259" s="11" t="n">
        <v>0</v>
      </c>
      <c r="K4259" s="4" t="inlineStr">
        <is>
          <t>Stundensätze eingeben</t>
        </is>
      </c>
    </row>
    <row r="4260">
      <c r="A4260" s="4" t="inlineStr">
        <is>
          <t>7141.01 BAB-Wolff-Knippenberg-Str.1a-Amt Wachsenburg</t>
        </is>
      </c>
      <c r="B4260" s="4" t="inlineStr">
        <is>
          <t>● (p) Pos.1.003 LP 8 - Sichtung Eignungsnachweise Niveau 1</t>
        </is>
      </c>
      <c r="C4260" s="4" t="inlineStr">
        <is>
          <t>Pauschale</t>
        </is>
      </c>
      <c r="D4260" s="10" t="inlineStr">
        <is>
          <t>⚠ Manual erforderlich</t>
        </is>
      </c>
      <c r="E4260" s="11" t="inlineStr"/>
      <c r="F4260" s="11" t="n">
        <v>0</v>
      </c>
      <c r="G4260" s="11">
        <f>E4260-F4260</f>
        <v/>
      </c>
      <c r="H4260" s="11" t="n">
        <v>0</v>
      </c>
      <c r="I4260" s="11" t="n">
        <v>0</v>
      </c>
      <c r="J4260" s="11" t="n">
        <v>0</v>
      </c>
      <c r="K4260" s="4" t="inlineStr">
        <is>
          <t>Stundensätze eingeben</t>
        </is>
      </c>
    </row>
    <row r="4261">
      <c r="A4261" s="4" t="inlineStr">
        <is>
          <t>7141.01 BAB-Wolff-Knippenberg-Str.1a-Amt Wachsenburg</t>
        </is>
      </c>
      <c r="B4261" s="4" t="inlineStr">
        <is>
          <t>● (p) Pos. 1.004 LP 8 - Statusbericht/Abschlussbericht Niveau 1</t>
        </is>
      </c>
      <c r="C4261" s="4" t="inlineStr">
        <is>
          <t>Pauschale</t>
        </is>
      </c>
      <c r="D4261" s="10" t="inlineStr">
        <is>
          <t>⚠ Manual erforderlich</t>
        </is>
      </c>
      <c r="E4261" s="11" t="inlineStr"/>
      <c r="F4261" s="11" t="n">
        <v>0</v>
      </c>
      <c r="G4261" s="11">
        <f>E4261-F4261</f>
        <v/>
      </c>
      <c r="H4261" s="11" t="n">
        <v>0</v>
      </c>
      <c r="I4261" s="11" t="n">
        <v>0</v>
      </c>
      <c r="J4261" s="11" t="n">
        <v>0</v>
      </c>
      <c r="K4261" s="4" t="inlineStr">
        <is>
          <t>Stundensätze eingeben</t>
        </is>
      </c>
    </row>
    <row r="4262">
      <c r="A4262" s="4" t="inlineStr">
        <is>
          <t>7142 BTB-Herderweg-8-Gießen-Stromversorgung</t>
        </is>
      </c>
      <c r="B4262" s="4" t="inlineStr">
        <is>
          <t>● (a.N.) BTB Bewertung von Elektroarbeiten und Stromversorgung</t>
        </is>
      </c>
      <c r="C4262" s="4" t="inlineStr">
        <is>
          <t>Nachweis</t>
        </is>
      </c>
      <c r="D4262" s="10" t="inlineStr">
        <is>
          <t>⚠ Manual erforderlich</t>
        </is>
      </c>
      <c r="E4262" s="11" t="inlineStr"/>
      <c r="F4262" s="11" t="n">
        <v>0</v>
      </c>
      <c r="G4262" s="11">
        <f>E4262-F4262</f>
        <v/>
      </c>
      <c r="H4262" s="11" t="n">
        <v/>
      </c>
      <c r="I4262" s="11" t="n">
        <v/>
      </c>
      <c r="J4262" s="11" t="n">
        <v/>
      </c>
      <c r="K4262" s="4" t="inlineStr">
        <is>
          <t>Stundensätze eingeben</t>
        </is>
      </c>
    </row>
    <row r="4263">
      <c r="A4263" s="4" t="inlineStr">
        <is>
          <t>7144 Stadt-Herzberg-diverse-Kita</t>
        </is>
      </c>
      <c r="B4263" s="4" t="inlineStr">
        <is>
          <t>● 0100-Anlage Projekt, Angebot, Versand, Auftrag</t>
        </is>
      </c>
      <c r="C4263" s="9" t="inlineStr">
        <is>
          <t>Unbekannt</t>
        </is>
      </c>
      <c r="D4263" s="10" t="inlineStr">
        <is>
          <t>⚠ Manual erforderlich</t>
        </is>
      </c>
      <c r="E4263" s="11" t="inlineStr"/>
      <c r="F4263" s="11" t="n">
        <v>0</v>
      </c>
      <c r="G4263" s="11">
        <f>E4263-F4263</f>
        <v/>
      </c>
      <c r="H4263" s="11" t="n">
        <v/>
      </c>
      <c r="I4263" s="11" t="n">
        <v/>
      </c>
      <c r="J4263" s="11" t="n">
        <v/>
      </c>
      <c r="K4263" s="4" t="inlineStr">
        <is>
          <t>Abrechnungsart wählen; Stundensätze eingeben</t>
        </is>
      </c>
    </row>
    <row r="4264">
      <c r="A4264" s="4" t="inlineStr">
        <is>
          <t>7144.02 Stadt Herzberg-BSK-Kita-Flax-und-Krümel- Karl-Liebknecht-Str50-Herzberg</t>
        </is>
      </c>
      <c r="B4264" s="4" t="inlineStr">
        <is>
          <t>● Kita-Flax-und-Krümel</t>
        </is>
      </c>
      <c r="C4264" s="9" t="inlineStr">
        <is>
          <t>Unbekannt</t>
        </is>
      </c>
      <c r="D4264" s="10" t="inlineStr">
        <is>
          <t>⚠ Manual erforderlich</t>
        </is>
      </c>
      <c r="E4264" s="11" t="inlineStr"/>
      <c r="F4264" s="11" t="n">
        <v>0</v>
      </c>
      <c r="G4264" s="11">
        <f>E4264-F4264</f>
        <v/>
      </c>
      <c r="H4264" s="11" t="n">
        <v/>
      </c>
      <c r="I4264" s="11" t="n">
        <v/>
      </c>
      <c r="J4264" s="11" t="n">
        <v/>
      </c>
      <c r="K4264" s="4" t="inlineStr">
        <is>
          <t>Abrechnungsart wählen; Stundensätze eingeben</t>
        </is>
      </c>
    </row>
    <row r="4265">
      <c r="A4265" s="4" t="inlineStr">
        <is>
          <t>7144.03 Stadt Herzberg-BSK-Kita-Spatzennest-Friedrich-Engels-Str23-Herzberg</t>
        </is>
      </c>
      <c r="B4265" s="4" t="inlineStr">
        <is>
          <t>● Kita-Spatzennest</t>
        </is>
      </c>
      <c r="C4265" s="9" t="inlineStr">
        <is>
          <t>Unbekannt</t>
        </is>
      </c>
      <c r="D4265" s="10" t="inlineStr">
        <is>
          <t>⚠ Manual erforderlich</t>
        </is>
      </c>
      <c r="E4265" s="11" t="inlineStr"/>
      <c r="F4265" s="11" t="n">
        <v>0</v>
      </c>
      <c r="G4265" s="11">
        <f>E4265-F4265</f>
        <v/>
      </c>
      <c r="H4265" s="11" t="n">
        <v/>
      </c>
      <c r="I4265" s="11" t="n">
        <v/>
      </c>
      <c r="J4265" s="11" t="n">
        <v/>
      </c>
      <c r="K4265" s="4" t="inlineStr">
        <is>
          <t>Abrechnungsart wählen; Stundensätze eingeben</t>
        </is>
      </c>
    </row>
    <row r="4266">
      <c r="A4266" s="4" t="inlineStr">
        <is>
          <t>7144.04 Stadt Herzberg-BSK-Kita-Löwenzahn-Hauptstr17-Herzberg</t>
        </is>
      </c>
      <c r="B4266" s="4" t="inlineStr">
        <is>
          <t>● Kita-Löwenzahn</t>
        </is>
      </c>
      <c r="C4266" s="9" t="inlineStr">
        <is>
          <t>Unbekannt</t>
        </is>
      </c>
      <c r="D4266" s="10" t="inlineStr">
        <is>
          <t>⚠ Manual erforderlich</t>
        </is>
      </c>
      <c r="E4266" s="11" t="inlineStr"/>
      <c r="F4266" s="11" t="n">
        <v>0</v>
      </c>
      <c r="G4266" s="11">
        <f>E4266-F4266</f>
        <v/>
      </c>
      <c r="H4266" s="11" t="n">
        <v/>
      </c>
      <c r="I4266" s="11" t="n">
        <v/>
      </c>
      <c r="J4266" s="11" t="n">
        <v/>
      </c>
      <c r="K4266" s="4" t="inlineStr">
        <is>
          <t>Abrechnungsart wählen; Stundensätze eingeben</t>
        </is>
      </c>
    </row>
    <row r="4267">
      <c r="A4267" s="4" t="inlineStr">
        <is>
          <t>7144.05 Stadt Herzberg-BSK-Kita-Gänseblümchen-Gräfendorfer-Str21-Herzberg</t>
        </is>
      </c>
      <c r="B4267" s="4" t="inlineStr">
        <is>
          <t>● Kita-Gänseblümchen</t>
        </is>
      </c>
      <c r="C4267" s="9" t="inlineStr">
        <is>
          <t>Unbekannt</t>
        </is>
      </c>
      <c r="D4267" s="10" t="inlineStr">
        <is>
          <t>⚠ Manual erforderlich</t>
        </is>
      </c>
      <c r="E4267" s="11" t="inlineStr"/>
      <c r="F4267" s="11" t="n">
        <v>0</v>
      </c>
      <c r="G4267" s="11">
        <f>E4267-F4267</f>
        <v/>
      </c>
      <c r="H4267" s="11" t="n">
        <v/>
      </c>
      <c r="I4267" s="11" t="n">
        <v/>
      </c>
      <c r="J4267" s="11" t="n">
        <v/>
      </c>
      <c r="K4267" s="4" t="inlineStr">
        <is>
          <t>Abrechnungsart wählen; Stundensätze eingeben</t>
        </is>
      </c>
    </row>
    <row r="4268">
      <c r="A4268" s="4" t="inlineStr">
        <is>
          <t>7145 BSB-E-Lyte-Werner-Heisenberg-Str-1-Kaiserslautern</t>
        </is>
      </c>
      <c r="B4268" s="4" t="inlineStr">
        <is>
          <t>● 9307-Brandschutzbeauftragter 1. Begehung....</t>
        </is>
      </c>
      <c r="C4268" s="9" t="inlineStr">
        <is>
          <t>Unbekannt</t>
        </is>
      </c>
      <c r="D4268" s="10" t="inlineStr">
        <is>
          <t>⚠ Manual erforderlich</t>
        </is>
      </c>
      <c r="E4268" s="11" t="inlineStr"/>
      <c r="F4268" s="11" t="n">
        <v>0</v>
      </c>
      <c r="G4268" s="11">
        <f>E4268-F4268</f>
        <v/>
      </c>
      <c r="H4268" s="11" t="n">
        <v/>
      </c>
      <c r="I4268" s="11" t="n">
        <v/>
      </c>
      <c r="J4268" s="11" t="n">
        <v/>
      </c>
      <c r="K4268" s="4" t="inlineStr">
        <is>
          <t>Abrechnungsart wählen; Stundensätze eingeben</t>
        </is>
      </c>
    </row>
    <row r="4269">
      <c r="A4269" s="4" t="inlineStr">
        <is>
          <t>7145 BSB-E-Lyte-Werner-Heisenberg-Str-1-Kaiserslautern</t>
        </is>
      </c>
      <c r="B4269" s="4" t="inlineStr">
        <is>
          <t>● 9308-Brandschutzbeauftragter 2. Begehung....</t>
        </is>
      </c>
      <c r="C4269" s="9" t="inlineStr">
        <is>
          <t>Unbekannt</t>
        </is>
      </c>
      <c r="D4269" s="10" t="inlineStr">
        <is>
          <t>⚠ Manual erforderlich</t>
        </is>
      </c>
      <c r="E4269" s="11" t="inlineStr"/>
      <c r="F4269" s="11" t="n">
        <v>0</v>
      </c>
      <c r="G4269" s="11">
        <f>E4269-F4269</f>
        <v/>
      </c>
      <c r="H4269" s="11" t="n">
        <v/>
      </c>
      <c r="I4269" s="11" t="n">
        <v/>
      </c>
      <c r="J4269" s="11" t="n">
        <v/>
      </c>
      <c r="K4269" s="4" t="inlineStr">
        <is>
          <t>Abrechnungsart wählen; Stundensätze eingeben</t>
        </is>
      </c>
    </row>
    <row r="4270">
      <c r="A4270" s="4" t="inlineStr">
        <is>
          <t>7145.01 BSB-E-Lyte-Werner-Heisenberg-Str-1-Kaiserslautern</t>
        </is>
      </c>
      <c r="B4270" s="4" t="inlineStr">
        <is>
          <t>● 9307-Brandschutzbeauftragter 1. Begehung....</t>
        </is>
      </c>
      <c r="C4270" s="9" t="inlineStr">
        <is>
          <t>Unbekannt</t>
        </is>
      </c>
      <c r="D4270" s="10" t="inlineStr">
        <is>
          <t>⚠ Manual erforderlich</t>
        </is>
      </c>
      <c r="E4270" s="11" t="inlineStr"/>
      <c r="F4270" s="11" t="n">
        <v>0</v>
      </c>
      <c r="G4270" s="11">
        <f>E4270-F4270</f>
        <v/>
      </c>
      <c r="H4270" s="11" t="n">
        <v/>
      </c>
      <c r="I4270" s="11" t="n">
        <v/>
      </c>
      <c r="J4270" s="11" t="n">
        <v/>
      </c>
      <c r="K4270" s="4" t="inlineStr">
        <is>
          <t>Abrechnungsart wählen; Stundensätze eingeben</t>
        </is>
      </c>
    </row>
    <row r="4271">
      <c r="A4271" s="4" t="inlineStr">
        <is>
          <t>7145.01 BSB-E-Lyte-Werner-Heisenberg-Str-1-Kaiserslautern</t>
        </is>
      </c>
      <c r="B4271" s="4" t="inlineStr">
        <is>
          <t>● 9308-Brandschutzbeauftragter 2. Begehung....</t>
        </is>
      </c>
      <c r="C4271" s="9" t="inlineStr">
        <is>
          <t>Unbekannt</t>
        </is>
      </c>
      <c r="D4271" s="10" t="inlineStr">
        <is>
          <t>⚠ Manual erforderlich</t>
        </is>
      </c>
      <c r="E4271" s="11" t="inlineStr"/>
      <c r="F4271" s="11" t="n">
        <v>0</v>
      </c>
      <c r="G4271" s="11">
        <f>E4271-F4271</f>
        <v/>
      </c>
      <c r="H4271" s="11" t="n">
        <v/>
      </c>
      <c r="I4271" s="11" t="n">
        <v/>
      </c>
      <c r="J4271" s="11" t="n">
        <v/>
      </c>
      <c r="K4271" s="4" t="inlineStr">
        <is>
          <t>Abrechnungsart wählen; Stundensätze eingeben</t>
        </is>
      </c>
    </row>
    <row r="4272">
      <c r="A4272" s="4" t="inlineStr">
        <is>
          <t>7146 AHO-Siemensstraße-14-Nehringstraße-2-Bad-Homburg</t>
        </is>
      </c>
      <c r="B4272" s="4" t="inlineStr">
        <is>
          <t>● (p) Pos.1 a) - LP1 - Grundlagenermittlung - RL</t>
        </is>
      </c>
      <c r="C4272" s="4" t="inlineStr">
        <is>
          <t>Pauschale</t>
        </is>
      </c>
      <c r="D4272" s="10" t="inlineStr">
        <is>
          <t>⚠ Manual erforderlich</t>
        </is>
      </c>
      <c r="E4272" s="11" t="inlineStr"/>
      <c r="F4272" s="11" t="n">
        <v>0</v>
      </c>
      <c r="G4272" s="11">
        <f>E4272-F4272</f>
        <v/>
      </c>
      <c r="H4272" s="11" t="n">
        <v>0</v>
      </c>
      <c r="I4272" s="11" t="n">
        <v>0</v>
      </c>
      <c r="J4272" s="11" t="n">
        <v>0</v>
      </c>
      <c r="K4272" s="4" t="inlineStr">
        <is>
          <t>Stundensätze eingeben</t>
        </is>
      </c>
    </row>
    <row r="4273">
      <c r="A4273" s="4" t="inlineStr">
        <is>
          <t>7146 AHO-Siemensstraße-14-Nehringstraße-2-Bad-Homburg</t>
        </is>
      </c>
      <c r="B4273" s="4" t="inlineStr">
        <is>
          <t>● (p) Pos.1 b) - LP1 - Grundlagenermittlung - OL + Objektbegehung</t>
        </is>
      </c>
      <c r="C4273" s="4" t="inlineStr">
        <is>
          <t>Pauschale</t>
        </is>
      </c>
      <c r="D4273" s="10" t="inlineStr">
        <is>
          <t>⚠ Manual erforderlich</t>
        </is>
      </c>
      <c r="E4273" s="11" t="inlineStr"/>
      <c r="F4273" s="11" t="n">
        <v>0</v>
      </c>
      <c r="G4273" s="11">
        <f>E4273-F4273</f>
        <v/>
      </c>
      <c r="H4273" s="11" t="n">
        <v>0</v>
      </c>
      <c r="I4273" s="11" t="n">
        <v>0</v>
      </c>
      <c r="J4273" s="11" t="n">
        <v>0</v>
      </c>
      <c r="K4273" s="4" t="inlineStr">
        <is>
          <t>Stundensätze eingeben</t>
        </is>
      </c>
    </row>
    <row r="4274">
      <c r="A4274" s="4" t="inlineStr">
        <is>
          <t>7146 AHO-Siemensstraße-14-Nehringstraße-2-Bad-Homburg</t>
        </is>
      </c>
      <c r="B4274" s="4" t="inlineStr">
        <is>
          <t>● (p) Pos.2 - LP2 - Vorplanung - RL</t>
        </is>
      </c>
      <c r="C4274" s="4" t="inlineStr">
        <is>
          <t>Pauschale</t>
        </is>
      </c>
      <c r="D4274" s="10" t="inlineStr">
        <is>
          <t>⚠ Manual erforderlich</t>
        </is>
      </c>
      <c r="E4274" s="11" t="inlineStr"/>
      <c r="F4274" s="11" t="n">
        <v>0</v>
      </c>
      <c r="G4274" s="11">
        <f>E4274-F4274</f>
        <v/>
      </c>
      <c r="H4274" s="11" t="n">
        <v>0</v>
      </c>
      <c r="I4274" s="11" t="n">
        <v>0</v>
      </c>
      <c r="J4274" s="11" t="n">
        <v>0</v>
      </c>
      <c r="K4274" s="4" t="inlineStr">
        <is>
          <t>Stundensätze eingeben</t>
        </is>
      </c>
    </row>
    <row r="4275">
      <c r="A4275" s="4" t="inlineStr">
        <is>
          <t>7146 AHO-Siemensstraße-14-Nehringstraße-2-Bad-Homburg</t>
        </is>
      </c>
      <c r="B4275" s="4" t="inlineStr">
        <is>
          <t>● (p) Pos.3 - LP3 - Entwurfsplanung - RL</t>
        </is>
      </c>
      <c r="C4275" s="4" t="inlineStr">
        <is>
          <t>Pauschale</t>
        </is>
      </c>
      <c r="D4275" s="10" t="inlineStr">
        <is>
          <t>⚠ Manual erforderlich</t>
        </is>
      </c>
      <c r="E4275" s="11" t="inlineStr"/>
      <c r="F4275" s="11" t="n">
        <v>0</v>
      </c>
      <c r="G4275" s="11">
        <f>E4275-F4275</f>
        <v/>
      </c>
      <c r="H4275" s="11" t="n">
        <v>0</v>
      </c>
      <c r="I4275" s="11" t="n">
        <v>0</v>
      </c>
      <c r="J4275" s="11" t="n">
        <v>0</v>
      </c>
      <c r="K4275" s="4" t="inlineStr">
        <is>
          <t>Stundensätze eingeben</t>
        </is>
      </c>
    </row>
    <row r="4276">
      <c r="A4276" s="4" t="inlineStr">
        <is>
          <t>7146 AHO-Siemensstraße-14-Nehringstraße-2-Bad-Homburg</t>
        </is>
      </c>
      <c r="B4276" s="4" t="inlineStr">
        <is>
          <t>● (p) Pos.4  - LP4 - Genehmigungsplanung - RL</t>
        </is>
      </c>
      <c r="C4276" s="4" t="inlineStr">
        <is>
          <t>Pauschale</t>
        </is>
      </c>
      <c r="D4276" s="10" t="inlineStr">
        <is>
          <t>⚠ Manual erforderlich</t>
        </is>
      </c>
      <c r="E4276" s="11" t="inlineStr"/>
      <c r="F4276" s="11" t="n">
        <v>0</v>
      </c>
      <c r="G4276" s="11">
        <f>E4276-F4276</f>
        <v/>
      </c>
      <c r="H4276" s="11" t="n">
        <v>0</v>
      </c>
      <c r="I4276" s="11" t="n">
        <v>0</v>
      </c>
      <c r="J4276" s="11" t="n">
        <v>0</v>
      </c>
      <c r="K4276" s="4" t="inlineStr">
        <is>
          <t>Stundensätze eingeben</t>
        </is>
      </c>
    </row>
    <row r="4277">
      <c r="A4277" s="4" t="inlineStr">
        <is>
          <t>7146 AHO-Siemensstraße-14-Nehringstraße-2-Bad-Homburg</t>
        </is>
      </c>
      <c r="B4277" s="4" t="inlineStr">
        <is>
          <t>● (p) Pos.5 - LP5 - Ausführungsplanung - RL</t>
        </is>
      </c>
      <c r="C4277" s="4" t="inlineStr">
        <is>
          <t>Pauschale</t>
        </is>
      </c>
      <c r="D4277" s="10" t="inlineStr">
        <is>
          <t>⚠ Manual erforderlich</t>
        </is>
      </c>
      <c r="E4277" s="11" t="inlineStr"/>
      <c r="F4277" s="11" t="n">
        <v>0</v>
      </c>
      <c r="G4277" s="11">
        <f>E4277-F4277</f>
        <v/>
      </c>
      <c r="H4277" s="11" t="n">
        <v>0</v>
      </c>
      <c r="I4277" s="11" t="n">
        <v>0</v>
      </c>
      <c r="J4277" s="11" t="n">
        <v>0</v>
      </c>
      <c r="K4277" s="4" t="inlineStr">
        <is>
          <t>Stundensätze eingeben</t>
        </is>
      </c>
    </row>
    <row r="4278">
      <c r="A4278" s="4" t="inlineStr">
        <is>
          <t>7146 AHO-Siemensstraße-14-Nehringstraße-2-Bad-Homburg</t>
        </is>
      </c>
      <c r="B4278" s="4" t="inlineStr">
        <is>
          <t>● (p) Pos.8 - LP8 - Objektüberwachung - RL</t>
        </is>
      </c>
      <c r="C4278" s="4" t="inlineStr">
        <is>
          <t>Pauschale</t>
        </is>
      </c>
      <c r="D4278" s="10" t="inlineStr">
        <is>
          <t>⚠ Manual erforderlich</t>
        </is>
      </c>
      <c r="E4278" s="11" t="inlineStr"/>
      <c r="F4278" s="11" t="n">
        <v>0</v>
      </c>
      <c r="G4278" s="11">
        <f>E4278-F4278</f>
        <v/>
      </c>
      <c r="H4278" s="11" t="n">
        <v>0</v>
      </c>
      <c r="I4278" s="11" t="n">
        <v>0</v>
      </c>
      <c r="J4278" s="11" t="n">
        <v>0</v>
      </c>
      <c r="K4278" s="4" t="inlineStr">
        <is>
          <t>Stundensätze eingeben</t>
        </is>
      </c>
    </row>
    <row r="4279">
      <c r="A4279" s="4" t="inlineStr">
        <is>
          <t>7146.01 NAT-BSK-Siemensstraße-14-Nehringstraße-2-Bad-Homburg-1.OG</t>
        </is>
      </c>
      <c r="B4279" s="4" t="inlineStr">
        <is>
          <t>● (p) Pos.1 Erstellung BSK BM 1.OG</t>
        </is>
      </c>
      <c r="C4279" s="4" t="inlineStr">
        <is>
          <t>Pauschale</t>
        </is>
      </c>
      <c r="D4279" s="10" t="inlineStr">
        <is>
          <t>⚠ Manual erforderlich</t>
        </is>
      </c>
      <c r="E4279" s="11" t="inlineStr"/>
      <c r="F4279" s="11" t="n">
        <v>0</v>
      </c>
      <c r="G4279" s="11">
        <f>E4279-F4279</f>
        <v/>
      </c>
      <c r="H4279" s="11" t="n">
        <v>0</v>
      </c>
      <c r="I4279" s="11" t="n">
        <v>0</v>
      </c>
      <c r="J4279" s="11" t="n">
        <v>0</v>
      </c>
      <c r="K4279" s="4" t="inlineStr">
        <is>
          <t>Stundensätze eingeben</t>
        </is>
      </c>
    </row>
    <row r="4280">
      <c r="A4280" s="4" t="inlineStr">
        <is>
          <t>7146.01 NAT-BSK-Siemensstraße-14-Nehringstraße-2-Bad-Homburg-1.OG</t>
        </is>
      </c>
      <c r="B4280" s="4" t="inlineStr">
        <is>
          <t>● (aN) BAB mit Qualitätsüberwachung</t>
        </is>
      </c>
      <c r="C4280" s="4" t="inlineStr">
        <is>
          <t>Nachweis</t>
        </is>
      </c>
      <c r="D4280" s="10" t="inlineStr">
        <is>
          <t>⚠ Manual erforderlich</t>
        </is>
      </c>
      <c r="E4280" s="11" t="inlineStr"/>
      <c r="F4280" s="11" t="n">
        <v>0</v>
      </c>
      <c r="G4280" s="11">
        <f>E4280-F4280</f>
        <v/>
      </c>
      <c r="H4280" s="11" t="n">
        <v/>
      </c>
      <c r="I4280" s="11" t="n">
        <v/>
      </c>
      <c r="J4280" s="11" t="n">
        <v/>
      </c>
      <c r="K4280" s="4" t="inlineStr">
        <is>
          <t>Stundensätze eingeben</t>
        </is>
      </c>
    </row>
    <row r="4281">
      <c r="A4281" s="4" t="inlineStr">
        <is>
          <t>7148 CZ-FLA-LAK-KVA-1257-Sprinklerplanung-Rüstplätze</t>
        </is>
      </c>
      <c r="B4281" s="4" t="inlineStr">
        <is>
          <t>● (aN) Pos. 1 Bestandsaufnahme</t>
        </is>
      </c>
      <c r="C4281" s="4" t="inlineStr">
        <is>
          <t>Nachweis</t>
        </is>
      </c>
      <c r="D4281" s="10" t="inlineStr">
        <is>
          <t>⚠ Manual erforderlich</t>
        </is>
      </c>
      <c r="E4281" s="11" t="inlineStr"/>
      <c r="F4281" s="11" t="n">
        <v>0</v>
      </c>
      <c r="G4281" s="11">
        <f>E4281-F4281</f>
        <v/>
      </c>
      <c r="H4281" s="11" t="n">
        <v/>
      </c>
      <c r="I4281" s="11" t="n">
        <v/>
      </c>
      <c r="J4281" s="11" t="n">
        <v/>
      </c>
      <c r="K4281" s="4" t="inlineStr">
        <is>
          <t>Stundensätze eingeben</t>
        </is>
      </c>
    </row>
    <row r="4282">
      <c r="A4282" s="4" t="inlineStr">
        <is>
          <t>7148 CZ-FLA-LAK-KVA-1257-Sprinklerplanung-Rüstplätze</t>
        </is>
      </c>
      <c r="B4282" s="4" t="inlineStr">
        <is>
          <t>● (aN) Pos. 2 Ausführungsplanung</t>
        </is>
      </c>
      <c r="C4282" s="4" t="inlineStr">
        <is>
          <t>Nachweis</t>
        </is>
      </c>
      <c r="D4282" s="10" t="inlineStr">
        <is>
          <t>⚠ Manual erforderlich</t>
        </is>
      </c>
      <c r="E4282" s="11" t="inlineStr"/>
      <c r="F4282" s="11" t="n">
        <v>0</v>
      </c>
      <c r="G4282" s="11">
        <f>E4282-F4282</f>
        <v/>
      </c>
      <c r="H4282" s="11" t="n">
        <v/>
      </c>
      <c r="I4282" s="11" t="n">
        <v/>
      </c>
      <c r="J4282" s="11" t="n">
        <v/>
      </c>
      <c r="K4282" s="4" t="inlineStr">
        <is>
          <t>Stundensätze eingeben</t>
        </is>
      </c>
    </row>
    <row r="4283">
      <c r="A4283" s="4" t="inlineStr">
        <is>
          <t>7149 UniImmo-BTB-TG-Wartungspodest-SchwanthalerStr35-37-München</t>
        </is>
      </c>
      <c r="B4283" s="4" t="inlineStr">
        <is>
          <t>● (aN) Pos. 1 Brandschutztechnische Beratung</t>
        </is>
      </c>
      <c r="C4283" s="4" t="inlineStr">
        <is>
          <t>Nachweis</t>
        </is>
      </c>
      <c r="D4283" s="10" t="inlineStr">
        <is>
          <t>⚠ Manual erforderlich</t>
        </is>
      </c>
      <c r="E4283" s="11" t="inlineStr"/>
      <c r="F4283" s="11" t="n">
        <v>0</v>
      </c>
      <c r="G4283" s="11">
        <f>E4283-F4283</f>
        <v/>
      </c>
      <c r="H4283" s="11" t="n">
        <v/>
      </c>
      <c r="I4283" s="11" t="n">
        <v/>
      </c>
      <c r="J4283" s="11" t="n">
        <v/>
      </c>
      <c r="K4283" s="4" t="inlineStr">
        <is>
          <t>Stundensätze eingeben</t>
        </is>
      </c>
    </row>
    <row r="4284">
      <c r="A4284" s="4" t="inlineStr">
        <is>
          <t>7149.01 UniImmo-BTB-TG-TDD-Mängel-SchwanthalerStr35-37-München</t>
        </is>
      </c>
      <c r="B4284" s="4" t="inlineStr">
        <is>
          <t>● (aN) Pos. 1 BTB d. Bauherrn hinsichtlich der von Käuferseite festgestellten Mängel</t>
        </is>
      </c>
      <c r="C4284" s="4" t="inlineStr">
        <is>
          <t>Nachweis</t>
        </is>
      </c>
      <c r="D4284" s="10" t="inlineStr">
        <is>
          <t>⚠ Manual erforderlich</t>
        </is>
      </c>
      <c r="E4284" s="11" t="inlineStr"/>
      <c r="F4284" s="11" t="n">
        <v>0</v>
      </c>
      <c r="G4284" s="11">
        <f>E4284-F4284</f>
        <v/>
      </c>
      <c r="H4284" s="11" t="n">
        <v/>
      </c>
      <c r="I4284" s="11" t="n">
        <v/>
      </c>
      <c r="J4284" s="11" t="n">
        <v/>
      </c>
      <c r="K4284" s="4" t="inlineStr">
        <is>
          <t>Stundensätze eingeben</t>
        </is>
      </c>
    </row>
    <row r="4285">
      <c r="A4285" s="4" t="inlineStr">
        <is>
          <t>7149.02 UniImmo-BTB-TG-Bestandsuntersuchung-SchwanthalerStr35-37-München</t>
        </is>
      </c>
      <c r="B4285" s="4" t="inlineStr">
        <is>
          <t>● (aN) Pos. 1 Durchführung von Bauteilöffnungen</t>
        </is>
      </c>
      <c r="C4285" s="4" t="inlineStr">
        <is>
          <t>Nachweis</t>
        </is>
      </c>
      <c r="D4285" s="10" t="inlineStr">
        <is>
          <t>⚠ Manual erforderlich</t>
        </is>
      </c>
      <c r="E4285" s="11" t="inlineStr"/>
      <c r="F4285" s="11" t="n">
        <v>0</v>
      </c>
      <c r="G4285" s="11">
        <f>E4285-F4285</f>
        <v/>
      </c>
      <c r="H4285" s="11" t="n">
        <v/>
      </c>
      <c r="I4285" s="11" t="n">
        <v/>
      </c>
      <c r="J4285" s="11" t="n">
        <v/>
      </c>
      <c r="K4285" s="4" t="inlineStr">
        <is>
          <t>Stundensätze eingeben</t>
        </is>
      </c>
    </row>
    <row r="4286">
      <c r="A4286" s="4" t="inlineStr">
        <is>
          <t>7149.02 UniImmo-BTB-TG-Bestandsuntersuchung-SchwanthalerStr35-37-München</t>
        </is>
      </c>
      <c r="B4286" s="4" t="inlineStr">
        <is>
          <t>● (aN) Pos. 2 Mängelbehebung vor Ort durch Handwerker (AZ/Material nach Aufwand)</t>
        </is>
      </c>
      <c r="C4286" s="4" t="inlineStr">
        <is>
          <t>Nachweis</t>
        </is>
      </c>
      <c r="D4286" s="10" t="inlineStr">
        <is>
          <t>⚠ Manual erforderlich</t>
        </is>
      </c>
      <c r="E4286" s="11" t="inlineStr"/>
      <c r="F4286" s="11" t="n">
        <v>0</v>
      </c>
      <c r="G4286" s="11">
        <f>E4286-F4286</f>
        <v/>
      </c>
      <c r="H4286" s="11" t="n">
        <v/>
      </c>
      <c r="I4286" s="11" t="n">
        <v/>
      </c>
      <c r="J4286" s="11" t="n">
        <v/>
      </c>
      <c r="K4286" s="4" t="inlineStr">
        <is>
          <t>Stundensätze eingeben</t>
        </is>
      </c>
    </row>
    <row r="4287">
      <c r="A4287" s="4" t="inlineStr">
        <is>
          <t>7150 TFS-AHO-Neubau-betrWohnen-Kita-Alberichstraße-Mannheim</t>
        </is>
      </c>
      <c r="B4287" s="4" t="inlineStr">
        <is>
          <t>● (p) LP 3</t>
        </is>
      </c>
      <c r="C4287" s="4" t="inlineStr">
        <is>
          <t>Pauschale</t>
        </is>
      </c>
      <c r="D4287" s="10" t="inlineStr">
        <is>
          <t>⚠ Manual erforderlich</t>
        </is>
      </c>
      <c r="E4287" s="11" t="inlineStr"/>
      <c r="F4287" s="11" t="n">
        <v>0</v>
      </c>
      <c r="G4287" s="11">
        <f>E4287-F4287</f>
        <v/>
      </c>
      <c r="H4287" s="11" t="n">
        <v>0</v>
      </c>
      <c r="I4287" s="11" t="n">
        <v>0</v>
      </c>
      <c r="J4287" s="11" t="n">
        <v>0</v>
      </c>
      <c r="K4287" s="4" t="inlineStr">
        <is>
          <t>Stundensätze eingeben</t>
        </is>
      </c>
    </row>
    <row r="4288">
      <c r="A4288" s="4" t="inlineStr">
        <is>
          <t>7150 TFS-AHO-Neubau-betrWohnen-Kita-Alberichstraße-Mannheim</t>
        </is>
      </c>
      <c r="B4288" s="4" t="inlineStr">
        <is>
          <t>● (p) LP 4</t>
        </is>
      </c>
      <c r="C4288" s="4" t="inlineStr">
        <is>
          <t>Pauschale</t>
        </is>
      </c>
      <c r="D4288" s="10" t="inlineStr">
        <is>
          <t>⚠ Manual erforderlich</t>
        </is>
      </c>
      <c r="E4288" s="11" t="inlineStr"/>
      <c r="F4288" s="11" t="n">
        <v>0</v>
      </c>
      <c r="G4288" s="11">
        <f>E4288-F4288</f>
        <v/>
      </c>
      <c r="H4288" s="11" t="n">
        <v>0</v>
      </c>
      <c r="I4288" s="11" t="n">
        <v>0</v>
      </c>
      <c r="J4288" s="11" t="n">
        <v>0</v>
      </c>
      <c r="K4288" s="4" t="inlineStr">
        <is>
          <t>Stundensätze eingeben</t>
        </is>
      </c>
    </row>
    <row r="4289">
      <c r="A4289" s="4" t="inlineStr">
        <is>
          <t>7150 TFS-AHO-Neubau-betrWohnen-Kita-Alberichstraße-Mannheim</t>
        </is>
      </c>
      <c r="B4289" s="4" t="inlineStr">
        <is>
          <t>● (p) LP 5</t>
        </is>
      </c>
      <c r="C4289" s="4" t="inlineStr">
        <is>
          <t>Pauschale</t>
        </is>
      </c>
      <c r="D4289" s="10" t="inlineStr">
        <is>
          <t>⚠ Manual erforderlich</t>
        </is>
      </c>
      <c r="E4289" s="11" t="inlineStr"/>
      <c r="F4289" s="11" t="n">
        <v>0</v>
      </c>
      <c r="G4289" s="11">
        <f>E4289-F4289</f>
        <v/>
      </c>
      <c r="H4289" s="11" t="n">
        <v>0</v>
      </c>
      <c r="I4289" s="11" t="n">
        <v>0</v>
      </c>
      <c r="J4289" s="11" t="n">
        <v>0</v>
      </c>
      <c r="K4289" s="4" t="inlineStr">
        <is>
          <t>Stundensätze eingeben</t>
        </is>
      </c>
    </row>
    <row r="4290">
      <c r="A4290" s="4" t="inlineStr">
        <is>
          <t>7150 TFS-AHO-Neubau-betrWohnen-Kita-Alberichstraße-Mannheim</t>
        </is>
      </c>
      <c r="B4290" s="4" t="inlineStr">
        <is>
          <t>● (p) LP 8</t>
        </is>
      </c>
      <c r="C4290" s="4" t="inlineStr">
        <is>
          <t>Pauschale</t>
        </is>
      </c>
      <c r="D4290" s="10" t="inlineStr">
        <is>
          <t>⚠ Manual erforderlich</t>
        </is>
      </c>
      <c r="E4290" s="11" t="inlineStr"/>
      <c r="F4290" s="11" t="n">
        <v>0</v>
      </c>
      <c r="G4290" s="11">
        <f>E4290-F4290</f>
        <v/>
      </c>
      <c r="H4290" s="11" t="n">
        <v>0</v>
      </c>
      <c r="I4290" s="11" t="n">
        <v>0</v>
      </c>
      <c r="J4290" s="11" t="n">
        <v>0</v>
      </c>
      <c r="K4290" s="4" t="inlineStr">
        <is>
          <t>Stundensätze eingeben</t>
        </is>
      </c>
    </row>
    <row r="4291">
      <c r="A4291" s="4" t="inlineStr">
        <is>
          <t>7150 TFS-AHO-Neubau-betrWohnen-Kita-Alberichstraße-Mannheim</t>
        </is>
      </c>
      <c r="B4291" s="4" t="inlineStr">
        <is>
          <t>● 0100-Anlage Projekt, Angebot, Versand, Auftrag</t>
        </is>
      </c>
      <c r="C4291" s="9" t="inlineStr">
        <is>
          <t>Unbekannt</t>
        </is>
      </c>
      <c r="D4291" s="10" t="inlineStr">
        <is>
          <t>⚠ Manual erforderlich</t>
        </is>
      </c>
      <c r="E4291" s="11" t="inlineStr"/>
      <c r="F4291" s="11" t="n">
        <v>0</v>
      </c>
      <c r="G4291" s="11">
        <f>E4291-F4291</f>
        <v/>
      </c>
      <c r="H4291" s="11" t="n">
        <v/>
      </c>
      <c r="I4291" s="11" t="n">
        <v/>
      </c>
      <c r="J4291" s="11" t="n">
        <v/>
      </c>
      <c r="K4291" s="4" t="inlineStr">
        <is>
          <t>Abrechnungsart wählen; Stundensätze eingeben</t>
        </is>
      </c>
    </row>
    <row r="4292">
      <c r="A4292" s="4" t="inlineStr">
        <is>
          <t>7151 AWO-BSN-Bestandsgeb-Badgasse1-Memmingen</t>
        </is>
      </c>
      <c r="B4292" s="4" t="inlineStr">
        <is>
          <t>● (aN) Pos. 1 BTB (SV)</t>
        </is>
      </c>
      <c r="C4292" s="4" t="inlineStr">
        <is>
          <t>Nachweis</t>
        </is>
      </c>
      <c r="D4292" s="10" t="inlineStr">
        <is>
          <t>⚠ Manual erforderlich</t>
        </is>
      </c>
      <c r="E4292" s="11" t="inlineStr"/>
      <c r="F4292" s="11" t="n">
        <v>0</v>
      </c>
      <c r="G4292" s="11">
        <f>E4292-F4292</f>
        <v/>
      </c>
      <c r="H4292" s="11" t="n">
        <v/>
      </c>
      <c r="I4292" s="11" t="n">
        <v/>
      </c>
      <c r="J4292" s="11" t="n">
        <v/>
      </c>
      <c r="K4292" s="4" t="inlineStr">
        <is>
          <t>Stundensätze eingeben</t>
        </is>
      </c>
    </row>
    <row r="4293">
      <c r="A4293" s="4" t="inlineStr">
        <is>
          <t>7151 AWO-BSN-Bestandsgeb-Badgasse1-Memmingen</t>
        </is>
      </c>
      <c r="B4293" s="4" t="inlineStr">
        <is>
          <t>● (p) Pos. 2 BSN (SV)</t>
        </is>
      </c>
      <c r="C4293" s="4" t="inlineStr">
        <is>
          <t>Pauschale</t>
        </is>
      </c>
      <c r="D4293" s="10" t="inlineStr">
        <is>
          <t>⚠ Manual erforderlich</t>
        </is>
      </c>
      <c r="E4293" s="11" t="inlineStr"/>
      <c r="F4293" s="11" t="n">
        <v>0</v>
      </c>
      <c r="G4293" s="11">
        <f>E4293-F4293</f>
        <v/>
      </c>
      <c r="H4293" s="11" t="n">
        <v>0</v>
      </c>
      <c r="I4293" s="11" t="n">
        <v>0</v>
      </c>
      <c r="J4293" s="11" t="n">
        <v>0</v>
      </c>
      <c r="K4293" s="4" t="inlineStr">
        <is>
          <t>Stundensätze eingeben</t>
        </is>
      </c>
    </row>
    <row r="4294">
      <c r="A4294" s="4" t="inlineStr">
        <is>
          <t>7151 AWO-BSN-Bestandsgeb-Badgasse1-Memmingen</t>
        </is>
      </c>
      <c r="B4294" s="4" t="inlineStr">
        <is>
          <t>● (p) Pos. 3 FWP (CAD</t>
        </is>
      </c>
      <c r="C4294" s="4" t="inlineStr">
        <is>
          <t>Pauschale</t>
        </is>
      </c>
      <c r="D4294" s="10" t="inlineStr">
        <is>
          <t>⚠ Manual erforderlich</t>
        </is>
      </c>
      <c r="E4294" s="11" t="inlineStr"/>
      <c r="F4294" s="11" t="n">
        <v>0</v>
      </c>
      <c r="G4294" s="11">
        <f>E4294-F4294</f>
        <v/>
      </c>
      <c r="H4294" s="11" t="n">
        <v>0</v>
      </c>
      <c r="I4294" s="11" t="n">
        <v>0</v>
      </c>
      <c r="J4294" s="11" t="n">
        <v>0</v>
      </c>
      <c r="K4294" s="4" t="inlineStr">
        <is>
          <t>Stundensätze eingeben</t>
        </is>
      </c>
    </row>
    <row r="4295">
      <c r="A4295" s="4" t="inlineStr">
        <is>
          <t>7151 AWO-BSN-Bestandsgeb-Badgasse1-Memmingen</t>
        </is>
      </c>
      <c r="B4295" s="4" t="inlineStr">
        <is>
          <t>● (aN) Pos. 4 Fortschr. BSO Teil B und C (SV)</t>
        </is>
      </c>
      <c r="C4295" s="4" t="inlineStr">
        <is>
          <t>Nachweis</t>
        </is>
      </c>
      <c r="D4295" s="10" t="inlineStr">
        <is>
          <t>⚠ Manual erforderlich</t>
        </is>
      </c>
      <c r="E4295" s="11" t="inlineStr"/>
      <c r="F4295" s="11" t="n">
        <v>0</v>
      </c>
      <c r="G4295" s="11">
        <f>E4295-F4295</f>
        <v/>
      </c>
      <c r="H4295" s="11" t="n">
        <v/>
      </c>
      <c r="I4295" s="11" t="n">
        <v/>
      </c>
      <c r="J4295" s="11" t="n">
        <v/>
      </c>
      <c r="K4295" s="4" t="inlineStr">
        <is>
          <t>Stundensätze eingeben</t>
        </is>
      </c>
    </row>
    <row r="4296">
      <c r="A4296" s="4" t="inlineStr">
        <is>
          <t>7151 AWO-BSN-Bestandsgeb-Badgasse1-Memmingen</t>
        </is>
      </c>
      <c r="B4296" s="4" t="inlineStr">
        <is>
          <t>● (aN) Pos. 5  FUR (CAD)</t>
        </is>
      </c>
      <c r="C4296" s="4" t="inlineStr">
        <is>
          <t>Nachweis</t>
        </is>
      </c>
      <c r="D4296" s="10" t="inlineStr">
        <is>
          <t>⚠ Manual erforderlich</t>
        </is>
      </c>
      <c r="E4296" s="11" t="inlineStr"/>
      <c r="F4296" s="11" t="n">
        <v>0</v>
      </c>
      <c r="G4296" s="11">
        <f>E4296-F4296</f>
        <v/>
      </c>
      <c r="H4296" s="11" t="n">
        <v/>
      </c>
      <c r="I4296" s="11" t="n">
        <v/>
      </c>
      <c r="J4296" s="11" t="n">
        <v/>
      </c>
      <c r="K4296" s="4" t="inlineStr">
        <is>
          <t>Stundensätze eingeben</t>
        </is>
      </c>
    </row>
    <row r="4297">
      <c r="A4297" s="4" t="inlineStr">
        <is>
          <t>7151 AWO-BSN-Bestandsgeb-Badgasse1-Memmingen</t>
        </is>
      </c>
      <c r="B4297" s="4" t="inlineStr">
        <is>
          <t>● Pos. 6 Feuerwehrlaufkarten nach tatsächlich ausgefertigter Stückzahl 49€/Stück</t>
        </is>
      </c>
      <c r="C4297" s="9" t="inlineStr">
        <is>
          <t>Unbekannt</t>
        </is>
      </c>
      <c r="D4297" s="10" t="inlineStr">
        <is>
          <t>⚠ Manual erforderlich</t>
        </is>
      </c>
      <c r="E4297" s="11" t="inlineStr"/>
      <c r="F4297" s="11" t="n">
        <v>0</v>
      </c>
      <c r="G4297" s="11">
        <f>E4297-F4297</f>
        <v/>
      </c>
      <c r="H4297" s="11" t="n">
        <v/>
      </c>
      <c r="I4297" s="11" t="n">
        <v/>
      </c>
      <c r="J4297" s="11" t="n">
        <v/>
      </c>
      <c r="K4297" s="4" t="inlineStr">
        <is>
          <t>Abrechnungsart wählen; Stundensätze eingeben</t>
        </is>
      </c>
    </row>
    <row r="4298">
      <c r="A4298" s="4" t="inlineStr">
        <is>
          <t>7151 AWO-BSN-Bestandsgeb-Badgasse1-Memmingen</t>
        </is>
      </c>
      <c r="B4298" s="4" t="inlineStr">
        <is>
          <t>● (aN) Pos. 7 Digitalisierung der Planunterlagen (CAD)</t>
        </is>
      </c>
      <c r="C4298" s="4" t="inlineStr">
        <is>
          <t>Nachweis</t>
        </is>
      </c>
      <c r="D4298" s="10" t="inlineStr">
        <is>
          <t>⚠ Manual erforderlich</t>
        </is>
      </c>
      <c r="E4298" s="11" t="inlineStr"/>
      <c r="F4298" s="11" t="n">
        <v>0</v>
      </c>
      <c r="G4298" s="11">
        <f>E4298-F4298</f>
        <v/>
      </c>
      <c r="H4298" s="11" t="n">
        <v/>
      </c>
      <c r="I4298" s="11" t="n">
        <v/>
      </c>
      <c r="J4298" s="11" t="n">
        <v/>
      </c>
      <c r="K4298" s="4" t="inlineStr">
        <is>
          <t>Stundensätze eingeben</t>
        </is>
      </c>
    </row>
    <row r="4299">
      <c r="A4299" s="4" t="inlineStr">
        <is>
          <t>7153 BTB-ASB-Wiesbaden-Rahmenvereinbarung</t>
        </is>
      </c>
      <c r="B4299" s="4" t="inlineStr">
        <is>
          <t>● (a.N.) Pos.1 RV-Brandschutztechnische Beratung</t>
        </is>
      </c>
      <c r="C4299" s="4" t="inlineStr">
        <is>
          <t>Nachweis</t>
        </is>
      </c>
      <c r="D4299" s="10" t="inlineStr">
        <is>
          <t>⚠ Manual erforderlich</t>
        </is>
      </c>
      <c r="E4299" s="11" t="inlineStr"/>
      <c r="F4299" s="11" t="n">
        <v>0</v>
      </c>
      <c r="G4299" s="11">
        <f>E4299-F4299</f>
        <v/>
      </c>
      <c r="H4299" s="11" t="n">
        <v/>
      </c>
      <c r="I4299" s="11" t="n">
        <v/>
      </c>
      <c r="J4299" s="11" t="n">
        <v/>
      </c>
      <c r="K4299" s="4" t="inlineStr">
        <is>
          <t>Stundensätze eingeben</t>
        </is>
      </c>
    </row>
    <row r="4300">
      <c r="A4300" s="4" t="inlineStr">
        <is>
          <t>7154 BlueEstate-BSN-Fitnessstudio-LandsbergerStr-München</t>
        </is>
      </c>
      <c r="B4300" s="4" t="inlineStr">
        <is>
          <t>● Fortschr. BSN, ANG 1+2</t>
        </is>
      </c>
      <c r="C4300" s="9" t="inlineStr">
        <is>
          <t>Unbekannt</t>
        </is>
      </c>
      <c r="D4300" s="10" t="inlineStr">
        <is>
          <t>⚠ Manual erforderlich</t>
        </is>
      </c>
      <c r="E4300" s="11" t="inlineStr"/>
      <c r="F4300" s="11" t="n">
        <v>0</v>
      </c>
      <c r="G4300" s="11">
        <f>E4300-F4300</f>
        <v/>
      </c>
      <c r="H4300" s="11" t="n">
        <v/>
      </c>
      <c r="I4300" s="11" t="n">
        <v/>
      </c>
      <c r="J4300" s="11" t="n">
        <v/>
      </c>
      <c r="K4300" s="4" t="inlineStr">
        <is>
          <t>Abrechnungsart wählen; Stundensätze eingeben</t>
        </is>
      </c>
    </row>
    <row r="4301">
      <c r="A4301" s="4" t="inlineStr">
        <is>
          <t>7155 BSK-Am-Füllgarten-8-Usingen-Haus1+2</t>
        </is>
      </c>
      <c r="B4301" s="4" t="inlineStr">
        <is>
          <t>● (p) Pos.1 Erstellung BSN</t>
        </is>
      </c>
      <c r="C4301" s="4" t="inlineStr">
        <is>
          <t>Pauschale</t>
        </is>
      </c>
      <c r="D4301" s="10" t="inlineStr">
        <is>
          <t>⚠ Manual erforderlich</t>
        </is>
      </c>
      <c r="E4301" s="11" t="inlineStr"/>
      <c r="F4301" s="11" t="n">
        <v>0</v>
      </c>
      <c r="G4301" s="11">
        <f>E4301-F4301</f>
        <v/>
      </c>
      <c r="H4301" s="11" t="n">
        <v>0</v>
      </c>
      <c r="I4301" s="11" t="n">
        <v>0</v>
      </c>
      <c r="J4301" s="11" t="n">
        <v>0</v>
      </c>
      <c r="K4301" s="4" t="inlineStr">
        <is>
          <t>Stundensätze eingeben</t>
        </is>
      </c>
    </row>
    <row r="4302">
      <c r="A4302" s="4" t="inlineStr">
        <is>
          <t>7155 BSK-Am-Füllgarten-8-Usingen-Haus1+2</t>
        </is>
      </c>
      <c r="B4302" s="4" t="inlineStr">
        <is>
          <t>● (aN) Pos.2 Baubegl. Brandschutzberatung+Qualitätssicherung</t>
        </is>
      </c>
      <c r="C4302" s="4" t="inlineStr">
        <is>
          <t>Nachweis</t>
        </is>
      </c>
      <c r="D4302" s="10" t="inlineStr">
        <is>
          <t>⚠ Manual erforderlich</t>
        </is>
      </c>
      <c r="E4302" s="11" t="inlineStr"/>
      <c r="F4302" s="11" t="n">
        <v>0</v>
      </c>
      <c r="G4302" s="11">
        <f>E4302-F4302</f>
        <v/>
      </c>
      <c r="H4302" s="11" t="n">
        <v/>
      </c>
      <c r="I4302" s="11" t="n">
        <v/>
      </c>
      <c r="J4302" s="11" t="n">
        <v/>
      </c>
      <c r="K4302" s="4" t="inlineStr">
        <is>
          <t>Stundensätze eingeben</t>
        </is>
      </c>
    </row>
    <row r="4303">
      <c r="A4303" s="4" t="inlineStr">
        <is>
          <t>7156 BTB-Kruppstraße-Frankfurt-Büro-FR02</t>
        </is>
      </c>
      <c r="B4303" s="4" t="inlineStr">
        <is>
          <t>● (a.N.) Pos.1 fire safety consulting / BTB</t>
        </is>
      </c>
      <c r="C4303" s="4" t="inlineStr">
        <is>
          <t>Nachweis</t>
        </is>
      </c>
      <c r="D4303" s="10" t="inlineStr">
        <is>
          <t>⚠ Manual erforderlich</t>
        </is>
      </c>
      <c r="E4303" s="11" t="inlineStr"/>
      <c r="F4303" s="11" t="n">
        <v>0</v>
      </c>
      <c r="G4303" s="11">
        <f>E4303-F4303</f>
        <v/>
      </c>
      <c r="H4303" s="11" t="n">
        <v/>
      </c>
      <c r="I4303" s="11" t="n">
        <v/>
      </c>
      <c r="J4303" s="11" t="n">
        <v/>
      </c>
      <c r="K4303" s="4" t="inlineStr">
        <is>
          <t>Stundensätze eingeben</t>
        </is>
      </c>
    </row>
    <row r="4304">
      <c r="A4304" s="4" t="inlineStr">
        <is>
          <t>7159 BST-TE Connectivity-Speyer-Leichtbauhalle</t>
        </is>
      </c>
      <c r="B4304" s="4" t="inlineStr">
        <is>
          <t>● (aN) Pos.1 Bestandsaufnahme + brandschutztechn. Beratung</t>
        </is>
      </c>
      <c r="C4304" s="4" t="inlineStr">
        <is>
          <t>Nachweis</t>
        </is>
      </c>
      <c r="D4304" s="10" t="inlineStr">
        <is>
          <t>⚠ Manual erforderlich</t>
        </is>
      </c>
      <c r="E4304" s="11" t="inlineStr"/>
      <c r="F4304" s="11" t="n">
        <v>0</v>
      </c>
      <c r="G4304" s="11">
        <f>E4304-F4304</f>
        <v/>
      </c>
      <c r="H4304" s="11" t="n">
        <v/>
      </c>
      <c r="I4304" s="11" t="n">
        <v/>
      </c>
      <c r="J4304" s="11" t="n">
        <v/>
      </c>
      <c r="K4304" s="4" t="inlineStr">
        <is>
          <t>Stundensätze eingeben</t>
        </is>
      </c>
    </row>
    <row r="4305">
      <c r="A4305" s="4" t="inlineStr">
        <is>
          <t>7159 BST-TE Connectivity-Speyer-Leichtbauhalle</t>
        </is>
      </c>
      <c r="B4305" s="4" t="inlineStr">
        <is>
          <t>● (p) Pos.2 Erstellung BST</t>
        </is>
      </c>
      <c r="C4305" s="4" t="inlineStr">
        <is>
          <t>Pauschale</t>
        </is>
      </c>
      <c r="D4305" s="10" t="inlineStr">
        <is>
          <t>⚠ Manual erforderlich</t>
        </is>
      </c>
      <c r="E4305" s="11" t="inlineStr"/>
      <c r="F4305" s="11" t="n">
        <v>0</v>
      </c>
      <c r="G4305" s="11">
        <f>E4305-F4305</f>
        <v/>
      </c>
      <c r="H4305" s="11" t="n">
        <v>0</v>
      </c>
      <c r="I4305" s="11" t="n">
        <v>0</v>
      </c>
      <c r="J4305" s="11" t="n">
        <v>0</v>
      </c>
      <c r="K4305" s="4" t="inlineStr">
        <is>
          <t>Stundensätze eingeben</t>
        </is>
      </c>
    </row>
    <row r="4306">
      <c r="A4306" s="4" t="inlineStr">
        <is>
          <t>7159.01 TE Connectivity-BSK-Geb2701,2702-Siemensstr18-Speyer</t>
        </is>
      </c>
      <c r="B4306" s="4" t="inlineStr">
        <is>
          <t>● (p) Pos. 1 Erstellung Brandschutzkonzept</t>
        </is>
      </c>
      <c r="C4306" s="4" t="inlineStr">
        <is>
          <t>Pauschale</t>
        </is>
      </c>
      <c r="D4306" s="10" t="inlineStr">
        <is>
          <t>⚠ Manual erforderlich</t>
        </is>
      </c>
      <c r="E4306" s="11" t="inlineStr"/>
      <c r="F4306" s="11" t="n">
        <v>0</v>
      </c>
      <c r="G4306" s="11">
        <f>E4306-F4306</f>
        <v/>
      </c>
      <c r="H4306" s="11" t="n">
        <v>0</v>
      </c>
      <c r="I4306" s="11" t="n">
        <v>0</v>
      </c>
      <c r="J4306" s="11" t="n">
        <v>0</v>
      </c>
      <c r="K4306" s="4" t="inlineStr">
        <is>
          <t>Stundensätze eingeben</t>
        </is>
      </c>
    </row>
    <row r="4307">
      <c r="A4307" s="4" t="inlineStr">
        <is>
          <t>7159.01 TE Connectivity-BSK-Geb2701,2702-Siemensstr18-Speyer</t>
        </is>
      </c>
      <c r="B4307" s="4" t="inlineStr">
        <is>
          <t>● (aN) Pos. 2 Termine in Speyer</t>
        </is>
      </c>
      <c r="C4307" s="4" t="inlineStr">
        <is>
          <t>Nachweis</t>
        </is>
      </c>
      <c r="D4307" s="10" t="inlineStr">
        <is>
          <t>⚠ Manual erforderlich</t>
        </is>
      </c>
      <c r="E4307" s="11" t="inlineStr"/>
      <c r="F4307" s="11" t="n">
        <v>0</v>
      </c>
      <c r="G4307" s="11">
        <f>E4307-F4307</f>
        <v/>
      </c>
      <c r="H4307" s="11" t="n">
        <v/>
      </c>
      <c r="I4307" s="11" t="n">
        <v/>
      </c>
      <c r="J4307" s="11" t="n">
        <v/>
      </c>
      <c r="K4307" s="4" t="inlineStr">
        <is>
          <t>Stundensätze eingeben</t>
        </is>
      </c>
    </row>
    <row r="4308">
      <c r="A4308" s="4" t="inlineStr">
        <is>
          <t>7159.02 TE Connectivity-BFM-Siemensstr13-Speyer</t>
        </is>
      </c>
      <c r="B4308" s="4" t="inlineStr">
        <is>
          <t>● (aN) Pos. 1 Qualitative Brandfallsteuermatrizen</t>
        </is>
      </c>
      <c r="C4308" s="4" t="inlineStr">
        <is>
          <t>Nachweis</t>
        </is>
      </c>
      <c r="D4308" s="10" t="inlineStr">
        <is>
          <t>⚠ Manual erforderlich</t>
        </is>
      </c>
      <c r="E4308" s="11" t="inlineStr"/>
      <c r="F4308" s="11" t="n">
        <v>0</v>
      </c>
      <c r="G4308" s="11">
        <f>E4308-F4308</f>
        <v/>
      </c>
      <c r="H4308" s="11" t="n">
        <v/>
      </c>
      <c r="I4308" s="11" t="n">
        <v/>
      </c>
      <c r="J4308" s="11" t="n">
        <v/>
      </c>
      <c r="K4308" s="4" t="inlineStr">
        <is>
          <t>Stundensätze eingeben</t>
        </is>
      </c>
    </row>
    <row r="4309">
      <c r="A4309" s="4" t="inlineStr">
        <is>
          <t>7159.03  TE-Connectivity-BST-Geb6-Siemensstr13-Speyer</t>
        </is>
      </c>
      <c r="B4309" s="4" t="inlineStr">
        <is>
          <t>● (p) Pos. 1 Brandschutztechnische Bewertung</t>
        </is>
      </c>
      <c r="C4309" s="4" t="inlineStr">
        <is>
          <t>Pauschale</t>
        </is>
      </c>
      <c r="D4309" s="10" t="inlineStr">
        <is>
          <t>⚠ Manual erforderlich</t>
        </is>
      </c>
      <c r="E4309" s="11" t="inlineStr"/>
      <c r="F4309" s="11" t="n">
        <v>0</v>
      </c>
      <c r="G4309" s="11">
        <f>E4309-F4309</f>
        <v/>
      </c>
      <c r="H4309" s="11" t="n">
        <v>0</v>
      </c>
      <c r="I4309" s="11" t="n">
        <v>0</v>
      </c>
      <c r="J4309" s="11" t="n">
        <v>0</v>
      </c>
      <c r="K4309" s="4" t="inlineStr">
        <is>
          <t>Stundensätze eingeben</t>
        </is>
      </c>
    </row>
    <row r="4310">
      <c r="A4310" s="4" t="inlineStr">
        <is>
          <t>7159.03  TE-Connectivity-BST-Geb6-Siemensstr13-Speyer</t>
        </is>
      </c>
      <c r="B4310" s="4" t="inlineStr">
        <is>
          <t>● (aN) Pos. 2 BTB</t>
        </is>
      </c>
      <c r="C4310" s="4" t="inlineStr">
        <is>
          <t>Nachweis</t>
        </is>
      </c>
      <c r="D4310" s="10" t="inlineStr">
        <is>
          <t>⚠ Manual erforderlich</t>
        </is>
      </c>
      <c r="E4310" s="11" t="inlineStr"/>
      <c r="F4310" s="11" t="n">
        <v>0</v>
      </c>
      <c r="G4310" s="11">
        <f>E4310-F4310</f>
        <v/>
      </c>
      <c r="H4310" s="11" t="n">
        <v/>
      </c>
      <c r="I4310" s="11" t="n">
        <v/>
      </c>
      <c r="J4310" s="11" t="n">
        <v/>
      </c>
      <c r="K4310" s="4" t="inlineStr">
        <is>
          <t>Stundensätze eingeben</t>
        </is>
      </c>
    </row>
    <row r="4311">
      <c r="A4311" s="4" t="inlineStr">
        <is>
          <t>7159.04 TE-Connectivity-FRP-Siemensstr13-Speyer</t>
        </is>
      </c>
      <c r="B4311" s="4" t="inlineStr">
        <is>
          <t>● (aN) Pos. 1 Überarbeitung der Flucht- und Rettungspläne (CAD 100h) 7.000€</t>
        </is>
      </c>
      <c r="C4311" s="4" t="inlineStr">
        <is>
          <t>Nachweis</t>
        </is>
      </c>
      <c r="D4311" s="10" t="inlineStr">
        <is>
          <t>⚠ Manual erforderlich</t>
        </is>
      </c>
      <c r="E4311" s="11" t="inlineStr"/>
      <c r="F4311" s="11" t="n">
        <v>0</v>
      </c>
      <c r="G4311" s="11">
        <f>E4311-F4311</f>
        <v/>
      </c>
      <c r="H4311" s="11" t="n">
        <v/>
      </c>
      <c r="I4311" s="11" t="n">
        <v/>
      </c>
      <c r="J4311" s="11" t="n">
        <v/>
      </c>
      <c r="K4311" s="4" t="inlineStr">
        <is>
          <t>Stundensätze eingeben</t>
        </is>
      </c>
    </row>
    <row r="4312">
      <c r="A4312" s="4" t="inlineStr">
        <is>
          <t>7159.04 TE-Connectivity-FRP-Siemensstr13-Speyer</t>
        </is>
      </c>
      <c r="B4312" s="4" t="inlineStr">
        <is>
          <t>● (aN) Pos. 2 Überarbeitung der Feuerwehrpläne (CAD 100h) 7.000€</t>
        </is>
      </c>
      <c r="C4312" s="4" t="inlineStr">
        <is>
          <t>Nachweis</t>
        </is>
      </c>
      <c r="D4312" s="10" t="inlineStr">
        <is>
          <t>⚠ Manual erforderlich</t>
        </is>
      </c>
      <c r="E4312" s="11" t="inlineStr"/>
      <c r="F4312" s="11" t="n">
        <v>0</v>
      </c>
      <c r="G4312" s="11">
        <f>E4312-F4312</f>
        <v/>
      </c>
      <c r="H4312" s="11" t="n">
        <v/>
      </c>
      <c r="I4312" s="11" t="n">
        <v/>
      </c>
      <c r="J4312" s="11" t="n">
        <v/>
      </c>
      <c r="K4312" s="4" t="inlineStr">
        <is>
          <t>Stundensätze eingeben</t>
        </is>
      </c>
    </row>
    <row r="4313">
      <c r="A4313" s="4" t="inlineStr">
        <is>
          <t>7159.04 TE-Connectivity-FRP-Siemensstr13-Speyer</t>
        </is>
      </c>
      <c r="B4313" s="4" t="inlineStr">
        <is>
          <t>● (aN) Pos. 3 Optional: Begehungen vor Ort (CAD 100h) 7.000€</t>
        </is>
      </c>
      <c r="C4313" s="4" t="inlineStr">
        <is>
          <t>Nachweis</t>
        </is>
      </c>
      <c r="D4313" s="10" t="inlineStr">
        <is>
          <t>⚠ Manual erforderlich</t>
        </is>
      </c>
      <c r="E4313" s="11" t="inlineStr"/>
      <c r="F4313" s="11" t="n">
        <v>0</v>
      </c>
      <c r="G4313" s="11">
        <f>E4313-F4313</f>
        <v/>
      </c>
      <c r="H4313" s="11" t="n">
        <v/>
      </c>
      <c r="I4313" s="11" t="n">
        <v/>
      </c>
      <c r="J4313" s="11" t="n">
        <v/>
      </c>
      <c r="K4313" s="4" t="inlineStr">
        <is>
          <t>Stundensätze eingeben</t>
        </is>
      </c>
    </row>
    <row r="4314">
      <c r="A4314" s="4" t="inlineStr">
        <is>
          <t>7161.01 RMK-KH-Herrenberg-Marienstraße-25-Herrenberg</t>
        </is>
      </c>
      <c r="B4314" s="4" t="inlineStr">
        <is>
          <t>● (p) Pos.1 Erst. Räumungskonzept</t>
        </is>
      </c>
      <c r="C4314" s="4" t="inlineStr">
        <is>
          <t>Pauschale</t>
        </is>
      </c>
      <c r="D4314" s="10" t="inlineStr">
        <is>
          <t>⚠ Manual erforderlich</t>
        </is>
      </c>
      <c r="E4314" s="11" t="inlineStr"/>
      <c r="F4314" s="11" t="n">
        <v>0</v>
      </c>
      <c r="G4314" s="11">
        <f>E4314-F4314</f>
        <v/>
      </c>
      <c r="H4314" s="11" t="n">
        <v>0</v>
      </c>
      <c r="I4314" s="11" t="n">
        <v>0</v>
      </c>
      <c r="J4314" s="11" t="n">
        <v>0</v>
      </c>
      <c r="K4314" s="4" t="inlineStr">
        <is>
          <t>Stundensätze eingeben</t>
        </is>
      </c>
    </row>
    <row r="4315">
      <c r="A4315" s="4" t="inlineStr">
        <is>
          <t>7161.01 RMK-KH-Herrenberg-Marienstraße-25-Herrenberg</t>
        </is>
      </c>
      <c r="B4315" s="4" t="inlineStr">
        <is>
          <t>● (aN) Pos.2 Räumungskonzeptpläne 4 Stck</t>
        </is>
      </c>
      <c r="C4315" s="4" t="inlineStr">
        <is>
          <t>Nachweis</t>
        </is>
      </c>
      <c r="D4315" s="10" t="inlineStr">
        <is>
          <t>⚠ Manual erforderlich</t>
        </is>
      </c>
      <c r="E4315" s="11" t="inlineStr"/>
      <c r="F4315" s="11" t="n">
        <v>0</v>
      </c>
      <c r="G4315" s="11">
        <f>E4315-F4315</f>
        <v/>
      </c>
      <c r="H4315" s="11" t="n">
        <v/>
      </c>
      <c r="I4315" s="11" t="n">
        <v/>
      </c>
      <c r="J4315" s="11" t="n">
        <v/>
      </c>
      <c r="K4315" s="4" t="inlineStr">
        <is>
          <t>Stundensätze eingeben</t>
        </is>
      </c>
    </row>
    <row r="4316">
      <c r="A4316" s="4" t="inlineStr">
        <is>
          <t>7161.01 RMK-KH-Herrenberg-Marienstraße-25-Herrenberg</t>
        </is>
      </c>
      <c r="B4316" s="4" t="inlineStr">
        <is>
          <t>● (aN) Pos.3 RMS (Räumungskarten) 14 Stck.</t>
        </is>
      </c>
      <c r="C4316" s="4" t="inlineStr">
        <is>
          <t>Nachweis</t>
        </is>
      </c>
      <c r="D4316" s="10" t="inlineStr">
        <is>
          <t>⚠ Manual erforderlich</t>
        </is>
      </c>
      <c r="E4316" s="11" t="inlineStr"/>
      <c r="F4316" s="11" t="n">
        <v>0</v>
      </c>
      <c r="G4316" s="11">
        <f>E4316-F4316</f>
        <v/>
      </c>
      <c r="H4316" s="11" t="n">
        <v/>
      </c>
      <c r="I4316" s="11" t="n">
        <v/>
      </c>
      <c r="J4316" s="11" t="n">
        <v/>
      </c>
      <c r="K4316" s="4" t="inlineStr">
        <is>
          <t>Stundensätze eingeben</t>
        </is>
      </c>
    </row>
    <row r="4317">
      <c r="A4317" s="4" t="inlineStr">
        <is>
          <t>7161.02 RMU-KH-Herrenberg-Marienstraße-25-Herrenberg</t>
        </is>
      </c>
      <c r="B4317" s="4" t="inlineStr">
        <is>
          <t>● (aN) Pos.1 Räumungsmappe (11 Mappen à 104€/Stck.) = 1.144€</t>
        </is>
      </c>
      <c r="C4317" s="4" t="inlineStr">
        <is>
          <t>Nachweis</t>
        </is>
      </c>
      <c r="D4317" s="10" t="inlineStr">
        <is>
          <t>⚠ Manual erforderlich</t>
        </is>
      </c>
      <c r="E4317" s="11" t="inlineStr"/>
      <c r="F4317" s="11" t="n">
        <v>0</v>
      </c>
      <c r="G4317" s="11">
        <f>E4317-F4317</f>
        <v/>
      </c>
      <c r="H4317" s="11" t="n">
        <v/>
      </c>
      <c r="I4317" s="11" t="n">
        <v/>
      </c>
      <c r="J4317" s="11" t="n">
        <v/>
      </c>
      <c r="K4317" s="4" t="inlineStr">
        <is>
          <t>Stundensätze eingeben</t>
        </is>
      </c>
    </row>
    <row r="4318">
      <c r="A4318" s="4" t="inlineStr">
        <is>
          <t>7162.01 Sanden-BTB-PLA-Technical-Centre-Am-Taubenbaum-35-37-Bad Nauheim</t>
        </is>
      </c>
      <c r="B4318" s="4" t="inlineStr">
        <is>
          <t>● (p) Pos. 2 Planung einer Hochdruck-Wassernebel-Löschanlage (HDWNL) bezüglich des in der Vorbemerkung genannten Sachverhaltes</t>
        </is>
      </c>
      <c r="C4318" s="4" t="inlineStr">
        <is>
          <t>Pauschale</t>
        </is>
      </c>
      <c r="D4318" s="10" t="inlineStr">
        <is>
          <t>⚠ Manual erforderlich</t>
        </is>
      </c>
      <c r="E4318" s="11" t="inlineStr"/>
      <c r="F4318" s="11" t="n">
        <v>0</v>
      </c>
      <c r="G4318" s="11">
        <f>E4318-F4318</f>
        <v/>
      </c>
      <c r="H4318" s="11" t="n">
        <v>0</v>
      </c>
      <c r="I4318" s="11" t="n">
        <v>0</v>
      </c>
      <c r="J4318" s="11" t="n">
        <v>0</v>
      </c>
      <c r="K4318" s="4" t="inlineStr">
        <is>
          <t>Stundensätze eingeben</t>
        </is>
      </c>
    </row>
    <row r="4319">
      <c r="A4319" s="4" t="inlineStr">
        <is>
          <t>7164 BTB-Haus-am-Silberberg-Am-Eichert-42-46-Huenstetten</t>
        </is>
      </c>
      <c r="B4319" s="4" t="inlineStr">
        <is>
          <t>● (aN) Pos.1 BTB-Thematik Ausführung v. Abschottungen d. Leitungsanlagen</t>
        </is>
      </c>
      <c r="C4319" s="4" t="inlineStr">
        <is>
          <t>Nachweis</t>
        </is>
      </c>
      <c r="D4319" s="10" t="inlineStr">
        <is>
          <t>⚠ Manual erforderlich</t>
        </is>
      </c>
      <c r="E4319" s="11" t="inlineStr"/>
      <c r="F4319" s="11" t="n">
        <v>0</v>
      </c>
      <c r="G4319" s="11">
        <f>E4319-F4319</f>
        <v/>
      </c>
      <c r="H4319" s="11" t="n">
        <v/>
      </c>
      <c r="I4319" s="11" t="n">
        <v/>
      </c>
      <c r="J4319" s="11" t="n">
        <v/>
      </c>
      <c r="K4319" s="4" t="inlineStr">
        <is>
          <t>Stundensätze eingeben</t>
        </is>
      </c>
    </row>
    <row r="4320">
      <c r="A4320" s="4" t="inlineStr">
        <is>
          <t>7164.01 FWP-Haus-am-Silberberg-Am-Eichert-42-46-Huenstetten</t>
        </is>
      </c>
      <c r="B4320" s="4" t="inlineStr">
        <is>
          <t>● (p) Pos.1 Erstellung FWP</t>
        </is>
      </c>
      <c r="C4320" s="4" t="inlineStr">
        <is>
          <t>Pauschale</t>
        </is>
      </c>
      <c r="D4320" s="10" t="inlineStr">
        <is>
          <t>⚠ Manual erforderlich</t>
        </is>
      </c>
      <c r="E4320" s="11" t="inlineStr"/>
      <c r="F4320" s="11" t="n">
        <v>0</v>
      </c>
      <c r="G4320" s="11">
        <f>E4320-F4320</f>
        <v/>
      </c>
      <c r="H4320" s="11" t="n">
        <v>0</v>
      </c>
      <c r="I4320" s="11" t="n">
        <v>0</v>
      </c>
      <c r="J4320" s="11" t="n">
        <v>0</v>
      </c>
      <c r="K4320" s="4" t="inlineStr">
        <is>
          <t>Stundensätze eingeben</t>
        </is>
      </c>
    </row>
    <row r="4321">
      <c r="A4321" s="4" t="inlineStr">
        <is>
          <t>7166 BTB-Gewerbestraße-2-Niederrieden-Netto-Markt</t>
        </is>
      </c>
      <c r="B4321" s="4" t="inlineStr">
        <is>
          <t>● (aN) Pos.1 Brandschutztechn. Beratung</t>
        </is>
      </c>
      <c r="C4321" s="4" t="inlineStr">
        <is>
          <t>Nachweis</t>
        </is>
      </c>
      <c r="D4321" s="10" t="inlineStr">
        <is>
          <t>⚠ Manual erforderlich</t>
        </is>
      </c>
      <c r="E4321" s="11" t="inlineStr"/>
      <c r="F4321" s="11" t="n">
        <v>0</v>
      </c>
      <c r="G4321" s="11">
        <f>E4321-F4321</f>
        <v/>
      </c>
      <c r="H4321" s="11" t="n">
        <v/>
      </c>
      <c r="I4321" s="11" t="n">
        <v/>
      </c>
      <c r="J4321" s="11" t="n">
        <v/>
      </c>
      <c r="K4321" s="4" t="inlineStr">
        <is>
          <t>Stundensätze eingeben</t>
        </is>
      </c>
    </row>
    <row r="4322">
      <c r="A4322" s="4" t="inlineStr">
        <is>
          <t>7167 BTB-Arabellabogen-Rosenkavaliersplatz-München-Tiefgaragentore</t>
        </is>
      </c>
      <c r="B4322" s="4" t="inlineStr">
        <is>
          <t>● (p) Pos.1 Erstellen BTB</t>
        </is>
      </c>
      <c r="C4322" s="4" t="inlineStr">
        <is>
          <t>Pauschale</t>
        </is>
      </c>
      <c r="D4322" s="10" t="inlineStr">
        <is>
          <t>⚠ Manual erforderlich</t>
        </is>
      </c>
      <c r="E4322" s="11" t="inlineStr"/>
      <c r="F4322" s="11" t="n">
        <v>0</v>
      </c>
      <c r="G4322" s="11">
        <f>E4322-F4322</f>
        <v/>
      </c>
      <c r="H4322" s="11" t="n">
        <v>0</v>
      </c>
      <c r="I4322" s="11" t="n">
        <v>0</v>
      </c>
      <c r="J4322" s="11" t="n">
        <v>0</v>
      </c>
      <c r="K4322" s="4" t="inlineStr">
        <is>
          <t>Stundensätze eingeben</t>
        </is>
      </c>
    </row>
    <row r="4323">
      <c r="A4323" s="4" t="inlineStr">
        <is>
          <t>7168.01 DFI-BTB-Benzstraße-1-3-BadHomburg</t>
        </is>
      </c>
      <c r="B4323" s="4" t="inlineStr">
        <is>
          <t>● (aN) Pos.1 BTB -Bew. Nutzungsmöglichk. d. Bereichs mech.Versuchswerkstatt i.Abgl. zum BSK</t>
        </is>
      </c>
      <c r="C4323" s="4" t="inlineStr">
        <is>
          <t>Nachweis</t>
        </is>
      </c>
      <c r="D4323" s="10" t="inlineStr">
        <is>
          <t>⚠ Manual erforderlich</t>
        </is>
      </c>
      <c r="E4323" s="11" t="inlineStr"/>
      <c r="F4323" s="11" t="n">
        <v>0</v>
      </c>
      <c r="G4323" s="11">
        <f>E4323-F4323</f>
        <v/>
      </c>
      <c r="H4323" s="11" t="n">
        <v/>
      </c>
      <c r="I4323" s="11" t="n">
        <v/>
      </c>
      <c r="J4323" s="11" t="n">
        <v/>
      </c>
      <c r="K4323" s="4" t="inlineStr">
        <is>
          <t>Stundensätze eingeben</t>
        </is>
      </c>
    </row>
    <row r="4324">
      <c r="A4324" s="4" t="inlineStr">
        <is>
          <t>7169 FRP-Pollhornbogen-8-Hamburg-svt</t>
        </is>
      </c>
      <c r="B4324" s="4" t="inlineStr">
        <is>
          <t>● (p) Pos.1 FRP</t>
        </is>
      </c>
      <c r="C4324" s="4" t="inlineStr">
        <is>
          <t>Pauschale</t>
        </is>
      </c>
      <c r="D4324" s="10" t="inlineStr">
        <is>
          <t>⚠ Manual erforderlich</t>
        </is>
      </c>
      <c r="E4324" s="11" t="inlineStr"/>
      <c r="F4324" s="11" t="n">
        <v>0</v>
      </c>
      <c r="G4324" s="11">
        <f>E4324-F4324</f>
        <v/>
      </c>
      <c r="H4324" s="11" t="n">
        <v>0</v>
      </c>
      <c r="I4324" s="11" t="n">
        <v>0</v>
      </c>
      <c r="J4324" s="11" t="n">
        <v>0</v>
      </c>
      <c r="K4324" s="4" t="inlineStr">
        <is>
          <t>Stundensätze eingeben</t>
        </is>
      </c>
    </row>
    <row r="4325">
      <c r="A4325" s="4" t="inlineStr">
        <is>
          <t>7171 KOF-Funkturm-1133054-Wermelskirch</t>
        </is>
      </c>
      <c r="B4325" s="4" t="inlineStr">
        <is>
          <t>● (p) Pos.1 KOF</t>
        </is>
      </c>
      <c r="C4325" s="4" t="inlineStr">
        <is>
          <t>Pauschale</t>
        </is>
      </c>
      <c r="D4325" s="10" t="inlineStr">
        <is>
          <t>⚠ Manual erforderlich</t>
        </is>
      </c>
      <c r="E4325" s="11" t="inlineStr"/>
      <c r="F4325" s="11" t="n">
        <v>0</v>
      </c>
      <c r="G4325" s="11">
        <f>E4325-F4325</f>
        <v/>
      </c>
      <c r="H4325" s="11" t="n">
        <v>0</v>
      </c>
      <c r="I4325" s="11" t="n">
        <v>0</v>
      </c>
      <c r="J4325" s="11" t="n">
        <v>0</v>
      </c>
      <c r="K4325" s="4" t="inlineStr">
        <is>
          <t>Stundensätze eingeben</t>
        </is>
      </c>
    </row>
    <row r="4326">
      <c r="A4326" s="4" t="inlineStr">
        <is>
          <t>7173 Vattenfall-BSK-WEA-Hoerscheid-Darscheid</t>
        </is>
      </c>
      <c r="B4326" s="4" t="inlineStr">
        <is>
          <t>● (p) Pos. 1 Erstellung Brandschutzkonzept</t>
        </is>
      </c>
      <c r="C4326" s="4" t="inlineStr">
        <is>
          <t>Pauschale</t>
        </is>
      </c>
      <c r="D4326" s="10" t="inlineStr">
        <is>
          <t>⚠ Manual erforderlich</t>
        </is>
      </c>
      <c r="E4326" s="11" t="inlineStr"/>
      <c r="F4326" s="11" t="n">
        <v>0</v>
      </c>
      <c r="G4326" s="11">
        <f>E4326-F4326</f>
        <v/>
      </c>
      <c r="H4326" s="11" t="n">
        <v>0</v>
      </c>
      <c r="I4326" s="11" t="n">
        <v>0</v>
      </c>
      <c r="J4326" s="11" t="n">
        <v>0</v>
      </c>
      <c r="K4326" s="4" t="inlineStr">
        <is>
          <t>Stundensätze eingeben</t>
        </is>
      </c>
    </row>
    <row r="4327">
      <c r="A4327" s="4" t="inlineStr">
        <is>
          <t>7174 Vattenfall-BSK-WEA-Mehlingen</t>
        </is>
      </c>
      <c r="B4327" s="4" t="inlineStr">
        <is>
          <t>● (p) Pos. 1 Erstellung Brandschutzkonzept</t>
        </is>
      </c>
      <c r="C4327" s="4" t="inlineStr">
        <is>
          <t>Pauschale</t>
        </is>
      </c>
      <c r="D4327" s="10" t="inlineStr">
        <is>
          <t>⚠ Manual erforderlich</t>
        </is>
      </c>
      <c r="E4327" s="11" t="inlineStr"/>
      <c r="F4327" s="11" t="n">
        <v>0</v>
      </c>
      <c r="G4327" s="11">
        <f>E4327-F4327</f>
        <v/>
      </c>
      <c r="H4327" s="11" t="n">
        <v>0</v>
      </c>
      <c r="I4327" s="11" t="n">
        <v>0</v>
      </c>
      <c r="J4327" s="11" t="n">
        <v>0</v>
      </c>
      <c r="K4327" s="4" t="inlineStr">
        <is>
          <t>Stundensätze eingeben</t>
        </is>
      </c>
    </row>
    <row r="4328">
      <c r="A4328" s="4" t="inlineStr">
        <is>
          <t>7175 Vattenfall-BSK-WEA-Waidachswald</t>
        </is>
      </c>
      <c r="B4328" s="4" t="inlineStr">
        <is>
          <t>● (p) Pos. 1 Erstellung Brandschutzkonzept</t>
        </is>
      </c>
      <c r="C4328" s="4" t="inlineStr">
        <is>
          <t>Pauschale</t>
        </is>
      </c>
      <c r="D4328" s="10" t="inlineStr">
        <is>
          <t>⚠ Manual erforderlich</t>
        </is>
      </c>
      <c r="E4328" s="11" t="inlineStr"/>
      <c r="F4328" s="11" t="n">
        <v>0</v>
      </c>
      <c r="G4328" s="11">
        <f>E4328-F4328</f>
        <v/>
      </c>
      <c r="H4328" s="11" t="n">
        <v>0</v>
      </c>
      <c r="I4328" s="11" t="n">
        <v>0</v>
      </c>
      <c r="J4328" s="11" t="n">
        <v>0</v>
      </c>
      <c r="K4328" s="4" t="inlineStr">
        <is>
          <t>Stundensätze eingeben</t>
        </is>
      </c>
    </row>
    <row r="4329">
      <c r="A4329" s="4" t="inlineStr">
        <is>
          <t>7177 PUK-BTB-Ferragamo-Maximilianstr29-München</t>
        </is>
      </c>
      <c r="B4329" s="4" t="inlineStr">
        <is>
          <t>● (aN) Pos. 1 Brandschutztechnische Beratung Ladenfläche 'Ferragamo'</t>
        </is>
      </c>
      <c r="C4329" s="4" t="inlineStr">
        <is>
          <t>Nachweis</t>
        </is>
      </c>
      <c r="D4329" s="10" t="inlineStr">
        <is>
          <t>⚠ Manual erforderlich</t>
        </is>
      </c>
      <c r="E4329" s="11" t="inlineStr"/>
      <c r="F4329" s="11" t="n">
        <v>0</v>
      </c>
      <c r="G4329" s="11">
        <f>E4329-F4329</f>
        <v/>
      </c>
      <c r="H4329" s="11" t="n">
        <v/>
      </c>
      <c r="I4329" s="11" t="n">
        <v/>
      </c>
      <c r="J4329" s="11" t="n">
        <v/>
      </c>
      <c r="K4329" s="4" t="inlineStr">
        <is>
          <t>Stundensätze eingeben</t>
        </is>
      </c>
    </row>
    <row r="4330">
      <c r="A4330" s="4" t="inlineStr">
        <is>
          <t>7177.01 PUK-BSN-Ferragamo-Maximilianstr29-München</t>
        </is>
      </c>
      <c r="B4330" s="4" t="inlineStr">
        <is>
          <t>● (aN) Pos. 1 Brandschutztechnische Beratung Ladenfläche 'Ferragamo'</t>
        </is>
      </c>
      <c r="C4330" s="4" t="inlineStr">
        <is>
          <t>Nachweis</t>
        </is>
      </c>
      <c r="D4330" s="10" t="inlineStr">
        <is>
          <t>⚠ Manual erforderlich</t>
        </is>
      </c>
      <c r="E4330" s="11" t="inlineStr"/>
      <c r="F4330" s="11" t="n">
        <v>0</v>
      </c>
      <c r="G4330" s="11">
        <f>E4330-F4330</f>
        <v/>
      </c>
      <c r="H4330" s="11" t="n">
        <v/>
      </c>
      <c r="I4330" s="11" t="n">
        <v/>
      </c>
      <c r="J4330" s="11" t="n">
        <v/>
      </c>
      <c r="K4330" s="4" t="inlineStr">
        <is>
          <t>Stundensätze eingeben</t>
        </is>
      </c>
    </row>
    <row r="4331">
      <c r="A4331" s="4" t="inlineStr">
        <is>
          <t>7179 Eurowind-WEA-Soltendieck-Suhlendorf-Uelzen</t>
        </is>
      </c>
      <c r="B4331" s="4" t="inlineStr">
        <is>
          <t>● (p) Pos. 1 Erstellung Brandschutzkonzept</t>
        </is>
      </c>
      <c r="C4331" s="4" t="inlineStr">
        <is>
          <t>Pauschale</t>
        </is>
      </c>
      <c r="D4331" s="10" t="inlineStr">
        <is>
          <t>⚠ Manual erforderlich</t>
        </is>
      </c>
      <c r="E4331" s="11" t="inlineStr"/>
      <c r="F4331" s="11" t="n">
        <v>0</v>
      </c>
      <c r="G4331" s="11">
        <f>E4331-F4331</f>
        <v/>
      </c>
      <c r="H4331" s="11" t="n">
        <v>0</v>
      </c>
      <c r="I4331" s="11" t="n">
        <v>0</v>
      </c>
      <c r="J4331" s="11" t="n">
        <v>0</v>
      </c>
      <c r="K4331" s="4" t="inlineStr">
        <is>
          <t>Stundensätze eingeben</t>
        </is>
      </c>
    </row>
    <row r="4332">
      <c r="A4332" s="4" t="inlineStr">
        <is>
          <t>7180 VGHarbach-PLA-Myliusstr25-27-Frankfurt</t>
        </is>
      </c>
      <c r="B4332" s="4" t="inlineStr">
        <is>
          <t>● (p) Pos. 1 LP 4 (Genehmigungsplanung)</t>
        </is>
      </c>
      <c r="C4332" s="4" t="inlineStr">
        <is>
          <t>Pauschale</t>
        </is>
      </c>
      <c r="D4332" s="10" t="inlineStr">
        <is>
          <t>⚠ Manual erforderlich</t>
        </is>
      </c>
      <c r="E4332" s="11" t="inlineStr"/>
      <c r="F4332" s="11" t="n">
        <v>0</v>
      </c>
      <c r="G4332" s="11">
        <f>E4332-F4332</f>
        <v/>
      </c>
      <c r="H4332" s="11" t="n">
        <v>0</v>
      </c>
      <c r="I4332" s="11" t="n">
        <v>0</v>
      </c>
      <c r="J4332" s="11" t="n">
        <v>0</v>
      </c>
      <c r="K4332" s="4" t="inlineStr">
        <is>
          <t>Stundensätze eingeben</t>
        </is>
      </c>
    </row>
    <row r="4333">
      <c r="A4333" s="4" t="inlineStr">
        <is>
          <t>7180 VGHarbach-PLA-Myliusstr25-27-Frankfurt</t>
        </is>
      </c>
      <c r="B4333" s="4" t="inlineStr">
        <is>
          <t>● (p) Pos. 2 LP5 (Ausführungsplanung)</t>
        </is>
      </c>
      <c r="C4333" s="4" t="inlineStr">
        <is>
          <t>Pauschale</t>
        </is>
      </c>
      <c r="D4333" s="10" t="inlineStr">
        <is>
          <t>⚠ Manual erforderlich</t>
        </is>
      </c>
      <c r="E4333" s="11" t="inlineStr"/>
      <c r="F4333" s="11" t="n">
        <v>0</v>
      </c>
      <c r="G4333" s="11">
        <f>E4333-F4333</f>
        <v/>
      </c>
      <c r="H4333" s="11" t="n">
        <v>0</v>
      </c>
      <c r="I4333" s="11" t="n">
        <v>0</v>
      </c>
      <c r="J4333" s="11" t="n">
        <v>0</v>
      </c>
      <c r="K4333" s="4" t="inlineStr">
        <is>
          <t>Stundensätze eingeben</t>
        </is>
      </c>
    </row>
    <row r="4334">
      <c r="A4334" s="4" t="inlineStr">
        <is>
          <t>7180 VGHarbach-PLA-Myliusstr25-27-Frankfurt</t>
        </is>
      </c>
      <c r="B4334" s="4" t="inlineStr">
        <is>
          <t>● (p) Pos. 3 LP6 (Vorbereiten der Vergabe)</t>
        </is>
      </c>
      <c r="C4334" s="4" t="inlineStr">
        <is>
          <t>Pauschale</t>
        </is>
      </c>
      <c r="D4334" s="10" t="inlineStr">
        <is>
          <t>⚠ Manual erforderlich</t>
        </is>
      </c>
      <c r="E4334" s="11" t="inlineStr"/>
      <c r="F4334" s="11" t="n">
        <v>0</v>
      </c>
      <c r="G4334" s="11">
        <f>E4334-F4334</f>
        <v/>
      </c>
      <c r="H4334" s="11" t="n">
        <v>0</v>
      </c>
      <c r="I4334" s="11" t="n">
        <v>0</v>
      </c>
      <c r="J4334" s="11" t="n">
        <v>0</v>
      </c>
      <c r="K4334" s="4" t="inlineStr">
        <is>
          <t>Stundensätze eingeben</t>
        </is>
      </c>
    </row>
    <row r="4335">
      <c r="A4335" s="4" t="inlineStr">
        <is>
          <t>7180 VGHarbach-PLA-Myliusstr25-27-Frankfurt</t>
        </is>
      </c>
      <c r="B4335" s="4" t="inlineStr">
        <is>
          <t>● (p) Pos. 4 LP7 (Mitwirken bei der Vergabe)</t>
        </is>
      </c>
      <c r="C4335" s="4" t="inlineStr">
        <is>
          <t>Pauschale</t>
        </is>
      </c>
      <c r="D4335" s="10" t="inlineStr">
        <is>
          <t>⚠ Manual erforderlich</t>
        </is>
      </c>
      <c r="E4335" s="11" t="inlineStr"/>
      <c r="F4335" s="11" t="n">
        <v>0</v>
      </c>
      <c r="G4335" s="11">
        <f>E4335-F4335</f>
        <v/>
      </c>
      <c r="H4335" s="11" t="n">
        <v>0</v>
      </c>
      <c r="I4335" s="11" t="n">
        <v>0</v>
      </c>
      <c r="J4335" s="11" t="n">
        <v>0</v>
      </c>
      <c r="K4335" s="4" t="inlineStr">
        <is>
          <t>Stundensätze eingeben</t>
        </is>
      </c>
    </row>
    <row r="4336">
      <c r="A4336" s="4" t="inlineStr">
        <is>
          <t>7180 VGHarbach-PLA-Myliusstr25-27-Frankfurt</t>
        </is>
      </c>
      <c r="B4336" s="4" t="inlineStr">
        <is>
          <t>● Fahrtkosten 0,40€/km, BKR-FFM 157km</t>
        </is>
      </c>
      <c r="C4336" s="9" t="inlineStr">
        <is>
          <t>Unbekannt</t>
        </is>
      </c>
      <c r="D4336" s="10" t="inlineStr">
        <is>
          <t>⚠ Manual erforderlich</t>
        </is>
      </c>
      <c r="E4336" s="11" t="inlineStr"/>
      <c r="F4336" s="11" t="n">
        <v>0</v>
      </c>
      <c r="G4336" s="11">
        <f>E4336-F4336</f>
        <v/>
      </c>
      <c r="H4336" s="11" t="n">
        <v/>
      </c>
      <c r="I4336" s="11" t="n">
        <v/>
      </c>
      <c r="J4336" s="11" t="n">
        <v/>
      </c>
      <c r="K4336" s="4" t="inlineStr">
        <is>
          <t>Abrechnungsart wählen; Stundensätze eingeben</t>
        </is>
      </c>
    </row>
    <row r="4337">
      <c r="A4337" s="4" t="inlineStr">
        <is>
          <t>7182 BTB-Gießener-Straße-20-Anneliese-Hoevel-Straße-7-Frankfurt-Heizungsraum</t>
        </is>
      </c>
      <c r="B4337" s="4" t="inlineStr">
        <is>
          <t>● (aN) Pos.1 BTB Rauchableitung+Raumabschluss im Heizungsraum</t>
        </is>
      </c>
      <c r="C4337" s="4" t="inlineStr">
        <is>
          <t>Nachweis</t>
        </is>
      </c>
      <c r="D4337" s="10" t="inlineStr">
        <is>
          <t>⚠ Manual erforderlich</t>
        </is>
      </c>
      <c r="E4337" s="11" t="inlineStr"/>
      <c r="F4337" s="11" t="n">
        <v>0</v>
      </c>
      <c r="G4337" s="11">
        <f>E4337-F4337</f>
        <v/>
      </c>
      <c r="H4337" s="11" t="n">
        <v/>
      </c>
      <c r="I4337" s="11" t="n">
        <v/>
      </c>
      <c r="J4337" s="11" t="n">
        <v/>
      </c>
      <c r="K4337" s="4" t="inlineStr">
        <is>
          <t>Stundensätze eingeben</t>
        </is>
      </c>
    </row>
    <row r="4338">
      <c r="A4338" s="4" t="inlineStr">
        <is>
          <t>7182.01 BTB-Gießener-Straße-20-Frankfurt</t>
        </is>
      </c>
      <c r="B4338" s="4" t="inlineStr">
        <is>
          <t>● (aN) Pos.1 BTB -Thematik Überprüfung d. Ergänzung d. BSK von externem Gutachter</t>
        </is>
      </c>
      <c r="C4338" s="4" t="inlineStr">
        <is>
          <t>Nachweis</t>
        </is>
      </c>
      <c r="D4338" s="10" t="inlineStr">
        <is>
          <t>⚠ Manual erforderlich</t>
        </is>
      </c>
      <c r="E4338" s="11" t="inlineStr"/>
      <c r="F4338" s="11" t="n">
        <v>0</v>
      </c>
      <c r="G4338" s="11">
        <f>E4338-F4338</f>
        <v/>
      </c>
      <c r="H4338" s="11" t="n">
        <v/>
      </c>
      <c r="I4338" s="11" t="n">
        <v/>
      </c>
      <c r="J4338" s="11" t="n">
        <v/>
      </c>
      <c r="K4338" s="4" t="inlineStr">
        <is>
          <t>Stundensätze eingeben</t>
        </is>
      </c>
    </row>
    <row r="4339">
      <c r="A4339" s="4" t="inlineStr">
        <is>
          <t>7182.02 BSK-Gießener-Straße-20-Frankfurt</t>
        </is>
      </c>
      <c r="B4339" s="4" t="inlineStr">
        <is>
          <t>● (p) Pos.1 Ergänzung BSK - Erstellung Brandschutzkonzeptplans für 1.UG</t>
        </is>
      </c>
      <c r="C4339" s="4" t="inlineStr">
        <is>
          <t>Pauschale</t>
        </is>
      </c>
      <c r="D4339" s="10" t="inlineStr">
        <is>
          <t>⚠ Manual erforderlich</t>
        </is>
      </c>
      <c r="E4339" s="11" t="inlineStr"/>
      <c r="F4339" s="11" t="n">
        <v>0</v>
      </c>
      <c r="G4339" s="11">
        <f>E4339-F4339</f>
        <v/>
      </c>
      <c r="H4339" s="11" t="n">
        <v>0</v>
      </c>
      <c r="I4339" s="11" t="n">
        <v>0</v>
      </c>
      <c r="J4339" s="11" t="n">
        <v>0</v>
      </c>
      <c r="K4339" s="4" t="inlineStr">
        <is>
          <t>Stundensätze eingeben</t>
        </is>
      </c>
    </row>
    <row r="4340">
      <c r="A4340" s="4" t="inlineStr">
        <is>
          <t>7184 Lichtblick-BSN-Frisörsalon-Abstellräume-Ramsaystr17-Hanau</t>
        </is>
      </c>
      <c r="B4340" s="4" t="inlineStr">
        <is>
          <t>● ANG-BSN-001-2025-05-06</t>
        </is>
      </c>
      <c r="C4340" s="9" t="inlineStr">
        <is>
          <t>Unbekannt</t>
        </is>
      </c>
      <c r="D4340" s="10" t="inlineStr">
        <is>
          <t>⚠ Manual erforderlich</t>
        </is>
      </c>
      <c r="E4340" s="11" t="inlineStr"/>
      <c r="F4340" s="11" t="n">
        <v>0</v>
      </c>
      <c r="G4340" s="11">
        <f>E4340-F4340</f>
        <v/>
      </c>
      <c r="H4340" s="11" t="n">
        <v/>
      </c>
      <c r="I4340" s="11" t="n">
        <v/>
      </c>
      <c r="J4340" s="11" t="n">
        <v/>
      </c>
      <c r="K4340" s="4" t="inlineStr">
        <is>
          <t>Abrechnungsart wählen; Stundensätze eingeben</t>
        </is>
      </c>
    </row>
    <row r="4341">
      <c r="A4341" s="4" t="inlineStr">
        <is>
          <t>7184 Lichtblick-BSN-Frisörsalon-Abstellräume-Ramsaystr17-Hanau</t>
        </is>
      </c>
      <c r="B4341" s="4" t="inlineStr">
        <is>
          <t>● (aN) Pos. 1 Prüfung und Bescheinigung des Nachweises des vorbeugenden Brandschutzes auf Vollständigkeit und Richtigkeit</t>
        </is>
      </c>
      <c r="C4341" s="4" t="inlineStr">
        <is>
          <t>Nachweis</t>
        </is>
      </c>
      <c r="D4341" s="10" t="inlineStr">
        <is>
          <t>⚠ Manual erforderlich</t>
        </is>
      </c>
      <c r="E4341" s="11" t="inlineStr"/>
      <c r="F4341" s="11" t="n">
        <v>0</v>
      </c>
      <c r="G4341" s="11">
        <f>E4341-F4341</f>
        <v/>
      </c>
      <c r="H4341" s="11" t="n">
        <v/>
      </c>
      <c r="I4341" s="11" t="n">
        <v/>
      </c>
      <c r="J4341" s="11" t="n">
        <v/>
      </c>
      <c r="K4341" s="4" t="inlineStr">
        <is>
          <t>Stundensätze eingeben</t>
        </is>
      </c>
    </row>
    <row r="4342">
      <c r="A4342" s="4" t="inlineStr">
        <is>
          <t>7184 Lichtblick-BSN-Frisörsalon-Abstellräume-Ramsaystr17-Hanau</t>
        </is>
      </c>
      <c r="B4342" s="4" t="inlineStr">
        <is>
          <t>● (aN) Pos. 2 Überwachung und Bescheinigung der übereinstimmenden Bauausführung mit dem bescheinigten Nachweis des vorbeugenden Brandschutze</t>
        </is>
      </c>
      <c r="C4342" s="4" t="inlineStr">
        <is>
          <t>Nachweis</t>
        </is>
      </c>
      <c r="D4342" s="10" t="inlineStr">
        <is>
          <t>⚠ Manual erforderlich</t>
        </is>
      </c>
      <c r="E4342" s="11" t="inlineStr"/>
      <c r="F4342" s="11" t="n">
        <v>0</v>
      </c>
      <c r="G4342" s="11">
        <f>E4342-F4342</f>
        <v/>
      </c>
      <c r="H4342" s="11" t="n">
        <v/>
      </c>
      <c r="I4342" s="11" t="n">
        <v/>
      </c>
      <c r="J4342" s="11" t="n">
        <v/>
      </c>
      <c r="K4342" s="4" t="inlineStr">
        <is>
          <t>Stundensätze eingeben</t>
        </is>
      </c>
    </row>
    <row r="4343">
      <c r="A4343" s="4" t="inlineStr">
        <is>
          <t>7185 AHO-Asklepios-Anton-Saefkow-Allee-2-Brandenburg a.d.H.-LOS-5</t>
        </is>
      </c>
      <c r="B4343" s="4" t="inlineStr">
        <is>
          <t>● (p) LP 1 Grundlagenermittlung</t>
        </is>
      </c>
      <c r="C4343" s="4" t="inlineStr">
        <is>
          <t>Pauschale</t>
        </is>
      </c>
      <c r="D4343" s="10" t="inlineStr">
        <is>
          <t>⚠ Manual erforderlich</t>
        </is>
      </c>
      <c r="E4343" s="11" t="inlineStr"/>
      <c r="F4343" s="11" t="n">
        <v>0</v>
      </c>
      <c r="G4343" s="11">
        <f>E4343-F4343</f>
        <v/>
      </c>
      <c r="H4343" s="11" t="n">
        <v>0</v>
      </c>
      <c r="I4343" s="11" t="n">
        <v>0</v>
      </c>
      <c r="J4343" s="11" t="n">
        <v>0</v>
      </c>
      <c r="K4343" s="4" t="inlineStr">
        <is>
          <t>Stundensätze eingeben</t>
        </is>
      </c>
    </row>
    <row r="4344">
      <c r="A4344" s="4" t="inlineStr">
        <is>
          <t>7185 AHO-Asklepios-Anton-Saefkow-Allee-2-Brandenburg a.d.H.-LOS-5</t>
        </is>
      </c>
      <c r="B4344" s="4" t="inlineStr">
        <is>
          <t>● (p) LP 2 Vorplanung</t>
        </is>
      </c>
      <c r="C4344" s="4" t="inlineStr">
        <is>
          <t>Pauschale</t>
        </is>
      </c>
      <c r="D4344" s="10" t="inlineStr">
        <is>
          <t>⚠ Manual erforderlich</t>
        </is>
      </c>
      <c r="E4344" s="11" t="inlineStr"/>
      <c r="F4344" s="11" t="n">
        <v>0</v>
      </c>
      <c r="G4344" s="11">
        <f>E4344-F4344</f>
        <v/>
      </c>
      <c r="H4344" s="11" t="n">
        <v>0</v>
      </c>
      <c r="I4344" s="11" t="n">
        <v>0</v>
      </c>
      <c r="J4344" s="11" t="n">
        <v>0</v>
      </c>
      <c r="K4344" s="4" t="inlineStr">
        <is>
          <t>Stundensätze eingeben</t>
        </is>
      </c>
    </row>
    <row r="4345">
      <c r="A4345" s="4" t="inlineStr">
        <is>
          <t>7185 AHO-Asklepios-Anton-Saefkow-Allee-2-Brandenburg a.d.H.-LOS-5</t>
        </is>
      </c>
      <c r="B4345" s="4" t="inlineStr">
        <is>
          <t>● (p) Bestandserfassung vor Ort. 1 Tagessatz 1.000€</t>
        </is>
      </c>
      <c r="C4345" s="4" t="inlineStr">
        <is>
          <t>Pauschale</t>
        </is>
      </c>
      <c r="D4345" s="10" t="inlineStr">
        <is>
          <t>⚠ Manual erforderlich</t>
        </is>
      </c>
      <c r="E4345" s="11" t="inlineStr"/>
      <c r="F4345" s="11" t="n">
        <v>0</v>
      </c>
      <c r="G4345" s="11">
        <f>E4345-F4345</f>
        <v/>
      </c>
      <c r="H4345" s="11" t="n">
        <v>0</v>
      </c>
      <c r="I4345" s="11" t="n">
        <v>0</v>
      </c>
      <c r="J4345" s="11" t="n">
        <v>0</v>
      </c>
      <c r="K4345" s="4" t="inlineStr">
        <is>
          <t>Stundensätze eingeben</t>
        </is>
      </c>
    </row>
    <row r="4346">
      <c r="A4346" s="4" t="inlineStr">
        <is>
          <t>7185 AHO-Asklepios-Anton-Saefkow-Allee-2-Brandenburg a.d.H.-LOS-5</t>
        </is>
      </c>
      <c r="B4346" s="4" t="inlineStr">
        <is>
          <t>● (p) LP 3 Entwurfsplanung</t>
        </is>
      </c>
      <c r="C4346" s="4" t="inlineStr">
        <is>
          <t>Pauschale</t>
        </is>
      </c>
      <c r="D4346" s="10" t="inlineStr">
        <is>
          <t>⚠ Manual erforderlich</t>
        </is>
      </c>
      <c r="E4346" s="11" t="inlineStr"/>
      <c r="F4346" s="11" t="n">
        <v>0</v>
      </c>
      <c r="G4346" s="11">
        <f>E4346-F4346</f>
        <v/>
      </c>
      <c r="H4346" s="11" t="n">
        <v>0</v>
      </c>
      <c r="I4346" s="11" t="n">
        <v>0</v>
      </c>
      <c r="J4346" s="11" t="n">
        <v>0</v>
      </c>
      <c r="K4346" s="4" t="inlineStr">
        <is>
          <t>Stundensätze eingeben</t>
        </is>
      </c>
    </row>
    <row r="4347">
      <c r="A4347" s="4" t="inlineStr">
        <is>
          <t>7185 AHO-Asklepios-Anton-Saefkow-Allee-2-Brandenburg a.d.H.-LOS-5</t>
        </is>
      </c>
      <c r="B4347" s="4" t="inlineStr">
        <is>
          <t>● (p) LP 4 Genehmigungsplanung</t>
        </is>
      </c>
      <c r="C4347" s="4" t="inlineStr">
        <is>
          <t>Pauschale</t>
        </is>
      </c>
      <c r="D4347" s="10" t="inlineStr">
        <is>
          <t>⚠ Manual erforderlich</t>
        </is>
      </c>
      <c r="E4347" s="11" t="inlineStr"/>
      <c r="F4347" s="11" t="n">
        <v>0</v>
      </c>
      <c r="G4347" s="11">
        <f>E4347-F4347</f>
        <v/>
      </c>
      <c r="H4347" s="11" t="n">
        <v>0</v>
      </c>
      <c r="I4347" s="11" t="n">
        <v>0</v>
      </c>
      <c r="J4347" s="11" t="n">
        <v>0</v>
      </c>
      <c r="K4347" s="4" t="inlineStr">
        <is>
          <t>Stundensätze eingeben</t>
        </is>
      </c>
    </row>
    <row r="4348">
      <c r="A4348" s="4" t="inlineStr">
        <is>
          <t>7185 AHO-Asklepios-Anton-Saefkow-Allee-2-Brandenburg a.d.H.-LOS-5</t>
        </is>
      </c>
      <c r="B4348" s="4" t="inlineStr">
        <is>
          <t>● (p) LP 5 Ausführungsplanung</t>
        </is>
      </c>
      <c r="C4348" s="4" t="inlineStr">
        <is>
          <t>Pauschale</t>
        </is>
      </c>
      <c r="D4348" s="10" t="inlineStr">
        <is>
          <t>⚠ Manual erforderlich</t>
        </is>
      </c>
      <c r="E4348" s="11" t="inlineStr"/>
      <c r="F4348" s="11" t="n">
        <v>0</v>
      </c>
      <c r="G4348" s="11">
        <f>E4348-F4348</f>
        <v/>
      </c>
      <c r="H4348" s="11" t="n">
        <v>0</v>
      </c>
      <c r="I4348" s="11" t="n">
        <v>0</v>
      </c>
      <c r="J4348" s="11" t="n">
        <v>0</v>
      </c>
      <c r="K4348" s="4" t="inlineStr">
        <is>
          <t>Stundensätze eingeben</t>
        </is>
      </c>
    </row>
    <row r="4349">
      <c r="A4349" s="4" t="inlineStr">
        <is>
          <t>7185 AHO-Asklepios-Anton-Saefkow-Allee-2-Brandenburg a.d.H.-LOS-5</t>
        </is>
      </c>
      <c r="B4349" s="4" t="inlineStr">
        <is>
          <t>● (aN) Besprechungen (2.1 aus VER)</t>
        </is>
      </c>
      <c r="C4349" s="4" t="inlineStr">
        <is>
          <t>Nachweis</t>
        </is>
      </c>
      <c r="D4349" s="10" t="inlineStr">
        <is>
          <t>⚠ Manual erforderlich</t>
        </is>
      </c>
      <c r="E4349" s="11" t="inlineStr"/>
      <c r="F4349" s="11" t="n">
        <v>0</v>
      </c>
      <c r="G4349" s="11">
        <f>E4349-F4349</f>
        <v/>
      </c>
      <c r="H4349" s="11" t="n">
        <v/>
      </c>
      <c r="I4349" s="11" t="n">
        <v/>
      </c>
      <c r="J4349" s="11" t="n">
        <v/>
      </c>
      <c r="K4349" s="4" t="inlineStr">
        <is>
          <t>Stundensätze eingeben</t>
        </is>
      </c>
    </row>
    <row r="4350">
      <c r="A4350" s="4" t="inlineStr">
        <is>
          <t>7185.01 NAT01-LPH8-Asklepios-Anton-Saefkow-Allee-2-Brandenburg a.d.H.-Los-5</t>
        </is>
      </c>
      <c r="B4350" s="4" t="inlineStr">
        <is>
          <t>● (p) Pos.1 NAT-01-LPH 8 Vor-Ort-Termin zur Bauüberwachung, inkl An- und Abreise, 4x</t>
        </is>
      </c>
      <c r="C4350" s="4" t="inlineStr">
        <is>
          <t>Pauschale</t>
        </is>
      </c>
      <c r="D4350" s="10" t="inlineStr">
        <is>
          <t>⚠ Manual erforderlich</t>
        </is>
      </c>
      <c r="E4350" s="11" t="inlineStr"/>
      <c r="F4350" s="11" t="n">
        <v>0</v>
      </c>
      <c r="G4350" s="11">
        <f>E4350-F4350</f>
        <v/>
      </c>
      <c r="H4350" s="11" t="n">
        <v>0</v>
      </c>
      <c r="I4350" s="11" t="n">
        <v>0</v>
      </c>
      <c r="J4350" s="11" t="n">
        <v>0</v>
      </c>
      <c r="K4350" s="4" t="inlineStr">
        <is>
          <t>Stundensätze eingeben</t>
        </is>
      </c>
    </row>
    <row r="4351">
      <c r="A4351" s="4" t="inlineStr">
        <is>
          <t>7186 Altus-ATE-BSK-WEA-Adelebsen</t>
        </is>
      </c>
      <c r="B4351" s="4" t="inlineStr">
        <is>
          <t>● (p) Pos. 1 Erstellung BSK</t>
        </is>
      </c>
      <c r="C4351" s="4" t="inlineStr">
        <is>
          <t>Pauschale</t>
        </is>
      </c>
      <c r="D4351" s="10" t="inlineStr">
        <is>
          <t>⚠ Manual erforderlich</t>
        </is>
      </c>
      <c r="E4351" s="11" t="inlineStr"/>
      <c r="F4351" s="11" t="n">
        <v>0</v>
      </c>
      <c r="G4351" s="11">
        <f>E4351-F4351</f>
        <v/>
      </c>
      <c r="H4351" s="11" t="n">
        <v>0</v>
      </c>
      <c r="I4351" s="11" t="n">
        <v>0</v>
      </c>
      <c r="J4351" s="11" t="n">
        <v>0</v>
      </c>
      <c r="K4351" s="4" t="inlineStr">
        <is>
          <t>Stundensätze eingeben</t>
        </is>
      </c>
    </row>
    <row r="4352">
      <c r="A4352" s="4" t="inlineStr">
        <is>
          <t>7187.03 Altus-Anp-BSK-WP-Süd-Bovenden-an-der-Lieth</t>
        </is>
      </c>
      <c r="B4352" s="4" t="inlineStr">
        <is>
          <t>● (p) Anp. BSK + Pläne (SV 3h/CAD 3h) 560€</t>
        </is>
      </c>
      <c r="C4352" s="4" t="inlineStr">
        <is>
          <t>Pauschale</t>
        </is>
      </c>
      <c r="D4352" s="10" t="inlineStr">
        <is>
          <t>⚠ Manual erforderlich</t>
        </is>
      </c>
      <c r="E4352" s="11" t="inlineStr"/>
      <c r="F4352" s="11" t="n">
        <v>0</v>
      </c>
      <c r="G4352" s="11">
        <f>E4352-F4352</f>
        <v/>
      </c>
      <c r="H4352" s="11" t="n">
        <v>0</v>
      </c>
      <c r="I4352" s="11" t="n">
        <v>0</v>
      </c>
      <c r="J4352" s="11" t="n">
        <v>0</v>
      </c>
      <c r="K4352" s="4" t="inlineStr">
        <is>
          <t>Stundensätze eingeben</t>
        </is>
      </c>
    </row>
    <row r="4353">
      <c r="A4353" s="4" t="inlineStr">
        <is>
          <t>7189.01 Kipp-KOF-Roller-Strahlenbergstr81-Offenbach</t>
        </is>
      </c>
      <c r="B4353" s="4" t="inlineStr">
        <is>
          <t>● (aN) Pos. 1 Baubegleitung und Erstellung einer Konformitätsbescheinigung / Schlussabnahmebescheinigung</t>
        </is>
      </c>
      <c r="C4353" s="4" t="inlineStr">
        <is>
          <t>Nachweis</t>
        </is>
      </c>
      <c r="D4353" s="10" t="inlineStr">
        <is>
          <t>⚠ Manual erforderlich</t>
        </is>
      </c>
      <c r="E4353" s="11" t="inlineStr"/>
      <c r="F4353" s="11" t="n">
        <v>0</v>
      </c>
      <c r="G4353" s="11">
        <f>E4353-F4353</f>
        <v/>
      </c>
      <c r="H4353" s="11" t="n">
        <v/>
      </c>
      <c r="I4353" s="11" t="n">
        <v/>
      </c>
      <c r="J4353" s="11" t="n">
        <v/>
      </c>
      <c r="K4353" s="4" t="inlineStr">
        <is>
          <t>Stundensätze eingeben</t>
        </is>
      </c>
    </row>
    <row r="4354">
      <c r="A4354" s="4" t="inlineStr">
        <is>
          <t>7191 Renner-Gemüsebau-BSK-Neustadter-Str95-Mutterstadt-Produktionshalle</t>
        </is>
      </c>
      <c r="B4354" s="4" t="inlineStr">
        <is>
          <t>● (aN) Pos. 1 Ortstermin + BTB</t>
        </is>
      </c>
      <c r="C4354" s="4" t="inlineStr">
        <is>
          <t>Nachweis</t>
        </is>
      </c>
      <c r="D4354" s="10" t="inlineStr">
        <is>
          <t>⚠ Manual erforderlich</t>
        </is>
      </c>
      <c r="E4354" s="11" t="inlineStr"/>
      <c r="F4354" s="11" t="n">
        <v>0</v>
      </c>
      <c r="G4354" s="11">
        <f>E4354-F4354</f>
        <v/>
      </c>
      <c r="H4354" s="11" t="n">
        <v/>
      </c>
      <c r="I4354" s="11" t="n">
        <v/>
      </c>
      <c r="J4354" s="11" t="n">
        <v/>
      </c>
      <c r="K4354" s="4" t="inlineStr">
        <is>
          <t>Stundensätze eingeben</t>
        </is>
      </c>
    </row>
    <row r="4355">
      <c r="A4355" s="4" t="inlineStr">
        <is>
          <t>7191 Renner-Gemüsebau-BSK-Neustadter-Str95-Mutterstadt-Produktionshalle</t>
        </is>
      </c>
      <c r="B4355" s="4" t="inlineStr">
        <is>
          <t>● (p) Pos. 2 Erstellung BSK (Produktionshalle)</t>
        </is>
      </c>
      <c r="C4355" s="4" t="inlineStr">
        <is>
          <t>Pauschale</t>
        </is>
      </c>
      <c r="D4355" s="10" t="inlineStr">
        <is>
          <t>⚠ Manual erforderlich</t>
        </is>
      </c>
      <c r="E4355" s="11" t="inlineStr"/>
      <c r="F4355" s="11" t="n">
        <v>0</v>
      </c>
      <c r="G4355" s="11">
        <f>E4355-F4355</f>
        <v/>
      </c>
      <c r="H4355" s="11" t="n">
        <v>0</v>
      </c>
      <c r="I4355" s="11" t="n">
        <v>0</v>
      </c>
      <c r="J4355" s="11" t="n">
        <v>0</v>
      </c>
      <c r="K4355" s="4" t="inlineStr">
        <is>
          <t>Stundensätze eingeben</t>
        </is>
      </c>
    </row>
    <row r="4356">
      <c r="A4356" s="4" t="inlineStr">
        <is>
          <t>7192 Renner-Gemüsebau-BSK-Neustadter-Str95-Mutterstadt-Container</t>
        </is>
      </c>
      <c r="B4356" s="4" t="inlineStr">
        <is>
          <t>● (aN) Pos. 1 Ortstermin + BTB</t>
        </is>
      </c>
      <c r="C4356" s="4" t="inlineStr">
        <is>
          <t>Nachweis</t>
        </is>
      </c>
      <c r="D4356" s="10" t="inlineStr">
        <is>
          <t>⚠ Manual erforderlich</t>
        </is>
      </c>
      <c r="E4356" s="11" t="inlineStr"/>
      <c r="F4356" s="11" t="n">
        <v>0</v>
      </c>
      <c r="G4356" s="11">
        <f>E4356-F4356</f>
        <v/>
      </c>
      <c r="H4356" s="11" t="n">
        <v/>
      </c>
      <c r="I4356" s="11" t="n">
        <v/>
      </c>
      <c r="J4356" s="11" t="n">
        <v/>
      </c>
      <c r="K4356" s="4" t="inlineStr">
        <is>
          <t>Stundensätze eingeben</t>
        </is>
      </c>
    </row>
    <row r="4357">
      <c r="A4357" s="4" t="inlineStr">
        <is>
          <t>7192 Renner-Gemüsebau-BSK-Neustadter-Str95-Mutterstadt-Container</t>
        </is>
      </c>
      <c r="B4357" s="4" t="inlineStr">
        <is>
          <t>● (p) Pos. 2 Erstellung BSK (Produktionshalle)</t>
        </is>
      </c>
      <c r="C4357" s="4" t="inlineStr">
        <is>
          <t>Pauschale</t>
        </is>
      </c>
      <c r="D4357" s="10" t="inlineStr">
        <is>
          <t>⚠ Manual erforderlich</t>
        </is>
      </c>
      <c r="E4357" s="11" t="inlineStr"/>
      <c r="F4357" s="11" t="n">
        <v>0</v>
      </c>
      <c r="G4357" s="11">
        <f>E4357-F4357</f>
        <v/>
      </c>
      <c r="H4357" s="11" t="n">
        <v>0</v>
      </c>
      <c r="I4357" s="11" t="n">
        <v>0</v>
      </c>
      <c r="J4357" s="11" t="n">
        <v>0</v>
      </c>
      <c r="K4357" s="4" t="inlineStr">
        <is>
          <t>Stundensätze eingeben</t>
        </is>
      </c>
    </row>
    <row r="4358">
      <c r="A4358" s="4" t="inlineStr">
        <is>
          <t>7193 Hengst-FWP-FRP-Hardtwaldstr43-Ketsch</t>
        </is>
      </c>
      <c r="B4358" s="4" t="inlineStr">
        <is>
          <t>● (p) Pos. 1.002 Abgleich/Aufnahme Feuerwehrplan</t>
        </is>
      </c>
      <c r="C4358" s="4" t="inlineStr">
        <is>
          <t>Pauschale</t>
        </is>
      </c>
      <c r="D4358" s="10" t="inlineStr">
        <is>
          <t>⚠ Manual erforderlich</t>
        </is>
      </c>
      <c r="E4358" s="11" t="inlineStr"/>
      <c r="F4358" s="11" t="n">
        <v>0</v>
      </c>
      <c r="G4358" s="11">
        <f>E4358-F4358</f>
        <v/>
      </c>
      <c r="H4358" s="11" t="n">
        <v>0</v>
      </c>
      <c r="I4358" s="11" t="n">
        <v>0</v>
      </c>
      <c r="J4358" s="11" t="n">
        <v>0</v>
      </c>
      <c r="K4358" s="4" t="inlineStr">
        <is>
          <t>Stundensätze eingeben</t>
        </is>
      </c>
    </row>
    <row r="4359">
      <c r="A4359" s="4" t="inlineStr">
        <is>
          <t>7193 Hengst-FWP-FRP-Hardtwaldstr43-Ketsch</t>
        </is>
      </c>
      <c r="B4359" s="4" t="inlineStr">
        <is>
          <t>● (p) 1.005 Abgleich/Aufnahme vor Ort der Flucht-/ Rettungspläne (1 Termin)</t>
        </is>
      </c>
      <c r="C4359" s="4" t="inlineStr">
        <is>
          <t>Pauschale</t>
        </is>
      </c>
      <c r="D4359" s="10" t="inlineStr">
        <is>
          <t>⚠ Manual erforderlich</t>
        </is>
      </c>
      <c r="E4359" s="11" t="inlineStr"/>
      <c r="F4359" s="11" t="n">
        <v>0</v>
      </c>
      <c r="G4359" s="11">
        <f>E4359-F4359</f>
        <v/>
      </c>
      <c r="H4359" s="11" t="n">
        <v>0</v>
      </c>
      <c r="I4359" s="11" t="n">
        <v>0</v>
      </c>
      <c r="J4359" s="11" t="n">
        <v>0</v>
      </c>
      <c r="K4359" s="4" t="inlineStr">
        <is>
          <t>Stundensätze eingeben</t>
        </is>
      </c>
    </row>
    <row r="4360">
      <c r="A4360" s="4" t="inlineStr">
        <is>
          <t>7194 UniAugsburg-BSO-BSB-LGB-Augsburg</t>
        </is>
      </c>
      <c r="B4360" s="4" t="inlineStr">
        <is>
          <t>● (p) Pos. 1 Erstellung der Brandschutzordnung Teil B</t>
        </is>
      </c>
      <c r="C4360" s="4" t="inlineStr">
        <is>
          <t>Pauschale</t>
        </is>
      </c>
      <c r="D4360" s="10" t="inlineStr">
        <is>
          <t>⚠ Manual erforderlich</t>
        </is>
      </c>
      <c r="E4360" s="11" t="inlineStr"/>
      <c r="F4360" s="11" t="n">
        <v>0</v>
      </c>
      <c r="G4360" s="11">
        <f>E4360-F4360</f>
        <v/>
      </c>
      <c r="H4360" s="11" t="n">
        <v>0</v>
      </c>
      <c r="I4360" s="11" t="n">
        <v>0</v>
      </c>
      <c r="J4360" s="11" t="n">
        <v>0</v>
      </c>
      <c r="K4360" s="4" t="inlineStr">
        <is>
          <t>Stundensätze eingeben</t>
        </is>
      </c>
    </row>
    <row r="4361">
      <c r="A4361" s="4" t="inlineStr">
        <is>
          <t>7194 UniAugsburg-BSO-BSB-LGB-Augsburg</t>
        </is>
      </c>
      <c r="B4361" s="4" t="inlineStr">
        <is>
          <t>● (p) Pos. 2 Erstellung der Brandschutzordnung Teil C</t>
        </is>
      </c>
      <c r="C4361" s="4" t="inlineStr">
        <is>
          <t>Pauschale</t>
        </is>
      </c>
      <c r="D4361" s="10" t="inlineStr">
        <is>
          <t>⚠ Manual erforderlich</t>
        </is>
      </c>
      <c r="E4361" s="11" t="inlineStr"/>
      <c r="F4361" s="11" t="n">
        <v>0</v>
      </c>
      <c r="G4361" s="11">
        <f>E4361-F4361</f>
        <v/>
      </c>
      <c r="H4361" s="11" t="n">
        <v>0</v>
      </c>
      <c r="I4361" s="11" t="n">
        <v>0</v>
      </c>
      <c r="J4361" s="11" t="n">
        <v>0</v>
      </c>
      <c r="K4361" s="4" t="inlineStr">
        <is>
          <t>Stundensätze eingeben</t>
        </is>
      </c>
    </row>
    <row r="4362">
      <c r="A4362" s="4" t="inlineStr">
        <is>
          <t>7194 UniAugsburg-BSO-BSB-LGB-Augsburg</t>
        </is>
      </c>
      <c r="B4362" s="4" t="inlineStr">
        <is>
          <t>● (aN) Pos. 3 Stellung des Brandschutzbeauftragten</t>
        </is>
      </c>
      <c r="C4362" s="4" t="inlineStr">
        <is>
          <t>Nachweis</t>
        </is>
      </c>
      <c r="D4362" s="10" t="inlineStr">
        <is>
          <t>⚠ Manual erforderlich</t>
        </is>
      </c>
      <c r="E4362" s="11" t="inlineStr"/>
      <c r="F4362" s="11" t="n">
        <v>0</v>
      </c>
      <c r="G4362" s="11">
        <f>E4362-F4362</f>
        <v/>
      </c>
      <c r="H4362" s="11" t="n">
        <v/>
      </c>
      <c r="I4362" s="11" t="n">
        <v/>
      </c>
      <c r="J4362" s="11" t="n">
        <v/>
      </c>
      <c r="K4362" s="4" t="inlineStr">
        <is>
          <t>Stundensätze eingeben</t>
        </is>
      </c>
    </row>
    <row r="4363">
      <c r="A4363" s="4" t="inlineStr">
        <is>
          <t>7195 Walter-Immobilien-AHO-Zusamstraße5,5-Augsburg</t>
        </is>
      </c>
      <c r="B4363" s="4" t="inlineStr">
        <is>
          <t>● (p) LP 1 Grundlagenermittlung</t>
        </is>
      </c>
      <c r="C4363" s="4" t="inlineStr">
        <is>
          <t>Pauschale</t>
        </is>
      </c>
      <c r="D4363" s="10" t="inlineStr">
        <is>
          <t>⚠ Manual erforderlich</t>
        </is>
      </c>
      <c r="E4363" s="11" t="inlineStr"/>
      <c r="F4363" s="11" t="n">
        <v>0</v>
      </c>
      <c r="G4363" s="11">
        <f>E4363-F4363</f>
        <v/>
      </c>
      <c r="H4363" s="11" t="n">
        <v/>
      </c>
      <c r="I4363" s="11" t="n">
        <v/>
      </c>
      <c r="J4363" s="11" t="n">
        <v/>
      </c>
      <c r="K4363" s="4" t="inlineStr">
        <is>
          <t>Stundensätze eingeben</t>
        </is>
      </c>
    </row>
    <row r="4364">
      <c r="A4364" s="4" t="inlineStr">
        <is>
          <t>7195 Walter-Immobilien-AHO-Zusamstraße5,5-Augsburg</t>
        </is>
      </c>
      <c r="B4364" s="4" t="inlineStr">
        <is>
          <t>● (p) LP 2 Vorplanung</t>
        </is>
      </c>
      <c r="C4364" s="4" t="inlineStr">
        <is>
          <t>Pauschale</t>
        </is>
      </c>
      <c r="D4364" s="10" t="inlineStr">
        <is>
          <t>⚠ Manual erforderlich</t>
        </is>
      </c>
      <c r="E4364" s="11" t="inlineStr"/>
      <c r="F4364" s="11" t="n">
        <v>0</v>
      </c>
      <c r="G4364" s="11">
        <f>E4364-F4364</f>
        <v/>
      </c>
      <c r="H4364" s="11" t="n">
        <v>0</v>
      </c>
      <c r="I4364" s="11" t="n">
        <v>0</v>
      </c>
      <c r="J4364" s="11" t="n">
        <v>0</v>
      </c>
      <c r="K4364" s="4" t="inlineStr">
        <is>
          <t>Stundensätze eingeben</t>
        </is>
      </c>
    </row>
    <row r="4365">
      <c r="A4365" s="4" t="inlineStr">
        <is>
          <t>7195 Walter-Immobilien-AHO-Zusamstraße5,5-Augsburg</t>
        </is>
      </c>
      <c r="B4365" s="4" t="inlineStr">
        <is>
          <t>● (p) LP 3 Entwurfsplanung</t>
        </is>
      </c>
      <c r="C4365" s="4" t="inlineStr">
        <is>
          <t>Pauschale</t>
        </is>
      </c>
      <c r="D4365" s="10" t="inlineStr">
        <is>
          <t>⚠ Manual erforderlich</t>
        </is>
      </c>
      <c r="E4365" s="11" t="inlineStr"/>
      <c r="F4365" s="11" t="n">
        <v>0</v>
      </c>
      <c r="G4365" s="11">
        <f>E4365-F4365</f>
        <v/>
      </c>
      <c r="H4365" s="11" t="n">
        <v>0</v>
      </c>
      <c r="I4365" s="11" t="n">
        <v>0</v>
      </c>
      <c r="J4365" s="11" t="n">
        <v>0</v>
      </c>
      <c r="K4365" s="4" t="inlineStr">
        <is>
          <t>Stundensätze eingeben</t>
        </is>
      </c>
    </row>
    <row r="4366">
      <c r="A4366" s="4" t="inlineStr">
        <is>
          <t>7195 Walter-Immobilien-AHO-Zusamstraße5,5-Augsburg</t>
        </is>
      </c>
      <c r="B4366" s="4" t="inlineStr">
        <is>
          <t>● (p) LP 4 Genehmigungsplanung</t>
        </is>
      </c>
      <c r="C4366" s="4" t="inlineStr">
        <is>
          <t>Pauschale</t>
        </is>
      </c>
      <c r="D4366" s="10" t="inlineStr">
        <is>
          <t>⚠ Manual erforderlich</t>
        </is>
      </c>
      <c r="E4366" s="11" t="inlineStr"/>
      <c r="F4366" s="11" t="n">
        <v>0</v>
      </c>
      <c r="G4366" s="11">
        <f>E4366-F4366</f>
        <v/>
      </c>
      <c r="H4366" s="11" t="n">
        <v>0</v>
      </c>
      <c r="I4366" s="11" t="n">
        <v>0</v>
      </c>
      <c r="J4366" s="11" t="n">
        <v>0</v>
      </c>
      <c r="K4366" s="4" t="inlineStr">
        <is>
          <t>Stundensätze eingeben</t>
        </is>
      </c>
    </row>
    <row r="4367">
      <c r="A4367" s="4" t="inlineStr">
        <is>
          <t>7195 Walter-Immobilien-AHO-Zusamstraße5,5-Augsburg</t>
        </is>
      </c>
      <c r="B4367" s="4" t="inlineStr">
        <is>
          <t>● NAT 2025-01-31</t>
        </is>
      </c>
      <c r="C4367" s="9" t="inlineStr">
        <is>
          <t>Unbekannt</t>
        </is>
      </c>
      <c r="D4367" s="10" t="inlineStr">
        <is>
          <t>⚠ Manual erforderlich</t>
        </is>
      </c>
      <c r="E4367" s="11" t="inlineStr"/>
      <c r="F4367" s="11" t="n">
        <v>0</v>
      </c>
      <c r="G4367" s="11">
        <f>E4367-F4367</f>
        <v/>
      </c>
      <c r="H4367" s="11" t="n">
        <v/>
      </c>
      <c r="I4367" s="11" t="n">
        <v/>
      </c>
      <c r="J4367" s="11" t="n">
        <v/>
      </c>
      <c r="K4367" s="4" t="inlineStr">
        <is>
          <t>Abrechnungsart wählen; Stundensätze eingeben</t>
        </is>
      </c>
    </row>
    <row r="4368">
      <c r="A4368" s="4" t="inlineStr">
        <is>
          <t>7196 DRESO-BSK-TDE-Genset-Container-Austausch-NEA-Kleyerstr75-89-FFM</t>
        </is>
      </c>
      <c r="B4368" s="4" t="inlineStr">
        <is>
          <t>● (p) Pos. 1 Erstellung Brandschutzkonzept</t>
        </is>
      </c>
      <c r="C4368" s="4" t="inlineStr">
        <is>
          <t>Pauschale</t>
        </is>
      </c>
      <c r="D4368" s="10" t="inlineStr">
        <is>
          <t>⚠ Manual erforderlich</t>
        </is>
      </c>
      <c r="E4368" s="11" t="inlineStr"/>
      <c r="F4368" s="11" t="n">
        <v>0</v>
      </c>
      <c r="G4368" s="11">
        <f>E4368-F4368</f>
        <v/>
      </c>
      <c r="H4368" s="11" t="n">
        <v>0</v>
      </c>
      <c r="I4368" s="11" t="n">
        <v>0</v>
      </c>
      <c r="J4368" s="11" t="n">
        <v>0</v>
      </c>
      <c r="K4368" s="4" t="inlineStr">
        <is>
          <t>Stundensätze eingeben</t>
        </is>
      </c>
    </row>
    <row r="4369">
      <c r="A4369" s="4" t="inlineStr">
        <is>
          <t>7197 LAER-BSK-Marie-Curie-Str-Rendsburg</t>
        </is>
      </c>
      <c r="B4369" s="4" t="inlineStr">
        <is>
          <t>● (p) Pos. 1 Erstellung Brandschutzkonzept</t>
        </is>
      </c>
      <c r="C4369" s="4" t="inlineStr">
        <is>
          <t>Pauschale</t>
        </is>
      </c>
      <c r="D4369" s="10" t="inlineStr">
        <is>
          <t>⚠ Manual erforderlich</t>
        </is>
      </c>
      <c r="E4369" s="11" t="inlineStr"/>
      <c r="F4369" s="11" t="n">
        <v>0</v>
      </c>
      <c r="G4369" s="11">
        <f>E4369-F4369</f>
        <v/>
      </c>
      <c r="H4369" s="11" t="n">
        <v>0</v>
      </c>
      <c r="I4369" s="11" t="n">
        <v>0</v>
      </c>
      <c r="J4369" s="11" t="n">
        <v>0</v>
      </c>
      <c r="K4369" s="4" t="inlineStr">
        <is>
          <t>Stundensätze eingeben</t>
        </is>
      </c>
    </row>
    <row r="4370">
      <c r="A4370" s="4" t="inlineStr">
        <is>
          <t>7198 LAER-BV-Halberstadt</t>
        </is>
      </c>
      <c r="B4370" s="4" t="inlineStr">
        <is>
          <t>● (p) Pos. 1 Erstellung Brandschutzkonzept</t>
        </is>
      </c>
      <c r="C4370" s="4" t="inlineStr">
        <is>
          <t>Pauschale</t>
        </is>
      </c>
      <c r="D4370" s="10" t="inlineStr">
        <is>
          <t>⚠ Manual erforderlich</t>
        </is>
      </c>
      <c r="E4370" s="11" t="inlineStr"/>
      <c r="F4370" s="11" t="n">
        <v>0</v>
      </c>
      <c r="G4370" s="11">
        <f>E4370-F4370</f>
        <v/>
      </c>
      <c r="H4370" s="11" t="n">
        <v>0</v>
      </c>
      <c r="I4370" s="11" t="n">
        <v>0</v>
      </c>
      <c r="J4370" s="11" t="n">
        <v>0</v>
      </c>
      <c r="K4370" s="4" t="inlineStr">
        <is>
          <t>Stundensätze eingeben</t>
        </is>
      </c>
    </row>
    <row r="4371">
      <c r="A4371" s="4" t="inlineStr">
        <is>
          <t>7199 Siemens-FRP-Gateway-Gardens-De-Saint-Exupéry-Str-5-FFM</t>
        </is>
      </c>
      <c r="B4371" s="4" t="inlineStr">
        <is>
          <t>● (aN) Pos. 1 Erstellung / Aktualisierung Flucht- und Rettungspläne</t>
        </is>
      </c>
      <c r="C4371" s="4" t="inlineStr">
        <is>
          <t>Nachweis</t>
        </is>
      </c>
      <c r="D4371" s="10" t="inlineStr">
        <is>
          <t>⚠ Manual erforderlich</t>
        </is>
      </c>
      <c r="E4371" s="11" t="inlineStr"/>
      <c r="F4371" s="11" t="n">
        <v>0</v>
      </c>
      <c r="G4371" s="11">
        <f>E4371-F4371</f>
        <v/>
      </c>
      <c r="H4371" s="11" t="n">
        <v/>
      </c>
      <c r="I4371" s="11" t="n">
        <v/>
      </c>
      <c r="J4371" s="11" t="n">
        <v/>
      </c>
      <c r="K4371" s="4" t="inlineStr">
        <is>
          <t>Stundensätze eingeben</t>
        </is>
      </c>
    </row>
    <row r="4372">
      <c r="A4372" s="4" t="inlineStr">
        <is>
          <t>7200 WSP-BST-Alte-SalzdahlumerStr202-203-Braunschweig</t>
        </is>
      </c>
      <c r="B4372" s="4" t="inlineStr">
        <is>
          <t>● (aN) Pos. 1 BTB</t>
        </is>
      </c>
      <c r="C4372" s="4" t="inlineStr">
        <is>
          <t>Nachweis</t>
        </is>
      </c>
      <c r="D4372" s="10" t="inlineStr">
        <is>
          <t>⚠ Manual erforderlich</t>
        </is>
      </c>
      <c r="E4372" s="11" t="inlineStr"/>
      <c r="F4372" s="11" t="n">
        <v>0</v>
      </c>
      <c r="G4372" s="11">
        <f>E4372-F4372</f>
        <v/>
      </c>
      <c r="H4372" s="11" t="n">
        <v/>
      </c>
      <c r="I4372" s="11" t="n">
        <v/>
      </c>
      <c r="J4372" s="11" t="n">
        <v/>
      </c>
      <c r="K4372" s="4" t="inlineStr">
        <is>
          <t>Stundensätze eingeben</t>
        </is>
      </c>
    </row>
    <row r="4373">
      <c r="A4373" s="4" t="inlineStr">
        <is>
          <t>7201.03 Tectareal-BSO+BSB-TeilC-Arabellabogen-Elektrastr6-6a-MUC</t>
        </is>
      </c>
      <c r="B4373" s="4" t="inlineStr">
        <is>
          <t>● (p) Pos. 1 BSO Teil C</t>
        </is>
      </c>
      <c r="C4373" s="4" t="inlineStr">
        <is>
          <t>Pauschale</t>
        </is>
      </c>
      <c r="D4373" s="10" t="inlineStr">
        <is>
          <t>⚠ Manual erforderlich</t>
        </is>
      </c>
      <c r="E4373" s="11" t="inlineStr"/>
      <c r="F4373" s="11" t="n">
        <v>0</v>
      </c>
      <c r="G4373" s="11">
        <f>E4373-F4373</f>
        <v/>
      </c>
      <c r="H4373" s="11" t="n">
        <v>0</v>
      </c>
      <c r="I4373" s="11" t="n">
        <v>0</v>
      </c>
      <c r="J4373" s="11" t="n">
        <v>0</v>
      </c>
      <c r="K4373" s="4" t="inlineStr">
        <is>
          <t>Stundensätze eingeben</t>
        </is>
      </c>
    </row>
    <row r="4374">
      <c r="A4374" s="4" t="inlineStr">
        <is>
          <t>7201.03 Tectareal-BSO+BSB-TeilC-Arabellabogen-Elektrastr6-6a-MUC</t>
        </is>
      </c>
      <c r="B4374" s="4" t="inlineStr">
        <is>
          <t>● (aN) BSB 2025/26</t>
        </is>
      </c>
      <c r="C4374" s="4" t="inlineStr">
        <is>
          <t>Nachweis</t>
        </is>
      </c>
      <c r="D4374" s="10" t="inlineStr">
        <is>
          <t>⚠ Manual erforderlich</t>
        </is>
      </c>
      <c r="E4374" s="11" t="inlineStr"/>
      <c r="F4374" s="11" t="n">
        <v>0</v>
      </c>
      <c r="G4374" s="11">
        <f>E4374-F4374</f>
        <v/>
      </c>
      <c r="H4374" s="11" t="n">
        <v/>
      </c>
      <c r="I4374" s="11" t="n">
        <v/>
      </c>
      <c r="J4374" s="11" t="n">
        <v/>
      </c>
      <c r="K4374" s="4" t="inlineStr">
        <is>
          <t>Stundensätze eingeben</t>
        </is>
      </c>
    </row>
    <row r="4375">
      <c r="A4375" s="4" t="inlineStr">
        <is>
          <t>7201.04 AG Mieterschaft Ärzte? BSO-TeilB-Arztpraxis-Acock/Bogner-Arabellabogen-Elektrastr6-6a-MUC</t>
        </is>
      </c>
      <c r="B4375" s="4" t="inlineStr">
        <is>
          <t>● (p) Pos. 1 BSO Teil B</t>
        </is>
      </c>
      <c r="C4375" s="4" t="inlineStr">
        <is>
          <t>Pauschale</t>
        </is>
      </c>
      <c r="D4375" s="10" t="inlineStr">
        <is>
          <t>⚠ Manual erforderlich</t>
        </is>
      </c>
      <c r="E4375" s="11" t="inlineStr"/>
      <c r="F4375" s="11" t="n">
        <v>0</v>
      </c>
      <c r="G4375" s="11">
        <f>E4375-F4375</f>
        <v/>
      </c>
      <c r="H4375" s="11" t="n">
        <v>0</v>
      </c>
      <c r="I4375" s="11" t="n">
        <v>0</v>
      </c>
      <c r="J4375" s="11" t="n">
        <v>0</v>
      </c>
      <c r="K4375" s="4" t="inlineStr">
        <is>
          <t>Stundensätze eingeben</t>
        </is>
      </c>
    </row>
    <row r="4376">
      <c r="A4376" s="4" t="inlineStr">
        <is>
          <t>7202 KH-Amalie-Sieveking-NB-Funktions+Stationsbereiche-Haselkamp33-HH</t>
        </is>
      </c>
      <c r="B4376" s="4" t="inlineStr">
        <is>
          <t>● (p) LP 1 Grundlagenermittlung</t>
        </is>
      </c>
      <c r="C4376" s="4" t="inlineStr">
        <is>
          <t>Pauschale</t>
        </is>
      </c>
      <c r="D4376" s="10" t="inlineStr">
        <is>
          <t>⚠ Manual erforderlich</t>
        </is>
      </c>
      <c r="E4376" s="11" t="inlineStr"/>
      <c r="F4376" s="11" t="n">
        <v>0</v>
      </c>
      <c r="G4376" s="11">
        <f>E4376-F4376</f>
        <v/>
      </c>
      <c r="H4376" s="11" t="n">
        <v>0</v>
      </c>
      <c r="I4376" s="11" t="n">
        <v>0</v>
      </c>
      <c r="J4376" s="11" t="n">
        <v>0</v>
      </c>
      <c r="K4376" s="4" t="inlineStr">
        <is>
          <t>Stundensätze eingeben</t>
        </is>
      </c>
    </row>
    <row r="4377">
      <c r="A4377" s="4" t="inlineStr">
        <is>
          <t>7202 KH-Amalie-Sieveking-NB-Funktions+Stationsbereiche-Haselkamp33-HH</t>
        </is>
      </c>
      <c r="B4377" s="4" t="inlineStr">
        <is>
          <t>● (p) LP 2 Vorplanung</t>
        </is>
      </c>
      <c r="C4377" s="4" t="inlineStr">
        <is>
          <t>Pauschale</t>
        </is>
      </c>
      <c r="D4377" s="10" t="inlineStr">
        <is>
          <t>⚠ Manual erforderlich</t>
        </is>
      </c>
      <c r="E4377" s="11" t="inlineStr"/>
      <c r="F4377" s="11" t="n">
        <v>0</v>
      </c>
      <c r="G4377" s="11">
        <f>E4377-F4377</f>
        <v/>
      </c>
      <c r="H4377" s="11" t="n">
        <v>0</v>
      </c>
      <c r="I4377" s="11" t="n">
        <v>0</v>
      </c>
      <c r="J4377" s="11" t="n">
        <v>0</v>
      </c>
      <c r="K4377" s="4" t="inlineStr">
        <is>
          <t>Stundensätze eingeben</t>
        </is>
      </c>
    </row>
    <row r="4378">
      <c r="A4378" s="4" t="inlineStr">
        <is>
          <t>7202 KH-Amalie-Sieveking-NB-Funktions+Stationsbereiche-Haselkamp33-HH</t>
        </is>
      </c>
      <c r="B4378" s="4" t="inlineStr">
        <is>
          <t>● (p) LP 3 Entwurfsplanung</t>
        </is>
      </c>
      <c r="C4378" s="4" t="inlineStr">
        <is>
          <t>Pauschale</t>
        </is>
      </c>
      <c r="D4378" s="10" t="inlineStr">
        <is>
          <t>⚠ Manual erforderlich</t>
        </is>
      </c>
      <c r="E4378" s="11" t="inlineStr"/>
      <c r="F4378" s="11" t="n">
        <v>0</v>
      </c>
      <c r="G4378" s="11">
        <f>E4378-F4378</f>
        <v/>
      </c>
      <c r="H4378" s="11" t="n">
        <v/>
      </c>
      <c r="I4378" s="11" t="n">
        <v/>
      </c>
      <c r="J4378" s="11" t="n">
        <v/>
      </c>
      <c r="K4378" s="4" t="inlineStr">
        <is>
          <t>Stundensätze eingeben</t>
        </is>
      </c>
    </row>
    <row r="4379">
      <c r="A4379" s="4" t="inlineStr">
        <is>
          <t>7202 KH-Amalie-Sieveking-NB-Funktions+Stationsbereiche-Haselkamp33-HH</t>
        </is>
      </c>
      <c r="B4379" s="4" t="inlineStr">
        <is>
          <t>● (p) LP 4 Genehmigungsplanung</t>
        </is>
      </c>
      <c r="C4379" s="4" t="inlineStr">
        <is>
          <t>Pauschale</t>
        </is>
      </c>
      <c r="D4379" s="10" t="inlineStr">
        <is>
          <t>⚠ Manual erforderlich</t>
        </is>
      </c>
      <c r="E4379" s="11" t="inlineStr"/>
      <c r="F4379" s="11" t="n">
        <v>0</v>
      </c>
      <c r="G4379" s="11">
        <f>E4379-F4379</f>
        <v/>
      </c>
      <c r="H4379" s="11" t="n">
        <v/>
      </c>
      <c r="I4379" s="11" t="n">
        <v/>
      </c>
      <c r="J4379" s="11" t="n">
        <v/>
      </c>
      <c r="K4379" s="4" t="inlineStr">
        <is>
          <t>Stundensätze eingeben</t>
        </is>
      </c>
    </row>
    <row r="4380">
      <c r="A4380" s="4" t="inlineStr">
        <is>
          <t>7208.02 HeyLager-BAB-KOF-Garagenpark-Durmersheimerst29-Malsch</t>
        </is>
      </c>
      <c r="B4380" s="4" t="inlineStr">
        <is>
          <t>● (p) Pos. 1 BAB + KOF</t>
        </is>
      </c>
      <c r="C4380" s="4" t="inlineStr">
        <is>
          <t>Pauschale</t>
        </is>
      </c>
      <c r="D4380" s="10" t="inlineStr">
        <is>
          <t>⚠ Manual erforderlich</t>
        </is>
      </c>
      <c r="E4380" s="11" t="inlineStr"/>
      <c r="F4380" s="11" t="n">
        <v>0</v>
      </c>
      <c r="G4380" s="11">
        <f>E4380-F4380</f>
        <v/>
      </c>
      <c r="H4380" s="11" t="n">
        <v>0</v>
      </c>
      <c r="I4380" s="11" t="n">
        <v>0</v>
      </c>
      <c r="J4380" s="11" t="n">
        <v>0</v>
      </c>
      <c r="K4380" s="4" t="inlineStr">
        <is>
          <t>Stundensätze eingeben</t>
        </is>
      </c>
    </row>
    <row r="4381">
      <c r="A4381" s="4" t="inlineStr">
        <is>
          <t>7210 Aldi-Süd-PLA-LZ-Butzbach-Auf-der-Albhöhn-Butzbach</t>
        </is>
      </c>
      <c r="B4381" s="4" t="inlineStr">
        <is>
          <t>● 0001-Sonstiges</t>
        </is>
      </c>
      <c r="C4381" s="9" t="inlineStr">
        <is>
          <t>Unbekannt</t>
        </is>
      </c>
      <c r="D4381" s="10" t="inlineStr">
        <is>
          <t>⚠ Manual erforderlich</t>
        </is>
      </c>
      <c r="E4381" s="11" t="inlineStr"/>
      <c r="F4381" s="11" t="n">
        <v>0</v>
      </c>
      <c r="G4381" s="11">
        <f>E4381-F4381</f>
        <v/>
      </c>
      <c r="H4381" s="11" t="n">
        <v/>
      </c>
      <c r="I4381" s="11" t="n">
        <v/>
      </c>
      <c r="J4381" s="11" t="n">
        <v/>
      </c>
      <c r="K4381" s="4" t="inlineStr">
        <is>
          <t>Abrechnungsart wählen; Stundensätze eingeben</t>
        </is>
      </c>
    </row>
    <row r="4382">
      <c r="A4382" s="4" t="inlineStr">
        <is>
          <t>7210 Aldi-Süd-PLA-LZ-Butzbach-Auf-der-Albhöhn-Butzbach</t>
        </is>
      </c>
      <c r="B4382" s="4" t="inlineStr">
        <is>
          <t>● LP 1</t>
        </is>
      </c>
      <c r="C4382" s="9" t="inlineStr">
        <is>
          <t>Unbekannt</t>
        </is>
      </c>
      <c r="D4382" s="10" t="inlineStr">
        <is>
          <t>⚠ Manual erforderlich</t>
        </is>
      </c>
      <c r="E4382" s="11" t="inlineStr"/>
      <c r="F4382" s="11" t="n">
        <v>0</v>
      </c>
      <c r="G4382" s="11">
        <f>E4382-F4382</f>
        <v/>
      </c>
      <c r="H4382" s="11" t="n">
        <v/>
      </c>
      <c r="I4382" s="11" t="n">
        <v/>
      </c>
      <c r="J4382" s="11" t="n">
        <v/>
      </c>
      <c r="K4382" s="4" t="inlineStr">
        <is>
          <t>Abrechnungsart wählen; Stundensätze eingeben</t>
        </is>
      </c>
    </row>
    <row r="4383">
      <c r="A4383" s="4" t="inlineStr">
        <is>
          <t>7210 Aldi-Süd-PLA-LZ-Butzbach-Auf-der-Albhöhn-Butzbach</t>
        </is>
      </c>
      <c r="B4383" s="4" t="inlineStr">
        <is>
          <t>● LP 2</t>
        </is>
      </c>
      <c r="C4383" s="9" t="inlineStr">
        <is>
          <t>Unbekannt</t>
        </is>
      </c>
      <c r="D4383" s="10" t="inlineStr">
        <is>
          <t>⚠ Manual erforderlich</t>
        </is>
      </c>
      <c r="E4383" s="11" t="inlineStr"/>
      <c r="F4383" s="11" t="n">
        <v>0</v>
      </c>
      <c r="G4383" s="11">
        <f>E4383-F4383</f>
        <v/>
      </c>
      <c r="H4383" s="11" t="n">
        <v/>
      </c>
      <c r="I4383" s="11" t="n">
        <v/>
      </c>
      <c r="J4383" s="11" t="n">
        <v/>
      </c>
      <c r="K4383" s="4" t="inlineStr">
        <is>
          <t>Abrechnungsart wählen; Stundensätze eingeben</t>
        </is>
      </c>
    </row>
    <row r="4384">
      <c r="A4384" s="4" t="inlineStr">
        <is>
          <t>7210 Aldi-Süd-PLA-LZ-Butzbach-Auf-der-Albhöhn-Butzbach</t>
        </is>
      </c>
      <c r="B4384" s="4" t="inlineStr">
        <is>
          <t>● LP 3</t>
        </is>
      </c>
      <c r="C4384" s="9" t="inlineStr">
        <is>
          <t>Unbekannt</t>
        </is>
      </c>
      <c r="D4384" s="10" t="inlineStr">
        <is>
          <t>⚠ Manual erforderlich</t>
        </is>
      </c>
      <c r="E4384" s="11" t="inlineStr"/>
      <c r="F4384" s="11" t="n">
        <v>0</v>
      </c>
      <c r="G4384" s="11">
        <f>E4384-F4384</f>
        <v/>
      </c>
      <c r="H4384" s="11" t="n">
        <v/>
      </c>
      <c r="I4384" s="11" t="n">
        <v/>
      </c>
      <c r="J4384" s="11" t="n">
        <v/>
      </c>
      <c r="K4384" s="4" t="inlineStr">
        <is>
          <t>Abrechnungsart wählen; Stundensätze eingeben</t>
        </is>
      </c>
    </row>
    <row r="4385">
      <c r="A4385" s="4" t="inlineStr">
        <is>
          <t>7210 Aldi-Süd-PLA-LZ-Butzbach-Auf-der-Albhöhn-Butzbach</t>
        </is>
      </c>
      <c r="B4385" s="4" t="inlineStr">
        <is>
          <t>● LP 5</t>
        </is>
      </c>
      <c r="C4385" s="9" t="inlineStr">
        <is>
          <t>Unbekannt</t>
        </is>
      </c>
      <c r="D4385" s="10" t="inlineStr">
        <is>
          <t>⚠ Manual erforderlich</t>
        </is>
      </c>
      <c r="E4385" s="11" t="inlineStr"/>
      <c r="F4385" s="11" t="n">
        <v>0</v>
      </c>
      <c r="G4385" s="11">
        <f>E4385-F4385</f>
        <v/>
      </c>
      <c r="H4385" s="11" t="n">
        <v/>
      </c>
      <c r="I4385" s="11" t="n">
        <v/>
      </c>
      <c r="J4385" s="11" t="n">
        <v/>
      </c>
      <c r="K4385" s="4" t="inlineStr">
        <is>
          <t>Abrechnungsart wählen; Stundensätze eingeben</t>
        </is>
      </c>
    </row>
    <row r="4386">
      <c r="A4386" s="4" t="inlineStr">
        <is>
          <t>7210 Aldi-Süd-PLA-LZ-Butzbach-Auf-der-Albhöhn-Butzbach</t>
        </is>
      </c>
      <c r="B4386" s="4" t="inlineStr">
        <is>
          <t>● LP 6</t>
        </is>
      </c>
      <c r="C4386" s="9" t="inlineStr">
        <is>
          <t>Unbekannt</t>
        </is>
      </c>
      <c r="D4386" s="10" t="inlineStr">
        <is>
          <t>⚠ Manual erforderlich</t>
        </is>
      </c>
      <c r="E4386" s="11" t="inlineStr"/>
      <c r="F4386" s="11" t="n">
        <v>0</v>
      </c>
      <c r="G4386" s="11">
        <f>E4386-F4386</f>
        <v/>
      </c>
      <c r="H4386" s="11" t="n">
        <v/>
      </c>
      <c r="I4386" s="11" t="n">
        <v/>
      </c>
      <c r="J4386" s="11" t="n">
        <v/>
      </c>
      <c r="K4386" s="4" t="inlineStr">
        <is>
          <t>Abrechnungsart wählen; Stundensätze eingeben</t>
        </is>
      </c>
    </row>
    <row r="4387">
      <c r="A4387" s="4" t="inlineStr">
        <is>
          <t>7210 Aldi-Süd-PLA-LZ-Butzbach-Auf-der-Albhöhn-Butzbach</t>
        </is>
      </c>
      <c r="B4387" s="4" t="inlineStr">
        <is>
          <t>● LP 7</t>
        </is>
      </c>
      <c r="C4387" s="9" t="inlineStr">
        <is>
          <t>Unbekannt</t>
        </is>
      </c>
      <c r="D4387" s="10" t="inlineStr">
        <is>
          <t>⚠ Manual erforderlich</t>
        </is>
      </c>
      <c r="E4387" s="11" t="inlineStr"/>
      <c r="F4387" s="11" t="n">
        <v>0</v>
      </c>
      <c r="G4387" s="11">
        <f>E4387-F4387</f>
        <v/>
      </c>
      <c r="H4387" s="11" t="n">
        <v/>
      </c>
      <c r="I4387" s="11" t="n">
        <v/>
      </c>
      <c r="J4387" s="11" t="n">
        <v/>
      </c>
      <c r="K4387" s="4" t="inlineStr">
        <is>
          <t>Abrechnungsart wählen; Stundensätze eingeben</t>
        </is>
      </c>
    </row>
    <row r="4388">
      <c r="A4388" s="4" t="inlineStr">
        <is>
          <t>7210 Aldi-Süd-PLA-LZ-Butzbach-Auf-der-Albhöhn-Butzbach</t>
        </is>
      </c>
      <c r="B4388" s="4" t="inlineStr">
        <is>
          <t>● LP 8</t>
        </is>
      </c>
      <c r="C4388" s="9" t="inlineStr">
        <is>
          <t>Unbekannt</t>
        </is>
      </c>
      <c r="D4388" s="10" t="inlineStr">
        <is>
          <t>⚠ Manual erforderlich</t>
        </is>
      </c>
      <c r="E4388" s="11" t="inlineStr"/>
      <c r="F4388" s="11" t="n">
        <v>0</v>
      </c>
      <c r="G4388" s="11">
        <f>E4388-F4388</f>
        <v/>
      </c>
      <c r="H4388" s="11" t="n">
        <v/>
      </c>
      <c r="I4388" s="11" t="n">
        <v/>
      </c>
      <c r="J4388" s="11" t="n">
        <v/>
      </c>
      <c r="K4388" s="4" t="inlineStr">
        <is>
          <t>Abrechnungsart wählen; Stundensätze eingeben</t>
        </is>
      </c>
    </row>
    <row r="4389">
      <c r="A4389" s="4" t="inlineStr">
        <is>
          <t>7210 Aldi-Süd-PLA-LZ-Butzbach-Auf-der-Albhöhn-Butzbach</t>
        </is>
      </c>
      <c r="B4389" s="4" t="inlineStr">
        <is>
          <t>● (a.N.) Optionale Leistung auf Nachweis</t>
        </is>
      </c>
      <c r="C4389" s="4" t="inlineStr">
        <is>
          <t>Nachweis</t>
        </is>
      </c>
      <c r="D4389" s="10" t="inlineStr">
        <is>
          <t>⚠ Manual erforderlich</t>
        </is>
      </c>
      <c r="E4389" s="11" t="inlineStr"/>
      <c r="F4389" s="11" t="n">
        <v>0</v>
      </c>
      <c r="G4389" s="11">
        <f>E4389-F4389</f>
        <v/>
      </c>
      <c r="H4389" s="11" t="n">
        <v/>
      </c>
      <c r="I4389" s="11" t="n">
        <v/>
      </c>
      <c r="J4389" s="11" t="n">
        <v/>
      </c>
      <c r="K4389" s="4" t="inlineStr">
        <is>
          <t>Stundensätze eingeben</t>
        </is>
      </c>
    </row>
    <row r="4390">
      <c r="A4390" s="4" t="inlineStr">
        <is>
          <t>7213 reVenton-BSK-WEA-Schenkenwald</t>
        </is>
      </c>
      <c r="B4390" s="4" t="inlineStr">
        <is>
          <t>● (p) Pos. 1 Erstellung BSK</t>
        </is>
      </c>
      <c r="C4390" s="4" t="inlineStr">
        <is>
          <t>Pauschale</t>
        </is>
      </c>
      <c r="D4390" s="10" t="inlineStr">
        <is>
          <t>⚠ Manual erforderlich</t>
        </is>
      </c>
      <c r="E4390" s="11" t="inlineStr"/>
      <c r="F4390" s="11" t="n">
        <v>0</v>
      </c>
      <c r="G4390" s="11">
        <f>E4390-F4390</f>
        <v/>
      </c>
      <c r="H4390" s="11" t="n">
        <v>0</v>
      </c>
      <c r="I4390" s="11" t="n">
        <v>0</v>
      </c>
      <c r="J4390" s="11" t="n">
        <v>0</v>
      </c>
      <c r="K4390" s="4" t="inlineStr">
        <is>
          <t>Stundensätze eingeben</t>
        </is>
      </c>
    </row>
    <row r="4391">
      <c r="A4391" s="4" t="inlineStr">
        <is>
          <t>7213.01 SW-Wertheim-BSK-WEA-Schenkenwald-II</t>
        </is>
      </c>
      <c r="B4391" s="4" t="inlineStr">
        <is>
          <t>● (p) Pos. 1 Erstellung BSK WP Schenkenwald II</t>
        </is>
      </c>
      <c r="C4391" s="4" t="inlineStr">
        <is>
          <t>Pauschale</t>
        </is>
      </c>
      <c r="D4391" s="10" t="inlineStr">
        <is>
          <t>⚠ Manual erforderlich</t>
        </is>
      </c>
      <c r="E4391" s="11" t="inlineStr"/>
      <c r="F4391" s="11" t="n">
        <v>0</v>
      </c>
      <c r="G4391" s="11">
        <f>E4391-F4391</f>
        <v/>
      </c>
      <c r="H4391" s="11" t="n">
        <v>0</v>
      </c>
      <c r="I4391" s="11" t="n">
        <v>0</v>
      </c>
      <c r="J4391" s="11" t="n">
        <v>0</v>
      </c>
      <c r="K4391" s="4" t="inlineStr">
        <is>
          <t>Stundensätze eingeben</t>
        </is>
      </c>
    </row>
    <row r="4392">
      <c r="A4392" s="4" t="inlineStr">
        <is>
          <t>7214 Energieprojekte-DK-BSK-WEA-WP-Keferloh</t>
        </is>
      </c>
      <c r="B4392" s="4" t="inlineStr">
        <is>
          <t>● (p) Pos. 1 Erstellung BSK</t>
        </is>
      </c>
      <c r="C4392" s="4" t="inlineStr">
        <is>
          <t>Pauschale</t>
        </is>
      </c>
      <c r="D4392" s="10" t="inlineStr">
        <is>
          <t>⚠ Manual erforderlich</t>
        </is>
      </c>
      <c r="E4392" s="11" t="inlineStr"/>
      <c r="F4392" s="11" t="n">
        <v>0</v>
      </c>
      <c r="G4392" s="11">
        <f>E4392-F4392</f>
        <v/>
      </c>
      <c r="H4392" s="11" t="n">
        <v>0</v>
      </c>
      <c r="I4392" s="11" t="n">
        <v>0</v>
      </c>
      <c r="J4392" s="11" t="n">
        <v>0</v>
      </c>
      <c r="K4392" s="4" t="inlineStr">
        <is>
          <t>Stundensätze eingeben</t>
        </is>
      </c>
    </row>
    <row r="4393">
      <c r="A4393" s="4" t="inlineStr">
        <is>
          <t>7215 Quantum-BSN-Ludwigpalais6-8-Schönfeldstr6-München</t>
        </is>
      </c>
      <c r="B4393" s="4" t="inlineStr">
        <is>
          <t>● (aN) Pos. 1 Fortschreibung BSN</t>
        </is>
      </c>
      <c r="C4393" s="4" t="inlineStr">
        <is>
          <t>Nachweis</t>
        </is>
      </c>
      <c r="D4393" s="10" t="inlineStr">
        <is>
          <t>⚠ Manual erforderlich</t>
        </is>
      </c>
      <c r="E4393" s="11" t="inlineStr"/>
      <c r="F4393" s="11" t="n">
        <v>0</v>
      </c>
      <c r="G4393" s="11">
        <f>E4393-F4393</f>
        <v/>
      </c>
      <c r="H4393" s="11" t="n">
        <v/>
      </c>
      <c r="I4393" s="11" t="n">
        <v/>
      </c>
      <c r="J4393" s="11" t="n">
        <v/>
      </c>
      <c r="K4393" s="4" t="inlineStr">
        <is>
          <t>Stundensätze eingeben</t>
        </is>
      </c>
    </row>
    <row r="4394">
      <c r="A4394" s="4" t="inlineStr">
        <is>
          <t>7215 Quantum-BSN-Ludwigpalais6-8-Schönfeldstr6-München</t>
        </is>
      </c>
      <c r="B4394" s="4" t="inlineStr">
        <is>
          <t>● (aN) Pos. 2 Anpassung BS-Pläne</t>
        </is>
      </c>
      <c r="C4394" s="4" t="inlineStr">
        <is>
          <t>Nachweis</t>
        </is>
      </c>
      <c r="D4394" s="10" t="inlineStr">
        <is>
          <t>⚠ Manual erforderlich</t>
        </is>
      </c>
      <c r="E4394" s="11" t="inlineStr"/>
      <c r="F4394" s="11" t="n">
        <v>0</v>
      </c>
      <c r="G4394" s="11">
        <f>E4394-F4394</f>
        <v/>
      </c>
      <c r="H4394" s="11" t="n">
        <v/>
      </c>
      <c r="I4394" s="11" t="n">
        <v/>
      </c>
      <c r="J4394" s="11" t="n">
        <v/>
      </c>
      <c r="K4394" s="4" t="inlineStr">
        <is>
          <t>Stundensätze eingeben</t>
        </is>
      </c>
    </row>
    <row r="4395">
      <c r="A4395" s="4" t="inlineStr">
        <is>
          <t>7215 Quantum-BSN-Ludwigpalais6-8-Schönfeldstr6-München</t>
        </is>
      </c>
      <c r="B4395" s="4" t="inlineStr">
        <is>
          <t>● NAT-AHO-001-2025-06-18-TG-Ludwigpalais-München</t>
        </is>
      </c>
      <c r="C4395" s="9" t="inlineStr">
        <is>
          <t>Unbekannt</t>
        </is>
      </c>
      <c r="D4395" s="10" t="inlineStr">
        <is>
          <t>⚠ Manual erforderlich</t>
        </is>
      </c>
      <c r="E4395" s="11" t="inlineStr"/>
      <c r="F4395" s="11" t="n">
        <v>0</v>
      </c>
      <c r="G4395" s="11">
        <f>E4395-F4395</f>
        <v/>
      </c>
      <c r="H4395" s="11" t="n">
        <v/>
      </c>
      <c r="I4395" s="11" t="n">
        <v/>
      </c>
      <c r="J4395" s="11" t="n">
        <v/>
      </c>
      <c r="K4395" s="4" t="inlineStr">
        <is>
          <t>Abrechnungsart wählen; Stundensätze eingeben</t>
        </is>
      </c>
    </row>
    <row r="4396">
      <c r="A4396" s="4" t="inlineStr">
        <is>
          <t>7216.02 BSK-MailänderStr-3-23-Frankfurt</t>
        </is>
      </c>
      <c r="B4396" s="4" t="inlineStr">
        <is>
          <t>● (p) Pos.1 Erstellung BSK</t>
        </is>
      </c>
      <c r="C4396" s="4" t="inlineStr">
        <is>
          <t>Pauschale</t>
        </is>
      </c>
      <c r="D4396" s="10" t="inlineStr">
        <is>
          <t>⚠ Manual erforderlich</t>
        </is>
      </c>
      <c r="E4396" s="11" t="inlineStr"/>
      <c r="F4396" s="11" t="n">
        <v>0</v>
      </c>
      <c r="G4396" s="11">
        <f>E4396-F4396</f>
        <v/>
      </c>
      <c r="H4396" s="11" t="n">
        <v>0</v>
      </c>
      <c r="I4396" s="11" t="n">
        <v>0</v>
      </c>
      <c r="J4396" s="11" t="n">
        <v>0</v>
      </c>
      <c r="K4396" s="4" t="inlineStr">
        <is>
          <t>Stundensätze eingeben</t>
        </is>
      </c>
    </row>
    <row r="4397">
      <c r="A4397" s="4" t="inlineStr">
        <is>
          <t>7216.02 BSK-MailänderStr-3-23-Frankfurt</t>
        </is>
      </c>
      <c r="B4397" s="4" t="inlineStr">
        <is>
          <t>● (aN) Pos.2 Bauakteneinsicht u. Beratungstermin</t>
        </is>
      </c>
      <c r="C4397" s="4" t="inlineStr">
        <is>
          <t>Nachweis</t>
        </is>
      </c>
      <c r="D4397" s="10" t="inlineStr">
        <is>
          <t>⚠ Manual erforderlich</t>
        </is>
      </c>
      <c r="E4397" s="11" t="inlineStr"/>
      <c r="F4397" s="11" t="n">
        <v>0</v>
      </c>
      <c r="G4397" s="11">
        <f>E4397-F4397</f>
        <v/>
      </c>
      <c r="H4397" s="11" t="n">
        <v/>
      </c>
      <c r="I4397" s="11" t="n">
        <v/>
      </c>
      <c r="J4397" s="11" t="n">
        <v/>
      </c>
      <c r="K4397" s="4" t="inlineStr">
        <is>
          <t>Stundensätze eingeben</t>
        </is>
      </c>
    </row>
    <row r="4398">
      <c r="A4398" s="4" t="inlineStr">
        <is>
          <t>7217.01 BSK-Kirchgasse-23-Wiesbaden-H&amp;M</t>
        </is>
      </c>
      <c r="B4398" s="4" t="inlineStr">
        <is>
          <t>● (p) Pos.1 Erstellung BSK</t>
        </is>
      </c>
      <c r="C4398" s="4" t="inlineStr">
        <is>
          <t>Pauschale</t>
        </is>
      </c>
      <c r="D4398" s="10" t="inlineStr">
        <is>
          <t>⚠ Manual erforderlich</t>
        </is>
      </c>
      <c r="E4398" s="11" t="inlineStr"/>
      <c r="F4398" s="11" t="n">
        <v>0</v>
      </c>
      <c r="G4398" s="11">
        <f>E4398-F4398</f>
        <v/>
      </c>
      <c r="H4398" s="11" t="n">
        <v>0</v>
      </c>
      <c r="I4398" s="11" t="n">
        <v>0</v>
      </c>
      <c r="J4398" s="11" t="n">
        <v>0</v>
      </c>
      <c r="K4398" s="4" t="inlineStr">
        <is>
          <t>Stundensätze eingeben</t>
        </is>
      </c>
    </row>
    <row r="4399">
      <c r="A4399" s="4" t="inlineStr">
        <is>
          <t>7219 SW-Tübingen-BSK-WEA-WP-Feurenmoos-Eschbronn</t>
        </is>
      </c>
      <c r="B4399" s="4" t="inlineStr">
        <is>
          <t>● (p) Pos. 1 Erstellung BSK</t>
        </is>
      </c>
      <c r="C4399" s="4" t="inlineStr">
        <is>
          <t>Pauschale</t>
        </is>
      </c>
      <c r="D4399" s="10" t="inlineStr">
        <is>
          <t>⚠ Manual erforderlich</t>
        </is>
      </c>
      <c r="E4399" s="11" t="inlineStr"/>
      <c r="F4399" s="11" t="n">
        <v>0</v>
      </c>
      <c r="G4399" s="11">
        <f>E4399-F4399</f>
        <v/>
      </c>
      <c r="H4399" s="11" t="n">
        <v>0</v>
      </c>
      <c r="I4399" s="11" t="n">
        <v>0</v>
      </c>
      <c r="J4399" s="11" t="n">
        <v>0</v>
      </c>
      <c r="K4399" s="4" t="inlineStr">
        <is>
          <t>Stundensätze eingeben</t>
        </is>
      </c>
    </row>
    <row r="4400">
      <c r="A4400" s="4" t="inlineStr">
        <is>
          <t>7220 SW-Tübingen-BSK-WEA-WP-Starzach</t>
        </is>
      </c>
      <c r="B4400" s="4" t="inlineStr">
        <is>
          <t>● (p) Pos. 1 Erstellung BSK</t>
        </is>
      </c>
      <c r="C4400" s="4" t="inlineStr">
        <is>
          <t>Pauschale</t>
        </is>
      </c>
      <c r="D4400" s="10" t="inlineStr">
        <is>
          <t>⚠ Manual erforderlich</t>
        </is>
      </c>
      <c r="E4400" s="11" t="inlineStr"/>
      <c r="F4400" s="11" t="n">
        <v>0</v>
      </c>
      <c r="G4400" s="11">
        <f>E4400-F4400</f>
        <v/>
      </c>
      <c r="H4400" s="11" t="n">
        <v>0</v>
      </c>
      <c r="I4400" s="11" t="n">
        <v>0</v>
      </c>
      <c r="J4400" s="11" t="n">
        <v>0</v>
      </c>
      <c r="K4400" s="4" t="inlineStr">
        <is>
          <t>Stundensätze eingeben</t>
        </is>
      </c>
    </row>
    <row r="4401">
      <c r="A4401" s="4" t="inlineStr">
        <is>
          <t>7221 CZ-FLA-ChicagoBoston-RudolfEberStr2-Oberkochen</t>
        </is>
      </c>
      <c r="B4401" s="4" t="inlineStr">
        <is>
          <t>● (a.N) Pos. 1 Bestandsaufnahme</t>
        </is>
      </c>
      <c r="C4401" s="9" t="inlineStr">
        <is>
          <t>Unbekannt</t>
        </is>
      </c>
      <c r="D4401" s="10" t="inlineStr">
        <is>
          <t>⚠ Manual erforderlich</t>
        </is>
      </c>
      <c r="E4401" s="11" t="inlineStr"/>
      <c r="F4401" s="11" t="n">
        <v>0</v>
      </c>
      <c r="G4401" s="11">
        <f>E4401-F4401</f>
        <v/>
      </c>
      <c r="H4401" s="11" t="n">
        <v/>
      </c>
      <c r="I4401" s="11" t="n">
        <v/>
      </c>
      <c r="J4401" s="11" t="n">
        <v/>
      </c>
      <c r="K4401" s="4" t="inlineStr">
        <is>
          <t>Abrechnungsart wählen; Stundensätze eingeben</t>
        </is>
      </c>
    </row>
    <row r="4402">
      <c r="A4402" s="4" t="inlineStr">
        <is>
          <t>7221 CZ-FLA-ChicagoBoston-RudolfEberStr2-Oberkochen</t>
        </is>
      </c>
      <c r="B4402" s="4" t="inlineStr">
        <is>
          <t>● (a.N) Pos. 2 - Konzept Löschwasser-Infrastrukturleitung + Hydranten</t>
        </is>
      </c>
      <c r="C4402" s="9" t="inlineStr">
        <is>
          <t>Unbekannt</t>
        </is>
      </c>
      <c r="D4402" s="10" t="inlineStr">
        <is>
          <t>⚠ Manual erforderlich</t>
        </is>
      </c>
      <c r="E4402" s="11" t="inlineStr"/>
      <c r="F4402" s="11" t="n">
        <v>0</v>
      </c>
      <c r="G4402" s="11">
        <f>E4402-F4402</f>
        <v/>
      </c>
      <c r="H4402" s="11" t="n">
        <v/>
      </c>
      <c r="I4402" s="11" t="n">
        <v/>
      </c>
      <c r="J4402" s="11" t="n">
        <v/>
      </c>
      <c r="K4402" s="4" t="inlineStr">
        <is>
          <t>Abrechnungsart wählen; Stundensätze eingeben</t>
        </is>
      </c>
    </row>
    <row r="4403">
      <c r="A4403" s="4" t="inlineStr">
        <is>
          <t>7221 CZ-FLA-ChicagoBoston-RudolfEberStr2-Oberkochen</t>
        </is>
      </c>
      <c r="B4403" s="4" t="inlineStr">
        <is>
          <t>● CAD - Löschwasser-Infrastrukturleitung + Hydranten</t>
        </is>
      </c>
      <c r="C4403" s="9" t="inlineStr">
        <is>
          <t>Unbekannt</t>
        </is>
      </c>
      <c r="D4403" s="10" t="inlineStr">
        <is>
          <t>⚠ Manual erforderlich</t>
        </is>
      </c>
      <c r="E4403" s="11" t="inlineStr"/>
      <c r="F4403" s="11" t="n">
        <v>0</v>
      </c>
      <c r="G4403" s="11">
        <f>E4403-F4403</f>
        <v/>
      </c>
      <c r="H4403" s="11" t="n">
        <v/>
      </c>
      <c r="I4403" s="11" t="n">
        <v/>
      </c>
      <c r="J4403" s="11" t="n">
        <v/>
      </c>
      <c r="K4403" s="4" t="inlineStr">
        <is>
          <t>Abrechnungsart wählen; Stundensätze eingeben</t>
        </is>
      </c>
    </row>
    <row r="4404">
      <c r="A4404" s="4" t="inlineStr">
        <is>
          <t>7222 CZ-FLA-LAK-KVA1675-Regal-Halle7.1-RudolfEberStr2-Oberkochen</t>
        </is>
      </c>
      <c r="B4404" s="4" t="inlineStr">
        <is>
          <t>● (aN) Pos. 1 Ausführungsplanung - E100</t>
        </is>
      </c>
      <c r="C4404" s="4" t="inlineStr">
        <is>
          <t>Nachweis</t>
        </is>
      </c>
      <c r="D4404" s="10" t="inlineStr">
        <is>
          <t>⚠ Manual erforderlich</t>
        </is>
      </c>
      <c r="E4404" s="11" t="inlineStr"/>
      <c r="F4404" s="11" t="n">
        <v>0</v>
      </c>
      <c r="G4404" s="11">
        <f>E4404-F4404</f>
        <v/>
      </c>
      <c r="H4404" s="11" t="n">
        <v/>
      </c>
      <c r="I4404" s="11" t="n">
        <v/>
      </c>
      <c r="J4404" s="11" t="n">
        <v/>
      </c>
      <c r="K4404" s="4" t="inlineStr">
        <is>
          <t>Stundensätze eingeben</t>
        </is>
      </c>
    </row>
    <row r="4405">
      <c r="A4405" s="4" t="inlineStr">
        <is>
          <t>7223 BTB-Julius-Brecht-Straße-2-Schwalbach</t>
        </is>
      </c>
      <c r="B4405" s="4" t="inlineStr">
        <is>
          <t>● (aN) Pos.1 BTB + Objektbegehung</t>
        </is>
      </c>
      <c r="C4405" s="4" t="inlineStr">
        <is>
          <t>Nachweis</t>
        </is>
      </c>
      <c r="D4405" s="10" t="inlineStr">
        <is>
          <t>⚠ Manual erforderlich</t>
        </is>
      </c>
      <c r="E4405" s="11" t="inlineStr"/>
      <c r="F4405" s="11" t="n">
        <v>0</v>
      </c>
      <c r="G4405" s="11">
        <f>E4405-F4405</f>
        <v/>
      </c>
      <c r="H4405" s="11" t="n">
        <v/>
      </c>
      <c r="I4405" s="11" t="n">
        <v/>
      </c>
      <c r="J4405" s="11" t="n">
        <v/>
      </c>
      <c r="K4405" s="4" t="inlineStr">
        <is>
          <t>Stundensätze eingeben</t>
        </is>
      </c>
    </row>
    <row r="4406">
      <c r="A4406" s="4" t="inlineStr">
        <is>
          <t>7223 BTB-Julius-Brecht-Straße-2-Schwalbach</t>
        </is>
      </c>
      <c r="B4406" s="4" t="inlineStr">
        <is>
          <t>● (p) Pos.2 Erstellen FWP</t>
        </is>
      </c>
      <c r="C4406" s="4" t="inlineStr">
        <is>
          <t>Pauschale</t>
        </is>
      </c>
      <c r="D4406" s="10" t="inlineStr">
        <is>
          <t>⚠ Manual erforderlich</t>
        </is>
      </c>
      <c r="E4406" s="11" t="inlineStr"/>
      <c r="F4406" s="11" t="n">
        <v>0</v>
      </c>
      <c r="G4406" s="11">
        <f>E4406-F4406</f>
        <v/>
      </c>
      <c r="H4406" s="11" t="n">
        <v>0</v>
      </c>
      <c r="I4406" s="11" t="n">
        <v>0</v>
      </c>
      <c r="J4406" s="11" t="n">
        <v>0</v>
      </c>
      <c r="K4406" s="4" t="inlineStr">
        <is>
          <t>Stundensätze eingeben</t>
        </is>
      </c>
    </row>
    <row r="4407">
      <c r="A4407" s="4" t="inlineStr">
        <is>
          <t>7223 BTB-Julius-Brecht-Straße-2-Schwalbach</t>
        </is>
      </c>
      <c r="B4407" s="4" t="inlineStr">
        <is>
          <t>● (p) Pos.3 Digitalisierung Bestandspläne</t>
        </is>
      </c>
      <c r="C4407" s="4" t="inlineStr">
        <is>
          <t>Pauschale</t>
        </is>
      </c>
      <c r="D4407" s="10" t="inlineStr">
        <is>
          <t>⚠ Manual erforderlich</t>
        </is>
      </c>
      <c r="E4407" s="11" t="inlineStr"/>
      <c r="F4407" s="11" t="n">
        <v>0</v>
      </c>
      <c r="G4407" s="11">
        <f>E4407-F4407</f>
        <v/>
      </c>
      <c r="H4407" s="11" t="n">
        <v>0</v>
      </c>
      <c r="I4407" s="11" t="n">
        <v>0</v>
      </c>
      <c r="J4407" s="11" t="n">
        <v>0</v>
      </c>
      <c r="K4407" s="4" t="inlineStr">
        <is>
          <t>Stundensätze eingeben</t>
        </is>
      </c>
    </row>
    <row r="4408">
      <c r="A4408" s="4" t="inlineStr">
        <is>
          <t>7225 Edeka-Cuxhaven-DueDilligence-Krongaard</t>
        </is>
      </c>
      <c r="B4408" s="4" t="inlineStr">
        <is>
          <t>● (a.N.) Einarbeitung und Sichtung der Bauakte</t>
        </is>
      </c>
      <c r="C4408" s="4" t="inlineStr">
        <is>
          <t>Nachweis</t>
        </is>
      </c>
      <c r="D4408" s="10" t="inlineStr">
        <is>
          <t>⚠ Manual erforderlich</t>
        </is>
      </c>
      <c r="E4408" s="11" t="inlineStr"/>
      <c r="F4408" s="11" t="n">
        <v>0</v>
      </c>
      <c r="G4408" s="11">
        <f>E4408-F4408</f>
        <v/>
      </c>
      <c r="H4408" s="11" t="n">
        <v/>
      </c>
      <c r="I4408" s="11" t="n">
        <v/>
      </c>
      <c r="J4408" s="11" t="n">
        <v/>
      </c>
      <c r="K4408" s="4" t="inlineStr">
        <is>
          <t>Stundensätze eingeben</t>
        </is>
      </c>
    </row>
    <row r="4409">
      <c r="A4409" s="4" t="inlineStr">
        <is>
          <t>7225 Edeka-Cuxhaven-DueDilligence-Krongaard</t>
        </is>
      </c>
      <c r="B4409" s="4" t="inlineStr">
        <is>
          <t>● (Pauschale) Objektbegehung (= 3 Tagessätze, 6 Tage geplant))</t>
        </is>
      </c>
      <c r="C4409" s="9" t="inlineStr">
        <is>
          <t>Unbekannt</t>
        </is>
      </c>
      <c r="D4409" s="10" t="inlineStr">
        <is>
          <t>⚠ Manual erforderlich</t>
        </is>
      </c>
      <c r="E4409" s="11" t="inlineStr"/>
      <c r="F4409" s="11" t="n">
        <v>0</v>
      </c>
      <c r="G4409" s="11">
        <f>E4409-F4409</f>
        <v/>
      </c>
      <c r="H4409" s="11" t="n">
        <v/>
      </c>
      <c r="I4409" s="11" t="n">
        <v/>
      </c>
      <c r="J4409" s="11" t="n">
        <v/>
      </c>
      <c r="K4409" s="4" t="inlineStr">
        <is>
          <t>Abrechnungsart wählen; Stundensätze eingeben</t>
        </is>
      </c>
    </row>
    <row r="4410">
      <c r="A4410" s="4" t="inlineStr">
        <is>
          <t>7225 Edeka-Cuxhaven-DueDilligence-Krongaard</t>
        </is>
      </c>
      <c r="B4410" s="4" t="inlineStr">
        <is>
          <t>● (a.N.) Erstellung eines Abschlussberichtes</t>
        </is>
      </c>
      <c r="C4410" s="4" t="inlineStr">
        <is>
          <t>Nachweis</t>
        </is>
      </c>
      <c r="D4410" s="10" t="inlineStr">
        <is>
          <t>⚠ Manual erforderlich</t>
        </is>
      </c>
      <c r="E4410" s="11" t="inlineStr"/>
      <c r="F4410" s="11" t="n">
        <v>0</v>
      </c>
      <c r="G4410" s="11">
        <f>E4410-F4410</f>
        <v/>
      </c>
      <c r="H4410" s="11" t="n">
        <v/>
      </c>
      <c r="I4410" s="11" t="n">
        <v/>
      </c>
      <c r="J4410" s="11" t="n">
        <v/>
      </c>
      <c r="K4410" s="4" t="inlineStr">
        <is>
          <t>Stundensätze eingeben</t>
        </is>
      </c>
    </row>
    <row r="4411">
      <c r="A4411" s="4" t="inlineStr">
        <is>
          <t>7226 Klebl-Brainergy-Park-Samuel-Morse-Str-Jülich</t>
        </is>
      </c>
      <c r="B4411" s="4" t="inlineStr">
        <is>
          <t>● (aN) Pos. 1 BAB</t>
        </is>
      </c>
      <c r="C4411" s="4" t="inlineStr">
        <is>
          <t>Nachweis</t>
        </is>
      </c>
      <c r="D4411" s="10" t="inlineStr">
        <is>
          <t>⚠ Manual erforderlich</t>
        </is>
      </c>
      <c r="E4411" s="11" t="inlineStr"/>
      <c r="F4411" s="11" t="n">
        <v>0</v>
      </c>
      <c r="G4411" s="11">
        <f>E4411-F4411</f>
        <v/>
      </c>
      <c r="H4411" s="11" t="n">
        <v/>
      </c>
      <c r="I4411" s="11" t="n">
        <v/>
      </c>
      <c r="J4411" s="11" t="n">
        <v/>
      </c>
      <c r="K4411" s="4" t="inlineStr">
        <is>
          <t>Stundensätze eingeben</t>
        </is>
      </c>
    </row>
    <row r="4412">
      <c r="A4412" s="4" t="inlineStr">
        <is>
          <t>7226.01 jxbau-Brainergy-Park-Samuel-Morse-Str-Jülich</t>
        </is>
      </c>
      <c r="B4412" s="4" t="inlineStr">
        <is>
          <t>● (aN) Pos. 1 Brandschutztechnische Beratung</t>
        </is>
      </c>
      <c r="C4412" s="4" t="inlineStr">
        <is>
          <t>Nachweis</t>
        </is>
      </c>
      <c r="D4412" s="10" t="inlineStr">
        <is>
          <t>⚠ Manual erforderlich</t>
        </is>
      </c>
      <c r="E4412" s="11" t="inlineStr"/>
      <c r="F4412" s="11" t="n">
        <v>0</v>
      </c>
      <c r="G4412" s="11">
        <f>E4412-F4412</f>
        <v/>
      </c>
      <c r="H4412" s="11" t="n">
        <v/>
      </c>
      <c r="I4412" s="11" t="n">
        <v/>
      </c>
      <c r="J4412" s="11" t="n">
        <v/>
      </c>
      <c r="K4412" s="4" t="inlineStr">
        <is>
          <t>Stundensätze eingeben</t>
        </is>
      </c>
    </row>
    <row r="4413">
      <c r="A4413" s="4" t="inlineStr">
        <is>
          <t>7227.01 JUWI-RV-BSK-WP-Großenkneten-Erweiterung</t>
        </is>
      </c>
      <c r="B4413" s="4" t="inlineStr">
        <is>
          <t>● (p) Pos. 1 Brandschutzkonzept</t>
        </is>
      </c>
      <c r="C4413" s="4" t="inlineStr">
        <is>
          <t>Pauschale</t>
        </is>
      </c>
      <c r="D4413" s="10" t="inlineStr">
        <is>
          <t>⚠ Manual erforderlich</t>
        </is>
      </c>
      <c r="E4413" s="11" t="inlineStr"/>
      <c r="F4413" s="11" t="n">
        <v>0</v>
      </c>
      <c r="G4413" s="11">
        <f>E4413-F4413</f>
        <v/>
      </c>
      <c r="H4413" s="11" t="n">
        <v>0</v>
      </c>
      <c r="I4413" s="11" t="n">
        <v>0</v>
      </c>
      <c r="J4413" s="11" t="n">
        <v>0</v>
      </c>
      <c r="K4413" s="4" t="inlineStr">
        <is>
          <t>Stundensätze eingeben</t>
        </is>
      </c>
    </row>
    <row r="4414">
      <c r="A4414" s="4" t="inlineStr">
        <is>
          <t>7229 Westinvest-HPPVO-Theodor-Heuss-Alle5-7-FFM</t>
        </is>
      </c>
      <c r="B4414" s="4" t="inlineStr">
        <is>
          <t>● (aN) Pos. 1 Prüfung und Plausibilisierung</t>
        </is>
      </c>
      <c r="C4414" s="4" t="inlineStr">
        <is>
          <t>Nachweis</t>
        </is>
      </c>
      <c r="D4414" s="10" t="inlineStr">
        <is>
          <t>⚠ Manual erforderlich</t>
        </is>
      </c>
      <c r="E4414" s="11" t="inlineStr"/>
      <c r="F4414" s="11" t="n">
        <v>0</v>
      </c>
      <c r="G4414" s="11">
        <f>E4414-F4414</f>
        <v/>
      </c>
      <c r="H4414" s="11" t="n">
        <v/>
      </c>
      <c r="I4414" s="11" t="n">
        <v/>
      </c>
      <c r="J4414" s="11" t="n">
        <v/>
      </c>
      <c r="K4414" s="4" t="inlineStr">
        <is>
          <t>Stundensätze eingeben</t>
        </is>
      </c>
    </row>
    <row r="4415">
      <c r="A4415" s="4" t="inlineStr">
        <is>
          <t>7231 BSN-Droysenstraße-16-Frankfurt</t>
        </is>
      </c>
      <c r="B4415" s="4" t="inlineStr">
        <is>
          <t>● (p) Pos.1 Erstellung BSN</t>
        </is>
      </c>
      <c r="C4415" s="4" t="inlineStr">
        <is>
          <t>Pauschale</t>
        </is>
      </c>
      <c r="D4415" s="10" t="inlineStr">
        <is>
          <t>⚠ Manual erforderlich</t>
        </is>
      </c>
      <c r="E4415" s="11" t="inlineStr"/>
      <c r="F4415" s="11" t="n">
        <v>0</v>
      </c>
      <c r="G4415" s="11">
        <f>E4415-F4415</f>
        <v/>
      </c>
      <c r="H4415" s="11" t="n">
        <v>0</v>
      </c>
      <c r="I4415" s="11" t="n">
        <v>0</v>
      </c>
      <c r="J4415" s="11" t="n">
        <v>0</v>
      </c>
      <c r="K4415" s="4" t="inlineStr">
        <is>
          <t>Stundensätze eingeben</t>
        </is>
      </c>
    </row>
    <row r="4416">
      <c r="A4416" s="4" t="inlineStr">
        <is>
          <t>7231 BSN-Droysenstraße-16-Frankfurt</t>
        </is>
      </c>
      <c r="B4416" s="4" t="inlineStr">
        <is>
          <t>● (aN) Pos.2 Baubegl. BSB u. Qualitätsüberwachung</t>
        </is>
      </c>
      <c r="C4416" s="4" t="inlineStr">
        <is>
          <t>Nachweis</t>
        </is>
      </c>
      <c r="D4416" s="10" t="inlineStr">
        <is>
          <t>⚠ Manual erforderlich</t>
        </is>
      </c>
      <c r="E4416" s="11" t="inlineStr"/>
      <c r="F4416" s="11" t="n">
        <v>0</v>
      </c>
      <c r="G4416" s="11">
        <f>E4416-F4416</f>
        <v/>
      </c>
      <c r="H4416" s="11" t="n">
        <v/>
      </c>
      <c r="I4416" s="11" t="n">
        <v/>
      </c>
      <c r="J4416" s="11" t="n">
        <v/>
      </c>
      <c r="K4416" s="4" t="inlineStr">
        <is>
          <t>Stundensätze eingeben</t>
        </is>
      </c>
    </row>
    <row r="4417">
      <c r="A4417" s="4" t="inlineStr">
        <is>
          <t>7233 Jost-BSN-Rheinbergerstr1-München</t>
        </is>
      </c>
      <c r="B4417" s="4" t="inlineStr">
        <is>
          <t>● (aN) Pos. 2 Beratungsleistung</t>
        </is>
      </c>
      <c r="C4417" s="4" t="inlineStr">
        <is>
          <t>Nachweis</t>
        </is>
      </c>
      <c r="D4417" s="10" t="inlineStr">
        <is>
          <t>⚠ Manual erforderlich</t>
        </is>
      </c>
      <c r="E4417" s="11" t="inlineStr"/>
      <c r="F4417" s="11" t="n">
        <v>0</v>
      </c>
      <c r="G4417" s="11">
        <f>E4417-F4417</f>
        <v/>
      </c>
      <c r="H4417" s="11" t="n">
        <v/>
      </c>
      <c r="I4417" s="11" t="n">
        <v/>
      </c>
      <c r="J4417" s="11" t="n">
        <v/>
      </c>
      <c r="K4417" s="4" t="inlineStr">
        <is>
          <t>Stundensätze eingeben</t>
        </is>
      </c>
    </row>
    <row r="4418">
      <c r="A4418" s="4" t="inlineStr">
        <is>
          <t>7234 Panasonic-PLA-Hagenauer-Str43-Wiesbaden</t>
        </is>
      </c>
      <c r="B4418" s="4" t="inlineStr">
        <is>
          <t>● Pos. 1 Erstellung einer Stellungnahme</t>
        </is>
      </c>
      <c r="C4418" s="9" t="inlineStr">
        <is>
          <t>Unbekannt</t>
        </is>
      </c>
      <c r="D4418" s="10" t="inlineStr">
        <is>
          <t>⚠ Manual erforderlich</t>
        </is>
      </c>
      <c r="E4418" s="11" t="inlineStr"/>
      <c r="F4418" s="11" t="n">
        <v>0</v>
      </c>
      <c r="G4418" s="11">
        <f>E4418-F4418</f>
        <v/>
      </c>
      <c r="H4418" s="11" t="n">
        <v/>
      </c>
      <c r="I4418" s="11" t="n">
        <v/>
      </c>
      <c r="J4418" s="11" t="n">
        <v/>
      </c>
      <c r="K4418" s="4" t="inlineStr">
        <is>
          <t>Abrechnungsart wählen; Stundensätze eingeben</t>
        </is>
      </c>
    </row>
    <row r="4419">
      <c r="A4419" s="4" t="inlineStr">
        <is>
          <t>7235 AECOM-Gebäude-TDD</t>
        </is>
      </c>
      <c r="B4419" s="4" t="inlineStr">
        <is>
          <t>● (aN) BTB</t>
        </is>
      </c>
      <c r="C4419" s="4" t="inlineStr">
        <is>
          <t>Nachweis</t>
        </is>
      </c>
      <c r="D4419" s="10" t="inlineStr">
        <is>
          <t>⚠ Manual erforderlich</t>
        </is>
      </c>
      <c r="E4419" s="11" t="inlineStr"/>
      <c r="F4419" s="11" t="n">
        <v>0</v>
      </c>
      <c r="G4419" s="11">
        <f>E4419-F4419</f>
        <v/>
      </c>
      <c r="H4419" s="11" t="n">
        <v/>
      </c>
      <c r="I4419" s="11" t="n">
        <v/>
      </c>
      <c r="J4419" s="11" t="n">
        <v/>
      </c>
      <c r="K4419" s="4" t="inlineStr">
        <is>
          <t>Stundensätze eingeben</t>
        </is>
      </c>
    </row>
    <row r="4420">
      <c r="A4420" s="4" t="inlineStr">
        <is>
          <t>7236 Würth - Stundennachweise</t>
        </is>
      </c>
      <c r="B4420" s="4" t="inlineStr">
        <is>
          <t>● Bensheim, An d. Riedwiese 2</t>
        </is>
      </c>
      <c r="C4420" s="9" t="inlineStr">
        <is>
          <t>Unbekannt</t>
        </is>
      </c>
      <c r="D4420" s="10" t="inlineStr">
        <is>
          <t>⚠ Manual erforderlich</t>
        </is>
      </c>
      <c r="E4420" s="11" t="inlineStr"/>
      <c r="F4420" s="11" t="n">
        <v>0</v>
      </c>
      <c r="G4420" s="11">
        <f>E4420-F4420</f>
        <v/>
      </c>
      <c r="H4420" s="11" t="n">
        <v/>
      </c>
      <c r="I4420" s="11" t="n">
        <v/>
      </c>
      <c r="J4420" s="11" t="n">
        <v/>
      </c>
      <c r="K4420" s="4" t="inlineStr">
        <is>
          <t>Abrechnungsart wählen; Stundensätze eingeben</t>
        </is>
      </c>
    </row>
    <row r="4421">
      <c r="A4421" s="4" t="inlineStr">
        <is>
          <t>7236 Würth - Stundennachweise</t>
        </is>
      </c>
      <c r="B4421" s="4" t="inlineStr">
        <is>
          <t>● Brandenburg a.d.H., Grüne Aue 3</t>
        </is>
      </c>
      <c r="C4421" s="9" t="inlineStr">
        <is>
          <t>Unbekannt</t>
        </is>
      </c>
      <c r="D4421" s="10" t="inlineStr">
        <is>
          <t>⚠ Manual erforderlich</t>
        </is>
      </c>
      <c r="E4421" s="11" t="inlineStr"/>
      <c r="F4421" s="11" t="n">
        <v>0</v>
      </c>
      <c r="G4421" s="11">
        <f>E4421-F4421</f>
        <v/>
      </c>
      <c r="H4421" s="11" t="n">
        <v/>
      </c>
      <c r="I4421" s="11" t="n">
        <v/>
      </c>
      <c r="J4421" s="11" t="n">
        <v/>
      </c>
      <c r="K4421" s="4" t="inlineStr">
        <is>
          <t>Abrechnungsart wählen; Stundensätze eingeben</t>
        </is>
      </c>
    </row>
    <row r="4422">
      <c r="A4422" s="4" t="inlineStr">
        <is>
          <t>7236 Würth - Stundennachweise</t>
        </is>
      </c>
      <c r="B4422" s="4" t="inlineStr">
        <is>
          <t>● Buchen, Albert-Einstein-Str. 15</t>
        </is>
      </c>
      <c r="C4422" s="9" t="inlineStr">
        <is>
          <t>Unbekannt</t>
        </is>
      </c>
      <c r="D4422" s="10" t="inlineStr">
        <is>
          <t>⚠ Manual erforderlich</t>
        </is>
      </c>
      <c r="E4422" s="11" t="inlineStr"/>
      <c r="F4422" s="11" t="n">
        <v>0</v>
      </c>
      <c r="G4422" s="11">
        <f>E4422-F4422</f>
        <v/>
      </c>
      <c r="H4422" s="11" t="n">
        <v/>
      </c>
      <c r="I4422" s="11" t="n">
        <v/>
      </c>
      <c r="J4422" s="11" t="n">
        <v/>
      </c>
      <c r="K4422" s="4" t="inlineStr">
        <is>
          <t>Abrechnungsart wählen; Stundensätze eingeben</t>
        </is>
      </c>
    </row>
    <row r="4423">
      <c r="A4423" s="4" t="inlineStr">
        <is>
          <t>7236 Würth - Stundennachweise</t>
        </is>
      </c>
      <c r="B4423" s="4" t="inlineStr">
        <is>
          <t>● Frankfurt, Mainzer Landstr. 693</t>
        </is>
      </c>
      <c r="C4423" s="9" t="inlineStr">
        <is>
          <t>Unbekannt</t>
        </is>
      </c>
      <c r="D4423" s="10" t="inlineStr">
        <is>
          <t>⚠ Manual erforderlich</t>
        </is>
      </c>
      <c r="E4423" s="11" t="inlineStr"/>
      <c r="F4423" s="11" t="n">
        <v>0</v>
      </c>
      <c r="G4423" s="11">
        <f>E4423-F4423</f>
        <v/>
      </c>
      <c r="H4423" s="11" t="n">
        <v/>
      </c>
      <c r="I4423" s="11" t="n">
        <v/>
      </c>
      <c r="J4423" s="11" t="n">
        <v/>
      </c>
      <c r="K4423" s="4" t="inlineStr">
        <is>
          <t>Abrechnungsart wählen; Stundensätze eingeben</t>
        </is>
      </c>
    </row>
    <row r="4424">
      <c r="A4424" s="4" t="inlineStr">
        <is>
          <t>7236 Würth - Stundennachweise</t>
        </is>
      </c>
      <c r="B4424" s="4" t="inlineStr">
        <is>
          <t>● Frechen, Europaallee 8</t>
        </is>
      </c>
      <c r="C4424" s="9" t="inlineStr">
        <is>
          <t>Unbekannt</t>
        </is>
      </c>
      <c r="D4424" s="10" t="inlineStr">
        <is>
          <t>⚠ Manual erforderlich</t>
        </is>
      </c>
      <c r="E4424" s="11" t="inlineStr"/>
      <c r="F4424" s="11" t="n">
        <v>0</v>
      </c>
      <c r="G4424" s="11">
        <f>E4424-F4424</f>
        <v/>
      </c>
      <c r="H4424" s="11" t="n">
        <v/>
      </c>
      <c r="I4424" s="11" t="n">
        <v/>
      </c>
      <c r="J4424" s="11" t="n">
        <v/>
      </c>
      <c r="K4424" s="4" t="inlineStr">
        <is>
          <t>Abrechnungsart wählen; Stundensätze eingeben</t>
        </is>
      </c>
    </row>
    <row r="4425">
      <c r="A4425" s="4" t="inlineStr">
        <is>
          <t>7236 Würth - Stundennachweise</t>
        </is>
      </c>
      <c r="B4425" s="4" t="inlineStr">
        <is>
          <t>● Füssen, Hiebelerstr. 24</t>
        </is>
      </c>
      <c r="C4425" s="9" t="inlineStr">
        <is>
          <t>Unbekannt</t>
        </is>
      </c>
      <c r="D4425" s="10" t="inlineStr">
        <is>
          <t>⚠ Manual erforderlich</t>
        </is>
      </c>
      <c r="E4425" s="11" t="inlineStr"/>
      <c r="F4425" s="11" t="n">
        <v>0</v>
      </c>
      <c r="G4425" s="11">
        <f>E4425-F4425</f>
        <v/>
      </c>
      <c r="H4425" s="11" t="n">
        <v/>
      </c>
      <c r="I4425" s="11" t="n">
        <v/>
      </c>
      <c r="J4425" s="11" t="n">
        <v/>
      </c>
      <c r="K4425" s="4" t="inlineStr">
        <is>
          <t>Abrechnungsart wählen; Stundensätze eingeben</t>
        </is>
      </c>
    </row>
    <row r="4426">
      <c r="A4426" s="4" t="inlineStr">
        <is>
          <t>7236 Würth - Stundennachweise</t>
        </is>
      </c>
      <c r="B4426" s="4" t="inlineStr">
        <is>
          <t>● Hamburg Bergedorf, Neuer Weg 45</t>
        </is>
      </c>
      <c r="C4426" s="9" t="inlineStr">
        <is>
          <t>Unbekannt</t>
        </is>
      </c>
      <c r="D4426" s="10" t="inlineStr">
        <is>
          <t>⚠ Manual erforderlich</t>
        </is>
      </c>
      <c r="E4426" s="11" t="inlineStr"/>
      <c r="F4426" s="11" t="n">
        <v>0</v>
      </c>
      <c r="G4426" s="11">
        <f>E4426-F4426</f>
        <v/>
      </c>
      <c r="H4426" s="11" t="n">
        <v/>
      </c>
      <c r="I4426" s="11" t="n">
        <v/>
      </c>
      <c r="J4426" s="11" t="n">
        <v/>
      </c>
      <c r="K4426" s="4" t="inlineStr">
        <is>
          <t>Abrechnungsart wählen; Stundensätze eingeben</t>
        </is>
      </c>
    </row>
    <row r="4427">
      <c r="A4427" s="4" t="inlineStr">
        <is>
          <t>7236 Würth - Stundennachweise</t>
        </is>
      </c>
      <c r="B4427" s="4" t="inlineStr">
        <is>
          <t>● Hamburg, Gutenbergring 44</t>
        </is>
      </c>
      <c r="C4427" s="9" t="inlineStr">
        <is>
          <t>Unbekannt</t>
        </is>
      </c>
      <c r="D4427" s="10" t="inlineStr">
        <is>
          <t>⚠ Manual erforderlich</t>
        </is>
      </c>
      <c r="E4427" s="11" t="inlineStr"/>
      <c r="F4427" s="11" t="n">
        <v>0</v>
      </c>
      <c r="G4427" s="11">
        <f>E4427-F4427</f>
        <v/>
      </c>
      <c r="H4427" s="11" t="n">
        <v/>
      </c>
      <c r="I4427" s="11" t="n">
        <v/>
      </c>
      <c r="J4427" s="11" t="n">
        <v/>
      </c>
      <c r="K4427" s="4" t="inlineStr">
        <is>
          <t>Abrechnungsart wählen; Stundensätze eingeben</t>
        </is>
      </c>
    </row>
    <row r="4428">
      <c r="A4428" s="4" t="inlineStr">
        <is>
          <t>7236 Würth - Stundennachweise</t>
        </is>
      </c>
      <c r="B4428" s="4" t="inlineStr">
        <is>
          <t>● Karlsdorf-Neuthard, Im Ochsenstall 30a</t>
        </is>
      </c>
      <c r="C4428" s="9" t="inlineStr">
        <is>
          <t>Unbekannt</t>
        </is>
      </c>
      <c r="D4428" s="10" t="inlineStr">
        <is>
          <t>⚠ Manual erforderlich</t>
        </is>
      </c>
      <c r="E4428" s="11" t="inlineStr"/>
      <c r="F4428" s="11" t="n">
        <v>0</v>
      </c>
      <c r="G4428" s="11">
        <f>E4428-F4428</f>
        <v/>
      </c>
      <c r="H4428" s="11" t="n">
        <v/>
      </c>
      <c r="I4428" s="11" t="n">
        <v/>
      </c>
      <c r="J4428" s="11" t="n">
        <v/>
      </c>
      <c r="K4428" s="4" t="inlineStr">
        <is>
          <t>Abrechnungsart wählen; Stundensätze eingeben</t>
        </is>
      </c>
    </row>
    <row r="4429">
      <c r="A4429" s="4" t="inlineStr">
        <is>
          <t>7236 Würth - Stundennachweise</t>
        </is>
      </c>
      <c r="B4429" s="4" t="inlineStr">
        <is>
          <t>● Krefeld, Dießemer Bruch 181</t>
        </is>
      </c>
      <c r="C4429" s="9" t="inlineStr">
        <is>
          <t>Unbekannt</t>
        </is>
      </c>
      <c r="D4429" s="10" t="inlineStr">
        <is>
          <t>⚠ Manual erforderlich</t>
        </is>
      </c>
      <c r="E4429" s="11" t="inlineStr"/>
      <c r="F4429" s="11" t="n">
        <v>0</v>
      </c>
      <c r="G4429" s="11">
        <f>E4429-F4429</f>
        <v/>
      </c>
      <c r="H4429" s="11" t="n">
        <v/>
      </c>
      <c r="I4429" s="11" t="n">
        <v/>
      </c>
      <c r="J4429" s="11" t="n">
        <v/>
      </c>
      <c r="K4429" s="4" t="inlineStr">
        <is>
          <t>Abrechnungsart wählen; Stundensätze eingeben</t>
        </is>
      </c>
    </row>
    <row r="4430">
      <c r="A4430" s="4" t="inlineStr">
        <is>
          <t>7236 Würth - Stundennachweise</t>
        </is>
      </c>
      <c r="B4430" s="4" t="inlineStr">
        <is>
          <t>● Mühlheim, Bahnhofstr. 8a</t>
        </is>
      </c>
      <c r="C4430" s="9" t="inlineStr">
        <is>
          <t>Unbekannt</t>
        </is>
      </c>
      <c r="D4430" s="10" t="inlineStr">
        <is>
          <t>⚠ Manual erforderlich</t>
        </is>
      </c>
      <c r="E4430" s="11" t="inlineStr"/>
      <c r="F4430" s="11" t="n">
        <v>0</v>
      </c>
      <c r="G4430" s="11">
        <f>E4430-F4430</f>
        <v/>
      </c>
      <c r="H4430" s="11" t="n">
        <v/>
      </c>
      <c r="I4430" s="11" t="n">
        <v/>
      </c>
      <c r="J4430" s="11" t="n">
        <v/>
      </c>
      <c r="K4430" s="4" t="inlineStr">
        <is>
          <t>Abrechnungsart wählen; Stundensätze eingeben</t>
        </is>
      </c>
    </row>
    <row r="4431">
      <c r="A4431" s="4" t="inlineStr">
        <is>
          <t>7236 Würth - Stundennachweise</t>
        </is>
      </c>
      <c r="B4431" s="4" t="inlineStr">
        <is>
          <t>● München, Frankfurter Ring 230</t>
        </is>
      </c>
      <c r="C4431" s="9" t="inlineStr">
        <is>
          <t>Unbekannt</t>
        </is>
      </c>
      <c r="D4431" s="10" t="inlineStr">
        <is>
          <t>⚠ Manual erforderlich</t>
        </is>
      </c>
      <c r="E4431" s="11" t="inlineStr"/>
      <c r="F4431" s="11" t="n">
        <v>0</v>
      </c>
      <c r="G4431" s="11">
        <f>E4431-F4431</f>
        <v/>
      </c>
      <c r="H4431" s="11" t="n">
        <v/>
      </c>
      <c r="I4431" s="11" t="n">
        <v/>
      </c>
      <c r="J4431" s="11" t="n">
        <v/>
      </c>
      <c r="K4431" s="4" t="inlineStr">
        <is>
          <t>Abrechnungsart wählen; Stundensätze eingeben</t>
        </is>
      </c>
    </row>
    <row r="4432">
      <c r="A4432" s="4" t="inlineStr">
        <is>
          <t>7236 Würth - Stundennachweise</t>
        </is>
      </c>
      <c r="B4432" s="4" t="inlineStr">
        <is>
          <t>● Neu-Ulm, Pfaffenweg 34</t>
        </is>
      </c>
      <c r="C4432" s="9" t="inlineStr">
        <is>
          <t>Unbekannt</t>
        </is>
      </c>
      <c r="D4432" s="10" t="inlineStr">
        <is>
          <t>⚠ Manual erforderlich</t>
        </is>
      </c>
      <c r="E4432" s="11" t="inlineStr"/>
      <c r="F4432" s="11" t="n">
        <v>0</v>
      </c>
      <c r="G4432" s="11">
        <f>E4432-F4432</f>
        <v/>
      </c>
      <c r="H4432" s="11" t="n">
        <v/>
      </c>
      <c r="I4432" s="11" t="n">
        <v/>
      </c>
      <c r="J4432" s="11" t="n">
        <v/>
      </c>
      <c r="K4432" s="4" t="inlineStr">
        <is>
          <t>Abrechnungsart wählen; Stundensätze eingeben</t>
        </is>
      </c>
    </row>
    <row r="4433">
      <c r="A4433" s="4" t="inlineStr">
        <is>
          <t>7236 Würth - Stundennachweise</t>
        </is>
      </c>
      <c r="B4433" s="4" t="inlineStr">
        <is>
          <t>● Saarlouis/ Fraulautern, Bahnhofstr. 20</t>
        </is>
      </c>
      <c r="C4433" s="9" t="inlineStr">
        <is>
          <t>Unbekannt</t>
        </is>
      </c>
      <c r="D4433" s="10" t="inlineStr">
        <is>
          <t>⚠ Manual erforderlich</t>
        </is>
      </c>
      <c r="E4433" s="11" t="inlineStr"/>
      <c r="F4433" s="11" t="n">
        <v>0</v>
      </c>
      <c r="G4433" s="11">
        <f>E4433-F4433</f>
        <v/>
      </c>
      <c r="H4433" s="11" t="n">
        <v/>
      </c>
      <c r="I4433" s="11" t="n">
        <v/>
      </c>
      <c r="J4433" s="11" t="n">
        <v/>
      </c>
      <c r="K4433" s="4" t="inlineStr">
        <is>
          <t>Abrechnungsart wählen; Stundensätze eingeben</t>
        </is>
      </c>
    </row>
    <row r="4434">
      <c r="A4434" s="4" t="inlineStr">
        <is>
          <t>7236 Würth - Stundennachweise</t>
        </is>
      </c>
      <c r="B4434" s="4" t="inlineStr">
        <is>
          <t>● Siegen, Wallhausenstraße 20</t>
        </is>
      </c>
      <c r="C4434" s="9" t="inlineStr">
        <is>
          <t>Unbekannt</t>
        </is>
      </c>
      <c r="D4434" s="10" t="inlineStr">
        <is>
          <t>⚠ Manual erforderlich</t>
        </is>
      </c>
      <c r="E4434" s="11" t="inlineStr"/>
      <c r="F4434" s="11" t="n">
        <v>0</v>
      </c>
      <c r="G4434" s="11">
        <f>E4434-F4434</f>
        <v/>
      </c>
      <c r="H4434" s="11" t="n">
        <v/>
      </c>
      <c r="I4434" s="11" t="n">
        <v/>
      </c>
      <c r="J4434" s="11" t="n">
        <v/>
      </c>
      <c r="K4434" s="4" t="inlineStr">
        <is>
          <t>Abrechnungsart wählen; Stundensätze eingeben</t>
        </is>
      </c>
    </row>
    <row r="4435">
      <c r="A4435" s="4" t="inlineStr">
        <is>
          <t>7236 Würth - Stundennachweise</t>
        </is>
      </c>
      <c r="B4435" s="4" t="inlineStr">
        <is>
          <t>● Soest, Overweg 24</t>
        </is>
      </c>
      <c r="C4435" s="9" t="inlineStr">
        <is>
          <t>Unbekannt</t>
        </is>
      </c>
      <c r="D4435" s="10" t="inlineStr">
        <is>
          <t>⚠ Manual erforderlich</t>
        </is>
      </c>
      <c r="E4435" s="11" t="inlineStr"/>
      <c r="F4435" s="11" t="n">
        <v>0</v>
      </c>
      <c r="G4435" s="11">
        <f>E4435-F4435</f>
        <v/>
      </c>
      <c r="H4435" s="11" t="n">
        <v/>
      </c>
      <c r="I4435" s="11" t="n">
        <v/>
      </c>
      <c r="J4435" s="11" t="n">
        <v/>
      </c>
      <c r="K4435" s="4" t="inlineStr">
        <is>
          <t>Abrechnungsart wählen; Stundensätze eingeben</t>
        </is>
      </c>
    </row>
    <row r="4436">
      <c r="A4436" s="4" t="inlineStr">
        <is>
          <t>7236 Würth - Stundennachweise</t>
        </is>
      </c>
      <c r="B4436" s="4" t="inlineStr">
        <is>
          <t>● Weingarten, Hähnlehofstr. 5</t>
        </is>
      </c>
      <c r="C4436" s="9" t="inlineStr">
        <is>
          <t>Unbekannt</t>
        </is>
      </c>
      <c r="D4436" s="10" t="inlineStr">
        <is>
          <t>⚠ Manual erforderlich</t>
        </is>
      </c>
      <c r="E4436" s="11" t="inlineStr"/>
      <c r="F4436" s="11" t="n">
        <v>0</v>
      </c>
      <c r="G4436" s="11">
        <f>E4436-F4436</f>
        <v/>
      </c>
      <c r="H4436" s="11" t="n">
        <v/>
      </c>
      <c r="I4436" s="11" t="n">
        <v/>
      </c>
      <c r="J4436" s="11" t="n">
        <v/>
      </c>
      <c r="K4436" s="4" t="inlineStr">
        <is>
          <t>Abrechnungsart wählen; Stundensätze eingeben</t>
        </is>
      </c>
    </row>
    <row r="4437">
      <c r="A4437" s="4" t="inlineStr">
        <is>
          <t>7236 Würth - Stundennachweise</t>
        </is>
      </c>
      <c r="B4437" s="4" t="inlineStr">
        <is>
          <t>● Wittlich, Schloßstraße 31</t>
        </is>
      </c>
      <c r="C4437" s="9" t="inlineStr">
        <is>
          <t>Unbekannt</t>
        </is>
      </c>
      <c r="D4437" s="10" t="inlineStr">
        <is>
          <t>⚠ Manual erforderlich</t>
        </is>
      </c>
      <c r="E4437" s="11" t="inlineStr"/>
      <c r="F4437" s="11" t="n">
        <v>0</v>
      </c>
      <c r="G4437" s="11">
        <f>E4437-F4437</f>
        <v/>
      </c>
      <c r="H4437" s="11" t="n">
        <v/>
      </c>
      <c r="I4437" s="11" t="n">
        <v/>
      </c>
      <c r="J4437" s="11" t="n">
        <v/>
      </c>
      <c r="K4437" s="4" t="inlineStr">
        <is>
          <t>Abrechnungsart wählen; Stundensätze eingeben</t>
        </is>
      </c>
    </row>
    <row r="4438">
      <c r="A4438" s="4" t="inlineStr">
        <is>
          <t>7238 AHO-NB-RBB-GeSo-Magdeburger-Straße/Pankower-Straße-Schwerin</t>
        </is>
      </c>
      <c r="B4438" s="4" t="inlineStr">
        <is>
          <t>● (p) LPH 1</t>
        </is>
      </c>
      <c r="C4438" s="4" t="inlineStr">
        <is>
          <t>Pauschale</t>
        </is>
      </c>
      <c r="D4438" s="10" t="inlineStr">
        <is>
          <t>⚠ Manual erforderlich</t>
        </is>
      </c>
      <c r="E4438" s="11" t="inlineStr"/>
      <c r="F4438" s="11" t="n">
        <v>0</v>
      </c>
      <c r="G4438" s="11">
        <f>E4438-F4438</f>
        <v/>
      </c>
      <c r="H4438" s="11" t="n">
        <v>0</v>
      </c>
      <c r="I4438" s="11" t="n">
        <v>0</v>
      </c>
      <c r="J4438" s="11" t="n">
        <v>0</v>
      </c>
      <c r="K4438" s="4" t="inlineStr">
        <is>
          <t>Stundensätze eingeben</t>
        </is>
      </c>
    </row>
    <row r="4439">
      <c r="A4439" s="4" t="inlineStr">
        <is>
          <t>7238 AHO-NB-RBB-GeSo-Magdeburger-Straße/Pankower-Straße-Schwerin</t>
        </is>
      </c>
      <c r="B4439" s="4" t="inlineStr">
        <is>
          <t>● (p) LPH 2</t>
        </is>
      </c>
      <c r="C4439" s="4" t="inlineStr">
        <is>
          <t>Pauschale</t>
        </is>
      </c>
      <c r="D4439" s="10" t="inlineStr">
        <is>
          <t>⚠ Manual erforderlich</t>
        </is>
      </c>
      <c r="E4439" s="11" t="inlineStr"/>
      <c r="F4439" s="11" t="n">
        <v>0</v>
      </c>
      <c r="G4439" s="11">
        <f>E4439-F4439</f>
        <v/>
      </c>
      <c r="H4439" s="11" t="n">
        <v>0</v>
      </c>
      <c r="I4439" s="11" t="n">
        <v>0</v>
      </c>
      <c r="J4439" s="11" t="n">
        <v>0</v>
      </c>
      <c r="K4439" s="4" t="inlineStr">
        <is>
          <t>Stundensätze eingeben</t>
        </is>
      </c>
    </row>
    <row r="4440">
      <c r="A4440" s="4" t="inlineStr">
        <is>
          <t>7238 AHO-NB-RBB-GeSo-Magdeburger-Straße/Pankower-Straße-Schwerin</t>
        </is>
      </c>
      <c r="B4440" s="4" t="inlineStr">
        <is>
          <t>● (p) LPH 3</t>
        </is>
      </c>
      <c r="C4440" s="4" t="inlineStr">
        <is>
          <t>Pauschale</t>
        </is>
      </c>
      <c r="D4440" s="10" t="inlineStr">
        <is>
          <t>⚠ Manual erforderlich</t>
        </is>
      </c>
      <c r="E4440" s="11" t="inlineStr"/>
      <c r="F4440" s="11" t="n">
        <v>0</v>
      </c>
      <c r="G4440" s="11">
        <f>E4440-F4440</f>
        <v/>
      </c>
      <c r="H4440" s="11" t="n">
        <v>0</v>
      </c>
      <c r="I4440" s="11" t="n">
        <v>0</v>
      </c>
      <c r="J4440" s="11" t="n">
        <v>0</v>
      </c>
      <c r="K4440" s="4" t="inlineStr">
        <is>
          <t>Stundensätze eingeben</t>
        </is>
      </c>
    </row>
    <row r="4441">
      <c r="A4441" s="4" t="inlineStr">
        <is>
          <t>7238 AHO-NB-RBB-GeSo-Magdeburger-Straße/Pankower-Straße-Schwerin</t>
        </is>
      </c>
      <c r="B4441" s="4" t="inlineStr">
        <is>
          <t>● (p) LPH 4</t>
        </is>
      </c>
      <c r="C4441" s="4" t="inlineStr">
        <is>
          <t>Pauschale</t>
        </is>
      </c>
      <c r="D4441" s="10" t="inlineStr">
        <is>
          <t>⚠ Manual erforderlich</t>
        </is>
      </c>
      <c r="E4441" s="11" t="inlineStr"/>
      <c r="F4441" s="11" t="n">
        <v>0</v>
      </c>
      <c r="G4441" s="11">
        <f>E4441-F4441</f>
        <v/>
      </c>
      <c r="H4441" s="11" t="n">
        <v>0</v>
      </c>
      <c r="I4441" s="11" t="n">
        <v>0</v>
      </c>
      <c r="J4441" s="11" t="n">
        <v>0</v>
      </c>
      <c r="K4441" s="4" t="inlineStr">
        <is>
          <t>Stundensätze eingeben</t>
        </is>
      </c>
    </row>
    <row r="4442">
      <c r="A4442" s="4" t="inlineStr">
        <is>
          <t>7241 GemFreisen-BSP-Umbau-Sanierung-Festhalle-Oberkirchen-Freisen</t>
        </is>
      </c>
      <c r="B4442" s="4" t="inlineStr">
        <is>
          <t>● 2.1 Leistungsphasen (GL)</t>
        </is>
      </c>
      <c r="C4442" s="9" t="inlineStr">
        <is>
          <t>Unbekannt</t>
        </is>
      </c>
      <c r="D4442" s="10" t="inlineStr">
        <is>
          <t>⚠ Manual erforderlich</t>
        </is>
      </c>
      <c r="E4442" s="11" t="inlineStr"/>
      <c r="F4442" s="11" t="n">
        <v>0</v>
      </c>
      <c r="G4442" s="11">
        <f>E4442-F4442</f>
        <v/>
      </c>
      <c r="H4442" s="11" t="n">
        <v/>
      </c>
      <c r="I4442" s="11" t="n">
        <v/>
      </c>
      <c r="J4442" s="11" t="n">
        <v/>
      </c>
      <c r="K4442" s="4" t="inlineStr">
        <is>
          <t>Abrechnungsart wählen; Stundensätze eingeben</t>
        </is>
      </c>
    </row>
    <row r="4443">
      <c r="A4443" s="4" t="inlineStr">
        <is>
          <t>7241 GemFreisen-BSP-Umbau-Sanierung-Festhalle-Oberkirchen-Freisen</t>
        </is>
      </c>
      <c r="B4443" s="4" t="inlineStr">
        <is>
          <t>● 3.1 Zusätzliche Leistungen (BL)</t>
        </is>
      </c>
      <c r="C4443" s="9" t="inlineStr">
        <is>
          <t>Unbekannt</t>
        </is>
      </c>
      <c r="D4443" s="10" t="inlineStr">
        <is>
          <t>⚠ Manual erforderlich</t>
        </is>
      </c>
      <c r="E4443" s="11" t="inlineStr"/>
      <c r="F4443" s="11" t="n">
        <v>0</v>
      </c>
      <c r="G4443" s="11">
        <f>E4443-F4443</f>
        <v/>
      </c>
      <c r="H4443" s="11" t="n">
        <v/>
      </c>
      <c r="I4443" s="11" t="n">
        <v/>
      </c>
      <c r="J4443" s="11" t="n">
        <v/>
      </c>
      <c r="K4443" s="4" t="inlineStr">
        <is>
          <t>Abrechnungsart wählen; Stundensätze eingeben</t>
        </is>
      </c>
    </row>
    <row r="4444">
      <c r="A4444" s="4" t="inlineStr">
        <is>
          <t>7245 BSB-2025-2028-Waldkindergarten-Gelnhausen</t>
        </is>
      </c>
      <c r="B4444" s="4" t="inlineStr">
        <is>
          <t>● (aN) Pos.1  Auftaktgespräch + Begehungen zur Stellung eines BSB nur in 2025</t>
        </is>
      </c>
      <c r="C4444" s="4" t="inlineStr">
        <is>
          <t>Nachweis</t>
        </is>
      </c>
      <c r="D4444" s="10" t="inlineStr">
        <is>
          <t>⚠ Manual erforderlich</t>
        </is>
      </c>
      <c r="E4444" s="11" t="inlineStr"/>
      <c r="F4444" s="11" t="n">
        <v>0</v>
      </c>
      <c r="G4444" s="11">
        <f>E4444-F4444</f>
        <v/>
      </c>
      <c r="H4444" s="11" t="n">
        <v/>
      </c>
      <c r="I4444" s="11" t="n">
        <v/>
      </c>
      <c r="J4444" s="11" t="n">
        <v/>
      </c>
      <c r="K4444" s="4" t="inlineStr">
        <is>
          <t>Stundensätze eingeben</t>
        </is>
      </c>
    </row>
    <row r="4445">
      <c r="A4445" s="4" t="inlineStr">
        <is>
          <t>7245 BSB-2025-2028-Waldkindergarten-Gelnhausen</t>
        </is>
      </c>
      <c r="B4445" s="4" t="inlineStr">
        <is>
          <t>● (aN) Pos.2 Stellung eines BSB für 2026</t>
        </is>
      </c>
      <c r="C4445" s="4" t="inlineStr">
        <is>
          <t>Nachweis</t>
        </is>
      </c>
      <c r="D4445" s="10" t="inlineStr">
        <is>
          <t>⚠ Manual erforderlich</t>
        </is>
      </c>
      <c r="E4445" s="11" t="inlineStr"/>
      <c r="F4445" s="11" t="n">
        <v>0</v>
      </c>
      <c r="G4445" s="11">
        <f>E4445-F4445</f>
        <v/>
      </c>
      <c r="H4445" s="11" t="n">
        <v/>
      </c>
      <c r="I4445" s="11" t="n">
        <v/>
      </c>
      <c r="J4445" s="11" t="n">
        <v/>
      </c>
      <c r="K4445" s="4" t="inlineStr">
        <is>
          <t>Stundensätze eingeben</t>
        </is>
      </c>
    </row>
    <row r="4446">
      <c r="A4446" s="4" t="inlineStr">
        <is>
          <t>7245 BSB-2025-2028-Waldkindergarten-Gelnhausen</t>
        </is>
      </c>
      <c r="B4446" s="4" t="inlineStr">
        <is>
          <t>● (aN) Pos.2 Stellung eines BSB für 2027</t>
        </is>
      </c>
      <c r="C4446" s="4" t="inlineStr">
        <is>
          <t>Nachweis</t>
        </is>
      </c>
      <c r="D4446" s="10" t="inlineStr">
        <is>
          <t>⚠ Manual erforderlich</t>
        </is>
      </c>
      <c r="E4446" s="11" t="inlineStr"/>
      <c r="F4446" s="11" t="n">
        <v>0</v>
      </c>
      <c r="G4446" s="11">
        <f>E4446-F4446</f>
        <v/>
      </c>
      <c r="H4446" s="11" t="n">
        <v/>
      </c>
      <c r="I4446" s="11" t="n">
        <v/>
      </c>
      <c r="J4446" s="11" t="n">
        <v/>
      </c>
      <c r="K4446" s="4" t="inlineStr">
        <is>
          <t>Stundensätze eingeben</t>
        </is>
      </c>
    </row>
    <row r="4447">
      <c r="A4447" s="4" t="inlineStr">
        <is>
          <t>7245 BSB-2025-2028-Waldkindergarten-Gelnhausen</t>
        </is>
      </c>
      <c r="B4447" s="4" t="inlineStr">
        <is>
          <t>● (aN) Pos.2 Stellung eines BSB für 2028€</t>
        </is>
      </c>
      <c r="C4447" s="4" t="inlineStr">
        <is>
          <t>Nachweis</t>
        </is>
      </c>
      <c r="D4447" s="10" t="inlineStr">
        <is>
          <t>⚠ Manual erforderlich</t>
        </is>
      </c>
      <c r="E4447" s="11" t="inlineStr"/>
      <c r="F4447" s="11" t="n">
        <v>0</v>
      </c>
      <c r="G4447" s="11">
        <f>E4447-F4447</f>
        <v/>
      </c>
      <c r="H4447" s="11" t="n">
        <v/>
      </c>
      <c r="I4447" s="11" t="n">
        <v/>
      </c>
      <c r="J4447" s="11" t="n">
        <v/>
      </c>
      <c r="K4447" s="4" t="inlineStr">
        <is>
          <t>Stundensätze eingeben</t>
        </is>
      </c>
    </row>
    <row r="4448">
      <c r="A4448" s="4" t="inlineStr">
        <is>
          <t>7247 Hoepfner-BTB-NL-Grünwinkel</t>
        </is>
      </c>
      <c r="B4448" s="4" t="inlineStr">
        <is>
          <t>● (aN) Pos. 1 Brandschutztechnische Beratung und SOLL-IST-Abgleich (SV)</t>
        </is>
      </c>
      <c r="C4448" s="4" t="inlineStr">
        <is>
          <t>Nachweis</t>
        </is>
      </c>
      <c r="D4448" s="10" t="inlineStr">
        <is>
          <t>⚠ Manual erforderlich</t>
        </is>
      </c>
      <c r="E4448" s="11" t="inlineStr"/>
      <c r="F4448" s="11" t="n">
        <v>0</v>
      </c>
      <c r="G4448" s="11">
        <f>E4448-F4448</f>
        <v/>
      </c>
      <c r="H4448" s="11" t="n">
        <v/>
      </c>
      <c r="I4448" s="11" t="n">
        <v/>
      </c>
      <c r="J4448" s="11" t="n">
        <v/>
      </c>
      <c r="K4448" s="4" t="inlineStr">
        <is>
          <t>Stundensätze eingeben</t>
        </is>
      </c>
    </row>
    <row r="4449">
      <c r="A4449" s="4" t="inlineStr">
        <is>
          <t>7247 Hoepfner-BTB-NL-Grünwinkel</t>
        </is>
      </c>
      <c r="B4449" s="4" t="inlineStr">
        <is>
          <t>● (aN) Pos. 1 0500-Digitalisieren von CAD-Plänen</t>
        </is>
      </c>
      <c r="C4449" s="4" t="inlineStr">
        <is>
          <t>Nachweis</t>
        </is>
      </c>
      <c r="D4449" s="10" t="inlineStr">
        <is>
          <t>⚠ Manual erforderlich</t>
        </is>
      </c>
      <c r="E4449" s="11" t="inlineStr"/>
      <c r="F4449" s="11" t="n">
        <v>0</v>
      </c>
      <c r="G4449" s="11">
        <f>E4449-F4449</f>
        <v/>
      </c>
      <c r="H4449" s="11" t="n">
        <v/>
      </c>
      <c r="I4449" s="11" t="n">
        <v/>
      </c>
      <c r="J4449" s="11" t="n">
        <v/>
      </c>
      <c r="K4449" s="4" t="inlineStr">
        <is>
          <t>Stundensätze eingeben</t>
        </is>
      </c>
    </row>
    <row r="4450">
      <c r="A4450" s="4" t="inlineStr">
        <is>
          <t>7247 Hoepfner-BTB-NL-Grünwinkel</t>
        </is>
      </c>
      <c r="B4450" s="4" t="inlineStr">
        <is>
          <t>● (aN) Pos. 2 Beratungsleistungen zum Explosionsschutz und Prüfung der Explosionsschutzdokumente (GF)</t>
        </is>
      </c>
      <c r="C4450" s="4" t="inlineStr">
        <is>
          <t>Nachweis</t>
        </is>
      </c>
      <c r="D4450" s="10" t="inlineStr">
        <is>
          <t>⚠ Manual erforderlich</t>
        </is>
      </c>
      <c r="E4450" s="11" t="inlineStr"/>
      <c r="F4450" s="11" t="n">
        <v>0</v>
      </c>
      <c r="G4450" s="11">
        <f>E4450-F4450</f>
        <v/>
      </c>
      <c r="H4450" s="11" t="n">
        <v/>
      </c>
      <c r="I4450" s="11" t="n">
        <v/>
      </c>
      <c r="J4450" s="11" t="n">
        <v/>
      </c>
      <c r="K4450" s="4" t="inlineStr">
        <is>
          <t>Stundensätze eingeben</t>
        </is>
      </c>
    </row>
    <row r="4451">
      <c r="A4451" s="4" t="inlineStr">
        <is>
          <t>7247.01 Hoepfner-BST-Zentrale-Karlsruhe</t>
        </is>
      </c>
      <c r="B4451" s="4" t="inlineStr">
        <is>
          <t>● (p) Pos.1 Bestandsaufnahme</t>
        </is>
      </c>
      <c r="C4451" s="4" t="inlineStr">
        <is>
          <t>Pauschale</t>
        </is>
      </c>
      <c r="D4451" s="10" t="inlineStr">
        <is>
          <t>⚠ Manual erforderlich</t>
        </is>
      </c>
      <c r="E4451" s="11" t="inlineStr"/>
      <c r="F4451" s="11" t="n">
        <v>0</v>
      </c>
      <c r="G4451" s="11">
        <f>E4451-F4451</f>
        <v/>
      </c>
      <c r="H4451" s="11" t="n">
        <v>0</v>
      </c>
      <c r="I4451" s="11" t="n">
        <v>0</v>
      </c>
      <c r="J4451" s="11" t="n">
        <v>0</v>
      </c>
      <c r="K4451" s="4" t="inlineStr">
        <is>
          <t>Stundensätze eingeben</t>
        </is>
      </c>
    </row>
    <row r="4452">
      <c r="A4452" s="4" t="inlineStr">
        <is>
          <t>7247.01 Hoepfner-BST-Zentrale-Karlsruhe</t>
        </is>
      </c>
      <c r="B4452" s="4" t="inlineStr">
        <is>
          <t>●  (p) Pos. 2 Akteneinsicht beim Bauamt</t>
        </is>
      </c>
      <c r="C4452" s="4" t="inlineStr">
        <is>
          <t>Pauschale</t>
        </is>
      </c>
      <c r="D4452" s="10" t="inlineStr">
        <is>
          <t>⚠ Manual erforderlich</t>
        </is>
      </c>
      <c r="E4452" s="11" t="inlineStr"/>
      <c r="F4452" s="11" t="n">
        <v>0</v>
      </c>
      <c r="G4452" s="11">
        <f>E4452-F4452</f>
        <v/>
      </c>
      <c r="H4452" s="11" t="n">
        <v>0</v>
      </c>
      <c r="I4452" s="11" t="n">
        <v>0</v>
      </c>
      <c r="J4452" s="11" t="n">
        <v>0</v>
      </c>
      <c r="K4452" s="4" t="inlineStr">
        <is>
          <t>Stundensätze eingeben</t>
        </is>
      </c>
    </row>
    <row r="4453">
      <c r="A4453" s="4" t="inlineStr">
        <is>
          <t>7247.01 Hoepfner-BST-Zentrale-Karlsruhe</t>
        </is>
      </c>
      <c r="B4453" s="4" t="inlineStr">
        <is>
          <t>● (p) Pos. 3 Abgleich und Analyse (Soll-Ist-Vergleich)</t>
        </is>
      </c>
      <c r="C4453" s="4" t="inlineStr">
        <is>
          <t>Pauschale</t>
        </is>
      </c>
      <c r="D4453" s="10" t="inlineStr">
        <is>
          <t>⚠ Manual erforderlich</t>
        </is>
      </c>
      <c r="E4453" s="11" t="inlineStr"/>
      <c r="F4453" s="11" t="n">
        <v>0</v>
      </c>
      <c r="G4453" s="11">
        <f>E4453-F4453</f>
        <v/>
      </c>
      <c r="H4453" s="11" t="n">
        <v>0</v>
      </c>
      <c r="I4453" s="11" t="n">
        <v>0</v>
      </c>
      <c r="J4453" s="11" t="n">
        <v>0</v>
      </c>
      <c r="K4453" s="4" t="inlineStr">
        <is>
          <t>Stundensätze eingeben</t>
        </is>
      </c>
    </row>
    <row r="4454">
      <c r="A4454" s="4" t="inlineStr">
        <is>
          <t>7247.01 Hoepfner-BST-Zentrale-Karlsruhe</t>
        </is>
      </c>
      <c r="B4454" s="4" t="inlineStr">
        <is>
          <t>● (p) Pos.4 Erstellung BST</t>
        </is>
      </c>
      <c r="C4454" s="4" t="inlineStr">
        <is>
          <t>Pauschale</t>
        </is>
      </c>
      <c r="D4454" s="10" t="inlineStr">
        <is>
          <t>⚠ Manual erforderlich</t>
        </is>
      </c>
      <c r="E4454" s="11" t="inlineStr"/>
      <c r="F4454" s="11" t="n">
        <v>0</v>
      </c>
      <c r="G4454" s="11">
        <f>E4454-F4454</f>
        <v/>
      </c>
      <c r="H4454" s="11" t="n">
        <v>0</v>
      </c>
      <c r="I4454" s="11" t="n">
        <v>0</v>
      </c>
      <c r="J4454" s="11" t="n">
        <v>0</v>
      </c>
      <c r="K4454" s="4" t="inlineStr">
        <is>
          <t>Stundensätze eingeben</t>
        </is>
      </c>
    </row>
    <row r="4455">
      <c r="A4455" s="4" t="inlineStr">
        <is>
          <t>7247.01 Hoepfner-BST-Zentrale-Karlsruhe</t>
        </is>
      </c>
      <c r="B4455" s="4" t="inlineStr">
        <is>
          <t>● (p) Pos.5 OPTIONAL Abstimmung mit der Versicherung</t>
        </is>
      </c>
      <c r="C4455" s="4" t="inlineStr">
        <is>
          <t>Pauschale</t>
        </is>
      </c>
      <c r="D4455" s="10" t="inlineStr">
        <is>
          <t>⚠ Manual erforderlich</t>
        </is>
      </c>
      <c r="E4455" s="11" t="inlineStr"/>
      <c r="F4455" s="11" t="n">
        <v>0</v>
      </c>
      <c r="G4455" s="11">
        <f>E4455-F4455</f>
        <v/>
      </c>
      <c r="H4455" s="11" t="n">
        <v>0</v>
      </c>
      <c r="I4455" s="11" t="n">
        <v>0</v>
      </c>
      <c r="J4455" s="11" t="n">
        <v>0</v>
      </c>
      <c r="K4455" s="4" t="inlineStr">
        <is>
          <t>Stundensätze eingeben</t>
        </is>
      </c>
    </row>
    <row r="4456">
      <c r="A4456" s="4" t="inlineStr">
        <is>
          <t>7247.01 Hoepfner-BST-Zentrale-Karlsruhe</t>
        </is>
      </c>
      <c r="B4456" s="4" t="inlineStr">
        <is>
          <t>● (p) Pos.6 OPTIONAL: Präsentation der Ergebnisse</t>
        </is>
      </c>
      <c r="C4456" s="4" t="inlineStr">
        <is>
          <t>Pauschale</t>
        </is>
      </c>
      <c r="D4456" s="10" t="inlineStr">
        <is>
          <t>⚠ Manual erforderlich</t>
        </is>
      </c>
      <c r="E4456" s="11" t="inlineStr"/>
      <c r="F4456" s="11" t="n">
        <v>0</v>
      </c>
      <c r="G4456" s="11">
        <f>E4456-F4456</f>
        <v/>
      </c>
      <c r="H4456" s="11" t="n">
        <v>0</v>
      </c>
      <c r="I4456" s="11" t="n">
        <v>0</v>
      </c>
      <c r="J4456" s="11" t="n">
        <v>0</v>
      </c>
      <c r="K4456" s="4" t="inlineStr">
        <is>
          <t>Stundensätze eingeben</t>
        </is>
      </c>
    </row>
    <row r="4457">
      <c r="A4457" s="4" t="inlineStr">
        <is>
          <t>7248 Klebl-BarracksBuildings-BSK-divGeb-Hohenfels</t>
        </is>
      </c>
      <c r="B4457" s="4" t="inlineStr">
        <is>
          <t>● (p) Pos. 1 LPH 1 Grundlagenermittlung</t>
        </is>
      </c>
      <c r="C4457" s="4" t="inlineStr">
        <is>
          <t>Pauschale</t>
        </is>
      </c>
      <c r="D4457" s="10" t="inlineStr">
        <is>
          <t>⚠ Manual erforderlich</t>
        </is>
      </c>
      <c r="E4457" s="11" t="inlineStr"/>
      <c r="F4457" s="11" t="n">
        <v>0</v>
      </c>
      <c r="G4457" s="11">
        <f>E4457-F4457</f>
        <v/>
      </c>
      <c r="H4457" s="11" t="n">
        <v>0</v>
      </c>
      <c r="I4457" s="11" t="n">
        <v>0</v>
      </c>
      <c r="J4457" s="11" t="n">
        <v>0</v>
      </c>
      <c r="K4457" s="4" t="inlineStr">
        <is>
          <t>Stundensätze eingeben</t>
        </is>
      </c>
    </row>
    <row r="4458">
      <c r="A4458" s="4" t="inlineStr">
        <is>
          <t>7248 Klebl-BarracksBuildings-BSK-divGeb-Hohenfels</t>
        </is>
      </c>
      <c r="B4458" s="4" t="inlineStr">
        <is>
          <t>● (p) Pos. 2 LPH 5 Ausführungsplanung</t>
        </is>
      </c>
      <c r="C4458" s="4" t="inlineStr">
        <is>
          <t>Pauschale</t>
        </is>
      </c>
      <c r="D4458" s="10" t="inlineStr">
        <is>
          <t>⚠ Manual erforderlich</t>
        </is>
      </c>
      <c r="E4458" s="11" t="inlineStr"/>
      <c r="F4458" s="11" t="n">
        <v>0</v>
      </c>
      <c r="G4458" s="11">
        <f>E4458-F4458</f>
        <v/>
      </c>
      <c r="H4458" s="11" t="n">
        <v>0</v>
      </c>
      <c r="I4458" s="11" t="n">
        <v>0</v>
      </c>
      <c r="J4458" s="11" t="n">
        <v>0</v>
      </c>
      <c r="K4458" s="4" t="inlineStr">
        <is>
          <t>Stundensätze eingeben</t>
        </is>
      </c>
    </row>
    <row r="4459">
      <c r="A4459" s="4" t="inlineStr">
        <is>
          <t>7248 Klebl-BarracksBuildings-BSK-divGeb-Hohenfels</t>
        </is>
      </c>
      <c r="B4459" s="4" t="inlineStr">
        <is>
          <t>● (p) Pos. 5 LPH 8 Objektüberwachung</t>
        </is>
      </c>
      <c r="C4459" s="4" t="inlineStr">
        <is>
          <t>Pauschale</t>
        </is>
      </c>
      <c r="D4459" s="10" t="inlineStr">
        <is>
          <t>⚠ Manual erforderlich</t>
        </is>
      </c>
      <c r="E4459" s="11" t="inlineStr"/>
      <c r="F4459" s="11" t="n">
        <v>0</v>
      </c>
      <c r="G4459" s="11">
        <f>E4459-F4459</f>
        <v/>
      </c>
      <c r="H4459" s="11" t="n">
        <v>0</v>
      </c>
      <c r="I4459" s="11" t="n">
        <v>0</v>
      </c>
      <c r="J4459" s="11" t="n">
        <v>0</v>
      </c>
      <c r="K4459" s="4" t="inlineStr">
        <is>
          <t>Stundensätze eingeben</t>
        </is>
      </c>
    </row>
    <row r="4460">
      <c r="A4460" s="4" t="inlineStr">
        <is>
          <t>7249 Klebl-AHO-Geb8259-Baumholder</t>
        </is>
      </c>
      <c r="B4460" s="4" t="inlineStr">
        <is>
          <t>● (p.) LP 1 GL</t>
        </is>
      </c>
      <c r="C4460" s="9" t="inlineStr">
        <is>
          <t>Unbekannt</t>
        </is>
      </c>
      <c r="D4460" s="10" t="inlineStr">
        <is>
          <t>⚠ Manual erforderlich</t>
        </is>
      </c>
      <c r="E4460" s="11" t="inlineStr"/>
      <c r="F4460" s="11" t="n">
        <v>0</v>
      </c>
      <c r="G4460" s="11">
        <f>E4460-F4460</f>
        <v/>
      </c>
      <c r="H4460" s="11" t="n">
        <v/>
      </c>
      <c r="I4460" s="11" t="n">
        <v/>
      </c>
      <c r="J4460" s="11" t="n">
        <v/>
      </c>
      <c r="K4460" s="4" t="inlineStr">
        <is>
          <t>Abrechnungsart wählen; Stundensätze eingeben</t>
        </is>
      </c>
    </row>
    <row r="4461">
      <c r="A4461" s="4" t="inlineStr">
        <is>
          <t>7249 Klebl-AHO-Geb8259-Baumholder</t>
        </is>
      </c>
      <c r="B4461" s="4" t="inlineStr">
        <is>
          <t>● (p.) LP 1 BL</t>
        </is>
      </c>
      <c r="C4461" s="9" t="inlineStr">
        <is>
          <t>Unbekannt</t>
        </is>
      </c>
      <c r="D4461" s="10" t="inlineStr">
        <is>
          <t>⚠ Manual erforderlich</t>
        </is>
      </c>
      <c r="E4461" s="11" t="inlineStr"/>
      <c r="F4461" s="11" t="n">
        <v>0</v>
      </c>
      <c r="G4461" s="11">
        <f>E4461-F4461</f>
        <v/>
      </c>
      <c r="H4461" s="11" t="n">
        <v/>
      </c>
      <c r="I4461" s="11" t="n">
        <v/>
      </c>
      <c r="J4461" s="11" t="n">
        <v/>
      </c>
      <c r="K4461" s="4" t="inlineStr">
        <is>
          <t>Abrechnungsart wählen; Stundensätze eingeben</t>
        </is>
      </c>
    </row>
    <row r="4462">
      <c r="A4462" s="4" t="inlineStr">
        <is>
          <t>7249 Klebl-AHO-Geb8259-Baumholder</t>
        </is>
      </c>
      <c r="B4462" s="4" t="inlineStr">
        <is>
          <t>● (p.) LP 2 GL</t>
        </is>
      </c>
      <c r="C4462" s="9" t="inlineStr">
        <is>
          <t>Unbekannt</t>
        </is>
      </c>
      <c r="D4462" s="10" t="inlineStr">
        <is>
          <t>⚠ Manual erforderlich</t>
        </is>
      </c>
      <c r="E4462" s="11" t="inlineStr"/>
      <c r="F4462" s="11" t="n">
        <v>0</v>
      </c>
      <c r="G4462" s="11">
        <f>E4462-F4462</f>
        <v/>
      </c>
      <c r="H4462" s="11" t="n">
        <v/>
      </c>
      <c r="I4462" s="11" t="n">
        <v/>
      </c>
      <c r="J4462" s="11" t="n">
        <v/>
      </c>
      <c r="K4462" s="4" t="inlineStr">
        <is>
          <t>Abrechnungsart wählen; Stundensätze eingeben</t>
        </is>
      </c>
    </row>
    <row r="4463">
      <c r="A4463" s="4" t="inlineStr">
        <is>
          <t>7249 Klebl-AHO-Geb8259-Baumholder</t>
        </is>
      </c>
      <c r="B4463" s="4" t="inlineStr">
        <is>
          <t>● (p.) LP 2 BL</t>
        </is>
      </c>
      <c r="C4463" s="9" t="inlineStr">
        <is>
          <t>Unbekannt</t>
        </is>
      </c>
      <c r="D4463" s="10" t="inlineStr">
        <is>
          <t>⚠ Manual erforderlich</t>
        </is>
      </c>
      <c r="E4463" s="11" t="inlineStr"/>
      <c r="F4463" s="11" t="n">
        <v>0</v>
      </c>
      <c r="G4463" s="11">
        <f>E4463-F4463</f>
        <v/>
      </c>
      <c r="H4463" s="11" t="n">
        <v/>
      </c>
      <c r="I4463" s="11" t="n">
        <v/>
      </c>
      <c r="J4463" s="11" t="n">
        <v/>
      </c>
      <c r="K4463" s="4" t="inlineStr">
        <is>
          <t>Abrechnungsart wählen; Stundensätze eingeben</t>
        </is>
      </c>
    </row>
    <row r="4464">
      <c r="A4464" s="4" t="inlineStr">
        <is>
          <t>7249 Klebl-AHO-Geb8259-Baumholder</t>
        </is>
      </c>
      <c r="B4464" s="4" t="inlineStr">
        <is>
          <t>● (p.) LP 3 GL</t>
        </is>
      </c>
      <c r="C4464" s="9" t="inlineStr">
        <is>
          <t>Unbekannt</t>
        </is>
      </c>
      <c r="D4464" s="10" t="inlineStr">
        <is>
          <t>⚠ Manual erforderlich</t>
        </is>
      </c>
      <c r="E4464" s="11" t="inlineStr"/>
      <c r="F4464" s="11" t="n">
        <v>0</v>
      </c>
      <c r="G4464" s="11">
        <f>E4464-F4464</f>
        <v/>
      </c>
      <c r="H4464" s="11" t="n">
        <v/>
      </c>
      <c r="I4464" s="11" t="n">
        <v/>
      </c>
      <c r="J4464" s="11" t="n">
        <v/>
      </c>
      <c r="K4464" s="4" t="inlineStr">
        <is>
          <t>Abrechnungsart wählen; Stundensätze eingeben</t>
        </is>
      </c>
    </row>
    <row r="4465">
      <c r="A4465" s="4" t="inlineStr">
        <is>
          <t>7249 Klebl-AHO-Geb8259-Baumholder</t>
        </is>
      </c>
      <c r="B4465" s="4" t="inlineStr">
        <is>
          <t>● (p.) LP 4 GL</t>
        </is>
      </c>
      <c r="C4465" s="9" t="inlineStr">
        <is>
          <t>Unbekannt</t>
        </is>
      </c>
      <c r="D4465" s="10" t="inlineStr">
        <is>
          <t>⚠ Manual erforderlich</t>
        </is>
      </c>
      <c r="E4465" s="11" t="inlineStr"/>
      <c r="F4465" s="11" t="n">
        <v>0</v>
      </c>
      <c r="G4465" s="11">
        <f>E4465-F4465</f>
        <v/>
      </c>
      <c r="H4465" s="11" t="n">
        <v/>
      </c>
      <c r="I4465" s="11" t="n">
        <v/>
      </c>
      <c r="J4465" s="11" t="n">
        <v/>
      </c>
      <c r="K4465" s="4" t="inlineStr">
        <is>
          <t>Abrechnungsart wählen; Stundensätze eingeben</t>
        </is>
      </c>
    </row>
    <row r="4466">
      <c r="A4466" s="4" t="inlineStr">
        <is>
          <t>7249 Klebl-AHO-Geb8259-Baumholder</t>
        </is>
      </c>
      <c r="B4466" s="4" t="inlineStr">
        <is>
          <t>● (p.) LP 4 BL</t>
        </is>
      </c>
      <c r="C4466" s="9" t="inlineStr">
        <is>
          <t>Unbekannt</t>
        </is>
      </c>
      <c r="D4466" s="10" t="inlineStr">
        <is>
          <t>⚠ Manual erforderlich</t>
        </is>
      </c>
      <c r="E4466" s="11" t="inlineStr"/>
      <c r="F4466" s="11" t="n">
        <v>0</v>
      </c>
      <c r="G4466" s="11">
        <f>E4466-F4466</f>
        <v/>
      </c>
      <c r="H4466" s="11" t="n">
        <v/>
      </c>
      <c r="I4466" s="11" t="n">
        <v/>
      </c>
      <c r="J4466" s="11" t="n">
        <v/>
      </c>
      <c r="K4466" s="4" t="inlineStr">
        <is>
          <t>Abrechnungsart wählen; Stundensätze eingeben</t>
        </is>
      </c>
    </row>
    <row r="4467">
      <c r="A4467" s="4" t="inlineStr">
        <is>
          <t>7249 Klebl-AHO-Geb8259-Baumholder</t>
        </is>
      </c>
      <c r="B4467" s="4" t="inlineStr">
        <is>
          <t>● (p.) LP 5 GL</t>
        </is>
      </c>
      <c r="C4467" s="9" t="inlineStr">
        <is>
          <t>Unbekannt</t>
        </is>
      </c>
      <c r="D4467" s="10" t="inlineStr">
        <is>
          <t>⚠ Manual erforderlich</t>
        </is>
      </c>
      <c r="E4467" s="11" t="inlineStr"/>
      <c r="F4467" s="11" t="n">
        <v>0</v>
      </c>
      <c r="G4467" s="11">
        <f>E4467-F4467</f>
        <v/>
      </c>
      <c r="H4467" s="11" t="n">
        <v/>
      </c>
      <c r="I4467" s="11" t="n">
        <v/>
      </c>
      <c r="J4467" s="11" t="n">
        <v/>
      </c>
      <c r="K4467" s="4" t="inlineStr">
        <is>
          <t>Abrechnungsart wählen; Stundensätze eingeben</t>
        </is>
      </c>
    </row>
    <row r="4468">
      <c r="A4468" s="4" t="inlineStr">
        <is>
          <t>7249 Klebl-AHO-Geb8259-Baumholder</t>
        </is>
      </c>
      <c r="B4468" s="4" t="inlineStr">
        <is>
          <t>● (p.) LP 5 BL</t>
        </is>
      </c>
      <c r="C4468" s="9" t="inlineStr">
        <is>
          <t>Unbekannt</t>
        </is>
      </c>
      <c r="D4468" s="10" t="inlineStr">
        <is>
          <t>⚠ Manual erforderlich</t>
        </is>
      </c>
      <c r="E4468" s="11" t="inlineStr"/>
      <c r="F4468" s="11" t="n">
        <v>0</v>
      </c>
      <c r="G4468" s="11">
        <f>E4468-F4468</f>
        <v/>
      </c>
      <c r="H4468" s="11" t="n">
        <v/>
      </c>
      <c r="I4468" s="11" t="n">
        <v/>
      </c>
      <c r="J4468" s="11" t="n">
        <v/>
      </c>
      <c r="K4468" s="4" t="inlineStr">
        <is>
          <t>Abrechnungsart wählen; Stundensätze eingeben</t>
        </is>
      </c>
    </row>
    <row r="4469">
      <c r="A4469" s="4" t="inlineStr">
        <is>
          <t>7249 Klebl-AHO-Geb8259-Baumholder</t>
        </is>
      </c>
      <c r="B4469" s="4" t="inlineStr">
        <is>
          <t>● (p.) LP 8 GL</t>
        </is>
      </c>
      <c r="C4469" s="9" t="inlineStr">
        <is>
          <t>Unbekannt</t>
        </is>
      </c>
      <c r="D4469" s="10" t="inlineStr">
        <is>
          <t>⚠ Manual erforderlich</t>
        </is>
      </c>
      <c r="E4469" s="11" t="inlineStr"/>
      <c r="F4469" s="11" t="n">
        <v>0</v>
      </c>
      <c r="G4469" s="11">
        <f>E4469-F4469</f>
        <v/>
      </c>
      <c r="H4469" s="11" t="n">
        <v/>
      </c>
      <c r="I4469" s="11" t="n">
        <v/>
      </c>
      <c r="J4469" s="11" t="n">
        <v/>
      </c>
      <c r="K4469" s="4" t="inlineStr">
        <is>
          <t>Abrechnungsart wählen; Stundensätze eingeben</t>
        </is>
      </c>
    </row>
    <row r="4470">
      <c r="A4470" s="4" t="inlineStr">
        <is>
          <t>7250 BSK-Basaltstraße-42-Frankfurt</t>
        </is>
      </c>
      <c r="B4470" s="4" t="inlineStr">
        <is>
          <t>● (p) Pos.1 Erstellung BSK in der KiTa</t>
        </is>
      </c>
      <c r="C4470" s="4" t="inlineStr">
        <is>
          <t>Pauschale</t>
        </is>
      </c>
      <c r="D4470" s="10" t="inlineStr">
        <is>
          <t>⚠ Manual erforderlich</t>
        </is>
      </c>
      <c r="E4470" s="11" t="inlineStr"/>
      <c r="F4470" s="11" t="n">
        <v>0</v>
      </c>
      <c r="G4470" s="11">
        <f>E4470-F4470</f>
        <v/>
      </c>
      <c r="H4470" s="11" t="n">
        <v>0</v>
      </c>
      <c r="I4470" s="11" t="n">
        <v>0</v>
      </c>
      <c r="J4470" s="11" t="n">
        <v>0</v>
      </c>
      <c r="K4470" s="4" t="inlineStr">
        <is>
          <t>Stundensätze eingeben</t>
        </is>
      </c>
    </row>
    <row r="4471">
      <c r="A4471" s="4" t="inlineStr">
        <is>
          <t>7251 BSK-Mergenthaler-Alle-61-CUBE-Eschborn</t>
        </is>
      </c>
      <c r="B4471" s="4" t="inlineStr">
        <is>
          <t>● (p) Pos.1 BST 6 Brandschutztüren</t>
        </is>
      </c>
      <c r="C4471" s="4" t="inlineStr">
        <is>
          <t>Pauschale</t>
        </is>
      </c>
      <c r="D4471" s="10" t="inlineStr">
        <is>
          <t>⚠ Manual erforderlich</t>
        </is>
      </c>
      <c r="E4471" s="11" t="inlineStr"/>
      <c r="F4471" s="11" t="n">
        <v>0</v>
      </c>
      <c r="G4471" s="11">
        <f>E4471-F4471</f>
        <v/>
      </c>
      <c r="H4471" s="11" t="n">
        <v>0</v>
      </c>
      <c r="I4471" s="11" t="n">
        <v>0</v>
      </c>
      <c r="J4471" s="11" t="n">
        <v>0</v>
      </c>
      <c r="K4471" s="4" t="inlineStr">
        <is>
          <t>Stundensätze eingeben</t>
        </is>
      </c>
    </row>
    <row r="4472">
      <c r="A4472" s="4" t="inlineStr">
        <is>
          <t>7253 JUWI-BSK-WP-Bad-Laasphe-Feudingen</t>
        </is>
      </c>
      <c r="B4472" s="4" t="inlineStr">
        <is>
          <t>● (p) Pos. 1.00 Brandschutzkonzept</t>
        </is>
      </c>
      <c r="C4472" s="4" t="inlineStr">
        <is>
          <t>Pauschale</t>
        </is>
      </c>
      <c r="D4472" s="10" t="inlineStr">
        <is>
          <t>⚠ Manual erforderlich</t>
        </is>
      </c>
      <c r="E4472" s="11" t="inlineStr"/>
      <c r="F4472" s="11" t="n">
        <v>0</v>
      </c>
      <c r="G4472" s="11">
        <f>E4472-F4472</f>
        <v/>
      </c>
      <c r="H4472" s="11" t="n">
        <v>0</v>
      </c>
      <c r="I4472" s="11" t="n">
        <v>0</v>
      </c>
      <c r="J4472" s="11" t="n">
        <v>0</v>
      </c>
      <c r="K4472" s="4" t="inlineStr">
        <is>
          <t>Stundensätze eingeben</t>
        </is>
      </c>
    </row>
    <row r="4473">
      <c r="A4473" s="4" t="inlineStr">
        <is>
          <t>7254 Renner-Feldkind-BSK-Liegenschaft-Fussgönnheim-Überdachung</t>
        </is>
      </c>
      <c r="B4473" s="4" t="inlineStr">
        <is>
          <t>● (aN) Pos. 1 Ortstermin + BTB</t>
        </is>
      </c>
      <c r="C4473" s="4" t="inlineStr">
        <is>
          <t>Nachweis</t>
        </is>
      </c>
      <c r="D4473" s="10" t="inlineStr">
        <is>
          <t>⚠ Manual erforderlich</t>
        </is>
      </c>
      <c r="E4473" s="11" t="inlineStr"/>
      <c r="F4473" s="11" t="n">
        <v>0</v>
      </c>
      <c r="G4473" s="11">
        <f>E4473-F4473</f>
        <v/>
      </c>
      <c r="H4473" s="11" t="n">
        <v/>
      </c>
      <c r="I4473" s="11" t="n">
        <v/>
      </c>
      <c r="J4473" s="11" t="n">
        <v/>
      </c>
      <c r="K4473" s="4" t="inlineStr">
        <is>
          <t>Stundensätze eingeben</t>
        </is>
      </c>
    </row>
    <row r="4474">
      <c r="A4474" s="4" t="inlineStr">
        <is>
          <t>7254 Renner-Feldkind-BSK-Liegenschaft-Fussgönnheim-Überdachung</t>
        </is>
      </c>
      <c r="B4474" s="4" t="inlineStr">
        <is>
          <t>● (p) BSK ANG Pos. 2 + NAT Pos. 1</t>
        </is>
      </c>
      <c r="C4474" s="4" t="inlineStr">
        <is>
          <t>Pauschale</t>
        </is>
      </c>
      <c r="D4474" s="10" t="inlineStr">
        <is>
          <t>⚠ Manual erforderlich</t>
        </is>
      </c>
      <c r="E4474" s="11" t="inlineStr"/>
      <c r="F4474" s="11" t="n">
        <v>0</v>
      </c>
      <c r="G4474" s="11">
        <f>E4474-F4474</f>
        <v/>
      </c>
      <c r="H4474" s="11" t="n">
        <v>0</v>
      </c>
      <c r="I4474" s="11" t="n">
        <v>0</v>
      </c>
      <c r="J4474" s="11" t="n">
        <v>0</v>
      </c>
      <c r="K4474" s="4" t="inlineStr">
        <is>
          <t>Stundensätze eingeben</t>
        </is>
      </c>
    </row>
    <row r="4475">
      <c r="A4475" s="4" t="inlineStr">
        <is>
          <t>7255 BTB-Margueritenweg 3-Hofheim-Langenhain</t>
        </is>
      </c>
      <c r="B4475" s="4" t="inlineStr">
        <is>
          <t>● (aN) Pos.1 BTB - Öffnung zur Rauchableitung im KG</t>
        </is>
      </c>
      <c r="C4475" s="4" t="inlineStr">
        <is>
          <t>Nachweis</t>
        </is>
      </c>
      <c r="D4475" s="10" t="inlineStr">
        <is>
          <t>⚠ Manual erforderlich</t>
        </is>
      </c>
      <c r="E4475" s="11" t="inlineStr"/>
      <c r="F4475" s="11" t="n">
        <v>0</v>
      </c>
      <c r="G4475" s="11">
        <f>E4475-F4475</f>
        <v/>
      </c>
      <c r="H4475" s="11" t="n">
        <v/>
      </c>
      <c r="I4475" s="11" t="n">
        <v/>
      </c>
      <c r="J4475" s="11" t="n">
        <v/>
      </c>
      <c r="K4475" s="4" t="inlineStr">
        <is>
          <t>Stundensätze eingeben</t>
        </is>
      </c>
    </row>
    <row r="4476">
      <c r="A4476" s="4" t="inlineStr">
        <is>
          <t>7258 BSK-Karl-Rehbein-Schule-Dependance-I-Schlossplatz-4-Hanau</t>
        </is>
      </c>
      <c r="B4476" s="4" t="inlineStr">
        <is>
          <t>● (p) Erstellung BSK Schlossplatzschule Dependance I</t>
        </is>
      </c>
      <c r="C4476" s="4" t="inlineStr">
        <is>
          <t>Pauschale</t>
        </is>
      </c>
      <c r="D4476" s="10" t="inlineStr">
        <is>
          <t>⚠ Manual erforderlich</t>
        </is>
      </c>
      <c r="E4476" s="11" t="inlineStr"/>
      <c r="F4476" s="11" t="n">
        <v>0</v>
      </c>
      <c r="G4476" s="11">
        <f>E4476-F4476</f>
        <v/>
      </c>
      <c r="H4476" s="11" t="n">
        <v>0</v>
      </c>
      <c r="I4476" s="11" t="n">
        <v>0</v>
      </c>
      <c r="J4476" s="11" t="n">
        <v>0</v>
      </c>
      <c r="K4476" s="4" t="inlineStr">
        <is>
          <t>Stundensätze eingeben</t>
        </is>
      </c>
    </row>
    <row r="4477">
      <c r="A4477" s="4" t="inlineStr">
        <is>
          <t>7258 BSK-Karl-Rehbein-Schule-Dependance-I-Schlossplatz-4-Hanau</t>
        </is>
      </c>
      <c r="B4477" s="4" t="inlineStr">
        <is>
          <t>● (p) Pos.2 Erstellen v. 5 FWP</t>
        </is>
      </c>
      <c r="C4477" s="4" t="inlineStr">
        <is>
          <t>Pauschale</t>
        </is>
      </c>
      <c r="D4477" s="10" t="inlineStr">
        <is>
          <t>⚠ Manual erforderlich</t>
        </is>
      </c>
      <c r="E4477" s="11" t="inlineStr"/>
      <c r="F4477" s="11" t="n">
        <v>0</v>
      </c>
      <c r="G4477" s="11">
        <f>E4477-F4477</f>
        <v/>
      </c>
      <c r="H4477" s="11" t="n">
        <v>0</v>
      </c>
      <c r="I4477" s="11" t="n">
        <v>0</v>
      </c>
      <c r="J4477" s="11" t="n">
        <v>0</v>
      </c>
      <c r="K4477" s="4" t="inlineStr">
        <is>
          <t>Stundensätze eingeben</t>
        </is>
      </c>
    </row>
    <row r="4478">
      <c r="A4478" s="4" t="inlineStr">
        <is>
          <t>7258 BSK-Karl-Rehbein-Schule-Dependance-I-Schlossplatz-4-Hanau</t>
        </is>
      </c>
      <c r="B4478" s="4" t="inlineStr">
        <is>
          <t>● (p) Pos.3 Erstellen  FRP</t>
        </is>
      </c>
      <c r="C4478" s="4" t="inlineStr">
        <is>
          <t>Pauschale</t>
        </is>
      </c>
      <c r="D4478" s="10" t="inlineStr">
        <is>
          <t>⚠ Manual erforderlich</t>
        </is>
      </c>
      <c r="E4478" s="11" t="inlineStr"/>
      <c r="F4478" s="11" t="n">
        <v>0</v>
      </c>
      <c r="G4478" s="11">
        <f>E4478-F4478</f>
        <v/>
      </c>
      <c r="H4478" s="11" t="n">
        <v>0</v>
      </c>
      <c r="I4478" s="11" t="n">
        <v>0</v>
      </c>
      <c r="J4478" s="11" t="n">
        <v>0</v>
      </c>
      <c r="K4478" s="4" t="inlineStr">
        <is>
          <t>Stundensätze eingeben</t>
        </is>
      </c>
    </row>
    <row r="4479">
      <c r="A4479" s="4" t="inlineStr">
        <is>
          <t>7259 LK-Starnberg-Hauptstr20-22-Gymnasium-Tutzing</t>
        </is>
      </c>
      <c r="B4479" s="4" t="inlineStr">
        <is>
          <t>● Geb. A - Turnhalle (Abbruch+Neubau)</t>
        </is>
      </c>
      <c r="C4479" s="9" t="inlineStr">
        <is>
          <t>Unbekannt</t>
        </is>
      </c>
      <c r="D4479" s="10" t="inlineStr">
        <is>
          <t>⚠ Manual erforderlich</t>
        </is>
      </c>
      <c r="E4479" s="11" t="inlineStr"/>
      <c r="F4479" s="11" t="n">
        <v>0</v>
      </c>
      <c r="G4479" s="11">
        <f>E4479-F4479</f>
        <v/>
      </c>
      <c r="H4479" s="11" t="n">
        <v/>
      </c>
      <c r="I4479" s="11" t="n">
        <v/>
      </c>
      <c r="J4479" s="11" t="n">
        <v/>
      </c>
      <c r="K4479" s="4" t="inlineStr">
        <is>
          <t>Abrechnungsart wählen; Stundensätze eingeben</t>
        </is>
      </c>
    </row>
    <row r="4480">
      <c r="A4480" s="4" t="inlineStr">
        <is>
          <t>7259 LK-Starnberg-Hauptstr20-22-Gymnasium-Tutzing</t>
        </is>
      </c>
      <c r="B4480" s="4" t="inlineStr">
        <is>
          <t>● Geb. B - Kalle-Villa (denkmalgerechte Kernsanierung)</t>
        </is>
      </c>
      <c r="C4480" s="9" t="inlineStr">
        <is>
          <t>Unbekannt</t>
        </is>
      </c>
      <c r="D4480" s="10" t="inlineStr">
        <is>
          <t>⚠ Manual erforderlich</t>
        </is>
      </c>
      <c r="E4480" s="11" t="inlineStr"/>
      <c r="F4480" s="11" t="n">
        <v>0</v>
      </c>
      <c r="G4480" s="11">
        <f>E4480-F4480</f>
        <v/>
      </c>
      <c r="H4480" s="11" t="n">
        <v/>
      </c>
      <c r="I4480" s="11" t="n">
        <v/>
      </c>
      <c r="J4480" s="11" t="n">
        <v/>
      </c>
      <c r="K4480" s="4" t="inlineStr">
        <is>
          <t>Abrechnungsart wählen; Stundensätze eingeben</t>
        </is>
      </c>
    </row>
    <row r="4481">
      <c r="A4481" s="4" t="inlineStr">
        <is>
          <t>7259 LK-Starnberg-Hauptstr20-22-Gymnasium-Tutzing</t>
        </is>
      </c>
      <c r="B4481" s="4" t="inlineStr">
        <is>
          <t>● Geb. C - Nordbau (Generalsanierung)</t>
        </is>
      </c>
      <c r="C4481" s="9" t="inlineStr">
        <is>
          <t>Unbekannt</t>
        </is>
      </c>
      <c r="D4481" s="10" t="inlineStr">
        <is>
          <t>⚠ Manual erforderlich</t>
        </is>
      </c>
      <c r="E4481" s="11" t="inlineStr"/>
      <c r="F4481" s="11" t="n">
        <v>0</v>
      </c>
      <c r="G4481" s="11">
        <f>E4481-F4481</f>
        <v/>
      </c>
      <c r="H4481" s="11" t="n">
        <v/>
      </c>
      <c r="I4481" s="11" t="n">
        <v/>
      </c>
      <c r="J4481" s="11" t="n">
        <v/>
      </c>
      <c r="K4481" s="4" t="inlineStr">
        <is>
          <t>Abrechnungsart wählen; Stundensätze eingeben</t>
        </is>
      </c>
    </row>
    <row r="4482">
      <c r="A4482" s="4" t="inlineStr">
        <is>
          <t>7259 LK-Starnberg-Hauptstr20-22-Gymnasium-Tutzing</t>
        </is>
      </c>
      <c r="B4482" s="4" t="inlineStr">
        <is>
          <t>● Geb. D - Südbau (Generalsanierung)</t>
        </is>
      </c>
      <c r="C4482" s="9" t="inlineStr">
        <is>
          <t>Unbekannt</t>
        </is>
      </c>
      <c r="D4482" s="10" t="inlineStr">
        <is>
          <t>⚠ Manual erforderlich</t>
        </is>
      </c>
      <c r="E4482" s="11" t="inlineStr"/>
      <c r="F4482" s="11" t="n">
        <v>0</v>
      </c>
      <c r="G4482" s="11">
        <f>E4482-F4482</f>
        <v/>
      </c>
      <c r="H4482" s="11" t="n">
        <v/>
      </c>
      <c r="I4482" s="11" t="n">
        <v/>
      </c>
      <c r="J4482" s="11" t="n">
        <v/>
      </c>
      <c r="K4482" s="4" t="inlineStr">
        <is>
          <t>Abrechnungsart wählen; Stundensätze eingeben</t>
        </is>
      </c>
    </row>
    <row r="4483">
      <c r="A4483" s="4" t="inlineStr">
        <is>
          <t>7259 LK-Starnberg-Hauptstr20-22-Gymnasium-Tutzing</t>
        </is>
      </c>
      <c r="B4483" s="4" t="inlineStr">
        <is>
          <t>● Geb. D - Erweiterungsoption (Neubau)</t>
        </is>
      </c>
      <c r="C4483" s="9" t="inlineStr">
        <is>
          <t>Unbekannt</t>
        </is>
      </c>
      <c r="D4483" s="10" t="inlineStr">
        <is>
          <t>⚠ Manual erforderlich</t>
        </is>
      </c>
      <c r="E4483" s="11" t="inlineStr"/>
      <c r="F4483" s="11" t="n">
        <v>0</v>
      </c>
      <c r="G4483" s="11">
        <f>E4483-F4483</f>
        <v/>
      </c>
      <c r="H4483" s="11" t="n">
        <v/>
      </c>
      <c r="I4483" s="11" t="n">
        <v/>
      </c>
      <c r="J4483" s="11" t="n">
        <v/>
      </c>
      <c r="K4483" s="4" t="inlineStr">
        <is>
          <t>Abrechnungsart wählen; Stundensätze eingeben</t>
        </is>
      </c>
    </row>
    <row r="4484">
      <c r="A4484" s="4" t="inlineStr">
        <is>
          <t>7259 LK-Starnberg-Hauptstr20-22-Gymnasium-Tutzing</t>
        </is>
      </c>
      <c r="B4484" s="4" t="inlineStr">
        <is>
          <t>● Geb. F - Mensa (nur teils relevant)</t>
        </is>
      </c>
      <c r="C4484" s="9" t="inlineStr">
        <is>
          <t>Unbekannt</t>
        </is>
      </c>
      <c r="D4484" s="10" t="inlineStr">
        <is>
          <t>⚠ Manual erforderlich</t>
        </is>
      </c>
      <c r="E4484" s="11" t="inlineStr"/>
      <c r="F4484" s="11" t="n">
        <v>0</v>
      </c>
      <c r="G4484" s="11">
        <f>E4484-F4484</f>
        <v/>
      </c>
      <c r="H4484" s="11" t="n">
        <v/>
      </c>
      <c r="I4484" s="11" t="n">
        <v/>
      </c>
      <c r="J4484" s="11" t="n">
        <v/>
      </c>
      <c r="K4484" s="4" t="inlineStr">
        <is>
          <t>Abrechnungsart wählen; Stundensätze eingeben</t>
        </is>
      </c>
    </row>
    <row r="4485">
      <c r="A4485" s="4" t="inlineStr">
        <is>
          <t>7259 LK-Starnberg-Hauptstr20-22-Gymnasium-Tutzing</t>
        </is>
      </c>
      <c r="B4485" s="4" t="inlineStr">
        <is>
          <t>● BL noch nicht abgerufen</t>
        </is>
      </c>
      <c r="C4485" s="9" t="inlineStr">
        <is>
          <t>Unbekannt</t>
        </is>
      </c>
      <c r="D4485" s="10" t="inlineStr">
        <is>
          <t>⚠ Manual erforderlich</t>
        </is>
      </c>
      <c r="E4485" s="11" t="inlineStr"/>
      <c r="F4485" s="11" t="n">
        <v>0</v>
      </c>
      <c r="G4485" s="11">
        <f>E4485-F4485</f>
        <v/>
      </c>
      <c r="H4485" s="11" t="n">
        <v/>
      </c>
      <c r="I4485" s="11" t="n">
        <v/>
      </c>
      <c r="J4485" s="11" t="n">
        <v/>
      </c>
      <c r="K4485" s="4" t="inlineStr">
        <is>
          <t>Abrechnungsart wählen; Stundensätze eingeben</t>
        </is>
      </c>
    </row>
    <row r="4486">
      <c r="A4486" s="4" t="inlineStr">
        <is>
          <t>7261 BTB-Scharnhölzstraße-346-Bottrop</t>
        </is>
      </c>
      <c r="B4486" s="4" t="inlineStr">
        <is>
          <t>● (aN) Pos.1 BTB zur techn. Sanierung+Erneuerung d. Brand-melde- &amp; selbsttätigen Feuerlöschanlage</t>
        </is>
      </c>
      <c r="C4486" s="4" t="inlineStr">
        <is>
          <t>Nachweis</t>
        </is>
      </c>
      <c r="D4486" s="10" t="inlineStr">
        <is>
          <t>⚠ Manual erforderlich</t>
        </is>
      </c>
      <c r="E4486" s="11" t="inlineStr"/>
      <c r="F4486" s="11" t="n">
        <v>0</v>
      </c>
      <c r="G4486" s="11">
        <f>E4486-F4486</f>
        <v/>
      </c>
      <c r="H4486" s="11" t="n">
        <v/>
      </c>
      <c r="I4486" s="11" t="n">
        <v/>
      </c>
      <c r="J4486" s="11" t="n">
        <v/>
      </c>
      <c r="K4486" s="4" t="inlineStr">
        <is>
          <t>Stundensätze eingeben</t>
        </is>
      </c>
    </row>
    <row r="4487">
      <c r="A4487" s="4" t="inlineStr">
        <is>
          <t>7261.01 Hercutec-LAK-Scharnhölzstr346-Bottrop</t>
        </is>
      </c>
      <c r="B4487" s="4" t="inlineStr">
        <is>
          <t>● (p) LAK</t>
        </is>
      </c>
      <c r="C4487" s="4" t="inlineStr">
        <is>
          <t>Pauschale</t>
        </is>
      </c>
      <c r="D4487" s="10" t="inlineStr">
        <is>
          <t>⚠ Manual erforderlich</t>
        </is>
      </c>
      <c r="E4487" s="11" t="inlineStr"/>
      <c r="F4487" s="11" t="n">
        <v>0</v>
      </c>
      <c r="G4487" s="11">
        <f>E4487-F4487</f>
        <v/>
      </c>
      <c r="H4487" s="11" t="n">
        <v>0</v>
      </c>
      <c r="I4487" s="11" t="n">
        <v>0</v>
      </c>
      <c r="J4487" s="11" t="n">
        <v>0</v>
      </c>
      <c r="K4487" s="4" t="inlineStr">
        <is>
          <t>Stundensätze eingeben</t>
        </is>
      </c>
    </row>
    <row r="4488">
      <c r="A4488" s="4" t="inlineStr">
        <is>
          <t>7263 BAB-Gutleutstraße-112-Frankfurt-Fusion-Finanzämter-BHZ</t>
        </is>
      </c>
      <c r="B4488" s="4" t="inlineStr">
        <is>
          <t>● (aN) Pos.1 BAB Fusion-Finanzämter-BHZ</t>
        </is>
      </c>
      <c r="C4488" s="4" t="inlineStr">
        <is>
          <t>Nachweis</t>
        </is>
      </c>
      <c r="D4488" s="10" t="inlineStr">
        <is>
          <t>⚠ Manual erforderlich</t>
        </is>
      </c>
      <c r="E4488" s="11" t="inlineStr"/>
      <c r="F4488" s="11" t="n">
        <v>0</v>
      </c>
      <c r="G4488" s="11">
        <f>E4488-F4488</f>
        <v/>
      </c>
      <c r="H4488" s="11" t="n">
        <v/>
      </c>
      <c r="I4488" s="11" t="n">
        <v/>
      </c>
      <c r="J4488" s="11" t="n">
        <v/>
      </c>
      <c r="K4488" s="4" t="inlineStr">
        <is>
          <t>Stundensätze eingeben</t>
        </is>
      </c>
    </row>
    <row r="4489">
      <c r="A4489" s="4" t="inlineStr">
        <is>
          <t>7263 BAB-Gutleutstraße-112-Frankfurt-Fusion-Finanzämter-BHZ</t>
        </is>
      </c>
      <c r="B4489" s="4" t="inlineStr">
        <is>
          <t>● (aN) Pos.2 Optional: Zusätzl. Beratungslstg.</t>
        </is>
      </c>
      <c r="C4489" s="4" t="inlineStr">
        <is>
          <t>Nachweis</t>
        </is>
      </c>
      <c r="D4489" s="10" t="inlineStr">
        <is>
          <t>⚠ Manual erforderlich</t>
        </is>
      </c>
      <c r="E4489" s="11" t="inlineStr"/>
      <c r="F4489" s="11" t="n">
        <v>0</v>
      </c>
      <c r="G4489" s="11">
        <f>E4489-F4489</f>
        <v/>
      </c>
      <c r="H4489" s="11" t="n">
        <v/>
      </c>
      <c r="I4489" s="11" t="n">
        <v/>
      </c>
      <c r="J4489" s="11" t="n">
        <v/>
      </c>
      <c r="K4489" s="4" t="inlineStr">
        <is>
          <t>Stundensätze eingeben</t>
        </is>
      </c>
    </row>
    <row r="4490">
      <c r="A4490" s="4" t="inlineStr">
        <is>
          <t>7264 LATICO-LAK-Produktions-Lagerhalle-Breitscheidstr141-Rudolstadt</t>
        </is>
      </c>
      <c r="B4490" s="4" t="inlineStr">
        <is>
          <t>● (p) Pos. 1 LAK gem. VdS-CEA-4001</t>
        </is>
      </c>
      <c r="C4490" s="4" t="inlineStr">
        <is>
          <t>Pauschale</t>
        </is>
      </c>
      <c r="D4490" s="10" t="inlineStr">
        <is>
          <t>⚠ Manual erforderlich</t>
        </is>
      </c>
      <c r="E4490" s="11" t="inlineStr"/>
      <c r="F4490" s="11" t="n">
        <v>0</v>
      </c>
      <c r="G4490" s="11">
        <f>E4490-F4490</f>
        <v/>
      </c>
      <c r="H4490" s="11" t="n">
        <v>0</v>
      </c>
      <c r="I4490" s="11" t="n">
        <v>0</v>
      </c>
      <c r="J4490" s="11" t="n">
        <v>0</v>
      </c>
      <c r="K4490" s="4" t="inlineStr">
        <is>
          <t>Stundensätze eingeben</t>
        </is>
      </c>
    </row>
    <row r="4491">
      <c r="A4491" s="4" t="inlineStr">
        <is>
          <t>7265 BSB-2025-Schimmelmannstraße-103-Hamburg</t>
        </is>
      </c>
      <c r="B4491" s="4" t="inlineStr">
        <is>
          <t>● (aN) Pos.1 BSB 2025 12 Begehungen</t>
        </is>
      </c>
      <c r="C4491" s="4" t="inlineStr">
        <is>
          <t>Nachweis</t>
        </is>
      </c>
      <c r="D4491" s="10" t="inlineStr">
        <is>
          <t>⚠ Manual erforderlich</t>
        </is>
      </c>
      <c r="E4491" s="11" t="inlineStr"/>
      <c r="F4491" s="11" t="n">
        <v>0</v>
      </c>
      <c r="G4491" s="11">
        <f>E4491-F4491</f>
        <v/>
      </c>
      <c r="H4491" s="11" t="n">
        <v/>
      </c>
      <c r="I4491" s="11" t="n">
        <v/>
      </c>
      <c r="J4491" s="11" t="n">
        <v/>
      </c>
      <c r="K4491" s="4" t="inlineStr">
        <is>
          <t>Stundensätze eingeben</t>
        </is>
      </c>
    </row>
    <row r="4492">
      <c r="A4492" s="4" t="inlineStr">
        <is>
          <t>7266 Candid-BTB-ME-CarpeDiem-Candidiplatz9-15-München</t>
        </is>
      </c>
      <c r="B4492" s="4" t="inlineStr">
        <is>
          <t>● (aN) BTB Carpe Diem 1.OG C13</t>
        </is>
      </c>
      <c r="C4492" s="4" t="inlineStr">
        <is>
          <t>Nachweis</t>
        </is>
      </c>
      <c r="D4492" s="10" t="inlineStr">
        <is>
          <t>⚠ Manual erforderlich</t>
        </is>
      </c>
      <c r="E4492" s="11" t="inlineStr"/>
      <c r="F4492" s="11" t="n">
        <v>0</v>
      </c>
      <c r="G4492" s="11">
        <f>E4492-F4492</f>
        <v/>
      </c>
      <c r="H4492" s="11" t="n">
        <v/>
      </c>
      <c r="I4492" s="11" t="n">
        <v/>
      </c>
      <c r="J4492" s="11" t="n">
        <v/>
      </c>
      <c r="K4492" s="4" t="inlineStr">
        <is>
          <t>Stundensätze eingeben</t>
        </is>
      </c>
    </row>
    <row r="4493">
      <c r="A4493" s="4" t="inlineStr">
        <is>
          <t>7266 Candid-BTB-ME-CarpeDiem-Candidiplatz9-15-München</t>
        </is>
      </c>
      <c r="B4493" s="4" t="inlineStr">
        <is>
          <t>● (aN) BTB Nutzungsänderung Arztpraxis 4.OG C13</t>
        </is>
      </c>
      <c r="C4493" s="4" t="inlineStr">
        <is>
          <t>Nachweis</t>
        </is>
      </c>
      <c r="D4493" s="10" t="inlineStr">
        <is>
          <t>⚠ Manual erforderlich</t>
        </is>
      </c>
      <c r="E4493" s="11" t="inlineStr"/>
      <c r="F4493" s="11" t="n">
        <v>0</v>
      </c>
      <c r="G4493" s="11">
        <f>E4493-F4493</f>
        <v/>
      </c>
      <c r="H4493" s="11" t="n">
        <v/>
      </c>
      <c r="I4493" s="11" t="n">
        <v/>
      </c>
      <c r="J4493" s="11" t="n">
        <v/>
      </c>
      <c r="K4493" s="4" t="inlineStr">
        <is>
          <t>Stundensätze eingeben</t>
        </is>
      </c>
    </row>
    <row r="4494">
      <c r="A4494" s="4" t="inlineStr">
        <is>
          <t>7266 Candid-BTB-ME-CarpeDiem-Candidiplatz9-15-München</t>
        </is>
      </c>
      <c r="B4494" s="4" t="inlineStr">
        <is>
          <t>● (aN) BTB Ärzte-/Bürohaus allgemein</t>
        </is>
      </c>
      <c r="C4494" s="4" t="inlineStr">
        <is>
          <t>Nachweis</t>
        </is>
      </c>
      <c r="D4494" s="10" t="inlineStr">
        <is>
          <t>⚠ Manual erforderlich</t>
        </is>
      </c>
      <c r="E4494" s="11" t="inlineStr"/>
      <c r="F4494" s="11" t="n">
        <v>0</v>
      </c>
      <c r="G4494" s="11">
        <f>E4494-F4494</f>
        <v/>
      </c>
      <c r="H4494" s="11" t="n">
        <v/>
      </c>
      <c r="I4494" s="11" t="n">
        <v/>
      </c>
      <c r="J4494" s="11" t="n">
        <v/>
      </c>
      <c r="K4494" s="4" t="inlineStr">
        <is>
          <t>Stundensätze eingeben</t>
        </is>
      </c>
    </row>
    <row r="4495">
      <c r="A4495" s="4" t="inlineStr">
        <is>
          <t>7266.02 Candid-AHO-BSN-ME-Carpe-Diem-1.OG-Candidiplatz-11-13-München</t>
        </is>
      </c>
      <c r="B4495" s="4" t="inlineStr">
        <is>
          <t>● (p) Pos. 1 LPH 1 Grundlagenermittlung</t>
        </is>
      </c>
      <c r="C4495" s="4" t="inlineStr">
        <is>
          <t>Pauschale</t>
        </is>
      </c>
      <c r="D4495" s="10" t="inlineStr">
        <is>
          <t>⚠ Manual erforderlich</t>
        </is>
      </c>
      <c r="E4495" s="11" t="inlineStr"/>
      <c r="F4495" s="11" t="n">
        <v>0</v>
      </c>
      <c r="G4495" s="11">
        <f>E4495-F4495</f>
        <v/>
      </c>
      <c r="H4495" s="11" t="n">
        <v>0</v>
      </c>
      <c r="I4495" s="11" t="n">
        <v>0</v>
      </c>
      <c r="J4495" s="11" t="n">
        <v>0</v>
      </c>
      <c r="K4495" s="4" t="inlineStr">
        <is>
          <t>Stundensätze eingeben</t>
        </is>
      </c>
    </row>
    <row r="4496">
      <c r="A4496" s="4" t="inlineStr">
        <is>
          <t>7266.02 Candid-AHO-BSN-ME-Carpe-Diem-1.OG-Candidiplatz-11-13-München</t>
        </is>
      </c>
      <c r="B4496" s="4" t="inlineStr">
        <is>
          <t>● (p) Pos. 2 LPH 2 Vorplanung</t>
        </is>
      </c>
      <c r="C4496" s="4" t="inlineStr">
        <is>
          <t>Pauschale</t>
        </is>
      </c>
      <c r="D4496" s="10" t="inlineStr">
        <is>
          <t>⚠ Manual erforderlich</t>
        </is>
      </c>
      <c r="E4496" s="11" t="inlineStr"/>
      <c r="F4496" s="11" t="n">
        <v>0</v>
      </c>
      <c r="G4496" s="11">
        <f>E4496-F4496</f>
        <v/>
      </c>
      <c r="H4496" s="11" t="n">
        <v>0</v>
      </c>
      <c r="I4496" s="11" t="n">
        <v>0</v>
      </c>
      <c r="J4496" s="11" t="n">
        <v>0</v>
      </c>
      <c r="K4496" s="4" t="inlineStr">
        <is>
          <t>Stundensätze eingeben</t>
        </is>
      </c>
    </row>
    <row r="4497">
      <c r="A4497" s="4" t="inlineStr">
        <is>
          <t>7266.02 Candid-AHO-BSN-ME-Carpe-Diem-1.OG-Candidiplatz-11-13-München</t>
        </is>
      </c>
      <c r="B4497" s="4" t="inlineStr">
        <is>
          <t>● (p) Pos. 3 LPH 3 Entwurfsplanung</t>
        </is>
      </c>
      <c r="C4497" s="4" t="inlineStr">
        <is>
          <t>Pauschale</t>
        </is>
      </c>
      <c r="D4497" s="10" t="inlineStr">
        <is>
          <t>⚠ Manual erforderlich</t>
        </is>
      </c>
      <c r="E4497" s="11" t="inlineStr"/>
      <c r="F4497" s="11" t="n">
        <v>0</v>
      </c>
      <c r="G4497" s="11">
        <f>E4497-F4497</f>
        <v/>
      </c>
      <c r="H4497" s="11" t="n">
        <v>0</v>
      </c>
      <c r="I4497" s="11" t="n">
        <v>0</v>
      </c>
      <c r="J4497" s="11" t="n">
        <v>0</v>
      </c>
      <c r="K4497" s="4" t="inlineStr">
        <is>
          <t>Stundensätze eingeben</t>
        </is>
      </c>
    </row>
    <row r="4498">
      <c r="A4498" s="4" t="inlineStr">
        <is>
          <t>7266.02 Candid-AHO-BSN-ME-Carpe-Diem-1.OG-Candidiplatz-11-13-München</t>
        </is>
      </c>
      <c r="B4498" s="4" t="inlineStr">
        <is>
          <t>● (p) Pos. 4 LPH 4 Genehmigungsplanung</t>
        </is>
      </c>
      <c r="C4498" s="4" t="inlineStr">
        <is>
          <t>Pauschale</t>
        </is>
      </c>
      <c r="D4498" s="10" t="inlineStr">
        <is>
          <t>⚠ Manual erforderlich</t>
        </is>
      </c>
      <c r="E4498" s="11" t="inlineStr"/>
      <c r="F4498" s="11" t="n">
        <v>0</v>
      </c>
      <c r="G4498" s="11">
        <f>E4498-F4498</f>
        <v/>
      </c>
      <c r="H4498" s="11" t="n">
        <v>0</v>
      </c>
      <c r="I4498" s="11" t="n">
        <v>0</v>
      </c>
      <c r="J4498" s="11" t="n">
        <v>0</v>
      </c>
      <c r="K4498" s="4" t="inlineStr">
        <is>
          <t>Stundensätze eingeben</t>
        </is>
      </c>
    </row>
    <row r="4499">
      <c r="A4499" s="4" t="inlineStr">
        <is>
          <t>7266.04 Candid-AHO-smile-eyes-Arztpraxis-4.OG-Candidiplatz-13-MUC</t>
        </is>
      </c>
      <c r="B4499" s="4" t="inlineStr">
        <is>
          <t>● (p) Pos. 1 LPH 1 Grundlagenermittlung</t>
        </is>
      </c>
      <c r="C4499" s="4" t="inlineStr">
        <is>
          <t>Pauschale</t>
        </is>
      </c>
      <c r="D4499" s="10" t="inlineStr">
        <is>
          <t>⚠ Manual erforderlich</t>
        </is>
      </c>
      <c r="E4499" s="11" t="inlineStr"/>
      <c r="F4499" s="11" t="n">
        <v>0</v>
      </c>
      <c r="G4499" s="11">
        <f>E4499-F4499</f>
        <v/>
      </c>
      <c r="H4499" s="11" t="n">
        <v>0</v>
      </c>
      <c r="I4499" s="11" t="n">
        <v>0</v>
      </c>
      <c r="J4499" s="11" t="n">
        <v>0</v>
      </c>
      <c r="K4499" s="4" t="inlineStr">
        <is>
          <t>Stundensätze eingeben</t>
        </is>
      </c>
    </row>
    <row r="4500">
      <c r="A4500" s="4" t="inlineStr">
        <is>
          <t>7266.04 Candid-AHO-smile-eyes-Arztpraxis-4.OG-Candidiplatz-13-MUC</t>
        </is>
      </c>
      <c r="B4500" s="4" t="inlineStr">
        <is>
          <t>● (p) Pos. 2 LPH 2 Vorplanung</t>
        </is>
      </c>
      <c r="C4500" s="4" t="inlineStr">
        <is>
          <t>Pauschale</t>
        </is>
      </c>
      <c r="D4500" s="10" t="inlineStr">
        <is>
          <t>⚠ Manual erforderlich</t>
        </is>
      </c>
      <c r="E4500" s="11" t="inlineStr"/>
      <c r="F4500" s="11" t="n">
        <v>0</v>
      </c>
      <c r="G4500" s="11">
        <f>E4500-F4500</f>
        <v/>
      </c>
      <c r="H4500" s="11" t="n">
        <v>0</v>
      </c>
      <c r="I4500" s="11" t="n">
        <v>0</v>
      </c>
      <c r="J4500" s="11" t="n">
        <v>0</v>
      </c>
      <c r="K4500" s="4" t="inlineStr">
        <is>
          <t>Stundensätze eingeben</t>
        </is>
      </c>
    </row>
    <row r="4501">
      <c r="A4501" s="4" t="inlineStr">
        <is>
          <t>7266.04 Candid-AHO-smile-eyes-Arztpraxis-4.OG-Candidiplatz-13-MUC</t>
        </is>
      </c>
      <c r="B4501" s="4" t="inlineStr">
        <is>
          <t>● (p) Pos. 3 LPH 3 Entwurfsplanung</t>
        </is>
      </c>
      <c r="C4501" s="4" t="inlineStr">
        <is>
          <t>Pauschale</t>
        </is>
      </c>
      <c r="D4501" s="10" t="inlineStr">
        <is>
          <t>⚠ Manual erforderlich</t>
        </is>
      </c>
      <c r="E4501" s="11" t="inlineStr"/>
      <c r="F4501" s="11" t="n">
        <v>0</v>
      </c>
      <c r="G4501" s="11">
        <f>E4501-F4501</f>
        <v/>
      </c>
      <c r="H4501" s="11" t="n">
        <v>0</v>
      </c>
      <c r="I4501" s="11" t="n">
        <v>0</v>
      </c>
      <c r="J4501" s="11" t="n">
        <v>0</v>
      </c>
      <c r="K4501" s="4" t="inlineStr">
        <is>
          <t>Stundensätze eingeben</t>
        </is>
      </c>
    </row>
    <row r="4502">
      <c r="A4502" s="4" t="inlineStr">
        <is>
          <t>7266.04 Candid-AHO-smile-eyes-Arztpraxis-4.OG-Candidiplatz-13-MUC</t>
        </is>
      </c>
      <c r="B4502" s="4" t="inlineStr">
        <is>
          <t>● (p) Pos. 4 LPH 4 Genehmigungsplanung</t>
        </is>
      </c>
      <c r="C4502" s="4" t="inlineStr">
        <is>
          <t>Pauschale</t>
        </is>
      </c>
      <c r="D4502" s="10" t="inlineStr">
        <is>
          <t>⚠ Manual erforderlich</t>
        </is>
      </c>
      <c r="E4502" s="11" t="inlineStr"/>
      <c r="F4502" s="11" t="n">
        <v>0</v>
      </c>
      <c r="G4502" s="11">
        <f>E4502-F4502</f>
        <v/>
      </c>
      <c r="H4502" s="11" t="n">
        <v>0</v>
      </c>
      <c r="I4502" s="11" t="n">
        <v>0</v>
      </c>
      <c r="J4502" s="11" t="n">
        <v>0</v>
      </c>
      <c r="K4502" s="4" t="inlineStr">
        <is>
          <t>Stundensätze eingeben</t>
        </is>
      </c>
    </row>
    <row r="4503">
      <c r="A4503" s="4" t="inlineStr">
        <is>
          <t>7267 Tetris-BTB-FWP-BFM-Rundkino-Pragerstr6-Dresden</t>
        </is>
      </c>
      <c r="B4503" s="4" t="inlineStr">
        <is>
          <t>● ANG-BTB-001-2024-12-17</t>
        </is>
      </c>
      <c r="C4503" s="9" t="inlineStr">
        <is>
          <t>Unbekannt</t>
        </is>
      </c>
      <c r="D4503" s="10" t="inlineStr">
        <is>
          <t>⚠ Manual erforderlich</t>
        </is>
      </c>
      <c r="E4503" s="11" t="inlineStr"/>
      <c r="F4503" s="11" t="n">
        <v>0</v>
      </c>
      <c r="G4503" s="11">
        <f>E4503-F4503</f>
        <v/>
      </c>
      <c r="H4503" s="11" t="n">
        <v/>
      </c>
      <c r="I4503" s="11" t="n">
        <v/>
      </c>
      <c r="J4503" s="11" t="n">
        <v/>
      </c>
      <c r="K4503" s="4" t="inlineStr">
        <is>
          <t>Abrechnungsart wählen; Stundensätze eingeben</t>
        </is>
      </c>
    </row>
    <row r="4504">
      <c r="A4504" s="4" t="inlineStr">
        <is>
          <t>7267 Tetris-BTB-FWP-BFM-Rundkino-Pragerstr6-Dresden</t>
        </is>
      </c>
      <c r="B4504" s="4" t="inlineStr">
        <is>
          <t>● ANG-AHO-001-2024-12-17</t>
        </is>
      </c>
      <c r="C4504" s="9" t="inlineStr">
        <is>
          <t>Unbekannt</t>
        </is>
      </c>
      <c r="D4504" s="10" t="inlineStr">
        <is>
          <t>⚠ Manual erforderlich</t>
        </is>
      </c>
      <c r="E4504" s="11" t="inlineStr"/>
      <c r="F4504" s="11" t="n">
        <v>0</v>
      </c>
      <c r="G4504" s="11">
        <f>E4504-F4504</f>
        <v/>
      </c>
      <c r="H4504" s="11" t="n">
        <v/>
      </c>
      <c r="I4504" s="11" t="n">
        <v/>
      </c>
      <c r="J4504" s="11" t="n">
        <v/>
      </c>
      <c r="K4504" s="4" t="inlineStr">
        <is>
          <t>Abrechnungsart wählen; Stundensätze eingeben</t>
        </is>
      </c>
    </row>
    <row r="4505">
      <c r="A4505" s="4" t="inlineStr">
        <is>
          <t>7268 KG-SSM-BTB-Hienlohestr24-Otterfing</t>
        </is>
      </c>
      <c r="B4505" s="4" t="inlineStr">
        <is>
          <t>● ANG 2024-11-29 (aN) Pos. 1 BTB</t>
        </is>
      </c>
      <c r="C4505" s="4" t="inlineStr">
        <is>
          <t>Nachweis</t>
        </is>
      </c>
      <c r="D4505" s="10" t="inlineStr">
        <is>
          <t>⚠ Manual erforderlich</t>
        </is>
      </c>
      <c r="E4505" s="11" t="inlineStr"/>
      <c r="F4505" s="11" t="n">
        <v>0</v>
      </c>
      <c r="G4505" s="11">
        <f>E4505-F4505</f>
        <v/>
      </c>
      <c r="H4505" s="11" t="n">
        <v/>
      </c>
      <c r="I4505" s="11" t="n">
        <v/>
      </c>
      <c r="J4505" s="11" t="n">
        <v/>
      </c>
      <c r="K4505" s="4" t="inlineStr">
        <is>
          <t>Stundensätze eingeben</t>
        </is>
      </c>
    </row>
    <row r="4506">
      <c r="A4506" s="4" t="inlineStr">
        <is>
          <t>7268 KG-SSM-BTB-Hienlohestr24-Otterfing</t>
        </is>
      </c>
      <c r="B4506" s="4" t="inlineStr">
        <is>
          <t>● NAT 2025-02-18 (aN) Pos. 1 BTB</t>
        </is>
      </c>
      <c r="C4506" s="4" t="inlineStr">
        <is>
          <t>Nachweis</t>
        </is>
      </c>
      <c r="D4506" s="10" t="inlineStr">
        <is>
          <t>⚠ Manual erforderlich</t>
        </is>
      </c>
      <c r="E4506" s="11" t="inlineStr"/>
      <c r="F4506" s="11" t="n">
        <v>0</v>
      </c>
      <c r="G4506" s="11">
        <f>E4506-F4506</f>
        <v/>
      </c>
      <c r="H4506" s="11" t="n">
        <v/>
      </c>
      <c r="I4506" s="11" t="n">
        <v/>
      </c>
      <c r="J4506" s="11" t="n">
        <v/>
      </c>
      <c r="K4506" s="4" t="inlineStr">
        <is>
          <t>Stundensätze eingeben</t>
        </is>
      </c>
    </row>
    <row r="4507">
      <c r="A4507" s="4" t="inlineStr">
        <is>
          <t>7268.01 KG-SSM-BSN-Hienlohestr24-Otterfing</t>
        </is>
      </c>
      <c r="B4507" s="4" t="inlineStr">
        <is>
          <t>● (aN) Pos. 1 BTB</t>
        </is>
      </c>
      <c r="C4507" s="4" t="inlineStr">
        <is>
          <t>Nachweis</t>
        </is>
      </c>
      <c r="D4507" s="10" t="inlineStr">
        <is>
          <t>⚠ Manual erforderlich</t>
        </is>
      </c>
      <c r="E4507" s="11" t="inlineStr"/>
      <c r="F4507" s="11" t="n">
        <v>0</v>
      </c>
      <c r="G4507" s="11">
        <f>E4507-F4507</f>
        <v/>
      </c>
      <c r="H4507" s="11" t="n">
        <v/>
      </c>
      <c r="I4507" s="11" t="n">
        <v/>
      </c>
      <c r="J4507" s="11" t="n">
        <v/>
      </c>
      <c r="K4507" s="4" t="inlineStr">
        <is>
          <t>Stundensätze eingeben</t>
        </is>
      </c>
    </row>
    <row r="4508">
      <c r="A4508" s="4" t="inlineStr">
        <is>
          <t>7269 BTB-Hanauer-Straße-9-13-Friedberg</t>
        </is>
      </c>
      <c r="B4508" s="4" t="inlineStr">
        <is>
          <t>● (aN) Pos.1 BTB Objektbegehung zur Aufnahme der Ist-Situation (24h SV) 3.000</t>
        </is>
      </c>
      <c r="C4508" s="4" t="inlineStr">
        <is>
          <t>Nachweis</t>
        </is>
      </c>
      <c r="D4508" s="10" t="inlineStr">
        <is>
          <t>⚠ Manual erforderlich</t>
        </is>
      </c>
      <c r="E4508" s="11" t="inlineStr"/>
      <c r="F4508" s="11" t="n">
        <v>0</v>
      </c>
      <c r="G4508" s="11">
        <f>E4508-F4508</f>
        <v/>
      </c>
      <c r="H4508" s="11" t="n">
        <v/>
      </c>
      <c r="I4508" s="11" t="n">
        <v/>
      </c>
      <c r="J4508" s="11" t="n">
        <v/>
      </c>
      <c r="K4508" s="4" t="inlineStr">
        <is>
          <t>Stundensätze eingeben</t>
        </is>
      </c>
    </row>
    <row r="4509">
      <c r="A4509" s="4" t="inlineStr">
        <is>
          <t>7269.01 BSK-Hanauer-Straße-9-13-Friedberg</t>
        </is>
      </c>
      <c r="B4509" s="4" t="inlineStr">
        <is>
          <t>● (p) Pos.1 Erstellung BSK (2 Termine)</t>
        </is>
      </c>
      <c r="C4509" s="4" t="inlineStr">
        <is>
          <t>Pauschale</t>
        </is>
      </c>
      <c r="D4509" s="10" t="inlineStr">
        <is>
          <t>⚠ Manual erforderlich</t>
        </is>
      </c>
      <c r="E4509" s="11" t="inlineStr"/>
      <c r="F4509" s="11" t="n">
        <v>0</v>
      </c>
      <c r="G4509" s="11">
        <f>E4509-F4509</f>
        <v/>
      </c>
      <c r="H4509" s="11" t="n">
        <v>0</v>
      </c>
      <c r="I4509" s="11" t="n">
        <v>0</v>
      </c>
      <c r="J4509" s="11" t="n">
        <v>0</v>
      </c>
      <c r="K4509" s="4" t="inlineStr">
        <is>
          <t>Stundensätze eingeben</t>
        </is>
      </c>
    </row>
    <row r="4510">
      <c r="A4510" s="4" t="inlineStr">
        <is>
          <t>7270 LAER-formica-BSK-Garagenpark-Klein-Winternheim</t>
        </is>
      </c>
      <c r="B4510" s="4" t="inlineStr">
        <is>
          <t>● (p) Pos. 1 Erstellung BSK</t>
        </is>
      </c>
      <c r="C4510" s="4" t="inlineStr">
        <is>
          <t>Pauschale</t>
        </is>
      </c>
      <c r="D4510" s="10" t="inlineStr">
        <is>
          <t>⚠ Manual erforderlich</t>
        </is>
      </c>
      <c r="E4510" s="11" t="inlineStr"/>
      <c r="F4510" s="11" t="n">
        <v>0</v>
      </c>
      <c r="G4510" s="11">
        <f>E4510-F4510</f>
        <v/>
      </c>
      <c r="H4510" s="11" t="n">
        <v>0</v>
      </c>
      <c r="I4510" s="11" t="n">
        <v>0</v>
      </c>
      <c r="J4510" s="11" t="n">
        <v>0</v>
      </c>
      <c r="K4510" s="4" t="inlineStr">
        <is>
          <t>Stundensätze eingeben</t>
        </is>
      </c>
    </row>
    <row r="4511">
      <c r="A4511" s="4" t="inlineStr">
        <is>
          <t>7271 BSN-Schillerstraße-14-Oberursel</t>
        </is>
      </c>
      <c r="B4511" s="4" t="inlineStr">
        <is>
          <t>● (p) Pos.1 Erst. BSK in Abst. mit Architekten</t>
        </is>
      </c>
      <c r="C4511" s="4" t="inlineStr">
        <is>
          <t>Pauschale</t>
        </is>
      </c>
      <c r="D4511" s="10" t="inlineStr">
        <is>
          <t>⚠ Manual erforderlich</t>
        </is>
      </c>
      <c r="E4511" s="11" t="inlineStr"/>
      <c r="F4511" s="11" t="n">
        <v>0</v>
      </c>
      <c r="G4511" s="11">
        <f>E4511-F4511</f>
        <v/>
      </c>
      <c r="H4511" s="11" t="n">
        <v>0</v>
      </c>
      <c r="I4511" s="11" t="n">
        <v>0</v>
      </c>
      <c r="J4511" s="11" t="n">
        <v>0</v>
      </c>
      <c r="K4511" s="4" t="inlineStr">
        <is>
          <t>Stundensätze eingeben</t>
        </is>
      </c>
    </row>
    <row r="4512">
      <c r="A4512" s="4" t="inlineStr">
        <is>
          <t>7271 BSN-Schillerstraße-14-Oberursel</t>
        </is>
      </c>
      <c r="B4512" s="4" t="inlineStr">
        <is>
          <t>● (aN) Pos.3 Baubegl. Brandschutzberatung + Qualitätsüberwachung</t>
        </is>
      </c>
      <c r="C4512" s="4" t="inlineStr">
        <is>
          <t>Nachweis</t>
        </is>
      </c>
      <c r="D4512" s="10" t="inlineStr">
        <is>
          <t>⚠ Manual erforderlich</t>
        </is>
      </c>
      <c r="E4512" s="11" t="inlineStr"/>
      <c r="F4512" s="11" t="n">
        <v>0</v>
      </c>
      <c r="G4512" s="11">
        <f>E4512-F4512</f>
        <v/>
      </c>
      <c r="H4512" s="11" t="n">
        <v/>
      </c>
      <c r="I4512" s="11" t="n">
        <v/>
      </c>
      <c r="J4512" s="11" t="n">
        <v/>
      </c>
      <c r="K4512" s="4" t="inlineStr">
        <is>
          <t>Stundensätze eingeben</t>
        </is>
      </c>
    </row>
    <row r="4513">
      <c r="A4513" s="4" t="inlineStr">
        <is>
          <t>7273 PGU5M1000-BSK-U5-Hamburg</t>
        </is>
      </c>
      <c r="B4513" s="4" t="inlineStr">
        <is>
          <t>● (p) Pos.1 Fortschr. BSK Streckentunnel 1100 1200-Tunnelabschnitte</t>
        </is>
      </c>
      <c r="C4513" s="4" t="inlineStr">
        <is>
          <t>Pauschale</t>
        </is>
      </c>
      <c r="D4513" s="10" t="inlineStr">
        <is>
          <t>⚠ Manual erforderlich</t>
        </is>
      </c>
      <c r="E4513" s="11" t="inlineStr"/>
      <c r="F4513" s="11" t="n">
        <v>0</v>
      </c>
      <c r="G4513" s="11">
        <f>E4513-F4513</f>
        <v/>
      </c>
      <c r="H4513" s="11" t="n">
        <v>0</v>
      </c>
      <c r="I4513" s="11" t="n">
        <v>0</v>
      </c>
      <c r="J4513" s="11" t="n">
        <v>0</v>
      </c>
      <c r="K4513" s="4" t="inlineStr">
        <is>
          <t>Stundensätze eingeben</t>
        </is>
      </c>
    </row>
    <row r="4514">
      <c r="A4514" s="4" t="inlineStr">
        <is>
          <t>7273 PGU5M1000-BSK-U5-Hamburg</t>
        </is>
      </c>
      <c r="B4514" s="4" t="inlineStr">
        <is>
          <t>● (p) Pos.2 Fortschr. BSK Haltestelle Borgweg</t>
        </is>
      </c>
      <c r="C4514" s="4" t="inlineStr">
        <is>
          <t>Pauschale</t>
        </is>
      </c>
      <c r="D4514" s="10" t="inlineStr">
        <is>
          <t>⚠ Manual erforderlich</t>
        </is>
      </c>
      <c r="E4514" s="11" t="inlineStr"/>
      <c r="F4514" s="11" t="n">
        <v>0</v>
      </c>
      <c r="G4514" s="11">
        <f>E4514-F4514</f>
        <v/>
      </c>
      <c r="H4514" s="11" t="n">
        <v>0</v>
      </c>
      <c r="I4514" s="11" t="n">
        <v>0</v>
      </c>
      <c r="J4514" s="11" t="n">
        <v>0</v>
      </c>
      <c r="K4514" s="4" t="inlineStr">
        <is>
          <t>Stundensätze eingeben</t>
        </is>
      </c>
    </row>
    <row r="4515">
      <c r="A4515" s="4" t="inlineStr">
        <is>
          <t>7273 PGU5M1000-BSK-U5-Hamburg</t>
        </is>
      </c>
      <c r="B4515" s="4" t="inlineStr">
        <is>
          <t>● (p) Pos. 3 Fortschr. BSK Haltestelle Jarrestraße</t>
        </is>
      </c>
      <c r="C4515" s="4" t="inlineStr">
        <is>
          <t>Pauschale</t>
        </is>
      </c>
      <c r="D4515" s="10" t="inlineStr">
        <is>
          <t>⚠ Manual erforderlich</t>
        </is>
      </c>
      <c r="E4515" s="11" t="inlineStr"/>
      <c r="F4515" s="11" t="n">
        <v>0</v>
      </c>
      <c r="G4515" s="11">
        <f>E4515-F4515</f>
        <v/>
      </c>
      <c r="H4515" s="11" t="n">
        <v>0</v>
      </c>
      <c r="I4515" s="11" t="n">
        <v>0</v>
      </c>
      <c r="J4515" s="11" t="n">
        <v>0</v>
      </c>
      <c r="K4515" s="4" t="inlineStr">
        <is>
          <t>Stundensätze eingeben</t>
        </is>
      </c>
    </row>
    <row r="4516">
      <c r="A4516" s="4" t="inlineStr">
        <is>
          <t>7273 PGU5M1000-BSK-U5-Hamburg</t>
        </is>
      </c>
      <c r="B4516" s="4" t="inlineStr">
        <is>
          <t>● (p) Pos.4 Fortschr. Anforderungskataloges Sicherheit+Brandschutz</t>
        </is>
      </c>
      <c r="C4516" s="4" t="inlineStr">
        <is>
          <t>Pauschale</t>
        </is>
      </c>
      <c r="D4516" s="10" t="inlineStr">
        <is>
          <t>⚠ Manual erforderlich</t>
        </is>
      </c>
      <c r="E4516" s="11" t="inlineStr"/>
      <c r="F4516" s="11" t="n">
        <v>0</v>
      </c>
      <c r="G4516" s="11">
        <f>E4516-F4516</f>
        <v/>
      </c>
      <c r="H4516" s="11" t="n">
        <v>0</v>
      </c>
      <c r="I4516" s="11" t="n">
        <v>0</v>
      </c>
      <c r="J4516" s="11" t="n">
        <v>0</v>
      </c>
      <c r="K4516" s="4" t="inlineStr">
        <is>
          <t>Stundensätze eingeben</t>
        </is>
      </c>
    </row>
    <row r="4517">
      <c r="A4517" s="4" t="inlineStr">
        <is>
          <t>7273 PGU5M1000-BSK-U5-Hamburg</t>
        </is>
      </c>
      <c r="B4517" s="4" t="inlineStr">
        <is>
          <t>● (aN) Pos.5 Beratungslstg. hinsichtl. d. brandschutztechn. Aspekte</t>
        </is>
      </c>
      <c r="C4517" s="4" t="inlineStr">
        <is>
          <t>Nachweis</t>
        </is>
      </c>
      <c r="D4517" s="10" t="inlineStr">
        <is>
          <t>⚠ Manual erforderlich</t>
        </is>
      </c>
      <c r="E4517" s="11" t="inlineStr"/>
      <c r="F4517" s="11" t="n">
        <v>0</v>
      </c>
      <c r="G4517" s="11">
        <f>E4517-F4517</f>
        <v/>
      </c>
      <c r="H4517" s="11" t="n">
        <v/>
      </c>
      <c r="I4517" s="11" t="n">
        <v/>
      </c>
      <c r="J4517" s="11" t="n">
        <v/>
      </c>
      <c r="K4517" s="4" t="inlineStr">
        <is>
          <t>Stundensätze eingeben</t>
        </is>
      </c>
    </row>
    <row r="4518">
      <c r="A4518" s="4" t="inlineStr">
        <is>
          <t>7273 PGU5M1000-BSK-U5-Hamburg</t>
        </is>
      </c>
      <c r="B4518" s="4" t="inlineStr">
        <is>
          <t>● (p) Pos.6 Reviewbericht</t>
        </is>
      </c>
      <c r="C4518" s="4" t="inlineStr">
        <is>
          <t>Pauschale</t>
        </is>
      </c>
      <c r="D4518" s="10" t="inlineStr">
        <is>
          <t>⚠ Manual erforderlich</t>
        </is>
      </c>
      <c r="E4518" s="11" t="inlineStr"/>
      <c r="F4518" s="11" t="n">
        <v>0</v>
      </c>
      <c r="G4518" s="11">
        <f>E4518-F4518</f>
        <v/>
      </c>
      <c r="H4518" s="11" t="n">
        <v>0</v>
      </c>
      <c r="I4518" s="11" t="n">
        <v>0</v>
      </c>
      <c r="J4518" s="11" t="n">
        <v>0</v>
      </c>
      <c r="K4518" s="4" t="inlineStr">
        <is>
          <t>Stundensätze eingeben</t>
        </is>
      </c>
    </row>
    <row r="4519">
      <c r="A4519" s="4" t="inlineStr">
        <is>
          <t>7274 FWP-Sülldorfer-Kirchenweg1-1b-Blankeneser-Landstraße2-2a-HH</t>
        </is>
      </c>
      <c r="B4519" s="4" t="inlineStr">
        <is>
          <t>● (p) Pos.1 FWP</t>
        </is>
      </c>
      <c r="C4519" s="4" t="inlineStr">
        <is>
          <t>Pauschale</t>
        </is>
      </c>
      <c r="D4519" s="10" t="inlineStr">
        <is>
          <t>⚠ Manual erforderlich</t>
        </is>
      </c>
      <c r="E4519" s="11" t="inlineStr"/>
      <c r="F4519" s="11" t="n">
        <v>0</v>
      </c>
      <c r="G4519" s="11">
        <f>E4519-F4519</f>
        <v/>
      </c>
      <c r="H4519" s="11" t="n">
        <v>0</v>
      </c>
      <c r="I4519" s="11" t="n">
        <v>0</v>
      </c>
      <c r="J4519" s="11" t="n">
        <v>0</v>
      </c>
      <c r="K4519" s="4" t="inlineStr">
        <is>
          <t>Stundensätze eingeben</t>
        </is>
      </c>
    </row>
    <row r="4520">
      <c r="A4520" s="4" t="inlineStr">
        <is>
          <t>7277 DFMG-BSK-Funkturm-Mustergutachten</t>
        </is>
      </c>
      <c r="B4520" s="4" t="inlineStr">
        <is>
          <t>● (p) Pos.1 BSK Stahlgitter- und Stahlbetonmasten ohne Container</t>
        </is>
      </c>
      <c r="C4520" s="4" t="inlineStr">
        <is>
          <t>Pauschale</t>
        </is>
      </c>
      <c r="D4520" s="10" t="inlineStr">
        <is>
          <t>⚠ Manual erforderlich</t>
        </is>
      </c>
      <c r="E4520" s="11" t="inlineStr"/>
      <c r="F4520" s="11" t="n">
        <v>0</v>
      </c>
      <c r="G4520" s="11">
        <f>E4520-F4520</f>
        <v/>
      </c>
      <c r="H4520" s="11" t="n">
        <v>0</v>
      </c>
      <c r="I4520" s="11" t="n">
        <v>0</v>
      </c>
      <c r="J4520" s="11" t="n">
        <v>0</v>
      </c>
      <c r="K4520" s="4" t="inlineStr">
        <is>
          <t>Stundensätze eingeben</t>
        </is>
      </c>
    </row>
    <row r="4521">
      <c r="A4521" s="4" t="inlineStr">
        <is>
          <t>7277 DFMG-BSK-Funkturm-Mustergutachten</t>
        </is>
      </c>
      <c r="B4521" s="4" t="inlineStr">
        <is>
          <t>● (p) Pos.2 Regel-BSK Stahlgitter- und Stahlbetonmasten mit Container</t>
        </is>
      </c>
      <c r="C4521" s="4" t="inlineStr">
        <is>
          <t>Pauschale</t>
        </is>
      </c>
      <c r="D4521" s="10" t="inlineStr">
        <is>
          <t>⚠ Manual erforderlich</t>
        </is>
      </c>
      <c r="E4521" s="11" t="inlineStr"/>
      <c r="F4521" s="11" t="n">
        <v>0</v>
      </c>
      <c r="G4521" s="11">
        <f>E4521-F4521</f>
        <v/>
      </c>
      <c r="H4521" s="11" t="n">
        <v>0</v>
      </c>
      <c r="I4521" s="11" t="n">
        <v>0</v>
      </c>
      <c r="J4521" s="11" t="n">
        <v>0</v>
      </c>
      <c r="K4521" s="4" t="inlineStr">
        <is>
          <t>Stundensätze eingeben</t>
        </is>
      </c>
    </row>
    <row r="4522">
      <c r="A4522" s="4" t="inlineStr">
        <is>
          <t>7277 DFMG-BSK-Funkturm-Mustergutachten</t>
        </is>
      </c>
      <c r="B4522" s="4" t="inlineStr">
        <is>
          <t>● (p) Pos.3 Regel-BSK Dachstandorte in Gebäuden ohne Sonderbautatbestand</t>
        </is>
      </c>
      <c r="C4522" s="4" t="inlineStr">
        <is>
          <t>Pauschale</t>
        </is>
      </c>
      <c r="D4522" s="10" t="inlineStr">
        <is>
          <t>⚠ Manual erforderlich</t>
        </is>
      </c>
      <c r="E4522" s="11" t="inlineStr"/>
      <c r="F4522" s="11" t="n">
        <v>0</v>
      </c>
      <c r="G4522" s="11">
        <f>E4522-F4522</f>
        <v/>
      </c>
      <c r="H4522" s="11" t="n">
        <v>0</v>
      </c>
      <c r="I4522" s="11" t="n">
        <v>0</v>
      </c>
      <c r="J4522" s="11" t="n">
        <v>0</v>
      </c>
      <c r="K4522" s="4" t="inlineStr">
        <is>
          <t>Stundensätze eingeben</t>
        </is>
      </c>
    </row>
    <row r="4523">
      <c r="A4523" s="4" t="inlineStr">
        <is>
          <t>7277 DFMG-BSK-Funkturm-Mustergutachten</t>
        </is>
      </c>
      <c r="B4523" s="4" t="inlineStr">
        <is>
          <t>● (p) Pos.4 Regel-BSK Kirchenstandorte</t>
        </is>
      </c>
      <c r="C4523" s="4" t="inlineStr">
        <is>
          <t>Pauschale</t>
        </is>
      </c>
      <c r="D4523" s="10" t="inlineStr">
        <is>
          <t>⚠ Manual erforderlich</t>
        </is>
      </c>
      <c r="E4523" s="11" t="inlineStr"/>
      <c r="F4523" s="11" t="n">
        <v>0</v>
      </c>
      <c r="G4523" s="11">
        <f>E4523-F4523</f>
        <v/>
      </c>
      <c r="H4523" s="11" t="n">
        <v>0</v>
      </c>
      <c r="I4523" s="11" t="n">
        <v>0</v>
      </c>
      <c r="J4523" s="11" t="n">
        <v>0</v>
      </c>
      <c r="K4523" s="4" t="inlineStr">
        <is>
          <t>Stundensätze eingeben</t>
        </is>
      </c>
    </row>
    <row r="4524">
      <c r="A4524" s="4" t="inlineStr">
        <is>
          <t>7278 WPMarke-FWP-WP-Korbach</t>
        </is>
      </c>
      <c r="B4524" s="4" t="inlineStr">
        <is>
          <t>● (p) Pos. 1 Feuerwehrpläne (CAD)</t>
        </is>
      </c>
      <c r="C4524" s="4" t="inlineStr">
        <is>
          <t>Pauschale</t>
        </is>
      </c>
      <c r="D4524" s="10" t="inlineStr">
        <is>
          <t>⚠ Manual erforderlich</t>
        </is>
      </c>
      <c r="E4524" s="11" t="inlineStr"/>
      <c r="F4524" s="11" t="n">
        <v>0</v>
      </c>
      <c r="G4524" s="11">
        <f>E4524-F4524</f>
        <v/>
      </c>
      <c r="H4524" s="11" t="n">
        <v>0</v>
      </c>
      <c r="I4524" s="11" t="n">
        <v>0</v>
      </c>
      <c r="J4524" s="11" t="n">
        <v>0</v>
      </c>
      <c r="K4524" s="4" t="inlineStr">
        <is>
          <t>Stundensätze eingeben</t>
        </is>
      </c>
    </row>
    <row r="4525">
      <c r="A4525" s="4" t="inlineStr">
        <is>
          <t>7281 Köster-BTB-99-Hotel-Czernyring26-28-Heidelberg</t>
        </is>
      </c>
      <c r="B4525" s="4" t="inlineStr">
        <is>
          <t>● (aN) Pos. 1 BTB zu Mängeln</t>
        </is>
      </c>
      <c r="C4525" s="4" t="inlineStr">
        <is>
          <t>Nachweis</t>
        </is>
      </c>
      <c r="D4525" s="10" t="inlineStr">
        <is>
          <t>⚠ Manual erforderlich</t>
        </is>
      </c>
      <c r="E4525" s="11" t="inlineStr"/>
      <c r="F4525" s="11" t="n">
        <v>0</v>
      </c>
      <c r="G4525" s="11">
        <f>E4525-F4525</f>
        <v/>
      </c>
      <c r="H4525" s="11" t="n">
        <v/>
      </c>
      <c r="I4525" s="11" t="n">
        <v/>
      </c>
      <c r="J4525" s="11" t="n">
        <v/>
      </c>
      <c r="K4525" s="4" t="inlineStr">
        <is>
          <t>Stundensätze eingeben</t>
        </is>
      </c>
    </row>
    <row r="4526">
      <c r="A4526" s="4" t="inlineStr">
        <is>
          <t>7282 BSK-Hans-Böckler-Straße-Frankfurt-NorthC-FRA-02</t>
        </is>
      </c>
      <c r="B4526" s="4" t="inlineStr">
        <is>
          <t>● (p) Pos.1 Erst. BSK für FRA 02</t>
        </is>
      </c>
      <c r="C4526" s="4" t="inlineStr">
        <is>
          <t>Pauschale</t>
        </is>
      </c>
      <c r="D4526" s="10" t="inlineStr">
        <is>
          <t>⚠ Manual erforderlich</t>
        </is>
      </c>
      <c r="E4526" s="11" t="inlineStr"/>
      <c r="F4526" s="11" t="n">
        <v>0</v>
      </c>
      <c r="G4526" s="11">
        <f>E4526-F4526</f>
        <v/>
      </c>
      <c r="H4526" s="11" t="n">
        <v>0</v>
      </c>
      <c r="I4526" s="11" t="n">
        <v>0</v>
      </c>
      <c r="J4526" s="11" t="n">
        <v>0</v>
      </c>
      <c r="K4526" s="4" t="inlineStr">
        <is>
          <t>Stundensätze eingeben</t>
        </is>
      </c>
    </row>
    <row r="4527">
      <c r="A4527" s="4" t="inlineStr">
        <is>
          <t>7282 BSK-Hans-Böckler-Straße-Frankfurt-NorthC-FRA-02</t>
        </is>
      </c>
      <c r="B4527" s="4" t="inlineStr">
        <is>
          <t>● (aN) Pos.2 BTB</t>
        </is>
      </c>
      <c r="C4527" s="4" t="inlineStr">
        <is>
          <t>Nachweis</t>
        </is>
      </c>
      <c r="D4527" s="10" t="inlineStr">
        <is>
          <t>⚠ Manual erforderlich</t>
        </is>
      </c>
      <c r="E4527" s="11" t="inlineStr"/>
      <c r="F4527" s="11" t="n">
        <v>0</v>
      </c>
      <c r="G4527" s="11">
        <f>E4527-F4527</f>
        <v/>
      </c>
      <c r="H4527" s="11" t="n">
        <v/>
      </c>
      <c r="I4527" s="11" t="n">
        <v/>
      </c>
      <c r="J4527" s="11" t="n">
        <v/>
      </c>
      <c r="K4527" s="4" t="inlineStr">
        <is>
          <t>Stundensätze eingeben</t>
        </is>
      </c>
    </row>
    <row r="4528">
      <c r="A4528" s="4" t="inlineStr">
        <is>
          <t>7282.01 BSN-Hans-Böckler-Straße-Frankfurt-NorthC-FRA-02-Bestandsgebäude</t>
        </is>
      </c>
      <c r="B4528" s="4" t="inlineStr">
        <is>
          <t>● (p) Pos.1 Erstellen BSN</t>
        </is>
      </c>
      <c r="C4528" s="4" t="inlineStr">
        <is>
          <t>Pauschale</t>
        </is>
      </c>
      <c r="D4528" s="10" t="inlineStr">
        <is>
          <t>⚠ Manual erforderlich</t>
        </is>
      </c>
      <c r="E4528" s="11" t="inlineStr"/>
      <c r="F4528" s="11" t="n">
        <v>0</v>
      </c>
      <c r="G4528" s="11">
        <f>E4528-F4528</f>
        <v/>
      </c>
      <c r="H4528" s="11" t="n">
        <v>0</v>
      </c>
      <c r="I4528" s="11" t="n">
        <v>0</v>
      </c>
      <c r="J4528" s="11" t="n">
        <v>0</v>
      </c>
      <c r="K4528" s="4" t="inlineStr">
        <is>
          <t>Stundensätze eingeben</t>
        </is>
      </c>
    </row>
    <row r="4529">
      <c r="A4529" s="4" t="inlineStr">
        <is>
          <t>7283.01 Immoneb-BSN-Wohngebäude-Sebastian-BauerStr3+5-München</t>
        </is>
      </c>
      <c r="B4529" s="4" t="inlineStr">
        <is>
          <t>● (p) Pos. 1 Erstellen BSN</t>
        </is>
      </c>
      <c r="C4529" s="4" t="inlineStr">
        <is>
          <t>Pauschale</t>
        </is>
      </c>
      <c r="D4529" s="10" t="inlineStr">
        <is>
          <t>⚠ Manual erforderlich</t>
        </is>
      </c>
      <c r="E4529" s="11" t="inlineStr"/>
      <c r="F4529" s="11" t="n">
        <v>0</v>
      </c>
      <c r="G4529" s="11">
        <f>E4529-F4529</f>
        <v/>
      </c>
      <c r="H4529" s="11" t="n">
        <v>0</v>
      </c>
      <c r="I4529" s="11" t="n">
        <v>0</v>
      </c>
      <c r="J4529" s="11" t="n">
        <v>0</v>
      </c>
      <c r="K4529" s="4" t="inlineStr">
        <is>
          <t>Stundensätze eingeben</t>
        </is>
      </c>
    </row>
    <row r="4530">
      <c r="A4530" s="4" t="inlineStr">
        <is>
          <t>7284 PureInvest-BTB-Bajuwarenring-Oberhaching</t>
        </is>
      </c>
      <c r="B4530" s="4" t="inlineStr">
        <is>
          <t>● (aN) Pos. 1 Brandschutztechnische Beratung LP 5</t>
        </is>
      </c>
      <c r="C4530" s="4" t="inlineStr">
        <is>
          <t>Nachweis</t>
        </is>
      </c>
      <c r="D4530" s="10" t="inlineStr">
        <is>
          <t>⚠ Manual erforderlich</t>
        </is>
      </c>
      <c r="E4530" s="11" t="inlineStr"/>
      <c r="F4530" s="11" t="n">
        <v>0</v>
      </c>
      <c r="G4530" s="11">
        <f>E4530-F4530</f>
        <v/>
      </c>
      <c r="H4530" s="11" t="n">
        <v/>
      </c>
      <c r="I4530" s="11" t="n">
        <v/>
      </c>
      <c r="J4530" s="11" t="n">
        <v/>
      </c>
      <c r="K4530" s="4" t="inlineStr">
        <is>
          <t>Stundensätze eingeben</t>
        </is>
      </c>
    </row>
    <row r="4531">
      <c r="A4531" s="4" t="inlineStr">
        <is>
          <t>7284 PureInvest-BTB-Bajuwarenring-Oberhaching</t>
        </is>
      </c>
      <c r="B4531" s="4" t="inlineStr">
        <is>
          <t>● (p) Pos.1 Erstellung Tektur des BSN (1.Tektur)</t>
        </is>
      </c>
      <c r="C4531" s="4" t="inlineStr">
        <is>
          <t>Pauschale</t>
        </is>
      </c>
      <c r="D4531" s="10" t="inlineStr">
        <is>
          <t>⚠ Manual erforderlich</t>
        </is>
      </c>
      <c r="E4531" s="11" t="inlineStr"/>
      <c r="F4531" s="11" t="n">
        <v>0</v>
      </c>
      <c r="G4531" s="11">
        <f>E4531-F4531</f>
        <v/>
      </c>
      <c r="H4531" s="11" t="n">
        <v>0</v>
      </c>
      <c r="I4531" s="11" t="n">
        <v>0</v>
      </c>
      <c r="J4531" s="11" t="n">
        <v>0</v>
      </c>
      <c r="K4531" s="4" t="inlineStr">
        <is>
          <t>Stundensätze eingeben</t>
        </is>
      </c>
    </row>
    <row r="4532">
      <c r="A4532" s="4" t="inlineStr">
        <is>
          <t>7284 PureInvest-BTB-Bajuwarenring-Oberhaching</t>
        </is>
      </c>
      <c r="B4532" s="4" t="inlineStr">
        <is>
          <t>● (p) Pos.2 Fortschr. BSN (2.Tektur)</t>
        </is>
      </c>
      <c r="C4532" s="4" t="inlineStr">
        <is>
          <t>Pauschale</t>
        </is>
      </c>
      <c r="D4532" s="10" t="inlineStr">
        <is>
          <t>⚠ Manual erforderlich</t>
        </is>
      </c>
      <c r="E4532" s="11" t="inlineStr"/>
      <c r="F4532" s="11" t="n">
        <v>0</v>
      </c>
      <c r="G4532" s="11">
        <f>E4532-F4532</f>
        <v/>
      </c>
      <c r="H4532" s="11" t="n">
        <v>0</v>
      </c>
      <c r="I4532" s="11" t="n">
        <v>0</v>
      </c>
      <c r="J4532" s="11" t="n">
        <v>0</v>
      </c>
      <c r="K4532" s="4" t="inlineStr">
        <is>
          <t>Stundensätze eingeben</t>
        </is>
      </c>
    </row>
    <row r="4533">
      <c r="A4533" s="4" t="inlineStr">
        <is>
          <t>7284 PureInvest-BTB-Bajuwarenring-Oberhaching</t>
        </is>
      </c>
      <c r="B4533" s="4" t="inlineStr">
        <is>
          <t>● (aN) Pos.5 BTB im Zuge der LP 8</t>
        </is>
      </c>
      <c r="C4533" s="4" t="inlineStr">
        <is>
          <t>Nachweis</t>
        </is>
      </c>
      <c r="D4533" s="10" t="inlineStr">
        <is>
          <t>⚠ Manual erforderlich</t>
        </is>
      </c>
      <c r="E4533" s="11" t="inlineStr"/>
      <c r="F4533" s="11" t="n">
        <v>0</v>
      </c>
      <c r="G4533" s="11">
        <f>E4533-F4533</f>
        <v/>
      </c>
      <c r="H4533" s="11" t="n">
        <v/>
      </c>
      <c r="I4533" s="11" t="n">
        <v/>
      </c>
      <c r="J4533" s="11" t="n">
        <v/>
      </c>
      <c r="K4533" s="4" t="inlineStr">
        <is>
          <t>Stundensätze eingeben</t>
        </is>
      </c>
    </row>
    <row r="4534">
      <c r="A4534" s="4" t="inlineStr">
        <is>
          <t>7284 PureInvest-BTB-Bajuwarenring-Oberhaching</t>
        </is>
      </c>
      <c r="B4534" s="4" t="inlineStr">
        <is>
          <t>● (p) Pos.6. Erstellen BSO in Teil A+B</t>
        </is>
      </c>
      <c r="C4534" s="4" t="inlineStr">
        <is>
          <t>Pauschale</t>
        </is>
      </c>
      <c r="D4534" s="10" t="inlineStr">
        <is>
          <t>⚠ Manual erforderlich</t>
        </is>
      </c>
      <c r="E4534" s="11" t="inlineStr"/>
      <c r="F4534" s="11" t="n">
        <v>0</v>
      </c>
      <c r="G4534" s="11">
        <f>E4534-F4534</f>
        <v/>
      </c>
      <c r="H4534" s="11" t="n">
        <v>0</v>
      </c>
      <c r="I4534" s="11" t="n">
        <v>0</v>
      </c>
      <c r="J4534" s="11" t="n">
        <v>0</v>
      </c>
      <c r="K4534" s="4" t="inlineStr">
        <is>
          <t>Stundensätze eingeben</t>
        </is>
      </c>
    </row>
    <row r="4535">
      <c r="A4535" s="4" t="inlineStr">
        <is>
          <t>7284 PureInvest-BTB-Bajuwarenring-Oberhaching</t>
        </is>
      </c>
      <c r="B4535" s="4" t="inlineStr">
        <is>
          <t>● (p) Pos.8 FWP</t>
        </is>
      </c>
      <c r="C4535" s="4" t="inlineStr">
        <is>
          <t>Pauschale</t>
        </is>
      </c>
      <c r="D4535" s="10" t="inlineStr">
        <is>
          <t>⚠ Manual erforderlich</t>
        </is>
      </c>
      <c r="E4535" s="11" t="inlineStr"/>
      <c r="F4535" s="11" t="n">
        <v>0</v>
      </c>
      <c r="G4535" s="11">
        <f>E4535-F4535</f>
        <v/>
      </c>
      <c r="H4535" s="11" t="n">
        <v>0</v>
      </c>
      <c r="I4535" s="11" t="n">
        <v>0</v>
      </c>
      <c r="J4535" s="11" t="n">
        <v>0</v>
      </c>
      <c r="K4535" s="4" t="inlineStr">
        <is>
          <t>Stundensätze eingeben</t>
        </is>
      </c>
    </row>
    <row r="4536">
      <c r="A4536" s="4" t="inlineStr">
        <is>
          <t>7284 PureInvest-BTB-Bajuwarenring-Oberhaching</t>
        </is>
      </c>
      <c r="B4536" s="4" t="inlineStr">
        <is>
          <t>● (p) Pos.9 FRP</t>
        </is>
      </c>
      <c r="C4536" s="4" t="inlineStr">
        <is>
          <t>Pauschale</t>
        </is>
      </c>
      <c r="D4536" s="10" t="inlineStr">
        <is>
          <t>⚠ Manual erforderlich</t>
        </is>
      </c>
      <c r="E4536" s="11" t="inlineStr"/>
      <c r="F4536" s="11" t="n">
        <v>0</v>
      </c>
      <c r="G4536" s="11">
        <f>E4536-F4536</f>
        <v/>
      </c>
      <c r="H4536" s="11" t="n">
        <v>0</v>
      </c>
      <c r="I4536" s="11" t="n">
        <v>0</v>
      </c>
      <c r="J4536" s="11" t="n">
        <v>0</v>
      </c>
      <c r="K4536" s="4" t="inlineStr">
        <is>
          <t>Stundensätze eingeben</t>
        </is>
      </c>
    </row>
    <row r="4537">
      <c r="A4537" s="4" t="inlineStr">
        <is>
          <t>7284 PureInvest-BTB-Bajuwarenring-Oberhaching</t>
        </is>
      </c>
      <c r="B4537" s="4" t="inlineStr">
        <is>
          <t>● Feuerwehr-Laufkarten (35 Stk. á 49€)</t>
        </is>
      </c>
      <c r="C4537" s="9" t="inlineStr">
        <is>
          <t>Unbekannt</t>
        </is>
      </c>
      <c r="D4537" s="10" t="inlineStr">
        <is>
          <t>⚠ Manual erforderlich</t>
        </is>
      </c>
      <c r="E4537" s="11" t="inlineStr"/>
      <c r="F4537" s="11" t="n">
        <v>0</v>
      </c>
      <c r="G4537" s="11">
        <f>E4537-F4537</f>
        <v/>
      </c>
      <c r="H4537" s="11" t="n">
        <v/>
      </c>
      <c r="I4537" s="11" t="n">
        <v/>
      </c>
      <c r="J4537" s="11" t="n">
        <v/>
      </c>
      <c r="K4537" s="4" t="inlineStr">
        <is>
          <t>Abrechnungsart wählen; Stundensätze eingeben</t>
        </is>
      </c>
    </row>
    <row r="4538">
      <c r="A4538" s="4" t="inlineStr">
        <is>
          <t>7288 Porta-Begehungen-FW-FRP-RV-Erfurt</t>
        </is>
      </c>
      <c r="B4538" s="4" t="inlineStr">
        <is>
          <t>● Begehung Porta Gütersloh</t>
        </is>
      </c>
      <c r="C4538" s="9" t="inlineStr">
        <is>
          <t>Unbekannt</t>
        </is>
      </c>
      <c r="D4538" s="10" t="inlineStr">
        <is>
          <t>⚠ Manual erforderlich</t>
        </is>
      </c>
      <c r="E4538" s="11" t="inlineStr"/>
      <c r="F4538" s="11" t="n">
        <v>0</v>
      </c>
      <c r="G4538" s="11">
        <f>E4538-F4538</f>
        <v/>
      </c>
      <c r="H4538" s="11" t="n">
        <v/>
      </c>
      <c r="I4538" s="11" t="n">
        <v/>
      </c>
      <c r="J4538" s="11" t="n">
        <v/>
      </c>
      <c r="K4538" s="4" t="inlineStr">
        <is>
          <t>Abrechnungsart wählen; Stundensätze eingeben</t>
        </is>
      </c>
    </row>
    <row r="4539">
      <c r="A4539" s="4" t="inlineStr">
        <is>
          <t>7288 Porta-Begehungen-FW-FRP-RV-Erfurt</t>
        </is>
      </c>
      <c r="B4539" s="4" t="inlineStr">
        <is>
          <t>● Begehung SB Möbel Boss - Gütersloh</t>
        </is>
      </c>
      <c r="C4539" s="9" t="inlineStr">
        <is>
          <t>Unbekannt</t>
        </is>
      </c>
      <c r="D4539" s="10" t="inlineStr">
        <is>
          <t>⚠ Manual erforderlich</t>
        </is>
      </c>
      <c r="E4539" s="11" t="inlineStr"/>
      <c r="F4539" s="11" t="n">
        <v>0</v>
      </c>
      <c r="G4539" s="11">
        <f>E4539-F4539</f>
        <v/>
      </c>
      <c r="H4539" s="11" t="n">
        <v/>
      </c>
      <c r="I4539" s="11" t="n">
        <v/>
      </c>
      <c r="J4539" s="11" t="n">
        <v/>
      </c>
      <c r="K4539" s="4" t="inlineStr">
        <is>
          <t>Abrechnungsart wählen; Stundensätze eingeben</t>
        </is>
      </c>
    </row>
    <row r="4540">
      <c r="A4540" s="4" t="inlineStr">
        <is>
          <t>7288 Porta-Begehungen-FW-FRP-RV-Erfurt</t>
        </is>
      </c>
      <c r="B4540" s="4" t="inlineStr">
        <is>
          <t>● Begehung Porta - Bornheim</t>
        </is>
      </c>
      <c r="C4540" s="9" t="inlineStr">
        <is>
          <t>Unbekannt</t>
        </is>
      </c>
      <c r="D4540" s="10" t="inlineStr">
        <is>
          <t>⚠ Manual erforderlich</t>
        </is>
      </c>
      <c r="E4540" s="11" t="inlineStr"/>
      <c r="F4540" s="11" t="n">
        <v>0</v>
      </c>
      <c r="G4540" s="11">
        <f>E4540-F4540</f>
        <v/>
      </c>
      <c r="H4540" s="11" t="n">
        <v/>
      </c>
      <c r="I4540" s="11" t="n">
        <v/>
      </c>
      <c r="J4540" s="11" t="n">
        <v/>
      </c>
      <c r="K4540" s="4" t="inlineStr">
        <is>
          <t>Abrechnungsart wählen; Stundensätze eingeben</t>
        </is>
      </c>
    </row>
    <row r="4541">
      <c r="A4541" s="4" t="inlineStr">
        <is>
          <t>7288 Porta-Begehungen-FW-FRP-RV-Erfurt</t>
        </is>
      </c>
      <c r="B4541" s="4" t="inlineStr">
        <is>
          <t>● Begehung SB Möbel Boss - Bornheim</t>
        </is>
      </c>
      <c r="C4541" s="9" t="inlineStr">
        <is>
          <t>Unbekannt</t>
        </is>
      </c>
      <c r="D4541" s="10" t="inlineStr">
        <is>
          <t>⚠ Manual erforderlich</t>
        </is>
      </c>
      <c r="E4541" s="11" t="inlineStr"/>
      <c r="F4541" s="11" t="n">
        <v>0</v>
      </c>
      <c r="G4541" s="11">
        <f>E4541-F4541</f>
        <v/>
      </c>
      <c r="H4541" s="11" t="n">
        <v/>
      </c>
      <c r="I4541" s="11" t="n">
        <v/>
      </c>
      <c r="J4541" s="11" t="n">
        <v/>
      </c>
      <c r="K4541" s="4" t="inlineStr">
        <is>
          <t>Abrechnungsart wählen; Stundensätze eingeben</t>
        </is>
      </c>
    </row>
    <row r="4542">
      <c r="A4542" s="4" t="inlineStr">
        <is>
          <t>7289 LHMünchen-BTB-Villa-Stuck-Prinzregentenstr60-München</t>
        </is>
      </c>
      <c r="B4542" s="4" t="inlineStr">
        <is>
          <t>● (aN) Pos. 1 Brandschutztechnische Beratung</t>
        </is>
      </c>
      <c r="C4542" s="4" t="inlineStr">
        <is>
          <t>Nachweis</t>
        </is>
      </c>
      <c r="D4542" s="10" t="inlineStr">
        <is>
          <t>⚠ Manual erforderlich</t>
        </is>
      </c>
      <c r="E4542" s="11" t="inlineStr"/>
      <c r="F4542" s="11" t="n">
        <v>0</v>
      </c>
      <c r="G4542" s="11">
        <f>E4542-F4542</f>
        <v/>
      </c>
      <c r="H4542" s="11" t="n">
        <v/>
      </c>
      <c r="I4542" s="11" t="n">
        <v/>
      </c>
      <c r="J4542" s="11" t="n">
        <v/>
      </c>
      <c r="K4542" s="4" t="inlineStr">
        <is>
          <t>Stundensätze eingeben</t>
        </is>
      </c>
    </row>
    <row r="4543">
      <c r="A4543" s="4" t="inlineStr">
        <is>
          <t>7290 BTB-Marktstraße-2-6-Wiesbaden-Fitness-EVO</t>
        </is>
      </c>
      <c r="B4543" s="4" t="inlineStr">
        <is>
          <t>● (aN) Pos.1 BAB Ausbauvorhaben Fitness EVO</t>
        </is>
      </c>
      <c r="C4543" s="4" t="inlineStr">
        <is>
          <t>Nachweis</t>
        </is>
      </c>
      <c r="D4543" s="10" t="inlineStr">
        <is>
          <t>⚠ Manual erforderlich</t>
        </is>
      </c>
      <c r="E4543" s="11" t="inlineStr"/>
      <c r="F4543" s="11" t="n">
        <v>0</v>
      </c>
      <c r="G4543" s="11">
        <f>E4543-F4543</f>
        <v/>
      </c>
      <c r="H4543" s="11" t="n">
        <v/>
      </c>
      <c r="I4543" s="11" t="n">
        <v/>
      </c>
      <c r="J4543" s="11" t="n">
        <v/>
      </c>
      <c r="K4543" s="4" t="inlineStr">
        <is>
          <t>Stundensätze eingeben</t>
        </is>
      </c>
    </row>
    <row r="4544">
      <c r="A4544" s="4" t="inlineStr">
        <is>
          <t>7291 BTB-ASB-Westhessen-Wiedbachschule-Bad-Schwalbach</t>
        </is>
      </c>
      <c r="B4544" s="4" t="inlineStr">
        <is>
          <t>● (aN) Pos.1 BTB + Erst. brandschutztechn. Stellungnahme</t>
        </is>
      </c>
      <c r="C4544" s="4" t="inlineStr">
        <is>
          <t>Nachweis</t>
        </is>
      </c>
      <c r="D4544" s="10" t="inlineStr">
        <is>
          <t>⚠ Manual erforderlich</t>
        </is>
      </c>
      <c r="E4544" s="11" t="inlineStr"/>
      <c r="F4544" s="11" t="n">
        <v>0</v>
      </c>
      <c r="G4544" s="11">
        <f>E4544-F4544</f>
        <v/>
      </c>
      <c r="H4544" s="11" t="n">
        <v/>
      </c>
      <c r="I4544" s="11" t="n">
        <v/>
      </c>
      <c r="J4544" s="11" t="n">
        <v/>
      </c>
      <c r="K4544" s="4" t="inlineStr">
        <is>
          <t>Stundensätze eingeben</t>
        </is>
      </c>
    </row>
    <row r="4545">
      <c r="A4545" s="4" t="inlineStr">
        <is>
          <t>7293 VEW-BSK-WEA-Hopperkopf</t>
        </is>
      </c>
      <c r="B4545" s="4" t="inlineStr">
        <is>
          <t>● (p) Pos. 1 Erstellung BSK</t>
        </is>
      </c>
      <c r="C4545" s="4" t="inlineStr">
        <is>
          <t>Pauschale</t>
        </is>
      </c>
      <c r="D4545" s="10" t="inlineStr">
        <is>
          <t>⚠ Manual erforderlich</t>
        </is>
      </c>
      <c r="E4545" s="11" t="inlineStr"/>
      <c r="F4545" s="11" t="n">
        <v>0</v>
      </c>
      <c r="G4545" s="11">
        <f>E4545-F4545</f>
        <v/>
      </c>
      <c r="H4545" s="11" t="n">
        <v>0</v>
      </c>
      <c r="I4545" s="11" t="n">
        <v>0</v>
      </c>
      <c r="J4545" s="11" t="n">
        <v>0</v>
      </c>
      <c r="K4545" s="4" t="inlineStr">
        <is>
          <t>Stundensätze eingeben</t>
        </is>
      </c>
    </row>
    <row r="4546">
      <c r="A4546" s="4" t="inlineStr">
        <is>
          <t>7294.01 Eurowind-BSK-WEA-Hainchen-Süd+Nord</t>
        </is>
      </c>
      <c r="B4546" s="4" t="inlineStr">
        <is>
          <t>● WEA-Hainchen-Süd</t>
        </is>
      </c>
      <c r="C4546" s="9" t="inlineStr">
        <is>
          <t>Unbekannt</t>
        </is>
      </c>
      <c r="D4546" s="10" t="inlineStr">
        <is>
          <t>⚠ Manual erforderlich</t>
        </is>
      </c>
      <c r="E4546" s="11" t="inlineStr"/>
      <c r="F4546" s="11" t="n">
        <v>0</v>
      </c>
      <c r="G4546" s="11">
        <f>E4546-F4546</f>
        <v/>
      </c>
      <c r="H4546" s="11" t="n">
        <v/>
      </c>
      <c r="I4546" s="11" t="n">
        <v/>
      </c>
      <c r="J4546" s="11" t="n">
        <v/>
      </c>
      <c r="K4546" s="4" t="inlineStr">
        <is>
          <t>Abrechnungsart wählen; Stundensätze eingeben</t>
        </is>
      </c>
    </row>
    <row r="4547">
      <c r="A4547" s="4" t="inlineStr">
        <is>
          <t>7294.01 Eurowind-BSK-WEA-Hainchen-Süd+Nord</t>
        </is>
      </c>
      <c r="B4547" s="4" t="inlineStr">
        <is>
          <t>● WEA-Hainchen-Nord</t>
        </is>
      </c>
      <c r="C4547" s="9" t="inlineStr">
        <is>
          <t>Unbekannt</t>
        </is>
      </c>
      <c r="D4547" s="10" t="inlineStr">
        <is>
          <t>⚠ Manual erforderlich</t>
        </is>
      </c>
      <c r="E4547" s="11" t="inlineStr"/>
      <c r="F4547" s="11" t="n">
        <v>0</v>
      </c>
      <c r="G4547" s="11">
        <f>E4547-F4547</f>
        <v/>
      </c>
      <c r="H4547" s="11" t="n">
        <v/>
      </c>
      <c r="I4547" s="11" t="n">
        <v/>
      </c>
      <c r="J4547" s="11" t="n">
        <v/>
      </c>
      <c r="K4547" s="4" t="inlineStr">
        <is>
          <t>Abrechnungsart wählen; Stundensätze eingeben</t>
        </is>
      </c>
    </row>
    <row r="4548">
      <c r="A4548" s="4" t="inlineStr">
        <is>
          <t>7297 Shell-PHP-Godorfer-Hauptstr150-Köln</t>
        </is>
      </c>
      <c r="B4548" s="4" t="inlineStr">
        <is>
          <t>● (p) Pos. 1 Sachverständigenprüfung selbsttätige Feuerlöschanlage nach PrüfVO NRW und DGUV</t>
        </is>
      </c>
      <c r="C4548" s="4" t="inlineStr">
        <is>
          <t>Pauschale</t>
        </is>
      </c>
      <c r="D4548" s="10" t="inlineStr">
        <is>
          <t>⚠ Manual erforderlich</t>
        </is>
      </c>
      <c r="E4548" s="11" t="inlineStr"/>
      <c r="F4548" s="11" t="n">
        <v>0</v>
      </c>
      <c r="G4548" s="11">
        <f>E4548-F4548</f>
        <v/>
      </c>
      <c r="H4548" s="11" t="n">
        <v>0</v>
      </c>
      <c r="I4548" s="11" t="n">
        <v>0</v>
      </c>
      <c r="J4548" s="11" t="n">
        <v>0</v>
      </c>
      <c r="K4548" s="4" t="inlineStr">
        <is>
          <t>Stundensätze eingeben</t>
        </is>
      </c>
    </row>
    <row r="4549">
      <c r="A4549" s="4" t="inlineStr">
        <is>
          <t>7297 Shell-PHP-Godorfer-Hauptstr150-Köln</t>
        </is>
      </c>
      <c r="B4549" s="4" t="inlineStr">
        <is>
          <t>● (aN) Pos. 2 Mängelkontrollen nach Aufwand</t>
        </is>
      </c>
      <c r="C4549" s="4" t="inlineStr">
        <is>
          <t>Nachweis</t>
        </is>
      </c>
      <c r="D4549" s="10" t="inlineStr">
        <is>
          <t>⚠ Manual erforderlich</t>
        </is>
      </c>
      <c r="E4549" s="11" t="inlineStr"/>
      <c r="F4549" s="11" t="n">
        <v>0</v>
      </c>
      <c r="G4549" s="11">
        <f>E4549-F4549</f>
        <v/>
      </c>
      <c r="H4549" s="11" t="n">
        <v/>
      </c>
      <c r="I4549" s="11" t="n">
        <v/>
      </c>
      <c r="J4549" s="11" t="n">
        <v/>
      </c>
      <c r="K4549" s="4" t="inlineStr">
        <is>
          <t>Stundensätze eingeben</t>
        </is>
      </c>
    </row>
    <row r="4550">
      <c r="A4550" s="4" t="inlineStr">
        <is>
          <t>7298 BST-Stroeer-Werbefolien</t>
        </is>
      </c>
      <c r="B4550" s="4" t="inlineStr">
        <is>
          <t>● (aN) Pos.1 BST - Bewertung der Folie „3M Envision“ der Firma 3M</t>
        </is>
      </c>
      <c r="C4550" s="4" t="inlineStr">
        <is>
          <t>Nachweis</t>
        </is>
      </c>
      <c r="D4550" s="10" t="inlineStr">
        <is>
          <t>⚠ Manual erforderlich</t>
        </is>
      </c>
      <c r="E4550" s="11" t="inlineStr"/>
      <c r="F4550" s="11" t="n">
        <v>0</v>
      </c>
      <c r="G4550" s="11">
        <f>E4550-F4550</f>
        <v/>
      </c>
      <c r="H4550" s="11" t="n">
        <v/>
      </c>
      <c r="I4550" s="11" t="n">
        <v/>
      </c>
      <c r="J4550" s="11" t="n">
        <v/>
      </c>
      <c r="K4550" s="4" t="inlineStr">
        <is>
          <t>Stundensätze eingeben</t>
        </is>
      </c>
    </row>
    <row r="4551">
      <c r="A4551" s="4" t="inlineStr">
        <is>
          <t>7300 RV-Ströer-BST-WT-Dummy</t>
        </is>
      </c>
      <c r="B4551" s="4" t="inlineStr">
        <is>
          <t>● 0100-Anlage Projekt, Angebot, Versand, Auftrag</t>
        </is>
      </c>
      <c r="C4551" s="9" t="inlineStr">
        <is>
          <t>Unbekannt</t>
        </is>
      </c>
      <c r="D4551" s="10" t="inlineStr">
        <is>
          <t>⚠ Manual erforderlich</t>
        </is>
      </c>
      <c r="E4551" s="11" t="inlineStr"/>
      <c r="F4551" s="11" t="n">
        <v>0</v>
      </c>
      <c r="G4551" s="11">
        <f>E4551-F4551</f>
        <v/>
      </c>
      <c r="H4551" s="11" t="n">
        <v/>
      </c>
      <c r="I4551" s="11" t="n">
        <v/>
      </c>
      <c r="J4551" s="11" t="n">
        <v/>
      </c>
      <c r="K4551" s="4" t="inlineStr">
        <is>
          <t>Abrechnungsart wählen; Stundensätze eingeben</t>
        </is>
      </c>
    </row>
    <row r="4552">
      <c r="A4552" s="4" t="inlineStr">
        <is>
          <t>7300.01 Ströer-BST-allgemein</t>
        </is>
      </c>
      <c r="B4552" s="4" t="inlineStr">
        <is>
          <t>● (aN) Pos. 1 Brandschutztechnische Beratung inkl. Erstellung von Stellungnahmen</t>
        </is>
      </c>
      <c r="C4552" s="4" t="inlineStr">
        <is>
          <t>Nachweis</t>
        </is>
      </c>
      <c r="D4552" s="10" t="inlineStr">
        <is>
          <t>⚠ Manual erforderlich</t>
        </is>
      </c>
      <c r="E4552" s="11" t="inlineStr"/>
      <c r="F4552" s="11" t="n">
        <v>0</v>
      </c>
      <c r="G4552" s="11">
        <f>E4552-F4552</f>
        <v/>
      </c>
      <c r="H4552" s="11" t="n">
        <v/>
      </c>
      <c r="I4552" s="11" t="n">
        <v/>
      </c>
      <c r="J4552" s="11" t="n">
        <v/>
      </c>
      <c r="K4552" s="4" t="inlineStr">
        <is>
          <t>Stundensätze eingeben</t>
        </is>
      </c>
    </row>
    <row r="4553">
      <c r="A4553" s="4" t="inlineStr">
        <is>
          <t>7300.21 RV-Ströer-BTB-4WT-HBhf-München</t>
        </is>
      </c>
      <c r="B4553" s="4" t="inlineStr">
        <is>
          <t>● (aN) BTB - Deckelzahl zusätzl. Beratungsstd. bei 4 WT</t>
        </is>
      </c>
      <c r="C4553" s="4" t="inlineStr">
        <is>
          <t>Nachweis</t>
        </is>
      </c>
      <c r="D4553" s="10" t="inlineStr">
        <is>
          <t>⚠ Manual erforderlich</t>
        </is>
      </c>
      <c r="E4553" s="11" t="inlineStr"/>
      <c r="F4553" s="11" t="n">
        <v>0</v>
      </c>
      <c r="G4553" s="11">
        <f>E4553-F4553</f>
        <v/>
      </c>
      <c r="H4553" s="11" t="n">
        <v/>
      </c>
      <c r="I4553" s="11" t="n">
        <v/>
      </c>
      <c r="J4553" s="11" t="n">
        <v/>
      </c>
      <c r="K4553" s="4" t="inlineStr">
        <is>
          <t>Stundensätze eingeben</t>
        </is>
      </c>
    </row>
    <row r="4554">
      <c r="A4554" s="4" t="inlineStr">
        <is>
          <t>7300.40 Stöer-RV-BST-WT-U-Bahn-Station-Hohenzollern-München</t>
        </is>
      </c>
      <c r="B4554" s="4" t="inlineStr">
        <is>
          <t>● (p)  BST 25WT</t>
        </is>
      </c>
      <c r="C4554" s="4" t="inlineStr">
        <is>
          <t>Pauschale</t>
        </is>
      </c>
      <c r="D4554" s="10" t="inlineStr">
        <is>
          <t>⚠ Manual erforderlich</t>
        </is>
      </c>
      <c r="E4554" s="11" t="inlineStr"/>
      <c r="F4554" s="11" t="n">
        <v>0</v>
      </c>
      <c r="G4554" s="11">
        <f>E4554-F4554</f>
        <v/>
      </c>
      <c r="H4554" s="11" t="n">
        <v>0</v>
      </c>
      <c r="I4554" s="11" t="n">
        <v>0</v>
      </c>
      <c r="J4554" s="11" t="n">
        <v>0</v>
      </c>
      <c r="K4554" s="4" t="inlineStr">
        <is>
          <t>Stundensätze eingeben</t>
        </is>
      </c>
    </row>
    <row r="4555">
      <c r="A4555" s="4" t="inlineStr">
        <is>
          <t>7300.41 Stöer-RV-BTB-WT-U-Bahn-Station-Hohenzollern-München</t>
        </is>
      </c>
      <c r="B4555" s="4" t="inlineStr">
        <is>
          <t>● (aN)  BTB (RV: Deckelanzahl zusätzl. Beratungsstunden) 25WT</t>
        </is>
      </c>
      <c r="C4555" s="4" t="inlineStr">
        <is>
          <t>Nachweis</t>
        </is>
      </c>
      <c r="D4555" s="10" t="inlineStr">
        <is>
          <t>⚠ Manual erforderlich</t>
        </is>
      </c>
      <c r="E4555" s="11" t="inlineStr"/>
      <c r="F4555" s="11" t="n">
        <v>0</v>
      </c>
      <c r="G4555" s="11">
        <f>E4555-F4555</f>
        <v/>
      </c>
      <c r="H4555" s="11" t="n">
        <v/>
      </c>
      <c r="I4555" s="11" t="n">
        <v/>
      </c>
      <c r="J4555" s="11" t="n">
        <v/>
      </c>
      <c r="K4555" s="4" t="inlineStr">
        <is>
          <t>Stundensätze eingeben</t>
        </is>
      </c>
    </row>
    <row r="4556">
      <c r="A4556" s="4" t="inlineStr">
        <is>
          <t>7300.50 Stöer-RV-BST-WT-U-Bahn-Station-Max-Weber-Platz-München</t>
        </is>
      </c>
      <c r="B4556" s="4" t="inlineStr">
        <is>
          <t>● (p)  BST 3 WT</t>
        </is>
      </c>
      <c r="C4556" s="4" t="inlineStr">
        <is>
          <t>Pauschale</t>
        </is>
      </c>
      <c r="D4556" s="10" t="inlineStr">
        <is>
          <t>⚠ Manual erforderlich</t>
        </is>
      </c>
      <c r="E4556" s="11" t="inlineStr"/>
      <c r="F4556" s="11" t="n">
        <v>0</v>
      </c>
      <c r="G4556" s="11">
        <f>E4556-F4556</f>
        <v/>
      </c>
      <c r="H4556" s="11" t="n">
        <v>0</v>
      </c>
      <c r="I4556" s="11" t="n">
        <v>0</v>
      </c>
      <c r="J4556" s="11" t="n">
        <v>0</v>
      </c>
      <c r="K4556" s="4" t="inlineStr">
        <is>
          <t>Stundensätze eingeben</t>
        </is>
      </c>
    </row>
    <row r="4557">
      <c r="A4557" s="4" t="inlineStr">
        <is>
          <t>7300.51 Stöer-RV-BTB-WT-U-Bahn-Station-Max-Weber-Platz-München</t>
        </is>
      </c>
      <c r="B4557" s="4" t="inlineStr">
        <is>
          <t>● (aN)  BTB (Deckelanzahl zusätzll. Beratung) 3 WT</t>
        </is>
      </c>
      <c r="C4557" s="4" t="inlineStr">
        <is>
          <t>Nachweis</t>
        </is>
      </c>
      <c r="D4557" s="10" t="inlineStr">
        <is>
          <t>⚠ Manual erforderlich</t>
        </is>
      </c>
      <c r="E4557" s="11" t="inlineStr"/>
      <c r="F4557" s="11" t="n">
        <v>0</v>
      </c>
      <c r="G4557" s="11">
        <f>E4557-F4557</f>
        <v/>
      </c>
      <c r="H4557" s="11" t="n">
        <v/>
      </c>
      <c r="I4557" s="11" t="n">
        <v/>
      </c>
      <c r="J4557" s="11" t="n">
        <v/>
      </c>
      <c r="K4557" s="4" t="inlineStr">
        <is>
          <t>Stundensätze eingeben</t>
        </is>
      </c>
    </row>
    <row r="4558">
      <c r="A4558" s="4" t="inlineStr">
        <is>
          <t>7300.60 Stöer-RV-BST-Schaltschränke-Raumzelle-Innsbrucker-Ring-München</t>
        </is>
      </c>
      <c r="B4558" s="4" t="inlineStr">
        <is>
          <t>● (aN) BST Aufstellräume + Beratung (SV)</t>
        </is>
      </c>
      <c r="C4558" s="4" t="inlineStr">
        <is>
          <t>Nachweis</t>
        </is>
      </c>
      <c r="D4558" s="10" t="inlineStr">
        <is>
          <t>⚠ Manual erforderlich</t>
        </is>
      </c>
      <c r="E4558" s="11" t="inlineStr"/>
      <c r="F4558" s="11" t="n">
        <v>0</v>
      </c>
      <c r="G4558" s="11">
        <f>E4558-F4558</f>
        <v/>
      </c>
      <c r="H4558" s="11" t="n">
        <v/>
      </c>
      <c r="I4558" s="11" t="n">
        <v/>
      </c>
      <c r="J4558" s="11" t="n">
        <v/>
      </c>
      <c r="K4558" s="4" t="inlineStr">
        <is>
          <t>Stundensätze eingeben</t>
        </is>
      </c>
    </row>
    <row r="4559">
      <c r="A4559" s="4" t="inlineStr">
        <is>
          <t>7300.60 Stöer-RV-BST-Schaltschränke-Raumzelle-Innsbrucker-Ring-München</t>
        </is>
      </c>
      <c r="B4559" s="4" t="inlineStr">
        <is>
          <t>● ADM (nicht kalkuliert)</t>
        </is>
      </c>
      <c r="C4559" s="9" t="inlineStr">
        <is>
          <t>Unbekannt</t>
        </is>
      </c>
      <c r="D4559" s="10" t="inlineStr">
        <is>
          <t>⚠ Manual erforderlich</t>
        </is>
      </c>
      <c r="E4559" s="11" t="inlineStr"/>
      <c r="F4559" s="11" t="n">
        <v>0</v>
      </c>
      <c r="G4559" s="11">
        <f>E4559-F4559</f>
        <v/>
      </c>
      <c r="H4559" s="11" t="n">
        <v/>
      </c>
      <c r="I4559" s="11" t="n">
        <v/>
      </c>
      <c r="J4559" s="11" t="n">
        <v/>
      </c>
      <c r="K4559" s="4" t="inlineStr">
        <is>
          <t>Abrechnungsart wählen; Stundensätze eingeben</t>
        </is>
      </c>
    </row>
    <row r="4560">
      <c r="A4560" s="4" t="inlineStr">
        <is>
          <t>7302.01 PretiumPlus-NAT-BTB-Rheingaustr186-Wiesbaden</t>
        </is>
      </c>
      <c r="B4560" s="4" t="inlineStr">
        <is>
          <t>● (aN) Pos.1 BTB - Bewertung der Mängel aus Gefahrenverhütungsschau</t>
        </is>
      </c>
      <c r="C4560" s="4" t="inlineStr">
        <is>
          <t>Nachweis</t>
        </is>
      </c>
      <c r="D4560" s="10" t="inlineStr">
        <is>
          <t>⚠ Manual erforderlich</t>
        </is>
      </c>
      <c r="E4560" s="11" t="inlineStr"/>
      <c r="F4560" s="11" t="n">
        <v>0</v>
      </c>
      <c r="G4560" s="11">
        <f>E4560-F4560</f>
        <v/>
      </c>
      <c r="H4560" s="11" t="n">
        <v/>
      </c>
      <c r="I4560" s="11" t="n">
        <v/>
      </c>
      <c r="J4560" s="11" t="n">
        <v/>
      </c>
      <c r="K4560" s="4" t="inlineStr">
        <is>
          <t>Stundensätze eingeben</t>
        </is>
      </c>
    </row>
    <row r="4561">
      <c r="A4561" s="4" t="inlineStr">
        <is>
          <t>7305 SUN-Chemical-PLA-BASF-GebB218+A209-Carl-Bosch-Str38-Ludwigshafen</t>
        </is>
      </c>
      <c r="B4561" s="4" t="inlineStr">
        <is>
          <t>● (p) Pos. 1 Planungsmaßnahmen Geb. B218</t>
        </is>
      </c>
      <c r="C4561" s="4" t="inlineStr">
        <is>
          <t>Pauschale</t>
        </is>
      </c>
      <c r="D4561" s="10" t="inlineStr">
        <is>
          <t>⚠ Manual erforderlich</t>
        </is>
      </c>
      <c r="E4561" s="11" t="inlineStr"/>
      <c r="F4561" s="11" t="n">
        <v>0</v>
      </c>
      <c r="G4561" s="11">
        <f>E4561-F4561</f>
        <v/>
      </c>
      <c r="H4561" s="11" t="n">
        <v>0</v>
      </c>
      <c r="I4561" s="11" t="n">
        <v>0</v>
      </c>
      <c r="J4561" s="11" t="n">
        <v>0</v>
      </c>
      <c r="K4561" s="4" t="inlineStr">
        <is>
          <t>Stundensätze eingeben</t>
        </is>
      </c>
    </row>
    <row r="4562">
      <c r="A4562" s="4" t="inlineStr">
        <is>
          <t>7305 SUN-Chemical-PLA-BASF-GebB218+A209-Carl-Bosch-Str38-Ludwigshafen</t>
        </is>
      </c>
      <c r="B4562" s="4" t="inlineStr">
        <is>
          <t>● (p) Pos. 2 Planungsmaßnahmen Geb. A209</t>
        </is>
      </c>
      <c r="C4562" s="4" t="inlineStr">
        <is>
          <t>Pauschale</t>
        </is>
      </c>
      <c r="D4562" s="10" t="inlineStr">
        <is>
          <t>⚠ Manual erforderlich</t>
        </is>
      </c>
      <c r="E4562" s="11" t="inlineStr"/>
      <c r="F4562" s="11" t="n">
        <v>0</v>
      </c>
      <c r="G4562" s="11">
        <f>E4562-F4562</f>
        <v/>
      </c>
      <c r="H4562" s="11" t="n">
        <v>0</v>
      </c>
      <c r="I4562" s="11" t="n">
        <v>0</v>
      </c>
      <c r="J4562" s="11" t="n">
        <v>0</v>
      </c>
      <c r="K4562" s="4" t="inlineStr">
        <is>
          <t>Stundensätze eingeben</t>
        </is>
      </c>
    </row>
    <row r="4563">
      <c r="A4563" s="4" t="inlineStr">
        <is>
          <t>7306 IO-Diehl-AHO-Liegenschaft-Lübben in BEA!</t>
        </is>
      </c>
      <c r="B4563" s="4" t="inlineStr">
        <is>
          <t>● • 1000-Grundlagenermittlung</t>
        </is>
      </c>
      <c r="C4563" s="9" t="inlineStr">
        <is>
          <t>Unbekannt</t>
        </is>
      </c>
      <c r="D4563" s="10" t="inlineStr">
        <is>
          <t>⚠ Manual erforderlich</t>
        </is>
      </c>
      <c r="E4563" s="11" t="inlineStr"/>
      <c r="F4563" s="11" t="n">
        <v>0</v>
      </c>
      <c r="G4563" s="11">
        <f>E4563-F4563</f>
        <v/>
      </c>
      <c r="H4563" s="11" t="n">
        <v/>
      </c>
      <c r="I4563" s="11" t="n">
        <v/>
      </c>
      <c r="J4563" s="11" t="n">
        <v/>
      </c>
      <c r="K4563" s="4" t="inlineStr">
        <is>
          <t>Abrechnungsart wählen; Stundensätze eingeben</t>
        </is>
      </c>
    </row>
    <row r="4564">
      <c r="A4564" s="4" t="inlineStr">
        <is>
          <t>7306 IO-Diehl-AHO-Liegenschaft-Lübben in BEA!</t>
        </is>
      </c>
      <c r="B4564" s="4" t="inlineStr">
        <is>
          <t>● • 2000-Vorplanung</t>
        </is>
      </c>
      <c r="C4564" s="9" t="inlineStr">
        <is>
          <t>Unbekannt</t>
        </is>
      </c>
      <c r="D4564" s="10" t="inlineStr">
        <is>
          <t>⚠ Manual erforderlich</t>
        </is>
      </c>
      <c r="E4564" s="11" t="inlineStr"/>
      <c r="F4564" s="11" t="n">
        <v>0</v>
      </c>
      <c r="G4564" s="11">
        <f>E4564-F4564</f>
        <v/>
      </c>
      <c r="H4564" s="11" t="n">
        <v/>
      </c>
      <c r="I4564" s="11" t="n">
        <v/>
      </c>
      <c r="J4564" s="11" t="n">
        <v/>
      </c>
      <c r="K4564" s="4" t="inlineStr">
        <is>
          <t>Abrechnungsart wählen; Stundensätze eingeben</t>
        </is>
      </c>
    </row>
    <row r="4565">
      <c r="A4565" s="4" t="inlineStr">
        <is>
          <t>7306 IO-Diehl-AHO-Liegenschaft-Lübben in BEA!</t>
        </is>
      </c>
      <c r="B4565" s="4" t="inlineStr">
        <is>
          <t>● • 3000-Entwurfsplanung</t>
        </is>
      </c>
      <c r="C4565" s="9" t="inlineStr">
        <is>
          <t>Unbekannt</t>
        </is>
      </c>
      <c r="D4565" s="10" t="inlineStr">
        <is>
          <t>⚠ Manual erforderlich</t>
        </is>
      </c>
      <c r="E4565" s="11" t="inlineStr"/>
      <c r="F4565" s="11" t="n">
        <v>0</v>
      </c>
      <c r="G4565" s="11">
        <f>E4565-F4565</f>
        <v/>
      </c>
      <c r="H4565" s="11" t="n">
        <v/>
      </c>
      <c r="I4565" s="11" t="n">
        <v/>
      </c>
      <c r="J4565" s="11" t="n">
        <v/>
      </c>
      <c r="K4565" s="4" t="inlineStr">
        <is>
          <t>Abrechnungsart wählen; Stundensätze eingeben</t>
        </is>
      </c>
    </row>
    <row r="4566">
      <c r="A4566" s="4" t="inlineStr">
        <is>
          <t>7306 IO-Diehl-AHO-Liegenschaft-Lübben in BEA!</t>
        </is>
      </c>
      <c r="B4566" s="4" t="inlineStr">
        <is>
          <t>● • 4000-Genehmigungsplanung</t>
        </is>
      </c>
      <c r="C4566" s="9" t="inlineStr">
        <is>
          <t>Unbekannt</t>
        </is>
      </c>
      <c r="D4566" s="10" t="inlineStr">
        <is>
          <t>⚠ Manual erforderlich</t>
        </is>
      </c>
      <c r="E4566" s="11" t="inlineStr"/>
      <c r="F4566" s="11" t="n">
        <v>0</v>
      </c>
      <c r="G4566" s="11">
        <f>E4566-F4566</f>
        <v/>
      </c>
      <c r="H4566" s="11" t="n">
        <v/>
      </c>
      <c r="I4566" s="11" t="n">
        <v/>
      </c>
      <c r="J4566" s="11" t="n">
        <v/>
      </c>
      <c r="K4566" s="4" t="inlineStr">
        <is>
          <t>Abrechnungsart wählen; Stundensätze eingeben</t>
        </is>
      </c>
    </row>
    <row r="4567">
      <c r="A4567" s="4" t="inlineStr">
        <is>
          <t>7306 IO-Diehl-AHO-Liegenschaft-Lübben in BEA!</t>
        </is>
      </c>
      <c r="B4567" s="4" t="inlineStr">
        <is>
          <t>● • 5000-Ausführungsplanung</t>
        </is>
      </c>
      <c r="C4567" s="9" t="inlineStr">
        <is>
          <t>Unbekannt</t>
        </is>
      </c>
      <c r="D4567" s="10" t="inlineStr">
        <is>
          <t>⚠ Manual erforderlich</t>
        </is>
      </c>
      <c r="E4567" s="11" t="inlineStr"/>
      <c r="F4567" s="11" t="n">
        <v>0</v>
      </c>
      <c r="G4567" s="11">
        <f>E4567-F4567</f>
        <v/>
      </c>
      <c r="H4567" s="11" t="n">
        <v/>
      </c>
      <c r="I4567" s="11" t="n">
        <v/>
      </c>
      <c r="J4567" s="11" t="n">
        <v/>
      </c>
      <c r="K4567" s="4" t="inlineStr">
        <is>
          <t>Abrechnungsart wählen; Stundensätze eingeben</t>
        </is>
      </c>
    </row>
    <row r="4568">
      <c r="A4568" s="4" t="inlineStr">
        <is>
          <t>7306 IO-Diehl-AHO-Liegenschaft-Lübben in BEA!</t>
        </is>
      </c>
      <c r="B4568" s="4" t="inlineStr">
        <is>
          <t>● • 8000-Objektüberwachung</t>
        </is>
      </c>
      <c r="C4568" s="9" t="inlineStr">
        <is>
          <t>Unbekannt</t>
        </is>
      </c>
      <c r="D4568" s="10" t="inlineStr">
        <is>
          <t>⚠ Manual erforderlich</t>
        </is>
      </c>
      <c r="E4568" s="11" t="inlineStr"/>
      <c r="F4568" s="11" t="n">
        <v>0</v>
      </c>
      <c r="G4568" s="11">
        <f>E4568-F4568</f>
        <v/>
      </c>
      <c r="H4568" s="11" t="n">
        <v/>
      </c>
      <c r="I4568" s="11" t="n">
        <v/>
      </c>
      <c r="J4568" s="11" t="n">
        <v/>
      </c>
      <c r="K4568" s="4" t="inlineStr">
        <is>
          <t>Abrechnungsart wählen; Stundensätze eingeben</t>
        </is>
      </c>
    </row>
    <row r="4569">
      <c r="A4569" s="4" t="inlineStr">
        <is>
          <t>7306 IO-Diehl-AHO-Liegenschaft-Lübben in BEA!</t>
        </is>
      </c>
      <c r="B4569" s="4" t="inlineStr">
        <is>
          <t>● • Leistungen auf Nachweis</t>
        </is>
      </c>
      <c r="C4569" s="9" t="inlineStr">
        <is>
          <t>Unbekannt</t>
        </is>
      </c>
      <c r="D4569" s="10" t="inlineStr">
        <is>
          <t>⚠ Manual erforderlich</t>
        </is>
      </c>
      <c r="E4569" s="11" t="inlineStr"/>
      <c r="F4569" s="11" t="n">
        <v>0</v>
      </c>
      <c r="G4569" s="11">
        <f>E4569-F4569</f>
        <v/>
      </c>
      <c r="H4569" s="11" t="n">
        <v/>
      </c>
      <c r="I4569" s="11" t="n">
        <v/>
      </c>
      <c r="J4569" s="11" t="n">
        <v/>
      </c>
      <c r="K4569" s="4" t="inlineStr">
        <is>
          <t>Abrechnungsart wählen; Stundensätze eingeben</t>
        </is>
      </c>
    </row>
    <row r="4570">
      <c r="A4570" s="4" t="inlineStr">
        <is>
          <t>7306 IO-Diehl-AHO-Liegenschaft-Lübben in BEA!</t>
        </is>
      </c>
      <c r="B4570" s="4" t="inlineStr">
        <is>
          <t>● • 1000-Grundlagenermittlung</t>
        </is>
      </c>
      <c r="C4570" s="9" t="inlineStr">
        <is>
          <t>Unbekannt</t>
        </is>
      </c>
      <c r="D4570" s="10" t="inlineStr">
        <is>
          <t>⚠ Manual erforderlich</t>
        </is>
      </c>
      <c r="E4570" s="11" t="inlineStr"/>
      <c r="F4570" s="11" t="n">
        <v>0</v>
      </c>
      <c r="G4570" s="11">
        <f>E4570-F4570</f>
        <v/>
      </c>
      <c r="H4570" s="11" t="n">
        <v/>
      </c>
      <c r="I4570" s="11" t="n">
        <v/>
      </c>
      <c r="J4570" s="11" t="n">
        <v/>
      </c>
      <c r="K4570" s="4" t="inlineStr">
        <is>
          <t>Abrechnungsart wählen; Stundensätze eingeben</t>
        </is>
      </c>
    </row>
    <row r="4571">
      <c r="A4571" s="4" t="inlineStr">
        <is>
          <t>7306 IO-Diehl-AHO-Liegenschaft-Lübben in BEA!</t>
        </is>
      </c>
      <c r="B4571" s="4" t="inlineStr">
        <is>
          <t>● • 2000-Vorplanung</t>
        </is>
      </c>
      <c r="C4571" s="9" t="inlineStr">
        <is>
          <t>Unbekannt</t>
        </is>
      </c>
      <c r="D4571" s="10" t="inlineStr">
        <is>
          <t>⚠ Manual erforderlich</t>
        </is>
      </c>
      <c r="E4571" s="11" t="inlineStr"/>
      <c r="F4571" s="11" t="n">
        <v>0</v>
      </c>
      <c r="G4571" s="11">
        <f>E4571-F4571</f>
        <v/>
      </c>
      <c r="H4571" s="11" t="n">
        <v/>
      </c>
      <c r="I4571" s="11" t="n">
        <v/>
      </c>
      <c r="J4571" s="11" t="n">
        <v/>
      </c>
      <c r="K4571" s="4" t="inlineStr">
        <is>
          <t>Abrechnungsart wählen; Stundensätze eingeben</t>
        </is>
      </c>
    </row>
    <row r="4572">
      <c r="A4572" s="4" t="inlineStr">
        <is>
          <t>7306 IO-Diehl-AHO-Liegenschaft-Lübben in BEA!</t>
        </is>
      </c>
      <c r="B4572" s="4" t="inlineStr">
        <is>
          <t>● • 3000-Entwurfsplanung</t>
        </is>
      </c>
      <c r="C4572" s="9" t="inlineStr">
        <is>
          <t>Unbekannt</t>
        </is>
      </c>
      <c r="D4572" s="10" t="inlineStr">
        <is>
          <t>⚠ Manual erforderlich</t>
        </is>
      </c>
      <c r="E4572" s="11" t="inlineStr"/>
      <c r="F4572" s="11" t="n">
        <v>0</v>
      </c>
      <c r="G4572" s="11">
        <f>E4572-F4572</f>
        <v/>
      </c>
      <c r="H4572" s="11" t="n">
        <v/>
      </c>
      <c r="I4572" s="11" t="n">
        <v/>
      </c>
      <c r="J4572" s="11" t="n">
        <v/>
      </c>
      <c r="K4572" s="4" t="inlineStr">
        <is>
          <t>Abrechnungsart wählen; Stundensätze eingeben</t>
        </is>
      </c>
    </row>
    <row r="4573">
      <c r="A4573" s="4" t="inlineStr">
        <is>
          <t>7306 IO-Diehl-AHO-Liegenschaft-Lübben in BEA!</t>
        </is>
      </c>
      <c r="B4573" s="4" t="inlineStr">
        <is>
          <t>● • 4000-Genehmigungsplanung</t>
        </is>
      </c>
      <c r="C4573" s="9" t="inlineStr">
        <is>
          <t>Unbekannt</t>
        </is>
      </c>
      <c r="D4573" s="10" t="inlineStr">
        <is>
          <t>⚠ Manual erforderlich</t>
        </is>
      </c>
      <c r="E4573" s="11" t="inlineStr"/>
      <c r="F4573" s="11" t="n">
        <v>0</v>
      </c>
      <c r="G4573" s="11">
        <f>E4573-F4573</f>
        <v/>
      </c>
      <c r="H4573" s="11" t="n">
        <v/>
      </c>
      <c r="I4573" s="11" t="n">
        <v/>
      </c>
      <c r="J4573" s="11" t="n">
        <v/>
      </c>
      <c r="K4573" s="4" t="inlineStr">
        <is>
          <t>Abrechnungsart wählen; Stundensätze eingeben</t>
        </is>
      </c>
    </row>
    <row r="4574">
      <c r="A4574" s="4" t="inlineStr">
        <is>
          <t>7306 IO-Diehl-AHO-Liegenschaft-Lübben in BEA!</t>
        </is>
      </c>
      <c r="B4574" s="4" t="inlineStr">
        <is>
          <t>● • 5000-Ausführungsplanung</t>
        </is>
      </c>
      <c r="C4574" s="9" t="inlineStr">
        <is>
          <t>Unbekannt</t>
        </is>
      </c>
      <c r="D4574" s="10" t="inlineStr">
        <is>
          <t>⚠ Manual erforderlich</t>
        </is>
      </c>
      <c r="E4574" s="11" t="inlineStr"/>
      <c r="F4574" s="11" t="n">
        <v>0</v>
      </c>
      <c r="G4574" s="11">
        <f>E4574-F4574</f>
        <v/>
      </c>
      <c r="H4574" s="11" t="n">
        <v/>
      </c>
      <c r="I4574" s="11" t="n">
        <v/>
      </c>
      <c r="J4574" s="11" t="n">
        <v/>
      </c>
      <c r="K4574" s="4" t="inlineStr">
        <is>
          <t>Abrechnungsart wählen; Stundensätze eingeben</t>
        </is>
      </c>
    </row>
    <row r="4575">
      <c r="A4575" s="4" t="inlineStr">
        <is>
          <t>7306 IO-Diehl-AHO-Liegenschaft-Lübben in BEA!</t>
        </is>
      </c>
      <c r="B4575" s="4" t="inlineStr">
        <is>
          <t>● • 8000-Objektüberwachung</t>
        </is>
      </c>
      <c r="C4575" s="9" t="inlineStr">
        <is>
          <t>Unbekannt</t>
        </is>
      </c>
      <c r="D4575" s="10" t="inlineStr">
        <is>
          <t>⚠ Manual erforderlich</t>
        </is>
      </c>
      <c r="E4575" s="11" t="inlineStr"/>
      <c r="F4575" s="11" t="n">
        <v>0</v>
      </c>
      <c r="G4575" s="11">
        <f>E4575-F4575</f>
        <v/>
      </c>
      <c r="H4575" s="11" t="n">
        <v/>
      </c>
      <c r="I4575" s="11" t="n">
        <v/>
      </c>
      <c r="J4575" s="11" t="n">
        <v/>
      </c>
      <c r="K4575" s="4" t="inlineStr">
        <is>
          <t>Abrechnungsart wählen; Stundensätze eingeben</t>
        </is>
      </c>
    </row>
    <row r="4576">
      <c r="A4576" s="4" t="inlineStr">
        <is>
          <t>7306 IO-Diehl-AHO-Liegenschaft-Lübben in BEA!</t>
        </is>
      </c>
      <c r="B4576" s="4" t="inlineStr">
        <is>
          <t>● • Leistungen auf Nachweis</t>
        </is>
      </c>
      <c r="C4576" s="9" t="inlineStr">
        <is>
          <t>Unbekannt</t>
        </is>
      </c>
      <c r="D4576" s="10" t="inlineStr">
        <is>
          <t>⚠ Manual erforderlich</t>
        </is>
      </c>
      <c r="E4576" s="11" t="inlineStr"/>
      <c r="F4576" s="11" t="n">
        <v>0</v>
      </c>
      <c r="G4576" s="11">
        <f>E4576-F4576</f>
        <v/>
      </c>
      <c r="H4576" s="11" t="n">
        <v/>
      </c>
      <c r="I4576" s="11" t="n">
        <v/>
      </c>
      <c r="J4576" s="11" t="n">
        <v/>
      </c>
      <c r="K4576" s="4" t="inlineStr">
        <is>
          <t>Abrechnungsart wählen; Stundensätze eingeben</t>
        </is>
      </c>
    </row>
    <row r="4577">
      <c r="A4577" s="4" t="inlineStr">
        <is>
          <t>7306 IO-Diehl-AHO-Liegenschaft-Lübben in BEA!</t>
        </is>
      </c>
      <c r="B4577" s="4" t="inlineStr">
        <is>
          <t>● • 1000-Grundlagenermittlung</t>
        </is>
      </c>
      <c r="C4577" s="9" t="inlineStr">
        <is>
          <t>Unbekannt</t>
        </is>
      </c>
      <c r="D4577" s="10" t="inlineStr">
        <is>
          <t>⚠ Manual erforderlich</t>
        </is>
      </c>
      <c r="E4577" s="11" t="inlineStr"/>
      <c r="F4577" s="11" t="n">
        <v>0</v>
      </c>
      <c r="G4577" s="11">
        <f>E4577-F4577</f>
        <v/>
      </c>
      <c r="H4577" s="11" t="n">
        <v/>
      </c>
      <c r="I4577" s="11" t="n">
        <v/>
      </c>
      <c r="J4577" s="11" t="n">
        <v/>
      </c>
      <c r="K4577" s="4" t="inlineStr">
        <is>
          <t>Abrechnungsart wählen; Stundensätze eingeben</t>
        </is>
      </c>
    </row>
    <row r="4578">
      <c r="A4578" s="4" t="inlineStr">
        <is>
          <t>7306 IO-Diehl-AHO-Liegenschaft-Lübben in BEA!</t>
        </is>
      </c>
      <c r="B4578" s="4" t="inlineStr">
        <is>
          <t>● • 2000-Vorplanung</t>
        </is>
      </c>
      <c r="C4578" s="9" t="inlineStr">
        <is>
          <t>Unbekannt</t>
        </is>
      </c>
      <c r="D4578" s="10" t="inlineStr">
        <is>
          <t>⚠ Manual erforderlich</t>
        </is>
      </c>
      <c r="E4578" s="11" t="inlineStr"/>
      <c r="F4578" s="11" t="n">
        <v>0</v>
      </c>
      <c r="G4578" s="11">
        <f>E4578-F4578</f>
        <v/>
      </c>
      <c r="H4578" s="11" t="n">
        <v/>
      </c>
      <c r="I4578" s="11" t="n">
        <v/>
      </c>
      <c r="J4578" s="11" t="n">
        <v/>
      </c>
      <c r="K4578" s="4" t="inlineStr">
        <is>
          <t>Abrechnungsart wählen; Stundensätze eingeben</t>
        </is>
      </c>
    </row>
    <row r="4579">
      <c r="A4579" s="4" t="inlineStr">
        <is>
          <t>7306 IO-Diehl-AHO-Liegenschaft-Lübben in BEA!</t>
        </is>
      </c>
      <c r="B4579" s="4" t="inlineStr">
        <is>
          <t>● • 3000-Entwurfsplanung</t>
        </is>
      </c>
      <c r="C4579" s="9" t="inlineStr">
        <is>
          <t>Unbekannt</t>
        </is>
      </c>
      <c r="D4579" s="10" t="inlineStr">
        <is>
          <t>⚠ Manual erforderlich</t>
        </is>
      </c>
      <c r="E4579" s="11" t="inlineStr"/>
      <c r="F4579" s="11" t="n">
        <v>0</v>
      </c>
      <c r="G4579" s="11">
        <f>E4579-F4579</f>
        <v/>
      </c>
      <c r="H4579" s="11" t="n">
        <v/>
      </c>
      <c r="I4579" s="11" t="n">
        <v/>
      </c>
      <c r="J4579" s="11" t="n">
        <v/>
      </c>
      <c r="K4579" s="4" t="inlineStr">
        <is>
          <t>Abrechnungsart wählen; Stundensätze eingeben</t>
        </is>
      </c>
    </row>
    <row r="4580">
      <c r="A4580" s="4" t="inlineStr">
        <is>
          <t>7306 IO-Diehl-AHO-Liegenschaft-Lübben in BEA!</t>
        </is>
      </c>
      <c r="B4580" s="4" t="inlineStr">
        <is>
          <t>● • 4000-Genehmigungsplanung</t>
        </is>
      </c>
      <c r="C4580" s="9" t="inlineStr">
        <is>
          <t>Unbekannt</t>
        </is>
      </c>
      <c r="D4580" s="10" t="inlineStr">
        <is>
          <t>⚠ Manual erforderlich</t>
        </is>
      </c>
      <c r="E4580" s="11" t="inlineStr"/>
      <c r="F4580" s="11" t="n">
        <v>0</v>
      </c>
      <c r="G4580" s="11">
        <f>E4580-F4580</f>
        <v/>
      </c>
      <c r="H4580" s="11" t="n">
        <v/>
      </c>
      <c r="I4580" s="11" t="n">
        <v/>
      </c>
      <c r="J4580" s="11" t="n">
        <v/>
      </c>
      <c r="K4580" s="4" t="inlineStr">
        <is>
          <t>Abrechnungsart wählen; Stundensätze eingeben</t>
        </is>
      </c>
    </row>
    <row r="4581">
      <c r="A4581" s="4" t="inlineStr">
        <is>
          <t>7306 IO-Diehl-AHO-Liegenschaft-Lübben in BEA!</t>
        </is>
      </c>
      <c r="B4581" s="4" t="inlineStr">
        <is>
          <t>● • 5000-Ausführungsplanung</t>
        </is>
      </c>
      <c r="C4581" s="9" t="inlineStr">
        <is>
          <t>Unbekannt</t>
        </is>
      </c>
      <c r="D4581" s="10" t="inlineStr">
        <is>
          <t>⚠ Manual erforderlich</t>
        </is>
      </c>
      <c r="E4581" s="11" t="inlineStr"/>
      <c r="F4581" s="11" t="n">
        <v>0</v>
      </c>
      <c r="G4581" s="11">
        <f>E4581-F4581</f>
        <v/>
      </c>
      <c r="H4581" s="11" t="n">
        <v/>
      </c>
      <c r="I4581" s="11" t="n">
        <v/>
      </c>
      <c r="J4581" s="11" t="n">
        <v/>
      </c>
      <c r="K4581" s="4" t="inlineStr">
        <is>
          <t>Abrechnungsart wählen; Stundensätze eingeben</t>
        </is>
      </c>
    </row>
    <row r="4582">
      <c r="A4582" s="4" t="inlineStr">
        <is>
          <t>7306 IO-Diehl-AHO-Liegenschaft-Lübben in BEA!</t>
        </is>
      </c>
      <c r="B4582" s="4" t="inlineStr">
        <is>
          <t>● • 8000-Objektüberwachung</t>
        </is>
      </c>
      <c r="C4582" s="9" t="inlineStr">
        <is>
          <t>Unbekannt</t>
        </is>
      </c>
      <c r="D4582" s="10" t="inlineStr">
        <is>
          <t>⚠ Manual erforderlich</t>
        </is>
      </c>
      <c r="E4582" s="11" t="inlineStr"/>
      <c r="F4582" s="11" t="n">
        <v>0</v>
      </c>
      <c r="G4582" s="11">
        <f>E4582-F4582</f>
        <v/>
      </c>
      <c r="H4582" s="11" t="n">
        <v/>
      </c>
      <c r="I4582" s="11" t="n">
        <v/>
      </c>
      <c r="J4582" s="11" t="n">
        <v/>
      </c>
      <c r="K4582" s="4" t="inlineStr">
        <is>
          <t>Abrechnungsart wählen; Stundensätze eingeben</t>
        </is>
      </c>
    </row>
    <row r="4583">
      <c r="A4583" s="4" t="inlineStr">
        <is>
          <t>7306 IO-Diehl-AHO-Liegenschaft-Lübben in BEA!</t>
        </is>
      </c>
      <c r="B4583" s="4" t="inlineStr">
        <is>
          <t>● • Leistungen auf Nachweis</t>
        </is>
      </c>
      <c r="C4583" s="9" t="inlineStr">
        <is>
          <t>Unbekannt</t>
        </is>
      </c>
      <c r="D4583" s="10" t="inlineStr">
        <is>
          <t>⚠ Manual erforderlich</t>
        </is>
      </c>
      <c r="E4583" s="11" t="inlineStr"/>
      <c r="F4583" s="11" t="n">
        <v>0</v>
      </c>
      <c r="G4583" s="11">
        <f>E4583-F4583</f>
        <v/>
      </c>
      <c r="H4583" s="11" t="n">
        <v/>
      </c>
      <c r="I4583" s="11" t="n">
        <v/>
      </c>
      <c r="J4583" s="11" t="n">
        <v/>
      </c>
      <c r="K4583" s="4" t="inlineStr">
        <is>
          <t>Abrechnungsart wählen; Stundensätze eingeben</t>
        </is>
      </c>
    </row>
    <row r="4584">
      <c r="A4584" s="4" t="inlineStr">
        <is>
          <t>7306 IO-Diehl-AHO-Liegenschaft-Lübben in BEA!</t>
        </is>
      </c>
      <c r="B4584" s="4" t="inlineStr">
        <is>
          <t>● • (p) LP 1 Grundlagenermittlung</t>
        </is>
      </c>
      <c r="C4584" s="4" t="inlineStr">
        <is>
          <t>Pauschale</t>
        </is>
      </c>
      <c r="D4584" s="10" t="inlineStr">
        <is>
          <t>⚠ Manual erforderlich</t>
        </is>
      </c>
      <c r="E4584" s="11" t="inlineStr"/>
      <c r="F4584" s="11" t="n">
        <v>0</v>
      </c>
      <c r="G4584" s="11">
        <f>E4584-F4584</f>
        <v/>
      </c>
      <c r="H4584" s="11" t="n">
        <v/>
      </c>
      <c r="I4584" s="11" t="n">
        <v/>
      </c>
      <c r="J4584" s="11" t="n">
        <v/>
      </c>
      <c r="K4584" s="4" t="inlineStr">
        <is>
          <t>Stundensätze eingeben</t>
        </is>
      </c>
    </row>
    <row r="4585">
      <c r="A4585" s="4" t="inlineStr">
        <is>
          <t>7306 IO-Diehl-AHO-Liegenschaft-Lübben in BEA!</t>
        </is>
      </c>
      <c r="B4585" s="4" t="inlineStr">
        <is>
          <t>● • (p) LP 2 Vorplanung</t>
        </is>
      </c>
      <c r="C4585" s="4" t="inlineStr">
        <is>
          <t>Pauschale</t>
        </is>
      </c>
      <c r="D4585" s="10" t="inlineStr">
        <is>
          <t>⚠ Manual erforderlich</t>
        </is>
      </c>
      <c r="E4585" s="11" t="inlineStr"/>
      <c r="F4585" s="11" t="n">
        <v>0</v>
      </c>
      <c r="G4585" s="11">
        <f>E4585-F4585</f>
        <v/>
      </c>
      <c r="H4585" s="11" t="n">
        <v/>
      </c>
      <c r="I4585" s="11" t="n">
        <v/>
      </c>
      <c r="J4585" s="11" t="n">
        <v/>
      </c>
      <c r="K4585" s="4" t="inlineStr">
        <is>
          <t>Stundensätze eingeben</t>
        </is>
      </c>
    </row>
    <row r="4586">
      <c r="A4586" s="4" t="inlineStr">
        <is>
          <t>7306 IO-Diehl-AHO-Liegenschaft-Lübben in BEA!</t>
        </is>
      </c>
      <c r="B4586" s="4" t="inlineStr">
        <is>
          <t>● • (p) LP 3 Entwurfsplanung</t>
        </is>
      </c>
      <c r="C4586" s="4" t="inlineStr">
        <is>
          <t>Pauschale</t>
        </is>
      </c>
      <c r="D4586" s="10" t="inlineStr">
        <is>
          <t>⚠ Manual erforderlich</t>
        </is>
      </c>
      <c r="E4586" s="11" t="inlineStr"/>
      <c r="F4586" s="11" t="n">
        <v>0</v>
      </c>
      <c r="G4586" s="11">
        <f>E4586-F4586</f>
        <v/>
      </c>
      <c r="H4586" s="11" t="n">
        <v/>
      </c>
      <c r="I4586" s="11" t="n">
        <v/>
      </c>
      <c r="J4586" s="11" t="n">
        <v/>
      </c>
      <c r="K4586" s="4" t="inlineStr">
        <is>
          <t>Stundensätze eingeben</t>
        </is>
      </c>
    </row>
    <row r="4587">
      <c r="A4587" s="4" t="inlineStr">
        <is>
          <t>7306 IO-Diehl-AHO-Liegenschaft-Lübben in BEA!</t>
        </is>
      </c>
      <c r="B4587" s="4" t="inlineStr">
        <is>
          <t>● • (p) LP 4 Genehmigungsplanung</t>
        </is>
      </c>
      <c r="C4587" s="4" t="inlineStr">
        <is>
          <t>Pauschale</t>
        </is>
      </c>
      <c r="D4587" s="10" t="inlineStr">
        <is>
          <t>⚠ Manual erforderlich</t>
        </is>
      </c>
      <c r="E4587" s="11" t="inlineStr"/>
      <c r="F4587" s="11" t="n">
        <v>0</v>
      </c>
      <c r="G4587" s="11">
        <f>E4587-F4587</f>
        <v/>
      </c>
      <c r="H4587" s="11" t="n">
        <v/>
      </c>
      <c r="I4587" s="11" t="n">
        <v/>
      </c>
      <c r="J4587" s="11" t="n">
        <v/>
      </c>
      <c r="K4587" s="4" t="inlineStr">
        <is>
          <t>Stundensätze eingeben</t>
        </is>
      </c>
    </row>
    <row r="4588">
      <c r="A4588" s="4" t="inlineStr">
        <is>
          <t>7306 IO-Diehl-AHO-Liegenschaft-Lübben in BEA!</t>
        </is>
      </c>
      <c r="B4588" s="4" t="inlineStr">
        <is>
          <t>● • Leistungen auf Nachweis</t>
        </is>
      </c>
      <c r="C4588" s="9" t="inlineStr">
        <is>
          <t>Unbekannt</t>
        </is>
      </c>
      <c r="D4588" s="10" t="inlineStr">
        <is>
          <t>⚠ Manual erforderlich</t>
        </is>
      </c>
      <c r="E4588" s="11" t="inlineStr"/>
      <c r="F4588" s="11" t="n">
        <v>0</v>
      </c>
      <c r="G4588" s="11">
        <f>E4588-F4588</f>
        <v/>
      </c>
      <c r="H4588" s="11" t="n">
        <v/>
      </c>
      <c r="I4588" s="11" t="n">
        <v/>
      </c>
      <c r="J4588" s="11" t="n">
        <v/>
      </c>
      <c r="K4588" s="4" t="inlineStr">
        <is>
          <t>Abrechnungsart wählen; Stundensätze eingeben</t>
        </is>
      </c>
    </row>
    <row r="4589">
      <c r="A4589" s="4" t="inlineStr">
        <is>
          <t>7306 IO-Diehl-AHO-Liegenschaft-Lübben in BEA!</t>
        </is>
      </c>
      <c r="B4589" s="4" t="inlineStr">
        <is>
          <t>● • 1000-Grundlagenermittlung</t>
        </is>
      </c>
      <c r="C4589" s="9" t="inlineStr">
        <is>
          <t>Unbekannt</t>
        </is>
      </c>
      <c r="D4589" s="10" t="inlineStr">
        <is>
          <t>⚠ Manual erforderlich</t>
        </is>
      </c>
      <c r="E4589" s="11" t="inlineStr"/>
      <c r="F4589" s="11" t="n">
        <v>0</v>
      </c>
      <c r="G4589" s="11">
        <f>E4589-F4589</f>
        <v/>
      </c>
      <c r="H4589" s="11" t="n">
        <v/>
      </c>
      <c r="I4589" s="11" t="n">
        <v/>
      </c>
      <c r="J4589" s="11" t="n">
        <v/>
      </c>
      <c r="K4589" s="4" t="inlineStr">
        <is>
          <t>Abrechnungsart wählen; Stundensätze eingeben</t>
        </is>
      </c>
    </row>
    <row r="4590">
      <c r="A4590" s="4" t="inlineStr">
        <is>
          <t>7306 IO-Diehl-AHO-Liegenschaft-Lübben in BEA!</t>
        </is>
      </c>
      <c r="B4590" s="4" t="inlineStr">
        <is>
          <t>● • 2000-Vorplanung</t>
        </is>
      </c>
      <c r="C4590" s="9" t="inlineStr">
        <is>
          <t>Unbekannt</t>
        </is>
      </c>
      <c r="D4590" s="10" t="inlineStr">
        <is>
          <t>⚠ Manual erforderlich</t>
        </is>
      </c>
      <c r="E4590" s="11" t="inlineStr"/>
      <c r="F4590" s="11" t="n">
        <v>0</v>
      </c>
      <c r="G4590" s="11">
        <f>E4590-F4590</f>
        <v/>
      </c>
      <c r="H4590" s="11" t="n">
        <v/>
      </c>
      <c r="I4590" s="11" t="n">
        <v/>
      </c>
      <c r="J4590" s="11" t="n">
        <v/>
      </c>
      <c r="K4590" s="4" t="inlineStr">
        <is>
          <t>Abrechnungsart wählen; Stundensätze eingeben</t>
        </is>
      </c>
    </row>
    <row r="4591">
      <c r="A4591" s="4" t="inlineStr">
        <is>
          <t>7306 IO-Diehl-AHO-Liegenschaft-Lübben in BEA!</t>
        </is>
      </c>
      <c r="B4591" s="4" t="inlineStr">
        <is>
          <t>● • 3000-Entwurfsplanung</t>
        </is>
      </c>
      <c r="C4591" s="9" t="inlineStr">
        <is>
          <t>Unbekannt</t>
        </is>
      </c>
      <c r="D4591" s="10" t="inlineStr">
        <is>
          <t>⚠ Manual erforderlich</t>
        </is>
      </c>
      <c r="E4591" s="11" t="inlineStr"/>
      <c r="F4591" s="11" t="n">
        <v>0</v>
      </c>
      <c r="G4591" s="11">
        <f>E4591-F4591</f>
        <v/>
      </c>
      <c r="H4591" s="11" t="n">
        <v/>
      </c>
      <c r="I4591" s="11" t="n">
        <v/>
      </c>
      <c r="J4591" s="11" t="n">
        <v/>
      </c>
      <c r="K4591" s="4" t="inlineStr">
        <is>
          <t>Abrechnungsart wählen; Stundensätze eingeben</t>
        </is>
      </c>
    </row>
    <row r="4592">
      <c r="A4592" s="4" t="inlineStr">
        <is>
          <t>7306 IO-Diehl-AHO-Liegenschaft-Lübben in BEA!</t>
        </is>
      </c>
      <c r="B4592" s="4" t="inlineStr">
        <is>
          <t>● • 4000-Genehmigungsplanung</t>
        </is>
      </c>
      <c r="C4592" s="9" t="inlineStr">
        <is>
          <t>Unbekannt</t>
        </is>
      </c>
      <c r="D4592" s="10" t="inlineStr">
        <is>
          <t>⚠ Manual erforderlich</t>
        </is>
      </c>
      <c r="E4592" s="11" t="inlineStr"/>
      <c r="F4592" s="11" t="n">
        <v>0</v>
      </c>
      <c r="G4592" s="11">
        <f>E4592-F4592</f>
        <v/>
      </c>
      <c r="H4592" s="11" t="n">
        <v/>
      </c>
      <c r="I4592" s="11" t="n">
        <v/>
      </c>
      <c r="J4592" s="11" t="n">
        <v/>
      </c>
      <c r="K4592" s="4" t="inlineStr">
        <is>
          <t>Abrechnungsart wählen; Stundensätze eingeben</t>
        </is>
      </c>
    </row>
    <row r="4593">
      <c r="A4593" s="4" t="inlineStr">
        <is>
          <t>7306 IO-Diehl-AHO-Liegenschaft-Lübben in BEA!</t>
        </is>
      </c>
      <c r="B4593" s="4" t="inlineStr">
        <is>
          <t>● • 5000-Ausführungsplanung</t>
        </is>
      </c>
      <c r="C4593" s="9" t="inlineStr">
        <is>
          <t>Unbekannt</t>
        </is>
      </c>
      <c r="D4593" s="10" t="inlineStr">
        <is>
          <t>⚠ Manual erforderlich</t>
        </is>
      </c>
      <c r="E4593" s="11" t="inlineStr"/>
      <c r="F4593" s="11" t="n">
        <v>0</v>
      </c>
      <c r="G4593" s="11">
        <f>E4593-F4593</f>
        <v/>
      </c>
      <c r="H4593" s="11" t="n">
        <v/>
      </c>
      <c r="I4593" s="11" t="n">
        <v/>
      </c>
      <c r="J4593" s="11" t="n">
        <v/>
      </c>
      <c r="K4593" s="4" t="inlineStr">
        <is>
          <t>Abrechnungsart wählen; Stundensätze eingeben</t>
        </is>
      </c>
    </row>
    <row r="4594">
      <c r="A4594" s="4" t="inlineStr">
        <is>
          <t>7306 IO-Diehl-AHO-Liegenschaft-Lübben in BEA!</t>
        </is>
      </c>
      <c r="B4594" s="4" t="inlineStr">
        <is>
          <t>● • 8000-Objektüberwachung</t>
        </is>
      </c>
      <c r="C4594" s="9" t="inlineStr">
        <is>
          <t>Unbekannt</t>
        </is>
      </c>
      <c r="D4594" s="10" t="inlineStr">
        <is>
          <t>⚠ Manual erforderlich</t>
        </is>
      </c>
      <c r="E4594" s="11" t="inlineStr"/>
      <c r="F4594" s="11" t="n">
        <v>0</v>
      </c>
      <c r="G4594" s="11">
        <f>E4594-F4594</f>
        <v/>
      </c>
      <c r="H4594" s="11" t="n">
        <v/>
      </c>
      <c r="I4594" s="11" t="n">
        <v/>
      </c>
      <c r="J4594" s="11" t="n">
        <v/>
      </c>
      <c r="K4594" s="4" t="inlineStr">
        <is>
          <t>Abrechnungsart wählen; Stundensätze eingeben</t>
        </is>
      </c>
    </row>
    <row r="4595">
      <c r="A4595" s="4" t="inlineStr">
        <is>
          <t>7306 IO-Diehl-AHO-Liegenschaft-Lübben in BEA!</t>
        </is>
      </c>
      <c r="B4595" s="4" t="inlineStr">
        <is>
          <t>● • Leistungen auf Nachweis</t>
        </is>
      </c>
      <c r="C4595" s="9" t="inlineStr">
        <is>
          <t>Unbekannt</t>
        </is>
      </c>
      <c r="D4595" s="10" t="inlineStr">
        <is>
          <t>⚠ Manual erforderlich</t>
        </is>
      </c>
      <c r="E4595" s="11" t="inlineStr"/>
      <c r="F4595" s="11" t="n">
        <v>0</v>
      </c>
      <c r="G4595" s="11">
        <f>E4595-F4595</f>
        <v/>
      </c>
      <c r="H4595" s="11" t="n">
        <v/>
      </c>
      <c r="I4595" s="11" t="n">
        <v/>
      </c>
      <c r="J4595" s="11" t="n">
        <v/>
      </c>
      <c r="K4595" s="4" t="inlineStr">
        <is>
          <t>Abrechnungsart wählen; Stundensätze eingeben</t>
        </is>
      </c>
    </row>
    <row r="4596">
      <c r="A4596" s="4" t="inlineStr">
        <is>
          <t>7307 AHO-August-Bebel-Straße-Wolmirstedt-Altes-Rathaus</t>
        </is>
      </c>
      <c r="B4596" s="4" t="inlineStr">
        <is>
          <t>● (p) Pos.1  LPH 1 Grundlagenermittlung RL</t>
        </is>
      </c>
      <c r="C4596" s="4" t="inlineStr">
        <is>
          <t>Pauschale</t>
        </is>
      </c>
      <c r="D4596" s="10" t="inlineStr">
        <is>
          <t>⚠ Manual erforderlich</t>
        </is>
      </c>
      <c r="E4596" s="11" t="inlineStr"/>
      <c r="F4596" s="11" t="n">
        <v>0</v>
      </c>
      <c r="G4596" s="11">
        <f>E4596-F4596</f>
        <v/>
      </c>
      <c r="H4596" s="11" t="n">
        <v>0</v>
      </c>
      <c r="I4596" s="11" t="n">
        <v>0</v>
      </c>
      <c r="J4596" s="11" t="n">
        <v>0</v>
      </c>
      <c r="K4596" s="4" t="inlineStr">
        <is>
          <t>Stundensätze eingeben</t>
        </is>
      </c>
    </row>
    <row r="4597">
      <c r="A4597" s="4" t="inlineStr">
        <is>
          <t>7307 AHO-August-Bebel-Straße-Wolmirstedt-Altes-Rathaus</t>
        </is>
      </c>
      <c r="B4597" s="4" t="inlineStr">
        <is>
          <t>● (p) Pos.2 LPH 2 Vorplanung RL</t>
        </is>
      </c>
      <c r="C4597" s="4" t="inlineStr">
        <is>
          <t>Pauschale</t>
        </is>
      </c>
      <c r="D4597" s="10" t="inlineStr">
        <is>
          <t>⚠ Manual erforderlich</t>
        </is>
      </c>
      <c r="E4597" s="11" t="inlineStr"/>
      <c r="F4597" s="11" t="n">
        <v>0</v>
      </c>
      <c r="G4597" s="11">
        <f>E4597-F4597</f>
        <v/>
      </c>
      <c r="H4597" s="11" t="n">
        <v>0</v>
      </c>
      <c r="I4597" s="11" t="n">
        <v>0</v>
      </c>
      <c r="J4597" s="11" t="n">
        <v>0</v>
      </c>
      <c r="K4597" s="4" t="inlineStr">
        <is>
          <t>Stundensätze eingeben</t>
        </is>
      </c>
    </row>
    <row r="4598">
      <c r="A4598" s="4" t="inlineStr">
        <is>
          <t>7307 AHO-August-Bebel-Straße-Wolmirstedt-Altes-Rathaus</t>
        </is>
      </c>
      <c r="B4598" s="4" t="inlineStr">
        <is>
          <t>● (p) Pos.3 LPH 3 Entwurfsplanung RL</t>
        </is>
      </c>
      <c r="C4598" s="4" t="inlineStr">
        <is>
          <t>Pauschale</t>
        </is>
      </c>
      <c r="D4598" s="10" t="inlineStr">
        <is>
          <t>⚠ Manual erforderlich</t>
        </is>
      </c>
      <c r="E4598" s="11" t="inlineStr"/>
      <c r="F4598" s="11" t="n">
        <v>0</v>
      </c>
      <c r="G4598" s="11">
        <f>E4598-F4598</f>
        <v/>
      </c>
      <c r="H4598" s="11" t="n">
        <v>0</v>
      </c>
      <c r="I4598" s="11" t="n">
        <v>0</v>
      </c>
      <c r="J4598" s="11" t="n">
        <v>0</v>
      </c>
      <c r="K4598" s="4" t="inlineStr">
        <is>
          <t>Stundensätze eingeben</t>
        </is>
      </c>
    </row>
    <row r="4599">
      <c r="A4599" s="4" t="inlineStr">
        <is>
          <t>7307 AHO-August-Bebel-Straße-Wolmirstedt-Altes-Rathaus</t>
        </is>
      </c>
      <c r="B4599" s="4" t="inlineStr">
        <is>
          <t>● (p) Pos. 4 LPH 4 Genehmigungsplanung RL</t>
        </is>
      </c>
      <c r="C4599" s="4" t="inlineStr">
        <is>
          <t>Pauschale</t>
        </is>
      </c>
      <c r="D4599" s="10" t="inlineStr">
        <is>
          <t>⚠ Manual erforderlich</t>
        </is>
      </c>
      <c r="E4599" s="11" t="inlineStr"/>
      <c r="F4599" s="11" t="n">
        <v>0</v>
      </c>
      <c r="G4599" s="11">
        <f>E4599-F4599</f>
        <v/>
      </c>
      <c r="H4599" s="11" t="n">
        <v>0</v>
      </c>
      <c r="I4599" s="11" t="n">
        <v>0</v>
      </c>
      <c r="J4599" s="11" t="n">
        <v>0</v>
      </c>
      <c r="K4599" s="4" t="inlineStr">
        <is>
          <t>Stundensätze eingeben</t>
        </is>
      </c>
    </row>
    <row r="4600">
      <c r="A4600" s="4" t="inlineStr">
        <is>
          <t>7308 BSB-02-2025-Im-Weidensee-9-Frankfurt-Höchst-Logistikzentrum</t>
        </is>
      </c>
      <c r="B4600" s="4" t="inlineStr">
        <is>
          <t>● (aN) BSB 02/2025-01/2026</t>
        </is>
      </c>
      <c r="C4600" s="4" t="inlineStr">
        <is>
          <t>Nachweis</t>
        </is>
      </c>
      <c r="D4600" s="10" t="inlineStr">
        <is>
          <t>⚠ Manual erforderlich</t>
        </is>
      </c>
      <c r="E4600" s="11" t="inlineStr"/>
      <c r="F4600" s="11" t="n">
        <v>0</v>
      </c>
      <c r="G4600" s="11">
        <f>E4600-F4600</f>
        <v/>
      </c>
      <c r="H4600" s="11" t="n">
        <v/>
      </c>
      <c r="I4600" s="11" t="n">
        <v/>
      </c>
      <c r="J4600" s="11" t="n">
        <v/>
      </c>
      <c r="K4600" s="4" t="inlineStr">
        <is>
          <t>Stundensätze eingeben</t>
        </is>
      </c>
    </row>
    <row r="4601">
      <c r="A4601" s="4" t="inlineStr">
        <is>
          <t>7310 BTB-Am-Dorfgarten-72-76-Frankfurt</t>
        </is>
      </c>
      <c r="B4601" s="4" t="inlineStr">
        <is>
          <t>● (aN) Beratungsleistungen</t>
        </is>
      </c>
      <c r="C4601" s="4" t="inlineStr">
        <is>
          <t>Nachweis</t>
        </is>
      </c>
      <c r="D4601" s="10" t="inlineStr">
        <is>
          <t>⚠ Manual erforderlich</t>
        </is>
      </c>
      <c r="E4601" s="11" t="inlineStr"/>
      <c r="F4601" s="11" t="n">
        <v>0</v>
      </c>
      <c r="G4601" s="11">
        <f>E4601-F4601</f>
        <v/>
      </c>
      <c r="H4601" s="11" t="n">
        <v/>
      </c>
      <c r="I4601" s="11" t="n">
        <v/>
      </c>
      <c r="J4601" s="11" t="n">
        <v/>
      </c>
      <c r="K4601" s="4" t="inlineStr">
        <is>
          <t>Stundensätze eingeben</t>
        </is>
      </c>
    </row>
    <row r="4602">
      <c r="A4602" s="4" t="inlineStr">
        <is>
          <t>7311 Messe-Nürnberg-PLA-NCCM-UG-Erneuerung-Sprinkleranlage-Nürnberg</t>
        </is>
      </c>
      <c r="B4602" s="4" t="inlineStr">
        <is>
          <t>● (aN) Pos. 1 Leistungsphase 1 - Grundlagenermittlung</t>
        </is>
      </c>
      <c r="C4602" s="4" t="inlineStr">
        <is>
          <t>Nachweis</t>
        </is>
      </c>
      <c r="D4602" s="10" t="inlineStr">
        <is>
          <t>⚠ Manual erforderlich</t>
        </is>
      </c>
      <c r="E4602" s="11" t="inlineStr"/>
      <c r="F4602" s="11" t="n">
        <v>0</v>
      </c>
      <c r="G4602" s="11">
        <f>E4602-F4602</f>
        <v/>
      </c>
      <c r="H4602" s="11" t="n">
        <v/>
      </c>
      <c r="I4602" s="11" t="n">
        <v/>
      </c>
      <c r="J4602" s="11" t="n">
        <v/>
      </c>
      <c r="K4602" s="4" t="inlineStr">
        <is>
          <t>Stundensätze eingeben</t>
        </is>
      </c>
    </row>
    <row r="4603">
      <c r="A4603" s="4" t="inlineStr">
        <is>
          <t>7311 Messe-Nürnberg-PLA-NCCM-UG-Erneuerung-Sprinkleranlage-Nürnberg</t>
        </is>
      </c>
      <c r="B4603" s="4" t="inlineStr">
        <is>
          <t>● (p) Pos. 2 Leistungsphase 2 - Vorplanung</t>
        </is>
      </c>
      <c r="C4603" s="4" t="inlineStr">
        <is>
          <t>Pauschale</t>
        </is>
      </c>
      <c r="D4603" s="10" t="inlineStr">
        <is>
          <t>⚠ Manual erforderlich</t>
        </is>
      </c>
      <c r="E4603" s="11" t="inlineStr"/>
      <c r="F4603" s="11" t="n">
        <v>0</v>
      </c>
      <c r="G4603" s="11">
        <f>E4603-F4603</f>
        <v/>
      </c>
      <c r="H4603" s="11" t="n">
        <v>0</v>
      </c>
      <c r="I4603" s="11" t="n">
        <v>0</v>
      </c>
      <c r="J4603" s="11" t="n">
        <v>0</v>
      </c>
      <c r="K4603" s="4" t="inlineStr">
        <is>
          <t>Stundensätze eingeben</t>
        </is>
      </c>
    </row>
    <row r="4604">
      <c r="A4604" s="4" t="inlineStr">
        <is>
          <t>7311 Messe-Nürnberg-PLA-NCCM-UG-Erneuerung-Sprinkleranlage-Nürnberg</t>
        </is>
      </c>
      <c r="B4604" s="4" t="inlineStr">
        <is>
          <t>● (p) Pos. 3 Leistungsphase 3 - Entwurfsplanung</t>
        </is>
      </c>
      <c r="C4604" s="4" t="inlineStr">
        <is>
          <t>Pauschale</t>
        </is>
      </c>
      <c r="D4604" s="10" t="inlineStr">
        <is>
          <t>⚠ Manual erforderlich</t>
        </is>
      </c>
      <c r="E4604" s="11" t="inlineStr"/>
      <c r="F4604" s="11" t="n">
        <v>0</v>
      </c>
      <c r="G4604" s="11">
        <f>E4604-F4604</f>
        <v/>
      </c>
      <c r="H4604" s="11" t="n">
        <v>0</v>
      </c>
      <c r="I4604" s="11" t="n">
        <v>0</v>
      </c>
      <c r="J4604" s="11" t="n">
        <v>0</v>
      </c>
      <c r="K4604" s="4" t="inlineStr">
        <is>
          <t>Stundensätze eingeben</t>
        </is>
      </c>
    </row>
    <row r="4605">
      <c r="A4605" s="4" t="inlineStr">
        <is>
          <t>7312 QBS-Feuerbachstraße-40-44-Barckhausstraße-7-11-Ffm-Brandmeldeanlagenkonzept</t>
        </is>
      </c>
      <c r="B4605" s="4" t="inlineStr">
        <is>
          <t>● (p) Pos. 1 Erstellung Brandmeldeanlagenkonzept</t>
        </is>
      </c>
      <c r="C4605" s="4" t="inlineStr">
        <is>
          <t>Pauschale</t>
        </is>
      </c>
      <c r="D4605" s="10" t="inlineStr">
        <is>
          <t>⚠ Manual erforderlich</t>
        </is>
      </c>
      <c r="E4605" s="11" t="inlineStr"/>
      <c r="F4605" s="11" t="n">
        <v>0</v>
      </c>
      <c r="G4605" s="11">
        <f>E4605-F4605</f>
        <v/>
      </c>
      <c r="H4605" s="11" t="n">
        <v>0</v>
      </c>
      <c r="I4605" s="11" t="n">
        <v>0</v>
      </c>
      <c r="J4605" s="11" t="n">
        <v>0</v>
      </c>
      <c r="K4605" s="4" t="inlineStr">
        <is>
          <t>Stundensätze eingeben</t>
        </is>
      </c>
    </row>
    <row r="4606">
      <c r="A4606" s="4" t="inlineStr">
        <is>
          <t>7313 BAB-Sachsenwaldhochhaus-Hamburger-Straße-49-Reinbek</t>
        </is>
      </c>
      <c r="B4606" s="4" t="inlineStr">
        <is>
          <t>● (p) Pos.1 Brandschutztechn. Begleitung Branschutzsanierung</t>
        </is>
      </c>
      <c r="C4606" s="4" t="inlineStr">
        <is>
          <t>Pauschale</t>
        </is>
      </c>
      <c r="D4606" s="10" t="inlineStr">
        <is>
          <t>⚠ Manual erforderlich</t>
        </is>
      </c>
      <c r="E4606" s="11" t="inlineStr"/>
      <c r="F4606" s="11" t="n">
        <v>0</v>
      </c>
      <c r="G4606" s="11">
        <f>E4606-F4606</f>
        <v/>
      </c>
      <c r="H4606" s="11" t="n">
        <v>0</v>
      </c>
      <c r="I4606" s="11" t="n">
        <v>0</v>
      </c>
      <c r="J4606" s="11" t="n">
        <v>0</v>
      </c>
      <c r="K4606" s="4" t="inlineStr">
        <is>
          <t>Stundensätze eingeben</t>
        </is>
      </c>
    </row>
    <row r="4607">
      <c r="A4607" s="4" t="inlineStr">
        <is>
          <t>7313.01 BTS-Sachsenwaldhochhaus-Hamburger-Straße-49-Reinbek-OG-3-19+TK</t>
        </is>
      </c>
      <c r="B4607" s="4" t="inlineStr">
        <is>
          <t>● (p) Pos.1 Bestandsaufnahme zum organisatorischen, techn. + baul. Brandschutz</t>
        </is>
      </c>
      <c r="C4607" s="4" t="inlineStr">
        <is>
          <t>Pauschale</t>
        </is>
      </c>
      <c r="D4607" s="10" t="inlineStr">
        <is>
          <t>⚠ Manual erforderlich</t>
        </is>
      </c>
      <c r="E4607" s="11" t="inlineStr"/>
      <c r="F4607" s="11" t="n">
        <v>0</v>
      </c>
      <c r="G4607" s="11">
        <f>E4607-F4607</f>
        <v/>
      </c>
      <c r="H4607" s="11" t="n">
        <v>0</v>
      </c>
      <c r="I4607" s="11" t="n">
        <v>0</v>
      </c>
      <c r="J4607" s="11" t="n">
        <v>0</v>
      </c>
      <c r="K4607" s="4" t="inlineStr">
        <is>
          <t>Stundensätze eingeben</t>
        </is>
      </c>
    </row>
    <row r="4608">
      <c r="A4608" s="4" t="inlineStr">
        <is>
          <t>7319 BSK-Herderstraße-21-Hochheim</t>
        </is>
      </c>
      <c r="B4608" s="4" t="inlineStr">
        <is>
          <t>● (p) Pos.1 Erstellung BSK</t>
        </is>
      </c>
      <c r="C4608" s="4" t="inlineStr">
        <is>
          <t>Pauschale</t>
        </is>
      </c>
      <c r="D4608" s="10" t="inlineStr">
        <is>
          <t>⚠ Manual erforderlich</t>
        </is>
      </c>
      <c r="E4608" s="11" t="inlineStr"/>
      <c r="F4608" s="11" t="n">
        <v>0</v>
      </c>
      <c r="G4608" s="11">
        <f>E4608-F4608</f>
        <v/>
      </c>
      <c r="H4608" s="11" t="n">
        <v>0</v>
      </c>
      <c r="I4608" s="11" t="n">
        <v>0</v>
      </c>
      <c r="J4608" s="11" t="n">
        <v>0</v>
      </c>
      <c r="K4608" s="4" t="inlineStr">
        <is>
          <t>Stundensätze eingeben</t>
        </is>
      </c>
    </row>
    <row r="4609">
      <c r="A4609" s="4" t="inlineStr">
        <is>
          <t>7319 BSK-Herderstraße-21-Hochheim</t>
        </is>
      </c>
      <c r="B4609" s="4" t="inlineStr">
        <is>
          <t>● (p) Pos.2 BAB+Qualitätsüberwachung</t>
        </is>
      </c>
      <c r="C4609" s="4" t="inlineStr">
        <is>
          <t>Pauschale</t>
        </is>
      </c>
      <c r="D4609" s="10" t="inlineStr">
        <is>
          <t>⚠ Manual erforderlich</t>
        </is>
      </c>
      <c r="E4609" s="11" t="inlineStr"/>
      <c r="F4609" s="11" t="n">
        <v>0</v>
      </c>
      <c r="G4609" s="11">
        <f>E4609-F4609</f>
        <v/>
      </c>
      <c r="H4609" s="11" t="n">
        <v>0</v>
      </c>
      <c r="I4609" s="11" t="n">
        <v>0</v>
      </c>
      <c r="J4609" s="11" t="n">
        <v>0</v>
      </c>
      <c r="K4609" s="4" t="inlineStr">
        <is>
          <t>Stundensätze eingeben</t>
        </is>
      </c>
    </row>
    <row r="4610">
      <c r="A4610" s="4" t="inlineStr">
        <is>
          <t>7320 AVG-PHP-Funkenlöschanlage-Zollstr2-Rheinberg-NRW</t>
        </is>
      </c>
      <c r="B4610" s="4" t="inlineStr">
        <is>
          <t>● (p) Pos. 1 Sachverständigenprüfung selbsttätige Feuerlöschanlage nach PrüfVO NRW</t>
        </is>
      </c>
      <c r="C4610" s="4" t="inlineStr">
        <is>
          <t>Pauschale</t>
        </is>
      </c>
      <c r="D4610" s="10" t="inlineStr">
        <is>
          <t>⚠ Manual erforderlich</t>
        </is>
      </c>
      <c r="E4610" s="11" t="inlineStr"/>
      <c r="F4610" s="11" t="n">
        <v>0</v>
      </c>
      <c r="G4610" s="11">
        <f>E4610-F4610</f>
        <v/>
      </c>
      <c r="H4610" s="11" t="n">
        <v>0</v>
      </c>
      <c r="I4610" s="11" t="n">
        <v>0</v>
      </c>
      <c r="J4610" s="11" t="n">
        <v>0</v>
      </c>
      <c r="K4610" s="4" t="inlineStr">
        <is>
          <t>Stundensätze eingeben</t>
        </is>
      </c>
    </row>
    <row r="4611">
      <c r="A4611" s="4" t="inlineStr">
        <is>
          <t>7320 AVG-PHP-Funkenlöschanlage-Zollstr2-Rheinberg-NRW</t>
        </is>
      </c>
      <c r="B4611" s="4" t="inlineStr">
        <is>
          <t>● (aN) Pos. 2 Mängelkontrolle nach Aufwand</t>
        </is>
      </c>
      <c r="C4611" s="4" t="inlineStr">
        <is>
          <t>Nachweis</t>
        </is>
      </c>
      <c r="D4611" s="10" t="inlineStr">
        <is>
          <t>⚠ Manual erforderlich</t>
        </is>
      </c>
      <c r="E4611" s="11" t="inlineStr"/>
      <c r="F4611" s="11" t="n">
        <v>0</v>
      </c>
      <c r="G4611" s="11">
        <f>E4611-F4611</f>
        <v/>
      </c>
      <c r="H4611" s="11" t="n">
        <v/>
      </c>
      <c r="I4611" s="11" t="n">
        <v/>
      </c>
      <c r="J4611" s="11" t="n">
        <v/>
      </c>
      <c r="K4611" s="4" t="inlineStr">
        <is>
          <t>Stundensätze eingeben</t>
        </is>
      </c>
    </row>
    <row r="4612">
      <c r="A4612" s="4" t="inlineStr">
        <is>
          <t>7321 Aldi-Süd-PLA-Logistikzentrum-Am-Bommersbacher-Hof1-Bous</t>
        </is>
      </c>
      <c r="B4612" s="4" t="inlineStr">
        <is>
          <t>● Stufe 1 (p) LP 1 - Grundlagenermittlung</t>
        </is>
      </c>
      <c r="C4612" s="4" t="inlineStr">
        <is>
          <t>Pauschale</t>
        </is>
      </c>
      <c r="D4612" s="10" t="inlineStr">
        <is>
          <t>⚠ Manual erforderlich</t>
        </is>
      </c>
      <c r="E4612" s="11" t="inlineStr"/>
      <c r="F4612" s="11" t="n">
        <v>0</v>
      </c>
      <c r="G4612" s="11">
        <f>E4612-F4612</f>
        <v/>
      </c>
      <c r="H4612" s="11" t="n">
        <v>0</v>
      </c>
      <c r="I4612" s="11" t="n">
        <v>0</v>
      </c>
      <c r="J4612" s="11" t="n">
        <v>0</v>
      </c>
      <c r="K4612" s="4" t="inlineStr">
        <is>
          <t>Stundensätze eingeben</t>
        </is>
      </c>
    </row>
    <row r="4613">
      <c r="A4613" s="4" t="inlineStr">
        <is>
          <t>7321 Aldi-Süd-PLA-Logistikzentrum-Am-Bommersbacher-Hof1-Bous</t>
        </is>
      </c>
      <c r="B4613" s="4" t="inlineStr">
        <is>
          <t>● Stufe 1 (p) LP 2 - Vorplanung</t>
        </is>
      </c>
      <c r="C4613" s="4" t="inlineStr">
        <is>
          <t>Pauschale</t>
        </is>
      </c>
      <c r="D4613" s="10" t="inlineStr">
        <is>
          <t>⚠ Manual erforderlich</t>
        </is>
      </c>
      <c r="E4613" s="11" t="inlineStr"/>
      <c r="F4613" s="11" t="n">
        <v>0</v>
      </c>
      <c r="G4613" s="11">
        <f>E4613-F4613</f>
        <v/>
      </c>
      <c r="H4613" s="11" t="n">
        <v>0</v>
      </c>
      <c r="I4613" s="11" t="n">
        <v>0</v>
      </c>
      <c r="J4613" s="11" t="n">
        <v>0</v>
      </c>
      <c r="K4613" s="4" t="inlineStr">
        <is>
          <t>Stundensätze eingeben</t>
        </is>
      </c>
    </row>
    <row r="4614">
      <c r="A4614" s="4" t="inlineStr">
        <is>
          <t>7321 Aldi-Süd-PLA-Logistikzentrum-Am-Bommersbacher-Hof1-Bous</t>
        </is>
      </c>
      <c r="B4614" s="4" t="inlineStr">
        <is>
          <t>● Stufe 2 (p) LP 3 - Entwurfsplanung</t>
        </is>
      </c>
      <c r="C4614" s="4" t="inlineStr">
        <is>
          <t>Pauschale</t>
        </is>
      </c>
      <c r="D4614" s="10" t="inlineStr">
        <is>
          <t>⚠ Manual erforderlich</t>
        </is>
      </c>
      <c r="E4614" s="11" t="inlineStr"/>
      <c r="F4614" s="11" t="n">
        <v>0</v>
      </c>
      <c r="G4614" s="11">
        <f>E4614-F4614</f>
        <v/>
      </c>
      <c r="H4614" s="11" t="n">
        <v>0</v>
      </c>
      <c r="I4614" s="11" t="n">
        <v>0</v>
      </c>
      <c r="J4614" s="11" t="n">
        <v>0</v>
      </c>
      <c r="K4614" s="4" t="inlineStr">
        <is>
          <t>Stundensätze eingeben</t>
        </is>
      </c>
    </row>
    <row r="4615">
      <c r="A4615" s="4" t="inlineStr">
        <is>
          <t>7321 Aldi-Süd-PLA-Logistikzentrum-Am-Bommersbacher-Hof1-Bous</t>
        </is>
      </c>
      <c r="B4615" s="4" t="inlineStr">
        <is>
          <t>● Stufe 3 (p) LP 5 - Ausführungsplanung</t>
        </is>
      </c>
      <c r="C4615" s="4" t="inlineStr">
        <is>
          <t>Pauschale</t>
        </is>
      </c>
      <c r="D4615" s="10" t="inlineStr">
        <is>
          <t>⚠ Manual erforderlich</t>
        </is>
      </c>
      <c r="E4615" s="11" t="inlineStr"/>
      <c r="F4615" s="11" t="n">
        <v>0</v>
      </c>
      <c r="G4615" s="11">
        <f>E4615-F4615</f>
        <v/>
      </c>
      <c r="H4615" s="11" t="n">
        <v>0</v>
      </c>
      <c r="I4615" s="11" t="n">
        <v>0</v>
      </c>
      <c r="J4615" s="11" t="n">
        <v>0</v>
      </c>
      <c r="K4615" s="4" t="inlineStr">
        <is>
          <t>Stundensätze eingeben</t>
        </is>
      </c>
    </row>
    <row r="4616">
      <c r="A4616" s="4" t="inlineStr">
        <is>
          <t>7321 Aldi-Süd-PLA-Logistikzentrum-Am-Bommersbacher-Hof1-Bous</t>
        </is>
      </c>
      <c r="B4616" s="4" t="inlineStr">
        <is>
          <t>● Stufe 3 (p) LP 6 - Vorbereitung der Vergabe</t>
        </is>
      </c>
      <c r="C4616" s="4" t="inlineStr">
        <is>
          <t>Pauschale</t>
        </is>
      </c>
      <c r="D4616" s="10" t="inlineStr">
        <is>
          <t>⚠ Manual erforderlich</t>
        </is>
      </c>
      <c r="E4616" s="11" t="inlineStr"/>
      <c r="F4616" s="11" t="n">
        <v>0</v>
      </c>
      <c r="G4616" s="11">
        <f>E4616-F4616</f>
        <v/>
      </c>
      <c r="H4616" s="11" t="n">
        <v>0</v>
      </c>
      <c r="I4616" s="11" t="n">
        <v>0</v>
      </c>
      <c r="J4616" s="11" t="n">
        <v>0</v>
      </c>
      <c r="K4616" s="4" t="inlineStr">
        <is>
          <t>Stundensätze eingeben</t>
        </is>
      </c>
    </row>
    <row r="4617">
      <c r="A4617" s="4" t="inlineStr">
        <is>
          <t>7321 Aldi-Süd-PLA-Logistikzentrum-Am-Bommersbacher-Hof1-Bous</t>
        </is>
      </c>
      <c r="B4617" s="4" t="inlineStr">
        <is>
          <t>● Stufe 3 (p) LP 7 - Mitwirkung bei der Vergabe</t>
        </is>
      </c>
      <c r="C4617" s="4" t="inlineStr">
        <is>
          <t>Pauschale</t>
        </is>
      </c>
      <c r="D4617" s="10" t="inlineStr">
        <is>
          <t>⚠ Manual erforderlich</t>
        </is>
      </c>
      <c r="E4617" s="11" t="inlineStr"/>
      <c r="F4617" s="11" t="n">
        <v>0</v>
      </c>
      <c r="G4617" s="11">
        <f>E4617-F4617</f>
        <v/>
      </c>
      <c r="H4617" s="11" t="n">
        <v>0</v>
      </c>
      <c r="I4617" s="11" t="n">
        <v>0</v>
      </c>
      <c r="J4617" s="11" t="n">
        <v>0</v>
      </c>
      <c r="K4617" s="4" t="inlineStr">
        <is>
          <t>Stundensätze eingeben</t>
        </is>
      </c>
    </row>
    <row r="4618">
      <c r="A4618" s="4" t="inlineStr">
        <is>
          <t>7321 Aldi-Süd-PLA-Logistikzentrum-Am-Bommersbacher-Hof1-Bous</t>
        </is>
      </c>
      <c r="B4618" s="4" t="inlineStr">
        <is>
          <t>● Stufe 4 (p) LP 8 - Objektüberwachung – Bauüberwachung</t>
        </is>
      </c>
      <c r="C4618" s="4" t="inlineStr">
        <is>
          <t>Pauschale</t>
        </is>
      </c>
      <c r="D4618" s="10" t="inlineStr">
        <is>
          <t>⚠ Manual erforderlich</t>
        </is>
      </c>
      <c r="E4618" s="11" t="inlineStr"/>
      <c r="F4618" s="11" t="n">
        <v>0</v>
      </c>
      <c r="G4618" s="11">
        <f>E4618-F4618</f>
        <v/>
      </c>
      <c r="H4618" s="11" t="n">
        <v>0</v>
      </c>
      <c r="I4618" s="11" t="n">
        <v>0</v>
      </c>
      <c r="J4618" s="11" t="n">
        <v>0</v>
      </c>
      <c r="K4618" s="4" t="inlineStr">
        <is>
          <t>Stundensätze eingeben</t>
        </is>
      </c>
    </row>
    <row r="4619">
      <c r="A4619" s="4" t="inlineStr">
        <is>
          <t>7321 Aldi-Süd-PLA-Logistikzentrum-Am-Bommersbacher-Hof1-Bous</t>
        </is>
      </c>
      <c r="B4619" s="4" t="inlineStr">
        <is>
          <t>● (aN) Optionale Leistung auf Nachweis</t>
        </is>
      </c>
      <c r="C4619" s="4" t="inlineStr">
        <is>
          <t>Nachweis</t>
        </is>
      </c>
      <c r="D4619" s="10" t="inlineStr">
        <is>
          <t>⚠ Manual erforderlich</t>
        </is>
      </c>
      <c r="E4619" s="11" t="inlineStr"/>
      <c r="F4619" s="11" t="n">
        <v>0</v>
      </c>
      <c r="G4619" s="11">
        <f>E4619-F4619</f>
        <v/>
      </c>
      <c r="H4619" s="11" t="n">
        <v/>
      </c>
      <c r="I4619" s="11" t="n">
        <v/>
      </c>
      <c r="J4619" s="11" t="n">
        <v/>
      </c>
      <c r="K4619" s="4" t="inlineStr">
        <is>
          <t>Stundensätze eingeben</t>
        </is>
      </c>
    </row>
    <row r="4620">
      <c r="A4620" s="4" t="inlineStr">
        <is>
          <t>7321 Aldi-Süd-PLA-Logistikzentrum-Am-Bommersbacher-Hof1-Bous</t>
        </is>
      </c>
      <c r="B4620" s="4" t="inlineStr">
        <is>
          <t>● ADM</t>
        </is>
      </c>
      <c r="C4620" s="9" t="inlineStr">
        <is>
          <t>Unbekannt</t>
        </is>
      </c>
      <c r="D4620" s="10" t="inlineStr">
        <is>
          <t>⚠ Manual erforderlich</t>
        </is>
      </c>
      <c r="E4620" s="11" t="inlineStr"/>
      <c r="F4620" s="11" t="n">
        <v>0</v>
      </c>
      <c r="G4620" s="11">
        <f>E4620-F4620</f>
        <v/>
      </c>
      <c r="H4620" s="11" t="n">
        <v/>
      </c>
      <c r="I4620" s="11" t="n">
        <v/>
      </c>
      <c r="J4620" s="11" t="n">
        <v/>
      </c>
      <c r="K4620" s="4" t="inlineStr">
        <is>
          <t>Abrechnungsart wählen; Stundensätze eingeben</t>
        </is>
      </c>
    </row>
    <row r="4621">
      <c r="A4621" s="4" t="inlineStr">
        <is>
          <t>7322 BSK-AWZ-Deponiestraße-4-Gelnhausen-Deponie-Hailer</t>
        </is>
      </c>
      <c r="B4621" s="4" t="inlineStr">
        <is>
          <t>● (p) Pos.1 Erstllen BSK für Gelände ohne vorhandene Gebäude</t>
        </is>
      </c>
      <c r="C4621" s="4" t="inlineStr">
        <is>
          <t>Pauschale</t>
        </is>
      </c>
      <c r="D4621" s="10" t="inlineStr">
        <is>
          <t>⚠ Manual erforderlich</t>
        </is>
      </c>
      <c r="E4621" s="11" t="inlineStr"/>
      <c r="F4621" s="11" t="n">
        <v>0</v>
      </c>
      <c r="G4621" s="11">
        <f>E4621-F4621</f>
        <v/>
      </c>
      <c r="H4621" s="11" t="n">
        <v>0</v>
      </c>
      <c r="I4621" s="11" t="n">
        <v>0</v>
      </c>
      <c r="J4621" s="11" t="n">
        <v>0</v>
      </c>
      <c r="K4621" s="4" t="inlineStr">
        <is>
          <t>Stundensätze eingeben</t>
        </is>
      </c>
    </row>
    <row r="4622">
      <c r="A4622" s="4" t="inlineStr">
        <is>
          <t>7322 BSK-AWZ-Deponiestraße-4-Gelnhausen-Deponie-Hailer</t>
        </is>
      </c>
      <c r="B4622" s="4" t="inlineStr">
        <is>
          <t>● (aN) Pos.2 Beratungsleistungen</t>
        </is>
      </c>
      <c r="C4622" s="4" t="inlineStr">
        <is>
          <t>Nachweis</t>
        </is>
      </c>
      <c r="D4622" s="10" t="inlineStr">
        <is>
          <t>⚠ Manual erforderlich</t>
        </is>
      </c>
      <c r="E4622" s="11" t="inlineStr"/>
      <c r="F4622" s="11" t="n">
        <v>0</v>
      </c>
      <c r="G4622" s="11">
        <f>E4622-F4622</f>
        <v/>
      </c>
      <c r="H4622" s="11" t="n">
        <v/>
      </c>
      <c r="I4622" s="11" t="n">
        <v/>
      </c>
      <c r="J4622" s="11" t="n">
        <v/>
      </c>
      <c r="K4622" s="4" t="inlineStr">
        <is>
          <t>Stundensätze eingeben</t>
        </is>
      </c>
    </row>
    <row r="4623">
      <c r="A4623" s="4" t="inlineStr">
        <is>
          <t>7324 DREP-BSK-Hülsbachweg-Kirn</t>
        </is>
      </c>
      <c r="B4623" s="4" t="inlineStr">
        <is>
          <t>● (aN) Pos. 1 BTB + Abstimmungstermine (SV)</t>
        </is>
      </c>
      <c r="C4623" s="4" t="inlineStr">
        <is>
          <t>Nachweis</t>
        </is>
      </c>
      <c r="D4623" s="10" t="inlineStr">
        <is>
          <t>⚠ Manual erforderlich</t>
        </is>
      </c>
      <c r="E4623" s="11" t="inlineStr"/>
      <c r="F4623" s="11" t="n">
        <v>0</v>
      </c>
      <c r="G4623" s="11">
        <f>E4623-F4623</f>
        <v/>
      </c>
      <c r="H4623" s="11" t="n">
        <v/>
      </c>
      <c r="I4623" s="11" t="n">
        <v/>
      </c>
      <c r="J4623" s="11" t="n">
        <v/>
      </c>
      <c r="K4623" s="4" t="inlineStr">
        <is>
          <t>Stundensätze eingeben</t>
        </is>
      </c>
    </row>
    <row r="4624">
      <c r="A4624" s="4" t="inlineStr">
        <is>
          <t>7324.01 DREP-BSK-Umbau-Lederfabrik-in-Wohngebäude-Hülsbachweg10-Kirn</t>
        </is>
      </c>
      <c r="B4624" s="4" t="inlineStr">
        <is>
          <t>● (p) Pos. 2 Aktualisierung Brandschutzkonzept</t>
        </is>
      </c>
      <c r="C4624" s="4" t="inlineStr">
        <is>
          <t>Pauschale</t>
        </is>
      </c>
      <c r="D4624" s="10" t="inlineStr">
        <is>
          <t>⚠ Manual erforderlich</t>
        </is>
      </c>
      <c r="E4624" s="11" t="inlineStr"/>
      <c r="F4624" s="11" t="n">
        <v>0</v>
      </c>
      <c r="G4624" s="11">
        <f>E4624-F4624</f>
        <v/>
      </c>
      <c r="H4624" s="11" t="n">
        <v>0</v>
      </c>
      <c r="I4624" s="11" t="n">
        <v>0</v>
      </c>
      <c r="J4624" s="11" t="n">
        <v>0</v>
      </c>
      <c r="K4624" s="4" t="inlineStr">
        <is>
          <t>Stundensätze eingeben</t>
        </is>
      </c>
    </row>
    <row r="4625">
      <c r="A4625" s="4" t="inlineStr">
        <is>
          <t>7324.01 DREP-BSK-Umbau-Lederfabrik-in-Wohngebäude-Hülsbachweg10-Kirn</t>
        </is>
      </c>
      <c r="B4625" s="4" t="inlineStr">
        <is>
          <t>● Pos. 1 nicht beauftragt</t>
        </is>
      </c>
      <c r="C4625" s="9" t="inlineStr">
        <is>
          <t>Unbekannt</t>
        </is>
      </c>
      <c r="D4625" s="10" t="inlineStr">
        <is>
          <t>⚠ Manual erforderlich</t>
        </is>
      </c>
      <c r="E4625" s="11" t="inlineStr"/>
      <c r="F4625" s="11" t="n">
        <v>0</v>
      </c>
      <c r="G4625" s="11">
        <f>E4625-F4625</f>
        <v/>
      </c>
      <c r="H4625" s="11" t="n">
        <v/>
      </c>
      <c r="I4625" s="11" t="n">
        <v/>
      </c>
      <c r="J4625" s="11" t="n">
        <v/>
      </c>
      <c r="K4625" s="4" t="inlineStr">
        <is>
          <t>Abrechnungsart wählen; Stundensätze eingeben</t>
        </is>
      </c>
    </row>
    <row r="4626">
      <c r="A4626" s="4" t="inlineStr">
        <is>
          <t>7325 IKEA-PLA-Hamburg-Schnelsen</t>
        </is>
      </c>
      <c r="B4626" s="4" t="inlineStr">
        <is>
          <t>● ANG (p) LP 1 - Grundlagenermittlung</t>
        </is>
      </c>
      <c r="C4626" s="4" t="inlineStr">
        <is>
          <t>Pauschale</t>
        </is>
      </c>
      <c r="D4626" s="10" t="inlineStr">
        <is>
          <t>⚠ Manual erforderlich</t>
        </is>
      </c>
      <c r="E4626" s="11" t="inlineStr"/>
      <c r="F4626" s="11" t="n">
        <v>0</v>
      </c>
      <c r="G4626" s="11">
        <f>E4626-F4626</f>
        <v/>
      </c>
      <c r="H4626" s="11" t="n">
        <v>0</v>
      </c>
      <c r="I4626" s="11" t="n">
        <v>0</v>
      </c>
      <c r="J4626" s="11" t="n">
        <v>0</v>
      </c>
      <c r="K4626" s="4" t="inlineStr">
        <is>
          <t>Stundensätze eingeben</t>
        </is>
      </c>
    </row>
    <row r="4627">
      <c r="A4627" s="4" t="inlineStr">
        <is>
          <t>7325 IKEA-PLA-Hamburg-Schnelsen</t>
        </is>
      </c>
      <c r="B4627" s="4" t="inlineStr">
        <is>
          <t>● ANG (p) LP 2 - Vorplanung</t>
        </is>
      </c>
      <c r="C4627" s="4" t="inlineStr">
        <is>
          <t>Pauschale</t>
        </is>
      </c>
      <c r="D4627" s="10" t="inlineStr">
        <is>
          <t>⚠ Manual erforderlich</t>
        </is>
      </c>
      <c r="E4627" s="11" t="inlineStr"/>
      <c r="F4627" s="11" t="n">
        <v>0</v>
      </c>
      <c r="G4627" s="11">
        <f>E4627-F4627</f>
        <v/>
      </c>
      <c r="H4627" s="11" t="n">
        <v>0</v>
      </c>
      <c r="I4627" s="11" t="n">
        <v>0</v>
      </c>
      <c r="J4627" s="11" t="n">
        <v>0</v>
      </c>
      <c r="K4627" s="4" t="inlineStr">
        <is>
          <t>Stundensätze eingeben</t>
        </is>
      </c>
    </row>
    <row r="4628">
      <c r="A4628" s="4" t="inlineStr">
        <is>
          <t>7325 IKEA-PLA-Hamburg-Schnelsen</t>
        </is>
      </c>
      <c r="B4628" s="4" t="inlineStr">
        <is>
          <t>● ANG (p) LP 3 - Entwurfsplanung</t>
        </is>
      </c>
      <c r="C4628" s="4" t="inlineStr">
        <is>
          <t>Pauschale</t>
        </is>
      </c>
      <c r="D4628" s="10" t="inlineStr">
        <is>
          <t>⚠ Manual erforderlich</t>
        </is>
      </c>
      <c r="E4628" s="11" t="inlineStr"/>
      <c r="F4628" s="11" t="n">
        <v>0</v>
      </c>
      <c r="G4628" s="11">
        <f>E4628-F4628</f>
        <v/>
      </c>
      <c r="H4628" s="11" t="n">
        <v>0</v>
      </c>
      <c r="I4628" s="11" t="n">
        <v>0</v>
      </c>
      <c r="J4628" s="11" t="n">
        <v>0</v>
      </c>
      <c r="K4628" s="4" t="inlineStr">
        <is>
          <t>Stundensätze eingeben</t>
        </is>
      </c>
    </row>
    <row r="4629">
      <c r="A4629" s="4" t="inlineStr">
        <is>
          <t>7325 IKEA-PLA-Hamburg-Schnelsen</t>
        </is>
      </c>
      <c r="B4629" s="4" t="inlineStr">
        <is>
          <t>● ANG (p) LP 4 – Genehmigungsplanung</t>
        </is>
      </c>
      <c r="C4629" s="4" t="inlineStr">
        <is>
          <t>Pauschale</t>
        </is>
      </c>
      <c r="D4629" s="10" t="inlineStr">
        <is>
          <t>⚠ Manual erforderlich</t>
        </is>
      </c>
      <c r="E4629" s="11" t="inlineStr"/>
      <c r="F4629" s="11" t="n">
        <v>0</v>
      </c>
      <c r="G4629" s="11">
        <f>E4629-F4629</f>
        <v/>
      </c>
      <c r="H4629" s="11" t="n">
        <v>0</v>
      </c>
      <c r="I4629" s="11" t="n">
        <v>0</v>
      </c>
      <c r="J4629" s="11" t="n">
        <v>0</v>
      </c>
      <c r="K4629" s="4" t="inlineStr">
        <is>
          <t>Stundensätze eingeben</t>
        </is>
      </c>
    </row>
    <row r="4630">
      <c r="A4630" s="4" t="inlineStr">
        <is>
          <t>7325 IKEA-PLA-Hamburg-Schnelsen</t>
        </is>
      </c>
      <c r="B4630" s="4" t="inlineStr">
        <is>
          <t>● ANG (p) Leistungsphase 5 - Ausführungsplanung</t>
        </is>
      </c>
      <c r="C4630" s="4" t="inlineStr">
        <is>
          <t>Pauschale</t>
        </is>
      </c>
      <c r="D4630" s="10" t="inlineStr">
        <is>
          <t>⚠ Manual erforderlich</t>
        </is>
      </c>
      <c r="E4630" s="11" t="inlineStr"/>
      <c r="F4630" s="11" t="n">
        <v>0</v>
      </c>
      <c r="G4630" s="11">
        <f>E4630-F4630</f>
        <v/>
      </c>
      <c r="H4630" s="11" t="n">
        <v>0</v>
      </c>
      <c r="I4630" s="11" t="n">
        <v>0</v>
      </c>
      <c r="J4630" s="11" t="n">
        <v>0</v>
      </c>
      <c r="K4630" s="4" t="inlineStr">
        <is>
          <t>Stundensätze eingeben</t>
        </is>
      </c>
    </row>
    <row r="4631">
      <c r="A4631" s="4" t="inlineStr">
        <is>
          <t>7325 IKEA-PLA-Hamburg-Schnelsen</t>
        </is>
      </c>
      <c r="B4631" s="4" t="inlineStr">
        <is>
          <t>● ANG (p) LP 6 - Vorbereitung der Vergabe</t>
        </is>
      </c>
      <c r="C4631" s="4" t="inlineStr">
        <is>
          <t>Pauschale</t>
        </is>
      </c>
      <c r="D4631" s="10" t="inlineStr">
        <is>
          <t>⚠ Manual erforderlich</t>
        </is>
      </c>
      <c r="E4631" s="11" t="inlineStr"/>
      <c r="F4631" s="11" t="n">
        <v>0</v>
      </c>
      <c r="G4631" s="11">
        <f>E4631-F4631</f>
        <v/>
      </c>
      <c r="H4631" s="11" t="n">
        <v>0</v>
      </c>
      <c r="I4631" s="11" t="n">
        <v>0</v>
      </c>
      <c r="J4631" s="11" t="n">
        <v>0</v>
      </c>
      <c r="K4631" s="4" t="inlineStr">
        <is>
          <t>Stundensätze eingeben</t>
        </is>
      </c>
    </row>
    <row r="4632">
      <c r="A4632" s="4" t="inlineStr">
        <is>
          <t>7325 IKEA-PLA-Hamburg-Schnelsen</t>
        </is>
      </c>
      <c r="B4632" s="4" t="inlineStr">
        <is>
          <t>● ANG (p) LP 7 - Mitwirkung bei der Vergabe</t>
        </is>
      </c>
      <c r="C4632" s="4" t="inlineStr">
        <is>
          <t>Pauschale</t>
        </is>
      </c>
      <c r="D4632" s="10" t="inlineStr">
        <is>
          <t>⚠ Manual erforderlich</t>
        </is>
      </c>
      <c r="E4632" s="11" t="inlineStr"/>
      <c r="F4632" s="11" t="n">
        <v>0</v>
      </c>
      <c r="G4632" s="11">
        <f>E4632-F4632</f>
        <v/>
      </c>
      <c r="H4632" s="11" t="n">
        <v>0</v>
      </c>
      <c r="I4632" s="11" t="n">
        <v>0</v>
      </c>
      <c r="J4632" s="11" t="n">
        <v>0</v>
      </c>
      <c r="K4632" s="4" t="inlineStr">
        <is>
          <t>Stundensätze eingeben</t>
        </is>
      </c>
    </row>
    <row r="4633">
      <c r="A4633" s="4" t="inlineStr">
        <is>
          <t>7325 IKEA-PLA-Hamburg-Schnelsen</t>
        </is>
      </c>
      <c r="B4633" s="4" t="inlineStr">
        <is>
          <t>● ANG (p) LP 8 - Objektüberwachung – Bauüberwachung</t>
        </is>
      </c>
      <c r="C4633" s="4" t="inlineStr">
        <is>
          <t>Pauschale</t>
        </is>
      </c>
      <c r="D4633" s="10" t="inlineStr">
        <is>
          <t>⚠ Manual erforderlich</t>
        </is>
      </c>
      <c r="E4633" s="11" t="inlineStr"/>
      <c r="F4633" s="11" t="n">
        <v>0</v>
      </c>
      <c r="G4633" s="11">
        <f>E4633-F4633</f>
        <v/>
      </c>
      <c r="H4633" s="11" t="n">
        <v>0</v>
      </c>
      <c r="I4633" s="11" t="n">
        <v>0</v>
      </c>
      <c r="J4633" s="11" t="n">
        <v>0</v>
      </c>
      <c r="K4633" s="4" t="inlineStr">
        <is>
          <t>Stundensätze eingeben</t>
        </is>
      </c>
    </row>
    <row r="4634">
      <c r="A4634" s="4" t="inlineStr">
        <is>
          <t>7325 IKEA-PLA-Hamburg-Schnelsen</t>
        </is>
      </c>
      <c r="B4634" s="4" t="inlineStr">
        <is>
          <t>● ANG (a.N.) Leistungen auf Nachweis</t>
        </is>
      </c>
      <c r="C4634" s="4" t="inlineStr">
        <is>
          <t>Nachweis</t>
        </is>
      </c>
      <c r="D4634" s="10" t="inlineStr">
        <is>
          <t>⚠ Manual erforderlich</t>
        </is>
      </c>
      <c r="E4634" s="11" t="inlineStr"/>
      <c r="F4634" s="11" t="n">
        <v>0</v>
      </c>
      <c r="G4634" s="11">
        <f>E4634-F4634</f>
        <v/>
      </c>
      <c r="H4634" s="11" t="n">
        <v/>
      </c>
      <c r="I4634" s="11" t="n">
        <v/>
      </c>
      <c r="J4634" s="11" t="n">
        <v/>
      </c>
      <c r="K4634" s="4" t="inlineStr">
        <is>
          <t>Stundensätze eingeben</t>
        </is>
      </c>
    </row>
    <row r="4635">
      <c r="A4635" s="4" t="inlineStr">
        <is>
          <t>7325 IKEA-PLA-Hamburg-Schnelsen</t>
        </is>
      </c>
      <c r="B4635" s="4" t="inlineStr">
        <is>
          <t>● NAT (p) Pos.1 NAT Erstellung 3D-Sprinklerzentrale</t>
        </is>
      </c>
      <c r="C4635" s="4" t="inlineStr">
        <is>
          <t>Pauschale</t>
        </is>
      </c>
      <c r="D4635" s="10" t="inlineStr">
        <is>
          <t>⚠ Manual erforderlich</t>
        </is>
      </c>
      <c r="E4635" s="11" t="inlineStr"/>
      <c r="F4635" s="11" t="n">
        <v>0</v>
      </c>
      <c r="G4635" s="11">
        <f>E4635-F4635</f>
        <v/>
      </c>
      <c r="H4635" s="11" t="n">
        <v>0</v>
      </c>
      <c r="I4635" s="11" t="n">
        <v>0</v>
      </c>
      <c r="J4635" s="11" t="n">
        <v>0</v>
      </c>
      <c r="K4635" s="4" t="inlineStr">
        <is>
          <t>Stundensätze eingeben</t>
        </is>
      </c>
    </row>
    <row r="4636">
      <c r="A4636" s="4" t="inlineStr">
        <is>
          <t>7325 IKEA-PLA-Hamburg-Schnelsen</t>
        </is>
      </c>
      <c r="B4636" s="4" t="inlineStr">
        <is>
          <t>● NAT (p) Pos.2 NAT LPH 2 - Erst.Konzept 'Verbrennungsluft f. Dieselmotor Sprinklerpumpe'</t>
        </is>
      </c>
      <c r="C4636" s="4" t="inlineStr">
        <is>
          <t>Pauschale</t>
        </is>
      </c>
      <c r="D4636" s="10" t="inlineStr">
        <is>
          <t>⚠ Manual erforderlich</t>
        </is>
      </c>
      <c r="E4636" s="11" t="inlineStr"/>
      <c r="F4636" s="11" t="n">
        <v>0</v>
      </c>
      <c r="G4636" s="11">
        <f>E4636-F4636</f>
        <v/>
      </c>
      <c r="H4636" s="11" t="n">
        <v>0</v>
      </c>
      <c r="I4636" s="11" t="n">
        <v>0</v>
      </c>
      <c r="J4636" s="11" t="n">
        <v>0</v>
      </c>
      <c r="K4636" s="4" t="inlineStr">
        <is>
          <t>Stundensätze eingeben</t>
        </is>
      </c>
    </row>
    <row r="4637">
      <c r="A4637" s="4" t="inlineStr">
        <is>
          <t>7325 IKEA-PLA-Hamburg-Schnelsen</t>
        </is>
      </c>
      <c r="B4637" s="4" t="inlineStr">
        <is>
          <t>● NAT ADM</t>
        </is>
      </c>
      <c r="C4637" s="9" t="inlineStr">
        <is>
          <t>Unbekannt</t>
        </is>
      </c>
      <c r="D4637" s="10" t="inlineStr">
        <is>
          <t>⚠ Manual erforderlich</t>
        </is>
      </c>
      <c r="E4637" s="11" t="inlineStr"/>
      <c r="F4637" s="11" t="n">
        <v>0</v>
      </c>
      <c r="G4637" s="11">
        <f>E4637-F4637</f>
        <v/>
      </c>
      <c r="H4637" s="11" t="n">
        <v/>
      </c>
      <c r="I4637" s="11" t="n">
        <v/>
      </c>
      <c r="J4637" s="11" t="n">
        <v/>
      </c>
      <c r="K4637" s="4" t="inlineStr">
        <is>
          <t>Abrechnungsart wählen; Stundensätze eingeben</t>
        </is>
      </c>
    </row>
    <row r="4638">
      <c r="A4638" s="4" t="inlineStr">
        <is>
          <t>7328 LAER-formica-BSK-Lageranalage-Eilinger-Kamp-Menden</t>
        </is>
      </c>
      <c r="B4638" s="4" t="inlineStr">
        <is>
          <t>● (p) Pos. 1 Erstellung BSK</t>
        </is>
      </c>
      <c r="C4638" s="4" t="inlineStr">
        <is>
          <t>Pauschale</t>
        </is>
      </c>
      <c r="D4638" s="10" t="inlineStr">
        <is>
          <t>⚠ Manual erforderlich</t>
        </is>
      </c>
      <c r="E4638" s="11" t="inlineStr"/>
      <c r="F4638" s="11" t="n">
        <v>0</v>
      </c>
      <c r="G4638" s="11">
        <f>E4638-F4638</f>
        <v/>
      </c>
      <c r="H4638" s="11" t="n">
        <v>0</v>
      </c>
      <c r="I4638" s="11" t="n">
        <v>0</v>
      </c>
      <c r="J4638" s="11" t="n">
        <v>0</v>
      </c>
      <c r="K4638" s="4" t="inlineStr">
        <is>
          <t>Stundensätze eingeben</t>
        </is>
      </c>
    </row>
    <row r="4639">
      <c r="A4639" s="4" t="inlineStr">
        <is>
          <t>7328 LAER-formica-BSK-Lageranalage-Eilinger-Kamp-Menden</t>
        </is>
      </c>
      <c r="B4639" s="4" t="inlineStr">
        <is>
          <t>● (aN) Pos. 2 Abstimmungstermin Bauaufsichtsbehörden</t>
        </is>
      </c>
      <c r="C4639" s="4" t="inlineStr">
        <is>
          <t>Nachweis</t>
        </is>
      </c>
      <c r="D4639" s="10" t="inlineStr">
        <is>
          <t>⚠ Manual erforderlich</t>
        </is>
      </c>
      <c r="E4639" s="11" t="inlineStr"/>
      <c r="F4639" s="11" t="n">
        <v>0</v>
      </c>
      <c r="G4639" s="11">
        <f>E4639-F4639</f>
        <v/>
      </c>
      <c r="H4639" s="11" t="n">
        <v/>
      </c>
      <c r="I4639" s="11" t="n">
        <v/>
      </c>
      <c r="J4639" s="11" t="n">
        <v/>
      </c>
      <c r="K4639" s="4" t="inlineStr">
        <is>
          <t>Stundensätze eingeben</t>
        </is>
      </c>
    </row>
    <row r="4640">
      <c r="A4640" s="4" t="inlineStr">
        <is>
          <t>7330 LBB-IO-AHO-Truppenübungsplatz-NB-Schießhaus-Smith-Barracks-Baumholder</t>
        </is>
      </c>
      <c r="B4640" s="4" t="inlineStr">
        <is>
          <t>● (p) LP 1</t>
        </is>
      </c>
      <c r="C4640" s="4" t="inlineStr">
        <is>
          <t>Pauschale</t>
        </is>
      </c>
      <c r="D4640" s="10" t="inlineStr">
        <is>
          <t>⚠ Manual erforderlich</t>
        </is>
      </c>
      <c r="E4640" s="11" t="inlineStr"/>
      <c r="F4640" s="11" t="n">
        <v>0</v>
      </c>
      <c r="G4640" s="11">
        <f>E4640-F4640</f>
        <v/>
      </c>
      <c r="H4640" s="11" t="n">
        <v>0</v>
      </c>
      <c r="I4640" s="11" t="n">
        <v>0</v>
      </c>
      <c r="J4640" s="11" t="n">
        <v>0</v>
      </c>
      <c r="K4640" s="4" t="inlineStr">
        <is>
          <t>Stundensätze eingeben</t>
        </is>
      </c>
    </row>
    <row r="4641">
      <c r="A4641" s="4" t="inlineStr">
        <is>
          <t>7330 LBB-IO-AHO-Truppenübungsplatz-NB-Schießhaus-Smith-Barracks-Baumholder</t>
        </is>
      </c>
      <c r="B4641" s="4" t="inlineStr">
        <is>
          <t>● (p) LP 2</t>
        </is>
      </c>
      <c r="C4641" s="4" t="inlineStr">
        <is>
          <t>Pauschale</t>
        </is>
      </c>
      <c r="D4641" s="10" t="inlineStr">
        <is>
          <t>⚠ Manual erforderlich</t>
        </is>
      </c>
      <c r="E4641" s="11" t="inlineStr"/>
      <c r="F4641" s="11" t="n">
        <v>0</v>
      </c>
      <c r="G4641" s="11">
        <f>E4641-F4641</f>
        <v/>
      </c>
      <c r="H4641" s="11" t="n">
        <v>0</v>
      </c>
      <c r="I4641" s="11" t="n">
        <v>0</v>
      </c>
      <c r="J4641" s="11" t="n">
        <v>0</v>
      </c>
      <c r="K4641" s="4" t="inlineStr">
        <is>
          <t>Stundensätze eingeben</t>
        </is>
      </c>
    </row>
    <row r="4642">
      <c r="A4642" s="4" t="inlineStr">
        <is>
          <t>7330 LBB-IO-AHO-Truppenübungsplatz-NB-Schießhaus-Smith-Barracks-Baumholder</t>
        </is>
      </c>
      <c r="B4642" s="4" t="inlineStr">
        <is>
          <t>● (p) LP 3</t>
        </is>
      </c>
      <c r="C4642" s="4" t="inlineStr">
        <is>
          <t>Pauschale</t>
        </is>
      </c>
      <c r="D4642" s="10" t="inlineStr">
        <is>
          <t>⚠ Manual erforderlich</t>
        </is>
      </c>
      <c r="E4642" s="11" t="inlineStr"/>
      <c r="F4642" s="11" t="n">
        <v>0</v>
      </c>
      <c r="G4642" s="11">
        <f>E4642-F4642</f>
        <v/>
      </c>
      <c r="H4642" s="11" t="n">
        <v>0</v>
      </c>
      <c r="I4642" s="11" t="n">
        <v>0</v>
      </c>
      <c r="J4642" s="11" t="n">
        <v>0</v>
      </c>
      <c r="K4642" s="4" t="inlineStr">
        <is>
          <t>Stundensätze eingeben</t>
        </is>
      </c>
    </row>
    <row r="4643">
      <c r="A4643" s="4" t="inlineStr">
        <is>
          <t>7330 LBB-IO-AHO-Truppenübungsplatz-NB-Schießhaus-Smith-Barracks-Baumholder</t>
        </is>
      </c>
      <c r="B4643" s="4" t="inlineStr">
        <is>
          <t>● (p) LP 4</t>
        </is>
      </c>
      <c r="C4643" s="4" t="inlineStr">
        <is>
          <t>Pauschale</t>
        </is>
      </c>
      <c r="D4643" s="10" t="inlineStr">
        <is>
          <t>⚠ Manual erforderlich</t>
        </is>
      </c>
      <c r="E4643" s="11" t="inlineStr"/>
      <c r="F4643" s="11" t="n">
        <v>0</v>
      </c>
      <c r="G4643" s="11">
        <f>E4643-F4643</f>
        <v/>
      </c>
      <c r="H4643" s="11" t="n">
        <v>0</v>
      </c>
      <c r="I4643" s="11" t="n">
        <v>0</v>
      </c>
      <c r="J4643" s="11" t="n">
        <v>0</v>
      </c>
      <c r="K4643" s="4" t="inlineStr">
        <is>
          <t>Stundensätze eingeben</t>
        </is>
      </c>
    </row>
    <row r="4644">
      <c r="A4644" s="4" t="inlineStr">
        <is>
          <t>7330 LBB-IO-AHO-Truppenübungsplatz-NB-Schießhaus-Smith-Barracks-Baumholder</t>
        </is>
      </c>
      <c r="B4644" s="4" t="inlineStr">
        <is>
          <t>● (p) LP 5</t>
        </is>
      </c>
      <c r="C4644" s="4" t="inlineStr">
        <is>
          <t>Pauschale</t>
        </is>
      </c>
      <c r="D4644" s="10" t="inlineStr">
        <is>
          <t>⚠ Manual erforderlich</t>
        </is>
      </c>
      <c r="E4644" s="11" t="inlineStr"/>
      <c r="F4644" s="11" t="n">
        <v>0</v>
      </c>
      <c r="G4644" s="11">
        <f>E4644-F4644</f>
        <v/>
      </c>
      <c r="H4644" s="11" t="n">
        <v>0</v>
      </c>
      <c r="I4644" s="11" t="n">
        <v>0</v>
      </c>
      <c r="J4644" s="11" t="n">
        <v>0</v>
      </c>
      <c r="K4644" s="4" t="inlineStr">
        <is>
          <t>Stundensätze eingeben</t>
        </is>
      </c>
    </row>
    <row r="4645">
      <c r="A4645" s="4" t="inlineStr">
        <is>
          <t>7331 Tierarztpraxis-BTB-Elisabethenstr2-Memmingen</t>
        </is>
      </c>
      <c r="B4645" s="4" t="inlineStr">
        <is>
          <t>● (aN) Pos. 1 BSN + BTB</t>
        </is>
      </c>
      <c r="C4645" s="4" t="inlineStr">
        <is>
          <t>Nachweis</t>
        </is>
      </c>
      <c r="D4645" s="10" t="inlineStr">
        <is>
          <t>⚠ Manual erforderlich</t>
        </is>
      </c>
      <c r="E4645" s="11" t="inlineStr"/>
      <c r="F4645" s="11" t="n">
        <v>0</v>
      </c>
      <c r="G4645" s="11">
        <f>E4645-F4645</f>
        <v/>
      </c>
      <c r="H4645" s="11" t="n">
        <v/>
      </c>
      <c r="I4645" s="11" t="n">
        <v/>
      </c>
      <c r="J4645" s="11" t="n">
        <v/>
      </c>
      <c r="K4645" s="4" t="inlineStr">
        <is>
          <t>Stundensätze eingeben</t>
        </is>
      </c>
    </row>
    <row r="4646">
      <c r="A4646" s="4" t="inlineStr">
        <is>
          <t>7332 Niederberger-BTB-Obere-Hauptstr45-Kammlach</t>
        </is>
      </c>
      <c r="B4646" s="4" t="inlineStr">
        <is>
          <t>● (aN) Pos. 1 Brandschutztechnische Beratung inkl. Erstellung eines Brandschutznachweises</t>
        </is>
      </c>
      <c r="C4646" s="4" t="inlineStr">
        <is>
          <t>Nachweis</t>
        </is>
      </c>
      <c r="D4646" s="10" t="inlineStr">
        <is>
          <t>⚠ Manual erforderlich</t>
        </is>
      </c>
      <c r="E4646" s="11" t="inlineStr"/>
      <c r="F4646" s="11" t="n">
        <v>0</v>
      </c>
      <c r="G4646" s="11">
        <f>E4646-F4646</f>
        <v/>
      </c>
      <c r="H4646" s="11" t="n">
        <v/>
      </c>
      <c r="I4646" s="11" t="n">
        <v/>
      </c>
      <c r="J4646" s="11" t="n">
        <v/>
      </c>
      <c r="K4646" s="4" t="inlineStr">
        <is>
          <t>Stundensätze eingeben</t>
        </is>
      </c>
    </row>
    <row r="4647">
      <c r="A4647" s="4" t="inlineStr">
        <is>
          <t>7333 Altus-BSK-WEA-Offensen</t>
        </is>
      </c>
      <c r="B4647" s="4" t="inlineStr">
        <is>
          <t>● ANG (p) Pos. 1 BSK</t>
        </is>
      </c>
      <c r="C4647" s="4" t="inlineStr">
        <is>
          <t>Pauschale</t>
        </is>
      </c>
      <c r="D4647" s="10" t="inlineStr">
        <is>
          <t>⚠ Manual erforderlich</t>
        </is>
      </c>
      <c r="E4647" s="11" t="inlineStr"/>
      <c r="F4647" s="11" t="n">
        <v>0</v>
      </c>
      <c r="G4647" s="11">
        <f>E4647-F4647</f>
        <v/>
      </c>
      <c r="H4647" s="11" t="n">
        <v>0</v>
      </c>
      <c r="I4647" s="11" t="n">
        <v>0</v>
      </c>
      <c r="J4647" s="11" t="n">
        <v>0</v>
      </c>
      <c r="K4647" s="4" t="inlineStr">
        <is>
          <t>Stundensätze eingeben</t>
        </is>
      </c>
    </row>
    <row r="4648">
      <c r="A4648" s="4" t="inlineStr">
        <is>
          <t>7333 Altus-BSK-WEA-Offensen</t>
        </is>
      </c>
      <c r="B4648" s="4" t="inlineStr">
        <is>
          <t>● ANG (p) Pos. 2 Erarbeiten Lageplan (FWP&gt;CAD)</t>
        </is>
      </c>
      <c r="C4648" s="4" t="inlineStr">
        <is>
          <t>Pauschale</t>
        </is>
      </c>
      <c r="D4648" s="10" t="inlineStr">
        <is>
          <t>⚠ Manual erforderlich</t>
        </is>
      </c>
      <c r="E4648" s="11" t="inlineStr"/>
      <c r="F4648" s="11" t="n">
        <v>0</v>
      </c>
      <c r="G4648" s="11">
        <f>E4648-F4648</f>
        <v/>
      </c>
      <c r="H4648" s="11" t="n">
        <v>0</v>
      </c>
      <c r="I4648" s="11" t="n">
        <v>0</v>
      </c>
      <c r="J4648" s="11" t="n">
        <v>0</v>
      </c>
      <c r="K4648" s="4" t="inlineStr">
        <is>
          <t>Stundensätze eingeben</t>
        </is>
      </c>
    </row>
    <row r="4649">
      <c r="A4649" s="4" t="inlineStr">
        <is>
          <t>7333 Altus-BSK-WEA-Offensen</t>
        </is>
      </c>
      <c r="B4649" s="4" t="inlineStr">
        <is>
          <t>● NAT (p) Anpassung BSK + FWP</t>
        </is>
      </c>
      <c r="C4649" s="4" t="inlineStr">
        <is>
          <t>Pauschale</t>
        </is>
      </c>
      <c r="D4649" s="10" t="inlineStr">
        <is>
          <t>⚠ Manual erforderlich</t>
        </is>
      </c>
      <c r="E4649" s="11" t="inlineStr"/>
      <c r="F4649" s="11" t="n">
        <v>0</v>
      </c>
      <c r="G4649" s="11">
        <f>E4649-F4649</f>
        <v/>
      </c>
      <c r="H4649" s="11" t="n">
        <v>0</v>
      </c>
      <c r="I4649" s="11" t="n">
        <v>0</v>
      </c>
      <c r="J4649" s="11" t="n">
        <v>0</v>
      </c>
      <c r="K4649" s="4" t="inlineStr">
        <is>
          <t>Stundensätze eingeben</t>
        </is>
      </c>
    </row>
    <row r="4650">
      <c r="A4650" s="4" t="inlineStr">
        <is>
          <t>7334.01 BSO-Max-Planck-Straße-2-Kelkheim-Astro-Automaten</t>
        </is>
      </c>
      <c r="B4650" s="4" t="inlineStr">
        <is>
          <t>● (aN) Pos.1 Erstellung BSO in den Teilen A und B für diverse Liegenschaften</t>
        </is>
      </c>
      <c r="C4650" s="4" t="inlineStr">
        <is>
          <t>Nachweis</t>
        </is>
      </c>
      <c r="D4650" s="10" t="inlineStr">
        <is>
          <t>⚠ Manual erforderlich</t>
        </is>
      </c>
      <c r="E4650" s="11" t="inlineStr"/>
      <c r="F4650" s="11" t="n">
        <v>0</v>
      </c>
      <c r="G4650" s="11">
        <f>E4650-F4650</f>
        <v/>
      </c>
      <c r="H4650" s="11" t="n">
        <v/>
      </c>
      <c r="I4650" s="11" t="n">
        <v/>
      </c>
      <c r="J4650" s="11" t="n">
        <v/>
      </c>
      <c r="K4650" s="4" t="inlineStr">
        <is>
          <t>Stundensätze eingeben</t>
        </is>
      </c>
    </row>
    <row r="4651">
      <c r="A4651" s="4" t="inlineStr">
        <is>
          <t>7334.02 BSO-Am-Quarzitbruch-17-Eppstein-Astro-Automaten</t>
        </is>
      </c>
      <c r="B4651" s="4" t="inlineStr">
        <is>
          <t>● (aN) Pos.1 Erstellung BSO in den Teilen A und B für diverse Liegenschaften</t>
        </is>
      </c>
      <c r="C4651" s="4" t="inlineStr">
        <is>
          <t>Nachweis</t>
        </is>
      </c>
      <c r="D4651" s="10" t="inlineStr">
        <is>
          <t>⚠ Manual erforderlich</t>
        </is>
      </c>
      <c r="E4651" s="11" t="inlineStr"/>
      <c r="F4651" s="11" t="n">
        <v>0</v>
      </c>
      <c r="G4651" s="11">
        <f>E4651-F4651</f>
        <v/>
      </c>
      <c r="H4651" s="11" t="n">
        <v/>
      </c>
      <c r="I4651" s="11" t="n">
        <v/>
      </c>
      <c r="J4651" s="11" t="n">
        <v/>
      </c>
      <c r="K4651" s="4" t="inlineStr">
        <is>
          <t>Stundensätze eingeben</t>
        </is>
      </c>
    </row>
    <row r="4652">
      <c r="A4652" s="4" t="inlineStr">
        <is>
          <t>7334.03 BSO-Limburger-Straße-39-Bad Camberg-Astro-Automaten</t>
        </is>
      </c>
      <c r="B4652" s="4" t="inlineStr">
        <is>
          <t>● (aN) Pos.1 Erstellung BSO in den Teilen A und B für diverse Liegenschaften</t>
        </is>
      </c>
      <c r="C4652" s="4" t="inlineStr">
        <is>
          <t>Nachweis</t>
        </is>
      </c>
      <c r="D4652" s="10" t="inlineStr">
        <is>
          <t>⚠ Manual erforderlich</t>
        </is>
      </c>
      <c r="E4652" s="11" t="inlineStr"/>
      <c r="F4652" s="11" t="n">
        <v>0</v>
      </c>
      <c r="G4652" s="11">
        <f>E4652-F4652</f>
        <v/>
      </c>
      <c r="H4652" s="11" t="n">
        <v/>
      </c>
      <c r="I4652" s="11" t="n">
        <v/>
      </c>
      <c r="J4652" s="11" t="n">
        <v/>
      </c>
      <c r="K4652" s="4" t="inlineStr">
        <is>
          <t>Stundensätze eingeben</t>
        </is>
      </c>
    </row>
    <row r="4653">
      <c r="A4653" s="4" t="inlineStr">
        <is>
          <t>7334.04 BSO-Robert-Bosch-Straße-9-Bad Camberg-Astro-Automaten</t>
        </is>
      </c>
      <c r="B4653" s="4" t="inlineStr">
        <is>
          <t>● (aN) Pos.1 Erstellung BSO in den Teilen A und B für diverse Liegenschaften</t>
        </is>
      </c>
      <c r="C4653" s="4" t="inlineStr">
        <is>
          <t>Nachweis</t>
        </is>
      </c>
      <c r="D4653" s="10" t="inlineStr">
        <is>
          <t>⚠ Manual erforderlich</t>
        </is>
      </c>
      <c r="E4653" s="11" t="inlineStr"/>
      <c r="F4653" s="11" t="n">
        <v>0</v>
      </c>
      <c r="G4653" s="11">
        <f>E4653-F4653</f>
        <v/>
      </c>
      <c r="H4653" s="11" t="n">
        <v/>
      </c>
      <c r="I4653" s="11" t="n">
        <v/>
      </c>
      <c r="J4653" s="11" t="n">
        <v/>
      </c>
      <c r="K4653" s="4" t="inlineStr">
        <is>
          <t>Stundensätze eingeben</t>
        </is>
      </c>
    </row>
    <row r="4654">
      <c r="A4654" s="4" t="inlineStr">
        <is>
          <t>7334.05 BSO-Strassheimer-Straße-22-Friedberg-Astro-Automaten</t>
        </is>
      </c>
      <c r="B4654" s="4" t="inlineStr">
        <is>
          <t>● (aN) Pos.1 Erstellung BSO in den Teilen A und B für diverse Liegenschaften</t>
        </is>
      </c>
      <c r="C4654" s="4" t="inlineStr">
        <is>
          <t>Nachweis</t>
        </is>
      </c>
      <c r="D4654" s="10" t="inlineStr">
        <is>
          <t>⚠ Manual erforderlich</t>
        </is>
      </c>
      <c r="E4654" s="11" t="inlineStr"/>
      <c r="F4654" s="11" t="n">
        <v>0</v>
      </c>
      <c r="G4654" s="11">
        <f>E4654-F4654</f>
        <v/>
      </c>
      <c r="H4654" s="11" t="n">
        <v/>
      </c>
      <c r="I4654" s="11" t="n">
        <v/>
      </c>
      <c r="J4654" s="11" t="n">
        <v/>
      </c>
      <c r="K4654" s="4" t="inlineStr">
        <is>
          <t>Stundensätze eingeben</t>
        </is>
      </c>
    </row>
    <row r="4655">
      <c r="A4655" s="4" t="inlineStr">
        <is>
          <t>7334.06 BSO-August-Winter-Straße-1-Friedrichsdorf-Astro-Automaten</t>
        </is>
      </c>
      <c r="B4655" s="4" t="inlineStr">
        <is>
          <t>● (aN) Pos.1 Erstellung BSO in den Teilen A und B für diverse Liegenschaften</t>
        </is>
      </c>
      <c r="C4655" s="4" t="inlineStr">
        <is>
          <t>Nachweis</t>
        </is>
      </c>
      <c r="D4655" s="10" t="inlineStr">
        <is>
          <t>⚠ Manual erforderlich</t>
        </is>
      </c>
      <c r="E4655" s="11" t="inlineStr"/>
      <c r="F4655" s="11" t="n">
        <v>0</v>
      </c>
      <c r="G4655" s="11">
        <f>E4655-F4655</f>
        <v/>
      </c>
      <c r="H4655" s="11" t="n">
        <v/>
      </c>
      <c r="I4655" s="11" t="n">
        <v/>
      </c>
      <c r="J4655" s="11" t="n">
        <v/>
      </c>
      <c r="K4655" s="4" t="inlineStr">
        <is>
          <t>Stundensätze eingeben</t>
        </is>
      </c>
    </row>
    <row r="4656">
      <c r="A4656" s="4" t="inlineStr">
        <is>
          <t>7334.07 BSO-Bahnstraße-42-46-Friedrichsdorf-Astro-Automaten</t>
        </is>
      </c>
      <c r="B4656" s="4" t="inlineStr">
        <is>
          <t>● (aN) Pos.1 Erstellung BSO in den Teilen A und B für diverse Liegenschaften</t>
        </is>
      </c>
      <c r="C4656" s="4" t="inlineStr">
        <is>
          <t>Nachweis</t>
        </is>
      </c>
      <c r="D4656" s="10" t="inlineStr">
        <is>
          <t>⚠ Manual erforderlich</t>
        </is>
      </c>
      <c r="E4656" s="11" t="inlineStr"/>
      <c r="F4656" s="11" t="n">
        <v>0</v>
      </c>
      <c r="G4656" s="11">
        <f>E4656-F4656</f>
        <v/>
      </c>
      <c r="H4656" s="11" t="n">
        <v/>
      </c>
      <c r="I4656" s="11" t="n">
        <v/>
      </c>
      <c r="J4656" s="11" t="n">
        <v/>
      </c>
      <c r="K4656" s="4" t="inlineStr">
        <is>
          <t>Stundensätze eingeben</t>
        </is>
      </c>
    </row>
    <row r="4657">
      <c r="A4657" s="4" t="inlineStr">
        <is>
          <t>7334.08 BSO-Houiller-Platz-15-17-Friedrichsdorf-Astro-Automaten</t>
        </is>
      </c>
      <c r="B4657" s="4" t="inlineStr">
        <is>
          <t>● (aN) Pos.1 Erstellung BSO in den Teilen A und B für diverse Liegenschaften</t>
        </is>
      </c>
      <c r="C4657" s="4" t="inlineStr">
        <is>
          <t>Nachweis</t>
        </is>
      </c>
      <c r="D4657" s="10" t="inlineStr">
        <is>
          <t>⚠ Manual erforderlich</t>
        </is>
      </c>
      <c r="E4657" s="11" t="inlineStr"/>
      <c r="F4657" s="11" t="n">
        <v>0</v>
      </c>
      <c r="G4657" s="11">
        <f>E4657-F4657</f>
        <v/>
      </c>
      <c r="H4657" s="11" t="n">
        <v/>
      </c>
      <c r="I4657" s="11" t="n">
        <v/>
      </c>
      <c r="J4657" s="11" t="n">
        <v/>
      </c>
      <c r="K4657" s="4" t="inlineStr">
        <is>
          <t>Stundensätze eingeben</t>
        </is>
      </c>
    </row>
    <row r="4658">
      <c r="A4658" s="4" t="inlineStr">
        <is>
          <t>7334.09 BSO-Köppener-Straße-96-Friedrichsdorf-Astro-Automaten</t>
        </is>
      </c>
      <c r="B4658" s="4" t="inlineStr">
        <is>
          <t>● (aN) Pos.1 Erstellung BSO in den Teilen A und B für diverse Liegenschaften</t>
        </is>
      </c>
      <c r="C4658" s="4" t="inlineStr">
        <is>
          <t>Nachweis</t>
        </is>
      </c>
      <c r="D4658" s="10" t="inlineStr">
        <is>
          <t>⚠ Manual erforderlich</t>
        </is>
      </c>
      <c r="E4658" s="11" t="inlineStr"/>
      <c r="F4658" s="11" t="n">
        <v>0</v>
      </c>
      <c r="G4658" s="11">
        <f>E4658-F4658</f>
        <v/>
      </c>
      <c r="H4658" s="11" t="n">
        <v/>
      </c>
      <c r="I4658" s="11" t="n">
        <v/>
      </c>
      <c r="J4658" s="11" t="n">
        <v/>
      </c>
      <c r="K4658" s="4" t="inlineStr">
        <is>
          <t>Stundensätze eingeben</t>
        </is>
      </c>
    </row>
    <row r="4659">
      <c r="A4659" s="4" t="inlineStr">
        <is>
          <t>7334.10 BSO-Limburger-Straße-53-Idstein-Astro-Automaten</t>
        </is>
      </c>
      <c r="B4659" s="4" t="inlineStr">
        <is>
          <t>● (aN) Pos.1 Erstellung BSO in den Teilen A und B für diverse Liegenschaften</t>
        </is>
      </c>
      <c r="C4659" s="4" t="inlineStr">
        <is>
          <t>Nachweis</t>
        </is>
      </c>
      <c r="D4659" s="10" t="inlineStr">
        <is>
          <t>⚠ Manual erforderlich</t>
        </is>
      </c>
      <c r="E4659" s="11" t="inlineStr"/>
      <c r="F4659" s="11" t="n">
        <v>0</v>
      </c>
      <c r="G4659" s="11">
        <f>E4659-F4659</f>
        <v/>
      </c>
      <c r="H4659" s="11" t="n">
        <v/>
      </c>
      <c r="I4659" s="11" t="n">
        <v/>
      </c>
      <c r="J4659" s="11" t="n">
        <v/>
      </c>
      <c r="K4659" s="4" t="inlineStr">
        <is>
          <t>Stundensätze eingeben</t>
        </is>
      </c>
    </row>
    <row r="4660">
      <c r="A4660" s="4" t="inlineStr">
        <is>
          <t>7334.11 BSO-Ferniestraße-5-Linden-Astro-Automaten</t>
        </is>
      </c>
      <c r="B4660" s="4" t="inlineStr">
        <is>
          <t>● (aN) Pos.1 Erstellung BSO in den Teilen A und B für diverse Liegenschaften</t>
        </is>
      </c>
      <c r="C4660" s="4" t="inlineStr">
        <is>
          <t>Nachweis</t>
        </is>
      </c>
      <c r="D4660" s="10" t="inlineStr">
        <is>
          <t>⚠ Manual erforderlich</t>
        </is>
      </c>
      <c r="E4660" s="11" t="inlineStr"/>
      <c r="F4660" s="11" t="n">
        <v>0</v>
      </c>
      <c r="G4660" s="11">
        <f>E4660-F4660</f>
        <v/>
      </c>
      <c r="H4660" s="11" t="n">
        <v/>
      </c>
      <c r="I4660" s="11" t="n">
        <v/>
      </c>
      <c r="J4660" s="11" t="n">
        <v/>
      </c>
      <c r="K4660" s="4" t="inlineStr">
        <is>
          <t>Stundensätze eingeben</t>
        </is>
      </c>
    </row>
    <row r="4661">
      <c r="A4661" s="4" t="inlineStr">
        <is>
          <t>7334.12 BSO-Robert-Bosch-Straße-12-Neu-Anspach-Astro-Automaten</t>
        </is>
      </c>
      <c r="B4661" s="4" t="inlineStr">
        <is>
          <t>● (aN) Pos.1 Erstellung BSO in den Teilen A und B für diverse Liegenschaften</t>
        </is>
      </c>
      <c r="C4661" s="4" t="inlineStr">
        <is>
          <t>Nachweis</t>
        </is>
      </c>
      <c r="D4661" s="10" t="inlineStr">
        <is>
          <t>⚠ Manual erforderlich</t>
        </is>
      </c>
      <c r="E4661" s="11" t="inlineStr"/>
      <c r="F4661" s="11" t="n">
        <v>0</v>
      </c>
      <c r="G4661" s="11">
        <f>E4661-F4661</f>
        <v/>
      </c>
      <c r="H4661" s="11" t="n">
        <v/>
      </c>
      <c r="I4661" s="11" t="n">
        <v/>
      </c>
      <c r="J4661" s="11" t="n">
        <v/>
      </c>
      <c r="K4661" s="4" t="inlineStr">
        <is>
          <t>Stundensätze eingeben</t>
        </is>
      </c>
    </row>
    <row r="4662">
      <c r="A4662" s="4" t="inlineStr">
        <is>
          <t>7334.13 BSO-Hans-Mess-Straße-2b-Oberstedten-Astro-Automaten</t>
        </is>
      </c>
      <c r="B4662" s="4" t="inlineStr">
        <is>
          <t>● (aN) Pos.1 Erstellung BSO in den Teilen A und B für diverse Liegenschaften</t>
        </is>
      </c>
      <c r="C4662" s="4" t="inlineStr">
        <is>
          <t>Nachweis</t>
        </is>
      </c>
      <c r="D4662" s="10" t="inlineStr">
        <is>
          <t>⚠ Manual erforderlich</t>
        </is>
      </c>
      <c r="E4662" s="11" t="inlineStr"/>
      <c r="F4662" s="11" t="n">
        <v>0</v>
      </c>
      <c r="G4662" s="11">
        <f>E4662-F4662</f>
        <v/>
      </c>
      <c r="H4662" s="11" t="n">
        <v/>
      </c>
      <c r="I4662" s="11" t="n">
        <v/>
      </c>
      <c r="J4662" s="11" t="n">
        <v/>
      </c>
      <c r="K4662" s="4" t="inlineStr">
        <is>
          <t>Stundensätze eingeben</t>
        </is>
      </c>
    </row>
    <row r="4663">
      <c r="A4663" s="4" t="inlineStr">
        <is>
          <t>7334.14 BSO-Zimmersmühlweg-14-18-Oberursel-Astro-Automaten</t>
        </is>
      </c>
      <c r="B4663" s="4" t="inlineStr">
        <is>
          <t>● (aN) Pos.1 Erstellung BSO in den Teilen A und B für diverse Liegenschaften</t>
        </is>
      </c>
      <c r="C4663" s="4" t="inlineStr">
        <is>
          <t>Nachweis</t>
        </is>
      </c>
      <c r="D4663" s="10" t="inlineStr">
        <is>
          <t>⚠ Manual erforderlich</t>
        </is>
      </c>
      <c r="E4663" s="11" t="inlineStr"/>
      <c r="F4663" s="11" t="n">
        <v>0</v>
      </c>
      <c r="G4663" s="11">
        <f>E4663-F4663</f>
        <v/>
      </c>
      <c r="H4663" s="11" t="n">
        <v/>
      </c>
      <c r="I4663" s="11" t="n">
        <v/>
      </c>
      <c r="J4663" s="11" t="n">
        <v/>
      </c>
      <c r="K4663" s="4" t="inlineStr">
        <is>
          <t>Stundensätze eingeben</t>
        </is>
      </c>
    </row>
    <row r="4664">
      <c r="A4664" s="4" t="inlineStr">
        <is>
          <t>7334.15 BSO-Am-Riedborn-24-Usingen-Astro-Automaten</t>
        </is>
      </c>
      <c r="B4664" s="4" t="inlineStr">
        <is>
          <t>● (aN) Pos.1 Erstellung BSO in den Teilen A und B für diverse Liegenschaften</t>
        </is>
      </c>
      <c r="C4664" s="4" t="inlineStr">
        <is>
          <t>Nachweis</t>
        </is>
      </c>
      <c r="D4664" s="10" t="inlineStr">
        <is>
          <t>⚠ Manual erforderlich</t>
        </is>
      </c>
      <c r="E4664" s="11" t="inlineStr"/>
      <c r="F4664" s="11" t="n">
        <v>0</v>
      </c>
      <c r="G4664" s="11">
        <f>E4664-F4664</f>
        <v/>
      </c>
      <c r="H4664" s="11" t="n">
        <v/>
      </c>
      <c r="I4664" s="11" t="n">
        <v/>
      </c>
      <c r="J4664" s="11" t="n">
        <v/>
      </c>
      <c r="K4664" s="4" t="inlineStr">
        <is>
          <t>Stundensätze eingeben</t>
        </is>
      </c>
    </row>
    <row r="4665">
      <c r="A4665" s="4" t="inlineStr">
        <is>
          <t>7334.16 BSO-In-den-Ensterwiesen-1-Weilrod-Astro-Automaten</t>
        </is>
      </c>
      <c r="B4665" s="4" t="inlineStr">
        <is>
          <t>● (aN) Pos.1 Erstellung BSO in den Teilen A und B für diverse Liegenschaften</t>
        </is>
      </c>
      <c r="C4665" s="4" t="inlineStr">
        <is>
          <t>Nachweis</t>
        </is>
      </c>
      <c r="D4665" s="10" t="inlineStr">
        <is>
          <t>⚠ Manual erforderlich</t>
        </is>
      </c>
      <c r="E4665" s="11" t="inlineStr"/>
      <c r="F4665" s="11" t="n">
        <v>0</v>
      </c>
      <c r="G4665" s="11">
        <f>E4665-F4665</f>
        <v/>
      </c>
      <c r="H4665" s="11" t="n">
        <v/>
      </c>
      <c r="I4665" s="11" t="n">
        <v/>
      </c>
      <c r="J4665" s="11" t="n">
        <v/>
      </c>
      <c r="K4665" s="4" t="inlineStr">
        <is>
          <t>Stundensätze eingeben</t>
        </is>
      </c>
    </row>
    <row r="4666">
      <c r="A4666" s="4" t="inlineStr">
        <is>
          <t>7335 BSK-Schnackenburgallee-49-Hamburg-Lagerhalle</t>
        </is>
      </c>
      <c r="B4666" s="4" t="inlineStr">
        <is>
          <t>● (p) Pos.1 Erstellung BSK</t>
        </is>
      </c>
      <c r="C4666" s="4" t="inlineStr">
        <is>
          <t>Pauschale</t>
        </is>
      </c>
      <c r="D4666" s="10" t="inlineStr">
        <is>
          <t>⚠ Manual erforderlich</t>
        </is>
      </c>
      <c r="E4666" s="11" t="inlineStr"/>
      <c r="F4666" s="11" t="n">
        <v>0</v>
      </c>
      <c r="G4666" s="11">
        <f>E4666-F4666</f>
        <v/>
      </c>
      <c r="H4666" s="11" t="n">
        <v>0</v>
      </c>
      <c r="I4666" s="11" t="n">
        <v>0</v>
      </c>
      <c r="J4666" s="11" t="n">
        <v>0</v>
      </c>
      <c r="K4666" s="4" t="inlineStr">
        <is>
          <t>Stundensätze eingeben</t>
        </is>
      </c>
    </row>
    <row r="4667">
      <c r="A4667" s="4" t="inlineStr">
        <is>
          <t>7335 BSK-Schnackenburgallee-49-Hamburg-Lagerhalle</t>
        </is>
      </c>
      <c r="B4667" s="4" t="inlineStr">
        <is>
          <t>● (aN) Pos.2 Löschanlagenkonzept</t>
        </is>
      </c>
      <c r="C4667" s="4" t="inlineStr">
        <is>
          <t>Nachweis</t>
        </is>
      </c>
      <c r="D4667" s="10" t="inlineStr">
        <is>
          <t>⚠ Manual erforderlich</t>
        </is>
      </c>
      <c r="E4667" s="11" t="inlineStr"/>
      <c r="F4667" s="11" t="n">
        <v>0</v>
      </c>
      <c r="G4667" s="11">
        <f>E4667-F4667</f>
        <v/>
      </c>
      <c r="H4667" s="11" t="n">
        <v/>
      </c>
      <c r="I4667" s="11" t="n">
        <v/>
      </c>
      <c r="J4667" s="11" t="n">
        <v/>
      </c>
      <c r="K4667" s="4" t="inlineStr">
        <is>
          <t>Stundensätze eingeben</t>
        </is>
      </c>
    </row>
    <row r="4668">
      <c r="A4668" s="4" t="inlineStr">
        <is>
          <t>7337.01 FWP-Friedrichstraße-34-38-Wiesbaden-Haus-P&amp;C</t>
        </is>
      </c>
      <c r="B4668" s="4" t="inlineStr">
        <is>
          <t>● (p) Pos.1 Digitalisierung v. Planunterlagen</t>
        </is>
      </c>
      <c r="C4668" s="4" t="inlineStr">
        <is>
          <t>Pauschale</t>
        </is>
      </c>
      <c r="D4668" s="10" t="inlineStr">
        <is>
          <t>⚠ Manual erforderlich</t>
        </is>
      </c>
      <c r="E4668" s="11" t="inlineStr"/>
      <c r="F4668" s="11" t="n">
        <v>0</v>
      </c>
      <c r="G4668" s="11">
        <f>E4668-F4668</f>
        <v/>
      </c>
      <c r="H4668" s="11" t="n">
        <v>0</v>
      </c>
      <c r="I4668" s="11" t="n">
        <v>0</v>
      </c>
      <c r="J4668" s="11" t="n">
        <v>0</v>
      </c>
      <c r="K4668" s="4" t="inlineStr">
        <is>
          <t>Stundensätze eingeben</t>
        </is>
      </c>
    </row>
    <row r="4669">
      <c r="A4669" s="4" t="inlineStr">
        <is>
          <t>7337.01 FWP-Friedrichstraße-34-38-Wiesbaden-Haus-P&amp;C</t>
        </is>
      </c>
      <c r="B4669" s="4" t="inlineStr">
        <is>
          <t>● (p) Pos.2 Erstellung FWP</t>
        </is>
      </c>
      <c r="C4669" s="4" t="inlineStr">
        <is>
          <t>Pauschale</t>
        </is>
      </c>
      <c r="D4669" s="10" t="inlineStr">
        <is>
          <t>⚠ Manual erforderlich</t>
        </is>
      </c>
      <c r="E4669" s="11" t="inlineStr"/>
      <c r="F4669" s="11" t="n">
        <v>0</v>
      </c>
      <c r="G4669" s="11">
        <f>E4669-F4669</f>
        <v/>
      </c>
      <c r="H4669" s="11" t="n">
        <v>0</v>
      </c>
      <c r="I4669" s="11" t="n">
        <v>0</v>
      </c>
      <c r="J4669" s="11" t="n">
        <v>0</v>
      </c>
      <c r="K4669" s="4" t="inlineStr">
        <is>
          <t>Stundensätze eingeben</t>
        </is>
      </c>
    </row>
    <row r="4670">
      <c r="A4670" s="4" t="inlineStr">
        <is>
          <t>7338 BST-Hochstraße-44-Frankfurt-Penthouse-7.OG</t>
        </is>
      </c>
      <c r="B4670" s="4" t="inlineStr">
        <is>
          <t>● (p) Pos.1 BST für die Penthouse Wohnung im 7.OG</t>
        </is>
      </c>
      <c r="C4670" s="4" t="inlineStr">
        <is>
          <t>Pauschale</t>
        </is>
      </c>
      <c r="D4670" s="10" t="inlineStr">
        <is>
          <t>⚠ Manual erforderlich</t>
        </is>
      </c>
      <c r="E4670" s="11" t="inlineStr"/>
      <c r="F4670" s="11" t="n">
        <v>0</v>
      </c>
      <c r="G4670" s="11">
        <f>E4670-F4670</f>
        <v/>
      </c>
      <c r="H4670" s="11" t="n">
        <v>0</v>
      </c>
      <c r="I4670" s="11" t="n">
        <v>0</v>
      </c>
      <c r="J4670" s="11" t="n">
        <v>0</v>
      </c>
      <c r="K4670" s="4" t="inlineStr">
        <is>
          <t>Stundensätze eingeben</t>
        </is>
      </c>
    </row>
    <row r="4671">
      <c r="A4671" s="4" t="inlineStr">
        <is>
          <t>7338 BST-Hochstraße-44-Frankfurt-Penthouse-7.OG</t>
        </is>
      </c>
      <c r="B4671" s="4" t="inlineStr">
        <is>
          <t>● (aN) Pos.2 Bestandserfassung vor Ort und Beratungsleistung</t>
        </is>
      </c>
      <c r="C4671" s="4" t="inlineStr">
        <is>
          <t>Nachweis</t>
        </is>
      </c>
      <c r="D4671" s="10" t="inlineStr">
        <is>
          <t>⚠ Manual erforderlich</t>
        </is>
      </c>
      <c r="E4671" s="11" t="inlineStr"/>
      <c r="F4671" s="11" t="n">
        <v>0</v>
      </c>
      <c r="G4671" s="11">
        <f>E4671-F4671</f>
        <v/>
      </c>
      <c r="H4671" s="11" t="n">
        <v/>
      </c>
      <c r="I4671" s="11" t="n">
        <v/>
      </c>
      <c r="J4671" s="11" t="n">
        <v/>
      </c>
      <c r="K4671" s="4" t="inlineStr">
        <is>
          <t>Stundensätze eingeben</t>
        </is>
      </c>
    </row>
    <row r="4672">
      <c r="A4672" s="4" t="inlineStr">
        <is>
          <t>7339 EAM-BSK-WEA-Lahn-Dill-Bergland-Mitte2</t>
        </is>
      </c>
      <c r="B4672" s="4" t="inlineStr">
        <is>
          <t>● (p) Pos. 1 BSK</t>
        </is>
      </c>
      <c r="C4672" s="4" t="inlineStr">
        <is>
          <t>Pauschale</t>
        </is>
      </c>
      <c r="D4672" s="10" t="inlineStr">
        <is>
          <t>⚠ Manual erforderlich</t>
        </is>
      </c>
      <c r="E4672" s="11" t="inlineStr"/>
      <c r="F4672" s="11" t="n">
        <v>0</v>
      </c>
      <c r="G4672" s="11">
        <f>E4672-F4672</f>
        <v/>
      </c>
      <c r="H4672" s="11" t="n">
        <v>0</v>
      </c>
      <c r="I4672" s="11" t="n">
        <v>0</v>
      </c>
      <c r="J4672" s="11" t="n">
        <v>0</v>
      </c>
      <c r="K4672" s="4" t="inlineStr">
        <is>
          <t>Stundensätze eingeben</t>
        </is>
      </c>
    </row>
    <row r="4673">
      <c r="A4673" s="4" t="inlineStr">
        <is>
          <t>7340 BST- Westrampe6-Wolfsburg-Fels-Recycling</t>
        </is>
      </c>
      <c r="B4673" s="4" t="inlineStr">
        <is>
          <t>● (p) Pos.1 BSK LP1-4</t>
        </is>
      </c>
      <c r="C4673" s="4" t="inlineStr">
        <is>
          <t>Pauschale</t>
        </is>
      </c>
      <c r="D4673" s="10" t="inlineStr">
        <is>
          <t>⚠ Manual erforderlich</t>
        </is>
      </c>
      <c r="E4673" s="11" t="inlineStr"/>
      <c r="F4673" s="11" t="n">
        <v>0</v>
      </c>
      <c r="G4673" s="11">
        <f>E4673-F4673</f>
        <v/>
      </c>
      <c r="H4673" s="11" t="n">
        <v>0</v>
      </c>
      <c r="I4673" s="11" t="n">
        <v>0</v>
      </c>
      <c r="J4673" s="11" t="n">
        <v>0</v>
      </c>
      <c r="K4673" s="4" t="inlineStr">
        <is>
          <t>Stundensätze eingeben</t>
        </is>
      </c>
    </row>
    <row r="4674">
      <c r="A4674" s="4" t="inlineStr">
        <is>
          <t>7341 Rothenberger-FWP-Im-Gestüt-Erlenhof4-BadHomburg</t>
        </is>
      </c>
      <c r="B4674" s="4" t="inlineStr">
        <is>
          <t>● (p) Pos. 1 FWP (CAD)</t>
        </is>
      </c>
      <c r="C4674" s="4" t="inlineStr">
        <is>
          <t>Pauschale</t>
        </is>
      </c>
      <c r="D4674" s="10" t="inlineStr">
        <is>
          <t>⚠ Manual erforderlich</t>
        </is>
      </c>
      <c r="E4674" s="11" t="inlineStr"/>
      <c r="F4674" s="11" t="n">
        <v>0</v>
      </c>
      <c r="G4674" s="11">
        <f>E4674-F4674</f>
        <v/>
      </c>
      <c r="H4674" s="11" t="n">
        <v>0</v>
      </c>
      <c r="I4674" s="11" t="n">
        <v>0</v>
      </c>
      <c r="J4674" s="11" t="n">
        <v>0</v>
      </c>
      <c r="K4674" s="4" t="inlineStr">
        <is>
          <t>Stundensätze eingeben</t>
        </is>
      </c>
    </row>
    <row r="4675">
      <c r="A4675" s="4" t="inlineStr">
        <is>
          <t>7342 MAJ-BAB-Am-Obertor18-Flörsheim-Dalsheim</t>
        </is>
      </c>
      <c r="B4675" s="4" t="inlineStr">
        <is>
          <t>● (aN) Pos.1 BAB - Objektüberwachung</t>
        </is>
      </c>
      <c r="C4675" s="4" t="inlineStr">
        <is>
          <t>Nachweis</t>
        </is>
      </c>
      <c r="D4675" s="10" t="inlineStr">
        <is>
          <t>⚠ Manual erforderlich</t>
        </is>
      </c>
      <c r="E4675" s="11" t="inlineStr"/>
      <c r="F4675" s="11" t="n">
        <v>0</v>
      </c>
      <c r="G4675" s="11">
        <f>E4675-F4675</f>
        <v/>
      </c>
      <c r="H4675" s="11" t="n">
        <v/>
      </c>
      <c r="I4675" s="11" t="n">
        <v/>
      </c>
      <c r="J4675" s="11" t="n">
        <v/>
      </c>
      <c r="K4675" s="4" t="inlineStr">
        <is>
          <t>Stundensätze eingeben</t>
        </is>
      </c>
    </row>
    <row r="4676">
      <c r="A4676" s="4" t="inlineStr">
        <is>
          <t>7342 MAJ-BAB-Am-Obertor18-Flörsheim-Dalsheim</t>
        </is>
      </c>
      <c r="B4676" s="4" t="inlineStr">
        <is>
          <t>● (aN) Pos.2 Optional: Zusätzl. Beratungslstg.</t>
        </is>
      </c>
      <c r="C4676" s="4" t="inlineStr">
        <is>
          <t>Nachweis</t>
        </is>
      </c>
      <c r="D4676" s="10" t="inlineStr">
        <is>
          <t>⚠ Manual erforderlich</t>
        </is>
      </c>
      <c r="E4676" s="11" t="inlineStr"/>
      <c r="F4676" s="11" t="n">
        <v>0</v>
      </c>
      <c r="G4676" s="11">
        <f>E4676-F4676</f>
        <v/>
      </c>
      <c r="H4676" s="11" t="n">
        <v/>
      </c>
      <c r="I4676" s="11" t="n">
        <v/>
      </c>
      <c r="J4676" s="11" t="n">
        <v/>
      </c>
      <c r="K4676" s="4" t="inlineStr">
        <is>
          <t>Stundensätze eingeben</t>
        </is>
      </c>
    </row>
    <row r="4677">
      <c r="A4677" s="4" t="inlineStr">
        <is>
          <t>7343 BSB-AUS-TU-Berlin-div.-Gebäude</t>
        </is>
      </c>
      <c r="B4677" s="4" t="inlineStr">
        <is>
          <t>● p) 2.1 - Organisation des organisatorischen Brandschutzes</t>
        </is>
      </c>
      <c r="C4677" s="9" t="inlineStr">
        <is>
          <t>Unbekannt</t>
        </is>
      </c>
      <c r="D4677" s="10" t="inlineStr">
        <is>
          <t>⚠ Manual erforderlich</t>
        </is>
      </c>
      <c r="E4677" s="11" t="inlineStr"/>
      <c r="F4677" s="11" t="n">
        <v>0</v>
      </c>
      <c r="G4677" s="11">
        <f>E4677-F4677</f>
        <v/>
      </c>
      <c r="H4677" s="11" t="n">
        <v/>
      </c>
      <c r="I4677" s="11" t="n">
        <v/>
      </c>
      <c r="J4677" s="11" t="n">
        <v/>
      </c>
      <c r="K4677" s="4" t="inlineStr">
        <is>
          <t>Abrechnungsart wählen; Stundensätze eingeben</t>
        </is>
      </c>
    </row>
    <row r="4678">
      <c r="A4678" s="4" t="inlineStr">
        <is>
          <t>7343 BSB-AUS-TU-Berlin-div.-Gebäude</t>
        </is>
      </c>
      <c r="B4678" s="4" t="inlineStr">
        <is>
          <t>● (p) 2.2 - Kontr.+Freig. d. erst. Brandschutzvorgaben aus Bereich d. operativen Brandschutzes</t>
        </is>
      </c>
      <c r="C4678" s="4" t="inlineStr">
        <is>
          <t>Pauschale</t>
        </is>
      </c>
      <c r="D4678" s="10" t="inlineStr">
        <is>
          <t>⚠ Manual erforderlich</t>
        </is>
      </c>
      <c r="E4678" s="11" t="inlineStr"/>
      <c r="F4678" s="11" t="n">
        <v>0</v>
      </c>
      <c r="G4678" s="11">
        <f>E4678-F4678</f>
        <v/>
      </c>
      <c r="H4678" s="11" t="n">
        <v>0</v>
      </c>
      <c r="I4678" s="11" t="n">
        <v>0</v>
      </c>
      <c r="J4678" s="11" t="n">
        <v>0</v>
      </c>
      <c r="K4678" s="4" t="inlineStr">
        <is>
          <t>Stundensätze eingeben</t>
        </is>
      </c>
    </row>
    <row r="4679">
      <c r="A4679" s="4" t="inlineStr">
        <is>
          <t>7343 BSB-AUS-TU-Berlin-div.-Gebäude</t>
        </is>
      </c>
      <c r="B4679" s="4" t="inlineStr">
        <is>
          <t>● (p) 2.3 Durchführung einer spezifischen Risikobewertung (680€/Stck)</t>
        </is>
      </c>
      <c r="C4679" s="4" t="inlineStr">
        <is>
          <t>Pauschale</t>
        </is>
      </c>
      <c r="D4679" s="10" t="inlineStr">
        <is>
          <t>⚠ Manual erforderlich</t>
        </is>
      </c>
      <c r="E4679" s="11" t="inlineStr"/>
      <c r="F4679" s="11" t="n">
        <v>0</v>
      </c>
      <c r="G4679" s="11">
        <f>E4679-F4679</f>
        <v/>
      </c>
      <c r="H4679" s="11" t="n">
        <v>0</v>
      </c>
      <c r="I4679" s="11" t="n">
        <v>0</v>
      </c>
      <c r="J4679" s="11" t="n">
        <v>0</v>
      </c>
      <c r="K4679" s="4" t="inlineStr">
        <is>
          <t>Stundensätze eingeben</t>
        </is>
      </c>
    </row>
    <row r="4680">
      <c r="A4680" s="4" t="inlineStr">
        <is>
          <t>7343 BSB-AUS-TU-Berlin-div.-Gebäude</t>
        </is>
      </c>
      <c r="B4680" s="4" t="inlineStr">
        <is>
          <t>● (p) 2.3a Unterstützung der Nutzer bei einer spezifischen Risikobewertung (832€/Stck)</t>
        </is>
      </c>
      <c r="C4680" s="4" t="inlineStr">
        <is>
          <t>Pauschale</t>
        </is>
      </c>
      <c r="D4680" s="10" t="inlineStr">
        <is>
          <t>⚠ Manual erforderlich</t>
        </is>
      </c>
      <c r="E4680" s="11" t="inlineStr"/>
      <c r="F4680" s="11" t="n">
        <v>0</v>
      </c>
      <c r="G4680" s="11">
        <f>E4680-F4680</f>
        <v/>
      </c>
      <c r="H4680" s="11" t="n">
        <v>0</v>
      </c>
      <c r="I4680" s="11" t="n">
        <v>0</v>
      </c>
      <c r="J4680" s="11" t="n">
        <v>0</v>
      </c>
      <c r="K4680" s="4" t="inlineStr">
        <is>
          <t>Stundensätze eingeben</t>
        </is>
      </c>
    </row>
    <row r="4681">
      <c r="A4681" s="4" t="inlineStr">
        <is>
          <t>7343 BSB-AUS-TU-Berlin-div.-Gebäude</t>
        </is>
      </c>
      <c r="B4681" s="4" t="inlineStr">
        <is>
          <t>● (p) 2.4 - Kontrollieren und veranlassen der Aktualisierung von Brandschutzdokumenten</t>
        </is>
      </c>
      <c r="C4681" s="4" t="inlineStr">
        <is>
          <t>Pauschale</t>
        </is>
      </c>
      <c r="D4681" s="10" t="inlineStr">
        <is>
          <t>⚠ Manual erforderlich</t>
        </is>
      </c>
      <c r="E4681" s="11" t="inlineStr"/>
      <c r="F4681" s="11" t="n">
        <v>0</v>
      </c>
      <c r="G4681" s="11">
        <f>E4681-F4681</f>
        <v/>
      </c>
      <c r="H4681" s="11" t="n">
        <v>0</v>
      </c>
      <c r="I4681" s="11" t="n">
        <v>0</v>
      </c>
      <c r="J4681" s="11" t="n">
        <v>0</v>
      </c>
      <c r="K4681" s="4" t="inlineStr">
        <is>
          <t>Stundensätze eingeben</t>
        </is>
      </c>
    </row>
    <row r="4682">
      <c r="A4682" s="4" t="inlineStr">
        <is>
          <t>7343 BSB-AUS-TU-Berlin-div.-Gebäude</t>
        </is>
      </c>
      <c r="B4682" s="4" t="inlineStr">
        <is>
          <t>● (p) 2.5a+d - Planung + Dokumentation</t>
        </is>
      </c>
      <c r="C4682" s="4" t="inlineStr">
        <is>
          <t>Pauschale</t>
        </is>
      </c>
      <c r="D4682" s="10" t="inlineStr">
        <is>
          <t>⚠ Manual erforderlich</t>
        </is>
      </c>
      <c r="E4682" s="11" t="inlineStr"/>
      <c r="F4682" s="11" t="n">
        <v>0</v>
      </c>
      <c r="G4682" s="11">
        <f>E4682-F4682</f>
        <v/>
      </c>
      <c r="H4682" s="11" t="n">
        <v>0</v>
      </c>
      <c r="I4682" s="11" t="n">
        <v>0</v>
      </c>
      <c r="J4682" s="11" t="n">
        <v>0</v>
      </c>
      <c r="K4682" s="4" t="inlineStr">
        <is>
          <t>Stundensätze eingeben</t>
        </is>
      </c>
    </row>
    <row r="4683">
      <c r="A4683" s="4" t="inlineStr">
        <is>
          <t>7343 BSB-AUS-TU-Berlin-div.-Gebäude</t>
        </is>
      </c>
      <c r="B4683" s="4" t="inlineStr">
        <is>
          <t>● (p) 2.5b+c - Durchführung + Nachbereitung von 200.000m2 Evakuierter NRF (200.000 qm)</t>
        </is>
      </c>
      <c r="C4683" s="4" t="inlineStr">
        <is>
          <t>Pauschale</t>
        </is>
      </c>
      <c r="D4683" s="10" t="inlineStr">
        <is>
          <t>⚠ Manual erforderlich</t>
        </is>
      </c>
      <c r="E4683" s="11" t="inlineStr"/>
      <c r="F4683" s="11" t="n">
        <v>0</v>
      </c>
      <c r="G4683" s="11">
        <f>E4683-F4683</f>
        <v/>
      </c>
      <c r="H4683" s="11" t="n">
        <v>0</v>
      </c>
      <c r="I4683" s="11" t="n">
        <v>0</v>
      </c>
      <c r="J4683" s="11" t="n">
        <v>0</v>
      </c>
      <c r="K4683" s="4" t="inlineStr">
        <is>
          <t>Stundensätze eingeben</t>
        </is>
      </c>
    </row>
    <row r="4684">
      <c r="A4684" s="4" t="inlineStr">
        <is>
          <t>7343 BSB-AUS-TU-Berlin-div.-Gebäude</t>
        </is>
      </c>
      <c r="B4684" s="4" t="inlineStr">
        <is>
          <t>● (p) 2.6 - Teilnehmen an behördlichen Brandschauen (680€/Stck)</t>
        </is>
      </c>
      <c r="C4684" s="4" t="inlineStr">
        <is>
          <t>Pauschale</t>
        </is>
      </c>
      <c r="D4684" s="10" t="inlineStr">
        <is>
          <t>⚠ Manual erforderlich</t>
        </is>
      </c>
      <c r="E4684" s="11" t="inlineStr"/>
      <c r="F4684" s="11" t="n">
        <v>0</v>
      </c>
      <c r="G4684" s="11">
        <f>E4684-F4684</f>
        <v/>
      </c>
      <c r="H4684" s="11" t="n">
        <v>0</v>
      </c>
      <c r="I4684" s="11" t="n">
        <v>0</v>
      </c>
      <c r="J4684" s="11" t="n">
        <v>0</v>
      </c>
      <c r="K4684" s="4" t="inlineStr">
        <is>
          <t>Stundensätze eingeben</t>
        </is>
      </c>
    </row>
    <row r="4685">
      <c r="A4685" s="4" t="inlineStr">
        <is>
          <t>7343 BSB-AUS-TU-Berlin-div.-Gebäude</t>
        </is>
      </c>
      <c r="B4685" s="4" t="inlineStr">
        <is>
          <t>● (p) 2.7 - Durchführung von Brandschutzbegehungen 600.000 BGF (Abrg. pro Gebäude!)</t>
        </is>
      </c>
      <c r="C4685" s="4" t="inlineStr">
        <is>
          <t>Pauschale</t>
        </is>
      </c>
      <c r="D4685" s="10" t="inlineStr">
        <is>
          <t>⚠ Manual erforderlich</t>
        </is>
      </c>
      <c r="E4685" s="11" t="inlineStr"/>
      <c r="F4685" s="11" t="n">
        <v>0</v>
      </c>
      <c r="G4685" s="11">
        <f>E4685-F4685</f>
        <v/>
      </c>
      <c r="H4685" s="11" t="n">
        <v>0</v>
      </c>
      <c r="I4685" s="11" t="n">
        <v>0</v>
      </c>
      <c r="J4685" s="11" t="n">
        <v>0</v>
      </c>
      <c r="K4685" s="4" t="inlineStr">
        <is>
          <t>Stundensätze eingeben</t>
        </is>
      </c>
    </row>
    <row r="4686">
      <c r="A4686" s="4" t="inlineStr">
        <is>
          <t>7343 BSB-AUS-TU-Berlin-div.-Gebäude</t>
        </is>
      </c>
      <c r="B4686" s="4" t="inlineStr">
        <is>
          <t>● (p) 2.8 - Mängelmanagement: Meldung, Maßnahmenvorschläge und Überwachung</t>
        </is>
      </c>
      <c r="C4686" s="4" t="inlineStr">
        <is>
          <t>Pauschale</t>
        </is>
      </c>
      <c r="D4686" s="10" t="inlineStr">
        <is>
          <t>⚠ Manual erforderlich</t>
        </is>
      </c>
      <c r="E4686" s="11" t="inlineStr"/>
      <c r="F4686" s="11" t="n">
        <v>0</v>
      </c>
      <c r="G4686" s="11">
        <f>E4686-F4686</f>
        <v/>
      </c>
      <c r="H4686" s="11" t="n">
        <v>0</v>
      </c>
      <c r="I4686" s="11" t="n">
        <v>0</v>
      </c>
      <c r="J4686" s="11" t="n">
        <v>0</v>
      </c>
      <c r="K4686" s="4" t="inlineStr">
        <is>
          <t>Stundensätze eingeben</t>
        </is>
      </c>
    </row>
    <row r="4687">
      <c r="A4687" s="4" t="inlineStr">
        <is>
          <t>7343 BSB-AUS-TU-Berlin-div.-Gebäude</t>
        </is>
      </c>
      <c r="B4687" s="4" t="inlineStr">
        <is>
          <t>● (p) 2.9a + c - Beratung Führungskräfte bei der Planung +Durchführung v. Unterweisungen (340€/Stck)</t>
        </is>
      </c>
      <c r="C4687" s="4" t="inlineStr">
        <is>
          <t>Pauschale</t>
        </is>
      </c>
      <c r="D4687" s="10" t="inlineStr">
        <is>
          <t>⚠ Manual erforderlich</t>
        </is>
      </c>
      <c r="E4687" s="11" t="inlineStr"/>
      <c r="F4687" s="11" t="n">
        <v>0</v>
      </c>
      <c r="G4687" s="11">
        <f>E4687-F4687</f>
        <v/>
      </c>
      <c r="H4687" s="11" t="n">
        <v>0</v>
      </c>
      <c r="I4687" s="11" t="n">
        <v>0</v>
      </c>
      <c r="J4687" s="11" t="n">
        <v>0</v>
      </c>
      <c r="K4687" s="4" t="inlineStr">
        <is>
          <t>Stundensätze eingeben</t>
        </is>
      </c>
    </row>
    <row r="4688">
      <c r="A4688" s="4" t="inlineStr">
        <is>
          <t>7343 BSB-AUS-TU-Berlin-div.-Gebäude</t>
        </is>
      </c>
      <c r="B4688" s="4" t="inlineStr">
        <is>
          <t>● (p) 2.9b - Teilnahme und fachliche Unterstützung bei Unterweisungen (425€/Stck)</t>
        </is>
      </c>
      <c r="C4688" s="4" t="inlineStr">
        <is>
          <t>Pauschale</t>
        </is>
      </c>
      <c r="D4688" s="10" t="inlineStr">
        <is>
          <t>⚠ Manual erforderlich</t>
        </is>
      </c>
      <c r="E4688" s="11" t="inlineStr"/>
      <c r="F4688" s="11" t="n">
        <v>0</v>
      </c>
      <c r="G4688" s="11">
        <f>E4688-F4688</f>
        <v/>
      </c>
      <c r="H4688" s="11" t="n">
        <v>0</v>
      </c>
      <c r="I4688" s="11" t="n">
        <v>0</v>
      </c>
      <c r="J4688" s="11" t="n">
        <v>0</v>
      </c>
      <c r="K4688" s="4" t="inlineStr">
        <is>
          <t>Stundensätze eingeben</t>
        </is>
      </c>
    </row>
    <row r="4689">
      <c r="A4689" s="4" t="inlineStr">
        <is>
          <t>7343 BSB-AUS-TU-Berlin-div.-Gebäude</t>
        </is>
      </c>
      <c r="B4689" s="4" t="inlineStr">
        <is>
          <t>● (p) 2.10 Theoretische Unterweisung Brandschutzhelfer (880€/E)</t>
        </is>
      </c>
      <c r="C4689" s="4" t="inlineStr">
        <is>
          <t>Pauschale</t>
        </is>
      </c>
      <c r="D4689" s="10" t="inlineStr">
        <is>
          <t>⚠ Manual erforderlich</t>
        </is>
      </c>
      <c r="E4689" s="11" t="inlineStr"/>
      <c r="F4689" s="11" t="n">
        <v>0</v>
      </c>
      <c r="G4689" s="11">
        <f>E4689-F4689</f>
        <v/>
      </c>
      <c r="H4689" s="11" t="n">
        <v>0</v>
      </c>
      <c r="I4689" s="11" t="n">
        <v>0</v>
      </c>
      <c r="J4689" s="11" t="n">
        <v>0</v>
      </c>
      <c r="K4689" s="4" t="inlineStr">
        <is>
          <t>Stundensätze eingeben</t>
        </is>
      </c>
    </row>
    <row r="4690">
      <c r="A4690" s="4" t="inlineStr">
        <is>
          <t>7343 BSB-AUS-TU-Berlin-div.-Gebäude</t>
        </is>
      </c>
      <c r="B4690" s="4" t="inlineStr">
        <is>
          <t>● (p) 2.10a Theoretische Unterweisung BSH in engl. Sprache (170€/E)</t>
        </is>
      </c>
      <c r="C4690" s="4" t="inlineStr">
        <is>
          <t>Pauschale</t>
        </is>
      </c>
      <c r="D4690" s="10" t="inlineStr">
        <is>
          <t>⚠ Manual erforderlich</t>
        </is>
      </c>
      <c r="E4690" s="11" t="inlineStr"/>
      <c r="F4690" s="11" t="n">
        <v>0</v>
      </c>
      <c r="G4690" s="11">
        <f>E4690-F4690</f>
        <v/>
      </c>
      <c r="H4690" s="11" t="n">
        <v>0</v>
      </c>
      <c r="I4690" s="11" t="n">
        <v>0</v>
      </c>
      <c r="J4690" s="11" t="n">
        <v>0</v>
      </c>
      <c r="K4690" s="4" t="inlineStr">
        <is>
          <t>Stundensätze eingeben</t>
        </is>
      </c>
    </row>
    <row r="4691">
      <c r="A4691" s="4" t="inlineStr">
        <is>
          <t>7343 BSB-AUS-TU-Berlin-div.-Gebäude</t>
        </is>
      </c>
      <c r="B4691" s="4" t="inlineStr">
        <is>
          <t>● (p) 2.10b Begl. praktische Unterw. in Handhabung v.Feuerlöschern externen Dienstleisters (1.020€/E)</t>
        </is>
      </c>
      <c r="C4691" s="4" t="inlineStr">
        <is>
          <t>Pauschale</t>
        </is>
      </c>
      <c r="D4691" s="10" t="inlineStr">
        <is>
          <t>⚠ Manual erforderlich</t>
        </is>
      </c>
      <c r="E4691" s="11" t="inlineStr"/>
      <c r="F4691" s="11" t="n">
        <v>0</v>
      </c>
      <c r="G4691" s="11">
        <f>E4691-F4691</f>
        <v/>
      </c>
      <c r="H4691" s="11" t="n">
        <v>0</v>
      </c>
      <c r="I4691" s="11" t="n">
        <v>0</v>
      </c>
      <c r="J4691" s="11" t="n">
        <v>0</v>
      </c>
      <c r="K4691" s="4" t="inlineStr">
        <is>
          <t>Stundensätze eingeben</t>
        </is>
      </c>
    </row>
    <row r="4692">
      <c r="A4692" s="4" t="inlineStr">
        <is>
          <t>7343 BSB-AUS-TU-Berlin-div.-Gebäude</t>
        </is>
      </c>
      <c r="B4692" s="4" t="inlineStr">
        <is>
          <t>● (p) 2.11 - Unterstützung bei der Kommunikation mit externen Stellen</t>
        </is>
      </c>
      <c r="C4692" s="4" t="inlineStr">
        <is>
          <t>Pauschale</t>
        </is>
      </c>
      <c r="D4692" s="10" t="inlineStr">
        <is>
          <t>⚠ Manual erforderlich</t>
        </is>
      </c>
      <c r="E4692" s="11" t="inlineStr"/>
      <c r="F4692" s="11" t="n">
        <v>0</v>
      </c>
      <c r="G4692" s="11">
        <f>E4692-F4692</f>
        <v/>
      </c>
      <c r="H4692" s="11" t="n">
        <v>0</v>
      </c>
      <c r="I4692" s="11" t="n">
        <v>0</v>
      </c>
      <c r="J4692" s="11" t="n">
        <v>0</v>
      </c>
      <c r="K4692" s="4" t="inlineStr">
        <is>
          <t>Stundensätze eingeben</t>
        </is>
      </c>
    </row>
    <row r="4693">
      <c r="A4693" s="4" t="inlineStr">
        <is>
          <t>7343 BSB-AUS-TU-Berlin-div.-Gebäude</t>
        </is>
      </c>
      <c r="B4693" s="4" t="inlineStr">
        <is>
          <t>● (p) 2.12 - Präventive und reaktiven Maßnahmen</t>
        </is>
      </c>
      <c r="C4693" s="4" t="inlineStr">
        <is>
          <t>Pauschale</t>
        </is>
      </c>
      <c r="D4693" s="10" t="inlineStr">
        <is>
          <t>⚠ Manual erforderlich</t>
        </is>
      </c>
      <c r="E4693" s="11" t="inlineStr"/>
      <c r="F4693" s="11" t="n">
        <v>0</v>
      </c>
      <c r="G4693" s="11">
        <f>E4693-F4693</f>
        <v/>
      </c>
      <c r="H4693" s="11" t="n">
        <v>0</v>
      </c>
      <c r="I4693" s="11" t="n">
        <v>0</v>
      </c>
      <c r="J4693" s="11" t="n">
        <v>0</v>
      </c>
      <c r="K4693" s="4" t="inlineStr">
        <is>
          <t>Stundensätze eingeben</t>
        </is>
      </c>
    </row>
    <row r="4694">
      <c r="A4694" s="4" t="inlineStr">
        <is>
          <t>7343 BSB-AUS-TU-Berlin-div.-Gebäude</t>
        </is>
      </c>
      <c r="B4694" s="4" t="inlineStr">
        <is>
          <t>● (p) 2.13a - Beratung zur Ausstattung (30.000qm)</t>
        </is>
      </c>
      <c r="C4694" s="4" t="inlineStr">
        <is>
          <t>Pauschale</t>
        </is>
      </c>
      <c r="D4694" s="10" t="inlineStr">
        <is>
          <t>⚠ Manual erforderlich</t>
        </is>
      </c>
      <c r="E4694" s="11" t="inlineStr"/>
      <c r="F4694" s="11" t="n">
        <v>0</v>
      </c>
      <c r="G4694" s="11">
        <f>E4694-F4694</f>
        <v/>
      </c>
      <c r="H4694" s="11" t="n">
        <v>0</v>
      </c>
      <c r="I4694" s="11" t="n">
        <v>0</v>
      </c>
      <c r="J4694" s="11" t="n">
        <v>0</v>
      </c>
      <c r="K4694" s="4" t="inlineStr">
        <is>
          <t>Stundensätze eingeben</t>
        </is>
      </c>
    </row>
    <row r="4695">
      <c r="A4695" s="4" t="inlineStr">
        <is>
          <t>7343 BSB-AUS-TU-Berlin-div.-Gebäude</t>
        </is>
      </c>
      <c r="B4695" s="4" t="inlineStr">
        <is>
          <t>● (p) 2.13c - Einweisung, Überwachung und Kontrolle der Wartung</t>
        </is>
      </c>
      <c r="C4695" s="4" t="inlineStr">
        <is>
          <t>Pauschale</t>
        </is>
      </c>
      <c r="D4695" s="10" t="inlineStr">
        <is>
          <t>⚠ Manual erforderlich</t>
        </is>
      </c>
      <c r="E4695" s="11" t="inlineStr"/>
      <c r="F4695" s="11" t="n">
        <v>0</v>
      </c>
      <c r="G4695" s="11">
        <f>E4695-F4695</f>
        <v/>
      </c>
      <c r="H4695" s="11" t="n">
        <v>0</v>
      </c>
      <c r="I4695" s="11" t="n">
        <v>0</v>
      </c>
      <c r="J4695" s="11" t="n">
        <v>0</v>
      </c>
      <c r="K4695" s="4" t="inlineStr">
        <is>
          <t>Stundensätze eingeben</t>
        </is>
      </c>
    </row>
    <row r="4696">
      <c r="A4696" s="4" t="inlineStr">
        <is>
          <t>7343 BSB-AUS-TU-Berlin-div.-Gebäude</t>
        </is>
      </c>
      <c r="B4696" s="4" t="inlineStr">
        <is>
          <t>● (p) 2.14 - Erstellung des Brandschutzberichtes für die Hochschulleitung</t>
        </is>
      </c>
      <c r="C4696" s="4" t="inlineStr">
        <is>
          <t>Pauschale</t>
        </is>
      </c>
      <c r="D4696" s="10" t="inlineStr">
        <is>
          <t>⚠ Manual erforderlich</t>
        </is>
      </c>
      <c r="E4696" s="11" t="inlineStr"/>
      <c r="F4696" s="11" t="n">
        <v>0</v>
      </c>
      <c r="G4696" s="11">
        <f>E4696-F4696</f>
        <v/>
      </c>
      <c r="H4696" s="11" t="n">
        <v>0</v>
      </c>
      <c r="I4696" s="11" t="n">
        <v>0</v>
      </c>
      <c r="J4696" s="11" t="n">
        <v>0</v>
      </c>
      <c r="K4696" s="4" t="inlineStr">
        <is>
          <t>Stundensätze eingeben</t>
        </is>
      </c>
    </row>
    <row r="4697">
      <c r="A4697" s="4" t="inlineStr">
        <is>
          <t>7343 BSB-AUS-TU-Berlin-div.-Gebäude</t>
        </is>
      </c>
      <c r="B4697" s="4" t="inlineStr">
        <is>
          <t>● (p) 2.15 Zusätzliche brandschutztechnische Beratungsleistungen</t>
        </is>
      </c>
      <c r="C4697" s="4" t="inlineStr">
        <is>
          <t>Pauschale</t>
        </is>
      </c>
      <c r="D4697" s="10" t="inlineStr">
        <is>
          <t>⚠ Manual erforderlich</t>
        </is>
      </c>
      <c r="E4697" s="11" t="inlineStr"/>
      <c r="F4697" s="11" t="n">
        <v>0</v>
      </c>
      <c r="G4697" s="11">
        <f>E4697-F4697</f>
        <v/>
      </c>
      <c r="H4697" s="11" t="n">
        <v>0</v>
      </c>
      <c r="I4697" s="11" t="n">
        <v>0</v>
      </c>
      <c r="J4697" s="11" t="n">
        <v>0</v>
      </c>
      <c r="K4697" s="4" t="inlineStr">
        <is>
          <t>Stundensätze eingeben</t>
        </is>
      </c>
    </row>
    <row r="4698">
      <c r="A4698" s="4" t="inlineStr">
        <is>
          <t>7344 HLSG-Steubenplatz-14-Darmstadt-Neustrukturierung-Rettungswege</t>
        </is>
      </c>
      <c r="B4698" s="4" t="inlineStr">
        <is>
          <t>● (p) LP 1 Grundlagenermittlung</t>
        </is>
      </c>
      <c r="C4698" s="4" t="inlineStr">
        <is>
          <t>Pauschale</t>
        </is>
      </c>
      <c r="D4698" s="10" t="inlineStr">
        <is>
          <t>⚠ Manual erforderlich</t>
        </is>
      </c>
      <c r="E4698" s="11" t="inlineStr"/>
      <c r="F4698" s="11" t="n">
        <v>0</v>
      </c>
      <c r="G4698" s="11">
        <f>E4698-F4698</f>
        <v/>
      </c>
      <c r="H4698" s="11" t="n">
        <v>0</v>
      </c>
      <c r="I4698" s="11" t="n">
        <v>0</v>
      </c>
      <c r="J4698" s="11" t="n">
        <v>0</v>
      </c>
      <c r="K4698" s="4" t="inlineStr">
        <is>
          <t>Stundensätze eingeben</t>
        </is>
      </c>
    </row>
    <row r="4699">
      <c r="A4699" s="4" t="inlineStr">
        <is>
          <t>7344 HLSG-Steubenplatz-14-Darmstadt-Neustrukturierung-Rettungswege</t>
        </is>
      </c>
      <c r="B4699" s="4" t="inlineStr">
        <is>
          <t>● (p) LP2 Vorplanung</t>
        </is>
      </c>
      <c r="C4699" s="4" t="inlineStr">
        <is>
          <t>Pauschale</t>
        </is>
      </c>
      <c r="D4699" s="10" t="inlineStr">
        <is>
          <t>⚠ Manual erforderlich</t>
        </is>
      </c>
      <c r="E4699" s="11" t="inlineStr"/>
      <c r="F4699" s="11" t="n">
        <v>0</v>
      </c>
      <c r="G4699" s="11">
        <f>E4699-F4699</f>
        <v/>
      </c>
      <c r="H4699" s="11" t="n">
        <v>0</v>
      </c>
      <c r="I4699" s="11" t="n">
        <v>0</v>
      </c>
      <c r="J4699" s="11" t="n">
        <v>0</v>
      </c>
      <c r="K4699" s="4" t="inlineStr">
        <is>
          <t>Stundensätze eingeben</t>
        </is>
      </c>
    </row>
    <row r="4700">
      <c r="A4700" s="4" t="inlineStr">
        <is>
          <t>7344 HLSG-Steubenplatz-14-Darmstadt-Neustrukturierung-Rettungswege</t>
        </is>
      </c>
      <c r="B4700" s="4" t="inlineStr">
        <is>
          <t>● (p) Pos.1 NAT LPH 1 Optionale Leistungen</t>
        </is>
      </c>
      <c r="C4700" s="4" t="inlineStr">
        <is>
          <t>Pauschale</t>
        </is>
      </c>
      <c r="D4700" s="10" t="inlineStr">
        <is>
          <t>⚠ Manual erforderlich</t>
        </is>
      </c>
      <c r="E4700" s="11" t="inlineStr"/>
      <c r="F4700" s="11" t="n">
        <v>0</v>
      </c>
      <c r="G4700" s="11">
        <f>E4700-F4700</f>
        <v/>
      </c>
      <c r="H4700" s="11" t="n">
        <v>0</v>
      </c>
      <c r="I4700" s="11" t="n">
        <v>0</v>
      </c>
      <c r="J4700" s="11" t="n">
        <v>0</v>
      </c>
      <c r="K4700" s="4" t="inlineStr">
        <is>
          <t>Stundensätze eingeben</t>
        </is>
      </c>
    </row>
    <row r="4701">
      <c r="A4701" s="4" t="inlineStr">
        <is>
          <t>7344 HLSG-Steubenplatz-14-Darmstadt-Neustrukturierung-Rettungswege</t>
        </is>
      </c>
      <c r="B4701" s="4" t="inlineStr">
        <is>
          <t>● (p) LPH3 Entwurfsplanung</t>
        </is>
      </c>
      <c r="C4701" s="4" t="inlineStr">
        <is>
          <t>Pauschale</t>
        </is>
      </c>
      <c r="D4701" s="10" t="inlineStr">
        <is>
          <t>⚠ Manual erforderlich</t>
        </is>
      </c>
      <c r="E4701" s="11" t="inlineStr"/>
      <c r="F4701" s="11" t="n">
        <v>0</v>
      </c>
      <c r="G4701" s="11">
        <f>E4701-F4701</f>
        <v/>
      </c>
      <c r="H4701" s="11" t="n">
        <v>0</v>
      </c>
      <c r="I4701" s="11" t="n">
        <v>0</v>
      </c>
      <c r="J4701" s="11" t="n">
        <v>0</v>
      </c>
      <c r="K4701" s="4" t="inlineStr">
        <is>
          <t>Stundensätze eingeben</t>
        </is>
      </c>
    </row>
    <row r="4702">
      <c r="A4702" s="4" t="inlineStr">
        <is>
          <t>7345 greenarea-FWP-Photovoltaikanlage-Alpenstr10-Sennhof-Heimertingen</t>
        </is>
      </c>
      <c r="B4702" s="4" t="inlineStr">
        <is>
          <t>● (aN) Pos. 1 FWP (CAD)</t>
        </is>
      </c>
      <c r="C4702" s="4" t="inlineStr">
        <is>
          <t>Nachweis</t>
        </is>
      </c>
      <c r="D4702" s="10" t="inlineStr">
        <is>
          <t>⚠ Manual erforderlich</t>
        </is>
      </c>
      <c r="E4702" s="11" t="inlineStr"/>
      <c r="F4702" s="11" t="n">
        <v>0</v>
      </c>
      <c r="G4702" s="11">
        <f>E4702-F4702</f>
        <v/>
      </c>
      <c r="H4702" s="11" t="n">
        <v/>
      </c>
      <c r="I4702" s="11" t="n">
        <v/>
      </c>
      <c r="J4702" s="11" t="n">
        <v/>
      </c>
      <c r="K4702" s="4" t="inlineStr">
        <is>
          <t>Stundensätze eingeben</t>
        </is>
      </c>
    </row>
    <row r="4703">
      <c r="A4703" s="4" t="inlineStr">
        <is>
          <t>7346 BST-Flughafenstraße-6-6h-Frankfurt-TG</t>
        </is>
      </c>
      <c r="B4703" s="4" t="inlineStr">
        <is>
          <t>● (p) Pos.1 Brandschutztechnische Stellungnahme</t>
        </is>
      </c>
      <c r="C4703" s="4" t="inlineStr">
        <is>
          <t>Pauschale</t>
        </is>
      </c>
      <c r="D4703" s="10" t="inlineStr">
        <is>
          <t>⚠ Manual erforderlich</t>
        </is>
      </c>
      <c r="E4703" s="11" t="inlineStr"/>
      <c r="F4703" s="11" t="n">
        <v>0</v>
      </c>
      <c r="G4703" s="11">
        <f>E4703-F4703</f>
        <v/>
      </c>
      <c r="H4703" s="11" t="n">
        <v>0</v>
      </c>
      <c r="I4703" s="11" t="n">
        <v>0</v>
      </c>
      <c r="J4703" s="11" t="n">
        <v>0</v>
      </c>
      <c r="K4703" s="4" t="inlineStr">
        <is>
          <t>Stundensätze eingeben</t>
        </is>
      </c>
    </row>
    <row r="4704">
      <c r="A4704" s="4" t="inlineStr">
        <is>
          <t>7346.01 NAT-BSK-Flughafenstraße-6a-6h-Frankfurt-TG</t>
        </is>
      </c>
      <c r="B4704" s="4" t="inlineStr">
        <is>
          <t>● (p) Pos.1 Erstellung BSK</t>
        </is>
      </c>
      <c r="C4704" s="4" t="inlineStr">
        <is>
          <t>Pauschale</t>
        </is>
      </c>
      <c r="D4704" s="10" t="inlineStr">
        <is>
          <t>⚠ Manual erforderlich</t>
        </is>
      </c>
      <c r="E4704" s="11" t="inlineStr"/>
      <c r="F4704" s="11" t="n">
        <v>0</v>
      </c>
      <c r="G4704" s="11">
        <f>E4704-F4704</f>
        <v/>
      </c>
      <c r="H4704" s="11" t="n">
        <v>0</v>
      </c>
      <c r="I4704" s="11" t="n">
        <v>0</v>
      </c>
      <c r="J4704" s="11" t="n">
        <v>0</v>
      </c>
      <c r="K4704" s="4" t="inlineStr">
        <is>
          <t>Stundensätze eingeben</t>
        </is>
      </c>
    </row>
    <row r="4705">
      <c r="A4705" s="4" t="inlineStr">
        <is>
          <t>7346.02 NAT-FLA-Flughafenstraße-6a-6h-Frankfurt</t>
        </is>
      </c>
      <c r="B4705" s="4" t="inlineStr">
        <is>
          <t>● (p) Pos.1 Berechnung der Füllzeit Wandhydrantenanlage</t>
        </is>
      </c>
      <c r="C4705" s="4" t="inlineStr">
        <is>
          <t>Pauschale</t>
        </is>
      </c>
      <c r="D4705" s="10" t="inlineStr">
        <is>
          <t>⚠ Manual erforderlich</t>
        </is>
      </c>
      <c r="E4705" s="11" t="inlineStr"/>
      <c r="F4705" s="11" t="n">
        <v>0</v>
      </c>
      <c r="G4705" s="11">
        <f>E4705-F4705</f>
        <v/>
      </c>
      <c r="H4705" s="11" t="n">
        <v>0</v>
      </c>
      <c r="I4705" s="11" t="n">
        <v>0</v>
      </c>
      <c r="J4705" s="11" t="n">
        <v>0</v>
      </c>
      <c r="K4705" s="4" t="inlineStr">
        <is>
          <t>Stundensätze eingeben</t>
        </is>
      </c>
    </row>
    <row r="4706">
      <c r="A4706" s="4" t="inlineStr">
        <is>
          <t>7347 BSK-Zum-Burgwall-Celle</t>
        </is>
      </c>
      <c r="B4706" s="4" t="inlineStr">
        <is>
          <t>● (p) Pos.1 BSK - Prüfung und Fortschr. eines bestehenden+genehmigten Brandschutzgutachtens</t>
        </is>
      </c>
      <c r="C4706" s="4" t="inlineStr">
        <is>
          <t>Pauschale</t>
        </is>
      </c>
      <c r="D4706" s="10" t="inlineStr">
        <is>
          <t>⚠ Manual erforderlich</t>
        </is>
      </c>
      <c r="E4706" s="11" t="inlineStr"/>
      <c r="F4706" s="11" t="n">
        <v>0</v>
      </c>
      <c r="G4706" s="11">
        <f>E4706-F4706</f>
        <v/>
      </c>
      <c r="H4706" s="11" t="n">
        <v>0</v>
      </c>
      <c r="I4706" s="11" t="n">
        <v>0</v>
      </c>
      <c r="J4706" s="11" t="n">
        <v>0</v>
      </c>
      <c r="K4706" s="4" t="inlineStr">
        <is>
          <t>Stundensätze eingeben</t>
        </is>
      </c>
    </row>
    <row r="4707">
      <c r="A4707" s="4" t="inlineStr">
        <is>
          <t>7347.01 FWP-Zum-Burgwall-Celle-Batteriespeicheranlage</t>
        </is>
      </c>
      <c r="B4707" s="4" t="inlineStr">
        <is>
          <t>● (p) Pos.1 FWP</t>
        </is>
      </c>
      <c r="C4707" s="4" t="inlineStr">
        <is>
          <t>Pauschale</t>
        </is>
      </c>
      <c r="D4707" s="10" t="inlineStr">
        <is>
          <t>⚠ Manual erforderlich</t>
        </is>
      </c>
      <c r="E4707" s="11" t="inlineStr"/>
      <c r="F4707" s="11" t="n">
        <v>0</v>
      </c>
      <c r="G4707" s="11">
        <f>E4707-F4707</f>
        <v/>
      </c>
      <c r="H4707" s="11" t="n">
        <v>0</v>
      </c>
      <c r="I4707" s="11" t="n">
        <v>0</v>
      </c>
      <c r="J4707" s="11" t="n">
        <v>0</v>
      </c>
      <c r="K4707" s="4" t="inlineStr">
        <is>
          <t>Stundensätze eingeben</t>
        </is>
      </c>
    </row>
    <row r="4708">
      <c r="A4708" s="4" t="inlineStr">
        <is>
          <t>7347.01 FWP-Zum-Burgwall-Celle-Batteriespeicheranlage</t>
        </is>
      </c>
      <c r="B4708" s="4" t="inlineStr">
        <is>
          <t>● (p) Pos.2 BSO</t>
        </is>
      </c>
      <c r="C4708" s="4" t="inlineStr">
        <is>
          <t>Pauschale</t>
        </is>
      </c>
      <c r="D4708" s="10" t="inlineStr">
        <is>
          <t>⚠ Manual erforderlich</t>
        </is>
      </c>
      <c r="E4708" s="11" t="inlineStr"/>
      <c r="F4708" s="11" t="n">
        <v>0</v>
      </c>
      <c r="G4708" s="11">
        <f>E4708-F4708</f>
        <v/>
      </c>
      <c r="H4708" s="11" t="n">
        <v>0</v>
      </c>
      <c r="I4708" s="11" t="n">
        <v>0</v>
      </c>
      <c r="J4708" s="11" t="n">
        <v>0</v>
      </c>
      <c r="K4708" s="4" t="inlineStr">
        <is>
          <t>Stundensätze eingeben</t>
        </is>
      </c>
    </row>
    <row r="4709">
      <c r="A4709" s="4" t="inlineStr">
        <is>
          <t>7350 SVT-BTB-Charles-Hotel-Sophienstr28-München</t>
        </is>
      </c>
      <c r="B4709" s="4" t="inlineStr">
        <is>
          <t>● (aN) Pos. 1 BTB inkl. BST (SV 16h) 2.240€</t>
        </is>
      </c>
      <c r="C4709" s="4" t="inlineStr">
        <is>
          <t>Nachweis</t>
        </is>
      </c>
      <c r="D4709" s="10" t="inlineStr">
        <is>
          <t>⚠ Manual erforderlich</t>
        </is>
      </c>
      <c r="E4709" s="11" t="inlineStr"/>
      <c r="F4709" s="11" t="n">
        <v>0</v>
      </c>
      <c r="G4709" s="11">
        <f>E4709-F4709</f>
        <v/>
      </c>
      <c r="H4709" s="11" t="n">
        <v/>
      </c>
      <c r="I4709" s="11" t="n">
        <v/>
      </c>
      <c r="J4709" s="11" t="n">
        <v/>
      </c>
      <c r="K4709" s="4" t="inlineStr">
        <is>
          <t>Stundensätze eingeben</t>
        </is>
      </c>
    </row>
    <row r="4710">
      <c r="A4710" s="4" t="inlineStr">
        <is>
          <t>7351 DB-RV-WPP-Aachen-HBF-ELA-Beschallungsanlage</t>
        </is>
      </c>
      <c r="B4710" s="4" t="inlineStr">
        <is>
          <t>● (p) Pos.1 Abnahme der SAA vor Ort</t>
        </is>
      </c>
      <c r="C4710" s="4" t="inlineStr">
        <is>
          <t>Pauschale</t>
        </is>
      </c>
      <c r="D4710" s="10" t="inlineStr">
        <is>
          <t>⚠ Manual erforderlich</t>
        </is>
      </c>
      <c r="E4710" s="11" t="inlineStr"/>
      <c r="F4710" s="11" t="n">
        <v>0</v>
      </c>
      <c r="G4710" s="11">
        <f>E4710-F4710</f>
        <v/>
      </c>
      <c r="H4710" s="11" t="n">
        <v>0</v>
      </c>
      <c r="I4710" s="11" t="n">
        <v>0</v>
      </c>
      <c r="J4710" s="11" t="n">
        <v>0</v>
      </c>
      <c r="K4710" s="4" t="inlineStr">
        <is>
          <t>Stundensätze eingeben</t>
        </is>
      </c>
    </row>
    <row r="4711">
      <c r="A4711" s="4" t="inlineStr">
        <is>
          <t>7351 DB-RV-WPP-Aachen-HBF-ELA-Beschallungsanlage</t>
        </is>
      </c>
      <c r="B4711" s="4" t="inlineStr">
        <is>
          <t>● (p) Pos.2 Erstellen d. Abnahmeberichts</t>
        </is>
      </c>
      <c r="C4711" s="4" t="inlineStr">
        <is>
          <t>Pauschale</t>
        </is>
      </c>
      <c r="D4711" s="10" t="inlineStr">
        <is>
          <t>⚠ Manual erforderlich</t>
        </is>
      </c>
      <c r="E4711" s="11" t="inlineStr"/>
      <c r="F4711" s="11" t="n">
        <v>0</v>
      </c>
      <c r="G4711" s="11">
        <f>E4711-F4711</f>
        <v/>
      </c>
      <c r="H4711" s="11" t="n">
        <v>0</v>
      </c>
      <c r="I4711" s="11" t="n">
        <v>0</v>
      </c>
      <c r="J4711" s="11" t="n">
        <v>0</v>
      </c>
      <c r="K4711" s="4" t="inlineStr">
        <is>
          <t>Stundensätze eingeben</t>
        </is>
      </c>
    </row>
    <row r="4712">
      <c r="A4712" s="4" t="inlineStr">
        <is>
          <t>7352 BSN-Taunusring-30-32-Offenbach-MFhäuser</t>
        </is>
      </c>
      <c r="B4712" s="4" t="inlineStr">
        <is>
          <t>● (p) Pos.1 Erstellung BSN Abstimmung mit Architekten</t>
        </is>
      </c>
      <c r="C4712" s="4" t="inlineStr">
        <is>
          <t>Pauschale</t>
        </is>
      </c>
      <c r="D4712" s="10" t="inlineStr">
        <is>
          <t>⚠ Manual erforderlich</t>
        </is>
      </c>
      <c r="E4712" s="11" t="inlineStr"/>
      <c r="F4712" s="11" t="n">
        <v>0</v>
      </c>
      <c r="G4712" s="11">
        <f>E4712-F4712</f>
        <v/>
      </c>
      <c r="H4712" s="11" t="n">
        <v>0</v>
      </c>
      <c r="I4712" s="11" t="n">
        <v>0</v>
      </c>
      <c r="J4712" s="11" t="n">
        <v>0</v>
      </c>
      <c r="K4712" s="4" t="inlineStr">
        <is>
          <t>Stundensätze eingeben</t>
        </is>
      </c>
    </row>
    <row r="4713">
      <c r="A4713" s="4" t="inlineStr">
        <is>
          <t>7352 BSN-Taunusring-30-32-Offenbach-MFhäuser</t>
        </is>
      </c>
      <c r="B4713" s="4" t="inlineStr">
        <is>
          <t>● (aN) Pos.4 Optional - zusätzl. Beratungsleistungen</t>
        </is>
      </c>
      <c r="C4713" s="4" t="inlineStr">
        <is>
          <t>Nachweis</t>
        </is>
      </c>
      <c r="D4713" s="10" t="inlineStr">
        <is>
          <t>⚠ Manual erforderlich</t>
        </is>
      </c>
      <c r="E4713" s="11" t="inlineStr"/>
      <c r="F4713" s="11" t="n">
        <v>0</v>
      </c>
      <c r="G4713" s="11">
        <f>E4713-F4713</f>
        <v/>
      </c>
      <c r="H4713" s="11" t="n">
        <v/>
      </c>
      <c r="I4713" s="11" t="n">
        <v/>
      </c>
      <c r="J4713" s="11" t="n">
        <v/>
      </c>
      <c r="K4713" s="4" t="inlineStr">
        <is>
          <t>Stundensätze eingeben</t>
        </is>
      </c>
    </row>
    <row r="4714">
      <c r="A4714" s="4" t="inlineStr">
        <is>
          <t>7354 BTB-Letzter-Hasenpfad-13-FFM</t>
        </is>
      </c>
      <c r="B4714" s="4" t="inlineStr">
        <is>
          <t>● (aN) Pos.1 BTB -Thematik Bew. d.bereits festgestellten Mängel unterschiedl. Wartungsfirmen</t>
        </is>
      </c>
      <c r="C4714" s="4" t="inlineStr">
        <is>
          <t>Nachweis</t>
        </is>
      </c>
      <c r="D4714" s="10" t="inlineStr">
        <is>
          <t>⚠ Manual erforderlich</t>
        </is>
      </c>
      <c r="E4714" s="11" t="inlineStr"/>
      <c r="F4714" s="11" t="n">
        <v>0</v>
      </c>
      <c r="G4714" s="11">
        <f>E4714-F4714</f>
        <v/>
      </c>
      <c r="H4714" s="11" t="n">
        <v/>
      </c>
      <c r="I4714" s="11" t="n">
        <v/>
      </c>
      <c r="J4714" s="11" t="n">
        <v/>
      </c>
      <c r="K4714" s="4" t="inlineStr">
        <is>
          <t>Stundensätze eingeben</t>
        </is>
      </c>
    </row>
    <row r="4715">
      <c r="A4715" s="4" t="inlineStr">
        <is>
          <t>7355 Pfizer-BST-Mooswaldallee-1-Freiburg-Geb-D-Neubau-Lastenaufzug</t>
        </is>
      </c>
      <c r="B4715" s="4" t="inlineStr">
        <is>
          <t>● (p) Pos. 1 BST</t>
        </is>
      </c>
      <c r="C4715" s="4" t="inlineStr">
        <is>
          <t>Pauschale</t>
        </is>
      </c>
      <c r="D4715" s="10" t="inlineStr">
        <is>
          <t>⚠ Manual erforderlich</t>
        </is>
      </c>
      <c r="E4715" s="11" t="inlineStr"/>
      <c r="F4715" s="11" t="n">
        <v>0</v>
      </c>
      <c r="G4715" s="11">
        <f>E4715-F4715</f>
        <v/>
      </c>
      <c r="H4715" s="11" t="n">
        <v>0</v>
      </c>
      <c r="I4715" s="11" t="n">
        <v>0</v>
      </c>
      <c r="J4715" s="11" t="n">
        <v>0</v>
      </c>
      <c r="K4715" s="4" t="inlineStr">
        <is>
          <t>Stundensätze eingeben</t>
        </is>
      </c>
    </row>
    <row r="4716">
      <c r="A4716" s="4" t="inlineStr">
        <is>
          <t>7355.01 Pfizer-BSK-Umnutzung-Mooswaldallee-1-Freiburg-Geb-K</t>
        </is>
      </c>
      <c r="B4716" s="4" t="inlineStr">
        <is>
          <t>● (p) Pos. 1 BSK</t>
        </is>
      </c>
      <c r="C4716" s="4" t="inlineStr">
        <is>
          <t>Pauschale</t>
        </is>
      </c>
      <c r="D4716" s="10" t="inlineStr">
        <is>
          <t>⚠ Manual erforderlich</t>
        </is>
      </c>
      <c r="E4716" s="11" t="inlineStr"/>
      <c r="F4716" s="11" t="n">
        <v>0</v>
      </c>
      <c r="G4716" s="11">
        <f>E4716-F4716</f>
        <v/>
      </c>
      <c r="H4716" s="11" t="n">
        <v>0</v>
      </c>
      <c r="I4716" s="11" t="n">
        <v>0</v>
      </c>
      <c r="J4716" s="11" t="n">
        <v>0</v>
      </c>
      <c r="K4716" s="4" t="inlineStr">
        <is>
          <t>Stundensätze eingeben</t>
        </is>
      </c>
    </row>
    <row r="4717">
      <c r="A4717" s="4" t="inlineStr">
        <is>
          <t>7355.02 Pfizer-BTB-Aufst-Wärmepumpen-Mooswaldallee-1-Freiburg-Geb-V-H-N</t>
        </is>
      </c>
      <c r="B4717" s="4" t="inlineStr">
        <is>
          <t>● Pos. 1 Erstellung einer Brandschutztechnischen Stellungnahme</t>
        </is>
      </c>
      <c r="C4717" s="9" t="inlineStr">
        <is>
          <t>Unbekannt</t>
        </is>
      </c>
      <c r="D4717" s="10" t="inlineStr">
        <is>
          <t>⚠ Manual erforderlich</t>
        </is>
      </c>
      <c r="E4717" s="11" t="inlineStr"/>
      <c r="F4717" s="11" t="n">
        <v>0</v>
      </c>
      <c r="G4717" s="11">
        <f>E4717-F4717</f>
        <v/>
      </c>
      <c r="H4717" s="11" t="n">
        <v/>
      </c>
      <c r="I4717" s="11" t="n">
        <v/>
      </c>
      <c r="J4717" s="11" t="n">
        <v/>
      </c>
      <c r="K4717" s="4" t="inlineStr">
        <is>
          <t>Abrechnungsart wählen; Stundensätze eingeben</t>
        </is>
      </c>
    </row>
    <row r="4718">
      <c r="A4718" s="4" t="inlineStr">
        <is>
          <t>7356.100 BSB-2025/04-2026/03-LOS-1-Petzvalstraße-18+38-Braunschweig-LAB-NI</t>
        </is>
      </c>
      <c r="B4718" s="4" t="inlineStr">
        <is>
          <t>● 9307- Begehung BSB + Vor- u. Nachbereitung....</t>
        </is>
      </c>
      <c r="C4718" s="9" t="inlineStr">
        <is>
          <t>Unbekannt</t>
        </is>
      </c>
      <c r="D4718" s="10" t="inlineStr">
        <is>
          <t>⚠ Manual erforderlich</t>
        </is>
      </c>
      <c r="E4718" s="11" t="inlineStr"/>
      <c r="F4718" s="11" t="n">
        <v>0</v>
      </c>
      <c r="G4718" s="11">
        <f>E4718-F4718</f>
        <v/>
      </c>
      <c r="H4718" s="11" t="n">
        <v/>
      </c>
      <c r="I4718" s="11" t="n">
        <v/>
      </c>
      <c r="J4718" s="11" t="n">
        <v/>
      </c>
      <c r="K4718" s="4" t="inlineStr">
        <is>
          <t>Abrechnungsart wählen; Stundensätze eingeben</t>
        </is>
      </c>
    </row>
    <row r="4719">
      <c r="A4719" s="4" t="inlineStr">
        <is>
          <t>7356.200 BSB-2025/04-2026/03-LOS-2-Benkendorffstraße-20-Langenhagen-LAB-NI</t>
        </is>
      </c>
      <c r="B4719" s="4" t="inlineStr">
        <is>
          <t>● 9307- Begehung BSB + Vor- u. Nachbereitung....</t>
        </is>
      </c>
      <c r="C4719" s="9" t="inlineStr">
        <is>
          <t>Unbekannt</t>
        </is>
      </c>
      <c r="D4719" s="10" t="inlineStr">
        <is>
          <t>⚠ Manual erforderlich</t>
        </is>
      </c>
      <c r="E4719" s="11" t="inlineStr"/>
      <c r="F4719" s="11" t="n">
        <v>0</v>
      </c>
      <c r="G4719" s="11">
        <f>E4719-F4719</f>
        <v/>
      </c>
      <c r="H4719" s="11" t="n">
        <v/>
      </c>
      <c r="I4719" s="11" t="n">
        <v/>
      </c>
      <c r="J4719" s="11" t="n">
        <v/>
      </c>
      <c r="K4719" s="4" t="inlineStr">
        <is>
          <t>Abrechnungsart wählen; Stundensätze eingeben</t>
        </is>
      </c>
    </row>
    <row r="4720">
      <c r="A4720" s="4" t="inlineStr">
        <is>
          <t>7356.300 BSB-2025/04-2026/03-LOS-3-Vrestorfer-Weg-3-Lüneburg-LAB-NI</t>
        </is>
      </c>
      <c r="B4720" s="4" t="inlineStr">
        <is>
          <t>● 9307-Begehung BSB + Vor- u. Nachbereitung....</t>
        </is>
      </c>
      <c r="C4720" s="9" t="inlineStr">
        <is>
          <t>Unbekannt</t>
        </is>
      </c>
      <c r="D4720" s="10" t="inlineStr">
        <is>
          <t>⚠ Manual erforderlich</t>
        </is>
      </c>
      <c r="E4720" s="11" t="inlineStr"/>
      <c r="F4720" s="11" t="n">
        <v>0</v>
      </c>
      <c r="G4720" s="11">
        <f>E4720-F4720</f>
        <v/>
      </c>
      <c r="H4720" s="11" t="n">
        <v/>
      </c>
      <c r="I4720" s="11" t="n">
        <v/>
      </c>
      <c r="J4720" s="11" t="n">
        <v/>
      </c>
      <c r="K4720" s="4" t="inlineStr">
        <is>
          <t>Abrechnungsart wählen; Stundensätze eingeben</t>
        </is>
      </c>
    </row>
    <row r="4721">
      <c r="A4721" s="4" t="inlineStr">
        <is>
          <t>7356.400 BSB-2025/04-2026/03-LOS-4-Boeselagerstraße-2+4-Braunschweig-LAB-NI</t>
        </is>
      </c>
      <c r="B4721" s="4" t="inlineStr">
        <is>
          <t>● 9307- 1. Begehung BSB + Vor- und Nachbereitung / Dokumentation</t>
        </is>
      </c>
      <c r="C4721" s="9" t="inlineStr">
        <is>
          <t>Unbekannt</t>
        </is>
      </c>
      <c r="D4721" s="10" t="inlineStr">
        <is>
          <t>⚠ Manual erforderlich</t>
        </is>
      </c>
      <c r="E4721" s="11" t="inlineStr"/>
      <c r="F4721" s="11" t="n">
        <v>0</v>
      </c>
      <c r="G4721" s="11">
        <f>E4721-F4721</f>
        <v/>
      </c>
      <c r="H4721" s="11" t="n">
        <v/>
      </c>
      <c r="I4721" s="11" t="n">
        <v/>
      </c>
      <c r="J4721" s="11" t="n">
        <v/>
      </c>
      <c r="K4721" s="4" t="inlineStr">
        <is>
          <t>Abrechnungsart wählen; Stundensätze eingeben</t>
        </is>
      </c>
    </row>
    <row r="4722">
      <c r="A4722" s="4" t="inlineStr">
        <is>
          <t>7356.500 BSB-2025-04-2026-03-LOS-5-Sedanstraße-115-Osnabrück-LAB-NI</t>
        </is>
      </c>
      <c r="B4722" s="4" t="inlineStr">
        <is>
          <t>● 9307- 1. Begehung BSB + Vor- u. Nachbereitung / Dokumentation</t>
        </is>
      </c>
      <c r="C4722" s="9" t="inlineStr">
        <is>
          <t>Unbekannt</t>
        </is>
      </c>
      <c r="D4722" s="10" t="inlineStr">
        <is>
          <t>⚠ Manual erforderlich</t>
        </is>
      </c>
      <c r="E4722" s="11" t="inlineStr"/>
      <c r="F4722" s="11" t="n">
        <v>0</v>
      </c>
      <c r="G4722" s="11">
        <f>E4722-F4722</f>
        <v/>
      </c>
      <c r="H4722" s="11" t="n">
        <v/>
      </c>
      <c r="I4722" s="11" t="n">
        <v/>
      </c>
      <c r="J4722" s="11" t="n">
        <v/>
      </c>
      <c r="K4722" s="4" t="inlineStr">
        <is>
          <t>Abrechnungsart wählen; Stundensätze eingeben</t>
        </is>
      </c>
    </row>
    <row r="4723">
      <c r="A4723" s="4" t="inlineStr">
        <is>
          <t>7356.600 BSB-2025-04-2026-03-LOS-6-Im-Rehhagen-8-Bramsche-LAB-NI</t>
        </is>
      </c>
      <c r="B4723" s="4" t="inlineStr">
        <is>
          <t>● 9307- 1. Begehung BSB + vor- u. Nachbereitung / Dokumentation</t>
        </is>
      </c>
      <c r="C4723" s="9" t="inlineStr">
        <is>
          <t>Unbekannt</t>
        </is>
      </c>
      <c r="D4723" s="10" t="inlineStr">
        <is>
          <t>⚠ Manual erforderlich</t>
        </is>
      </c>
      <c r="E4723" s="11" t="inlineStr"/>
      <c r="F4723" s="11" t="n">
        <v>0</v>
      </c>
      <c r="G4723" s="11">
        <f>E4723-F4723</f>
        <v/>
      </c>
      <c r="H4723" s="11" t="n">
        <v/>
      </c>
      <c r="I4723" s="11" t="n">
        <v/>
      </c>
      <c r="J4723" s="11" t="n">
        <v/>
      </c>
      <c r="K4723" s="4" t="inlineStr">
        <is>
          <t>Abrechnungsart wählen; Stundensätze eingeben</t>
        </is>
      </c>
    </row>
    <row r="4724">
      <c r="A4724" s="4" t="inlineStr">
        <is>
          <t>7356.700 BSB-2025-04-2026-03-LOS-9-Klostermark-70-80-Oldenburg-LAB-NI</t>
        </is>
      </c>
      <c r="B4724" s="4" t="inlineStr">
        <is>
          <t>● 9307- 1. Begehung BSB + Vor- u. Nachbereitung</t>
        </is>
      </c>
      <c r="C4724" s="9" t="inlineStr">
        <is>
          <t>Unbekannt</t>
        </is>
      </c>
      <c r="D4724" s="10" t="inlineStr">
        <is>
          <t>⚠ Manual erforderlich</t>
        </is>
      </c>
      <c r="E4724" s="11" t="inlineStr"/>
      <c r="F4724" s="11" t="n">
        <v>0</v>
      </c>
      <c r="G4724" s="11">
        <f>E4724-F4724</f>
        <v/>
      </c>
      <c r="H4724" s="11" t="n">
        <v/>
      </c>
      <c r="I4724" s="11" t="n">
        <v/>
      </c>
      <c r="J4724" s="11" t="n">
        <v/>
      </c>
      <c r="K4724" s="4" t="inlineStr">
        <is>
          <t>Abrechnungsart wählen; Stundensätze eingeben</t>
        </is>
      </c>
    </row>
    <row r="4725">
      <c r="A4725" s="4" t="inlineStr">
        <is>
          <t>7357 LKOberhavel-AHO-Rettungswache-Bergfelder-Chaussee11-Schönfließ</t>
        </is>
      </c>
      <c r="B4725" s="4" t="inlineStr">
        <is>
          <t>● (p) Pos.1 LPH 1 Grundlagenermittlung GL</t>
        </is>
      </c>
      <c r="C4725" s="4" t="inlineStr">
        <is>
          <t>Pauschale</t>
        </is>
      </c>
      <c r="D4725" s="10" t="inlineStr">
        <is>
          <t>⚠ Manual erforderlich</t>
        </is>
      </c>
      <c r="E4725" s="11" t="inlineStr"/>
      <c r="F4725" s="11" t="n">
        <v>0</v>
      </c>
      <c r="G4725" s="11">
        <f>E4725-F4725</f>
        <v/>
      </c>
      <c r="H4725" s="11" t="n">
        <v>0</v>
      </c>
      <c r="I4725" s="11" t="n">
        <v>0</v>
      </c>
      <c r="J4725" s="11" t="n">
        <v>0</v>
      </c>
      <c r="K4725" s="4" t="inlineStr">
        <is>
          <t>Stundensätze eingeben</t>
        </is>
      </c>
    </row>
    <row r="4726">
      <c r="A4726" s="4" t="inlineStr">
        <is>
          <t>7357 LKOberhavel-AHO-Rettungswache-Bergfelder-Chaussee11-Schönfließ</t>
        </is>
      </c>
      <c r="B4726" s="4" t="inlineStr">
        <is>
          <t>● (p) Pos.2 LPH 2 Vorplanung GL</t>
        </is>
      </c>
      <c r="C4726" s="4" t="inlineStr">
        <is>
          <t>Pauschale</t>
        </is>
      </c>
      <c r="D4726" s="10" t="inlineStr">
        <is>
          <t>⚠ Manual erforderlich</t>
        </is>
      </c>
      <c r="E4726" s="11" t="inlineStr"/>
      <c r="F4726" s="11" t="n">
        <v>0</v>
      </c>
      <c r="G4726" s="11">
        <f>E4726-F4726</f>
        <v/>
      </c>
      <c r="H4726" s="11" t="n">
        <v>0</v>
      </c>
      <c r="I4726" s="11" t="n">
        <v>0</v>
      </c>
      <c r="J4726" s="11" t="n">
        <v>0</v>
      </c>
      <c r="K4726" s="4" t="inlineStr">
        <is>
          <t>Stundensätze eingeben</t>
        </is>
      </c>
    </row>
    <row r="4727">
      <c r="A4727" s="4" t="inlineStr">
        <is>
          <t>7357 LKOberhavel-AHO-Rettungswache-Bergfelder-Chaussee11-Schönfließ</t>
        </is>
      </c>
      <c r="B4727" s="4" t="inlineStr">
        <is>
          <t>● (p) Pos.3 LPH 3 Entwurfsplanung GL</t>
        </is>
      </c>
      <c r="C4727" s="4" t="inlineStr">
        <is>
          <t>Pauschale</t>
        </is>
      </c>
      <c r="D4727" s="10" t="inlineStr">
        <is>
          <t>⚠ Manual erforderlich</t>
        </is>
      </c>
      <c r="E4727" s="11" t="inlineStr"/>
      <c r="F4727" s="11" t="n">
        <v>0</v>
      </c>
      <c r="G4727" s="11">
        <f>E4727-F4727</f>
        <v/>
      </c>
      <c r="H4727" s="11" t="n">
        <v>0</v>
      </c>
      <c r="I4727" s="11" t="n">
        <v>0</v>
      </c>
      <c r="J4727" s="11" t="n">
        <v>0</v>
      </c>
      <c r="K4727" s="4" t="inlineStr">
        <is>
          <t>Stundensätze eingeben</t>
        </is>
      </c>
    </row>
    <row r="4728">
      <c r="A4728" s="4" t="inlineStr">
        <is>
          <t>7357 LKOberhavel-AHO-Rettungswache-Bergfelder-Chaussee11-Schönfließ</t>
        </is>
      </c>
      <c r="B4728" s="4" t="inlineStr">
        <is>
          <t>● (p) Pos.4 LPH 4 Genehmigungsplanung GL</t>
        </is>
      </c>
      <c r="C4728" s="4" t="inlineStr">
        <is>
          <t>Pauschale</t>
        </is>
      </c>
      <c r="D4728" s="10" t="inlineStr">
        <is>
          <t>⚠ Manual erforderlich</t>
        </is>
      </c>
      <c r="E4728" s="11" t="inlineStr"/>
      <c r="F4728" s="11" t="n">
        <v>0</v>
      </c>
      <c r="G4728" s="11">
        <f>E4728-F4728</f>
        <v/>
      </c>
      <c r="H4728" s="11" t="n">
        <v>0</v>
      </c>
      <c r="I4728" s="11" t="n">
        <v>0</v>
      </c>
      <c r="J4728" s="11" t="n">
        <v>0</v>
      </c>
      <c r="K4728" s="4" t="inlineStr">
        <is>
          <t>Stundensätze eingeben</t>
        </is>
      </c>
    </row>
    <row r="4729">
      <c r="A4729" s="4" t="inlineStr">
        <is>
          <t>7357 LKOberhavel-AHO-Rettungswache-Bergfelder-Chaussee11-Schönfließ</t>
        </is>
      </c>
      <c r="B4729" s="4" t="inlineStr">
        <is>
          <t>● (p) Pos.5 LPH 4 Genehmigungsplanung, Optionale Lstg.</t>
        </is>
      </c>
      <c r="C4729" s="4" t="inlineStr">
        <is>
          <t>Pauschale</t>
        </is>
      </c>
      <c r="D4729" s="10" t="inlineStr">
        <is>
          <t>⚠ Manual erforderlich</t>
        </is>
      </c>
      <c r="E4729" s="11" t="inlineStr"/>
      <c r="F4729" s="11" t="n">
        <v>0</v>
      </c>
      <c r="G4729" s="11">
        <f>E4729-F4729</f>
        <v/>
      </c>
      <c r="H4729" s="11" t="n">
        <v>0</v>
      </c>
      <c r="I4729" s="11" t="n">
        <v>0</v>
      </c>
      <c r="J4729" s="11" t="n">
        <v>0</v>
      </c>
      <c r="K4729" s="4" t="inlineStr">
        <is>
          <t>Stundensätze eingeben</t>
        </is>
      </c>
    </row>
    <row r="4730">
      <c r="A4730" s="4" t="inlineStr">
        <is>
          <t>7358 StadtRadevormwald-FLAK-Wülfingmuseum-AmGraben2-6-Radevormwald</t>
        </is>
      </c>
      <c r="B4730" s="4" t="inlineStr">
        <is>
          <t>● (p) Pos. 1 Erstellung / Fortschreibung eines Löschanlagenkonzepts</t>
        </is>
      </c>
      <c r="C4730" s="4" t="inlineStr">
        <is>
          <t>Pauschale</t>
        </is>
      </c>
      <c r="D4730" s="10" t="inlineStr">
        <is>
          <t>⚠ Manual erforderlich</t>
        </is>
      </c>
      <c r="E4730" s="11" t="inlineStr"/>
      <c r="F4730" s="11" t="n">
        <v>0</v>
      </c>
      <c r="G4730" s="11">
        <f>E4730-F4730</f>
        <v/>
      </c>
      <c r="H4730" s="11" t="n">
        <v/>
      </c>
      <c r="I4730" s="11" t="n">
        <v/>
      </c>
      <c r="J4730" s="11" t="n">
        <v/>
      </c>
      <c r="K4730" s="4" t="inlineStr">
        <is>
          <t>Stundensätze eingeben</t>
        </is>
      </c>
    </row>
    <row r="4731">
      <c r="A4731" s="4" t="inlineStr">
        <is>
          <t>7359 BSN-Dehnhardtstraße 11-Frankfurt</t>
        </is>
      </c>
      <c r="B4731" s="4" t="inlineStr">
        <is>
          <t>● (p) Pos.1 tabellarischer BSN</t>
        </is>
      </c>
      <c r="C4731" s="4" t="inlineStr">
        <is>
          <t>Pauschale</t>
        </is>
      </c>
      <c r="D4731" s="10" t="inlineStr">
        <is>
          <t>⚠ Manual erforderlich</t>
        </is>
      </c>
      <c r="E4731" s="11" t="inlineStr"/>
      <c r="F4731" s="11" t="n">
        <v>0</v>
      </c>
      <c r="G4731" s="11">
        <f>E4731-F4731</f>
        <v/>
      </c>
      <c r="H4731" s="11" t="n">
        <v>0</v>
      </c>
      <c r="I4731" s="11" t="n">
        <v>0</v>
      </c>
      <c r="J4731" s="11" t="n">
        <v>0</v>
      </c>
      <c r="K4731" s="4" t="inlineStr">
        <is>
          <t>Stundensätze eingeben</t>
        </is>
      </c>
    </row>
    <row r="4732">
      <c r="A4732" s="4" t="inlineStr">
        <is>
          <t>7360.01 BTB-Wilhelmstraße-52e-Wiesbaden-Hans-im-Glück</t>
        </is>
      </c>
      <c r="B4732" s="4" t="inlineStr">
        <is>
          <t>● (aN) Pos.1 BTB - Baubegl. der festgelegten Maßnahmen zur brandschutztechn. Mängelbeseitigung</t>
        </is>
      </c>
      <c r="C4732" s="4" t="inlineStr">
        <is>
          <t>Nachweis</t>
        </is>
      </c>
      <c r="D4732" s="10" t="inlineStr">
        <is>
          <t>⚠ Manual erforderlich</t>
        </is>
      </c>
      <c r="E4732" s="11" t="inlineStr"/>
      <c r="F4732" s="11" t="n">
        <v>0</v>
      </c>
      <c r="G4732" s="11">
        <f>E4732-F4732</f>
        <v/>
      </c>
      <c r="H4732" s="11" t="n">
        <v/>
      </c>
      <c r="I4732" s="11" t="n">
        <v/>
      </c>
      <c r="J4732" s="11" t="n">
        <v/>
      </c>
      <c r="K4732" s="4" t="inlineStr">
        <is>
          <t>Stundensätze eingeben</t>
        </is>
      </c>
    </row>
    <row r="4733">
      <c r="A4733" s="4" t="inlineStr">
        <is>
          <t>7361 Energieprojekte-DK-BSK-WP-Thalfingen+Repowering-Anlage-Seligweiler-Bayern</t>
        </is>
      </c>
      <c r="B4733" s="4" t="inlineStr">
        <is>
          <t>● (p) Pos. 1 Erstellung BSK</t>
        </is>
      </c>
      <c r="C4733" s="4" t="inlineStr">
        <is>
          <t>Pauschale</t>
        </is>
      </c>
      <c r="D4733" s="10" t="inlineStr">
        <is>
          <t>⚠ Manual erforderlich</t>
        </is>
      </c>
      <c r="E4733" s="11" t="inlineStr"/>
      <c r="F4733" s="11" t="n">
        <v>0</v>
      </c>
      <c r="G4733" s="11">
        <f>E4733-F4733</f>
        <v/>
      </c>
      <c r="H4733" s="11" t="n">
        <v>0</v>
      </c>
      <c r="I4733" s="11" t="n">
        <v>0</v>
      </c>
      <c r="J4733" s="11" t="n">
        <v>0</v>
      </c>
      <c r="K4733" s="4" t="inlineStr">
        <is>
          <t>Stundensätze eingeben</t>
        </is>
      </c>
    </row>
    <row r="4734">
      <c r="A4734" s="4" t="inlineStr">
        <is>
          <t>7362 BSA-BW-Seminarinhalte-und-Durchführung-Breisgauring13-Eschbach</t>
        </is>
      </c>
      <c r="B4734" s="4" t="inlineStr">
        <is>
          <t>● (p) Pos. 1 Betreiberverantwortung im Facility Management</t>
        </is>
      </c>
      <c r="C4734" s="4" t="inlineStr">
        <is>
          <t>Pauschale</t>
        </is>
      </c>
      <c r="D4734" s="10" t="inlineStr">
        <is>
          <t>⚠ Manual erforderlich</t>
        </is>
      </c>
      <c r="E4734" s="11" t="inlineStr"/>
      <c r="F4734" s="11" t="n">
        <v>0</v>
      </c>
      <c r="G4734" s="11">
        <f>E4734-F4734</f>
        <v/>
      </c>
      <c r="H4734" s="11" t="n">
        <v/>
      </c>
      <c r="I4734" s="11" t="n">
        <v/>
      </c>
      <c r="J4734" s="11" t="n">
        <v/>
      </c>
      <c r="K4734" s="4" t="inlineStr">
        <is>
          <t>Stundensätze eingeben</t>
        </is>
      </c>
    </row>
    <row r="4735">
      <c r="A4735" s="4" t="inlineStr">
        <is>
          <t>7362 BSA-BW-Seminarinhalte-und-Durchführung-Breisgauring13-Eschbach</t>
        </is>
      </c>
      <c r="B4735" s="4" t="inlineStr">
        <is>
          <t>● (p) Pos. 2 Brandschutzklappen – Befähigte Person für Prüfung und Instandhaltung</t>
        </is>
      </c>
      <c r="C4735" s="4" t="inlineStr">
        <is>
          <t>Pauschale</t>
        </is>
      </c>
      <c r="D4735" s="10" t="inlineStr">
        <is>
          <t>⚠ Manual erforderlich</t>
        </is>
      </c>
      <c r="E4735" s="11" t="inlineStr"/>
      <c r="F4735" s="11" t="n">
        <v>0</v>
      </c>
      <c r="G4735" s="11">
        <f>E4735-F4735</f>
        <v/>
      </c>
      <c r="H4735" s="11" t="n">
        <v/>
      </c>
      <c r="I4735" s="11" t="n">
        <v/>
      </c>
      <c r="J4735" s="11" t="n">
        <v/>
      </c>
      <c r="K4735" s="4" t="inlineStr">
        <is>
          <t>Stundensätze eingeben</t>
        </is>
      </c>
    </row>
    <row r="4736">
      <c r="A4736" s="4" t="inlineStr">
        <is>
          <t>7362 BSA-BW-Seminarinhalte-und-Durchführung-Breisgauring13-Eschbach</t>
        </is>
      </c>
      <c r="B4736" s="4" t="inlineStr">
        <is>
          <t>● (p) Pos. 3 Brandschutzpläne</t>
        </is>
      </c>
      <c r="C4736" s="4" t="inlineStr">
        <is>
          <t>Pauschale</t>
        </is>
      </c>
      <c r="D4736" s="10" t="inlineStr">
        <is>
          <t>⚠ Manual erforderlich</t>
        </is>
      </c>
      <c r="E4736" s="11" t="inlineStr"/>
      <c r="F4736" s="11" t="n">
        <v>0</v>
      </c>
      <c r="G4736" s="11">
        <f>E4736-F4736</f>
        <v/>
      </c>
      <c r="H4736" s="11" t="n">
        <v/>
      </c>
      <c r="I4736" s="11" t="n">
        <v/>
      </c>
      <c r="J4736" s="11" t="n">
        <v/>
      </c>
      <c r="K4736" s="4" t="inlineStr">
        <is>
          <t>Stundensätze eingeben</t>
        </is>
      </c>
    </row>
    <row r="4737">
      <c r="A4737" s="4" t="inlineStr">
        <is>
          <t>7362 BSA-BW-Seminarinhalte-und-Durchführung-Breisgauring13-Eschbach</t>
        </is>
      </c>
      <c r="B4737" s="4" t="inlineStr">
        <is>
          <t>● (aN) Pos. 5 Übernachtungspauschale</t>
        </is>
      </c>
      <c r="C4737" s="4" t="inlineStr">
        <is>
          <t>Nachweis</t>
        </is>
      </c>
      <c r="D4737" s="10" t="inlineStr">
        <is>
          <t>⚠ Manual erforderlich</t>
        </is>
      </c>
      <c r="E4737" s="11" t="inlineStr"/>
      <c r="F4737" s="11" t="n">
        <v>0</v>
      </c>
      <c r="G4737" s="11">
        <f>E4737-F4737</f>
        <v/>
      </c>
      <c r="H4737" s="11" t="n">
        <v/>
      </c>
      <c r="I4737" s="11" t="n">
        <v/>
      </c>
      <c r="J4737" s="11" t="n">
        <v/>
      </c>
      <c r="K4737" s="4" t="inlineStr">
        <is>
          <t>Stundensätze eingeben</t>
        </is>
      </c>
    </row>
    <row r="4738">
      <c r="A4738" s="4" t="inlineStr">
        <is>
          <t>7362 BSA-BW-Seminarinhalte-und-Durchführung-Breisgauring13-Eschbach</t>
        </is>
      </c>
      <c r="B4738" s="4" t="inlineStr">
        <is>
          <t>● • (aN) 25-05-07 Online-Seminar Grundlagen der Rauch- und Wärmeabzugsanlagen</t>
        </is>
      </c>
      <c r="C4738" s="4" t="inlineStr">
        <is>
          <t>Nachweis</t>
        </is>
      </c>
      <c r="D4738" s="10" t="inlineStr">
        <is>
          <t>⚠ Manual erforderlich</t>
        </is>
      </c>
      <c r="E4738" s="11" t="inlineStr"/>
      <c r="F4738" s="11" t="n">
        <v>0</v>
      </c>
      <c r="G4738" s="11">
        <f>E4738-F4738</f>
        <v/>
      </c>
      <c r="H4738" s="11" t="n">
        <v/>
      </c>
      <c r="I4738" s="11" t="n">
        <v/>
      </c>
      <c r="J4738" s="11" t="n">
        <v/>
      </c>
      <c r="K4738" s="4" t="inlineStr">
        <is>
          <t>Stundensätze eingeben</t>
        </is>
      </c>
    </row>
    <row r="4739">
      <c r="A4739" s="4" t="inlineStr">
        <is>
          <t>7362 BSA-BW-Seminarinhalte-und-Durchführung-Breisgauring13-Eschbach</t>
        </is>
      </c>
      <c r="B4739" s="4" t="inlineStr">
        <is>
          <t>● • (aN) 25-10-08 Online-Seminar Brandschutzklappen-RWA</t>
        </is>
      </c>
      <c r="C4739" s="4" t="inlineStr">
        <is>
          <t>Nachweis</t>
        </is>
      </c>
      <c r="D4739" s="10" t="inlineStr">
        <is>
          <t>⚠ Manual erforderlich</t>
        </is>
      </c>
      <c r="E4739" s="11" t="inlineStr"/>
      <c r="F4739" s="11" t="n">
        <v>0</v>
      </c>
      <c r="G4739" s="11">
        <f>E4739-F4739</f>
        <v/>
      </c>
      <c r="H4739" s="11" t="n">
        <v/>
      </c>
      <c r="I4739" s="11" t="n">
        <v/>
      </c>
      <c r="J4739" s="11" t="n">
        <v/>
      </c>
      <c r="K4739" s="4" t="inlineStr">
        <is>
          <t>Stundensätze eingeben</t>
        </is>
      </c>
    </row>
    <row r="4740">
      <c r="A4740" s="4" t="inlineStr">
        <is>
          <t>7362 BSA-BW-Seminarinhalte-und-Durchführung-Breisgauring13-Eschbach</t>
        </is>
      </c>
      <c r="B4740" s="4" t="inlineStr">
        <is>
          <t>● • ‧ 2 Tagespauschalen á 1.050€</t>
        </is>
      </c>
      <c r="C4740" s="9" t="inlineStr">
        <is>
          <t>Unbekannt</t>
        </is>
      </c>
      <c r="D4740" s="10" t="inlineStr">
        <is>
          <t>⚠ Manual erforderlich</t>
        </is>
      </c>
      <c r="E4740" s="11" t="inlineStr"/>
      <c r="F4740" s="11" t="n">
        <v>0</v>
      </c>
      <c r="G4740" s="11">
        <f>E4740-F4740</f>
        <v/>
      </c>
      <c r="H4740" s="11" t="n">
        <v/>
      </c>
      <c r="I4740" s="11" t="n">
        <v/>
      </c>
      <c r="J4740" s="11" t="n">
        <v/>
      </c>
      <c r="K4740" s="4" t="inlineStr">
        <is>
          <t>Abrechnungsart wählen; Stundensätze eingeben</t>
        </is>
      </c>
    </row>
    <row r="4741">
      <c r="A4741" s="4" t="inlineStr">
        <is>
          <t>7362 BSA-BW-Seminarinhalte-und-Durchführung-Breisgauring13-Eschbach</t>
        </is>
      </c>
      <c r="B4741" s="4" t="inlineStr">
        <is>
          <t>● • ‧ Fahrtkosten 400km</t>
        </is>
      </c>
      <c r="C4741" s="9" t="inlineStr">
        <is>
          <t>Unbekannt</t>
        </is>
      </c>
      <c r="D4741" s="10" t="inlineStr">
        <is>
          <t>⚠ Manual erforderlich</t>
        </is>
      </c>
      <c r="E4741" s="11" t="inlineStr"/>
      <c r="F4741" s="11" t="n">
        <v>0</v>
      </c>
      <c r="G4741" s="11">
        <f>E4741-F4741</f>
        <v/>
      </c>
      <c r="H4741" s="11" t="n">
        <v/>
      </c>
      <c r="I4741" s="11" t="n">
        <v/>
      </c>
      <c r="J4741" s="11" t="n">
        <v/>
      </c>
      <c r="K4741" s="4" t="inlineStr">
        <is>
          <t>Abrechnungsart wählen; Stundensätze eingeben</t>
        </is>
      </c>
    </row>
    <row r="4742">
      <c r="A4742" s="4" t="inlineStr">
        <is>
          <t>7362 BSA-BW-Seminarinhalte-und-Durchführung-Breisgauring13-Eschbach</t>
        </is>
      </c>
      <c r="B4742" s="4" t="inlineStr">
        <is>
          <t>● • (p) Pos. 1 Referententätigkeit (Tagespauschale)</t>
        </is>
      </c>
      <c r="C4742" s="4" t="inlineStr">
        <is>
          <t>Pauschale</t>
        </is>
      </c>
      <c r="D4742" s="10" t="inlineStr">
        <is>
          <t>⚠ Manual erforderlich</t>
        </is>
      </c>
      <c r="E4742" s="11" t="inlineStr"/>
      <c r="F4742" s="11" t="n">
        <v>0</v>
      </c>
      <c r="G4742" s="11">
        <f>E4742-F4742</f>
        <v/>
      </c>
      <c r="H4742" s="11" t="n">
        <v>0</v>
      </c>
      <c r="I4742" s="11" t="n">
        <v>0</v>
      </c>
      <c r="J4742" s="11" t="n">
        <v>0</v>
      </c>
      <c r="K4742" s="4" t="inlineStr">
        <is>
          <t>Stundensätze eingeben</t>
        </is>
      </c>
    </row>
    <row r="4743">
      <c r="A4743" s="4" t="inlineStr">
        <is>
          <t>7363 Energieprojekte-DK-BSK-WEA-WP-Uettingen-im-Wald</t>
        </is>
      </c>
      <c r="B4743" s="4" t="inlineStr">
        <is>
          <t>● (p) Pos. 1 Erstellung BSK</t>
        </is>
      </c>
      <c r="C4743" s="4" t="inlineStr">
        <is>
          <t>Pauschale</t>
        </is>
      </c>
      <c r="D4743" s="10" t="inlineStr">
        <is>
          <t>⚠ Manual erforderlich</t>
        </is>
      </c>
      <c r="E4743" s="11" t="inlineStr"/>
      <c r="F4743" s="11" t="n">
        <v>0</v>
      </c>
      <c r="G4743" s="11">
        <f>E4743-F4743</f>
        <v/>
      </c>
      <c r="H4743" s="11" t="n">
        <v>0</v>
      </c>
      <c r="I4743" s="11" t="n">
        <v>0</v>
      </c>
      <c r="J4743" s="11" t="n">
        <v>0</v>
      </c>
      <c r="K4743" s="4" t="inlineStr">
        <is>
          <t>Stundensätze eingeben</t>
        </is>
      </c>
    </row>
    <row r="4744">
      <c r="A4744" s="4" t="inlineStr">
        <is>
          <t>7364 SHE-BSK-WP-Göttingen-Baden-Württemberg</t>
        </is>
      </c>
      <c r="B4744" s="4" t="inlineStr">
        <is>
          <t>● (p) Pos. 1 Erstellung BSK</t>
        </is>
      </c>
      <c r="C4744" s="4" t="inlineStr">
        <is>
          <t>Pauschale</t>
        </is>
      </c>
      <c r="D4744" s="10" t="inlineStr">
        <is>
          <t>⚠ Manual erforderlich</t>
        </is>
      </c>
      <c r="E4744" s="11" t="inlineStr"/>
      <c r="F4744" s="11" t="n">
        <v>0</v>
      </c>
      <c r="G4744" s="11">
        <f>E4744-F4744</f>
        <v/>
      </c>
      <c r="H4744" s="11" t="n">
        <v>0</v>
      </c>
      <c r="I4744" s="11" t="n">
        <v>0</v>
      </c>
      <c r="J4744" s="11" t="n">
        <v>0</v>
      </c>
      <c r="K4744" s="4" t="inlineStr">
        <is>
          <t>Stundensätze eingeben</t>
        </is>
      </c>
    </row>
    <row r="4745">
      <c r="A4745" s="4" t="inlineStr">
        <is>
          <t>7365 UI-BTB-StGeorgenerStr-Freiburg-Breisgaucenter</t>
        </is>
      </c>
      <c r="B4745" s="4" t="inlineStr">
        <is>
          <t>● (aN) Pos. 1 Brandschutztechnische Beratung während der Planungsphase</t>
        </is>
      </c>
      <c r="C4745" s="4" t="inlineStr">
        <is>
          <t>Nachweis</t>
        </is>
      </c>
      <c r="D4745" s="10" t="inlineStr">
        <is>
          <t>⚠ Manual erforderlich</t>
        </is>
      </c>
      <c r="E4745" s="11" t="inlineStr"/>
      <c r="F4745" s="11" t="n">
        <v>0</v>
      </c>
      <c r="G4745" s="11">
        <f>E4745-F4745</f>
        <v/>
      </c>
      <c r="H4745" s="11" t="n">
        <v/>
      </c>
      <c r="I4745" s="11" t="n">
        <v/>
      </c>
      <c r="J4745" s="11" t="n">
        <v/>
      </c>
      <c r="K4745" s="4" t="inlineStr">
        <is>
          <t>Stundensätze eingeben</t>
        </is>
      </c>
    </row>
    <row r="4746">
      <c r="A4746" s="4" t="inlineStr">
        <is>
          <t>7365.01 UI-BST-StGeorgener-Str-2-Freiburg-Breisgaucenter</t>
        </is>
      </c>
      <c r="B4746" s="4" t="inlineStr">
        <is>
          <t>● (p) Pos. 1 Erstellung BST</t>
        </is>
      </c>
      <c r="C4746" s="4" t="inlineStr">
        <is>
          <t>Pauschale</t>
        </is>
      </c>
      <c r="D4746" s="10" t="inlineStr">
        <is>
          <t>⚠ Manual erforderlich</t>
        </is>
      </c>
      <c r="E4746" s="11" t="inlineStr"/>
      <c r="F4746" s="11" t="n">
        <v>0</v>
      </c>
      <c r="G4746" s="11">
        <f>E4746-F4746</f>
        <v/>
      </c>
      <c r="H4746" s="11" t="n">
        <v>0</v>
      </c>
      <c r="I4746" s="11" t="n">
        <v>0</v>
      </c>
      <c r="J4746" s="11" t="n">
        <v>0</v>
      </c>
      <c r="K4746" s="4" t="inlineStr">
        <is>
          <t>Stundensätze eingeben</t>
        </is>
      </c>
    </row>
    <row r="4747">
      <c r="A4747" s="4" t="inlineStr">
        <is>
          <t>7365.01 UI-BST-StGeorgener-Str-2-Freiburg-Breisgaucenter</t>
        </is>
      </c>
      <c r="B4747" s="4" t="inlineStr">
        <is>
          <t>● (aN) Pos.2 BTB während Planungsphase</t>
        </is>
      </c>
      <c r="C4747" s="4" t="inlineStr">
        <is>
          <t>Nachweis</t>
        </is>
      </c>
      <c r="D4747" s="10" t="inlineStr">
        <is>
          <t>⚠ Manual erforderlich</t>
        </is>
      </c>
      <c r="E4747" s="11" t="inlineStr"/>
      <c r="F4747" s="11" t="n">
        <v>0</v>
      </c>
      <c r="G4747" s="11">
        <f>E4747-F4747</f>
        <v/>
      </c>
      <c r="H4747" s="11" t="n">
        <v/>
      </c>
      <c r="I4747" s="11" t="n">
        <v/>
      </c>
      <c r="J4747" s="11" t="n">
        <v/>
      </c>
      <c r="K4747" s="4" t="inlineStr">
        <is>
          <t>Stundensätze eingeben</t>
        </is>
      </c>
    </row>
    <row r="4748">
      <c r="A4748" s="4" t="inlineStr">
        <is>
          <t>7367 BSK-Major-Karl-Plagge-Kaserne-An-der-neuen-Bergstraße-102-Pfungstadt</t>
        </is>
      </c>
      <c r="B4748" s="4" t="inlineStr">
        <is>
          <t>● Planungseinheit 1 - Halle 4a, 4c, 7a + 7b</t>
        </is>
      </c>
      <c r="C4748" s="9" t="inlineStr">
        <is>
          <t>Unbekannt</t>
        </is>
      </c>
      <c r="D4748" s="10" t="inlineStr">
        <is>
          <t>⚠ Manual erforderlich</t>
        </is>
      </c>
      <c r="E4748" s="11" t="inlineStr"/>
      <c r="F4748" s="11" t="n">
        <v>0</v>
      </c>
      <c r="G4748" s="11">
        <f>E4748-F4748</f>
        <v/>
      </c>
      <c r="H4748" s="11" t="n">
        <v/>
      </c>
      <c r="I4748" s="11" t="n">
        <v/>
      </c>
      <c r="J4748" s="11" t="n">
        <v/>
      </c>
      <c r="K4748" s="4" t="inlineStr">
        <is>
          <t>Abrechnungsart wählen; Stundensätze eingeben</t>
        </is>
      </c>
    </row>
    <row r="4749">
      <c r="A4749" s="4" t="inlineStr">
        <is>
          <t>7367 BSK-Major-Karl-Plagge-Kaserne-An-der-neuen-Bergstraße-102-Pfungstadt</t>
        </is>
      </c>
      <c r="B4749" s="4" t="inlineStr">
        <is>
          <t>● Planungseinheit 2 - Energiezentrale</t>
        </is>
      </c>
      <c r="C4749" s="9" t="inlineStr">
        <is>
          <t>Unbekannt</t>
        </is>
      </c>
      <c r="D4749" s="10" t="inlineStr">
        <is>
          <t>⚠ Manual erforderlich</t>
        </is>
      </c>
      <c r="E4749" s="11" t="inlineStr"/>
      <c r="F4749" s="11" t="n">
        <v>0</v>
      </c>
      <c r="G4749" s="11">
        <f>E4749-F4749</f>
        <v/>
      </c>
      <c r="H4749" s="11" t="n">
        <v/>
      </c>
      <c r="I4749" s="11" t="n">
        <v/>
      </c>
      <c r="J4749" s="11" t="n">
        <v/>
      </c>
      <c r="K4749" s="4" t="inlineStr">
        <is>
          <t>Abrechnungsart wählen; Stundensätze eingeben</t>
        </is>
      </c>
    </row>
    <row r="4750">
      <c r="A4750" s="4" t="inlineStr">
        <is>
          <t>7369 CZ-RV-KVA-1285-Rückbau-Sprinklerköpfe</t>
        </is>
      </c>
      <c r="B4750" s="4" t="inlineStr">
        <is>
          <t>● (aN) Pos. 1 Ausführungsplanung Halle 3.3 (Plenum)</t>
        </is>
      </c>
      <c r="C4750" s="4" t="inlineStr">
        <is>
          <t>Nachweis</t>
        </is>
      </c>
      <c r="D4750" s="10" t="inlineStr">
        <is>
          <t>⚠ Manual erforderlich</t>
        </is>
      </c>
      <c r="E4750" s="11" t="inlineStr"/>
      <c r="F4750" s="11" t="n">
        <v>0</v>
      </c>
      <c r="G4750" s="11">
        <f>E4750-F4750</f>
        <v/>
      </c>
      <c r="H4750" s="11" t="n">
        <v/>
      </c>
      <c r="I4750" s="11" t="n">
        <v/>
      </c>
      <c r="J4750" s="11" t="n">
        <v/>
      </c>
      <c r="K4750" s="4" t="inlineStr">
        <is>
          <t>Stundensätze eingeben</t>
        </is>
      </c>
    </row>
    <row r="4751">
      <c r="A4751" s="4" t="inlineStr">
        <is>
          <t>7370 LAER-Garagenpark-Dummy-Unterprojekte</t>
        </is>
      </c>
      <c r="B4751" s="4" t="inlineStr">
        <is>
          <t>● (p) Pos. 1 Fortschr-BSK</t>
        </is>
      </c>
      <c r="C4751" s="4" t="inlineStr">
        <is>
          <t>Pauschale</t>
        </is>
      </c>
      <c r="D4751" s="10" t="inlineStr">
        <is>
          <t>⚠ Manual erforderlich</t>
        </is>
      </c>
      <c r="E4751" s="11" t="inlineStr"/>
      <c r="F4751" s="11" t="n">
        <v>0</v>
      </c>
      <c r="G4751" s="11">
        <f>E4751-F4751</f>
        <v/>
      </c>
      <c r="H4751" s="11" t="n">
        <v/>
      </c>
      <c r="I4751" s="11" t="n">
        <v/>
      </c>
      <c r="J4751" s="11" t="n">
        <v/>
      </c>
      <c r="K4751" s="4" t="inlineStr">
        <is>
          <t>Stundensätze eingeben</t>
        </is>
      </c>
    </row>
    <row r="4752">
      <c r="A4752" s="4" t="inlineStr">
        <is>
          <t>7370.01 LAER-formica-BSK-Garagenpark-Rümelwiese-Haselfeld</t>
        </is>
      </c>
      <c r="B4752" s="4" t="inlineStr">
        <is>
          <t>● (p) Pos. 1 Erstellung Brandschutzkonzept</t>
        </is>
      </c>
      <c r="C4752" s="4" t="inlineStr">
        <is>
          <t>Pauschale</t>
        </is>
      </c>
      <c r="D4752" s="10" t="inlineStr">
        <is>
          <t>⚠ Manual erforderlich</t>
        </is>
      </c>
      <c r="E4752" s="11" t="inlineStr"/>
      <c r="F4752" s="11" t="n">
        <v>0</v>
      </c>
      <c r="G4752" s="11">
        <f>E4752-F4752</f>
        <v/>
      </c>
      <c r="H4752" s="11" t="n">
        <v>0</v>
      </c>
      <c r="I4752" s="11" t="n">
        <v>0</v>
      </c>
      <c r="J4752" s="11" t="n">
        <v>0</v>
      </c>
      <c r="K4752" s="4" t="inlineStr">
        <is>
          <t>Stundensätze eingeben</t>
        </is>
      </c>
    </row>
    <row r="4753">
      <c r="A4753" s="4" t="inlineStr">
        <is>
          <t>7370.01 LAER-formica-BSK-Garagenpark-Rümelwiese-Haselfeld</t>
        </is>
      </c>
      <c r="B4753" s="4" t="inlineStr">
        <is>
          <t>● (aN) Pos. 2 Abstimmungstermin Bauaufsichtsbehörden</t>
        </is>
      </c>
      <c r="C4753" s="4" t="inlineStr">
        <is>
          <t>Nachweis</t>
        </is>
      </c>
      <c r="D4753" s="10" t="inlineStr">
        <is>
          <t>⚠ Manual erforderlich</t>
        </is>
      </c>
      <c r="E4753" s="11" t="inlineStr"/>
      <c r="F4753" s="11" t="n">
        <v>0</v>
      </c>
      <c r="G4753" s="11">
        <f>E4753-F4753</f>
        <v/>
      </c>
      <c r="H4753" s="11" t="n">
        <v/>
      </c>
      <c r="I4753" s="11" t="n">
        <v/>
      </c>
      <c r="J4753" s="11" t="n">
        <v/>
      </c>
      <c r="K4753" s="4" t="inlineStr">
        <is>
          <t>Stundensätze eingeben</t>
        </is>
      </c>
    </row>
    <row r="4754">
      <c r="A4754" s="4" t="inlineStr">
        <is>
          <t>7370.02 LAER-formica-BSK-Garagenpark-Willi-Melchers-Straße-Lünen-NB-Hallenreihen</t>
        </is>
      </c>
      <c r="B4754" s="4" t="inlineStr">
        <is>
          <t>● (p) Pos.1 Erstellung BSK</t>
        </is>
      </c>
      <c r="C4754" s="4" t="inlineStr">
        <is>
          <t>Pauschale</t>
        </is>
      </c>
      <c r="D4754" s="10" t="inlineStr">
        <is>
          <t>⚠ Manual erforderlich</t>
        </is>
      </c>
      <c r="E4754" s="11" t="inlineStr"/>
      <c r="F4754" s="11" t="n">
        <v>0</v>
      </c>
      <c r="G4754" s="11">
        <f>E4754-F4754</f>
        <v/>
      </c>
      <c r="H4754" s="11" t="n">
        <v>0</v>
      </c>
      <c r="I4754" s="11" t="n">
        <v>0</v>
      </c>
      <c r="J4754" s="11" t="n">
        <v>0</v>
      </c>
      <c r="K4754" s="4" t="inlineStr">
        <is>
          <t>Stundensätze eingeben</t>
        </is>
      </c>
    </row>
    <row r="4755">
      <c r="A4755" s="4" t="inlineStr">
        <is>
          <t>7372 BAB-HeidelbergerStr185-Darmstadt-Fitness-First</t>
        </is>
      </c>
      <c r="B4755" s="4" t="inlineStr">
        <is>
          <t>● (aN) Pos.1 BAB Ausbauvorhqaben Fitness First Red Lab</t>
        </is>
      </c>
      <c r="C4755" s="4" t="inlineStr">
        <is>
          <t>Nachweis</t>
        </is>
      </c>
      <c r="D4755" s="10" t="inlineStr">
        <is>
          <t>⚠ Manual erforderlich</t>
        </is>
      </c>
      <c r="E4755" s="11" t="inlineStr"/>
      <c r="F4755" s="11" t="n">
        <v>0</v>
      </c>
      <c r="G4755" s="11">
        <f>E4755-F4755</f>
        <v/>
      </c>
      <c r="H4755" s="11" t="n">
        <v/>
      </c>
      <c r="I4755" s="11" t="n">
        <v/>
      </c>
      <c r="J4755" s="11" t="n">
        <v/>
      </c>
      <c r="K4755" s="4" t="inlineStr">
        <is>
          <t>Stundensätze eingeben</t>
        </is>
      </c>
    </row>
    <row r="4756">
      <c r="A4756" s="4" t="inlineStr">
        <is>
          <t>7373 Kuehne+Nagel-BTB-FLA-Gärtringen</t>
        </is>
      </c>
      <c r="B4756" s="4" t="inlineStr">
        <is>
          <t>● Beratung und Konzepterstellung Sprinkleranlage</t>
        </is>
      </c>
      <c r="C4756" s="9" t="inlineStr">
        <is>
          <t>Unbekannt</t>
        </is>
      </c>
      <c r="D4756" s="10" t="inlineStr">
        <is>
          <t>⚠ Manual erforderlich</t>
        </is>
      </c>
      <c r="E4756" s="11" t="inlineStr"/>
      <c r="F4756" s="11" t="n">
        <v>0</v>
      </c>
      <c r="G4756" s="11">
        <f>E4756-F4756</f>
        <v/>
      </c>
      <c r="H4756" s="11" t="n">
        <v/>
      </c>
      <c r="I4756" s="11" t="n">
        <v/>
      </c>
      <c r="J4756" s="11" t="n">
        <v/>
      </c>
      <c r="K4756" s="4" t="inlineStr">
        <is>
          <t>Abrechnungsart wählen; Stundensätze eingeben</t>
        </is>
      </c>
    </row>
    <row r="4757">
      <c r="A4757" s="4" t="inlineStr">
        <is>
          <t>7374 Officefirst-BSN-Dillwächterstr5-München</t>
        </is>
      </c>
      <c r="B4757" s="4" t="inlineStr">
        <is>
          <t>● (aN) Pos. 2 BTB</t>
        </is>
      </c>
      <c r="C4757" s="4" t="inlineStr">
        <is>
          <t>Nachweis</t>
        </is>
      </c>
      <c r="D4757" s="10" t="inlineStr">
        <is>
          <t>⚠ Manual erforderlich</t>
        </is>
      </c>
      <c r="E4757" s="11" t="inlineStr"/>
      <c r="F4757" s="11" t="n">
        <v>0</v>
      </c>
      <c r="G4757" s="11">
        <f>E4757-F4757</f>
        <v/>
      </c>
      <c r="H4757" s="11" t="n">
        <v/>
      </c>
      <c r="I4757" s="11" t="n">
        <v/>
      </c>
      <c r="J4757" s="11" t="n">
        <v/>
      </c>
      <c r="K4757" s="4" t="inlineStr">
        <is>
          <t>Stundensätze eingeben</t>
        </is>
      </c>
    </row>
    <row r="4758">
      <c r="A4758" s="4" t="inlineStr">
        <is>
          <t>7374.01 Office-BSN-Dillwächterstr5-München</t>
        </is>
      </c>
      <c r="B4758" s="4" t="inlineStr">
        <is>
          <t>● (p) Pos.1 Erstellen BSN</t>
        </is>
      </c>
      <c r="C4758" s="4" t="inlineStr">
        <is>
          <t>Pauschale</t>
        </is>
      </c>
      <c r="D4758" s="10" t="inlineStr">
        <is>
          <t>⚠ Manual erforderlich</t>
        </is>
      </c>
      <c r="E4758" s="11" t="inlineStr"/>
      <c r="F4758" s="11" t="n">
        <v>0</v>
      </c>
      <c r="G4758" s="11">
        <f>E4758-F4758</f>
        <v/>
      </c>
      <c r="H4758" s="11" t="n">
        <v>0</v>
      </c>
      <c r="I4758" s="11" t="n">
        <v>0</v>
      </c>
      <c r="J4758" s="11" t="n">
        <v>0</v>
      </c>
      <c r="K4758" s="4" t="inlineStr">
        <is>
          <t>Stundensätze eingeben</t>
        </is>
      </c>
    </row>
    <row r="4759">
      <c r="A4759" s="4" t="inlineStr">
        <is>
          <t>7380 Qualitas-WEA-Dummy-Unterprojekte</t>
        </is>
      </c>
      <c r="B4759" s="4" t="inlineStr">
        <is>
          <t>● (p) Pos. 1 Fortschr-BSK</t>
        </is>
      </c>
      <c r="C4759" s="4" t="inlineStr">
        <is>
          <t>Pauschale</t>
        </is>
      </c>
      <c r="D4759" s="10" t="inlineStr">
        <is>
          <t>⚠ Manual erforderlich</t>
        </is>
      </c>
      <c r="E4759" s="11" t="inlineStr"/>
      <c r="F4759" s="11" t="n">
        <v>0</v>
      </c>
      <c r="G4759" s="11">
        <f>E4759-F4759</f>
        <v/>
      </c>
      <c r="H4759" s="11" t="n">
        <v/>
      </c>
      <c r="I4759" s="11" t="n">
        <v/>
      </c>
      <c r="J4759" s="11" t="n">
        <v/>
      </c>
      <c r="K4759" s="4" t="inlineStr">
        <is>
          <t>Stundensätze eingeben</t>
        </is>
      </c>
    </row>
    <row r="4760">
      <c r="A4760" s="4" t="inlineStr">
        <is>
          <t>7380.01 Qualitas-BSK-WEA-Ebersberger-Forst</t>
        </is>
      </c>
      <c r="B4760" s="4" t="inlineStr">
        <is>
          <t>● (p) Pos. 1 Erstellung Brandschutzkonzept</t>
        </is>
      </c>
      <c r="C4760" s="4" t="inlineStr">
        <is>
          <t>Pauschale</t>
        </is>
      </c>
      <c r="D4760" s="10" t="inlineStr">
        <is>
          <t>⚠ Manual erforderlich</t>
        </is>
      </c>
      <c r="E4760" s="11" t="inlineStr"/>
      <c r="F4760" s="11" t="n">
        <v>0</v>
      </c>
      <c r="G4760" s="11">
        <f>E4760-F4760</f>
        <v/>
      </c>
      <c r="H4760" s="11" t="n">
        <v>0</v>
      </c>
      <c r="I4760" s="11" t="n">
        <v>0</v>
      </c>
      <c r="J4760" s="11" t="n">
        <v>0</v>
      </c>
      <c r="K4760" s="4" t="inlineStr">
        <is>
          <t>Stundensätze eingeben</t>
        </is>
      </c>
    </row>
    <row r="4761">
      <c r="A4761" s="4" t="inlineStr">
        <is>
          <t>7380.02 Qualitas-BSK-WEA-Geroldshausen-Uengershausen</t>
        </is>
      </c>
      <c r="B4761" s="4" t="inlineStr">
        <is>
          <t>● (p) Pos. 1 Erstellung Brandschutzkonzept</t>
        </is>
      </c>
      <c r="C4761" s="4" t="inlineStr">
        <is>
          <t>Pauschale</t>
        </is>
      </c>
      <c r="D4761" s="10" t="inlineStr">
        <is>
          <t>⚠ Manual erforderlich</t>
        </is>
      </c>
      <c r="E4761" s="11" t="inlineStr"/>
      <c r="F4761" s="11" t="n">
        <v>0</v>
      </c>
      <c r="G4761" s="11">
        <f>E4761-F4761</f>
        <v/>
      </c>
      <c r="H4761" s="11" t="n">
        <v>0</v>
      </c>
      <c r="I4761" s="11" t="n">
        <v>0</v>
      </c>
      <c r="J4761" s="11" t="n">
        <v>0</v>
      </c>
      <c r="K4761" s="4" t="inlineStr">
        <is>
          <t>Stundensätze eingeben</t>
        </is>
      </c>
    </row>
    <row r="4762">
      <c r="A4762" s="4" t="inlineStr">
        <is>
          <t>7382 BST-Mustergutachten-Cteam</t>
        </is>
      </c>
      <c r="B4762" s="4" t="inlineStr">
        <is>
          <t>● (p) Pos.1 Erstellung Regelgutachten Stahlgitter- u. Stahlbetonmasten ohne Container</t>
        </is>
      </c>
      <c r="C4762" s="4" t="inlineStr">
        <is>
          <t>Pauschale</t>
        </is>
      </c>
      <c r="D4762" s="10" t="inlineStr">
        <is>
          <t>⚠ Manual erforderlich</t>
        </is>
      </c>
      <c r="E4762" s="11" t="inlineStr"/>
      <c r="F4762" s="11" t="n">
        <v>0</v>
      </c>
      <c r="G4762" s="11">
        <f>E4762-F4762</f>
        <v/>
      </c>
      <c r="H4762" s="11" t="n">
        <v>0</v>
      </c>
      <c r="I4762" s="11" t="n">
        <v>0</v>
      </c>
      <c r="J4762" s="11" t="n">
        <v>0</v>
      </c>
      <c r="K4762" s="4" t="inlineStr">
        <is>
          <t>Stundensätze eingeben</t>
        </is>
      </c>
    </row>
    <row r="4763">
      <c r="A4763" s="4" t="inlineStr">
        <is>
          <t>7384 Brandschutzzentrale-Fireschutz-BSH-Bielefeld</t>
        </is>
      </c>
      <c r="B4763" s="4" t="inlineStr">
        <is>
          <t>● 25-05-12 (p) Feuerlöschübung (Praxisteil d. Schulung BSH)</t>
        </is>
      </c>
      <c r="C4763" s="4" t="inlineStr">
        <is>
          <t>Pauschale</t>
        </is>
      </c>
      <c r="D4763" s="10" t="inlineStr">
        <is>
          <t>⚠ Manual erforderlich</t>
        </is>
      </c>
      <c r="E4763" s="11" t="inlineStr"/>
      <c r="F4763" s="11" t="n">
        <v>0</v>
      </c>
      <c r="G4763" s="11">
        <f>E4763-F4763</f>
        <v/>
      </c>
      <c r="H4763" s="11" t="n">
        <v>0</v>
      </c>
      <c r="I4763" s="11" t="n">
        <v>0</v>
      </c>
      <c r="J4763" s="11" t="n">
        <v>0</v>
      </c>
      <c r="K4763" s="4" t="inlineStr">
        <is>
          <t>Stundensätze eingeben</t>
        </is>
      </c>
    </row>
    <row r="4764">
      <c r="A4764" s="4" t="inlineStr">
        <is>
          <t>7384 Brandschutzzentrale-Fireschutz-BSH-Bielefeld</t>
        </is>
      </c>
      <c r="B4764" s="4" t="inlineStr">
        <is>
          <t>● 25-05-16 (p) ind. Schulung BSH Grünstadt (MA25006027)</t>
        </is>
      </c>
      <c r="C4764" s="4" t="inlineStr">
        <is>
          <t>Pauschale</t>
        </is>
      </c>
      <c r="D4764" s="10" t="inlineStr">
        <is>
          <t>⚠ Manual erforderlich</t>
        </is>
      </c>
      <c r="E4764" s="11" t="inlineStr"/>
      <c r="F4764" s="11" t="n">
        <v>0</v>
      </c>
      <c r="G4764" s="11">
        <f>E4764-F4764</f>
        <v/>
      </c>
      <c r="H4764" s="11" t="n">
        <v>0</v>
      </c>
      <c r="I4764" s="11" t="n">
        <v>0</v>
      </c>
      <c r="J4764" s="11" t="n">
        <v>0</v>
      </c>
      <c r="K4764" s="4" t="inlineStr">
        <is>
          <t>Stundensätze eingeben</t>
        </is>
      </c>
    </row>
    <row r="4765">
      <c r="A4765" s="4" t="inlineStr">
        <is>
          <t>7384 Brandschutzzentrale-Fireschutz-BSH-Bielefeld</t>
        </is>
      </c>
      <c r="B4765" s="4" t="inlineStr">
        <is>
          <t>● 25-06-14 (p) ind. Schulung BSH Frankfurt (MA250060757)</t>
        </is>
      </c>
      <c r="C4765" s="4" t="inlineStr">
        <is>
          <t>Pauschale</t>
        </is>
      </c>
      <c r="D4765" s="10" t="inlineStr">
        <is>
          <t>⚠ Manual erforderlich</t>
        </is>
      </c>
      <c r="E4765" s="11" t="inlineStr"/>
      <c r="F4765" s="11" t="n">
        <v>0</v>
      </c>
      <c r="G4765" s="11">
        <f>E4765-F4765</f>
        <v/>
      </c>
      <c r="H4765" s="11" t="n">
        <v>0</v>
      </c>
      <c r="I4765" s="11" t="n">
        <v>0</v>
      </c>
      <c r="J4765" s="11" t="n">
        <v>0</v>
      </c>
      <c r="K4765" s="4" t="inlineStr">
        <is>
          <t>Stundensätze eingeben</t>
        </is>
      </c>
    </row>
    <row r="4766">
      <c r="A4766" s="4" t="inlineStr">
        <is>
          <t>7384 Brandschutzzentrale-Fireschutz-BSH-Bielefeld</t>
        </is>
      </c>
      <c r="B4766" s="4" t="inlineStr">
        <is>
          <t>● 25-07-01 (p) prakt. Unterweisung (MA250060272)</t>
        </is>
      </c>
      <c r="C4766" s="4" t="inlineStr">
        <is>
          <t>Pauschale</t>
        </is>
      </c>
      <c r="D4766" s="10" t="inlineStr">
        <is>
          <t>⚠ Manual erforderlich</t>
        </is>
      </c>
      <c r="E4766" s="11" t="inlineStr"/>
      <c r="F4766" s="11" t="n">
        <v>0</v>
      </c>
      <c r="G4766" s="11">
        <f>E4766-F4766</f>
        <v/>
      </c>
      <c r="H4766" s="11" t="n">
        <v>0</v>
      </c>
      <c r="I4766" s="11" t="n">
        <v>0</v>
      </c>
      <c r="J4766" s="11" t="n">
        <v>0</v>
      </c>
      <c r="K4766" s="4" t="inlineStr">
        <is>
          <t>Stundensätze eingeben</t>
        </is>
      </c>
    </row>
    <row r="4767">
      <c r="A4767" s="4" t="inlineStr">
        <is>
          <t>7384 Brandschutzzentrale-Fireschutz-BSH-Bielefeld</t>
        </is>
      </c>
      <c r="B4767" s="4" t="inlineStr">
        <is>
          <t>● 25-07-04 (p) ind. Schulung BSH Idar-Oberstein (MA250060403)</t>
        </is>
      </c>
      <c r="C4767" s="4" t="inlineStr">
        <is>
          <t>Pauschale</t>
        </is>
      </c>
      <c r="D4767" s="10" t="inlineStr">
        <is>
          <t>⚠ Manual erforderlich</t>
        </is>
      </c>
      <c r="E4767" s="11" t="inlineStr"/>
      <c r="F4767" s="11" t="n">
        <v>0</v>
      </c>
      <c r="G4767" s="11">
        <f>E4767-F4767</f>
        <v/>
      </c>
      <c r="H4767" s="11" t="n">
        <v>0</v>
      </c>
      <c r="I4767" s="11" t="n">
        <v>0</v>
      </c>
      <c r="J4767" s="11" t="n">
        <v>0</v>
      </c>
      <c r="K4767" s="4" t="inlineStr">
        <is>
          <t>Stundensätze eingeben</t>
        </is>
      </c>
    </row>
    <row r="4768">
      <c r="A4768" s="4" t="inlineStr">
        <is>
          <t>7384 Brandschutzzentrale-Fireschutz-BSH-Bielefeld</t>
        </is>
      </c>
      <c r="B4768" s="4" t="inlineStr">
        <is>
          <t>● 25-09-24 (p) ind. Schulung BSH Grünstadt (MA250060272)</t>
        </is>
      </c>
      <c r="C4768" s="4" t="inlineStr">
        <is>
          <t>Pauschale</t>
        </is>
      </c>
      <c r="D4768" s="10" t="inlineStr">
        <is>
          <t>⚠ Manual erforderlich</t>
        </is>
      </c>
      <c r="E4768" s="11" t="inlineStr"/>
      <c r="F4768" s="11" t="n">
        <v>0</v>
      </c>
      <c r="G4768" s="11">
        <f>E4768-F4768</f>
        <v/>
      </c>
      <c r="H4768" s="11" t="n">
        <v>0</v>
      </c>
      <c r="I4768" s="11" t="n">
        <v>0</v>
      </c>
      <c r="J4768" s="11" t="n">
        <v>0</v>
      </c>
      <c r="K4768" s="4" t="inlineStr">
        <is>
          <t>Stundensätze eingeben</t>
        </is>
      </c>
    </row>
    <row r="4769">
      <c r="A4769" s="4" t="inlineStr">
        <is>
          <t>7384 Brandschutzzentrale-Fireschutz-BSH-Bielefeld</t>
        </is>
      </c>
      <c r="B4769" s="4" t="inlineStr">
        <is>
          <t>● 25-11-25 (p) Brandschutzhelfer Online Theorie</t>
        </is>
      </c>
      <c r="C4769" s="4" t="inlineStr">
        <is>
          <t>Pauschale</t>
        </is>
      </c>
      <c r="D4769" s="10" t="inlineStr">
        <is>
          <t>⚠ Manual erforderlich</t>
        </is>
      </c>
      <c r="E4769" s="11" t="inlineStr"/>
      <c r="F4769" s="11" t="n">
        <v>0</v>
      </c>
      <c r="G4769" s="11">
        <f>E4769-F4769</f>
        <v/>
      </c>
      <c r="H4769" s="11" t="n">
        <v>0</v>
      </c>
      <c r="I4769" s="11" t="n">
        <v>0</v>
      </c>
      <c r="J4769" s="11" t="n">
        <v>0</v>
      </c>
      <c r="K4769" s="4" t="inlineStr">
        <is>
          <t>Stundensätze eingeben</t>
        </is>
      </c>
    </row>
    <row r="4770">
      <c r="A4770" s="4" t="inlineStr">
        <is>
          <t>7384.01 BSZ-Fireschutz-BSH-Saarbrücken</t>
        </is>
      </c>
      <c r="B4770" s="4" t="inlineStr">
        <is>
          <t>● 25-09-24 BSH NL Saarbrücken, Neugrabenweg 2, Ref 1544</t>
        </is>
      </c>
      <c r="C4770" s="9" t="inlineStr">
        <is>
          <t>Unbekannt</t>
        </is>
      </c>
      <c r="D4770" s="10" t="inlineStr">
        <is>
          <t>⚠ Manual erforderlich</t>
        </is>
      </c>
      <c r="E4770" s="11" t="inlineStr"/>
      <c r="F4770" s="11" t="n">
        <v>0</v>
      </c>
      <c r="G4770" s="11">
        <f>E4770-F4770</f>
        <v/>
      </c>
      <c r="H4770" s="11" t="n">
        <v/>
      </c>
      <c r="I4770" s="11" t="n">
        <v/>
      </c>
      <c r="J4770" s="11" t="n">
        <v/>
      </c>
      <c r="K4770" s="4" t="inlineStr">
        <is>
          <t>Abrechnungsart wählen; Stundensätze eingeben</t>
        </is>
      </c>
    </row>
    <row r="4771">
      <c r="A4771" s="4" t="inlineStr">
        <is>
          <t>7384.01 BSZ-Fireschutz-BSH-Saarbrücken</t>
        </is>
      </c>
      <c r="B4771" s="4" t="inlineStr">
        <is>
          <t>● • (p) Brandschutzhelferschulung</t>
        </is>
      </c>
      <c r="C4771" s="4" t="inlineStr">
        <is>
          <t>Pauschale</t>
        </is>
      </c>
      <c r="D4771" s="10" t="inlineStr">
        <is>
          <t>⚠ Manual erforderlich</t>
        </is>
      </c>
      <c r="E4771" s="11" t="inlineStr"/>
      <c r="F4771" s="11" t="n">
        <v>0</v>
      </c>
      <c r="G4771" s="11">
        <f>E4771-F4771</f>
        <v/>
      </c>
      <c r="H4771" s="11" t="n">
        <v>0</v>
      </c>
      <c r="I4771" s="11" t="n">
        <v>0</v>
      </c>
      <c r="J4771" s="11" t="n">
        <v>0</v>
      </c>
      <c r="K4771" s="4" t="inlineStr">
        <is>
          <t>Stundensätze eingeben</t>
        </is>
      </c>
    </row>
    <row r="4772">
      <c r="A4772" s="4" t="inlineStr">
        <is>
          <t>7384.01 BSZ-Fireschutz-BSH-Saarbrücken</t>
        </is>
      </c>
      <c r="B4772" s="4" t="inlineStr">
        <is>
          <t>● NLL (nicht im ANG kalkuliert)</t>
        </is>
      </c>
      <c r="C4772" s="9" t="inlineStr">
        <is>
          <t>Unbekannt</t>
        </is>
      </c>
      <c r="D4772" s="10" t="inlineStr">
        <is>
          <t>⚠ Manual erforderlich</t>
        </is>
      </c>
      <c r="E4772" s="11" t="inlineStr"/>
      <c r="F4772" s="11" t="n">
        <v>0</v>
      </c>
      <c r="G4772" s="11">
        <f>E4772-F4772</f>
        <v/>
      </c>
      <c r="H4772" s="11" t="n">
        <v/>
      </c>
      <c r="I4772" s="11" t="n">
        <v/>
      </c>
      <c r="J4772" s="11" t="n">
        <v/>
      </c>
      <c r="K4772" s="4" t="inlineStr">
        <is>
          <t>Abrechnungsart wählen; Stundensätze eingeben</t>
        </is>
      </c>
    </row>
    <row r="4773">
      <c r="A4773" s="4" t="inlineStr">
        <is>
          <t>7384.01 BSZ-Fireschutz-BSH-Saarbrücken</t>
        </is>
      </c>
      <c r="B4773" s="4" t="inlineStr">
        <is>
          <t>● ADM (nicht im ANG kalkuliert)</t>
        </is>
      </c>
      <c r="C4773" s="9" t="inlineStr">
        <is>
          <t>Unbekannt</t>
        </is>
      </c>
      <c r="D4773" s="10" t="inlineStr">
        <is>
          <t>⚠ Manual erforderlich</t>
        </is>
      </c>
      <c r="E4773" s="11" t="inlineStr"/>
      <c r="F4773" s="11" t="n">
        <v>0</v>
      </c>
      <c r="G4773" s="11">
        <f>E4773-F4773</f>
        <v/>
      </c>
      <c r="H4773" s="11" t="n">
        <v/>
      </c>
      <c r="I4773" s="11" t="n">
        <v/>
      </c>
      <c r="J4773" s="11" t="n">
        <v/>
      </c>
      <c r="K4773" s="4" t="inlineStr">
        <is>
          <t>Abrechnungsart wählen; Stundensätze eingeben</t>
        </is>
      </c>
    </row>
    <row r="4774">
      <c r="A4774" s="4" t="inlineStr">
        <is>
          <t>7385.01 BV-Knöpfel-BST-Friedhofstraße-7-Neu-Isenburg-Quartier-Buchenbusch</t>
        </is>
      </c>
      <c r="B4774" s="4" t="inlineStr">
        <is>
          <t>● (aN) Pos.1 BTB - Brandschutztechn. Beratung</t>
        </is>
      </c>
      <c r="C4774" s="4" t="inlineStr">
        <is>
          <t>Nachweis</t>
        </is>
      </c>
      <c r="D4774" s="10" t="inlineStr">
        <is>
          <t>⚠ Manual erforderlich</t>
        </is>
      </c>
      <c r="E4774" s="11" t="inlineStr"/>
      <c r="F4774" s="11" t="n">
        <v>0</v>
      </c>
      <c r="G4774" s="11">
        <f>E4774-F4774</f>
        <v/>
      </c>
      <c r="H4774" s="11" t="n">
        <v/>
      </c>
      <c r="I4774" s="11" t="n">
        <v/>
      </c>
      <c r="J4774" s="11" t="n">
        <v/>
      </c>
      <c r="K4774" s="4" t="inlineStr">
        <is>
          <t>Stundensätze eingeben</t>
        </is>
      </c>
    </row>
    <row r="4775">
      <c r="A4775" s="4" t="inlineStr">
        <is>
          <t>7385.01 BV-Knöpfel-BST-Friedhofstraße-7-Neu-Isenburg-Quartier-Buchenbusch</t>
        </is>
      </c>
      <c r="B4775" s="4" t="inlineStr">
        <is>
          <t>● (p) Pos.2 Begehung vor Ort</t>
        </is>
      </c>
      <c r="C4775" s="4" t="inlineStr">
        <is>
          <t>Pauschale</t>
        </is>
      </c>
      <c r="D4775" s="10" t="inlineStr">
        <is>
          <t>⚠ Manual erforderlich</t>
        </is>
      </c>
      <c r="E4775" s="11" t="inlineStr"/>
      <c r="F4775" s="11" t="n">
        <v>0</v>
      </c>
      <c r="G4775" s="11">
        <f>E4775-F4775</f>
        <v/>
      </c>
      <c r="H4775" s="11" t="n">
        <v>0</v>
      </c>
      <c r="I4775" s="11" t="n">
        <v>0</v>
      </c>
      <c r="J4775" s="11" t="n">
        <v>0</v>
      </c>
      <c r="K4775" s="4" t="inlineStr">
        <is>
          <t>Stundensätze eingeben</t>
        </is>
      </c>
    </row>
    <row r="4776">
      <c r="A4776" s="4" t="inlineStr">
        <is>
          <t>7385.01 BV-Knöpfel-BST-Friedhofstraße-7-Neu-Isenburg-Quartier-Buchenbusch</t>
        </is>
      </c>
      <c r="B4776" s="4" t="inlineStr">
        <is>
          <t>● (p) Pos.3 BSK - Brandschutzkonzept</t>
        </is>
      </c>
      <c r="C4776" s="4" t="inlineStr">
        <is>
          <t>Pauschale</t>
        </is>
      </c>
      <c r="D4776" s="10" t="inlineStr">
        <is>
          <t>⚠ Manual erforderlich</t>
        </is>
      </c>
      <c r="E4776" s="11" t="inlineStr"/>
      <c r="F4776" s="11" t="n">
        <v>0</v>
      </c>
      <c r="G4776" s="11">
        <f>E4776-F4776</f>
        <v/>
      </c>
      <c r="H4776" s="11" t="n">
        <v>0</v>
      </c>
      <c r="I4776" s="11" t="n">
        <v>0</v>
      </c>
      <c r="J4776" s="11" t="n">
        <v>0</v>
      </c>
      <c r="K4776" s="4" t="inlineStr">
        <is>
          <t>Stundensätze eingeben</t>
        </is>
      </c>
    </row>
    <row r="4777">
      <c r="A4777" s="4" t="inlineStr">
        <is>
          <t>7385.02 BV-Knöpfel-BST-Am-Kalbskopf-1-Neu-Isenburg-Quartier-Buchenbusch</t>
        </is>
      </c>
      <c r="B4777" s="4" t="inlineStr">
        <is>
          <t>● (aN) Pos.1 BTB - Brandschutztech. Beratung</t>
        </is>
      </c>
      <c r="C4777" s="4" t="inlineStr">
        <is>
          <t>Nachweis</t>
        </is>
      </c>
      <c r="D4777" s="10" t="inlineStr">
        <is>
          <t>⚠ Manual erforderlich</t>
        </is>
      </c>
      <c r="E4777" s="11" t="inlineStr"/>
      <c r="F4777" s="11" t="n">
        <v>0</v>
      </c>
      <c r="G4777" s="11">
        <f>E4777-F4777</f>
        <v/>
      </c>
      <c r="H4777" s="11" t="n">
        <v/>
      </c>
      <c r="I4777" s="11" t="n">
        <v/>
      </c>
      <c r="J4777" s="11" t="n">
        <v/>
      </c>
      <c r="K4777" s="4" t="inlineStr">
        <is>
          <t>Stundensätze eingeben</t>
        </is>
      </c>
    </row>
    <row r="4778">
      <c r="A4778" s="4" t="inlineStr">
        <is>
          <t>7385.02 BV-Knöpfel-BST-Am-Kalbskopf-1-Neu-Isenburg-Quartier-Buchenbusch</t>
        </is>
      </c>
      <c r="B4778" s="4" t="inlineStr">
        <is>
          <t>● (p) Pos.2 Begehung vor Ort</t>
        </is>
      </c>
      <c r="C4778" s="4" t="inlineStr">
        <is>
          <t>Pauschale</t>
        </is>
      </c>
      <c r="D4778" s="10" t="inlineStr">
        <is>
          <t>⚠ Manual erforderlich</t>
        </is>
      </c>
      <c r="E4778" s="11" t="inlineStr"/>
      <c r="F4778" s="11" t="n">
        <v>0</v>
      </c>
      <c r="G4778" s="11">
        <f>E4778-F4778</f>
        <v/>
      </c>
      <c r="H4778" s="11" t="n">
        <v>0</v>
      </c>
      <c r="I4778" s="11" t="n">
        <v>0</v>
      </c>
      <c r="J4778" s="11" t="n">
        <v>0</v>
      </c>
      <c r="K4778" s="4" t="inlineStr">
        <is>
          <t>Stundensätze eingeben</t>
        </is>
      </c>
    </row>
    <row r="4779">
      <c r="A4779" s="4" t="inlineStr">
        <is>
          <t>7385.03 BV-Knöpfel-BST-Am-Kalbskopf-3-Neu-Isenburg-Quartier-Buchenbusch</t>
        </is>
      </c>
      <c r="B4779" s="4" t="inlineStr">
        <is>
          <t>● (aN) Pos.1 BTB - Brandschutztechn. Beratung</t>
        </is>
      </c>
      <c r="C4779" s="4" t="inlineStr">
        <is>
          <t>Nachweis</t>
        </is>
      </c>
      <c r="D4779" s="10" t="inlineStr">
        <is>
          <t>⚠ Manual erforderlich</t>
        </is>
      </c>
      <c r="E4779" s="11" t="inlineStr"/>
      <c r="F4779" s="11" t="n">
        <v>0</v>
      </c>
      <c r="G4779" s="11">
        <f>E4779-F4779</f>
        <v/>
      </c>
      <c r="H4779" s="11" t="n">
        <v/>
      </c>
      <c r="I4779" s="11" t="n">
        <v/>
      </c>
      <c r="J4779" s="11" t="n">
        <v/>
      </c>
      <c r="K4779" s="4" t="inlineStr">
        <is>
          <t>Stundensätze eingeben</t>
        </is>
      </c>
    </row>
    <row r="4780">
      <c r="A4780" s="4" t="inlineStr">
        <is>
          <t>7385.03 BV-Knöpfel-BST-Am-Kalbskopf-3-Neu-Isenburg-Quartier-Buchenbusch</t>
        </is>
      </c>
      <c r="B4780" s="4" t="inlineStr">
        <is>
          <t>● (p) Pos.2 Begehung vor Ort</t>
        </is>
      </c>
      <c r="C4780" s="4" t="inlineStr">
        <is>
          <t>Pauschale</t>
        </is>
      </c>
      <c r="D4780" s="10" t="inlineStr">
        <is>
          <t>⚠ Manual erforderlich</t>
        </is>
      </c>
      <c r="E4780" s="11" t="inlineStr"/>
      <c r="F4780" s="11" t="n">
        <v>0</v>
      </c>
      <c r="G4780" s="11">
        <f>E4780-F4780</f>
        <v/>
      </c>
      <c r="H4780" s="11" t="n">
        <v>0</v>
      </c>
      <c r="I4780" s="11" t="n">
        <v>0</v>
      </c>
      <c r="J4780" s="11" t="n">
        <v>0</v>
      </c>
      <c r="K4780" s="4" t="inlineStr">
        <is>
          <t>Stundensätze eingeben</t>
        </is>
      </c>
    </row>
    <row r="4781">
      <c r="A4781" s="4" t="inlineStr">
        <is>
          <t>7385.04 BV-Knöpfel-BST-Frankfurter-Straße-198-Neu-Isenburg-Quartier-Buchenbusch</t>
        </is>
      </c>
      <c r="B4781" s="4" t="inlineStr">
        <is>
          <t>● (aN) Pos.1 BTB</t>
        </is>
      </c>
      <c r="C4781" s="4" t="inlineStr">
        <is>
          <t>Nachweis</t>
        </is>
      </c>
      <c r="D4781" s="10" t="inlineStr">
        <is>
          <t>⚠ Manual erforderlich</t>
        </is>
      </c>
      <c r="E4781" s="11" t="inlineStr"/>
      <c r="F4781" s="11" t="n">
        <v>0</v>
      </c>
      <c r="G4781" s="11">
        <f>E4781-F4781</f>
        <v/>
      </c>
      <c r="H4781" s="11" t="n">
        <v/>
      </c>
      <c r="I4781" s="11" t="n">
        <v/>
      </c>
      <c r="J4781" s="11" t="n">
        <v/>
      </c>
      <c r="K4781" s="4" t="inlineStr">
        <is>
          <t>Stundensätze eingeben</t>
        </is>
      </c>
    </row>
    <row r="4782">
      <c r="A4782" s="4" t="inlineStr">
        <is>
          <t>7385.04 BV-Knöpfel-BST-Frankfurter-Straße-198-Neu-Isenburg-Quartier-Buchenbusch</t>
        </is>
      </c>
      <c r="B4782" s="4" t="inlineStr">
        <is>
          <t>● (p) Pos.2 Begehung vor Ort</t>
        </is>
      </c>
      <c r="C4782" s="4" t="inlineStr">
        <is>
          <t>Pauschale</t>
        </is>
      </c>
      <c r="D4782" s="10" t="inlineStr">
        <is>
          <t>⚠ Manual erforderlich</t>
        </is>
      </c>
      <c r="E4782" s="11" t="inlineStr"/>
      <c r="F4782" s="11" t="n">
        <v>0</v>
      </c>
      <c r="G4782" s="11">
        <f>E4782-F4782</f>
        <v/>
      </c>
      <c r="H4782" s="11" t="n">
        <v>0</v>
      </c>
      <c r="I4782" s="11" t="n">
        <v>0</v>
      </c>
      <c r="J4782" s="11" t="n">
        <v>0</v>
      </c>
      <c r="K4782" s="4" t="inlineStr">
        <is>
          <t>Stundensätze eingeben</t>
        </is>
      </c>
    </row>
    <row r="4783">
      <c r="A4783" s="4" t="inlineStr">
        <is>
          <t>7386 BTB-Gluckensteinweg101-BadHomburg-HCV</t>
        </is>
      </c>
      <c r="B4783" s="4" t="inlineStr">
        <is>
          <t>● (aN) Pos.1 BTB - Bew. der möglichen Nutzung der Räumlich-keiten als Versammlungsstätte</t>
        </is>
      </c>
      <c r="C4783" s="4" t="inlineStr">
        <is>
          <t>Nachweis</t>
        </is>
      </c>
      <c r="D4783" s="10" t="inlineStr">
        <is>
          <t>⚠ Manual erforderlich</t>
        </is>
      </c>
      <c r="E4783" s="11" t="inlineStr"/>
      <c r="F4783" s="11" t="n">
        <v>0</v>
      </c>
      <c r="G4783" s="11">
        <f>E4783-F4783</f>
        <v/>
      </c>
      <c r="H4783" s="11" t="n">
        <v/>
      </c>
      <c r="I4783" s="11" t="n">
        <v/>
      </c>
      <c r="J4783" s="11" t="n">
        <v/>
      </c>
      <c r="K4783" s="4" t="inlineStr">
        <is>
          <t>Stundensätze eingeben</t>
        </is>
      </c>
    </row>
    <row r="4784">
      <c r="A4784" s="4" t="inlineStr">
        <is>
          <t>7388.01 BSB-Einarbeitung-+Checkliste-alle-Liegenschaften</t>
        </is>
      </c>
      <c r="B4784" s="4" t="inlineStr">
        <is>
          <t>● (aN) Pos.1 Einarbeitung und Erstellung Checkliste (25h SV) 2.875€</t>
        </is>
      </c>
      <c r="C4784" s="4" t="inlineStr">
        <is>
          <t>Nachweis</t>
        </is>
      </c>
      <c r="D4784" s="10" t="inlineStr">
        <is>
          <t>⚠ Manual erforderlich</t>
        </is>
      </c>
      <c r="E4784" s="11" t="inlineStr"/>
      <c r="F4784" s="11" t="n">
        <v>0</v>
      </c>
      <c r="G4784" s="11">
        <f>E4784-F4784</f>
        <v/>
      </c>
      <c r="H4784" s="11" t="n">
        <v/>
      </c>
      <c r="I4784" s="11" t="n">
        <v/>
      </c>
      <c r="J4784" s="11" t="n">
        <v/>
      </c>
      <c r="K4784" s="4" t="inlineStr">
        <is>
          <t>Stundensätze eingeben</t>
        </is>
      </c>
    </row>
    <row r="4785">
      <c r="A4785" s="4" t="inlineStr">
        <is>
          <t>7388.02 BSB-BTB-bei Brandfällen-alle-Liegenschaften</t>
        </is>
      </c>
      <c r="B4785" s="4" t="inlineStr">
        <is>
          <t>● (aN) Pos.3 BTB bei Brandfällen alle Liegenschaften</t>
        </is>
      </c>
      <c r="C4785" s="4" t="inlineStr">
        <is>
          <t>Nachweis</t>
        </is>
      </c>
      <c r="D4785" s="10" t="inlineStr">
        <is>
          <t>⚠ Manual erforderlich</t>
        </is>
      </c>
      <c r="E4785" s="11" t="inlineStr"/>
      <c r="F4785" s="11" t="n">
        <v>0</v>
      </c>
      <c r="G4785" s="11">
        <f>E4785-F4785</f>
        <v/>
      </c>
      <c r="H4785" s="11" t="n">
        <v/>
      </c>
      <c r="I4785" s="11" t="n">
        <v/>
      </c>
      <c r="J4785" s="11" t="n">
        <v/>
      </c>
      <c r="K4785" s="4" t="inlineStr">
        <is>
          <t>Stundensätze eingeben</t>
        </is>
      </c>
    </row>
    <row r="4786">
      <c r="A4786" s="4" t="inlineStr">
        <is>
          <t>7388.03 BSB-Eichendorffring-28-Gießen</t>
        </is>
      </c>
      <c r="B4786" s="4" t="inlineStr">
        <is>
          <t>● (aN) Pos.2 Stellung externen BSB</t>
        </is>
      </c>
      <c r="C4786" s="4" t="inlineStr">
        <is>
          <t>Nachweis</t>
        </is>
      </c>
      <c r="D4786" s="10" t="inlineStr">
        <is>
          <t>⚠ Manual erforderlich</t>
        </is>
      </c>
      <c r="E4786" s="11" t="inlineStr"/>
      <c r="F4786" s="11" t="n">
        <v>0</v>
      </c>
      <c r="G4786" s="11">
        <f>E4786-F4786</f>
        <v/>
      </c>
      <c r="H4786" s="11" t="n">
        <v/>
      </c>
      <c r="I4786" s="11" t="n">
        <v/>
      </c>
      <c r="J4786" s="11" t="n">
        <v/>
      </c>
      <c r="K4786" s="4" t="inlineStr">
        <is>
          <t>Stundensätze eingeben</t>
        </is>
      </c>
    </row>
    <row r="4787">
      <c r="A4787" s="4" t="inlineStr">
        <is>
          <t>7388.04 BSB-Eichgärtenallee-106-110-Gießen</t>
        </is>
      </c>
      <c r="B4787" s="4" t="inlineStr">
        <is>
          <t>● (aN) Pos.2 Stellung externen BSB</t>
        </is>
      </c>
      <c r="C4787" s="4" t="inlineStr">
        <is>
          <t>Nachweis</t>
        </is>
      </c>
      <c r="D4787" s="10" t="inlineStr">
        <is>
          <t>⚠ Manual erforderlich</t>
        </is>
      </c>
      <c r="E4787" s="11" t="inlineStr"/>
      <c r="F4787" s="11" t="n">
        <v>0</v>
      </c>
      <c r="G4787" s="11">
        <f>E4787-F4787</f>
        <v/>
      </c>
      <c r="H4787" s="11" t="n">
        <v/>
      </c>
      <c r="I4787" s="11" t="n">
        <v/>
      </c>
      <c r="J4787" s="11" t="n">
        <v/>
      </c>
      <c r="K4787" s="4" t="inlineStr">
        <is>
          <t>Stundensätze eingeben</t>
        </is>
      </c>
    </row>
    <row r="4788">
      <c r="A4788" s="4" t="inlineStr">
        <is>
          <t>7388.05 BSB-Fasanenweg-1-Gießen</t>
        </is>
      </c>
      <c r="B4788" s="4" t="inlineStr">
        <is>
          <t>● (aN) Pos.2 Stellung externen BSB</t>
        </is>
      </c>
      <c r="C4788" s="4" t="inlineStr">
        <is>
          <t>Nachweis</t>
        </is>
      </c>
      <c r="D4788" s="10" t="inlineStr">
        <is>
          <t>⚠ Manual erforderlich</t>
        </is>
      </c>
      <c r="E4788" s="11" t="inlineStr"/>
      <c r="F4788" s="11" t="n">
        <v>0</v>
      </c>
      <c r="G4788" s="11">
        <f>E4788-F4788</f>
        <v/>
      </c>
      <c r="H4788" s="11" t="n">
        <v/>
      </c>
      <c r="I4788" s="11" t="n">
        <v/>
      </c>
      <c r="J4788" s="11" t="n">
        <v/>
      </c>
      <c r="K4788" s="4" t="inlineStr">
        <is>
          <t>Stundensätze eingeben</t>
        </is>
      </c>
    </row>
    <row r="4789">
      <c r="A4789" s="4" t="inlineStr">
        <is>
          <t>7388.06 BSB-Herderweg-4-Gießen</t>
        </is>
      </c>
      <c r="B4789" s="4" t="inlineStr">
        <is>
          <t>● (aN) Pos.2 Stellung externen BSB</t>
        </is>
      </c>
      <c r="C4789" s="4" t="inlineStr">
        <is>
          <t>Nachweis</t>
        </is>
      </c>
      <c r="D4789" s="10" t="inlineStr">
        <is>
          <t>⚠ Manual erforderlich</t>
        </is>
      </c>
      <c r="E4789" s="11" t="inlineStr"/>
      <c r="F4789" s="11" t="n">
        <v>0</v>
      </c>
      <c r="G4789" s="11">
        <f>E4789-F4789</f>
        <v/>
      </c>
      <c r="H4789" s="11" t="n">
        <v/>
      </c>
      <c r="I4789" s="11" t="n">
        <v/>
      </c>
      <c r="J4789" s="11" t="n">
        <v/>
      </c>
      <c r="K4789" s="4" t="inlineStr">
        <is>
          <t>Stundensätze eingeben</t>
        </is>
      </c>
    </row>
    <row r="4790">
      <c r="A4790" s="4" t="inlineStr">
        <is>
          <t>7388.07 BSB-Lärchenwäldchen-1-3-Gießen</t>
        </is>
      </c>
      <c r="B4790" s="4" t="inlineStr">
        <is>
          <t>● (aN) Pos.2 Stellung externen BSB</t>
        </is>
      </c>
      <c r="C4790" s="4" t="inlineStr">
        <is>
          <t>Nachweis</t>
        </is>
      </c>
      <c r="D4790" s="10" t="inlineStr">
        <is>
          <t>⚠ Manual erforderlich</t>
        </is>
      </c>
      <c r="E4790" s="11" t="inlineStr"/>
      <c r="F4790" s="11" t="n">
        <v>0</v>
      </c>
      <c r="G4790" s="11">
        <f>E4790-F4790</f>
        <v/>
      </c>
      <c r="H4790" s="11" t="n">
        <v/>
      </c>
      <c r="I4790" s="11" t="n">
        <v/>
      </c>
      <c r="J4790" s="11" t="n">
        <v/>
      </c>
      <c r="K4790" s="4" t="inlineStr">
        <is>
          <t>Stundensätze eingeben</t>
        </is>
      </c>
    </row>
    <row r="4791">
      <c r="A4791" s="4" t="inlineStr">
        <is>
          <t>7388.08 BSB-Ludwigsplatz-11-Gießen</t>
        </is>
      </c>
      <c r="B4791" s="4" t="inlineStr">
        <is>
          <t>● (aN) Pos.2 Stellung externen BSB</t>
        </is>
      </c>
      <c r="C4791" s="4" t="inlineStr">
        <is>
          <t>Nachweis</t>
        </is>
      </c>
      <c r="D4791" s="10" t="inlineStr">
        <is>
          <t>⚠ Manual erforderlich</t>
        </is>
      </c>
      <c r="E4791" s="11" t="inlineStr"/>
      <c r="F4791" s="11" t="n">
        <v>0</v>
      </c>
      <c r="G4791" s="11">
        <f>E4791-F4791</f>
        <v/>
      </c>
      <c r="H4791" s="11" t="n">
        <v/>
      </c>
      <c r="I4791" s="11" t="n">
        <v/>
      </c>
      <c r="J4791" s="11" t="n">
        <v/>
      </c>
      <c r="K4791" s="4" t="inlineStr">
        <is>
          <t>Stundensätze eingeben</t>
        </is>
      </c>
    </row>
    <row r="4792">
      <c r="A4792" s="4" t="inlineStr">
        <is>
          <t>7388.09 BSB-Ludwigstraße-6-Gießen</t>
        </is>
      </c>
      <c r="B4792" s="4" t="inlineStr">
        <is>
          <t>● (aN) Pos.2 Stellung externen BSB</t>
        </is>
      </c>
      <c r="C4792" s="4" t="inlineStr">
        <is>
          <t>Nachweis</t>
        </is>
      </c>
      <c r="D4792" s="10" t="inlineStr">
        <is>
          <t>⚠ Manual erforderlich</t>
        </is>
      </c>
      <c r="E4792" s="11" t="inlineStr"/>
      <c r="F4792" s="11" t="n">
        <v>0</v>
      </c>
      <c r="G4792" s="11">
        <f>E4792-F4792</f>
        <v/>
      </c>
      <c r="H4792" s="11" t="n">
        <v/>
      </c>
      <c r="I4792" s="11" t="n">
        <v/>
      </c>
      <c r="J4792" s="11" t="n">
        <v/>
      </c>
      <c r="K4792" s="4" t="inlineStr">
        <is>
          <t>Stundensätze eingeben</t>
        </is>
      </c>
    </row>
    <row r="4793">
      <c r="A4793" s="4" t="inlineStr">
        <is>
          <t>7388.10 BSB-Ludwigstraße-4-Gießen</t>
        </is>
      </c>
      <c r="B4793" s="4" t="inlineStr">
        <is>
          <t>● (aN) Pos.2 Stellung externen BSB</t>
        </is>
      </c>
      <c r="C4793" s="4" t="inlineStr">
        <is>
          <t>Nachweis</t>
        </is>
      </c>
      <c r="D4793" s="10" t="inlineStr">
        <is>
          <t>⚠ Manual erforderlich</t>
        </is>
      </c>
      <c r="E4793" s="11" t="inlineStr"/>
      <c r="F4793" s="11" t="n">
        <v>0</v>
      </c>
      <c r="G4793" s="11">
        <f>E4793-F4793</f>
        <v/>
      </c>
      <c r="H4793" s="11" t="n">
        <v/>
      </c>
      <c r="I4793" s="11" t="n">
        <v/>
      </c>
      <c r="J4793" s="11" t="n">
        <v/>
      </c>
      <c r="K4793" s="4" t="inlineStr">
        <is>
          <t>Stundensätze eingeben</t>
        </is>
      </c>
    </row>
    <row r="4794">
      <c r="A4794" s="4" t="inlineStr">
        <is>
          <t>7388.11 BSB-Pater-Delph-Straße-24-Gießen</t>
        </is>
      </c>
      <c r="B4794" s="4" t="inlineStr">
        <is>
          <t>● (aN) Pos.2 Stellung externen BSB</t>
        </is>
      </c>
      <c r="C4794" s="4" t="inlineStr">
        <is>
          <t>Nachweis</t>
        </is>
      </c>
      <c r="D4794" s="10" t="inlineStr">
        <is>
          <t>⚠ Manual erforderlich</t>
        </is>
      </c>
      <c r="E4794" s="11" t="inlineStr"/>
      <c r="F4794" s="11" t="n">
        <v>0</v>
      </c>
      <c r="G4794" s="11">
        <f>E4794-F4794</f>
        <v/>
      </c>
      <c r="H4794" s="11" t="n">
        <v/>
      </c>
      <c r="I4794" s="11" t="n">
        <v/>
      </c>
      <c r="J4794" s="11" t="n">
        <v/>
      </c>
      <c r="K4794" s="4" t="inlineStr">
        <is>
          <t>Stundensätze eingeben</t>
        </is>
      </c>
    </row>
    <row r="4795">
      <c r="A4795" s="4" t="inlineStr">
        <is>
          <t>7388.12 BSB-Schottstraße-50-52-Gießen</t>
        </is>
      </c>
      <c r="B4795" s="4" t="inlineStr">
        <is>
          <t>● (aN) Pos.2 Stellung externen BSB</t>
        </is>
      </c>
      <c r="C4795" s="4" t="inlineStr">
        <is>
          <t>Nachweis</t>
        </is>
      </c>
      <c r="D4795" s="10" t="inlineStr">
        <is>
          <t>⚠ Manual erforderlich</t>
        </is>
      </c>
      <c r="E4795" s="11" t="inlineStr"/>
      <c r="F4795" s="11" t="n">
        <v>0</v>
      </c>
      <c r="G4795" s="11">
        <f>E4795-F4795</f>
        <v/>
      </c>
      <c r="H4795" s="11" t="n">
        <v/>
      </c>
      <c r="I4795" s="11" t="n">
        <v/>
      </c>
      <c r="J4795" s="11" t="n">
        <v/>
      </c>
      <c r="K4795" s="4" t="inlineStr">
        <is>
          <t>Stundensätze eingeben</t>
        </is>
      </c>
    </row>
    <row r="4796">
      <c r="A4796" s="4" t="inlineStr">
        <is>
          <t>7389 Edeka-FRP-Jahnstr9-Lohr</t>
        </is>
      </c>
      <c r="B4796" s="4" t="inlineStr">
        <is>
          <t>● FRP, hier Ortstermin</t>
        </is>
      </c>
      <c r="C4796" s="9" t="inlineStr">
        <is>
          <t>Unbekannt</t>
        </is>
      </c>
      <c r="D4796" s="10" t="inlineStr">
        <is>
          <t>⚠ Manual erforderlich</t>
        </is>
      </c>
      <c r="E4796" s="11" t="inlineStr"/>
      <c r="F4796" s="11" t="n">
        <v>0</v>
      </c>
      <c r="G4796" s="11">
        <f>E4796-F4796</f>
        <v/>
      </c>
      <c r="H4796" s="11" t="n">
        <v/>
      </c>
      <c r="I4796" s="11" t="n">
        <v/>
      </c>
      <c r="J4796" s="11" t="n">
        <v/>
      </c>
      <c r="K4796" s="4" t="inlineStr">
        <is>
          <t>Abrechnungsart wählen; Stundensätze eingeben</t>
        </is>
      </c>
    </row>
    <row r="4797">
      <c r="A4797" s="4" t="inlineStr">
        <is>
          <t>7390 Weber-PHP-Jahnstr14-16-Winkelhaid</t>
        </is>
      </c>
      <c r="B4797" s="4" t="inlineStr">
        <is>
          <t>● (p) Pos. 1 Fortsetzung Brandschutzprüfung</t>
        </is>
      </c>
      <c r="C4797" s="4" t="inlineStr">
        <is>
          <t>Pauschale</t>
        </is>
      </c>
      <c r="D4797" s="10" t="inlineStr">
        <is>
          <t>⚠ Manual erforderlich</t>
        </is>
      </c>
      <c r="E4797" s="11" t="inlineStr"/>
      <c r="F4797" s="11" t="n">
        <v>0</v>
      </c>
      <c r="G4797" s="11">
        <f>E4797-F4797</f>
        <v/>
      </c>
      <c r="H4797" s="11" t="n">
        <v>0</v>
      </c>
      <c r="I4797" s="11" t="n">
        <v>0</v>
      </c>
      <c r="J4797" s="11" t="n">
        <v>0</v>
      </c>
      <c r="K4797" s="4" t="inlineStr">
        <is>
          <t>Stundensätze eingeben</t>
        </is>
      </c>
    </row>
    <row r="4798">
      <c r="A4798" s="4" t="inlineStr">
        <is>
          <t>7390 Weber-PHP-Jahnstr14-16-Winkelhaid</t>
        </is>
      </c>
      <c r="B4798" s="4" t="inlineStr">
        <is>
          <t>● (aN) Pos. 2 Überwachung Bauausführung/BSN</t>
        </is>
      </c>
      <c r="C4798" s="4" t="inlineStr">
        <is>
          <t>Nachweis</t>
        </is>
      </c>
      <c r="D4798" s="10" t="inlineStr">
        <is>
          <t>⚠ Manual erforderlich</t>
        </is>
      </c>
      <c r="E4798" s="11" t="inlineStr"/>
      <c r="F4798" s="11" t="n">
        <v>0</v>
      </c>
      <c r="G4798" s="11">
        <f>E4798-F4798</f>
        <v/>
      </c>
      <c r="H4798" s="11" t="n">
        <v/>
      </c>
      <c r="I4798" s="11" t="n">
        <v/>
      </c>
      <c r="J4798" s="11" t="n">
        <v/>
      </c>
      <c r="K4798" s="4" t="inlineStr">
        <is>
          <t>Stundensätze eingeben</t>
        </is>
      </c>
    </row>
    <row r="4799">
      <c r="A4799" s="4" t="inlineStr">
        <is>
          <t>7391 Aktiv-Wohnbau-FWP-Pfarrstraße-3-Helmstadt-Bargen</t>
        </is>
      </c>
      <c r="B4799" s="4" t="inlineStr">
        <is>
          <t>● (p) 1.005 Abgleich/Aufnahme Feuerwehrplan</t>
        </is>
      </c>
      <c r="C4799" s="4" t="inlineStr">
        <is>
          <t>Pauschale</t>
        </is>
      </c>
      <c r="D4799" s="10" t="inlineStr">
        <is>
          <t>⚠ Manual erforderlich</t>
        </is>
      </c>
      <c r="E4799" s="11" t="inlineStr"/>
      <c r="F4799" s="11" t="n">
        <v>0</v>
      </c>
      <c r="G4799" s="11">
        <f>E4799-F4799</f>
        <v/>
      </c>
      <c r="H4799" s="11" t="n">
        <v>0</v>
      </c>
      <c r="I4799" s="11" t="n">
        <v>0</v>
      </c>
      <c r="J4799" s="11" t="n">
        <v>0</v>
      </c>
      <c r="K4799" s="4" t="inlineStr">
        <is>
          <t>Stundensätze eingeben</t>
        </is>
      </c>
    </row>
    <row r="4800">
      <c r="A4800" s="4" t="inlineStr">
        <is>
          <t>7391 Aktiv-Wohnbau-FWP-Pfarrstraße-3-Helmstadt-Bargen</t>
        </is>
      </c>
      <c r="B4800" s="4" t="inlineStr">
        <is>
          <t>● (p) 2.007 Fahrtkostenpauschale je Termin</t>
        </is>
      </c>
      <c r="C4800" s="4" t="inlineStr">
        <is>
          <t>Pauschale</t>
        </is>
      </c>
      <c r="D4800" s="10" t="inlineStr">
        <is>
          <t>⚠ Manual erforderlich</t>
        </is>
      </c>
      <c r="E4800" s="11" t="inlineStr"/>
      <c r="F4800" s="11" t="n">
        <v>0</v>
      </c>
      <c r="G4800" s="11">
        <f>E4800-F4800</f>
        <v/>
      </c>
      <c r="H4800" s="11" t="n">
        <v/>
      </c>
      <c r="I4800" s="11" t="n">
        <v/>
      </c>
      <c r="J4800" s="11" t="n">
        <v/>
      </c>
      <c r="K4800" s="4" t="inlineStr">
        <is>
          <t>Stundensätze eingeben</t>
        </is>
      </c>
    </row>
    <row r="4801">
      <c r="A4801" s="4" t="inlineStr">
        <is>
          <t>7391 Aktiv-Wohnbau-FWP-Pfarrstraße-3-Helmstadt-Bargen</t>
        </is>
      </c>
      <c r="B4801" s="4" t="inlineStr">
        <is>
          <t>● NAT FWP (ERF/PN 1025006)6</t>
        </is>
      </c>
      <c r="C4801" s="9" t="inlineStr">
        <is>
          <t>Unbekannt</t>
        </is>
      </c>
      <c r="D4801" s="10" t="inlineStr">
        <is>
          <t>⚠ Manual erforderlich</t>
        </is>
      </c>
      <c r="E4801" s="11" t="inlineStr"/>
      <c r="F4801" s="11" t="n">
        <v>0</v>
      </c>
      <c r="G4801" s="11">
        <f>E4801-F4801</f>
        <v/>
      </c>
      <c r="H4801" s="11" t="n">
        <v/>
      </c>
      <c r="I4801" s="11" t="n">
        <v/>
      </c>
      <c r="J4801" s="11" t="n">
        <v/>
      </c>
      <c r="K4801" s="4" t="inlineStr">
        <is>
          <t>Abrechnungsart wählen; Stundensätze eingeben</t>
        </is>
      </c>
    </row>
    <row r="4802">
      <c r="A4802" s="4" t="inlineStr">
        <is>
          <t>7392 BSN+KOF-Burgstraße-26-Jossgrund</t>
        </is>
      </c>
      <c r="B4802" s="4" t="inlineStr">
        <is>
          <t>● (p) Pos.1 Tab. BSN (ANG v. 02.05.2025)</t>
        </is>
      </c>
      <c r="C4802" s="4" t="inlineStr">
        <is>
          <t>Pauschale</t>
        </is>
      </c>
      <c r="D4802" s="10" t="inlineStr">
        <is>
          <t>⚠ Manual erforderlich</t>
        </is>
      </c>
      <c r="E4802" s="11" t="inlineStr"/>
      <c r="F4802" s="11" t="n">
        <v>0</v>
      </c>
      <c r="G4802" s="11">
        <f>E4802-F4802</f>
        <v/>
      </c>
      <c r="H4802" s="11" t="n">
        <v>0</v>
      </c>
      <c r="I4802" s="11" t="n">
        <v>0</v>
      </c>
      <c r="J4802" s="11" t="n">
        <v>0</v>
      </c>
      <c r="K4802" s="4" t="inlineStr">
        <is>
          <t>Stundensätze eingeben</t>
        </is>
      </c>
    </row>
    <row r="4803">
      <c r="A4803" s="4" t="inlineStr">
        <is>
          <t>7392 BSN+KOF-Burgstraße-26-Jossgrund</t>
        </is>
      </c>
      <c r="B4803" s="4" t="inlineStr">
        <is>
          <t>● (p) Pos.1 Schlussbescheinigung/KOF (ANG v. 07.05.2025)</t>
        </is>
      </c>
      <c r="C4803" s="4" t="inlineStr">
        <is>
          <t>Pauschale</t>
        </is>
      </c>
      <c r="D4803" s="10" t="inlineStr">
        <is>
          <t>⚠ Manual erforderlich</t>
        </is>
      </c>
      <c r="E4803" s="11" t="inlineStr"/>
      <c r="F4803" s="11" t="n">
        <v>0</v>
      </c>
      <c r="G4803" s="11">
        <f>E4803-F4803</f>
        <v/>
      </c>
      <c r="H4803" s="11" t="n">
        <v>0</v>
      </c>
      <c r="I4803" s="11" t="n">
        <v>0</v>
      </c>
      <c r="J4803" s="11" t="n">
        <v>0</v>
      </c>
      <c r="K4803" s="4" t="inlineStr">
        <is>
          <t>Stundensätze eingeben</t>
        </is>
      </c>
    </row>
    <row r="4804">
      <c r="A4804" s="4" t="inlineStr">
        <is>
          <t>7393 Beigel-REWE-Markt-AHO-BSN-GautingerStr3-Starnberg</t>
        </is>
      </c>
      <c r="B4804" s="4" t="inlineStr">
        <is>
          <t>● (p) Pos. 1 LPH 1 Grundlagenermittlung</t>
        </is>
      </c>
      <c r="C4804" s="4" t="inlineStr">
        <is>
          <t>Pauschale</t>
        </is>
      </c>
      <c r="D4804" s="10" t="inlineStr">
        <is>
          <t>⚠ Manual erforderlich</t>
        </is>
      </c>
      <c r="E4804" s="11" t="inlineStr"/>
      <c r="F4804" s="11" t="n">
        <v>0</v>
      </c>
      <c r="G4804" s="11">
        <f>E4804-F4804</f>
        <v/>
      </c>
      <c r="H4804" s="11" t="n">
        <v>0</v>
      </c>
      <c r="I4804" s="11" t="n">
        <v>0</v>
      </c>
      <c r="J4804" s="11" t="n">
        <v>0</v>
      </c>
      <c r="K4804" s="4" t="inlineStr">
        <is>
          <t>Stundensätze eingeben</t>
        </is>
      </c>
    </row>
    <row r="4805">
      <c r="A4805" s="4" t="inlineStr">
        <is>
          <t>7393 Beigel-REWE-Markt-AHO-BSN-GautingerStr3-Starnberg</t>
        </is>
      </c>
      <c r="B4805" s="4" t="inlineStr">
        <is>
          <t>● (p) Pos. 2 LPH 2 Vorplanung</t>
        </is>
      </c>
      <c r="C4805" s="4" t="inlineStr">
        <is>
          <t>Pauschale</t>
        </is>
      </c>
      <c r="D4805" s="10" t="inlineStr">
        <is>
          <t>⚠ Manual erforderlich</t>
        </is>
      </c>
      <c r="E4805" s="11" t="inlineStr"/>
      <c r="F4805" s="11" t="n">
        <v>0</v>
      </c>
      <c r="G4805" s="11">
        <f>E4805-F4805</f>
        <v/>
      </c>
      <c r="H4805" s="11" t="n">
        <v>0</v>
      </c>
      <c r="I4805" s="11" t="n">
        <v>0</v>
      </c>
      <c r="J4805" s="11" t="n">
        <v>0</v>
      </c>
      <c r="K4805" s="4" t="inlineStr">
        <is>
          <t>Stundensätze eingeben</t>
        </is>
      </c>
    </row>
    <row r="4806">
      <c r="A4806" s="4" t="inlineStr">
        <is>
          <t>7393 Beigel-REWE-Markt-AHO-BSN-GautingerStr3-Starnberg</t>
        </is>
      </c>
      <c r="B4806" s="4" t="inlineStr">
        <is>
          <t>● (p) Pos. 3 LPH 3 Entwurfsplanung</t>
        </is>
      </c>
      <c r="C4806" s="4" t="inlineStr">
        <is>
          <t>Pauschale</t>
        </is>
      </c>
      <c r="D4806" s="10" t="inlineStr">
        <is>
          <t>⚠ Manual erforderlich</t>
        </is>
      </c>
      <c r="E4806" s="11" t="inlineStr"/>
      <c r="F4806" s="11" t="n">
        <v>0</v>
      </c>
      <c r="G4806" s="11">
        <f>E4806-F4806</f>
        <v/>
      </c>
      <c r="H4806" s="11" t="n">
        <v>0</v>
      </c>
      <c r="I4806" s="11" t="n">
        <v>0</v>
      </c>
      <c r="J4806" s="11" t="n">
        <v>0</v>
      </c>
      <c r="K4806" s="4" t="inlineStr">
        <is>
          <t>Stundensätze eingeben</t>
        </is>
      </c>
    </row>
    <row r="4807">
      <c r="A4807" s="4" t="inlineStr">
        <is>
          <t>7393 Beigel-REWE-Markt-AHO-BSN-GautingerStr3-Starnberg</t>
        </is>
      </c>
      <c r="B4807" s="4" t="inlineStr">
        <is>
          <t>● (p) Pos. 4 LPH 4 Genehmigungsplanung</t>
        </is>
      </c>
      <c r="C4807" s="4" t="inlineStr">
        <is>
          <t>Pauschale</t>
        </is>
      </c>
      <c r="D4807" s="10" t="inlineStr">
        <is>
          <t>⚠ Manual erforderlich</t>
        </is>
      </c>
      <c r="E4807" s="11" t="inlineStr"/>
      <c r="F4807" s="11" t="n">
        <v>0</v>
      </c>
      <c r="G4807" s="11">
        <f>E4807-F4807</f>
        <v/>
      </c>
      <c r="H4807" s="11" t="n">
        <v>0</v>
      </c>
      <c r="I4807" s="11" t="n">
        <v>0</v>
      </c>
      <c r="J4807" s="11" t="n">
        <v>0</v>
      </c>
      <c r="K4807" s="4" t="inlineStr">
        <is>
          <t>Stundensätze eingeben</t>
        </is>
      </c>
    </row>
    <row r="4808">
      <c r="A4808" s="4" t="inlineStr">
        <is>
          <t>7394 TCO-BST-divBestandsdächer-Soldev-HIH-Saarlouis</t>
        </is>
      </c>
      <c r="B4808" s="4" t="inlineStr">
        <is>
          <t>● Saarlouis</t>
        </is>
      </c>
      <c r="C4808" s="9" t="inlineStr">
        <is>
          <t>Unbekannt</t>
        </is>
      </c>
      <c r="D4808" s="10" t="inlineStr">
        <is>
          <t>⚠ Manual erforderlich</t>
        </is>
      </c>
      <c r="E4808" s="11" t="inlineStr"/>
      <c r="F4808" s="11" t="n">
        <v>0</v>
      </c>
      <c r="G4808" s="11">
        <f>E4808-F4808</f>
        <v/>
      </c>
      <c r="H4808" s="11" t="n">
        <v/>
      </c>
      <c r="I4808" s="11" t="n">
        <v/>
      </c>
      <c r="J4808" s="11" t="n">
        <v/>
      </c>
      <c r="K4808" s="4" t="inlineStr">
        <is>
          <t>Abrechnungsart wählen; Stundensätze eingeben</t>
        </is>
      </c>
    </row>
    <row r="4809">
      <c r="A4809" s="4" t="inlineStr">
        <is>
          <t>7394.01 TCO-BST-divBestandsdächer-Soldev-div.-Standorte</t>
        </is>
      </c>
      <c r="B4809" s="4" t="inlineStr">
        <is>
          <t>● Ludwigsfelde</t>
        </is>
      </c>
      <c r="C4809" s="9" t="inlineStr">
        <is>
          <t>Unbekannt</t>
        </is>
      </c>
      <c r="D4809" s="10" t="inlineStr">
        <is>
          <t>⚠ Manual erforderlich</t>
        </is>
      </c>
      <c r="E4809" s="11" t="inlineStr"/>
      <c r="F4809" s="11" t="n">
        <v>0</v>
      </c>
      <c r="G4809" s="11">
        <f>E4809-F4809</f>
        <v/>
      </c>
      <c r="H4809" s="11" t="n">
        <v/>
      </c>
      <c r="I4809" s="11" t="n">
        <v/>
      </c>
      <c r="J4809" s="11" t="n">
        <v/>
      </c>
      <c r="K4809" s="4" t="inlineStr">
        <is>
          <t>Abrechnungsart wählen; Stundensätze eingeben</t>
        </is>
      </c>
    </row>
    <row r="4810">
      <c r="A4810" s="4" t="inlineStr">
        <is>
          <t>7394.01 TCO-BST-divBestandsdächer-Soldev-div.-Standorte</t>
        </is>
      </c>
      <c r="B4810" s="4" t="inlineStr">
        <is>
          <t>● Bergkamen</t>
        </is>
      </c>
      <c r="C4810" s="9" t="inlineStr">
        <is>
          <t>Unbekannt</t>
        </is>
      </c>
      <c r="D4810" s="10" t="inlineStr">
        <is>
          <t>⚠ Manual erforderlich</t>
        </is>
      </c>
      <c r="E4810" s="11" t="inlineStr"/>
      <c r="F4810" s="11" t="n">
        <v>0</v>
      </c>
      <c r="G4810" s="11">
        <f>E4810-F4810</f>
        <v/>
      </c>
      <c r="H4810" s="11" t="n">
        <v/>
      </c>
      <c r="I4810" s="11" t="n">
        <v/>
      </c>
      <c r="J4810" s="11" t="n">
        <v/>
      </c>
      <c r="K4810" s="4" t="inlineStr">
        <is>
          <t>Abrechnungsart wählen; Stundensätze eingeben</t>
        </is>
      </c>
    </row>
    <row r="4811">
      <c r="A4811" s="4" t="inlineStr">
        <is>
          <t>7394.01 TCO-BST-divBestandsdächer-Soldev-div.-Standorte</t>
        </is>
      </c>
      <c r="B4811" s="4" t="inlineStr">
        <is>
          <t>● Köln</t>
        </is>
      </c>
      <c r="C4811" s="9" t="inlineStr">
        <is>
          <t>Unbekannt</t>
        </is>
      </c>
      <c r="D4811" s="10" t="inlineStr">
        <is>
          <t>⚠ Manual erforderlich</t>
        </is>
      </c>
      <c r="E4811" s="11" t="inlineStr"/>
      <c r="F4811" s="11" t="n">
        <v>0</v>
      </c>
      <c r="G4811" s="11">
        <f>E4811-F4811</f>
        <v/>
      </c>
      <c r="H4811" s="11" t="n">
        <v/>
      </c>
      <c r="I4811" s="11" t="n">
        <v/>
      </c>
      <c r="J4811" s="11" t="n">
        <v/>
      </c>
      <c r="K4811" s="4" t="inlineStr">
        <is>
          <t>Abrechnungsart wählen; Stundensätze eingeben</t>
        </is>
      </c>
    </row>
    <row r="4812">
      <c r="A4812" s="4" t="inlineStr">
        <is>
          <t>7394.01 TCO-BST-divBestandsdächer-Soldev-div.-Standorte</t>
        </is>
      </c>
      <c r="B4812" s="4" t="inlineStr">
        <is>
          <t>● Sinzheim</t>
        </is>
      </c>
      <c r="C4812" s="9" t="inlineStr">
        <is>
          <t>Unbekannt</t>
        </is>
      </c>
      <c r="D4812" s="10" t="inlineStr">
        <is>
          <t>⚠ Manual erforderlich</t>
        </is>
      </c>
      <c r="E4812" s="11" t="inlineStr"/>
      <c r="F4812" s="11" t="n">
        <v>0</v>
      </c>
      <c r="G4812" s="11">
        <f>E4812-F4812</f>
        <v/>
      </c>
      <c r="H4812" s="11" t="n">
        <v/>
      </c>
      <c r="I4812" s="11" t="n">
        <v/>
      </c>
      <c r="J4812" s="11" t="n">
        <v/>
      </c>
      <c r="K4812" s="4" t="inlineStr">
        <is>
          <t>Abrechnungsart wählen; Stundensätze eingeben</t>
        </is>
      </c>
    </row>
    <row r="4813">
      <c r="A4813" s="4" t="inlineStr">
        <is>
          <t>7394.01 TCO-BST-divBestandsdächer-Soldev-div.-Standorte</t>
        </is>
      </c>
      <c r="B4813" s="4" t="inlineStr">
        <is>
          <t>● Bürstadt</t>
        </is>
      </c>
      <c r="C4813" s="9" t="inlineStr">
        <is>
          <t>Unbekannt</t>
        </is>
      </c>
      <c r="D4813" s="10" t="inlineStr">
        <is>
          <t>⚠ Manual erforderlich</t>
        </is>
      </c>
      <c r="E4813" s="11" t="inlineStr"/>
      <c r="F4813" s="11" t="n">
        <v>0</v>
      </c>
      <c r="G4813" s="11">
        <f>E4813-F4813</f>
        <v/>
      </c>
      <c r="H4813" s="11" t="n">
        <v/>
      </c>
      <c r="I4813" s="11" t="n">
        <v/>
      </c>
      <c r="J4813" s="11" t="n">
        <v/>
      </c>
      <c r="K4813" s="4" t="inlineStr">
        <is>
          <t>Abrechnungsart wählen; Stundensätze eingeben</t>
        </is>
      </c>
    </row>
    <row r="4814">
      <c r="A4814" s="4" t="inlineStr">
        <is>
          <t>7394.01 TCO-BST-divBestandsdächer-Soldev-div.-Standorte</t>
        </is>
      </c>
      <c r="B4814" s="4" t="inlineStr">
        <is>
          <t>● Duisburg</t>
        </is>
      </c>
      <c r="C4814" s="9" t="inlineStr">
        <is>
          <t>Unbekannt</t>
        </is>
      </c>
      <c r="D4814" s="10" t="inlineStr">
        <is>
          <t>⚠ Manual erforderlich</t>
        </is>
      </c>
      <c r="E4814" s="11" t="inlineStr"/>
      <c r="F4814" s="11" t="n">
        <v>0</v>
      </c>
      <c r="G4814" s="11">
        <f>E4814-F4814</f>
        <v/>
      </c>
      <c r="H4814" s="11" t="n">
        <v/>
      </c>
      <c r="I4814" s="11" t="n">
        <v/>
      </c>
      <c r="J4814" s="11" t="n">
        <v/>
      </c>
      <c r="K4814" s="4" t="inlineStr">
        <is>
          <t>Abrechnungsart wählen; Stundensätze eingeben</t>
        </is>
      </c>
    </row>
    <row r="4815">
      <c r="A4815" s="4" t="inlineStr">
        <is>
          <t>7394.01 TCO-BST-divBestandsdächer-Soldev-div.-Standorte</t>
        </is>
      </c>
      <c r="B4815" s="4" t="inlineStr">
        <is>
          <t>● Ergoldsbach</t>
        </is>
      </c>
      <c r="C4815" s="9" t="inlineStr">
        <is>
          <t>Unbekannt</t>
        </is>
      </c>
      <c r="D4815" s="10" t="inlineStr">
        <is>
          <t>⚠ Manual erforderlich</t>
        </is>
      </c>
      <c r="E4815" s="11" t="inlineStr"/>
      <c r="F4815" s="11" t="n">
        <v>0</v>
      </c>
      <c r="G4815" s="11">
        <f>E4815-F4815</f>
        <v/>
      </c>
      <c r="H4815" s="11" t="n">
        <v/>
      </c>
      <c r="I4815" s="11" t="n">
        <v/>
      </c>
      <c r="J4815" s="11" t="n">
        <v/>
      </c>
      <c r="K4815" s="4" t="inlineStr">
        <is>
          <t>Abrechnungsart wählen; Stundensätze eingeben</t>
        </is>
      </c>
    </row>
    <row r="4816">
      <c r="A4816" s="4" t="inlineStr">
        <is>
          <t>7394.01 TCO-BST-divBestandsdächer-Soldev-div.-Standorte</t>
        </is>
      </c>
      <c r="B4816" s="4" t="inlineStr">
        <is>
          <t>● Espelkamp</t>
        </is>
      </c>
      <c r="C4816" s="9" t="inlineStr">
        <is>
          <t>Unbekannt</t>
        </is>
      </c>
      <c r="D4816" s="10" t="inlineStr">
        <is>
          <t>⚠ Manual erforderlich</t>
        </is>
      </c>
      <c r="E4816" s="11" t="inlineStr"/>
      <c r="F4816" s="11" t="n">
        <v>0</v>
      </c>
      <c r="G4816" s="11">
        <f>E4816-F4816</f>
        <v/>
      </c>
      <c r="H4816" s="11" t="n">
        <v/>
      </c>
      <c r="I4816" s="11" t="n">
        <v/>
      </c>
      <c r="J4816" s="11" t="n">
        <v/>
      </c>
      <c r="K4816" s="4" t="inlineStr">
        <is>
          <t>Abrechnungsart wählen; Stundensätze eingeben</t>
        </is>
      </c>
    </row>
    <row r="4817">
      <c r="A4817" s="4" t="inlineStr">
        <is>
          <t>7394.01 TCO-BST-divBestandsdächer-Soldev-div.-Standorte</t>
        </is>
      </c>
      <c r="B4817" s="4" t="inlineStr">
        <is>
          <t>● Halver</t>
        </is>
      </c>
      <c r="C4817" s="9" t="inlineStr">
        <is>
          <t>Unbekannt</t>
        </is>
      </c>
      <c r="D4817" s="10" t="inlineStr">
        <is>
          <t>⚠ Manual erforderlich</t>
        </is>
      </c>
      <c r="E4817" s="11" t="inlineStr"/>
      <c r="F4817" s="11" t="n">
        <v>0</v>
      </c>
      <c r="G4817" s="11">
        <f>E4817-F4817</f>
        <v/>
      </c>
      <c r="H4817" s="11" t="n">
        <v/>
      </c>
      <c r="I4817" s="11" t="n">
        <v/>
      </c>
      <c r="J4817" s="11" t="n">
        <v/>
      </c>
      <c r="K4817" s="4" t="inlineStr">
        <is>
          <t>Abrechnungsart wählen; Stundensätze eingeben</t>
        </is>
      </c>
    </row>
    <row r="4818">
      <c r="A4818" s="4" t="inlineStr">
        <is>
          <t>7394.01 TCO-BST-divBestandsdächer-Soldev-div.-Standorte</t>
        </is>
      </c>
      <c r="B4818" s="4" t="inlineStr">
        <is>
          <t>● Rödenthal</t>
        </is>
      </c>
      <c r="C4818" s="9" t="inlineStr">
        <is>
          <t>Unbekannt</t>
        </is>
      </c>
      <c r="D4818" s="10" t="inlineStr">
        <is>
          <t>⚠ Manual erforderlich</t>
        </is>
      </c>
      <c r="E4818" s="11" t="inlineStr"/>
      <c r="F4818" s="11" t="n">
        <v>0</v>
      </c>
      <c r="G4818" s="11">
        <f>E4818-F4818</f>
        <v/>
      </c>
      <c r="H4818" s="11" t="n">
        <v/>
      </c>
      <c r="I4818" s="11" t="n">
        <v/>
      </c>
      <c r="J4818" s="11" t="n">
        <v/>
      </c>
      <c r="K4818" s="4" t="inlineStr">
        <is>
          <t>Abrechnungsart wählen; Stundensätze eingeben</t>
        </is>
      </c>
    </row>
    <row r="4819">
      <c r="A4819" s="4" t="inlineStr">
        <is>
          <t>7396 BSK-Herderstraße-25-Hochheim</t>
        </is>
      </c>
      <c r="B4819" s="4" t="inlineStr">
        <is>
          <t>● (p) Pos.1 Erstellung BSK</t>
        </is>
      </c>
      <c r="C4819" s="4" t="inlineStr">
        <is>
          <t>Pauschale</t>
        </is>
      </c>
      <c r="D4819" s="10" t="inlineStr">
        <is>
          <t>⚠ Manual erforderlich</t>
        </is>
      </c>
      <c r="E4819" s="11" t="inlineStr"/>
      <c r="F4819" s="11" t="n">
        <v>0</v>
      </c>
      <c r="G4819" s="11">
        <f>E4819-F4819</f>
        <v/>
      </c>
      <c r="H4819" s="11" t="n">
        <v>0</v>
      </c>
      <c r="I4819" s="11" t="n">
        <v>0</v>
      </c>
      <c r="J4819" s="11" t="n">
        <v>0</v>
      </c>
      <c r="K4819" s="4" t="inlineStr">
        <is>
          <t>Stundensätze eingeben</t>
        </is>
      </c>
    </row>
    <row r="4820">
      <c r="A4820" s="4" t="inlineStr">
        <is>
          <t>7396 BSK-Herderstraße-25-Hochheim</t>
        </is>
      </c>
      <c r="B4820" s="4" t="inlineStr">
        <is>
          <t>● (p) Pos.2 Baubegl. BAB + Qualitätsüberwachung</t>
        </is>
      </c>
      <c r="C4820" s="4" t="inlineStr">
        <is>
          <t>Pauschale</t>
        </is>
      </c>
      <c r="D4820" s="10" t="inlineStr">
        <is>
          <t>⚠ Manual erforderlich</t>
        </is>
      </c>
      <c r="E4820" s="11" t="inlineStr"/>
      <c r="F4820" s="11" t="n">
        <v>0</v>
      </c>
      <c r="G4820" s="11">
        <f>E4820-F4820</f>
        <v/>
      </c>
      <c r="H4820" s="11" t="n">
        <v>0</v>
      </c>
      <c r="I4820" s="11" t="n">
        <v>0</v>
      </c>
      <c r="J4820" s="11" t="n">
        <v>0</v>
      </c>
      <c r="K4820" s="4" t="inlineStr">
        <is>
          <t>Stundensätze eingeben</t>
        </is>
      </c>
    </row>
    <row r="4821">
      <c r="A4821" s="4" t="inlineStr">
        <is>
          <t>7396.01 BSP-Herderstraße-25-Hochheim</t>
        </is>
      </c>
      <c r="B4821" s="4" t="inlineStr">
        <is>
          <t>● (p) Pos.1 Erstellung von aktuellen Plangrundlagen</t>
        </is>
      </c>
      <c r="C4821" s="4" t="inlineStr">
        <is>
          <t>Pauschale</t>
        </is>
      </c>
      <c r="D4821" s="10" t="inlineStr">
        <is>
          <t>⚠ Manual erforderlich</t>
        </is>
      </c>
      <c r="E4821" s="11" t="inlineStr"/>
      <c r="F4821" s="11" t="n">
        <v>0</v>
      </c>
      <c r="G4821" s="11">
        <f>E4821-F4821</f>
        <v/>
      </c>
      <c r="H4821" s="11" t="n">
        <v>0</v>
      </c>
      <c r="I4821" s="11" t="n">
        <v>0</v>
      </c>
      <c r="J4821" s="11" t="n">
        <v>0</v>
      </c>
      <c r="K4821" s="4" t="inlineStr">
        <is>
          <t>Stundensätze eingeben</t>
        </is>
      </c>
    </row>
    <row r="4822">
      <c r="A4822" s="4" t="inlineStr">
        <is>
          <t>7397 Tetris-BTB-Johann-Sebastian-Bach-Platz10-Ansbach</t>
        </is>
      </c>
      <c r="B4822" s="4" t="inlineStr">
        <is>
          <t>● (aN) Pos. 1 Brandschutztechnische Beratung</t>
        </is>
      </c>
      <c r="C4822" s="4" t="inlineStr">
        <is>
          <t>Nachweis</t>
        </is>
      </c>
      <c r="D4822" s="10" t="inlineStr">
        <is>
          <t>⚠ Manual erforderlich</t>
        </is>
      </c>
      <c r="E4822" s="11" t="inlineStr"/>
      <c r="F4822" s="11" t="n">
        <v>0</v>
      </c>
      <c r="G4822" s="11">
        <f>E4822-F4822</f>
        <v/>
      </c>
      <c r="H4822" s="11" t="n">
        <v/>
      </c>
      <c r="I4822" s="11" t="n">
        <v/>
      </c>
      <c r="J4822" s="11" t="n">
        <v/>
      </c>
      <c r="K4822" s="4" t="inlineStr">
        <is>
          <t>Stundensätze eingeben</t>
        </is>
      </c>
    </row>
    <row r="4823">
      <c r="A4823" s="4" t="inlineStr">
        <is>
          <t>7397.01 Tetris-AHO-BSN-Johann-Sebastian-Bach-Platz10-Ansbach</t>
        </is>
      </c>
      <c r="B4823" s="4" t="inlineStr">
        <is>
          <t>● Stundensammler LP 1</t>
        </is>
      </c>
      <c r="C4823" s="9" t="inlineStr">
        <is>
          <t>Unbekannt</t>
        </is>
      </c>
      <c r="D4823" s="10" t="inlineStr">
        <is>
          <t>⚠ Manual erforderlich</t>
        </is>
      </c>
      <c r="E4823" s="11" t="inlineStr"/>
      <c r="F4823" s="11" t="n">
        <v>0</v>
      </c>
      <c r="G4823" s="11">
        <f>E4823-F4823</f>
        <v/>
      </c>
      <c r="H4823" s="11" t="n">
        <v/>
      </c>
      <c r="I4823" s="11" t="n">
        <v/>
      </c>
      <c r="J4823" s="11" t="n">
        <v/>
      </c>
      <c r="K4823" s="4" t="inlineStr">
        <is>
          <t>Abrechnungsart wählen; Stundensätze eingeben</t>
        </is>
      </c>
    </row>
    <row r="4824">
      <c r="A4824" s="4" t="inlineStr">
        <is>
          <t>7397.01 Tetris-AHO-BSN-Johann-Sebastian-Bach-Platz10-Ansbach</t>
        </is>
      </c>
      <c r="B4824" s="4" t="inlineStr">
        <is>
          <t>● Stundensammler LP 2</t>
        </is>
      </c>
      <c r="C4824" s="9" t="inlineStr">
        <is>
          <t>Unbekannt</t>
        </is>
      </c>
      <c r="D4824" s="10" t="inlineStr">
        <is>
          <t>⚠ Manual erforderlich</t>
        </is>
      </c>
      <c r="E4824" s="11" t="inlineStr"/>
      <c r="F4824" s="11" t="n">
        <v>0</v>
      </c>
      <c r="G4824" s="11">
        <f>E4824-F4824</f>
        <v/>
      </c>
      <c r="H4824" s="11" t="n">
        <v/>
      </c>
      <c r="I4824" s="11" t="n">
        <v/>
      </c>
      <c r="J4824" s="11" t="n">
        <v/>
      </c>
      <c r="K4824" s="4" t="inlineStr">
        <is>
          <t>Abrechnungsart wählen; Stundensätze eingeben</t>
        </is>
      </c>
    </row>
    <row r="4825">
      <c r="A4825" s="4" t="inlineStr">
        <is>
          <t>7397.01 Tetris-AHO-BSN-Johann-Sebastian-Bach-Platz10-Ansbach</t>
        </is>
      </c>
      <c r="B4825" s="4" t="inlineStr">
        <is>
          <t>● Stundensammler LP 3</t>
        </is>
      </c>
      <c r="C4825" s="9" t="inlineStr">
        <is>
          <t>Unbekannt</t>
        </is>
      </c>
      <c r="D4825" s="10" t="inlineStr">
        <is>
          <t>⚠ Manual erforderlich</t>
        </is>
      </c>
      <c r="E4825" s="11" t="inlineStr"/>
      <c r="F4825" s="11" t="n">
        <v>0</v>
      </c>
      <c r="G4825" s="11">
        <f>E4825-F4825</f>
        <v/>
      </c>
      <c r="H4825" s="11" t="n">
        <v/>
      </c>
      <c r="I4825" s="11" t="n">
        <v/>
      </c>
      <c r="J4825" s="11" t="n">
        <v/>
      </c>
      <c r="K4825" s="4" t="inlineStr">
        <is>
          <t>Abrechnungsart wählen; Stundensätze eingeben</t>
        </is>
      </c>
    </row>
    <row r="4826">
      <c r="A4826" s="4" t="inlineStr">
        <is>
          <t>7397.01 Tetris-AHO-BSN-Johann-Sebastian-Bach-Platz10-Ansbach</t>
        </is>
      </c>
      <c r="B4826" s="4" t="inlineStr">
        <is>
          <t>● Stundensammler LP 4</t>
        </is>
      </c>
      <c r="C4826" s="9" t="inlineStr">
        <is>
          <t>Unbekannt</t>
        </is>
      </c>
      <c r="D4826" s="10" t="inlineStr">
        <is>
          <t>⚠ Manual erforderlich</t>
        </is>
      </c>
      <c r="E4826" s="11" t="inlineStr"/>
      <c r="F4826" s="11" t="n">
        <v>0</v>
      </c>
      <c r="G4826" s="11">
        <f>E4826-F4826</f>
        <v/>
      </c>
      <c r="H4826" s="11" t="n">
        <v/>
      </c>
      <c r="I4826" s="11" t="n">
        <v/>
      </c>
      <c r="J4826" s="11" t="n">
        <v/>
      </c>
      <c r="K4826" s="4" t="inlineStr">
        <is>
          <t>Abrechnungsart wählen; Stundensätze eingeben</t>
        </is>
      </c>
    </row>
    <row r="4827">
      <c r="A4827" s="4" t="inlineStr">
        <is>
          <t>7398.01 Cteam-BSB-Mast-093A-Koellestraße-7-Karlsruhe - BEA abgelehnt-STORNO</t>
        </is>
      </c>
      <c r="B4827" s="4" t="inlineStr">
        <is>
          <t>● (p) Pos.1 BSB</t>
        </is>
      </c>
      <c r="C4827" s="4" t="inlineStr">
        <is>
          <t>Pauschale</t>
        </is>
      </c>
      <c r="D4827" s="10" t="inlineStr">
        <is>
          <t>⚠ Manual erforderlich</t>
        </is>
      </c>
      <c r="E4827" s="11" t="inlineStr"/>
      <c r="F4827" s="11" t="n">
        <v>0</v>
      </c>
      <c r="G4827" s="11">
        <f>E4827-F4827</f>
        <v/>
      </c>
      <c r="H4827" s="11" t="n">
        <v>0</v>
      </c>
      <c r="I4827" s="11" t="n">
        <v>0</v>
      </c>
      <c r="J4827" s="11" t="n">
        <v>0</v>
      </c>
      <c r="K4827" s="4" t="inlineStr">
        <is>
          <t>Stundensätze eingeben</t>
        </is>
      </c>
    </row>
    <row r="4828">
      <c r="A4828" s="4" t="inlineStr">
        <is>
          <t>7398.01 Cteam-BSB-Mast-093A-Koellestraße-7-Karlsruhe - BEA abgelehnt-STORNO</t>
        </is>
      </c>
      <c r="B4828" s="4" t="inlineStr">
        <is>
          <t>● (p) Pos.2 Begehung vor Ort bis zu 400km</t>
        </is>
      </c>
      <c r="C4828" s="4" t="inlineStr">
        <is>
          <t>Pauschale</t>
        </is>
      </c>
      <c r="D4828" s="10" t="inlineStr">
        <is>
          <t>⚠ Manual erforderlich</t>
        </is>
      </c>
      <c r="E4828" s="11" t="inlineStr"/>
      <c r="F4828" s="11" t="n">
        <v>0</v>
      </c>
      <c r="G4828" s="11">
        <f>E4828-F4828</f>
        <v/>
      </c>
      <c r="H4828" s="11" t="n">
        <v>0</v>
      </c>
      <c r="I4828" s="11" t="n">
        <v>0</v>
      </c>
      <c r="J4828" s="11" t="n">
        <v>0</v>
      </c>
      <c r="K4828" s="4" t="inlineStr">
        <is>
          <t>Stundensätze eingeben</t>
        </is>
      </c>
    </row>
    <row r="4829">
      <c r="A4829" s="4" t="inlineStr">
        <is>
          <t>7400 JUWI-WP-div-MST</t>
        </is>
      </c>
      <c r="B4829" s="4" t="inlineStr">
        <is>
          <t>● WEA Remchingen</t>
        </is>
      </c>
      <c r="C4829" s="9" t="inlineStr">
        <is>
          <t>Unbekannt</t>
        </is>
      </c>
      <c r="D4829" s="10" t="inlineStr">
        <is>
          <t>⚠ Manual erforderlich</t>
        </is>
      </c>
      <c r="E4829" s="11" t="inlineStr"/>
      <c r="F4829" s="11" t="n">
        <v>0</v>
      </c>
      <c r="G4829" s="11">
        <f>E4829-F4829</f>
        <v/>
      </c>
      <c r="H4829" s="11" t="n">
        <v/>
      </c>
      <c r="I4829" s="11" t="n">
        <v/>
      </c>
      <c r="J4829" s="11" t="n">
        <v/>
      </c>
      <c r="K4829" s="4" t="inlineStr">
        <is>
          <t>Abrechnungsart wählen; Stundensätze eingeben</t>
        </is>
      </c>
    </row>
    <row r="4830">
      <c r="A4830" s="4" t="inlineStr">
        <is>
          <t>7400 JUWI-WP-div-MST</t>
        </is>
      </c>
      <c r="B4830" s="4" t="inlineStr">
        <is>
          <t>● WEA Krackow2</t>
        </is>
      </c>
      <c r="C4830" s="9" t="inlineStr">
        <is>
          <t>Unbekannt</t>
        </is>
      </c>
      <c r="D4830" s="10" t="inlineStr">
        <is>
          <t>⚠ Manual erforderlich</t>
        </is>
      </c>
      <c r="E4830" s="11" t="inlineStr"/>
      <c r="F4830" s="11" t="n">
        <v>0</v>
      </c>
      <c r="G4830" s="11">
        <f>E4830-F4830</f>
        <v/>
      </c>
      <c r="H4830" s="11" t="n">
        <v/>
      </c>
      <c r="I4830" s="11" t="n">
        <v/>
      </c>
      <c r="J4830" s="11" t="n">
        <v/>
      </c>
      <c r="K4830" s="4" t="inlineStr">
        <is>
          <t>Abrechnungsart wählen; Stundensätze eingeben</t>
        </is>
      </c>
    </row>
    <row r="4831">
      <c r="A4831" s="4" t="inlineStr">
        <is>
          <t>7400 JUWI-WP-div-MST</t>
        </is>
      </c>
      <c r="B4831" s="4" t="inlineStr">
        <is>
          <t>● WEA Niedermoschel</t>
        </is>
      </c>
      <c r="C4831" s="9" t="inlineStr">
        <is>
          <t>Unbekannt</t>
        </is>
      </c>
      <c r="D4831" s="10" t="inlineStr">
        <is>
          <t>⚠ Manual erforderlich</t>
        </is>
      </c>
      <c r="E4831" s="11" t="inlineStr"/>
      <c r="F4831" s="11" t="n">
        <v>0</v>
      </c>
      <c r="G4831" s="11">
        <f>E4831-F4831</f>
        <v/>
      </c>
      <c r="H4831" s="11" t="n">
        <v/>
      </c>
      <c r="I4831" s="11" t="n">
        <v/>
      </c>
      <c r="J4831" s="11" t="n">
        <v/>
      </c>
      <c r="K4831" s="4" t="inlineStr">
        <is>
          <t>Abrechnungsart wählen; Stundensätze eingeben</t>
        </is>
      </c>
    </row>
    <row r="4832">
      <c r="A4832" s="4" t="inlineStr">
        <is>
          <t>7400 JUWI-WP-div-MST</t>
        </is>
      </c>
      <c r="B4832" s="4" t="inlineStr">
        <is>
          <t>● WP-Heidenburg</t>
        </is>
      </c>
      <c r="C4832" s="9" t="inlineStr">
        <is>
          <t>Unbekannt</t>
        </is>
      </c>
      <c r="D4832" s="10" t="inlineStr">
        <is>
          <t>⚠ Manual erforderlich</t>
        </is>
      </c>
      <c r="E4832" s="11" t="inlineStr"/>
      <c r="F4832" s="11" t="n">
        <v>0</v>
      </c>
      <c r="G4832" s="11">
        <f>E4832-F4832</f>
        <v/>
      </c>
      <c r="H4832" s="11" t="n">
        <v/>
      </c>
      <c r="I4832" s="11" t="n">
        <v/>
      </c>
      <c r="J4832" s="11" t="n">
        <v/>
      </c>
      <c r="K4832" s="4" t="inlineStr">
        <is>
          <t>Abrechnungsart wählen; Stundensätze eingeben</t>
        </is>
      </c>
    </row>
    <row r="4833">
      <c r="A4833" s="4" t="inlineStr">
        <is>
          <t>7401 Fischbach-Breitscheidstraße-141-Rudolstadt - Stundennachweise</t>
        </is>
      </c>
      <c r="B4833" s="4" t="inlineStr">
        <is>
          <t>● Erstellung Brandschutzkonzeptpläne</t>
        </is>
      </c>
      <c r="C4833" s="9" t="inlineStr">
        <is>
          <t>Unbekannt</t>
        </is>
      </c>
      <c r="D4833" s="10" t="inlineStr">
        <is>
          <t>⚠ Manual erforderlich</t>
        </is>
      </c>
      <c r="E4833" s="11" t="inlineStr"/>
      <c r="F4833" s="11" t="n">
        <v>0</v>
      </c>
      <c r="G4833" s="11">
        <f>E4833-F4833</f>
        <v/>
      </c>
      <c r="H4833" s="11" t="n">
        <v/>
      </c>
      <c r="I4833" s="11" t="n">
        <v/>
      </c>
      <c r="J4833" s="11" t="n">
        <v/>
      </c>
      <c r="K4833" s="4" t="inlineStr">
        <is>
          <t>Abrechnungsart wählen; Stundensätze eingeben</t>
        </is>
      </c>
    </row>
    <row r="4834">
      <c r="A4834" s="4" t="inlineStr">
        <is>
          <t>7403 LRE-Medical-BTB-HoferStr5-Nördlingen</t>
        </is>
      </c>
      <c r="B4834" s="4" t="inlineStr">
        <is>
          <t>● ANG BTB 2025-04-04</t>
        </is>
      </c>
      <c r="C4834" s="9" t="inlineStr">
        <is>
          <t>Unbekannt</t>
        </is>
      </c>
      <c r="D4834" s="10" t="inlineStr">
        <is>
          <t>⚠ Manual erforderlich</t>
        </is>
      </c>
      <c r="E4834" s="11" t="inlineStr"/>
      <c r="F4834" s="11" t="n">
        <v>0</v>
      </c>
      <c r="G4834" s="11">
        <f>E4834-F4834</f>
        <v/>
      </c>
      <c r="H4834" s="11" t="n">
        <v/>
      </c>
      <c r="I4834" s="11" t="n">
        <v/>
      </c>
      <c r="J4834" s="11" t="n">
        <v/>
      </c>
      <c r="K4834" s="4" t="inlineStr">
        <is>
          <t>Abrechnungsart wählen; Stundensätze eingeben</t>
        </is>
      </c>
    </row>
    <row r="4835">
      <c r="A4835" s="4" t="inlineStr">
        <is>
          <t>7403 LRE-Medical-BTB-HoferStr5-Nördlingen</t>
        </is>
      </c>
      <c r="B4835" s="4" t="inlineStr">
        <is>
          <t>● NAT BTB 2025-04-28</t>
        </is>
      </c>
      <c r="C4835" s="9" t="inlineStr">
        <is>
          <t>Unbekannt</t>
        </is>
      </c>
      <c r="D4835" s="10" t="inlineStr">
        <is>
          <t>⚠ Manual erforderlich</t>
        </is>
      </c>
      <c r="E4835" s="11" t="inlineStr"/>
      <c r="F4835" s="11" t="n">
        <v>0</v>
      </c>
      <c r="G4835" s="11">
        <f>E4835-F4835</f>
        <v/>
      </c>
      <c r="H4835" s="11" t="n">
        <v/>
      </c>
      <c r="I4835" s="11" t="n">
        <v/>
      </c>
      <c r="J4835" s="11" t="n">
        <v/>
      </c>
      <c r="K4835" s="4" t="inlineStr">
        <is>
          <t>Abrechnungsart wählen; Stundensätze eingeben</t>
        </is>
      </c>
    </row>
    <row r="4836">
      <c r="A4836" s="4" t="inlineStr">
        <is>
          <t>7404 Settele-FRP-FWP-KotternerStr36-Kempten</t>
        </is>
      </c>
      <c r="B4836" s="4" t="inlineStr">
        <is>
          <t>● (aN) Pos. 1 Flucht- und Rettungspläne (CAD)</t>
        </is>
      </c>
      <c r="C4836" s="4" t="inlineStr">
        <is>
          <t>Nachweis</t>
        </is>
      </c>
      <c r="D4836" s="10" t="inlineStr">
        <is>
          <t>⚠ Manual erforderlich</t>
        </is>
      </c>
      <c r="E4836" s="11" t="inlineStr"/>
      <c r="F4836" s="11" t="n">
        <v>0</v>
      </c>
      <c r="G4836" s="11">
        <f>E4836-F4836</f>
        <v/>
      </c>
      <c r="H4836" s="11" t="n">
        <v/>
      </c>
      <c r="I4836" s="11" t="n">
        <v/>
      </c>
      <c r="J4836" s="11" t="n">
        <v/>
      </c>
      <c r="K4836" s="4" t="inlineStr">
        <is>
          <t>Stundensätze eingeben</t>
        </is>
      </c>
    </row>
    <row r="4837">
      <c r="A4837" s="4" t="inlineStr">
        <is>
          <t>7404 Settele-FRP-FWP-KotternerStr36-Kempten</t>
        </is>
      </c>
      <c r="B4837" s="4" t="inlineStr">
        <is>
          <t>● (aN) Pos. 2 Erstellung von Feuerwehrpläne (CAD)</t>
        </is>
      </c>
      <c r="C4837" s="4" t="inlineStr">
        <is>
          <t>Nachweis</t>
        </is>
      </c>
      <c r="D4837" s="10" t="inlineStr">
        <is>
          <t>⚠ Manual erforderlich</t>
        </is>
      </c>
      <c r="E4837" s="11" t="inlineStr"/>
      <c r="F4837" s="11" t="n">
        <v>0</v>
      </c>
      <c r="G4837" s="11">
        <f>E4837-F4837</f>
        <v/>
      </c>
      <c r="H4837" s="11" t="n">
        <v/>
      </c>
      <c r="I4837" s="11" t="n">
        <v/>
      </c>
      <c r="J4837" s="11" t="n">
        <v/>
      </c>
      <c r="K4837" s="4" t="inlineStr">
        <is>
          <t>Stundensätze eingeben</t>
        </is>
      </c>
    </row>
    <row r="4838">
      <c r="A4838" s="4" t="inlineStr">
        <is>
          <t>7405 VWPA-BSK-WEA-Hollfeld-Daniel-Koglin</t>
        </is>
      </c>
      <c r="B4838" s="4" t="inlineStr">
        <is>
          <t>● (p) Pos. 1 Erstellung BSK</t>
        </is>
      </c>
      <c r="C4838" s="4" t="inlineStr">
        <is>
          <t>Pauschale</t>
        </is>
      </c>
      <c r="D4838" s="10" t="inlineStr">
        <is>
          <t>⚠ Manual erforderlich</t>
        </is>
      </c>
      <c r="E4838" s="11" t="inlineStr"/>
      <c r="F4838" s="11" t="n">
        <v>0</v>
      </c>
      <c r="G4838" s="11">
        <f>E4838-F4838</f>
        <v/>
      </c>
      <c r="H4838" s="11" t="n">
        <v>0</v>
      </c>
      <c r="I4838" s="11" t="n">
        <v>0</v>
      </c>
      <c r="J4838" s="11" t="n">
        <v>0</v>
      </c>
      <c r="K4838" s="4" t="inlineStr">
        <is>
          <t>Stundensätze eingeben</t>
        </is>
      </c>
    </row>
    <row r="4839">
      <c r="A4839" s="4" t="inlineStr">
        <is>
          <t>7406 Wiesen-BTB-LP5-Plinganserstr65-München</t>
        </is>
      </c>
      <c r="B4839" s="4" t="inlineStr">
        <is>
          <t>● ANG: (aN) Pos. 1 Brandschutztechnische Beratung im Zuge der LP 5</t>
        </is>
      </c>
      <c r="C4839" s="4" t="inlineStr">
        <is>
          <t>Nachweis</t>
        </is>
      </c>
      <c r="D4839" s="10" t="inlineStr">
        <is>
          <t>⚠ Manual erforderlich</t>
        </is>
      </c>
      <c r="E4839" s="11" t="inlineStr"/>
      <c r="F4839" s="11" t="n">
        <v>0</v>
      </c>
      <c r="G4839" s="11">
        <f>E4839-F4839</f>
        <v/>
      </c>
      <c r="H4839" s="11" t="n">
        <v/>
      </c>
      <c r="I4839" s="11" t="n">
        <v/>
      </c>
      <c r="J4839" s="11" t="n">
        <v/>
      </c>
      <c r="K4839" s="4" t="inlineStr">
        <is>
          <t>Stundensätze eingeben</t>
        </is>
      </c>
    </row>
    <row r="4840">
      <c r="A4840" s="4" t="inlineStr">
        <is>
          <t>7406 Wiesen-BTB-LP5-Plinganserstr65-München</t>
        </is>
      </c>
      <c r="B4840" s="4" t="inlineStr">
        <is>
          <t>● NAT: (aN) Pos. 1 Ergänzung zu bestehenden Brandschutznachweis (SV ~6h) 840</t>
        </is>
      </c>
      <c r="C4840" s="4" t="inlineStr">
        <is>
          <t>Nachweis</t>
        </is>
      </c>
      <c r="D4840" s="10" t="inlineStr">
        <is>
          <t>⚠ Manual erforderlich</t>
        </is>
      </c>
      <c r="E4840" s="11" t="inlineStr"/>
      <c r="F4840" s="11" t="n">
        <v>0</v>
      </c>
      <c r="G4840" s="11">
        <f>E4840-F4840</f>
        <v/>
      </c>
      <c r="H4840" s="11" t="n">
        <v/>
      </c>
      <c r="I4840" s="11" t="n">
        <v/>
      </c>
      <c r="J4840" s="11" t="n">
        <v/>
      </c>
      <c r="K4840" s="4" t="inlineStr">
        <is>
          <t>Stundensätze eingeben</t>
        </is>
      </c>
    </row>
    <row r="4841">
      <c r="A4841" s="4" t="inlineStr">
        <is>
          <t>7406 Wiesen-BTB-LP5-Plinganserstr65-München</t>
        </is>
      </c>
      <c r="B4841" s="4" t="inlineStr">
        <is>
          <t>● NAT: (aN) Pos. 2 Brandschutztechnische Beratung im Zuge der Ausführung</t>
        </is>
      </c>
      <c r="C4841" s="4" t="inlineStr">
        <is>
          <t>Nachweis</t>
        </is>
      </c>
      <c r="D4841" s="10" t="inlineStr">
        <is>
          <t>⚠ Manual erforderlich</t>
        </is>
      </c>
      <c r="E4841" s="11" t="inlineStr"/>
      <c r="F4841" s="11" t="n">
        <v>0</v>
      </c>
      <c r="G4841" s="11">
        <f>E4841-F4841</f>
        <v/>
      </c>
      <c r="H4841" s="11" t="n">
        <v/>
      </c>
      <c r="I4841" s="11" t="n">
        <v/>
      </c>
      <c r="J4841" s="11" t="n">
        <v/>
      </c>
      <c r="K4841" s="4" t="inlineStr">
        <is>
          <t>Stundensätze eingeben</t>
        </is>
      </c>
    </row>
    <row r="4842">
      <c r="A4842" s="4" t="inlineStr">
        <is>
          <t>7407 BSK-Erzberg-24-Braunschweig-Anbau-an-Werkstatthalle</t>
        </is>
      </c>
      <c r="B4842" s="4" t="inlineStr">
        <is>
          <t>● (p) Pos.1 Stellungnahme zum vorbeugenden Brandschutz</t>
        </is>
      </c>
      <c r="C4842" s="4" t="inlineStr">
        <is>
          <t>Pauschale</t>
        </is>
      </c>
      <c r="D4842" s="10" t="inlineStr">
        <is>
          <t>⚠ Manual erforderlich</t>
        </is>
      </c>
      <c r="E4842" s="11" t="inlineStr"/>
      <c r="F4842" s="11" t="n">
        <v>0</v>
      </c>
      <c r="G4842" s="11">
        <f>E4842-F4842</f>
        <v/>
      </c>
      <c r="H4842" s="11" t="n">
        <v>0</v>
      </c>
      <c r="I4842" s="11" t="n">
        <v>0</v>
      </c>
      <c r="J4842" s="11" t="n">
        <v>0</v>
      </c>
      <c r="K4842" s="4" t="inlineStr">
        <is>
          <t>Stundensätze eingeben</t>
        </is>
      </c>
    </row>
    <row r="4843">
      <c r="A4843" s="4" t="inlineStr">
        <is>
          <t>7408 SW-Augsburg-Brandschutzstudie-E-Busbetriebshof-LechhauserStr22-Augsburg</t>
        </is>
      </c>
      <c r="B4843" s="4" t="inlineStr">
        <is>
          <t>● Busbahnhof + Edeka-Gelände</t>
        </is>
      </c>
      <c r="C4843" s="9" t="inlineStr">
        <is>
          <t>Unbekannt</t>
        </is>
      </c>
      <c r="D4843" s="10" t="inlineStr">
        <is>
          <t>⚠ Manual erforderlich</t>
        </is>
      </c>
      <c r="E4843" s="11" t="inlineStr"/>
      <c r="F4843" s="11" t="n">
        <v>0</v>
      </c>
      <c r="G4843" s="11">
        <f>E4843-F4843</f>
        <v/>
      </c>
      <c r="H4843" s="11" t="n">
        <v/>
      </c>
      <c r="I4843" s="11" t="n">
        <v/>
      </c>
      <c r="J4843" s="11" t="n">
        <v/>
      </c>
      <c r="K4843" s="4" t="inlineStr">
        <is>
          <t>Abrechnungsart wählen; Stundensätze eingeben</t>
        </is>
      </c>
    </row>
    <row r="4844">
      <c r="A4844" s="4" t="inlineStr">
        <is>
          <t>7409 FWP-IDA- Margarete-Steiff-Strasse-Braunschweig-Rautheim</t>
        </is>
      </c>
      <c r="B4844" s="4" t="inlineStr">
        <is>
          <t>● (p) Pos.1 Ortsbegehung und Festlegung, Abstimmung und Montage</t>
        </is>
      </c>
      <c r="C4844" s="4" t="inlineStr">
        <is>
          <t>Pauschale</t>
        </is>
      </c>
      <c r="D4844" s="10" t="inlineStr">
        <is>
          <t>⚠ Manual erforderlich</t>
        </is>
      </c>
      <c r="E4844" s="11" t="inlineStr"/>
      <c r="F4844" s="11" t="n">
        <v>0</v>
      </c>
      <c r="G4844" s="11">
        <f>E4844-F4844</f>
        <v/>
      </c>
      <c r="H4844" s="11" t="n">
        <v>0</v>
      </c>
      <c r="I4844" s="11" t="n">
        <v>0</v>
      </c>
      <c r="J4844" s="11" t="n">
        <v>0</v>
      </c>
      <c r="K4844" s="4" t="inlineStr">
        <is>
          <t>Stundensätze eingeben</t>
        </is>
      </c>
    </row>
    <row r="4845">
      <c r="A4845" s="4" t="inlineStr">
        <is>
          <t>7409 FWP-IDA- Margarete-Steiff-Strasse-Braunschweig-Rautheim</t>
        </is>
      </c>
      <c r="B4845" s="4" t="inlineStr">
        <is>
          <t>● (p) Pos.2 Vorbereitung und Beschaffung der Beschilderung - Bestellobergrenze</t>
        </is>
      </c>
      <c r="C4845" s="4" t="inlineStr">
        <is>
          <t>Pauschale</t>
        </is>
      </c>
      <c r="D4845" s="10" t="inlineStr">
        <is>
          <t>⚠ Manual erforderlich</t>
        </is>
      </c>
      <c r="E4845" s="11" t="inlineStr"/>
      <c r="F4845" s="11" t="n">
        <v>0</v>
      </c>
      <c r="G4845" s="11">
        <f>E4845-F4845</f>
        <v/>
      </c>
      <c r="H4845" s="11" t="n">
        <v>0</v>
      </c>
      <c r="I4845" s="11" t="n">
        <v>0</v>
      </c>
      <c r="J4845" s="11" t="n">
        <v>0</v>
      </c>
      <c r="K4845" s="4" t="inlineStr">
        <is>
          <t>Stundensätze eingeben</t>
        </is>
      </c>
    </row>
    <row r="4846">
      <c r="A4846" s="4" t="inlineStr">
        <is>
          <t>7410 Eurowind-RV</t>
        </is>
      </c>
      <c r="B4846" s="4" t="inlineStr">
        <is>
          <t>● WP-Burbach-Wilnsdorf-II</t>
        </is>
      </c>
      <c r="C4846" s="9" t="inlineStr">
        <is>
          <t>Unbekannt</t>
        </is>
      </c>
      <c r="D4846" s="10" t="inlineStr">
        <is>
          <t>⚠ Manual erforderlich</t>
        </is>
      </c>
      <c r="E4846" s="11" t="inlineStr"/>
      <c r="F4846" s="11" t="n">
        <v>0</v>
      </c>
      <c r="G4846" s="11">
        <f>E4846-F4846</f>
        <v/>
      </c>
      <c r="H4846" s="11" t="n">
        <v/>
      </c>
      <c r="I4846" s="11" t="n">
        <v/>
      </c>
      <c r="J4846" s="11" t="n">
        <v/>
      </c>
      <c r="K4846" s="4" t="inlineStr">
        <is>
          <t>Abrechnungsart wählen; Stundensätze eingeben</t>
        </is>
      </c>
    </row>
    <row r="4847">
      <c r="A4847" s="4" t="inlineStr">
        <is>
          <t>7412 Galeria-BSH-Louisenstraße-91-95-Bad Homburg</t>
        </is>
      </c>
      <c r="B4847" s="4" t="inlineStr">
        <is>
          <t>● (p) Pos.1 Brandschutzschulung (Theorie) für BSH 1. Termin</t>
        </is>
      </c>
      <c r="C4847" s="4" t="inlineStr">
        <is>
          <t>Pauschale</t>
        </is>
      </c>
      <c r="D4847" s="10" t="inlineStr">
        <is>
          <t>⚠ Manual erforderlich</t>
        </is>
      </c>
      <c r="E4847" s="11" t="inlineStr"/>
      <c r="F4847" s="11" t="n">
        <v>0</v>
      </c>
      <c r="G4847" s="11">
        <f>E4847-F4847</f>
        <v/>
      </c>
      <c r="H4847" s="11" t="n">
        <v>0</v>
      </c>
      <c r="I4847" s="11" t="n">
        <v>0</v>
      </c>
      <c r="J4847" s="11" t="n">
        <v>0</v>
      </c>
      <c r="K4847" s="4" t="inlineStr">
        <is>
          <t>Stundensätze eingeben</t>
        </is>
      </c>
    </row>
    <row r="4848">
      <c r="A4848" s="4" t="inlineStr">
        <is>
          <t>7413 Ehret+Klein-NB-Museumsquartier-Bahnhofstr1+3-Starnberg</t>
        </is>
      </c>
      <c r="B4848" s="4" t="inlineStr">
        <is>
          <t>● (aN) Pos. 1 Brandschutztechnische Beratung LP 1 + LP 2</t>
        </is>
      </c>
      <c r="C4848" s="4" t="inlineStr">
        <is>
          <t>Nachweis</t>
        </is>
      </c>
      <c r="D4848" s="10" t="inlineStr">
        <is>
          <t>⚠ Manual erforderlich</t>
        </is>
      </c>
      <c r="E4848" s="11" t="inlineStr"/>
      <c r="F4848" s="11" t="n">
        <v>0</v>
      </c>
      <c r="G4848" s="11">
        <f>E4848-F4848</f>
        <v/>
      </c>
      <c r="H4848" s="11" t="n">
        <v/>
      </c>
      <c r="I4848" s="11" t="n">
        <v/>
      </c>
      <c r="J4848" s="11" t="n">
        <v/>
      </c>
      <c r="K4848" s="4" t="inlineStr">
        <is>
          <t>Stundensätze eingeben</t>
        </is>
      </c>
    </row>
    <row r="4849">
      <c r="A4849" s="4" t="inlineStr">
        <is>
          <t>7414 HJVV-BSK-NB-Wohnanlage-Trier-Ehrang</t>
        </is>
      </c>
      <c r="B4849" s="4" t="inlineStr">
        <is>
          <t>● (aN) Pos. 1 BTB + Abstimmungstermine (SV ~40h á 115€/h) 4.600€</t>
        </is>
      </c>
      <c r="C4849" s="4" t="inlineStr">
        <is>
          <t>Nachweis</t>
        </is>
      </c>
      <c r="D4849" s="10" t="inlineStr">
        <is>
          <t>⚠ Manual erforderlich</t>
        </is>
      </c>
      <c r="E4849" s="11" t="inlineStr"/>
      <c r="F4849" s="11" t="n">
        <v>0</v>
      </c>
      <c r="G4849" s="11">
        <f>E4849-F4849</f>
        <v/>
      </c>
      <c r="H4849" s="11" t="n">
        <v/>
      </c>
      <c r="I4849" s="11" t="n">
        <v/>
      </c>
      <c r="J4849" s="11" t="n">
        <v/>
      </c>
      <c r="K4849" s="4" t="inlineStr">
        <is>
          <t>Stundensätze eingeben</t>
        </is>
      </c>
    </row>
    <row r="4850">
      <c r="A4850" s="4" t="inlineStr">
        <is>
          <t>7414 HJVV-BSK-NB-Wohnanlage-Trier-Ehrang</t>
        </is>
      </c>
      <c r="B4850" s="4" t="inlineStr">
        <is>
          <t>● (p) Pos. 2 Erstellung eines Brandschutzkonzeptes (SV 40h/CAD 16h/ADM 1h/5.780€) 6.650€</t>
        </is>
      </c>
      <c r="C4850" s="4" t="inlineStr">
        <is>
          <t>Pauschale</t>
        </is>
      </c>
      <c r="D4850" s="10" t="inlineStr">
        <is>
          <t>⚠ Manual erforderlich</t>
        </is>
      </c>
      <c r="E4850" s="11" t="inlineStr"/>
      <c r="F4850" s="11" t="n">
        <v>0</v>
      </c>
      <c r="G4850" s="11">
        <f>E4850-F4850</f>
        <v/>
      </c>
      <c r="H4850" s="11" t="n">
        <v>0</v>
      </c>
      <c r="I4850" s="11" t="n">
        <v>0</v>
      </c>
      <c r="J4850" s="11" t="n">
        <v>0</v>
      </c>
      <c r="K4850" s="4" t="inlineStr">
        <is>
          <t>Stundensätze eingeben</t>
        </is>
      </c>
    </row>
    <row r="4851">
      <c r="A4851" s="4" t="inlineStr">
        <is>
          <t>7415 HT-YEXIO-DC-03-Brake</t>
        </is>
      </c>
      <c r="B4851" s="4" t="inlineStr">
        <is>
          <t>● (p) Pos.1 - 2.2.1 LPH 1 Grundleistungen RL</t>
        </is>
      </c>
      <c r="C4851" s="4" t="inlineStr">
        <is>
          <t>Pauschale</t>
        </is>
      </c>
      <c r="D4851" s="10" t="inlineStr">
        <is>
          <t>⚠ Manual erforderlich</t>
        </is>
      </c>
      <c r="E4851" s="11" t="inlineStr"/>
      <c r="F4851" s="11" t="n">
        <v>0</v>
      </c>
      <c r="G4851" s="11">
        <f>E4851-F4851</f>
        <v/>
      </c>
      <c r="H4851" s="11" t="n">
        <v>0</v>
      </c>
      <c r="I4851" s="11" t="n">
        <v>0</v>
      </c>
      <c r="J4851" s="11" t="n">
        <v>0</v>
      </c>
      <c r="K4851" s="4" t="inlineStr">
        <is>
          <t>Stundensätze eingeben</t>
        </is>
      </c>
    </row>
    <row r="4852">
      <c r="A4852" s="4" t="inlineStr">
        <is>
          <t>7415 HT-YEXIO-DC-03-Brake</t>
        </is>
      </c>
      <c r="B4852" s="4" t="inlineStr">
        <is>
          <t>● (p) Pos.2 - 2.2.2 LPH 2 Vorplanung RL</t>
        </is>
      </c>
      <c r="C4852" s="4" t="inlineStr">
        <is>
          <t>Pauschale</t>
        </is>
      </c>
      <c r="D4852" s="10" t="inlineStr">
        <is>
          <t>⚠ Manual erforderlich</t>
        </is>
      </c>
      <c r="E4852" s="11" t="inlineStr"/>
      <c r="F4852" s="11" t="n">
        <v>0</v>
      </c>
      <c r="G4852" s="11">
        <f>E4852-F4852</f>
        <v/>
      </c>
      <c r="H4852" s="11" t="n">
        <v>0</v>
      </c>
      <c r="I4852" s="11" t="n">
        <v>0</v>
      </c>
      <c r="J4852" s="11" t="n">
        <v>0</v>
      </c>
      <c r="K4852" s="4" t="inlineStr">
        <is>
          <t>Stundensätze eingeben</t>
        </is>
      </c>
    </row>
    <row r="4853">
      <c r="A4853" s="4" t="inlineStr">
        <is>
          <t>7415 HT-YEXIO-DC-03-Brake</t>
        </is>
      </c>
      <c r="B4853" s="4" t="inlineStr">
        <is>
          <t>● (p) Pos.3 - 2.2.3 LPH3 Entwurfsplanung RL</t>
        </is>
      </c>
      <c r="C4853" s="4" t="inlineStr">
        <is>
          <t>Pauschale</t>
        </is>
      </c>
      <c r="D4853" s="10" t="inlineStr">
        <is>
          <t>⚠ Manual erforderlich</t>
        </is>
      </c>
      <c r="E4853" s="11" t="inlineStr"/>
      <c r="F4853" s="11" t="n">
        <v>0</v>
      </c>
      <c r="G4853" s="11">
        <f>E4853-F4853</f>
        <v/>
      </c>
      <c r="H4853" s="11" t="n">
        <v>0</v>
      </c>
      <c r="I4853" s="11" t="n">
        <v>0</v>
      </c>
      <c r="J4853" s="11" t="n">
        <v>0</v>
      </c>
      <c r="K4853" s="4" t="inlineStr">
        <is>
          <t>Stundensätze eingeben</t>
        </is>
      </c>
    </row>
    <row r="4854">
      <c r="A4854" s="4" t="inlineStr">
        <is>
          <t>7415 HT-YEXIO-DC-03-Brake</t>
        </is>
      </c>
      <c r="B4854" s="4" t="inlineStr">
        <is>
          <t>● (p) Pos.4 - 2.2.4 LPH4 RL Genehmigungsplanung</t>
        </is>
      </c>
      <c r="C4854" s="4" t="inlineStr">
        <is>
          <t>Pauschale</t>
        </is>
      </c>
      <c r="D4854" s="10" t="inlineStr">
        <is>
          <t>⚠ Manual erforderlich</t>
        </is>
      </c>
      <c r="E4854" s="11" t="inlineStr"/>
      <c r="F4854" s="11" t="n">
        <v>0</v>
      </c>
      <c r="G4854" s="11">
        <f>E4854-F4854</f>
        <v/>
      </c>
      <c r="H4854" s="11" t="n">
        <v>0</v>
      </c>
      <c r="I4854" s="11" t="n">
        <v>0</v>
      </c>
      <c r="J4854" s="11" t="n">
        <v>0</v>
      </c>
      <c r="K4854" s="4" t="inlineStr">
        <is>
          <t>Stundensätze eingeben</t>
        </is>
      </c>
    </row>
    <row r="4855">
      <c r="A4855" s="4" t="inlineStr">
        <is>
          <t>7415 HT-YEXIO-DC-03-Brake</t>
        </is>
      </c>
      <c r="B4855" s="4" t="inlineStr">
        <is>
          <t>● (p) Pos.5 - 2.2.5 LPH5 RL Ausführungsplanung RL</t>
        </is>
      </c>
      <c r="C4855" s="4" t="inlineStr">
        <is>
          <t>Pauschale</t>
        </is>
      </c>
      <c r="D4855" s="10" t="inlineStr">
        <is>
          <t>⚠ Manual erforderlich</t>
        </is>
      </c>
      <c r="E4855" s="11" t="inlineStr"/>
      <c r="F4855" s="11" t="n">
        <v>0</v>
      </c>
      <c r="G4855" s="11">
        <f>E4855-F4855</f>
        <v/>
      </c>
      <c r="H4855" s="11" t="n">
        <v>0</v>
      </c>
      <c r="I4855" s="11" t="n">
        <v>0</v>
      </c>
      <c r="J4855" s="11" t="n">
        <v>0</v>
      </c>
      <c r="K4855" s="4" t="inlineStr">
        <is>
          <t>Stundensätze eingeben</t>
        </is>
      </c>
    </row>
    <row r="4856">
      <c r="A4856" s="4" t="inlineStr">
        <is>
          <t>7416 HT-YEXIO-DC-04-Dorfen</t>
        </is>
      </c>
      <c r="B4856" s="4" t="inlineStr">
        <is>
          <t>● (p) Pos.1 - 2.2.1 LPH 1 Grundlagenermittlung RL</t>
        </is>
      </c>
      <c r="C4856" s="4" t="inlineStr">
        <is>
          <t>Pauschale</t>
        </is>
      </c>
      <c r="D4856" s="10" t="inlineStr">
        <is>
          <t>⚠ Manual erforderlich</t>
        </is>
      </c>
      <c r="E4856" s="11" t="inlineStr"/>
      <c r="F4856" s="11" t="n">
        <v>0</v>
      </c>
      <c r="G4856" s="11">
        <f>E4856-F4856</f>
        <v/>
      </c>
      <c r="H4856" s="11" t="n">
        <v>0</v>
      </c>
      <c r="I4856" s="11" t="n">
        <v>0</v>
      </c>
      <c r="J4856" s="11" t="n">
        <v>0</v>
      </c>
      <c r="K4856" s="4" t="inlineStr">
        <is>
          <t>Stundensätze eingeben</t>
        </is>
      </c>
    </row>
    <row r="4857">
      <c r="A4857" s="4" t="inlineStr">
        <is>
          <t>7416 HT-YEXIO-DC-04-Dorfen</t>
        </is>
      </c>
      <c r="B4857" s="4" t="inlineStr">
        <is>
          <t>● (p) Pos.2 - 2.2.2 LPH 2 Vorplanung RL</t>
        </is>
      </c>
      <c r="C4857" s="4" t="inlineStr">
        <is>
          <t>Pauschale</t>
        </is>
      </c>
      <c r="D4857" s="10" t="inlineStr">
        <is>
          <t>⚠ Manual erforderlich</t>
        </is>
      </c>
      <c r="E4857" s="11" t="inlineStr"/>
      <c r="F4857" s="11" t="n">
        <v>0</v>
      </c>
      <c r="G4857" s="11">
        <f>E4857-F4857</f>
        <v/>
      </c>
      <c r="H4857" s="11" t="n">
        <v>0</v>
      </c>
      <c r="I4857" s="11" t="n">
        <v>0</v>
      </c>
      <c r="J4857" s="11" t="n">
        <v>0</v>
      </c>
      <c r="K4857" s="4" t="inlineStr">
        <is>
          <t>Stundensätze eingeben</t>
        </is>
      </c>
    </row>
    <row r="4858">
      <c r="A4858" s="4" t="inlineStr">
        <is>
          <t>7416 HT-YEXIO-DC-04-Dorfen</t>
        </is>
      </c>
      <c r="B4858" s="4" t="inlineStr">
        <is>
          <t>● (p) Pos.3 - 2.2.3 Entwurfsplanung RL</t>
        </is>
      </c>
      <c r="C4858" s="4" t="inlineStr">
        <is>
          <t>Pauschale</t>
        </is>
      </c>
      <c r="D4858" s="10" t="inlineStr">
        <is>
          <t>⚠ Manual erforderlich</t>
        </is>
      </c>
      <c r="E4858" s="11" t="inlineStr"/>
      <c r="F4858" s="11" t="n">
        <v>0</v>
      </c>
      <c r="G4858" s="11">
        <f>E4858-F4858</f>
        <v/>
      </c>
      <c r="H4858" s="11" t="n">
        <v>0</v>
      </c>
      <c r="I4858" s="11" t="n">
        <v>0</v>
      </c>
      <c r="J4858" s="11" t="n">
        <v>0</v>
      </c>
      <c r="K4858" s="4" t="inlineStr">
        <is>
          <t>Stundensätze eingeben</t>
        </is>
      </c>
    </row>
    <row r="4859">
      <c r="A4859" s="4" t="inlineStr">
        <is>
          <t>7416 HT-YEXIO-DC-04-Dorfen</t>
        </is>
      </c>
      <c r="B4859" s="4" t="inlineStr">
        <is>
          <t>● (p) Pos.4 - 2.2.4 GenehmigungsplanungRL</t>
        </is>
      </c>
      <c r="C4859" s="4" t="inlineStr">
        <is>
          <t>Pauschale</t>
        </is>
      </c>
      <c r="D4859" s="10" t="inlineStr">
        <is>
          <t>⚠ Manual erforderlich</t>
        </is>
      </c>
      <c r="E4859" s="11" t="inlineStr"/>
      <c r="F4859" s="11" t="n">
        <v>0</v>
      </c>
      <c r="G4859" s="11">
        <f>E4859-F4859</f>
        <v/>
      </c>
      <c r="H4859" s="11" t="n">
        <v>0</v>
      </c>
      <c r="I4859" s="11" t="n">
        <v>0</v>
      </c>
      <c r="J4859" s="11" t="n">
        <v>0</v>
      </c>
      <c r="K4859" s="4" t="inlineStr">
        <is>
          <t>Stundensätze eingeben</t>
        </is>
      </c>
    </row>
    <row r="4860">
      <c r="A4860" s="4" t="inlineStr">
        <is>
          <t>7416 HT-YEXIO-DC-04-Dorfen</t>
        </is>
      </c>
      <c r="B4860" s="4" t="inlineStr">
        <is>
          <t>● (p) Pos.5 - 2.2.5 Ausführungsplanung RL</t>
        </is>
      </c>
      <c r="C4860" s="4" t="inlineStr">
        <is>
          <t>Pauschale</t>
        </is>
      </c>
      <c r="D4860" s="10" t="inlineStr">
        <is>
          <t>⚠ Manual erforderlich</t>
        </is>
      </c>
      <c r="E4860" s="11" t="inlineStr"/>
      <c r="F4860" s="11" t="n">
        <v>0</v>
      </c>
      <c r="G4860" s="11">
        <f>E4860-F4860</f>
        <v/>
      </c>
      <c r="H4860" s="11" t="n">
        <v>0</v>
      </c>
      <c r="I4860" s="11" t="n">
        <v>0</v>
      </c>
      <c r="J4860" s="11" t="n">
        <v>0</v>
      </c>
      <c r="K4860" s="4" t="inlineStr">
        <is>
          <t>Stundensätze eingeben</t>
        </is>
      </c>
    </row>
    <row r="4861">
      <c r="A4861" s="4" t="inlineStr">
        <is>
          <t>7417 HT-YERIXO-DC-05-Herne</t>
        </is>
      </c>
      <c r="B4861" s="4" t="inlineStr">
        <is>
          <t>● (p) Pos.1 - 2.2.1 LPH 1 Grundlagenermittlung RL</t>
        </is>
      </c>
      <c r="C4861" s="4" t="inlineStr">
        <is>
          <t>Pauschale</t>
        </is>
      </c>
      <c r="D4861" s="10" t="inlineStr">
        <is>
          <t>⚠ Manual erforderlich</t>
        </is>
      </c>
      <c r="E4861" s="11" t="inlineStr"/>
      <c r="F4861" s="11" t="n">
        <v>0</v>
      </c>
      <c r="G4861" s="11">
        <f>E4861-F4861</f>
        <v/>
      </c>
      <c r="H4861" s="11" t="n">
        <v>0</v>
      </c>
      <c r="I4861" s="11" t="n">
        <v>0</v>
      </c>
      <c r="J4861" s="11" t="n">
        <v>0</v>
      </c>
      <c r="K4861" s="4" t="inlineStr">
        <is>
          <t>Stundensätze eingeben</t>
        </is>
      </c>
    </row>
    <row r="4862">
      <c r="A4862" s="4" t="inlineStr">
        <is>
          <t>7417 HT-YERIXO-DC-05-Herne</t>
        </is>
      </c>
      <c r="B4862" s="4" t="inlineStr">
        <is>
          <t>● (p) Pos.2 - 2.2.2 LPH 2 Vorplanung RL</t>
        </is>
      </c>
      <c r="C4862" s="4" t="inlineStr">
        <is>
          <t>Pauschale</t>
        </is>
      </c>
      <c r="D4862" s="10" t="inlineStr">
        <is>
          <t>⚠ Manual erforderlich</t>
        </is>
      </c>
      <c r="E4862" s="11" t="inlineStr"/>
      <c r="F4862" s="11" t="n">
        <v>0</v>
      </c>
      <c r="G4862" s="11">
        <f>E4862-F4862</f>
        <v/>
      </c>
      <c r="H4862" s="11" t="n">
        <v>0</v>
      </c>
      <c r="I4862" s="11" t="n">
        <v>0</v>
      </c>
      <c r="J4862" s="11" t="n">
        <v>0</v>
      </c>
      <c r="K4862" s="4" t="inlineStr">
        <is>
          <t>Stundensätze eingeben</t>
        </is>
      </c>
    </row>
    <row r="4863">
      <c r="A4863" s="4" t="inlineStr">
        <is>
          <t>7417 HT-YERIXO-DC-05-Herne</t>
        </is>
      </c>
      <c r="B4863" s="4" t="inlineStr">
        <is>
          <t>● (p) Pos.3 - 2.2.3 LPH 3 Entwurfsplanung RL</t>
        </is>
      </c>
      <c r="C4863" s="4" t="inlineStr">
        <is>
          <t>Pauschale</t>
        </is>
      </c>
      <c r="D4863" s="10" t="inlineStr">
        <is>
          <t>⚠ Manual erforderlich</t>
        </is>
      </c>
      <c r="E4863" s="11" t="inlineStr"/>
      <c r="F4863" s="11" t="n">
        <v>0</v>
      </c>
      <c r="G4863" s="11">
        <f>E4863-F4863</f>
        <v/>
      </c>
      <c r="H4863" s="11" t="n">
        <v>0</v>
      </c>
      <c r="I4863" s="11" t="n">
        <v>0</v>
      </c>
      <c r="J4863" s="11" t="n">
        <v>0</v>
      </c>
      <c r="K4863" s="4" t="inlineStr">
        <is>
          <t>Stundensätze eingeben</t>
        </is>
      </c>
    </row>
    <row r="4864">
      <c r="A4864" s="4" t="inlineStr">
        <is>
          <t>7417 HT-YERIXO-DC-05-Herne</t>
        </is>
      </c>
      <c r="B4864" s="4" t="inlineStr">
        <is>
          <t>● (p) Pos.4 - 2.2.4 LPH 4 Genehmigungsplanung RL</t>
        </is>
      </c>
      <c r="C4864" s="4" t="inlineStr">
        <is>
          <t>Pauschale</t>
        </is>
      </c>
      <c r="D4864" s="10" t="inlineStr">
        <is>
          <t>⚠ Manual erforderlich</t>
        </is>
      </c>
      <c r="E4864" s="11" t="inlineStr"/>
      <c r="F4864" s="11" t="n">
        <v>0</v>
      </c>
      <c r="G4864" s="11">
        <f>E4864-F4864</f>
        <v/>
      </c>
      <c r="H4864" s="11" t="n">
        <v>0</v>
      </c>
      <c r="I4864" s="11" t="n">
        <v>0</v>
      </c>
      <c r="J4864" s="11" t="n">
        <v>0</v>
      </c>
      <c r="K4864" s="4" t="inlineStr">
        <is>
          <t>Stundensätze eingeben</t>
        </is>
      </c>
    </row>
    <row r="4865">
      <c r="A4865" s="4" t="inlineStr">
        <is>
          <t>7417 HT-YERIXO-DC-05-Herne</t>
        </is>
      </c>
      <c r="B4865" s="4" t="inlineStr">
        <is>
          <t>● (p) Pos.5 - 2.2.5 LPH 5 Ausführungsüplanung RL</t>
        </is>
      </c>
      <c r="C4865" s="4" t="inlineStr">
        <is>
          <t>Pauschale</t>
        </is>
      </c>
      <c r="D4865" s="10" t="inlineStr">
        <is>
          <t>⚠ Manual erforderlich</t>
        </is>
      </c>
      <c r="E4865" s="11" t="inlineStr"/>
      <c r="F4865" s="11" t="n">
        <v>0</v>
      </c>
      <c r="G4865" s="11">
        <f>E4865-F4865</f>
        <v/>
      </c>
      <c r="H4865" s="11" t="n">
        <v>0</v>
      </c>
      <c r="I4865" s="11" t="n">
        <v>0</v>
      </c>
      <c r="J4865" s="11" t="n">
        <v>0</v>
      </c>
      <c r="K4865" s="4" t="inlineStr">
        <is>
          <t>Stundensätze eingeben</t>
        </is>
      </c>
    </row>
    <row r="4866">
      <c r="A4866" s="4" t="inlineStr">
        <is>
          <t>7418 BTB-Lohkoppelweg-1-Hamburg</t>
        </is>
      </c>
      <c r="B4866" s="4" t="inlineStr">
        <is>
          <t>● (p) Pos.1 Brandschutztechnische Beratung</t>
        </is>
      </c>
      <c r="C4866" s="4" t="inlineStr">
        <is>
          <t>Pauschale</t>
        </is>
      </c>
      <c r="D4866" s="10" t="inlineStr">
        <is>
          <t>⚠ Manual erforderlich</t>
        </is>
      </c>
      <c r="E4866" s="11" t="inlineStr"/>
      <c r="F4866" s="11" t="n">
        <v>0</v>
      </c>
      <c r="G4866" s="11">
        <f>E4866-F4866</f>
        <v/>
      </c>
      <c r="H4866" s="11" t="n">
        <v>0</v>
      </c>
      <c r="I4866" s="11" t="n">
        <v>0</v>
      </c>
      <c r="J4866" s="11" t="n">
        <v>0</v>
      </c>
      <c r="K4866" s="4" t="inlineStr">
        <is>
          <t>Stundensätze eingeben</t>
        </is>
      </c>
    </row>
    <row r="4867">
      <c r="A4867" s="4" t="inlineStr">
        <is>
          <t>7419.01 Wild-Stiftung-Objektüberwachung-Sporthalle-Pestalozzistr10-Eppelheim</t>
        </is>
      </c>
      <c r="B4867" s="4" t="inlineStr">
        <is>
          <t>● (aN) Pos. 1 Objektüberwachung</t>
        </is>
      </c>
      <c r="C4867" s="4" t="inlineStr">
        <is>
          <t>Nachweis</t>
        </is>
      </c>
      <c r="D4867" s="10" t="inlineStr">
        <is>
          <t>⚠ Manual erforderlich</t>
        </is>
      </c>
      <c r="E4867" s="11" t="inlineStr"/>
      <c r="F4867" s="11" t="n">
        <v>0</v>
      </c>
      <c r="G4867" s="11">
        <f>E4867-F4867</f>
        <v/>
      </c>
      <c r="H4867" s="11" t="n">
        <v/>
      </c>
      <c r="I4867" s="11" t="n">
        <v/>
      </c>
      <c r="J4867" s="11" t="n">
        <v/>
      </c>
      <c r="K4867" s="4" t="inlineStr">
        <is>
          <t>Stundensätze eingeben</t>
        </is>
      </c>
    </row>
    <row r="4868">
      <c r="A4868" s="4" t="inlineStr">
        <is>
          <t>7419.02 Zech-FRP-FWP-Sporthalle-Pestalozzistr10-Eppelheim</t>
        </is>
      </c>
      <c r="B4868" s="4" t="inlineStr">
        <is>
          <t>● (p) Pos. 2 Feuerwehrpläne</t>
        </is>
      </c>
      <c r="C4868" s="4" t="inlineStr">
        <is>
          <t>Pauschale</t>
        </is>
      </c>
      <c r="D4868" s="10" t="inlineStr">
        <is>
          <t>⚠ Manual erforderlich</t>
        </is>
      </c>
      <c r="E4868" s="11" t="inlineStr"/>
      <c r="F4868" s="11" t="n">
        <v>0</v>
      </c>
      <c r="G4868" s="11">
        <f>E4868-F4868</f>
        <v/>
      </c>
      <c r="H4868" s="11" t="n">
        <v>0</v>
      </c>
      <c r="I4868" s="11" t="n">
        <v>0</v>
      </c>
      <c r="J4868" s="11" t="n">
        <v>0</v>
      </c>
      <c r="K4868" s="4" t="inlineStr">
        <is>
          <t>Stundensätze eingeben</t>
        </is>
      </c>
    </row>
    <row r="4869">
      <c r="A4869" s="4" t="inlineStr">
        <is>
          <t>7419.02 Zech-FRP-FWP-Sporthalle-Pestalozzistr10-Eppelheim</t>
        </is>
      </c>
      <c r="B4869" s="4" t="inlineStr">
        <is>
          <t>● (p) Pos. 3 FRP (CAD)</t>
        </is>
      </c>
      <c r="C4869" s="4" t="inlineStr">
        <is>
          <t>Pauschale</t>
        </is>
      </c>
      <c r="D4869" s="10" t="inlineStr">
        <is>
          <t>⚠ Manual erforderlich</t>
        </is>
      </c>
      <c r="E4869" s="11" t="inlineStr"/>
      <c r="F4869" s="11" t="n">
        <v>0</v>
      </c>
      <c r="G4869" s="11">
        <f>E4869-F4869</f>
        <v/>
      </c>
      <c r="H4869" s="11" t="n">
        <v>0</v>
      </c>
      <c r="I4869" s="11" t="n">
        <v>0</v>
      </c>
      <c r="J4869" s="11" t="n">
        <v>0</v>
      </c>
      <c r="K4869" s="4" t="inlineStr">
        <is>
          <t>Stundensätze eingeben</t>
        </is>
      </c>
    </row>
    <row r="4870">
      <c r="A4870" s="4" t="inlineStr">
        <is>
          <t>7419.02 Zech-FRP-FWP-Sporthalle-Pestalozzistr10-Eppelheim</t>
        </is>
      </c>
      <c r="B4870" s="4" t="inlineStr">
        <is>
          <t>● (aN) Pos. 4 Begehung (CAD)</t>
        </is>
      </c>
      <c r="C4870" s="4" t="inlineStr">
        <is>
          <t>Nachweis</t>
        </is>
      </c>
      <c r="D4870" s="10" t="inlineStr">
        <is>
          <t>⚠ Manual erforderlich</t>
        </is>
      </c>
      <c r="E4870" s="11" t="inlineStr"/>
      <c r="F4870" s="11" t="n">
        <v>0</v>
      </c>
      <c r="G4870" s="11">
        <f>E4870-F4870</f>
        <v/>
      </c>
      <c r="H4870" s="11" t="n">
        <v/>
      </c>
      <c r="I4870" s="11" t="n">
        <v/>
      </c>
      <c r="J4870" s="11" t="n">
        <v/>
      </c>
      <c r="K4870" s="4" t="inlineStr">
        <is>
          <t>Stundensätze eingeben</t>
        </is>
      </c>
    </row>
    <row r="4871">
      <c r="A4871" s="4" t="inlineStr">
        <is>
          <t>7419.03 Zech-BSO-Sporthalle-Pestalozzistr10-Eppelheim</t>
        </is>
      </c>
      <c r="B4871" s="4" t="inlineStr">
        <is>
          <t>● (p) Pos. 1 BSO</t>
        </is>
      </c>
      <c r="C4871" s="4" t="inlineStr">
        <is>
          <t>Pauschale</t>
        </is>
      </c>
      <c r="D4871" s="10" t="inlineStr">
        <is>
          <t>⚠ Manual erforderlich</t>
        </is>
      </c>
      <c r="E4871" s="11" t="inlineStr"/>
      <c r="F4871" s="11" t="n">
        <v>0</v>
      </c>
      <c r="G4871" s="11">
        <f>E4871-F4871</f>
        <v/>
      </c>
      <c r="H4871" s="11" t="n">
        <v>0</v>
      </c>
      <c r="I4871" s="11" t="n">
        <v>0</v>
      </c>
      <c r="J4871" s="11" t="n">
        <v>0</v>
      </c>
      <c r="K4871" s="4" t="inlineStr">
        <is>
          <t>Stundensätze eingeben</t>
        </is>
      </c>
    </row>
    <row r="4872">
      <c r="A4872" s="4" t="inlineStr">
        <is>
          <t>7420 Yggotel-Begehung-FRP-Erfurt</t>
        </is>
      </c>
      <c r="B4872" s="4" t="inlineStr">
        <is>
          <t>● (p) Begehung Essen</t>
        </is>
      </c>
      <c r="C4872" s="4" t="inlineStr">
        <is>
          <t>Pauschale</t>
        </is>
      </c>
      <c r="D4872" s="10" t="inlineStr">
        <is>
          <t>⚠ Manual erforderlich</t>
        </is>
      </c>
      <c r="E4872" s="11" t="inlineStr"/>
      <c r="F4872" s="11" t="n">
        <v>0</v>
      </c>
      <c r="G4872" s="11">
        <f>E4872-F4872</f>
        <v/>
      </c>
      <c r="H4872" s="11" t="n">
        <v>0</v>
      </c>
      <c r="I4872" s="11" t="n">
        <v>0</v>
      </c>
      <c r="J4872" s="11" t="n">
        <v>0</v>
      </c>
      <c r="K4872" s="4" t="inlineStr">
        <is>
          <t>Stundensätze eingeben</t>
        </is>
      </c>
    </row>
    <row r="4873">
      <c r="A4873" s="4" t="inlineStr">
        <is>
          <t>7422 Energieprojekte-DK-BSK-WEA-Aschbach-Ilmenau</t>
        </is>
      </c>
      <c r="B4873" s="4" t="inlineStr">
        <is>
          <t>● (p) Pos. 1 Erstellung BSK</t>
        </is>
      </c>
      <c r="C4873" s="4" t="inlineStr">
        <is>
          <t>Pauschale</t>
        </is>
      </c>
      <c r="D4873" s="10" t="inlineStr">
        <is>
          <t>⚠ Manual erforderlich</t>
        </is>
      </c>
      <c r="E4873" s="11" t="inlineStr"/>
      <c r="F4873" s="11" t="n">
        <v>0</v>
      </c>
      <c r="G4873" s="11">
        <f>E4873-F4873</f>
        <v/>
      </c>
      <c r="H4873" s="11" t="n">
        <v>0</v>
      </c>
      <c r="I4873" s="11" t="n">
        <v>0</v>
      </c>
      <c r="J4873" s="11" t="n">
        <v>0</v>
      </c>
      <c r="K4873" s="4" t="inlineStr">
        <is>
          <t>Stundensätze eingeben</t>
        </is>
      </c>
    </row>
    <row r="4874">
      <c r="A4874" s="4" t="inlineStr">
        <is>
          <t>7423 Hellerwald-BSK-Hellerwaldstr10-Boppard-Buchholz</t>
        </is>
      </c>
      <c r="B4874" s="4" t="inlineStr">
        <is>
          <t>● (aN) Pos. 1 BTB Planungsphase (SV)</t>
        </is>
      </c>
      <c r="C4874" s="4" t="inlineStr">
        <is>
          <t>Nachweis</t>
        </is>
      </c>
      <c r="D4874" s="10" t="inlineStr">
        <is>
          <t>⚠ Manual erforderlich</t>
        </is>
      </c>
      <c r="E4874" s="11" t="inlineStr"/>
      <c r="F4874" s="11" t="n">
        <v>0</v>
      </c>
      <c r="G4874" s="11">
        <f>E4874-F4874</f>
        <v/>
      </c>
      <c r="H4874" s="11" t="n">
        <v/>
      </c>
      <c r="I4874" s="11" t="n">
        <v/>
      </c>
      <c r="J4874" s="11" t="n">
        <v/>
      </c>
      <c r="K4874" s="4" t="inlineStr">
        <is>
          <t>Stundensätze eingeben</t>
        </is>
      </c>
    </row>
    <row r="4875">
      <c r="A4875" s="4" t="inlineStr">
        <is>
          <t>7423 Hellerwald-BSK-Hellerwaldstr10-Boppard-Buchholz</t>
        </is>
      </c>
      <c r="B4875" s="4" t="inlineStr">
        <is>
          <t>● (p) Pos. 2 BSK</t>
        </is>
      </c>
      <c r="C4875" s="4" t="inlineStr">
        <is>
          <t>Pauschale</t>
        </is>
      </c>
      <c r="D4875" s="10" t="inlineStr">
        <is>
          <t>⚠ Manual erforderlich</t>
        </is>
      </c>
      <c r="E4875" s="11" t="inlineStr"/>
      <c r="F4875" s="11" t="n">
        <v>0</v>
      </c>
      <c r="G4875" s="11">
        <f>E4875-F4875</f>
        <v/>
      </c>
      <c r="H4875" s="11" t="n">
        <v>0</v>
      </c>
      <c r="I4875" s="11" t="n">
        <v>0</v>
      </c>
      <c r="J4875" s="11" t="n">
        <v>0</v>
      </c>
      <c r="K4875" s="4" t="inlineStr">
        <is>
          <t>Stundensätze eingeben</t>
        </is>
      </c>
    </row>
    <row r="4876">
      <c r="A4876" s="4" t="inlineStr">
        <is>
          <t>7423 Hellerwald-BSK-Hellerwaldstr10-Boppard-Buchholz</t>
        </is>
      </c>
      <c r="B4876" s="4" t="inlineStr">
        <is>
          <t>● (aN) Pos. 3 Optional: BTB (SV)</t>
        </is>
      </c>
      <c r="C4876" s="4" t="inlineStr">
        <is>
          <t>Nachweis</t>
        </is>
      </c>
      <c r="D4876" s="10" t="inlineStr">
        <is>
          <t>⚠ Manual erforderlich</t>
        </is>
      </c>
      <c r="E4876" s="11" t="inlineStr"/>
      <c r="F4876" s="11" t="n">
        <v>0</v>
      </c>
      <c r="G4876" s="11">
        <f>E4876-F4876</f>
        <v/>
      </c>
      <c r="H4876" s="11" t="n">
        <v/>
      </c>
      <c r="I4876" s="11" t="n">
        <v/>
      </c>
      <c r="J4876" s="11" t="n">
        <v/>
      </c>
      <c r="K4876" s="4" t="inlineStr">
        <is>
          <t>Stundensätze eingeben</t>
        </is>
      </c>
    </row>
    <row r="4877">
      <c r="A4877" s="4" t="inlineStr">
        <is>
          <t>7424 Dummy-ASB-BSB</t>
        </is>
      </c>
      <c r="B4877" s="4" t="inlineStr">
        <is>
          <t>● Dummy</t>
        </is>
      </c>
      <c r="C4877" s="9" t="inlineStr">
        <is>
          <t>Unbekannt</t>
        </is>
      </c>
      <c r="D4877" s="10" t="inlineStr">
        <is>
          <t>⚠ Manual erforderlich</t>
        </is>
      </c>
      <c r="E4877" s="11" t="inlineStr"/>
      <c r="F4877" s="11" t="n">
        <v>0</v>
      </c>
      <c r="G4877" s="11">
        <f>E4877-F4877</f>
        <v/>
      </c>
      <c r="H4877" s="11" t="n">
        <v/>
      </c>
      <c r="I4877" s="11" t="n">
        <v/>
      </c>
      <c r="J4877" s="11" t="n">
        <v/>
      </c>
      <c r="K4877" s="4" t="inlineStr">
        <is>
          <t>Abrechnungsart wählen; Stundensätze eingeben</t>
        </is>
      </c>
    </row>
    <row r="4878">
      <c r="A4878" s="4" t="inlineStr">
        <is>
          <t>7424.01 ASB-BSB-2025-Lange-Str-13-Frankfurt</t>
        </is>
      </c>
      <c r="B4878" s="4" t="inlineStr">
        <is>
          <t>● (aN) Pos.1 Stellung extern. BSB  - 1 Begehung pro Jahr</t>
        </is>
      </c>
      <c r="C4878" s="4" t="inlineStr">
        <is>
          <t>Nachweis</t>
        </is>
      </c>
      <c r="D4878" s="10" t="inlineStr">
        <is>
          <t>⚠ Manual erforderlich</t>
        </is>
      </c>
      <c r="E4878" s="11" t="inlineStr"/>
      <c r="F4878" s="11" t="n">
        <v>0</v>
      </c>
      <c r="G4878" s="11">
        <f>E4878-F4878</f>
        <v/>
      </c>
      <c r="H4878" s="11" t="n">
        <v/>
      </c>
      <c r="I4878" s="11" t="n">
        <v/>
      </c>
      <c r="J4878" s="11" t="n">
        <v/>
      </c>
      <c r="K4878" s="4" t="inlineStr">
        <is>
          <t>Stundensätze eingeben</t>
        </is>
      </c>
    </row>
    <row r="4879">
      <c r="A4879" s="4" t="inlineStr">
        <is>
          <t>7424.01 ASB-BSB-2025-Lange-Str-13-Frankfurt</t>
        </is>
      </c>
      <c r="B4879" s="4" t="inlineStr">
        <is>
          <t>● (aN) Pos.2 Erstellung Videoschulung f. Bewohner</t>
        </is>
      </c>
      <c r="C4879" s="4" t="inlineStr">
        <is>
          <t>Nachweis</t>
        </is>
      </c>
      <c r="D4879" s="10" t="inlineStr">
        <is>
          <t>⚠ Manual erforderlich</t>
        </is>
      </c>
      <c r="E4879" s="11" t="inlineStr"/>
      <c r="F4879" s="11" t="n">
        <v>0</v>
      </c>
      <c r="G4879" s="11">
        <f>E4879-F4879</f>
        <v/>
      </c>
      <c r="H4879" s="11" t="n">
        <v/>
      </c>
      <c r="I4879" s="11" t="n">
        <v/>
      </c>
      <c r="J4879" s="11" t="n">
        <v/>
      </c>
      <c r="K4879" s="4" t="inlineStr">
        <is>
          <t>Stundensätze eingeben</t>
        </is>
      </c>
    </row>
    <row r="4880">
      <c r="A4880" s="4" t="inlineStr">
        <is>
          <t>7424.01 ASB-BSB-2025-Lange-Str-13-Frankfurt</t>
        </is>
      </c>
      <c r="B4880" s="4" t="inlineStr">
        <is>
          <t>● (aN) Pos.3 Evakuierungsübung</t>
        </is>
      </c>
      <c r="C4880" s="4" t="inlineStr">
        <is>
          <t>Nachweis</t>
        </is>
      </c>
      <c r="D4880" s="10" t="inlineStr">
        <is>
          <t>⚠ Manual erforderlich</t>
        </is>
      </c>
      <c r="E4880" s="11" t="inlineStr"/>
      <c r="F4880" s="11" t="n">
        <v>0</v>
      </c>
      <c r="G4880" s="11">
        <f>E4880-F4880</f>
        <v/>
      </c>
      <c r="H4880" s="11" t="n">
        <v/>
      </c>
      <c r="I4880" s="11" t="n">
        <v/>
      </c>
      <c r="J4880" s="11" t="n">
        <v/>
      </c>
      <c r="K4880" s="4" t="inlineStr">
        <is>
          <t>Stundensätze eingeben</t>
        </is>
      </c>
    </row>
    <row r="4881">
      <c r="A4881" s="4" t="inlineStr">
        <is>
          <t>7424.01 ASB-BSB-2025-Lange-Str-13-Frankfurt</t>
        </is>
      </c>
      <c r="B4881" s="4" t="inlineStr">
        <is>
          <t>● (aN) Pos.4 Überarbeitung v. Aushängen (Evakuierungsanw., Ablaufpläne)</t>
        </is>
      </c>
      <c r="C4881" s="4" t="inlineStr">
        <is>
          <t>Nachweis</t>
        </is>
      </c>
      <c r="D4881" s="10" t="inlineStr">
        <is>
          <t>⚠ Manual erforderlich</t>
        </is>
      </c>
      <c r="E4881" s="11" t="inlineStr"/>
      <c r="F4881" s="11" t="n">
        <v>0</v>
      </c>
      <c r="G4881" s="11">
        <f>E4881-F4881</f>
        <v/>
      </c>
      <c r="H4881" s="11" t="n">
        <v/>
      </c>
      <c r="I4881" s="11" t="n">
        <v/>
      </c>
      <c r="J4881" s="11" t="n">
        <v/>
      </c>
      <c r="K4881" s="4" t="inlineStr">
        <is>
          <t>Stundensätze eingeben</t>
        </is>
      </c>
    </row>
    <row r="4882">
      <c r="A4882" s="4" t="inlineStr">
        <is>
          <t>7424.02 ASB-BSB-2025-Seiler-Str-18-Frankfurt</t>
        </is>
      </c>
      <c r="B4882" s="4" t="inlineStr">
        <is>
          <t>● (aN) Pos.1 Stellung extern. BSB  - 1 Begehung pro Jahr</t>
        </is>
      </c>
      <c r="C4882" s="4" t="inlineStr">
        <is>
          <t>Nachweis</t>
        </is>
      </c>
      <c r="D4882" s="10" t="inlineStr">
        <is>
          <t>⚠ Manual erforderlich</t>
        </is>
      </c>
      <c r="E4882" s="11" t="inlineStr"/>
      <c r="F4882" s="11" t="n">
        <v>0</v>
      </c>
      <c r="G4882" s="11">
        <f>E4882-F4882</f>
        <v/>
      </c>
      <c r="H4882" s="11" t="n">
        <v/>
      </c>
      <c r="I4882" s="11" t="n">
        <v/>
      </c>
      <c r="J4882" s="11" t="n">
        <v/>
      </c>
      <c r="K4882" s="4" t="inlineStr">
        <is>
          <t>Stundensätze eingeben</t>
        </is>
      </c>
    </row>
    <row r="4883">
      <c r="A4883" s="4" t="inlineStr">
        <is>
          <t>7424.02 ASB-BSB-2025-Seiler-Str-18-Frankfurt</t>
        </is>
      </c>
      <c r="B4883" s="4" t="inlineStr">
        <is>
          <t>● (aN) Pos.2 Erstellung Videoschulung f. Bewohner</t>
        </is>
      </c>
      <c r="C4883" s="4" t="inlineStr">
        <is>
          <t>Nachweis</t>
        </is>
      </c>
      <c r="D4883" s="10" t="inlineStr">
        <is>
          <t>⚠ Manual erforderlich</t>
        </is>
      </c>
      <c r="E4883" s="11" t="inlineStr"/>
      <c r="F4883" s="11" t="n">
        <v>0</v>
      </c>
      <c r="G4883" s="11">
        <f>E4883-F4883</f>
        <v/>
      </c>
      <c r="H4883" s="11" t="n">
        <v/>
      </c>
      <c r="I4883" s="11" t="n">
        <v/>
      </c>
      <c r="J4883" s="11" t="n">
        <v/>
      </c>
      <c r="K4883" s="4" t="inlineStr">
        <is>
          <t>Stundensätze eingeben</t>
        </is>
      </c>
    </row>
    <row r="4884">
      <c r="A4884" s="4" t="inlineStr">
        <is>
          <t>7424.02 ASB-BSB-2025-Seiler-Str-18-Frankfurt</t>
        </is>
      </c>
      <c r="B4884" s="4" t="inlineStr">
        <is>
          <t>● (aN) Pos.3 Evakuierungsübung</t>
        </is>
      </c>
      <c r="C4884" s="4" t="inlineStr">
        <is>
          <t>Nachweis</t>
        </is>
      </c>
      <c r="D4884" s="10" t="inlineStr">
        <is>
          <t>⚠ Manual erforderlich</t>
        </is>
      </c>
      <c r="E4884" s="11" t="inlineStr"/>
      <c r="F4884" s="11" t="n">
        <v>0</v>
      </c>
      <c r="G4884" s="11">
        <f>E4884-F4884</f>
        <v/>
      </c>
      <c r="H4884" s="11" t="n">
        <v/>
      </c>
      <c r="I4884" s="11" t="n">
        <v/>
      </c>
      <c r="J4884" s="11" t="n">
        <v/>
      </c>
      <c r="K4884" s="4" t="inlineStr">
        <is>
          <t>Stundensätze eingeben</t>
        </is>
      </c>
    </row>
    <row r="4885">
      <c r="A4885" s="4" t="inlineStr">
        <is>
          <t>7424.02 ASB-BSB-2025-Seiler-Str-18-Frankfurt</t>
        </is>
      </c>
      <c r="B4885" s="4" t="inlineStr">
        <is>
          <t>● (aN) Pos.4 Überarbeitung v. Aushängen (Evakuierungsanw., Ablaufpläne)</t>
        </is>
      </c>
      <c r="C4885" s="4" t="inlineStr">
        <is>
          <t>Nachweis</t>
        </is>
      </c>
      <c r="D4885" s="10" t="inlineStr">
        <is>
          <t>⚠ Manual erforderlich</t>
        </is>
      </c>
      <c r="E4885" s="11" t="inlineStr"/>
      <c r="F4885" s="11" t="n">
        <v>0</v>
      </c>
      <c r="G4885" s="11">
        <f>E4885-F4885</f>
        <v/>
      </c>
      <c r="H4885" s="11" t="n">
        <v/>
      </c>
      <c r="I4885" s="11" t="n">
        <v/>
      </c>
      <c r="J4885" s="11" t="n">
        <v/>
      </c>
      <c r="K4885" s="4" t="inlineStr">
        <is>
          <t>Stundensätze eingeben</t>
        </is>
      </c>
    </row>
    <row r="4886">
      <c r="A4886" s="4" t="inlineStr">
        <is>
          <t>7424.03 ASB-BSB-2025-Zum-Rebstockbad-5-Frankfurt</t>
        </is>
      </c>
      <c r="B4886" s="4" t="inlineStr">
        <is>
          <t>● (aN) Pos.1 Stellung extern. BSB  - 1 Begehung pro Jahr</t>
        </is>
      </c>
      <c r="C4886" s="4" t="inlineStr">
        <is>
          <t>Nachweis</t>
        </is>
      </c>
      <c r="D4886" s="10" t="inlineStr">
        <is>
          <t>⚠ Manual erforderlich</t>
        </is>
      </c>
      <c r="E4886" s="11" t="inlineStr"/>
      <c r="F4886" s="11" t="n">
        <v>0</v>
      </c>
      <c r="G4886" s="11">
        <f>E4886-F4886</f>
        <v/>
      </c>
      <c r="H4886" s="11" t="n">
        <v/>
      </c>
      <c r="I4886" s="11" t="n">
        <v/>
      </c>
      <c r="J4886" s="11" t="n">
        <v/>
      </c>
      <c r="K4886" s="4" t="inlineStr">
        <is>
          <t>Stundensätze eingeben</t>
        </is>
      </c>
    </row>
    <row r="4887">
      <c r="A4887" s="4" t="inlineStr">
        <is>
          <t>7424.03 ASB-BSB-2025-Zum-Rebstockbad-5-Frankfurt</t>
        </is>
      </c>
      <c r="B4887" s="4" t="inlineStr">
        <is>
          <t>● (aN) Pos.2 Erstellung Kurzbeschreibung mit Bildern f. Bewohner</t>
        </is>
      </c>
      <c r="C4887" s="4" t="inlineStr">
        <is>
          <t>Nachweis</t>
        </is>
      </c>
      <c r="D4887" s="10" t="inlineStr">
        <is>
          <t>⚠ Manual erforderlich</t>
        </is>
      </c>
      <c r="E4887" s="11" t="inlineStr"/>
      <c r="F4887" s="11" t="n">
        <v>0</v>
      </c>
      <c r="G4887" s="11">
        <f>E4887-F4887</f>
        <v/>
      </c>
      <c r="H4887" s="11" t="n">
        <v/>
      </c>
      <c r="I4887" s="11" t="n">
        <v/>
      </c>
      <c r="J4887" s="11" t="n">
        <v/>
      </c>
      <c r="K4887" s="4" t="inlineStr">
        <is>
          <t>Stundensätze eingeben</t>
        </is>
      </c>
    </row>
    <row r="4888">
      <c r="A4888" s="4" t="inlineStr">
        <is>
          <t>7424.03 ASB-BSB-2025-Zum-Rebstockbad-5-Frankfurt</t>
        </is>
      </c>
      <c r="B4888" s="4" t="inlineStr">
        <is>
          <t>● (aN) Pos.3 Überarbeitung v. Aushängen, Evak.anweisungen, Ablaufpl. BS unhd Evakuierung</t>
        </is>
      </c>
      <c r="C4888" s="4" t="inlineStr">
        <is>
          <t>Nachweis</t>
        </is>
      </c>
      <c r="D4888" s="10" t="inlineStr">
        <is>
          <t>⚠ Manual erforderlich</t>
        </is>
      </c>
      <c r="E4888" s="11" t="inlineStr"/>
      <c r="F4888" s="11" t="n">
        <v>0</v>
      </c>
      <c r="G4888" s="11">
        <f>E4888-F4888</f>
        <v/>
      </c>
      <c r="H4888" s="11" t="n">
        <v/>
      </c>
      <c r="I4888" s="11" t="n">
        <v/>
      </c>
      <c r="J4888" s="11" t="n">
        <v/>
      </c>
      <c r="K4888" s="4" t="inlineStr">
        <is>
          <t>Stundensätze eingeben</t>
        </is>
      </c>
    </row>
    <row r="4889">
      <c r="A4889" s="4" t="inlineStr">
        <is>
          <t>7424.04 ASB-BSB-2025-Hahnstraße-9-Frankfurt</t>
        </is>
      </c>
      <c r="B4889" s="4" t="inlineStr">
        <is>
          <t>● (aN) Pos.1 Stellung extern. BSB  - 1 Begehung pro Jahr</t>
        </is>
      </c>
      <c r="C4889" s="4" t="inlineStr">
        <is>
          <t>Nachweis</t>
        </is>
      </c>
      <c r="D4889" s="10" t="inlineStr">
        <is>
          <t>⚠ Manual erforderlich</t>
        </is>
      </c>
      <c r="E4889" s="11" t="inlineStr"/>
      <c r="F4889" s="11" t="n">
        <v>0</v>
      </c>
      <c r="G4889" s="11">
        <f>E4889-F4889</f>
        <v/>
      </c>
      <c r="H4889" s="11" t="n">
        <v/>
      </c>
      <c r="I4889" s="11" t="n">
        <v/>
      </c>
      <c r="J4889" s="11" t="n">
        <v/>
      </c>
      <c r="K4889" s="4" t="inlineStr">
        <is>
          <t>Stundensätze eingeben</t>
        </is>
      </c>
    </row>
    <row r="4890">
      <c r="A4890" s="4" t="inlineStr">
        <is>
          <t>7424.04 ASB-BSB-2025-Hahnstraße-9-Frankfurt</t>
        </is>
      </c>
      <c r="B4890" s="4" t="inlineStr">
        <is>
          <t>● (aN) Pos.2 Erstellung Videoschulung f. Bewohner</t>
        </is>
      </c>
      <c r="C4890" s="4" t="inlineStr">
        <is>
          <t>Nachweis</t>
        </is>
      </c>
      <c r="D4890" s="10" t="inlineStr">
        <is>
          <t>⚠ Manual erforderlich</t>
        </is>
      </c>
      <c r="E4890" s="11" t="inlineStr"/>
      <c r="F4890" s="11" t="n">
        <v>0</v>
      </c>
      <c r="G4890" s="11">
        <f>E4890-F4890</f>
        <v/>
      </c>
      <c r="H4890" s="11" t="n">
        <v/>
      </c>
      <c r="I4890" s="11" t="n">
        <v/>
      </c>
      <c r="J4890" s="11" t="n">
        <v/>
      </c>
      <c r="K4890" s="4" t="inlineStr">
        <is>
          <t>Stundensätze eingeben</t>
        </is>
      </c>
    </row>
    <row r="4891">
      <c r="A4891" s="4" t="inlineStr">
        <is>
          <t>7424.04 ASB-BSB-2025-Hahnstraße-9-Frankfurt</t>
        </is>
      </c>
      <c r="B4891" s="4" t="inlineStr">
        <is>
          <t>● (aN) Pos.3 Evakuierungsübung</t>
        </is>
      </c>
      <c r="C4891" s="4" t="inlineStr">
        <is>
          <t>Nachweis</t>
        </is>
      </c>
      <c r="D4891" s="10" t="inlineStr">
        <is>
          <t>⚠ Manual erforderlich</t>
        </is>
      </c>
      <c r="E4891" s="11" t="inlineStr"/>
      <c r="F4891" s="11" t="n">
        <v>0</v>
      </c>
      <c r="G4891" s="11">
        <f>E4891-F4891</f>
        <v/>
      </c>
      <c r="H4891" s="11" t="n">
        <v/>
      </c>
      <c r="I4891" s="11" t="n">
        <v/>
      </c>
      <c r="J4891" s="11" t="n">
        <v/>
      </c>
      <c r="K4891" s="4" t="inlineStr">
        <is>
          <t>Stundensätze eingeben</t>
        </is>
      </c>
    </row>
    <row r="4892">
      <c r="A4892" s="4" t="inlineStr">
        <is>
          <t>7424.04 ASB-BSB-2025-Hahnstraße-9-Frankfurt</t>
        </is>
      </c>
      <c r="B4892" s="4" t="inlineStr">
        <is>
          <t>● (aN) Pos.4 Überarbeitung v. Aushängen (Evakuierungsanw., Ablaufpläne)</t>
        </is>
      </c>
      <c r="C4892" s="4" t="inlineStr">
        <is>
          <t>Nachweis</t>
        </is>
      </c>
      <c r="D4892" s="10" t="inlineStr">
        <is>
          <t>⚠ Manual erforderlich</t>
        </is>
      </c>
      <c r="E4892" s="11" t="inlineStr"/>
      <c r="F4892" s="11" t="n">
        <v>0</v>
      </c>
      <c r="G4892" s="11">
        <f>E4892-F4892</f>
        <v/>
      </c>
      <c r="H4892" s="11" t="n">
        <v/>
      </c>
      <c r="I4892" s="11" t="n">
        <v/>
      </c>
      <c r="J4892" s="11" t="n">
        <v/>
      </c>
      <c r="K4892" s="4" t="inlineStr">
        <is>
          <t>Stundensätze eingeben</t>
        </is>
      </c>
    </row>
    <row r="4893">
      <c r="A4893" s="4" t="inlineStr">
        <is>
          <t>7424.05 ASB-BSB-2025-Dürkheimer-Straße-3-Frankfurt</t>
        </is>
      </c>
      <c r="B4893" s="4" t="inlineStr">
        <is>
          <t>● (aN) Pos.1 Stellung extern. BSB  - 1 Begehung pro Jahr</t>
        </is>
      </c>
      <c r="C4893" s="4" t="inlineStr">
        <is>
          <t>Nachweis</t>
        </is>
      </c>
      <c r="D4893" s="10" t="inlineStr">
        <is>
          <t>⚠ Manual erforderlich</t>
        </is>
      </c>
      <c r="E4893" s="11" t="inlineStr"/>
      <c r="F4893" s="11" t="n">
        <v>0</v>
      </c>
      <c r="G4893" s="11">
        <f>E4893-F4893</f>
        <v/>
      </c>
      <c r="H4893" s="11" t="n">
        <v/>
      </c>
      <c r="I4893" s="11" t="n">
        <v/>
      </c>
      <c r="J4893" s="11" t="n">
        <v/>
      </c>
      <c r="K4893" s="4" t="inlineStr">
        <is>
          <t>Stundensätze eingeben</t>
        </is>
      </c>
    </row>
    <row r="4894">
      <c r="A4894" s="4" t="inlineStr">
        <is>
          <t>7424.05 ASB-BSB-2025-Dürkheimer-Straße-3-Frankfurt</t>
        </is>
      </c>
      <c r="B4894" s="4" t="inlineStr">
        <is>
          <t>● (aN) Pos.2 Erstellung einer Kurzbeschreibung mit Bildern f. Bewohner</t>
        </is>
      </c>
      <c r="C4894" s="4" t="inlineStr">
        <is>
          <t>Nachweis</t>
        </is>
      </c>
      <c r="D4894" s="10" t="inlineStr">
        <is>
          <t>⚠ Manual erforderlich</t>
        </is>
      </c>
      <c r="E4894" s="11" t="inlineStr"/>
      <c r="F4894" s="11" t="n">
        <v>0</v>
      </c>
      <c r="G4894" s="11">
        <f>E4894-F4894</f>
        <v/>
      </c>
      <c r="H4894" s="11" t="n">
        <v/>
      </c>
      <c r="I4894" s="11" t="n">
        <v/>
      </c>
      <c r="J4894" s="11" t="n">
        <v/>
      </c>
      <c r="K4894" s="4" t="inlineStr">
        <is>
          <t>Stundensätze eingeben</t>
        </is>
      </c>
    </row>
    <row r="4895">
      <c r="A4895" s="4" t="inlineStr">
        <is>
          <t>7424.05 ASB-BSB-2025-Dürkheimer-Straße-3-Frankfurt</t>
        </is>
      </c>
      <c r="B4895" s="4" t="inlineStr">
        <is>
          <t>● (aN) Pos.3 Evakuierungsübung</t>
        </is>
      </c>
      <c r="C4895" s="4" t="inlineStr">
        <is>
          <t>Nachweis</t>
        </is>
      </c>
      <c r="D4895" s="10" t="inlineStr">
        <is>
          <t>⚠ Manual erforderlich</t>
        </is>
      </c>
      <c r="E4895" s="11" t="inlineStr"/>
      <c r="F4895" s="11" t="n">
        <v>0</v>
      </c>
      <c r="G4895" s="11">
        <f>E4895-F4895</f>
        <v/>
      </c>
      <c r="H4895" s="11" t="n">
        <v/>
      </c>
      <c r="I4895" s="11" t="n">
        <v/>
      </c>
      <c r="J4895" s="11" t="n">
        <v/>
      </c>
      <c r="K4895" s="4" t="inlineStr">
        <is>
          <t>Stundensätze eingeben</t>
        </is>
      </c>
    </row>
    <row r="4896">
      <c r="A4896" s="4" t="inlineStr">
        <is>
          <t>7424.05 ASB-BSB-2025-Dürkheimer-Straße-3-Frankfurt</t>
        </is>
      </c>
      <c r="B4896" s="4" t="inlineStr">
        <is>
          <t>● (aN) Pos.4 Überarbeitung v. Aushängen (Evakuierungsanw., Ablaufpläne)</t>
        </is>
      </c>
      <c r="C4896" s="4" t="inlineStr">
        <is>
          <t>Nachweis</t>
        </is>
      </c>
      <c r="D4896" s="10" t="inlineStr">
        <is>
          <t>⚠ Manual erforderlich</t>
        </is>
      </c>
      <c r="E4896" s="11" t="inlineStr"/>
      <c r="F4896" s="11" t="n">
        <v>0</v>
      </c>
      <c r="G4896" s="11">
        <f>E4896-F4896</f>
        <v/>
      </c>
      <c r="H4896" s="11" t="n">
        <v/>
      </c>
      <c r="I4896" s="11" t="n">
        <v/>
      </c>
      <c r="J4896" s="11" t="n">
        <v/>
      </c>
      <c r="K4896" s="4" t="inlineStr">
        <is>
          <t>Stundensätze eingeben</t>
        </is>
      </c>
    </row>
    <row r="4897">
      <c r="A4897" s="4" t="inlineStr">
        <is>
          <t>7424.06 ASB-BSB-2025-08-Mainzer-Landstraße-563-Frankfurt</t>
        </is>
      </c>
      <c r="B4897" s="4" t="inlineStr">
        <is>
          <t>● (aN) Pos.1 Stellung extern. BSB  - 1 Begehung pro Jahr</t>
        </is>
      </c>
      <c r="C4897" s="4" t="inlineStr">
        <is>
          <t>Nachweis</t>
        </is>
      </c>
      <c r="D4897" s="10" t="inlineStr">
        <is>
          <t>⚠ Manual erforderlich</t>
        </is>
      </c>
      <c r="E4897" s="11" t="inlineStr"/>
      <c r="F4897" s="11" t="n">
        <v>0</v>
      </c>
      <c r="G4897" s="11">
        <f>E4897-F4897</f>
        <v/>
      </c>
      <c r="H4897" s="11" t="n">
        <v/>
      </c>
      <c r="I4897" s="11" t="n">
        <v/>
      </c>
      <c r="J4897" s="11" t="n">
        <v/>
      </c>
      <c r="K4897" s="4" t="inlineStr">
        <is>
          <t>Stundensätze eingeben</t>
        </is>
      </c>
    </row>
    <row r="4898">
      <c r="A4898" s="4" t="inlineStr">
        <is>
          <t>7424.06 ASB-BSB-2025-08-Mainzer-Landstraße-563-Frankfurt</t>
        </is>
      </c>
      <c r="B4898" s="4" t="inlineStr">
        <is>
          <t>● (aN) Pos.2 Erstellung einer Kurzbeschreibung mit Bildern f. Bewohner</t>
        </is>
      </c>
      <c r="C4898" s="4" t="inlineStr">
        <is>
          <t>Nachweis</t>
        </is>
      </c>
      <c r="D4898" s="10" t="inlineStr">
        <is>
          <t>⚠ Manual erforderlich</t>
        </is>
      </c>
      <c r="E4898" s="11" t="inlineStr"/>
      <c r="F4898" s="11" t="n">
        <v>0</v>
      </c>
      <c r="G4898" s="11">
        <f>E4898-F4898</f>
        <v/>
      </c>
      <c r="H4898" s="11" t="n">
        <v/>
      </c>
      <c r="I4898" s="11" t="n">
        <v/>
      </c>
      <c r="J4898" s="11" t="n">
        <v/>
      </c>
      <c r="K4898" s="4" t="inlineStr">
        <is>
          <t>Stundensätze eingeben</t>
        </is>
      </c>
    </row>
    <row r="4899">
      <c r="A4899" s="4" t="inlineStr">
        <is>
          <t>7424.06 ASB-BSB-2025-08-Mainzer-Landstraße-563-Frankfurt</t>
        </is>
      </c>
      <c r="B4899" s="4" t="inlineStr">
        <is>
          <t>● (aN) Pos.3 Evakuierungsübung</t>
        </is>
      </c>
      <c r="C4899" s="4" t="inlineStr">
        <is>
          <t>Nachweis</t>
        </is>
      </c>
      <c r="D4899" s="10" t="inlineStr">
        <is>
          <t>⚠ Manual erforderlich</t>
        </is>
      </c>
      <c r="E4899" s="11" t="inlineStr"/>
      <c r="F4899" s="11" t="n">
        <v>0</v>
      </c>
      <c r="G4899" s="11">
        <f>E4899-F4899</f>
        <v/>
      </c>
      <c r="H4899" s="11" t="n">
        <v/>
      </c>
      <c r="I4899" s="11" t="n">
        <v/>
      </c>
      <c r="J4899" s="11" t="n">
        <v/>
      </c>
      <c r="K4899" s="4" t="inlineStr">
        <is>
          <t>Stundensätze eingeben</t>
        </is>
      </c>
    </row>
    <row r="4900">
      <c r="A4900" s="4" t="inlineStr">
        <is>
          <t>7424.06 ASB-BSB-2025-08-Mainzer-Landstraße-563-Frankfurt</t>
        </is>
      </c>
      <c r="B4900" s="4" t="inlineStr">
        <is>
          <t>● (aN) Pos.4 Überarbeitung v. Aushängen (Evakuierungsanw., Ablaufpläne)</t>
        </is>
      </c>
      <c r="C4900" s="4" t="inlineStr">
        <is>
          <t>Nachweis</t>
        </is>
      </c>
      <c r="D4900" s="10" t="inlineStr">
        <is>
          <t>⚠ Manual erforderlich</t>
        </is>
      </c>
      <c r="E4900" s="11" t="inlineStr"/>
      <c r="F4900" s="11" t="n">
        <v>0</v>
      </c>
      <c r="G4900" s="11">
        <f>E4900-F4900</f>
        <v/>
      </c>
      <c r="H4900" s="11" t="n">
        <v/>
      </c>
      <c r="I4900" s="11" t="n">
        <v/>
      </c>
      <c r="J4900" s="11" t="n">
        <v/>
      </c>
      <c r="K4900" s="4" t="inlineStr">
        <is>
          <t>Stundensätze eingeben</t>
        </is>
      </c>
    </row>
    <row r="4901">
      <c r="A4901" s="4" t="inlineStr">
        <is>
          <t>7425 Thyson-BST-Weinstr-Süd-Bad-Dürkheim</t>
        </is>
      </c>
      <c r="B4901" s="4" t="inlineStr">
        <is>
          <t>● (aN) Pos. 1 Ortstermin und brandschutztechnische Beratung</t>
        </is>
      </c>
      <c r="C4901" s="4" t="inlineStr">
        <is>
          <t>Nachweis</t>
        </is>
      </c>
      <c r="D4901" s="10" t="inlineStr">
        <is>
          <t>⚠ Manual erforderlich</t>
        </is>
      </c>
      <c r="E4901" s="11" t="inlineStr"/>
      <c r="F4901" s="11" t="n">
        <v>0</v>
      </c>
      <c r="G4901" s="11">
        <f>E4901-F4901</f>
        <v/>
      </c>
      <c r="H4901" s="11" t="n">
        <v/>
      </c>
      <c r="I4901" s="11" t="n">
        <v/>
      </c>
      <c r="J4901" s="11" t="n">
        <v/>
      </c>
      <c r="K4901" s="4" t="inlineStr">
        <is>
          <t>Stundensätze eingeben</t>
        </is>
      </c>
    </row>
    <row r="4902">
      <c r="A4902" s="4" t="inlineStr">
        <is>
          <t>7425 Thyson-BST-Weinstr-Süd-Bad-Dürkheim</t>
        </is>
      </c>
      <c r="B4902" s="4" t="inlineStr">
        <is>
          <t>● (p) Pos. 2 Erstellung brandschutztechnischen Stellungnahme</t>
        </is>
      </c>
      <c r="C4902" s="4" t="inlineStr">
        <is>
          <t>Pauschale</t>
        </is>
      </c>
      <c r="D4902" s="10" t="inlineStr">
        <is>
          <t>⚠ Manual erforderlich</t>
        </is>
      </c>
      <c r="E4902" s="11" t="inlineStr"/>
      <c r="F4902" s="11" t="n">
        <v>0</v>
      </c>
      <c r="G4902" s="11">
        <f>E4902-F4902</f>
        <v/>
      </c>
      <c r="H4902" s="11" t="n">
        <v>0</v>
      </c>
      <c r="I4902" s="11" t="n">
        <v>0</v>
      </c>
      <c r="J4902" s="11" t="n">
        <v>0</v>
      </c>
      <c r="K4902" s="4" t="inlineStr">
        <is>
          <t>Stundensätze eingeben</t>
        </is>
      </c>
    </row>
    <row r="4903">
      <c r="A4903" s="4" t="inlineStr">
        <is>
          <t>7426 MPI-BTB-Biophysik-Max-von-Laue-Str3-FFM</t>
        </is>
      </c>
      <c r="B4903" s="4" t="inlineStr">
        <is>
          <t>● (aN) Pos. 1 Brandschutztechnische Beratung</t>
        </is>
      </c>
      <c r="C4903" s="4" t="inlineStr">
        <is>
          <t>Nachweis</t>
        </is>
      </c>
      <c r="D4903" s="10" t="inlineStr">
        <is>
          <t>⚠ Manual erforderlich</t>
        </is>
      </c>
      <c r="E4903" s="11" t="inlineStr"/>
      <c r="F4903" s="11" t="n">
        <v>0</v>
      </c>
      <c r="G4903" s="11">
        <f>E4903-F4903</f>
        <v/>
      </c>
      <c r="H4903" s="11" t="n">
        <v/>
      </c>
      <c r="I4903" s="11" t="n">
        <v/>
      </c>
      <c r="J4903" s="11" t="n">
        <v/>
      </c>
      <c r="K4903" s="4" t="inlineStr">
        <is>
          <t>Stundensätze eingeben</t>
        </is>
      </c>
    </row>
    <row r="4904">
      <c r="A4904" s="4" t="inlineStr">
        <is>
          <t>7426.01 MPI-QBS-Brandfallsteuermatrix-Biophysik-Max-von-Laue-Str3-FFM</t>
        </is>
      </c>
      <c r="B4904" s="4" t="inlineStr">
        <is>
          <t>● • (aN) Pos. 1 Abstimmungstermine und Teilnahme an der Wirk-Prinzip-Prüfung</t>
        </is>
      </c>
      <c r="C4904" s="4" t="inlineStr">
        <is>
          <t>Nachweis</t>
        </is>
      </c>
      <c r="D4904" s="10" t="inlineStr">
        <is>
          <t>⚠ Manual erforderlich</t>
        </is>
      </c>
      <c r="E4904" s="11" t="inlineStr"/>
      <c r="F4904" s="11" t="n">
        <v>0</v>
      </c>
      <c r="G4904" s="11">
        <f>E4904-F4904</f>
        <v/>
      </c>
      <c r="H4904" s="11" t="n">
        <v/>
      </c>
      <c r="I4904" s="11" t="n">
        <v/>
      </c>
      <c r="J4904" s="11" t="n">
        <v/>
      </c>
      <c r="K4904" s="4" t="inlineStr">
        <is>
          <t>Stundensätze eingeben</t>
        </is>
      </c>
    </row>
    <row r="4905">
      <c r="A4905" s="4" t="inlineStr">
        <is>
          <t>7426.01 MPI-QBS-Brandfallsteuermatrix-Biophysik-Max-von-Laue-Str3-FFM</t>
        </is>
      </c>
      <c r="B4905" s="4" t="inlineStr">
        <is>
          <t>● • (p) Pos. 2 Qualitative Brandfallsteuermatrix</t>
        </is>
      </c>
      <c r="C4905" s="4" t="inlineStr">
        <is>
          <t>Pauschale</t>
        </is>
      </c>
      <c r="D4905" s="10" t="inlineStr">
        <is>
          <t>⚠ Manual erforderlich</t>
        </is>
      </c>
      <c r="E4905" s="11" t="inlineStr"/>
      <c r="F4905" s="11" t="n">
        <v>0</v>
      </c>
      <c r="G4905" s="11">
        <f>E4905-F4905</f>
        <v/>
      </c>
      <c r="H4905" s="11" t="n">
        <v>0</v>
      </c>
      <c r="I4905" s="11" t="n">
        <v>0</v>
      </c>
      <c r="J4905" s="11" t="n">
        <v>0</v>
      </c>
      <c r="K4905" s="4" t="inlineStr">
        <is>
          <t>Stundensätze eingeben</t>
        </is>
      </c>
    </row>
    <row r="4906">
      <c r="A4906" s="4" t="inlineStr">
        <is>
          <t>7426.02 MPI-BTB-Sanierung-Biophysik-Max-von-Laue-Str3-FFM</t>
        </is>
      </c>
      <c r="B4906" s="4" t="inlineStr">
        <is>
          <t>● • (aN) Pos. 1 Brandschutztechnische Beratung während der Planungsphase</t>
        </is>
      </c>
      <c r="C4906" s="4" t="inlineStr">
        <is>
          <t>Nachweis</t>
        </is>
      </c>
      <c r="D4906" s="10" t="inlineStr">
        <is>
          <t>⚠ Manual erforderlich</t>
        </is>
      </c>
      <c r="E4906" s="11" t="inlineStr"/>
      <c r="F4906" s="11" t="n">
        <v>0</v>
      </c>
      <c r="G4906" s="11">
        <f>E4906-F4906</f>
        <v/>
      </c>
      <c r="H4906" s="11" t="n">
        <v/>
      </c>
      <c r="I4906" s="11" t="n">
        <v/>
      </c>
      <c r="J4906" s="11" t="n">
        <v/>
      </c>
      <c r="K4906" s="4" t="inlineStr">
        <is>
          <t>Stundensätze eingeben</t>
        </is>
      </c>
    </row>
    <row r="4907">
      <c r="A4907" s="4" t="inlineStr">
        <is>
          <t>7426.03 MPI-Fortschr-BSK-Biophysik-Max-von-Laue-Str3-FFM</t>
        </is>
      </c>
      <c r="B4907" s="4" t="inlineStr">
        <is>
          <t>● • Pos. 1 Fortschreibung eines Brandschutzkonzeptes</t>
        </is>
      </c>
      <c r="C4907" s="9" t="inlineStr">
        <is>
          <t>Unbekannt</t>
        </is>
      </c>
      <c r="D4907" s="10" t="inlineStr">
        <is>
          <t>⚠ Manual erforderlich</t>
        </is>
      </c>
      <c r="E4907" s="11" t="inlineStr"/>
      <c r="F4907" s="11" t="n">
        <v>0</v>
      </c>
      <c r="G4907" s="11">
        <f>E4907-F4907</f>
        <v/>
      </c>
      <c r="H4907" s="11" t="n">
        <v/>
      </c>
      <c r="I4907" s="11" t="n">
        <v/>
      </c>
      <c r="J4907" s="11" t="n">
        <v/>
      </c>
      <c r="K4907" s="4" t="inlineStr">
        <is>
          <t>Abrechnungsart wählen; Stundensätze eingeben</t>
        </is>
      </c>
    </row>
    <row r="4908">
      <c r="A4908" s="4" t="inlineStr">
        <is>
          <t>7427 IKEA-PLA-Rheiner-Landstr-215-Osnabrück</t>
        </is>
      </c>
      <c r="B4908" s="4" t="inlineStr">
        <is>
          <t>● (aN) Pos. 1 Fachtechnische Beratung/Konzept Ertüchtigung Sprinklerpumpe</t>
        </is>
      </c>
      <c r="C4908" s="4" t="inlineStr">
        <is>
          <t>Nachweis</t>
        </is>
      </c>
      <c r="D4908" s="10" t="inlineStr">
        <is>
          <t>⚠ Manual erforderlich</t>
        </is>
      </c>
      <c r="E4908" s="11" t="inlineStr"/>
      <c r="F4908" s="11" t="n">
        <v>0</v>
      </c>
      <c r="G4908" s="11">
        <f>E4908-F4908</f>
        <v/>
      </c>
      <c r="H4908" s="11" t="n">
        <v/>
      </c>
      <c r="I4908" s="11" t="n">
        <v/>
      </c>
      <c r="J4908" s="11" t="n">
        <v/>
      </c>
      <c r="K4908" s="4" t="inlineStr">
        <is>
          <t>Stundensätze eingeben</t>
        </is>
      </c>
    </row>
    <row r="4909">
      <c r="A4909" s="4" t="inlineStr">
        <is>
          <t>7427 IKEA-PLA-Rheiner-Landstr-215-Osnabrück</t>
        </is>
      </c>
      <c r="B4909" s="4" t="inlineStr">
        <is>
          <t>● Pos. 2 Optional: 3D-Modeel Sprinklerzentrale</t>
        </is>
      </c>
      <c r="C4909" s="9" t="inlineStr">
        <is>
          <t>Unbekannt</t>
        </is>
      </c>
      <c r="D4909" s="10" t="inlineStr">
        <is>
          <t>⚠ Manual erforderlich</t>
        </is>
      </c>
      <c r="E4909" s="11" t="inlineStr"/>
      <c r="F4909" s="11" t="n">
        <v>0</v>
      </c>
      <c r="G4909" s="11">
        <f>E4909-F4909</f>
        <v/>
      </c>
      <c r="H4909" s="11" t="n">
        <v/>
      </c>
      <c r="I4909" s="11" t="n">
        <v/>
      </c>
      <c r="J4909" s="11" t="n">
        <v/>
      </c>
      <c r="K4909" s="4" t="inlineStr">
        <is>
          <t>Abrechnungsart wählen; Stundensätze eingeben</t>
        </is>
      </c>
    </row>
    <row r="4910">
      <c r="A4910" s="4" t="inlineStr">
        <is>
          <t>7428 BTB-Europa-Allee-12-22-Frankfurt-Sicherheitsbeleuchtung</t>
        </is>
      </c>
      <c r="B4910" s="4" t="inlineStr">
        <is>
          <t>● (aN) Pos.1 BTB-Bew. d.festgestellten Mängel d.Prüfsachverständigen zur Sicherheitsbeleuchtung</t>
        </is>
      </c>
      <c r="C4910" s="4" t="inlineStr">
        <is>
          <t>Nachweis</t>
        </is>
      </c>
      <c r="D4910" s="10" t="inlineStr">
        <is>
          <t>⚠ Manual erforderlich</t>
        </is>
      </c>
      <c r="E4910" s="11" t="inlineStr"/>
      <c r="F4910" s="11" t="n">
        <v>0</v>
      </c>
      <c r="G4910" s="11">
        <f>E4910-F4910</f>
        <v/>
      </c>
      <c r="H4910" s="11" t="n">
        <v/>
      </c>
      <c r="I4910" s="11" t="n">
        <v/>
      </c>
      <c r="J4910" s="11" t="n">
        <v/>
      </c>
      <c r="K4910" s="4" t="inlineStr">
        <is>
          <t>Stundensätze eingeben</t>
        </is>
      </c>
    </row>
    <row r="4911">
      <c r="A4911" s="4" t="inlineStr">
        <is>
          <t>7429 BSN-Klosterhofstraße-27-Frankfurt</t>
        </is>
      </c>
      <c r="B4911" s="4" t="inlineStr">
        <is>
          <t>● (p) Pos.1 Erstellung BSN</t>
        </is>
      </c>
      <c r="C4911" s="4" t="inlineStr">
        <is>
          <t>Pauschale</t>
        </is>
      </c>
      <c r="D4911" s="10" t="inlineStr">
        <is>
          <t>⚠ Manual erforderlich</t>
        </is>
      </c>
      <c r="E4911" s="11" t="inlineStr"/>
      <c r="F4911" s="11" t="n">
        <v>0</v>
      </c>
      <c r="G4911" s="11">
        <f>E4911-F4911</f>
        <v/>
      </c>
      <c r="H4911" s="11" t="n">
        <v>0</v>
      </c>
      <c r="I4911" s="11" t="n">
        <v>0</v>
      </c>
      <c r="J4911" s="11" t="n">
        <v>0</v>
      </c>
      <c r="K4911" s="4" t="inlineStr">
        <is>
          <t>Stundensätze eingeben</t>
        </is>
      </c>
    </row>
    <row r="4912">
      <c r="A4912" s="4" t="inlineStr">
        <is>
          <t>7429 BSN-Klosterhofstraße-27-Frankfurt</t>
        </is>
      </c>
      <c r="B4912" s="4" t="inlineStr">
        <is>
          <t>● (aN) Pos.3 Baubegl. Brandschutzberatung+Qualitätsüberwachung</t>
        </is>
      </c>
      <c r="C4912" s="4" t="inlineStr">
        <is>
          <t>Nachweis</t>
        </is>
      </c>
      <c r="D4912" s="10" t="inlineStr">
        <is>
          <t>⚠ Manual erforderlich</t>
        </is>
      </c>
      <c r="E4912" s="11" t="inlineStr"/>
      <c r="F4912" s="11" t="n">
        <v>0</v>
      </c>
      <c r="G4912" s="11">
        <f>E4912-F4912</f>
        <v/>
      </c>
      <c r="H4912" s="11" t="n">
        <v/>
      </c>
      <c r="I4912" s="11" t="n">
        <v/>
      </c>
      <c r="J4912" s="11" t="n">
        <v/>
      </c>
      <c r="K4912" s="4" t="inlineStr">
        <is>
          <t>Stundensätze eingeben</t>
        </is>
      </c>
    </row>
    <row r="4913">
      <c r="A4913" s="4" t="inlineStr">
        <is>
          <t>7430 Grethenweg-HPPVO</t>
        </is>
      </c>
      <c r="B4913" s="4" t="inlineStr">
        <is>
          <t>● Prüfung Nachweis (auf Nachweis)</t>
        </is>
      </c>
      <c r="C4913" s="9" t="inlineStr">
        <is>
          <t>Unbekannt</t>
        </is>
      </c>
      <c r="D4913" s="10" t="inlineStr">
        <is>
          <t>⚠ Manual erforderlich</t>
        </is>
      </c>
      <c r="E4913" s="11" t="inlineStr"/>
      <c r="F4913" s="11" t="n">
        <v>0</v>
      </c>
      <c r="G4913" s="11">
        <f>E4913-F4913</f>
        <v/>
      </c>
      <c r="H4913" s="11" t="n">
        <v/>
      </c>
      <c r="I4913" s="11" t="n">
        <v/>
      </c>
      <c r="J4913" s="11" t="n">
        <v/>
      </c>
      <c r="K4913" s="4" t="inlineStr">
        <is>
          <t>Abrechnungsart wählen; Stundensätze eingeben</t>
        </is>
      </c>
    </row>
    <row r="4914">
      <c r="A4914" s="4" t="inlineStr">
        <is>
          <t>7430 Grethenweg-HPPVO</t>
        </is>
      </c>
      <c r="B4914" s="4" t="inlineStr">
        <is>
          <t>● Überwachung Bauausführung (auf Nachweis)</t>
        </is>
      </c>
      <c r="C4914" s="9" t="inlineStr">
        <is>
          <t>Unbekannt</t>
        </is>
      </c>
      <c r="D4914" s="10" t="inlineStr">
        <is>
          <t>⚠ Manual erforderlich</t>
        </is>
      </c>
      <c r="E4914" s="11" t="inlineStr"/>
      <c r="F4914" s="11" t="n">
        <v>0</v>
      </c>
      <c r="G4914" s="11">
        <f>E4914-F4914</f>
        <v/>
      </c>
      <c r="H4914" s="11" t="n">
        <v/>
      </c>
      <c r="I4914" s="11" t="n">
        <v/>
      </c>
      <c r="J4914" s="11" t="n">
        <v/>
      </c>
      <c r="K4914" s="4" t="inlineStr">
        <is>
          <t>Abrechnungsart wählen; Stundensätze eingeben</t>
        </is>
      </c>
    </row>
    <row r="4915">
      <c r="A4915" s="4" t="inlineStr">
        <is>
          <t>7431 Porta-FRP-Hansestraße-28-Braunschweig</t>
        </is>
      </c>
      <c r="B4915" s="4" t="inlineStr">
        <is>
          <t>● (p) Pos. 1.001 Neuerst. FRP 45 Stck - Aufteilung s. Schätzung</t>
        </is>
      </c>
      <c r="C4915" s="4" t="inlineStr">
        <is>
          <t>Pauschale</t>
        </is>
      </c>
      <c r="D4915" s="10" t="inlineStr">
        <is>
          <t>⚠ Manual erforderlich</t>
        </is>
      </c>
      <c r="E4915" s="11" t="inlineStr"/>
      <c r="F4915" s="11" t="n">
        <v>0</v>
      </c>
      <c r="G4915" s="11">
        <f>E4915-F4915</f>
        <v/>
      </c>
      <c r="H4915" s="11" t="n">
        <v>0</v>
      </c>
      <c r="I4915" s="11" t="n">
        <v>0</v>
      </c>
      <c r="J4915" s="11" t="n">
        <v>0</v>
      </c>
      <c r="K4915" s="4" t="inlineStr">
        <is>
          <t>Stundensätze eingeben</t>
        </is>
      </c>
    </row>
    <row r="4916">
      <c r="A4916" s="4" t="inlineStr">
        <is>
          <t>7431 Porta-FRP-Hansestraße-28-Braunschweig</t>
        </is>
      </c>
      <c r="B4916" s="4" t="inlineStr">
        <is>
          <t>● (aN) Pos. 1.002 Laminierung A3 45 Stck.</t>
        </is>
      </c>
      <c r="C4916" s="4" t="inlineStr">
        <is>
          <t>Nachweis</t>
        </is>
      </c>
      <c r="D4916" s="10" t="inlineStr">
        <is>
          <t>⚠ Manual erforderlich</t>
        </is>
      </c>
      <c r="E4916" s="11" t="inlineStr"/>
      <c r="F4916" s="11" t="n">
        <v>0</v>
      </c>
      <c r="G4916" s="11">
        <f>E4916-F4916</f>
        <v/>
      </c>
      <c r="H4916" s="11" t="n">
        <v/>
      </c>
      <c r="I4916" s="11" t="n">
        <v/>
      </c>
      <c r="J4916" s="11" t="n">
        <v/>
      </c>
      <c r="K4916" s="4" t="inlineStr">
        <is>
          <t>Stundensätze eingeben</t>
        </is>
      </c>
    </row>
    <row r="4917">
      <c r="A4917" s="4" t="inlineStr">
        <is>
          <t>7431 Porta-FRP-Hansestraße-28-Braunschweig</t>
        </is>
      </c>
      <c r="B4917" s="4" t="inlineStr">
        <is>
          <t>● (aN) Pos. 1.003 Aluklapprahmen DIN A3 40€/Stck.</t>
        </is>
      </c>
      <c r="C4917" s="4" t="inlineStr">
        <is>
          <t>Nachweis</t>
        </is>
      </c>
      <c r="D4917" s="10" t="inlineStr">
        <is>
          <t>⚠ Manual erforderlich</t>
        </is>
      </c>
      <c r="E4917" s="11" t="inlineStr"/>
      <c r="F4917" s="11" t="n">
        <v>0</v>
      </c>
      <c r="G4917" s="11">
        <f>E4917-F4917</f>
        <v/>
      </c>
      <c r="H4917" s="11" t="n">
        <v/>
      </c>
      <c r="I4917" s="11" t="n">
        <v/>
      </c>
      <c r="J4917" s="11" t="n">
        <v/>
      </c>
      <c r="K4917" s="4" t="inlineStr">
        <is>
          <t>Stundensätze eingeben</t>
        </is>
      </c>
    </row>
    <row r="4918">
      <c r="A4918" s="4" t="inlineStr">
        <is>
          <t>7431 Porta-FRP-Hansestraße-28-Braunschweig</t>
        </is>
      </c>
      <c r="B4918" s="4" t="inlineStr">
        <is>
          <t>● (p) Pos. 1.004  Abgleich/Aufnahme vor Ort</t>
        </is>
      </c>
      <c r="C4918" s="4" t="inlineStr">
        <is>
          <t>Pauschale</t>
        </is>
      </c>
      <c r="D4918" s="10" t="inlineStr">
        <is>
          <t>⚠ Manual erforderlich</t>
        </is>
      </c>
      <c r="E4918" s="11" t="inlineStr"/>
      <c r="F4918" s="11" t="n">
        <v>0</v>
      </c>
      <c r="G4918" s="11">
        <f>E4918-F4918</f>
        <v/>
      </c>
      <c r="H4918" s="11" t="n">
        <v>0</v>
      </c>
      <c r="I4918" s="11" t="n">
        <v>0</v>
      </c>
      <c r="J4918" s="11" t="n">
        <v>0</v>
      </c>
      <c r="K4918" s="4" t="inlineStr">
        <is>
          <t>Stundensätze eingeben</t>
        </is>
      </c>
    </row>
    <row r="4919">
      <c r="A4919" s="4" t="inlineStr">
        <is>
          <t>7431 Porta-FRP-Hansestraße-28-Braunschweig</t>
        </is>
      </c>
      <c r="B4919" s="4" t="inlineStr">
        <is>
          <t>● (p) Pos. 2.002 Verpackung + Versankosten 2x 40€= 80€ abzgl. 10%</t>
        </is>
      </c>
      <c r="C4919" s="4" t="inlineStr">
        <is>
          <t>Pauschale</t>
        </is>
      </c>
      <c r="D4919" s="10" t="inlineStr">
        <is>
          <t>⚠ Manual erforderlich</t>
        </is>
      </c>
      <c r="E4919" s="11" t="inlineStr"/>
      <c r="F4919" s="11" t="n">
        <v>0</v>
      </c>
      <c r="G4919" s="11">
        <f>E4919-F4919</f>
        <v/>
      </c>
      <c r="H4919" s="11" t="n">
        <v/>
      </c>
      <c r="I4919" s="11" t="n">
        <v/>
      </c>
      <c r="J4919" s="11" t="n">
        <v/>
      </c>
      <c r="K4919" s="4" t="inlineStr">
        <is>
          <t>Stundensätze eingeben</t>
        </is>
      </c>
    </row>
    <row r="4920">
      <c r="A4920" s="4" t="inlineStr">
        <is>
          <t>7431 Porta-FRP-Hansestraße-28-Braunschweig</t>
        </is>
      </c>
      <c r="B4920" s="4" t="inlineStr">
        <is>
          <t>● (p) Pos.2.003 Fahrtkostenpauschale 200€ N.E.P.</t>
        </is>
      </c>
      <c r="C4920" s="4" t="inlineStr">
        <is>
          <t>Pauschale</t>
        </is>
      </c>
      <c r="D4920" s="10" t="inlineStr">
        <is>
          <t>⚠ Manual erforderlich</t>
        </is>
      </c>
      <c r="E4920" s="11" t="inlineStr"/>
      <c r="F4920" s="11" t="n">
        <v>0</v>
      </c>
      <c r="G4920" s="11">
        <f>E4920-F4920</f>
        <v/>
      </c>
      <c r="H4920" s="11" t="n">
        <v/>
      </c>
      <c r="I4920" s="11" t="n">
        <v/>
      </c>
      <c r="J4920" s="11" t="n">
        <v/>
      </c>
      <c r="K4920" s="4" t="inlineStr">
        <is>
          <t>Stundensätze eingeben</t>
        </is>
      </c>
    </row>
    <row r="4921">
      <c r="A4921" s="4" t="inlineStr">
        <is>
          <t>7431.01 Porta-FWP-Hansestraße-28-Braunschweig</t>
        </is>
      </c>
      <c r="B4921" s="4" t="inlineStr">
        <is>
          <t>● (aN) Pos. 1.001 Neuerstellung FWP 1Stck</t>
        </is>
      </c>
      <c r="C4921" s="4" t="inlineStr">
        <is>
          <t>Nachweis</t>
        </is>
      </c>
      <c r="D4921" s="10" t="inlineStr">
        <is>
          <t>⚠ Manual erforderlich</t>
        </is>
      </c>
      <c r="E4921" s="11" t="inlineStr"/>
      <c r="F4921" s="11" t="n">
        <v>0</v>
      </c>
      <c r="G4921" s="11">
        <f>E4921-F4921</f>
        <v/>
      </c>
      <c r="H4921" s="11" t="n">
        <v/>
      </c>
      <c r="I4921" s="11" t="n">
        <v/>
      </c>
      <c r="J4921" s="11" t="n">
        <v/>
      </c>
      <c r="K4921" s="4" t="inlineStr">
        <is>
          <t>Stundensätze eingeben</t>
        </is>
      </c>
    </row>
    <row r="4922">
      <c r="A4922" s="4" t="inlineStr">
        <is>
          <t>7431.01 Porta-FWP-Hansestraße-28-Braunschweig</t>
        </is>
      </c>
      <c r="B4922" s="4" t="inlineStr">
        <is>
          <t>● (aN) Pos. 1.002 Abschnittsplan/Geschossplan 4 Stck</t>
        </is>
      </c>
      <c r="C4922" s="4" t="inlineStr">
        <is>
          <t>Nachweis</t>
        </is>
      </c>
      <c r="D4922" s="10" t="inlineStr">
        <is>
          <t>⚠ Manual erforderlich</t>
        </is>
      </c>
      <c r="E4922" s="11" t="inlineStr"/>
      <c r="F4922" s="11" t="n">
        <v>0</v>
      </c>
      <c r="G4922" s="11">
        <f>E4922-F4922</f>
        <v/>
      </c>
      <c r="H4922" s="11" t="n">
        <v/>
      </c>
      <c r="I4922" s="11" t="n">
        <v/>
      </c>
      <c r="J4922" s="11" t="n">
        <v/>
      </c>
      <c r="K4922" s="4" t="inlineStr">
        <is>
          <t>Stundensätze eingeben</t>
        </is>
      </c>
    </row>
    <row r="4923">
      <c r="A4923" s="4" t="inlineStr">
        <is>
          <t>7431.01 Porta-FWP-Hansestraße-28-Braunschweig</t>
        </is>
      </c>
      <c r="B4923" s="4" t="inlineStr">
        <is>
          <t>● (aN) Pos. 1.003 Objektinformation zum FWP 1 Stck</t>
        </is>
      </c>
      <c r="C4923" s="4" t="inlineStr">
        <is>
          <t>Nachweis</t>
        </is>
      </c>
      <c r="D4923" s="10" t="inlineStr">
        <is>
          <t>⚠ Manual erforderlich</t>
        </is>
      </c>
      <c r="E4923" s="11" t="inlineStr"/>
      <c r="F4923" s="11" t="n">
        <v>0</v>
      </c>
      <c r="G4923" s="11">
        <f>E4923-F4923</f>
        <v/>
      </c>
      <c r="H4923" s="11" t="n">
        <v/>
      </c>
      <c r="I4923" s="11" t="n">
        <v/>
      </c>
      <c r="J4923" s="11" t="n">
        <v/>
      </c>
      <c r="K4923" s="4" t="inlineStr">
        <is>
          <t>Stundensätze eingeben</t>
        </is>
      </c>
    </row>
    <row r="4924">
      <c r="A4924" s="4" t="inlineStr">
        <is>
          <t>7431.01 Porta-FWP-Hansestraße-28-Braunschweig</t>
        </is>
      </c>
      <c r="B4924" s="4" t="inlineStr">
        <is>
          <t>● (aN) Pos. 1.004 Mehrfertigung FWP 6Stck.</t>
        </is>
      </c>
      <c r="C4924" s="4" t="inlineStr">
        <is>
          <t>Nachweis</t>
        </is>
      </c>
      <c r="D4924" s="10" t="inlineStr">
        <is>
          <t>⚠ Manual erforderlich</t>
        </is>
      </c>
      <c r="E4924" s="11" t="inlineStr"/>
      <c r="F4924" s="11" t="n">
        <v>0</v>
      </c>
      <c r="G4924" s="11">
        <f>E4924-F4924</f>
        <v/>
      </c>
      <c r="H4924" s="11" t="n">
        <v/>
      </c>
      <c r="I4924" s="11" t="n">
        <v/>
      </c>
      <c r="J4924" s="11" t="n">
        <v/>
      </c>
      <c r="K4924" s="4" t="inlineStr">
        <is>
          <t>Stundensätze eingeben</t>
        </is>
      </c>
    </row>
    <row r="4925">
      <c r="A4925" s="4" t="inlineStr">
        <is>
          <t>7431.01 Porta-FWP-Hansestraße-28-Braunschweig</t>
        </is>
      </c>
      <c r="B4925" s="4" t="inlineStr">
        <is>
          <t>● (p) Pos. 1.005 Abgleich FWP</t>
        </is>
      </c>
      <c r="C4925" s="4" t="inlineStr">
        <is>
          <t>Pauschale</t>
        </is>
      </c>
      <c r="D4925" s="10" t="inlineStr">
        <is>
          <t>⚠ Manual erforderlich</t>
        </is>
      </c>
      <c r="E4925" s="11" t="inlineStr"/>
      <c r="F4925" s="11" t="n">
        <v>0</v>
      </c>
      <c r="G4925" s="11">
        <f>E4925-F4925</f>
        <v/>
      </c>
      <c r="H4925" s="11" t="n">
        <v>0</v>
      </c>
      <c r="I4925" s="11" t="n">
        <v>0</v>
      </c>
      <c r="J4925" s="11" t="n">
        <v>0</v>
      </c>
      <c r="K4925" s="4" t="inlineStr">
        <is>
          <t>Stundensätze eingeben</t>
        </is>
      </c>
    </row>
    <row r="4926">
      <c r="A4926" s="4" t="inlineStr">
        <is>
          <t>7431.01 Porta-FWP-Hansestraße-28-Braunschweig</t>
        </is>
      </c>
      <c r="B4926" s="4" t="inlineStr">
        <is>
          <t>● (aN) Pos. 1.006 Datenübermittlung 1 Stck.</t>
        </is>
      </c>
      <c r="C4926" s="4" t="inlineStr">
        <is>
          <t>Nachweis</t>
        </is>
      </c>
      <c r="D4926" s="10" t="inlineStr">
        <is>
          <t>⚠ Manual erforderlich</t>
        </is>
      </c>
      <c r="E4926" s="11" t="inlineStr"/>
      <c r="F4926" s="11" t="n">
        <v>0</v>
      </c>
      <c r="G4926" s="11">
        <f>E4926-F4926</f>
        <v/>
      </c>
      <c r="H4926" s="11" t="n">
        <v/>
      </c>
      <c r="I4926" s="11" t="n">
        <v/>
      </c>
      <c r="J4926" s="11" t="n">
        <v/>
      </c>
      <c r="K4926" s="4" t="inlineStr">
        <is>
          <t>Stundensätze eingeben</t>
        </is>
      </c>
    </row>
    <row r="4927">
      <c r="A4927" s="4" t="inlineStr">
        <is>
          <t>7431.01 Porta-FWP-Hansestraße-28-Braunschweig</t>
        </is>
      </c>
      <c r="B4927" s="4" t="inlineStr">
        <is>
          <t>● (aN) Pos. 2.001 digitale Aufbereitung 5 Stck.</t>
        </is>
      </c>
      <c r="C4927" s="4" t="inlineStr">
        <is>
          <t>Nachweis</t>
        </is>
      </c>
      <c r="D4927" s="10" t="inlineStr">
        <is>
          <t>⚠ Manual erforderlich</t>
        </is>
      </c>
      <c r="E4927" s="11" t="inlineStr"/>
      <c r="F4927" s="11" t="n">
        <v>0</v>
      </c>
      <c r="G4927" s="11">
        <f>E4927-F4927</f>
        <v/>
      </c>
      <c r="H4927" s="11" t="n">
        <v/>
      </c>
      <c r="I4927" s="11" t="n">
        <v/>
      </c>
      <c r="J4927" s="11" t="n">
        <v/>
      </c>
      <c r="K4927" s="4" t="inlineStr">
        <is>
          <t>Stundensätze eingeben</t>
        </is>
      </c>
    </row>
    <row r="4928">
      <c r="A4928" s="4" t="inlineStr">
        <is>
          <t>7431.01 Porta-FWP-Hansestraße-28-Braunschweig</t>
        </is>
      </c>
      <c r="B4928" s="4" t="inlineStr">
        <is>
          <t>● (aN) Pos. 2.002 Verpackung/Versand 2 Stck.</t>
        </is>
      </c>
      <c r="C4928" s="4" t="inlineStr">
        <is>
          <t>Nachweis</t>
        </is>
      </c>
      <c r="D4928" s="10" t="inlineStr">
        <is>
          <t>⚠ Manual erforderlich</t>
        </is>
      </c>
      <c r="E4928" s="11" t="inlineStr"/>
      <c r="F4928" s="11" t="n">
        <v>0</v>
      </c>
      <c r="G4928" s="11">
        <f>E4928-F4928</f>
        <v/>
      </c>
      <c r="H4928" s="11" t="n">
        <v/>
      </c>
      <c r="I4928" s="11" t="n">
        <v/>
      </c>
      <c r="J4928" s="11" t="n">
        <v/>
      </c>
      <c r="K4928" s="4" t="inlineStr">
        <is>
          <t>Stundensätze eingeben</t>
        </is>
      </c>
    </row>
    <row r="4929">
      <c r="A4929" s="4" t="inlineStr">
        <is>
          <t>7431.01 Porta-FWP-Hansestraße-28-Braunschweig</t>
        </is>
      </c>
      <c r="B4929" s="4" t="inlineStr">
        <is>
          <t>● (aN) Pos. 2.003 Fahrtkostenpauschale 1 Stck.</t>
        </is>
      </c>
      <c r="C4929" s="4" t="inlineStr">
        <is>
          <t>Nachweis</t>
        </is>
      </c>
      <c r="D4929" s="10" t="inlineStr">
        <is>
          <t>⚠ Manual erforderlich</t>
        </is>
      </c>
      <c r="E4929" s="11" t="inlineStr"/>
      <c r="F4929" s="11" t="n">
        <v>0</v>
      </c>
      <c r="G4929" s="11">
        <f>E4929-F4929</f>
        <v/>
      </c>
      <c r="H4929" s="11" t="n">
        <v/>
      </c>
      <c r="I4929" s="11" t="n">
        <v/>
      </c>
      <c r="J4929" s="11" t="n">
        <v/>
      </c>
      <c r="K4929" s="4" t="inlineStr">
        <is>
          <t>Stundensätze eingeben</t>
        </is>
      </c>
    </row>
    <row r="4930">
      <c r="A4930" s="4" t="inlineStr">
        <is>
          <t>7431.02 Porta-Brandschutzzeichen-Treppe -Hansestraße-28-Braunschweig</t>
        </is>
      </c>
      <c r="B4930" s="4" t="inlineStr">
        <is>
          <t>● (aN) Pos. 1 Brandschutzzeichen Treppe - Sonderanfertigung je Treppe 6 Stck á 110€ ges. 660€</t>
        </is>
      </c>
      <c r="C4930" s="4" t="inlineStr">
        <is>
          <t>Nachweis</t>
        </is>
      </c>
      <c r="D4930" s="10" t="inlineStr">
        <is>
          <t>⚠ Manual erforderlich</t>
        </is>
      </c>
      <c r="E4930" s="11" t="inlineStr"/>
      <c r="F4930" s="11" t="n">
        <v>0</v>
      </c>
      <c r="G4930" s="11">
        <f>E4930-F4930</f>
        <v/>
      </c>
      <c r="H4930" s="11" t="n">
        <v/>
      </c>
      <c r="I4930" s="11" t="n">
        <v/>
      </c>
      <c r="J4930" s="11" t="n">
        <v/>
      </c>
      <c r="K4930" s="4" t="inlineStr">
        <is>
          <t>Stundensätze eingeben</t>
        </is>
      </c>
    </row>
    <row r="4931">
      <c r="A4931" s="4" t="inlineStr">
        <is>
          <t>7431.02 Porta-Brandschutzzeichen-Treppe -Hansestraße-28-Braunschweig</t>
        </is>
      </c>
      <c r="B4931" s="4" t="inlineStr">
        <is>
          <t>● (aN) Verpackung u. Versandkosten 2 Stck. á 12€ ges. 24€</t>
        </is>
      </c>
      <c r="C4931" s="4" t="inlineStr">
        <is>
          <t>Nachweis</t>
        </is>
      </c>
      <c r="D4931" s="10" t="inlineStr">
        <is>
          <t>⚠ Manual erforderlich</t>
        </is>
      </c>
      <c r="E4931" s="11" t="inlineStr"/>
      <c r="F4931" s="11" t="n">
        <v>0</v>
      </c>
      <c r="G4931" s="11">
        <f>E4931-F4931</f>
        <v/>
      </c>
      <c r="H4931" s="11" t="n">
        <v/>
      </c>
      <c r="I4931" s="11" t="n">
        <v/>
      </c>
      <c r="J4931" s="11" t="n">
        <v/>
      </c>
      <c r="K4931" s="4" t="inlineStr">
        <is>
          <t>Stundensätze eingeben</t>
        </is>
      </c>
    </row>
    <row r="4932">
      <c r="A4932" s="4" t="inlineStr">
        <is>
          <t>7432 BER-Neue-Straße-27-Hamburg-Harburg-EG</t>
        </is>
      </c>
      <c r="B4932" s="4" t="inlineStr">
        <is>
          <t>● (p) Pos.1 Erstellen einer Gutachterlichen Stellungnahme</t>
        </is>
      </c>
      <c r="C4932" s="4" t="inlineStr">
        <is>
          <t>Pauschale</t>
        </is>
      </c>
      <c r="D4932" s="10" t="inlineStr">
        <is>
          <t>⚠ Manual erforderlich</t>
        </is>
      </c>
      <c r="E4932" s="11" t="inlineStr"/>
      <c r="F4932" s="11" t="n">
        <v>0</v>
      </c>
      <c r="G4932" s="11">
        <f>E4932-F4932</f>
        <v/>
      </c>
      <c r="H4932" s="11" t="n">
        <v>0</v>
      </c>
      <c r="I4932" s="11" t="n">
        <v>0</v>
      </c>
      <c r="J4932" s="11" t="n">
        <v>0</v>
      </c>
      <c r="K4932" s="4" t="inlineStr">
        <is>
          <t>Stundensätze eingeben</t>
        </is>
      </c>
    </row>
    <row r="4933">
      <c r="A4933" s="4" t="inlineStr">
        <is>
          <t>7433 bika-BST-Schießstattweg2+4-Memmingen</t>
        </is>
      </c>
      <c r="B4933" s="4" t="inlineStr">
        <is>
          <t>● Pos. 1 BST Rettungswege</t>
        </is>
      </c>
      <c r="C4933" s="9" t="inlineStr">
        <is>
          <t>Unbekannt</t>
        </is>
      </c>
      <c r="D4933" s="10" t="inlineStr">
        <is>
          <t>⚠ Manual erforderlich</t>
        </is>
      </c>
      <c r="E4933" s="11" t="inlineStr"/>
      <c r="F4933" s="11" t="n">
        <v>0</v>
      </c>
      <c r="G4933" s="11">
        <f>E4933-F4933</f>
        <v/>
      </c>
      <c r="H4933" s="11" t="n">
        <v/>
      </c>
      <c r="I4933" s="11" t="n">
        <v/>
      </c>
      <c r="J4933" s="11" t="n">
        <v/>
      </c>
      <c r="K4933" s="4" t="inlineStr">
        <is>
          <t>Abrechnungsart wählen; Stundensätze eingeben</t>
        </is>
      </c>
    </row>
    <row r="4934">
      <c r="A4934" s="4" t="inlineStr">
        <is>
          <t>7434 AHO-Los3-Jagdschloss-Kranichsteiner-Straße-261-Darmstadt-Schloss</t>
        </is>
      </c>
      <c r="B4934" s="4" t="inlineStr">
        <is>
          <t>● (p) LPH1 Grundlagenermittlung GL</t>
        </is>
      </c>
      <c r="C4934" s="4" t="inlineStr">
        <is>
          <t>Pauschale</t>
        </is>
      </c>
      <c r="D4934" s="10" t="inlineStr">
        <is>
          <t>⚠ Manual erforderlich</t>
        </is>
      </c>
      <c r="E4934" s="11" t="inlineStr"/>
      <c r="F4934" s="11" t="n">
        <v>0</v>
      </c>
      <c r="G4934" s="11">
        <f>E4934-F4934</f>
        <v/>
      </c>
      <c r="H4934" s="11" t="n">
        <v>0</v>
      </c>
      <c r="I4934" s="11" t="n">
        <v>0</v>
      </c>
      <c r="J4934" s="11" t="n">
        <v>0</v>
      </c>
      <c r="K4934" s="4" t="inlineStr">
        <is>
          <t>Stundensätze eingeben</t>
        </is>
      </c>
    </row>
    <row r="4935">
      <c r="A4935" s="4" t="inlineStr">
        <is>
          <t>7434 AHO-Los3-Jagdschloss-Kranichsteiner-Straße-261-Darmstadt-Schloss</t>
        </is>
      </c>
      <c r="B4935" s="4" t="inlineStr">
        <is>
          <t>● (p) LPH 2 Vorplanung GL</t>
        </is>
      </c>
      <c r="C4935" s="4" t="inlineStr">
        <is>
          <t>Pauschale</t>
        </is>
      </c>
      <c r="D4935" s="10" t="inlineStr">
        <is>
          <t>⚠ Manual erforderlich</t>
        </is>
      </c>
      <c r="E4935" s="11" t="inlineStr"/>
      <c r="F4935" s="11" t="n">
        <v>0</v>
      </c>
      <c r="G4935" s="11">
        <f>E4935-F4935</f>
        <v/>
      </c>
      <c r="H4935" s="11" t="n">
        <v>0</v>
      </c>
      <c r="I4935" s="11" t="n">
        <v>0</v>
      </c>
      <c r="J4935" s="11" t="n">
        <v>0</v>
      </c>
      <c r="K4935" s="4" t="inlineStr">
        <is>
          <t>Stundensätze eingeben</t>
        </is>
      </c>
    </row>
    <row r="4936">
      <c r="A4936" s="4" t="inlineStr">
        <is>
          <t>7434 AHO-Los3-Jagdschloss-Kranichsteiner-Straße-261-Darmstadt-Schloss</t>
        </is>
      </c>
      <c r="B4936" s="4" t="inlineStr">
        <is>
          <t>● (p) LPH 3 Entwurfsplanung GL</t>
        </is>
      </c>
      <c r="C4936" s="4" t="inlineStr">
        <is>
          <t>Pauschale</t>
        </is>
      </c>
      <c r="D4936" s="10" t="inlineStr">
        <is>
          <t>⚠ Manual erforderlich</t>
        </is>
      </c>
      <c r="E4936" s="11" t="inlineStr"/>
      <c r="F4936" s="11" t="n">
        <v>0</v>
      </c>
      <c r="G4936" s="11">
        <f>E4936-F4936</f>
        <v/>
      </c>
      <c r="H4936" s="11" t="n">
        <v>0</v>
      </c>
      <c r="I4936" s="11" t="n">
        <v>0</v>
      </c>
      <c r="J4936" s="11" t="n">
        <v>0</v>
      </c>
      <c r="K4936" s="4" t="inlineStr">
        <is>
          <t>Stundensätze eingeben</t>
        </is>
      </c>
    </row>
    <row r="4937">
      <c r="A4937" s="4" t="inlineStr">
        <is>
          <t>7434 AHO-Los3-Jagdschloss-Kranichsteiner-Straße-261-Darmstadt-Schloss</t>
        </is>
      </c>
      <c r="B4937" s="4" t="inlineStr">
        <is>
          <t>● (p) LPH  4 Genehmigungsplanung GL</t>
        </is>
      </c>
      <c r="C4937" s="4" t="inlineStr">
        <is>
          <t>Pauschale</t>
        </is>
      </c>
      <c r="D4937" s="10" t="inlineStr">
        <is>
          <t>⚠ Manual erforderlich</t>
        </is>
      </c>
      <c r="E4937" s="11" t="inlineStr"/>
      <c r="F4937" s="11" t="n">
        <v>0</v>
      </c>
      <c r="G4937" s="11">
        <f>E4937-F4937</f>
        <v/>
      </c>
      <c r="H4937" s="11" t="n">
        <v>0</v>
      </c>
      <c r="I4937" s="11" t="n">
        <v>0</v>
      </c>
      <c r="J4937" s="11" t="n">
        <v>0</v>
      </c>
      <c r="K4937" s="4" t="inlineStr">
        <is>
          <t>Stundensätze eingeben</t>
        </is>
      </c>
    </row>
    <row r="4938">
      <c r="A4938" s="4" t="inlineStr">
        <is>
          <t>7434 AHO-Los3-Jagdschloss-Kranichsteiner-Straße-261-Darmstadt-Schloss</t>
        </is>
      </c>
      <c r="B4938" s="4" t="inlineStr">
        <is>
          <t>● (p) LPH 5 Ausführungsplanung GL</t>
        </is>
      </c>
      <c r="C4938" s="4" t="inlineStr">
        <is>
          <t>Pauschale</t>
        </is>
      </c>
      <c r="D4938" s="10" t="inlineStr">
        <is>
          <t>⚠ Manual erforderlich</t>
        </is>
      </c>
      <c r="E4938" s="11" t="inlineStr"/>
      <c r="F4938" s="11" t="n">
        <v>0</v>
      </c>
      <c r="G4938" s="11">
        <f>E4938-F4938</f>
        <v/>
      </c>
      <c r="H4938" s="11" t="n">
        <v>0</v>
      </c>
      <c r="I4938" s="11" t="n">
        <v>0</v>
      </c>
      <c r="J4938" s="11" t="n">
        <v>0</v>
      </c>
      <c r="K4938" s="4" t="inlineStr">
        <is>
          <t>Stundensätze eingeben</t>
        </is>
      </c>
    </row>
    <row r="4939">
      <c r="A4939" s="4" t="inlineStr">
        <is>
          <t>7434 AHO-Los3-Jagdschloss-Kranichsteiner-Straße-261-Darmstadt-Schloss</t>
        </is>
      </c>
      <c r="B4939" s="4" t="inlineStr">
        <is>
          <t>● (p) LPH 8 Bauüberwachung GL</t>
        </is>
      </c>
      <c r="C4939" s="4" t="inlineStr">
        <is>
          <t>Pauschale</t>
        </is>
      </c>
      <c r="D4939" s="10" t="inlineStr">
        <is>
          <t>⚠ Manual erforderlich</t>
        </is>
      </c>
      <c r="E4939" s="11" t="inlineStr"/>
      <c r="F4939" s="11" t="n">
        <v>0</v>
      </c>
      <c r="G4939" s="11">
        <f>E4939-F4939</f>
        <v/>
      </c>
      <c r="H4939" s="11" t="n">
        <v>0</v>
      </c>
      <c r="I4939" s="11" t="n">
        <v>0</v>
      </c>
      <c r="J4939" s="11" t="n">
        <v>0</v>
      </c>
      <c r="K4939" s="4" t="inlineStr">
        <is>
          <t>Stundensätze eingeben</t>
        </is>
      </c>
    </row>
    <row r="4940">
      <c r="A4940" s="4" t="inlineStr">
        <is>
          <t>7434 AHO-Los3-Jagdschloss-Kranichsteiner-Straße-261-Darmstadt-Schloss</t>
        </is>
      </c>
      <c r="B4940" s="4" t="inlineStr">
        <is>
          <t>● (p) LPH 1 BL Sichtung Bestandsunterlagen</t>
        </is>
      </c>
      <c r="C4940" s="4" t="inlineStr">
        <is>
          <t>Pauschale</t>
        </is>
      </c>
      <c r="D4940" s="10" t="inlineStr">
        <is>
          <t>⚠ Manual erforderlich</t>
        </is>
      </c>
      <c r="E4940" s="11" t="inlineStr"/>
      <c r="F4940" s="11" t="n">
        <v>0</v>
      </c>
      <c r="G4940" s="11">
        <f>E4940-F4940</f>
        <v/>
      </c>
      <c r="H4940" s="11" t="n">
        <v>0</v>
      </c>
      <c r="I4940" s="11" t="n">
        <v>0</v>
      </c>
      <c r="J4940" s="11" t="n">
        <v>0</v>
      </c>
      <c r="K4940" s="4" t="inlineStr">
        <is>
          <t>Stundensätze eingeben</t>
        </is>
      </c>
    </row>
    <row r="4941">
      <c r="A4941" s="4" t="inlineStr">
        <is>
          <t>7434 AHO-Los3-Jagdschloss-Kranichsteiner-Straße-261-Darmstadt-Schloss</t>
        </is>
      </c>
      <c r="B4941" s="4" t="inlineStr">
        <is>
          <t>● (p) LPH 1 BL OT - 6 Stck.</t>
        </is>
      </c>
      <c r="C4941" s="4" t="inlineStr">
        <is>
          <t>Pauschale</t>
        </is>
      </c>
      <c r="D4941" s="10" t="inlineStr">
        <is>
          <t>⚠ Manual erforderlich</t>
        </is>
      </c>
      <c r="E4941" s="11" t="inlineStr"/>
      <c r="F4941" s="11" t="n">
        <v>0</v>
      </c>
      <c r="G4941" s="11">
        <f>E4941-F4941</f>
        <v/>
      </c>
      <c r="H4941" s="11" t="n">
        <v>0</v>
      </c>
      <c r="I4941" s="11" t="n">
        <v>0</v>
      </c>
      <c r="J4941" s="11" t="n">
        <v>0</v>
      </c>
      <c r="K4941" s="4" t="inlineStr">
        <is>
          <t>Stundensätze eingeben</t>
        </is>
      </c>
    </row>
    <row r="4942">
      <c r="A4942" s="4" t="inlineStr">
        <is>
          <t>7434 AHO-Los3-Jagdschloss-Kranichsteiner-Straße-261-Darmstadt-Schloss</t>
        </is>
      </c>
      <c r="B4942" s="4" t="inlineStr">
        <is>
          <t>● (p) LPH   BL Doku+Erst. Verwendungsnachweis</t>
        </is>
      </c>
      <c r="C4942" s="4" t="inlineStr">
        <is>
          <t>Pauschale</t>
        </is>
      </c>
      <c r="D4942" s="10" t="inlineStr">
        <is>
          <t>⚠ Manual erforderlich</t>
        </is>
      </c>
      <c r="E4942" s="11" t="inlineStr"/>
      <c r="F4942" s="11" t="n">
        <v>0</v>
      </c>
      <c r="G4942" s="11">
        <f>E4942-F4942</f>
        <v/>
      </c>
      <c r="H4942" s="11" t="n">
        <v>0</v>
      </c>
      <c r="I4942" s="11" t="n">
        <v>0</v>
      </c>
      <c r="J4942" s="11" t="n">
        <v>0</v>
      </c>
      <c r="K4942" s="4" t="inlineStr">
        <is>
          <t>Stundensätze eingeben</t>
        </is>
      </c>
    </row>
    <row r="4943">
      <c r="A4943" s="4" t="inlineStr">
        <is>
          <t>7434 AHO-Los3-Jagdschloss-Kranichsteiner-Straße-261-Darmstadt-Schloss</t>
        </is>
      </c>
      <c r="B4943" s="4" t="inlineStr">
        <is>
          <t>● (p) LPH 9 BL Erstellen BSO</t>
        </is>
      </c>
      <c r="C4943" s="4" t="inlineStr">
        <is>
          <t>Pauschale</t>
        </is>
      </c>
      <c r="D4943" s="10" t="inlineStr">
        <is>
          <t>⚠ Manual erforderlich</t>
        </is>
      </c>
      <c r="E4943" s="11" t="inlineStr"/>
      <c r="F4943" s="11" t="n">
        <v>0</v>
      </c>
      <c r="G4943" s="11">
        <f>E4943-F4943</f>
        <v/>
      </c>
      <c r="H4943" s="11" t="n">
        <v>0</v>
      </c>
      <c r="I4943" s="11" t="n">
        <v>0</v>
      </c>
      <c r="J4943" s="11" t="n">
        <v>0</v>
      </c>
      <c r="K4943" s="4" t="inlineStr">
        <is>
          <t>Stundensätze eingeben</t>
        </is>
      </c>
    </row>
    <row r="4944">
      <c r="A4944" s="4" t="inlineStr">
        <is>
          <t>7434 AHO-Los3-Jagdschloss-Kranichsteiner-Straße-261-Darmstadt-Schloss</t>
        </is>
      </c>
      <c r="B4944" s="4" t="inlineStr">
        <is>
          <t>● (p) LPH 9 BL Erstellen FRP</t>
        </is>
      </c>
      <c r="C4944" s="4" t="inlineStr">
        <is>
          <t>Pauschale</t>
        </is>
      </c>
      <c r="D4944" s="10" t="inlineStr">
        <is>
          <t>⚠ Manual erforderlich</t>
        </is>
      </c>
      <c r="E4944" s="11" t="inlineStr"/>
      <c r="F4944" s="11" t="n">
        <v>0</v>
      </c>
      <c r="G4944" s="11">
        <f>E4944-F4944</f>
        <v/>
      </c>
      <c r="H4944" s="11" t="n">
        <v>0</v>
      </c>
      <c r="I4944" s="11" t="n">
        <v>0</v>
      </c>
      <c r="J4944" s="11" t="n">
        <v>0</v>
      </c>
      <c r="K4944" s="4" t="inlineStr">
        <is>
          <t>Stundensätze eingeben</t>
        </is>
      </c>
    </row>
    <row r="4945">
      <c r="A4945" s="4" t="inlineStr">
        <is>
          <t>7434.01 AHO-Los3-Jagdschloss-Kranichsteiner-Straße-261-Darmstadt-NB-Depot</t>
        </is>
      </c>
      <c r="B4945" s="4" t="inlineStr">
        <is>
          <t>● (p) LPH1 Grundlagenermittlung GL</t>
        </is>
      </c>
      <c r="C4945" s="4" t="inlineStr">
        <is>
          <t>Pauschale</t>
        </is>
      </c>
      <c r="D4945" s="10" t="inlineStr">
        <is>
          <t>⚠ Manual erforderlich</t>
        </is>
      </c>
      <c r="E4945" s="11" t="inlineStr"/>
      <c r="F4945" s="11" t="n">
        <v>0</v>
      </c>
      <c r="G4945" s="11">
        <f>E4945-F4945</f>
        <v/>
      </c>
      <c r="H4945" s="11" t="n">
        <v>0</v>
      </c>
      <c r="I4945" s="11" t="n">
        <v>0</v>
      </c>
      <c r="J4945" s="11" t="n">
        <v>0</v>
      </c>
      <c r="K4945" s="4" t="inlineStr">
        <is>
          <t>Stundensätze eingeben</t>
        </is>
      </c>
    </row>
    <row r="4946">
      <c r="A4946" s="4" t="inlineStr">
        <is>
          <t>7434.01 AHO-Los3-Jagdschloss-Kranichsteiner-Straße-261-Darmstadt-NB-Depot</t>
        </is>
      </c>
      <c r="B4946" s="4" t="inlineStr">
        <is>
          <t>● (p) LPH 2 Vorplanung GL</t>
        </is>
      </c>
      <c r="C4946" s="4" t="inlineStr">
        <is>
          <t>Pauschale</t>
        </is>
      </c>
      <c r="D4946" s="10" t="inlineStr">
        <is>
          <t>⚠ Manual erforderlich</t>
        </is>
      </c>
      <c r="E4946" s="11" t="inlineStr"/>
      <c r="F4946" s="11" t="n">
        <v>0</v>
      </c>
      <c r="G4946" s="11">
        <f>E4946-F4946</f>
        <v/>
      </c>
      <c r="H4946" s="11" t="n">
        <v>0</v>
      </c>
      <c r="I4946" s="11" t="n">
        <v>0</v>
      </c>
      <c r="J4946" s="11" t="n">
        <v>0</v>
      </c>
      <c r="K4946" s="4" t="inlineStr">
        <is>
          <t>Stundensätze eingeben</t>
        </is>
      </c>
    </row>
    <row r="4947">
      <c r="A4947" s="4" t="inlineStr">
        <is>
          <t>7434.01 AHO-Los3-Jagdschloss-Kranichsteiner-Straße-261-Darmstadt-NB-Depot</t>
        </is>
      </c>
      <c r="B4947" s="4" t="inlineStr">
        <is>
          <t>● (p) LPH 3 Entwurfsplanung GL</t>
        </is>
      </c>
      <c r="C4947" s="4" t="inlineStr">
        <is>
          <t>Pauschale</t>
        </is>
      </c>
      <c r="D4947" s="10" t="inlineStr">
        <is>
          <t>⚠ Manual erforderlich</t>
        </is>
      </c>
      <c r="E4947" s="11" t="inlineStr"/>
      <c r="F4947" s="11" t="n">
        <v>0</v>
      </c>
      <c r="G4947" s="11">
        <f>E4947-F4947</f>
        <v/>
      </c>
      <c r="H4947" s="11" t="n">
        <v>0</v>
      </c>
      <c r="I4947" s="11" t="n">
        <v>0</v>
      </c>
      <c r="J4947" s="11" t="n">
        <v>0</v>
      </c>
      <c r="K4947" s="4" t="inlineStr">
        <is>
          <t>Stundensätze eingeben</t>
        </is>
      </c>
    </row>
    <row r="4948">
      <c r="A4948" s="4" t="inlineStr">
        <is>
          <t>7434.01 AHO-Los3-Jagdschloss-Kranichsteiner-Straße-261-Darmstadt-NB-Depot</t>
        </is>
      </c>
      <c r="B4948" s="4" t="inlineStr">
        <is>
          <t>● (p) LPH  4 Genehmigungsplanung GL</t>
        </is>
      </c>
      <c r="C4948" s="4" t="inlineStr">
        <is>
          <t>Pauschale</t>
        </is>
      </c>
      <c r="D4948" s="10" t="inlineStr">
        <is>
          <t>⚠ Manual erforderlich</t>
        </is>
      </c>
      <c r="E4948" s="11" t="inlineStr"/>
      <c r="F4948" s="11" t="n">
        <v>0</v>
      </c>
      <c r="G4948" s="11">
        <f>E4948-F4948</f>
        <v/>
      </c>
      <c r="H4948" s="11" t="n">
        <v>0</v>
      </c>
      <c r="I4948" s="11" t="n">
        <v>0</v>
      </c>
      <c r="J4948" s="11" t="n">
        <v>0</v>
      </c>
      <c r="K4948" s="4" t="inlineStr">
        <is>
          <t>Stundensätze eingeben</t>
        </is>
      </c>
    </row>
    <row r="4949">
      <c r="A4949" s="4" t="inlineStr">
        <is>
          <t>7434.01 AHO-Los3-Jagdschloss-Kranichsteiner-Straße-261-Darmstadt-NB-Depot</t>
        </is>
      </c>
      <c r="B4949" s="4" t="inlineStr">
        <is>
          <t>● (p) LPH 5 Ausführungsplanung GL</t>
        </is>
      </c>
      <c r="C4949" s="4" t="inlineStr">
        <is>
          <t>Pauschale</t>
        </is>
      </c>
      <c r="D4949" s="10" t="inlineStr">
        <is>
          <t>⚠ Manual erforderlich</t>
        </is>
      </c>
      <c r="E4949" s="11" t="inlineStr"/>
      <c r="F4949" s="11" t="n">
        <v>0</v>
      </c>
      <c r="G4949" s="11">
        <f>E4949-F4949</f>
        <v/>
      </c>
      <c r="H4949" s="11" t="n">
        <v>0</v>
      </c>
      <c r="I4949" s="11" t="n">
        <v>0</v>
      </c>
      <c r="J4949" s="11" t="n">
        <v>0</v>
      </c>
      <c r="K4949" s="4" t="inlineStr">
        <is>
          <t>Stundensätze eingeben</t>
        </is>
      </c>
    </row>
    <row r="4950">
      <c r="A4950" s="4" t="inlineStr">
        <is>
          <t>7434.01 AHO-Los3-Jagdschloss-Kranichsteiner-Straße-261-Darmstadt-NB-Depot</t>
        </is>
      </c>
      <c r="B4950" s="4" t="inlineStr">
        <is>
          <t>● (p) LPH 8 Bauüberwachung GL</t>
        </is>
      </c>
      <c r="C4950" s="4" t="inlineStr">
        <is>
          <t>Pauschale</t>
        </is>
      </c>
      <c r="D4950" s="10" t="inlineStr">
        <is>
          <t>⚠ Manual erforderlich</t>
        </is>
      </c>
      <c r="E4950" s="11" t="inlineStr"/>
      <c r="F4950" s="11" t="n">
        <v>0</v>
      </c>
      <c r="G4950" s="11">
        <f>E4950-F4950</f>
        <v/>
      </c>
      <c r="H4950" s="11" t="n">
        <v>0</v>
      </c>
      <c r="I4950" s="11" t="n">
        <v>0</v>
      </c>
      <c r="J4950" s="11" t="n">
        <v>0</v>
      </c>
      <c r="K4950" s="4" t="inlineStr">
        <is>
          <t>Stundensätze eingeben</t>
        </is>
      </c>
    </row>
    <row r="4951">
      <c r="A4951" s="4" t="inlineStr">
        <is>
          <t>7434.01 AHO-Los3-Jagdschloss-Kranichsteiner-Straße-261-Darmstadt-NB-Depot</t>
        </is>
      </c>
      <c r="B4951" s="4" t="inlineStr">
        <is>
          <t>● (p) LPH 1 BL Sichtung Bestandsunterlagen</t>
        </is>
      </c>
      <c r="C4951" s="4" t="inlineStr">
        <is>
          <t>Pauschale</t>
        </is>
      </c>
      <c r="D4951" s="10" t="inlineStr">
        <is>
          <t>⚠ Manual erforderlich</t>
        </is>
      </c>
      <c r="E4951" s="11" t="inlineStr"/>
      <c r="F4951" s="11" t="n">
        <v>0</v>
      </c>
      <c r="G4951" s="11">
        <f>E4951-F4951</f>
        <v/>
      </c>
      <c r="H4951" s="11" t="n">
        <v>0</v>
      </c>
      <c r="I4951" s="11" t="n">
        <v>0</v>
      </c>
      <c r="J4951" s="11" t="n">
        <v>0</v>
      </c>
      <c r="K4951" s="4" t="inlineStr">
        <is>
          <t>Stundensätze eingeben</t>
        </is>
      </c>
    </row>
    <row r="4952">
      <c r="A4952" s="4" t="inlineStr">
        <is>
          <t>7434.01 AHO-Los3-Jagdschloss-Kranichsteiner-Straße-261-Darmstadt-NB-Depot</t>
        </is>
      </c>
      <c r="B4952" s="4" t="inlineStr">
        <is>
          <t>● (p) LPH 1 BL OT - 6 Stck.</t>
        </is>
      </c>
      <c r="C4952" s="4" t="inlineStr">
        <is>
          <t>Pauschale</t>
        </is>
      </c>
      <c r="D4952" s="10" t="inlineStr">
        <is>
          <t>⚠ Manual erforderlich</t>
        </is>
      </c>
      <c r="E4952" s="11" t="inlineStr"/>
      <c r="F4952" s="11" t="n">
        <v>0</v>
      </c>
      <c r="G4952" s="11">
        <f>E4952-F4952</f>
        <v/>
      </c>
      <c r="H4952" s="11" t="n">
        <v>0</v>
      </c>
      <c r="I4952" s="11" t="n">
        <v>0</v>
      </c>
      <c r="J4952" s="11" t="n">
        <v>0</v>
      </c>
      <c r="K4952" s="4" t="inlineStr">
        <is>
          <t>Stundensätze eingeben</t>
        </is>
      </c>
    </row>
    <row r="4953">
      <c r="A4953" s="4" t="inlineStr">
        <is>
          <t>7434.01 AHO-Los3-Jagdschloss-Kranichsteiner-Straße-261-Darmstadt-NB-Depot</t>
        </is>
      </c>
      <c r="B4953" s="4" t="inlineStr">
        <is>
          <t>● (p) LPH   BL Doku+Erst. Verwendungsnachweis</t>
        </is>
      </c>
      <c r="C4953" s="4" t="inlineStr">
        <is>
          <t>Pauschale</t>
        </is>
      </c>
      <c r="D4953" s="10" t="inlineStr">
        <is>
          <t>⚠ Manual erforderlich</t>
        </is>
      </c>
      <c r="E4953" s="11" t="inlineStr"/>
      <c r="F4953" s="11" t="n">
        <v>0</v>
      </c>
      <c r="G4953" s="11">
        <f>E4953-F4953</f>
        <v/>
      </c>
      <c r="H4953" s="11" t="n">
        <v>0</v>
      </c>
      <c r="I4953" s="11" t="n">
        <v>0</v>
      </c>
      <c r="J4953" s="11" t="n">
        <v>0</v>
      </c>
      <c r="K4953" s="4" t="inlineStr">
        <is>
          <t>Stundensätze eingeben</t>
        </is>
      </c>
    </row>
    <row r="4954">
      <c r="A4954" s="4" t="inlineStr">
        <is>
          <t>7434.01 AHO-Los3-Jagdschloss-Kranichsteiner-Straße-261-Darmstadt-NB-Depot</t>
        </is>
      </c>
      <c r="B4954" s="4" t="inlineStr">
        <is>
          <t>● (p) LPH 9 BL Erstellen BSO</t>
        </is>
      </c>
      <c r="C4954" s="4" t="inlineStr">
        <is>
          <t>Pauschale</t>
        </is>
      </c>
      <c r="D4954" s="10" t="inlineStr">
        <is>
          <t>⚠ Manual erforderlich</t>
        </is>
      </c>
      <c r="E4954" s="11" t="inlineStr"/>
      <c r="F4954" s="11" t="n">
        <v>0</v>
      </c>
      <c r="G4954" s="11">
        <f>E4954-F4954</f>
        <v/>
      </c>
      <c r="H4954" s="11" t="n">
        <v>0</v>
      </c>
      <c r="I4954" s="11" t="n">
        <v>0</v>
      </c>
      <c r="J4954" s="11" t="n">
        <v>0</v>
      </c>
      <c r="K4954" s="4" t="inlineStr">
        <is>
          <t>Stundensätze eingeben</t>
        </is>
      </c>
    </row>
    <row r="4955">
      <c r="A4955" s="4" t="inlineStr">
        <is>
          <t>7434.01 AHO-Los3-Jagdschloss-Kranichsteiner-Straße-261-Darmstadt-NB-Depot</t>
        </is>
      </c>
      <c r="B4955" s="4" t="inlineStr">
        <is>
          <t>● (p) LPH 9 BL Erstellen FRP</t>
        </is>
      </c>
      <c r="C4955" s="4" t="inlineStr">
        <is>
          <t>Pauschale</t>
        </is>
      </c>
      <c r="D4955" s="10" t="inlineStr">
        <is>
          <t>⚠ Manual erforderlich</t>
        </is>
      </c>
      <c r="E4955" s="11" t="inlineStr"/>
      <c r="F4955" s="11" t="n">
        <v>0</v>
      </c>
      <c r="G4955" s="11">
        <f>E4955-F4955</f>
        <v/>
      </c>
      <c r="H4955" s="11" t="n">
        <v>0</v>
      </c>
      <c r="I4955" s="11" t="n">
        <v>0</v>
      </c>
      <c r="J4955" s="11" t="n">
        <v>0</v>
      </c>
      <c r="K4955" s="4" t="inlineStr">
        <is>
          <t>Stundensätze eingeben</t>
        </is>
      </c>
    </row>
    <row r="4956">
      <c r="A4956" s="4" t="inlineStr">
        <is>
          <t>7435 wiwi-BSK-WEA-Spiesheim-Wörrstadt-Ost</t>
        </is>
      </c>
      <c r="B4956" s="4" t="inlineStr">
        <is>
          <t>● (p) Pos. 1 Erst. BSK</t>
        </is>
      </c>
      <c r="C4956" s="4" t="inlineStr">
        <is>
          <t>Pauschale</t>
        </is>
      </c>
      <c r="D4956" s="10" t="inlineStr">
        <is>
          <t>⚠ Manual erforderlich</t>
        </is>
      </c>
      <c r="E4956" s="11" t="inlineStr"/>
      <c r="F4956" s="11" t="n">
        <v>0</v>
      </c>
      <c r="G4956" s="11">
        <f>E4956-F4956</f>
        <v/>
      </c>
      <c r="H4956" s="11" t="n">
        <v>0</v>
      </c>
      <c r="I4956" s="11" t="n">
        <v>0</v>
      </c>
      <c r="J4956" s="11" t="n">
        <v>0</v>
      </c>
      <c r="K4956" s="4" t="inlineStr">
        <is>
          <t>Stundensätze eingeben</t>
        </is>
      </c>
    </row>
    <row r="4957">
      <c r="A4957" s="4" t="inlineStr">
        <is>
          <t>7435 wiwi-BSK-WEA-Spiesheim-Wörrstadt-Ost</t>
        </is>
      </c>
      <c r="B4957" s="4" t="inlineStr">
        <is>
          <t>● (aN) Pos. 2 Optional: Anpassung Brandschutzkonzept</t>
        </is>
      </c>
      <c r="C4957" s="4" t="inlineStr">
        <is>
          <t>Nachweis</t>
        </is>
      </c>
      <c r="D4957" s="10" t="inlineStr">
        <is>
          <t>⚠ Manual erforderlich</t>
        </is>
      </c>
      <c r="E4957" s="11" t="inlineStr"/>
      <c r="F4957" s="11" t="n">
        <v>0</v>
      </c>
      <c r="G4957" s="11">
        <f>E4957-F4957</f>
        <v/>
      </c>
      <c r="H4957" s="11" t="n">
        <v/>
      </c>
      <c r="I4957" s="11" t="n">
        <v/>
      </c>
      <c r="J4957" s="11" t="n">
        <v/>
      </c>
      <c r="K4957" s="4" t="inlineStr">
        <is>
          <t>Stundensätze eingeben</t>
        </is>
      </c>
    </row>
    <row r="4958">
      <c r="A4958" s="4" t="inlineStr">
        <is>
          <t>7435 wiwi-BSK-WEA-Spiesheim-Wörrstadt-Ost</t>
        </is>
      </c>
      <c r="B4958" s="4" t="inlineStr">
        <is>
          <t>● (aN) Pos. 3 Optional: Anpassung Brandschutzkonzeptpläne (CAD) 450€</t>
        </is>
      </c>
      <c r="C4958" s="4" t="inlineStr">
        <is>
          <t>Nachweis</t>
        </is>
      </c>
      <c r="D4958" s="10" t="inlineStr">
        <is>
          <t>⚠ Manual erforderlich</t>
        </is>
      </c>
      <c r="E4958" s="11" t="inlineStr"/>
      <c r="F4958" s="11" t="n">
        <v>0</v>
      </c>
      <c r="G4958" s="11">
        <f>E4958-F4958</f>
        <v/>
      </c>
      <c r="H4958" s="11" t="n">
        <v/>
      </c>
      <c r="I4958" s="11" t="n">
        <v/>
      </c>
      <c r="J4958" s="11" t="n">
        <v/>
      </c>
      <c r="K4958" s="4" t="inlineStr">
        <is>
          <t>Stundensätze eingeben</t>
        </is>
      </c>
    </row>
    <row r="4959">
      <c r="A4959" s="4" t="inlineStr">
        <is>
          <t>7436 JC-Samurai-BSK-Neubau-Sportstätte-Gravenbruchweg1-Offenbach</t>
        </is>
      </c>
      <c r="B4959" s="4" t="inlineStr">
        <is>
          <t>● (p) Pos. 1 BSK</t>
        </is>
      </c>
      <c r="C4959" s="4" t="inlineStr">
        <is>
          <t>Pauschale</t>
        </is>
      </c>
      <c r="D4959" s="10" t="inlineStr">
        <is>
          <t>⚠ Manual erforderlich</t>
        </is>
      </c>
      <c r="E4959" s="11" t="inlineStr"/>
      <c r="F4959" s="11" t="n">
        <v>0</v>
      </c>
      <c r="G4959" s="11">
        <f>E4959-F4959</f>
        <v/>
      </c>
      <c r="H4959" s="11" t="n">
        <v>0</v>
      </c>
      <c r="I4959" s="11" t="n">
        <v>0</v>
      </c>
      <c r="J4959" s="11" t="n">
        <v>0</v>
      </c>
      <c r="K4959" s="4" t="inlineStr">
        <is>
          <t>Stundensätze eingeben</t>
        </is>
      </c>
    </row>
    <row r="4960">
      <c r="A4960" s="4" t="inlineStr">
        <is>
          <t>7437 MVV-BSK-UW3-Käfertal-Mannheim</t>
        </is>
      </c>
      <c r="B4960" s="4" t="inlineStr">
        <is>
          <t>● (aN) Pos. 1 BTB + Abstimmungstermine</t>
        </is>
      </c>
      <c r="C4960" s="4" t="inlineStr">
        <is>
          <t>Nachweis</t>
        </is>
      </c>
      <c r="D4960" s="10" t="inlineStr">
        <is>
          <t>⚠ Manual erforderlich</t>
        </is>
      </c>
      <c r="E4960" s="11" t="inlineStr"/>
      <c r="F4960" s="11" t="n">
        <v>0</v>
      </c>
      <c r="G4960" s="11">
        <f>E4960-F4960</f>
        <v/>
      </c>
      <c r="H4960" s="11" t="n">
        <v/>
      </c>
      <c r="I4960" s="11" t="n">
        <v/>
      </c>
      <c r="J4960" s="11" t="n">
        <v/>
      </c>
      <c r="K4960" s="4" t="inlineStr">
        <is>
          <t>Stundensätze eingeben</t>
        </is>
      </c>
    </row>
    <row r="4961">
      <c r="A4961" s="4" t="inlineStr">
        <is>
          <t>7437 MVV-BSK-UW3-Käfertal-Mannheim</t>
        </is>
      </c>
      <c r="B4961" s="4" t="inlineStr">
        <is>
          <t>● (p) Pos. 2 Erstellung Brandschutzkonzept</t>
        </is>
      </c>
      <c r="C4961" s="4" t="inlineStr">
        <is>
          <t>Pauschale</t>
        </is>
      </c>
      <c r="D4961" s="10" t="inlineStr">
        <is>
          <t>⚠ Manual erforderlich</t>
        </is>
      </c>
      <c r="E4961" s="11" t="inlineStr"/>
      <c r="F4961" s="11" t="n">
        <v>0</v>
      </c>
      <c r="G4961" s="11">
        <f>E4961-F4961</f>
        <v/>
      </c>
      <c r="H4961" s="11" t="n">
        <v>0</v>
      </c>
      <c r="I4961" s="11" t="n">
        <v>0</v>
      </c>
      <c r="J4961" s="11" t="n">
        <v>0</v>
      </c>
      <c r="K4961" s="4" t="inlineStr">
        <is>
          <t>Stundensätze eingeben</t>
        </is>
      </c>
    </row>
    <row r="4962">
      <c r="A4962" s="4" t="inlineStr">
        <is>
          <t>7438 INEOS-PLA-GebF414+F407-G720-BASF-Ammoniakstr-LUD</t>
        </is>
      </c>
      <c r="B4962" s="4" t="inlineStr">
        <is>
          <t>● (p) Pos. 1 Maßnahmen Geb. F414</t>
        </is>
      </c>
      <c r="C4962" s="4" t="inlineStr">
        <is>
          <t>Pauschale</t>
        </is>
      </c>
      <c r="D4962" s="10" t="inlineStr">
        <is>
          <t>⚠ Manual erforderlich</t>
        </is>
      </c>
      <c r="E4962" s="11" t="inlineStr"/>
      <c r="F4962" s="11" t="n">
        <v>0</v>
      </c>
      <c r="G4962" s="11">
        <f>E4962-F4962</f>
        <v/>
      </c>
      <c r="H4962" s="11" t="n">
        <v>0</v>
      </c>
      <c r="I4962" s="11" t="n">
        <v>0</v>
      </c>
      <c r="J4962" s="11" t="n">
        <v>0</v>
      </c>
      <c r="K4962" s="4" t="inlineStr">
        <is>
          <t>Stundensätze eingeben</t>
        </is>
      </c>
    </row>
    <row r="4963">
      <c r="A4963" s="4" t="inlineStr">
        <is>
          <t>7438 INEOS-PLA-GebF414+F407-G720-BASF-Ammoniakstr-LUD</t>
        </is>
      </c>
      <c r="B4963" s="4" t="inlineStr">
        <is>
          <t>● (p) Pos. 2 Maßnahmen Geb. F407</t>
        </is>
      </c>
      <c r="C4963" s="4" t="inlineStr">
        <is>
          <t>Pauschale</t>
        </is>
      </c>
      <c r="D4963" s="10" t="inlineStr">
        <is>
          <t>⚠ Manual erforderlich</t>
        </is>
      </c>
      <c r="E4963" s="11" t="inlineStr"/>
      <c r="F4963" s="11" t="n">
        <v>0</v>
      </c>
      <c r="G4963" s="11">
        <f>E4963-F4963</f>
        <v/>
      </c>
      <c r="H4963" s="11" t="n">
        <v>0</v>
      </c>
      <c r="I4963" s="11" t="n">
        <v>0</v>
      </c>
      <c r="J4963" s="11" t="n">
        <v>0</v>
      </c>
      <c r="K4963" s="4" t="inlineStr">
        <is>
          <t>Stundensätze eingeben</t>
        </is>
      </c>
    </row>
    <row r="4964">
      <c r="A4964" s="4" t="inlineStr">
        <is>
          <t>7438 INEOS-PLA-GebF414+F407-G720-BASF-Ammoniakstr-LUD</t>
        </is>
      </c>
      <c r="B4964" s="4" t="inlineStr">
        <is>
          <t>● (p) Pos. 5 Auftragsbearbeitung</t>
        </is>
      </c>
      <c r="C4964" s="4" t="inlineStr">
        <is>
          <t>Pauschale</t>
        </is>
      </c>
      <c r="D4964" s="10" t="inlineStr">
        <is>
          <t>⚠ Manual erforderlich</t>
        </is>
      </c>
      <c r="E4964" s="11" t="inlineStr"/>
      <c r="F4964" s="11" t="n">
        <v>0</v>
      </c>
      <c r="G4964" s="11">
        <f>E4964-F4964</f>
        <v/>
      </c>
      <c r="H4964" s="11" t="n">
        <v>0</v>
      </c>
      <c r="I4964" s="11" t="n">
        <v>0</v>
      </c>
      <c r="J4964" s="11" t="n">
        <v>0</v>
      </c>
      <c r="K4964" s="4" t="inlineStr">
        <is>
          <t>Stundensätze eingeben</t>
        </is>
      </c>
    </row>
    <row r="4965">
      <c r="A4965" s="4" t="inlineStr">
        <is>
          <t>7438.01 INEOS-PLA-GebF407-BASF-Ammoniakstr-LUD</t>
        </is>
      </c>
      <c r="B4965" s="4" t="inlineStr">
        <is>
          <t>● ANG-PLA-001-2025-09-12-INEOS-Geb.F40</t>
        </is>
      </c>
      <c r="C4965" s="9" t="inlineStr">
        <is>
          <t>Unbekannt</t>
        </is>
      </c>
      <c r="D4965" s="10" t="inlineStr">
        <is>
          <t>⚠ Manual erforderlich</t>
        </is>
      </c>
      <c r="E4965" s="11" t="inlineStr"/>
      <c r="F4965" s="11" t="n">
        <v>0</v>
      </c>
      <c r="G4965" s="11">
        <f>E4965-F4965</f>
        <v/>
      </c>
      <c r="H4965" s="11" t="n">
        <v/>
      </c>
      <c r="I4965" s="11" t="n">
        <v/>
      </c>
      <c r="J4965" s="11" t="n">
        <v/>
      </c>
      <c r="K4965" s="4" t="inlineStr">
        <is>
          <t>Abrechnungsart wählen; Stundensätze eingeben</t>
        </is>
      </c>
    </row>
    <row r="4966">
      <c r="A4966" s="4" t="inlineStr">
        <is>
          <t>7439 BTB-Industriestraße-10-Haldensleben-Anlageninbetriebnahme</t>
        </is>
      </c>
      <c r="B4966" s="4" t="inlineStr">
        <is>
          <t>● (p) Pos.1 Begleitung der ZÜS-Abnahme einer LPG-Anlage</t>
        </is>
      </c>
      <c r="C4966" s="4" t="inlineStr">
        <is>
          <t>Pauschale</t>
        </is>
      </c>
      <c r="D4966" s="10" t="inlineStr">
        <is>
          <t>⚠ Manual erforderlich</t>
        </is>
      </c>
      <c r="E4966" s="11" t="inlineStr"/>
      <c r="F4966" s="11" t="n">
        <v>0</v>
      </c>
      <c r="G4966" s="11">
        <f>E4966-F4966</f>
        <v/>
      </c>
      <c r="H4966" s="11" t="n">
        <v>0</v>
      </c>
      <c r="I4966" s="11" t="n">
        <v>0</v>
      </c>
      <c r="J4966" s="11" t="n">
        <v>0</v>
      </c>
      <c r="K4966" s="4" t="inlineStr">
        <is>
          <t>Stundensätze eingeben</t>
        </is>
      </c>
    </row>
    <row r="4967">
      <c r="A4967" s="4" t="inlineStr">
        <is>
          <t>7439 BTB-Industriestraße-10-Haldensleben-Anlageninbetriebnahme</t>
        </is>
      </c>
      <c r="B4967" s="4" t="inlineStr">
        <is>
          <t>● (p) Pos.2 Begleitung der Abnahme</t>
        </is>
      </c>
      <c r="C4967" s="4" t="inlineStr">
        <is>
          <t>Pauschale</t>
        </is>
      </c>
      <c r="D4967" s="10" t="inlineStr">
        <is>
          <t>⚠ Manual erforderlich</t>
        </is>
      </c>
      <c r="E4967" s="11" t="inlineStr"/>
      <c r="F4967" s="11" t="n">
        <v>0</v>
      </c>
      <c r="G4967" s="11">
        <f>E4967-F4967</f>
        <v/>
      </c>
      <c r="H4967" s="11" t="n">
        <v>0</v>
      </c>
      <c r="I4967" s="11" t="n">
        <v>0</v>
      </c>
      <c r="J4967" s="11" t="n">
        <v>0</v>
      </c>
      <c r="K4967" s="4" t="inlineStr">
        <is>
          <t>Stundensätze eingeben</t>
        </is>
      </c>
    </row>
    <row r="4968">
      <c r="A4968" s="4" t="inlineStr">
        <is>
          <t>7439.01 Geberit-FRP-Industriestraße-10-Haldensleben-Werksgelände</t>
        </is>
      </c>
      <c r="B4968" s="4" t="inlineStr">
        <is>
          <t>● (p) Pos.2 FRP</t>
        </is>
      </c>
      <c r="C4968" s="4" t="inlineStr">
        <is>
          <t>Pauschale</t>
        </is>
      </c>
      <c r="D4968" s="10" t="inlineStr">
        <is>
          <t>⚠ Manual erforderlich</t>
        </is>
      </c>
      <c r="E4968" s="11" t="inlineStr"/>
      <c r="F4968" s="11" t="n">
        <v>0</v>
      </c>
      <c r="G4968" s="11">
        <f>E4968-F4968</f>
        <v/>
      </c>
      <c r="H4968" s="11" t="n">
        <v>0</v>
      </c>
      <c r="I4968" s="11" t="n">
        <v>0</v>
      </c>
      <c r="J4968" s="11" t="n">
        <v>0</v>
      </c>
      <c r="K4968" s="4" t="inlineStr">
        <is>
          <t>Stundensätze eingeben</t>
        </is>
      </c>
    </row>
    <row r="4969">
      <c r="A4969" s="4" t="inlineStr">
        <is>
          <t>7439.01 Geberit-FRP-Industriestraße-10-Haldensleben-Werksgelände</t>
        </is>
      </c>
      <c r="B4969" s="4" t="inlineStr">
        <is>
          <t>● (aN) Pos.1 Ortsbegehung mit Bestandsaufnahme</t>
        </is>
      </c>
      <c r="C4969" s="4" t="inlineStr">
        <is>
          <t>Nachweis</t>
        </is>
      </c>
      <c r="D4969" s="10" t="inlineStr">
        <is>
          <t>⚠ Manual erforderlich</t>
        </is>
      </c>
      <c r="E4969" s="11" t="inlineStr"/>
      <c r="F4969" s="11" t="n">
        <v>0</v>
      </c>
      <c r="G4969" s="11">
        <f>E4969-F4969</f>
        <v/>
      </c>
      <c r="H4969" s="11" t="n">
        <v/>
      </c>
      <c r="I4969" s="11" t="n">
        <v/>
      </c>
      <c r="J4969" s="11" t="n">
        <v/>
      </c>
      <c r="K4969" s="4" t="inlineStr">
        <is>
          <t>Stundensätze eingeben</t>
        </is>
      </c>
    </row>
    <row r="4970">
      <c r="A4970" s="4" t="inlineStr">
        <is>
          <t>7439.01 Geberit-FRP-Industriestraße-10-Haldensleben-Werksgelände</t>
        </is>
      </c>
      <c r="B4970" s="4" t="inlineStr">
        <is>
          <t>● p) Pos.3 FWP</t>
        </is>
      </c>
      <c r="C4970" s="9" t="inlineStr">
        <is>
          <t>Unbekannt</t>
        </is>
      </c>
      <c r="D4970" s="10" t="inlineStr">
        <is>
          <t>⚠ Manual erforderlich</t>
        </is>
      </c>
      <c r="E4970" s="11" t="inlineStr"/>
      <c r="F4970" s="11" t="n">
        <v>0</v>
      </c>
      <c r="G4970" s="11">
        <f>E4970-F4970</f>
        <v/>
      </c>
      <c r="H4970" s="11" t="n">
        <v/>
      </c>
      <c r="I4970" s="11" t="n">
        <v/>
      </c>
      <c r="J4970" s="11" t="n">
        <v/>
      </c>
      <c r="K4970" s="4" t="inlineStr">
        <is>
          <t>Abrechnungsart wählen; Stundensätze eingeben</t>
        </is>
      </c>
    </row>
    <row r="4971">
      <c r="A4971" s="4" t="inlineStr">
        <is>
          <t>7439.01 Geberit-FRP-Industriestraße-10-Haldensleben-Werksgelände</t>
        </is>
      </c>
      <c r="B4971" s="4" t="inlineStr">
        <is>
          <t>● (p) Pos.4 Erstellung + Aktualisierung v. Brandschutzdokumenten</t>
        </is>
      </c>
      <c r="C4971" s="4" t="inlineStr">
        <is>
          <t>Pauschale</t>
        </is>
      </c>
      <c r="D4971" s="10" t="inlineStr">
        <is>
          <t>⚠ Manual erforderlich</t>
        </is>
      </c>
      <c r="E4971" s="11" t="inlineStr"/>
      <c r="F4971" s="11" t="n">
        <v>0</v>
      </c>
      <c r="G4971" s="11">
        <f>E4971-F4971</f>
        <v/>
      </c>
      <c r="H4971" s="11" t="n">
        <v/>
      </c>
      <c r="I4971" s="11" t="n">
        <v/>
      </c>
      <c r="J4971" s="11" t="n">
        <v/>
      </c>
      <c r="K4971" s="4" t="inlineStr">
        <is>
          <t>Stundensätze eingeben</t>
        </is>
      </c>
    </row>
    <row r="4972">
      <c r="A4972" s="4" t="inlineStr">
        <is>
          <t>7439.02 Geberit-BSN-Industriestraße-10-Haldensleben</t>
        </is>
      </c>
      <c r="B4972" s="4" t="inlineStr">
        <is>
          <t>● (aN) Pos.1 Grundlagenermittlung +Machbarkeitsanalyse -Realisierung Lagerfläche im Produktionsumfeld</t>
        </is>
      </c>
      <c r="C4972" s="4" t="inlineStr">
        <is>
          <t>Nachweis</t>
        </is>
      </c>
      <c r="D4972" s="10" t="inlineStr">
        <is>
          <t>⚠ Manual erforderlich</t>
        </is>
      </c>
      <c r="E4972" s="11" t="inlineStr"/>
      <c r="F4972" s="11" t="n">
        <v>0</v>
      </c>
      <c r="G4972" s="11">
        <f>E4972-F4972</f>
        <v/>
      </c>
      <c r="H4972" s="11" t="n">
        <v/>
      </c>
      <c r="I4972" s="11" t="n">
        <v/>
      </c>
      <c r="J4972" s="11" t="n">
        <v/>
      </c>
      <c r="K4972" s="4" t="inlineStr">
        <is>
          <t>Stundensätze eingeben</t>
        </is>
      </c>
    </row>
    <row r="4973">
      <c r="A4973" s="4" t="inlineStr">
        <is>
          <t>7440 BTB-Elisabeth-Schwarzhaupt-Platz-1-Berlin-Steigleitern</t>
        </is>
      </c>
      <c r="B4973" s="4" t="inlineStr">
        <is>
          <t>● (p) Pos.1 BTB Überprüfung des neuen Arbeitsplans für Steigleitern - Tagespauschale</t>
        </is>
      </c>
      <c r="C4973" s="4" t="inlineStr">
        <is>
          <t>Pauschale</t>
        </is>
      </c>
      <c r="D4973" s="10" t="inlineStr">
        <is>
          <t>⚠ Manual erforderlich</t>
        </is>
      </c>
      <c r="E4973" s="11" t="inlineStr"/>
      <c r="F4973" s="11" t="n">
        <v>0</v>
      </c>
      <c r="G4973" s="11">
        <f>E4973-F4973</f>
        <v/>
      </c>
      <c r="H4973" s="11" t="n">
        <v>0</v>
      </c>
      <c r="I4973" s="11" t="n">
        <v>0</v>
      </c>
      <c r="J4973" s="11" t="n">
        <v>0</v>
      </c>
      <c r="K4973" s="4" t="inlineStr">
        <is>
          <t>Stundensätze eingeben</t>
        </is>
      </c>
    </row>
    <row r="4974">
      <c r="A4974" s="4" t="inlineStr">
        <is>
          <t>7441 Baupionier-Garagenpark-Öhringen-BSK</t>
        </is>
      </c>
      <c r="B4974" s="4" t="inlineStr">
        <is>
          <t>● ANG (p) Pos. 2 Erst. BSK</t>
        </is>
      </c>
      <c r="C4974" s="4" t="inlineStr">
        <is>
          <t>Pauschale</t>
        </is>
      </c>
      <c r="D4974" s="10" t="inlineStr">
        <is>
          <t>⚠ Manual erforderlich</t>
        </is>
      </c>
      <c r="E4974" s="11" t="inlineStr"/>
      <c r="F4974" s="11" t="n">
        <v>0</v>
      </c>
      <c r="G4974" s="11">
        <f>E4974-F4974</f>
        <v/>
      </c>
      <c r="H4974" s="11" t="n">
        <v>0</v>
      </c>
      <c r="I4974" s="11" t="n">
        <v>0</v>
      </c>
      <c r="J4974" s="11" t="n">
        <v>0</v>
      </c>
      <c r="K4974" s="4" t="inlineStr">
        <is>
          <t>Stundensätze eingeben</t>
        </is>
      </c>
    </row>
    <row r="4975">
      <c r="A4975" s="4" t="inlineStr">
        <is>
          <t>7441 Baupionier-Garagenpark-Öhringen-BSK</t>
        </is>
      </c>
      <c r="B4975" s="4" t="inlineStr">
        <is>
          <t>● NAT (p) Anpassung BSK</t>
        </is>
      </c>
      <c r="C4975" s="4" t="inlineStr">
        <is>
          <t>Pauschale</t>
        </is>
      </c>
      <c r="D4975" s="10" t="inlineStr">
        <is>
          <t>⚠ Manual erforderlich</t>
        </is>
      </c>
      <c r="E4975" s="11" t="inlineStr"/>
      <c r="F4975" s="11" t="n">
        <v>0</v>
      </c>
      <c r="G4975" s="11">
        <f>E4975-F4975</f>
        <v/>
      </c>
      <c r="H4975" s="11" t="n">
        <v>0</v>
      </c>
      <c r="I4975" s="11" t="n">
        <v>0</v>
      </c>
      <c r="J4975" s="11" t="n">
        <v>0</v>
      </c>
      <c r="K4975" s="4" t="inlineStr">
        <is>
          <t>Stundensätze eingeben</t>
        </is>
      </c>
    </row>
    <row r="4976">
      <c r="A4976" s="4" t="inlineStr">
        <is>
          <t>7442 Aldi-Süd-PLA-Logistikzentrum-Holzäckerstr1a-Adelsdorf</t>
        </is>
      </c>
      <c r="B4976" s="4" t="inlineStr">
        <is>
          <t>● Stufe 1 (p) LP 1 - Grundlagenermittlung</t>
        </is>
      </c>
      <c r="C4976" s="4" t="inlineStr">
        <is>
          <t>Pauschale</t>
        </is>
      </c>
      <c r="D4976" s="10" t="inlineStr">
        <is>
          <t>⚠ Manual erforderlich</t>
        </is>
      </c>
      <c r="E4976" s="11" t="inlineStr"/>
      <c r="F4976" s="11" t="n">
        <v>0</v>
      </c>
      <c r="G4976" s="11">
        <f>E4976-F4976</f>
        <v/>
      </c>
      <c r="H4976" s="11" t="n">
        <v>0</v>
      </c>
      <c r="I4976" s="11" t="n">
        <v>0</v>
      </c>
      <c r="J4976" s="11" t="n">
        <v>0</v>
      </c>
      <c r="K4976" s="4" t="inlineStr">
        <is>
          <t>Stundensätze eingeben</t>
        </is>
      </c>
    </row>
    <row r="4977">
      <c r="A4977" s="4" t="inlineStr">
        <is>
          <t>7442 Aldi-Süd-PLA-Logistikzentrum-Holzäckerstr1a-Adelsdorf</t>
        </is>
      </c>
      <c r="B4977" s="4" t="inlineStr">
        <is>
          <t>● Stufe 1 (p) LP 2 - Vorplanung</t>
        </is>
      </c>
      <c r="C4977" s="4" t="inlineStr">
        <is>
          <t>Pauschale</t>
        </is>
      </c>
      <c r="D4977" s="10" t="inlineStr">
        <is>
          <t>⚠ Manual erforderlich</t>
        </is>
      </c>
      <c r="E4977" s="11" t="inlineStr"/>
      <c r="F4977" s="11" t="n">
        <v>0</v>
      </c>
      <c r="G4977" s="11">
        <f>E4977-F4977</f>
        <v/>
      </c>
      <c r="H4977" s="11" t="n">
        <v>0</v>
      </c>
      <c r="I4977" s="11" t="n">
        <v>0</v>
      </c>
      <c r="J4977" s="11" t="n">
        <v>0</v>
      </c>
      <c r="K4977" s="4" t="inlineStr">
        <is>
          <t>Stundensätze eingeben</t>
        </is>
      </c>
    </row>
    <row r="4978">
      <c r="A4978" s="4" t="inlineStr">
        <is>
          <t>7442 Aldi-Süd-PLA-Logistikzentrum-Holzäckerstr1a-Adelsdorf</t>
        </is>
      </c>
      <c r="B4978" s="4" t="inlineStr">
        <is>
          <t>● Stufe 2 (p) LP 3 - Entwurfsplanung</t>
        </is>
      </c>
      <c r="C4978" s="4" t="inlineStr">
        <is>
          <t>Pauschale</t>
        </is>
      </c>
      <c r="D4978" s="10" t="inlineStr">
        <is>
          <t>⚠ Manual erforderlich</t>
        </is>
      </c>
      <c r="E4978" s="11" t="inlineStr"/>
      <c r="F4978" s="11" t="n">
        <v>0</v>
      </c>
      <c r="G4978" s="11">
        <f>E4978-F4978</f>
        <v/>
      </c>
      <c r="H4978" s="11" t="n">
        <v>0</v>
      </c>
      <c r="I4978" s="11" t="n">
        <v>0</v>
      </c>
      <c r="J4978" s="11" t="n">
        <v>0</v>
      </c>
      <c r="K4978" s="4" t="inlineStr">
        <is>
          <t>Stundensätze eingeben</t>
        </is>
      </c>
    </row>
    <row r="4979">
      <c r="A4979" s="4" t="inlineStr">
        <is>
          <t>7442 Aldi-Süd-PLA-Logistikzentrum-Holzäckerstr1a-Adelsdorf</t>
        </is>
      </c>
      <c r="B4979" s="4" t="inlineStr">
        <is>
          <t>● Stufe 3 (p) LP 5 - Ausführungsplanung</t>
        </is>
      </c>
      <c r="C4979" s="4" t="inlineStr">
        <is>
          <t>Pauschale</t>
        </is>
      </c>
      <c r="D4979" s="10" t="inlineStr">
        <is>
          <t>⚠ Manual erforderlich</t>
        </is>
      </c>
      <c r="E4979" s="11" t="inlineStr"/>
      <c r="F4979" s="11" t="n">
        <v>0</v>
      </c>
      <c r="G4979" s="11">
        <f>E4979-F4979</f>
        <v/>
      </c>
      <c r="H4979" s="11" t="n">
        <v>0</v>
      </c>
      <c r="I4979" s="11" t="n">
        <v>0</v>
      </c>
      <c r="J4979" s="11" t="n">
        <v>0</v>
      </c>
      <c r="K4979" s="4" t="inlineStr">
        <is>
          <t>Stundensätze eingeben</t>
        </is>
      </c>
    </row>
    <row r="4980">
      <c r="A4980" s="4" t="inlineStr">
        <is>
          <t>7442 Aldi-Süd-PLA-Logistikzentrum-Holzäckerstr1a-Adelsdorf</t>
        </is>
      </c>
      <c r="B4980" s="4" t="inlineStr">
        <is>
          <t>● Stufe 3 (p) LP 6 - Vorbereitung der Vergabe</t>
        </is>
      </c>
      <c r="C4980" s="4" t="inlineStr">
        <is>
          <t>Pauschale</t>
        </is>
      </c>
      <c r="D4980" s="10" t="inlineStr">
        <is>
          <t>⚠ Manual erforderlich</t>
        </is>
      </c>
      <c r="E4980" s="11" t="inlineStr"/>
      <c r="F4980" s="11" t="n">
        <v>0</v>
      </c>
      <c r="G4980" s="11">
        <f>E4980-F4980</f>
        <v/>
      </c>
      <c r="H4980" s="11" t="n">
        <v>0</v>
      </c>
      <c r="I4980" s="11" t="n">
        <v>0</v>
      </c>
      <c r="J4980" s="11" t="n">
        <v>0</v>
      </c>
      <c r="K4980" s="4" t="inlineStr">
        <is>
          <t>Stundensätze eingeben</t>
        </is>
      </c>
    </row>
    <row r="4981">
      <c r="A4981" s="4" t="inlineStr">
        <is>
          <t>7442 Aldi-Süd-PLA-Logistikzentrum-Holzäckerstr1a-Adelsdorf</t>
        </is>
      </c>
      <c r="B4981" s="4" t="inlineStr">
        <is>
          <t>● Stufe 3 (p) LP 7 - Mitwirkung bei der Vergabe</t>
        </is>
      </c>
      <c r="C4981" s="4" t="inlineStr">
        <is>
          <t>Pauschale</t>
        </is>
      </c>
      <c r="D4981" s="10" t="inlineStr">
        <is>
          <t>⚠ Manual erforderlich</t>
        </is>
      </c>
      <c r="E4981" s="11" t="inlineStr"/>
      <c r="F4981" s="11" t="n">
        <v>0</v>
      </c>
      <c r="G4981" s="11">
        <f>E4981-F4981</f>
        <v/>
      </c>
      <c r="H4981" s="11" t="n">
        <v>0</v>
      </c>
      <c r="I4981" s="11" t="n">
        <v>0</v>
      </c>
      <c r="J4981" s="11" t="n">
        <v>0</v>
      </c>
      <c r="K4981" s="4" t="inlineStr">
        <is>
          <t>Stundensätze eingeben</t>
        </is>
      </c>
    </row>
    <row r="4982">
      <c r="A4982" s="4" t="inlineStr">
        <is>
          <t>7442 Aldi-Süd-PLA-Logistikzentrum-Holzäckerstr1a-Adelsdorf</t>
        </is>
      </c>
      <c r="B4982" s="4" t="inlineStr">
        <is>
          <t>● (Stufe 4 (p) LP 8 - Objektüberwachung – Bauüberwachung</t>
        </is>
      </c>
      <c r="C4982" s="4" t="inlineStr">
        <is>
          <t>Pauschale</t>
        </is>
      </c>
      <c r="D4982" s="10" t="inlineStr">
        <is>
          <t>⚠ Manual erforderlich</t>
        </is>
      </c>
      <c r="E4982" s="11" t="inlineStr"/>
      <c r="F4982" s="11" t="n">
        <v>0</v>
      </c>
      <c r="G4982" s="11">
        <f>E4982-F4982</f>
        <v/>
      </c>
      <c r="H4982" s="11" t="n">
        <v/>
      </c>
      <c r="I4982" s="11" t="n">
        <v/>
      </c>
      <c r="J4982" s="11" t="n">
        <v/>
      </c>
      <c r="K4982" s="4" t="inlineStr">
        <is>
          <t>Stundensätze eingeben</t>
        </is>
      </c>
    </row>
    <row r="4983">
      <c r="A4983" s="4" t="inlineStr">
        <is>
          <t>7442 Aldi-Süd-PLA-Logistikzentrum-Holzäckerstr1a-Adelsdorf</t>
        </is>
      </c>
      <c r="B4983" s="4" t="inlineStr">
        <is>
          <t>● (a.N.) Optionale Leistung auf Nachweis</t>
        </is>
      </c>
      <c r="C4983" s="4" t="inlineStr">
        <is>
          <t>Nachweis</t>
        </is>
      </c>
      <c r="D4983" s="10" t="inlineStr">
        <is>
          <t>⚠ Manual erforderlich</t>
        </is>
      </c>
      <c r="E4983" s="11" t="inlineStr"/>
      <c r="F4983" s="11" t="n">
        <v>0</v>
      </c>
      <c r="G4983" s="11">
        <f>E4983-F4983</f>
        <v/>
      </c>
      <c r="H4983" s="11" t="n">
        <v/>
      </c>
      <c r="I4983" s="11" t="n">
        <v/>
      </c>
      <c r="J4983" s="11" t="n">
        <v/>
      </c>
      <c r="K4983" s="4" t="inlineStr">
        <is>
          <t>Stundensätze eingeben</t>
        </is>
      </c>
    </row>
    <row r="4984">
      <c r="A4984" s="4" t="inlineStr">
        <is>
          <t>7443 AVG-PHP-Nachprüfung-Funkenlöschanlage-Siemensstr81-Goch</t>
        </is>
      </c>
      <c r="B4984" s="4" t="inlineStr">
        <is>
          <t>● (aN) Nachprüfung nach Mängelbeseitigung an einer Funkenlöschanlage</t>
        </is>
      </c>
      <c r="C4984" s="4" t="inlineStr">
        <is>
          <t>Nachweis</t>
        </is>
      </c>
      <c r="D4984" s="10" t="inlineStr">
        <is>
          <t>⚠ Manual erforderlich</t>
        </is>
      </c>
      <c r="E4984" s="11" t="inlineStr"/>
      <c r="F4984" s="11" t="n">
        <v>0</v>
      </c>
      <c r="G4984" s="11">
        <f>E4984-F4984</f>
        <v/>
      </c>
      <c r="H4984" s="11" t="n">
        <v/>
      </c>
      <c r="I4984" s="11" t="n">
        <v/>
      </c>
      <c r="J4984" s="11" t="n">
        <v/>
      </c>
      <c r="K4984" s="4" t="inlineStr">
        <is>
          <t>Stundensätze eingeben</t>
        </is>
      </c>
    </row>
    <row r="4985">
      <c r="A4985" s="4" t="inlineStr">
        <is>
          <t>7444 Energieprojekte-DK-BSK-WEA-Schußbachwald</t>
        </is>
      </c>
      <c r="B4985" s="4" t="inlineStr">
        <is>
          <t>● (p) Pos. 1 Erstellung BSK</t>
        </is>
      </c>
      <c r="C4985" s="4" t="inlineStr">
        <is>
          <t>Pauschale</t>
        </is>
      </c>
      <c r="D4985" s="10" t="inlineStr">
        <is>
          <t>⚠ Manual erforderlich</t>
        </is>
      </c>
      <c r="E4985" s="11" t="inlineStr"/>
      <c r="F4985" s="11" t="n">
        <v>0</v>
      </c>
      <c r="G4985" s="11">
        <f>E4985-F4985</f>
        <v/>
      </c>
      <c r="H4985" s="11" t="n">
        <v>0</v>
      </c>
      <c r="I4985" s="11" t="n">
        <v>0</v>
      </c>
      <c r="J4985" s="11" t="n">
        <v>0</v>
      </c>
      <c r="K4985" s="4" t="inlineStr">
        <is>
          <t>Stundensätze eingeben</t>
        </is>
      </c>
    </row>
    <row r="4986">
      <c r="A4986" s="4" t="inlineStr">
        <is>
          <t>7445 Energieprojekte-DK-BSK-WEA-Thüngersheim</t>
        </is>
      </c>
      <c r="B4986" s="4" t="inlineStr">
        <is>
          <t>● (p) Pos. 1 Erstellung BSK</t>
        </is>
      </c>
      <c r="C4986" s="4" t="inlineStr">
        <is>
          <t>Pauschale</t>
        </is>
      </c>
      <c r="D4986" s="10" t="inlineStr">
        <is>
          <t>⚠ Manual erforderlich</t>
        </is>
      </c>
      <c r="E4986" s="11" t="inlineStr"/>
      <c r="F4986" s="11" t="n">
        <v>0</v>
      </c>
      <c r="G4986" s="11">
        <f>E4986-F4986</f>
        <v/>
      </c>
      <c r="H4986" s="11" t="n">
        <v>0</v>
      </c>
      <c r="I4986" s="11" t="n">
        <v>0</v>
      </c>
      <c r="J4986" s="11" t="n">
        <v>0</v>
      </c>
      <c r="K4986" s="4" t="inlineStr">
        <is>
          <t>Stundensätze eingeben</t>
        </is>
      </c>
    </row>
    <row r="4987">
      <c r="A4987" s="4" t="inlineStr">
        <is>
          <t>7446 Hamm-Architektur-BSK-BTB-Dom-zu-Worms-Lutherring9-Worms</t>
        </is>
      </c>
      <c r="B4987" s="4" t="inlineStr">
        <is>
          <t>● (aN) Pos. 1 Grundlagenermittlung und Objektbegehung (Ortsbesichtigung inkludiert/SV)</t>
        </is>
      </c>
      <c r="C4987" s="4" t="inlineStr">
        <is>
          <t>Nachweis</t>
        </is>
      </c>
      <c r="D4987" s="10" t="inlineStr">
        <is>
          <t>⚠ Manual erforderlich</t>
        </is>
      </c>
      <c r="E4987" s="11" t="inlineStr"/>
      <c r="F4987" s="11" t="n">
        <v>0</v>
      </c>
      <c r="G4987" s="11">
        <f>E4987-F4987</f>
        <v/>
      </c>
      <c r="H4987" s="11" t="n">
        <v/>
      </c>
      <c r="I4987" s="11" t="n">
        <v/>
      </c>
      <c r="J4987" s="11" t="n">
        <v/>
      </c>
      <c r="K4987" s="4" t="inlineStr">
        <is>
          <t>Stundensätze eingeben</t>
        </is>
      </c>
    </row>
    <row r="4988">
      <c r="A4988" s="4" t="inlineStr">
        <is>
          <t>7446 Hamm-Architektur-BSK-BTB-Dom-zu-Worms-Lutherring9-Worms</t>
        </is>
      </c>
      <c r="B4988" s="4" t="inlineStr">
        <is>
          <t>● (aN) Pos. 2.1 Erstellen BSK (Teilnahme an bis 2 Vor-Ort- Terminen in Worms inkludiert/SV)</t>
        </is>
      </c>
      <c r="C4988" s="4" t="inlineStr">
        <is>
          <t>Nachweis</t>
        </is>
      </c>
      <c r="D4988" s="10" t="inlineStr">
        <is>
          <t>⚠ Manual erforderlich</t>
        </is>
      </c>
      <c r="E4988" s="11" t="inlineStr"/>
      <c r="F4988" s="11" t="n">
        <v>0</v>
      </c>
      <c r="G4988" s="11">
        <f>E4988-F4988</f>
        <v/>
      </c>
      <c r="H4988" s="11" t="n">
        <v/>
      </c>
      <c r="I4988" s="11" t="n">
        <v/>
      </c>
      <c r="J4988" s="11" t="n">
        <v/>
      </c>
      <c r="K4988" s="4" t="inlineStr">
        <is>
          <t>Stundensätze eingeben</t>
        </is>
      </c>
    </row>
    <row r="4989">
      <c r="A4989" s="4" t="inlineStr">
        <is>
          <t>7446 Hamm-Architektur-BSK-BTB-Dom-zu-Worms-Lutherring9-Worms</t>
        </is>
      </c>
      <c r="B4989" s="4" t="inlineStr">
        <is>
          <t>● (aN) Pos. 2.2 Erstellen der zugehörigen Pläne (CAD)</t>
        </is>
      </c>
      <c r="C4989" s="4" t="inlineStr">
        <is>
          <t>Nachweis</t>
        </is>
      </c>
      <c r="D4989" s="10" t="inlineStr">
        <is>
          <t>⚠ Manual erforderlich</t>
        </is>
      </c>
      <c r="E4989" s="11" t="inlineStr"/>
      <c r="F4989" s="11" t="n">
        <v>0</v>
      </c>
      <c r="G4989" s="11">
        <f>E4989-F4989</f>
        <v/>
      </c>
      <c r="H4989" s="11" t="n">
        <v/>
      </c>
      <c r="I4989" s="11" t="n">
        <v/>
      </c>
      <c r="J4989" s="11" t="n">
        <v/>
      </c>
      <c r="K4989" s="4" t="inlineStr">
        <is>
          <t>Stundensätze eingeben</t>
        </is>
      </c>
    </row>
    <row r="4990">
      <c r="A4990" s="4" t="inlineStr">
        <is>
          <t>7446 Hamm-Architektur-BSK-BTB-Dom-zu-Worms-Lutherring9-Worms</t>
        </is>
      </c>
      <c r="B4990" s="4" t="inlineStr">
        <is>
          <t>● (aN) Pos. 3 optional, Abruf offen: Gebäudekonkreter Brandschutznachweis (Teilnahme an bis 1 Vor-Ort- Terminen in Worms inkludiert/SV)</t>
        </is>
      </c>
      <c r="C4990" s="4" t="inlineStr">
        <is>
          <t>Nachweis</t>
        </is>
      </c>
      <c r="D4990" s="10" t="inlineStr">
        <is>
          <t>⚠ Manual erforderlich</t>
        </is>
      </c>
      <c r="E4990" s="11" t="inlineStr"/>
      <c r="F4990" s="11" t="n">
        <v>0</v>
      </c>
      <c r="G4990" s="11">
        <f>E4990-F4990</f>
        <v/>
      </c>
      <c r="H4990" s="11" t="n">
        <v/>
      </c>
      <c r="I4990" s="11" t="n">
        <v/>
      </c>
      <c r="J4990" s="11" t="n">
        <v/>
      </c>
      <c r="K4990" s="4" t="inlineStr">
        <is>
          <t>Stundensätze eingeben</t>
        </is>
      </c>
    </row>
    <row r="4991">
      <c r="A4991" s="4" t="inlineStr">
        <is>
          <t>7446 Hamm-Architektur-BSK-BTB-Dom-zu-Worms-Lutherring9-Worms</t>
        </is>
      </c>
      <c r="B4991" s="4" t="inlineStr">
        <is>
          <t>● (aN) Pos. 4 optional, Abruf offen Mitwirken bei der brandschutztechnischen Ausführungsplanung (SV)</t>
        </is>
      </c>
      <c r="C4991" s="4" t="inlineStr">
        <is>
          <t>Nachweis</t>
        </is>
      </c>
      <c r="D4991" s="10" t="inlineStr">
        <is>
          <t>⚠ Manual erforderlich</t>
        </is>
      </c>
      <c r="E4991" s="11" t="inlineStr"/>
      <c r="F4991" s="11" t="n">
        <v>0</v>
      </c>
      <c r="G4991" s="11">
        <f>E4991-F4991</f>
        <v/>
      </c>
      <c r="H4991" s="11" t="n">
        <v/>
      </c>
      <c r="I4991" s="11" t="n">
        <v/>
      </c>
      <c r="J4991" s="11" t="n">
        <v/>
      </c>
      <c r="K4991" s="4" t="inlineStr">
        <is>
          <t>Stundensätze eingeben</t>
        </is>
      </c>
    </row>
    <row r="4992">
      <c r="A4992" s="4" t="inlineStr">
        <is>
          <t>7446 Hamm-Architektur-BSK-BTB-Dom-zu-Worms-Lutherring9-Worms</t>
        </is>
      </c>
      <c r="B4992" s="4" t="inlineStr">
        <is>
          <t>● (aN) Pos. 5 Objektüberwachung Mitwirkung / Kontrolle der baulichen Umsetzung (SV)</t>
        </is>
      </c>
      <c r="C4992" s="4" t="inlineStr">
        <is>
          <t>Nachweis</t>
        </is>
      </c>
      <c r="D4992" s="10" t="inlineStr">
        <is>
          <t>⚠ Manual erforderlich</t>
        </is>
      </c>
      <c r="E4992" s="11" t="inlineStr"/>
      <c r="F4992" s="11" t="n">
        <v>0</v>
      </c>
      <c r="G4992" s="11">
        <f>E4992-F4992</f>
        <v/>
      </c>
      <c r="H4992" s="11" t="n">
        <v/>
      </c>
      <c r="I4992" s="11" t="n">
        <v/>
      </c>
      <c r="J4992" s="11" t="n">
        <v/>
      </c>
      <c r="K4992" s="4" t="inlineStr">
        <is>
          <t>Stundensätze eingeben</t>
        </is>
      </c>
    </row>
    <row r="4993">
      <c r="A4993" s="4" t="inlineStr">
        <is>
          <t>7446 Hamm-Architektur-BSK-BTB-Dom-zu-Worms-Lutherring9-Worms</t>
        </is>
      </c>
      <c r="B4993" s="4" t="inlineStr">
        <is>
          <t>● (aN) Pos. 6 Erstellen einer Brandschutzordnung A - C DIN 14096 (CAD)</t>
        </is>
      </c>
      <c r="C4993" s="4" t="inlineStr">
        <is>
          <t>Nachweis</t>
        </is>
      </c>
      <c r="D4993" s="10" t="inlineStr">
        <is>
          <t>⚠ Manual erforderlich</t>
        </is>
      </c>
      <c r="E4993" s="11" t="inlineStr"/>
      <c r="F4993" s="11" t="n">
        <v>0</v>
      </c>
      <c r="G4993" s="11">
        <f>E4993-F4993</f>
        <v/>
      </c>
      <c r="H4993" s="11" t="n">
        <v/>
      </c>
      <c r="I4993" s="11" t="n">
        <v/>
      </c>
      <c r="J4993" s="11" t="n">
        <v/>
      </c>
      <c r="K4993" s="4" t="inlineStr">
        <is>
          <t>Stundensätze eingeben</t>
        </is>
      </c>
    </row>
    <row r="4994">
      <c r="A4994" s="4" t="inlineStr">
        <is>
          <t>7446 Hamm-Architektur-BSK-BTB-Dom-zu-Worms-Lutherring9-Worms</t>
        </is>
      </c>
      <c r="B4994" s="4" t="inlineStr">
        <is>
          <t>● (aN) Pos. 7 Erstellen Feuerwehrpläne (CAD)</t>
        </is>
      </c>
      <c r="C4994" s="4" t="inlineStr">
        <is>
          <t>Nachweis</t>
        </is>
      </c>
      <c r="D4994" s="10" t="inlineStr">
        <is>
          <t>⚠ Manual erforderlich</t>
        </is>
      </c>
      <c r="E4994" s="11" t="inlineStr"/>
      <c r="F4994" s="11" t="n">
        <v>0</v>
      </c>
      <c r="G4994" s="11">
        <f>E4994-F4994</f>
        <v/>
      </c>
      <c r="H4994" s="11" t="n">
        <v/>
      </c>
      <c r="I4994" s="11" t="n">
        <v/>
      </c>
      <c r="J4994" s="11" t="n">
        <v/>
      </c>
      <c r="K4994" s="4" t="inlineStr">
        <is>
          <t>Stundensätze eingeben</t>
        </is>
      </c>
    </row>
    <row r="4995">
      <c r="A4995" s="4" t="inlineStr">
        <is>
          <t>7446 Hamm-Architektur-BSK-BTB-Dom-zu-Worms-Lutherring9-Worms</t>
        </is>
      </c>
      <c r="B4995" s="4" t="inlineStr">
        <is>
          <t>● (aN) Pos. 8 Erstellen Flucht - und Rettungswegpläne (CAD)</t>
        </is>
      </c>
      <c r="C4995" s="4" t="inlineStr">
        <is>
          <t>Nachweis</t>
        </is>
      </c>
      <c r="D4995" s="10" t="inlineStr">
        <is>
          <t>⚠ Manual erforderlich</t>
        </is>
      </c>
      <c r="E4995" s="11" t="inlineStr"/>
      <c r="F4995" s="11" t="n">
        <v>0</v>
      </c>
      <c r="G4995" s="11">
        <f>E4995-F4995</f>
        <v/>
      </c>
      <c r="H4995" s="11" t="n">
        <v/>
      </c>
      <c r="I4995" s="11" t="n">
        <v/>
      </c>
      <c r="J4995" s="11" t="n">
        <v/>
      </c>
      <c r="K4995" s="4" t="inlineStr">
        <is>
          <t>Stundensätze eingeben</t>
        </is>
      </c>
    </row>
    <row r="4996">
      <c r="A4996" s="4" t="inlineStr">
        <is>
          <t>7446 Hamm-Architektur-BSK-BTB-Dom-zu-Worms-Lutherring9-Worms</t>
        </is>
      </c>
      <c r="B4996" s="4" t="inlineStr">
        <is>
          <t>● (aN) Pos. 9 Rettung Kulturgut (SV)</t>
        </is>
      </c>
      <c r="C4996" s="4" t="inlineStr">
        <is>
          <t>Nachweis</t>
        </is>
      </c>
      <c r="D4996" s="10" t="inlineStr">
        <is>
          <t>⚠ Manual erforderlich</t>
        </is>
      </c>
      <c r="E4996" s="11" t="inlineStr"/>
      <c r="F4996" s="11" t="n">
        <v>0</v>
      </c>
      <c r="G4996" s="11">
        <f>E4996-F4996</f>
        <v/>
      </c>
      <c r="H4996" s="11" t="n">
        <v/>
      </c>
      <c r="I4996" s="11" t="n">
        <v/>
      </c>
      <c r="J4996" s="11" t="n">
        <v/>
      </c>
      <c r="K4996" s="4" t="inlineStr">
        <is>
          <t>Stundensätze eingeben</t>
        </is>
      </c>
    </row>
    <row r="4997">
      <c r="A4997" s="4" t="inlineStr">
        <is>
          <t>7446 Hamm-Architektur-BSK-BTB-Dom-zu-Worms-Lutherring9-Worms</t>
        </is>
      </c>
      <c r="B4997" s="4" t="inlineStr">
        <is>
          <t>● (aN) Pos. 10 Vor-Ort-Termin zur Abstimmung der Planung (wenn kalkulierte nicht ausreichen/SV zzgl. Fahrtkosten))</t>
        </is>
      </c>
      <c r="C4997" s="4" t="inlineStr">
        <is>
          <t>Nachweis</t>
        </is>
      </c>
      <c r="D4997" s="10" t="inlineStr">
        <is>
          <t>⚠ Manual erforderlich</t>
        </is>
      </c>
      <c r="E4997" s="11" t="inlineStr"/>
      <c r="F4997" s="11" t="n">
        <v>0</v>
      </c>
      <c r="G4997" s="11">
        <f>E4997-F4997</f>
        <v/>
      </c>
      <c r="H4997" s="11" t="n">
        <v/>
      </c>
      <c r="I4997" s="11" t="n">
        <v/>
      </c>
      <c r="J4997" s="11" t="n">
        <v/>
      </c>
      <c r="K4997" s="4" t="inlineStr">
        <is>
          <t>Stundensätze eingeben</t>
        </is>
      </c>
    </row>
    <row r="4998">
      <c r="A4998" s="4" t="inlineStr">
        <is>
          <t>7447 BGT-BSN-Begegnungsstätte-Friedrichsthal</t>
        </is>
      </c>
      <c r="B4998" s="4" t="inlineStr">
        <is>
          <t>● (p) LP 1</t>
        </is>
      </c>
      <c r="C4998" s="4" t="inlineStr">
        <is>
          <t>Pauschale</t>
        </is>
      </c>
      <c r="D4998" s="10" t="inlineStr">
        <is>
          <t>⚠ Manual erforderlich</t>
        </is>
      </c>
      <c r="E4998" s="11" t="inlineStr"/>
      <c r="F4998" s="11" t="n">
        <v>0</v>
      </c>
      <c r="G4998" s="11">
        <f>E4998-F4998</f>
        <v/>
      </c>
      <c r="H4998" s="11" t="n">
        <v>0</v>
      </c>
      <c r="I4998" s="11" t="n">
        <v>0</v>
      </c>
      <c r="J4998" s="11" t="n">
        <v>0</v>
      </c>
      <c r="K4998" s="4" t="inlineStr">
        <is>
          <t>Stundensätze eingeben</t>
        </is>
      </c>
    </row>
    <row r="4999">
      <c r="A4999" s="4" t="inlineStr">
        <is>
          <t>7447 BGT-BSN-Begegnungsstätte-Friedrichsthal</t>
        </is>
      </c>
      <c r="B4999" s="4" t="inlineStr">
        <is>
          <t>● (p) LP 2</t>
        </is>
      </c>
      <c r="C4999" s="4" t="inlineStr">
        <is>
          <t>Pauschale</t>
        </is>
      </c>
      <c r="D4999" s="10" t="inlineStr">
        <is>
          <t>⚠ Manual erforderlich</t>
        </is>
      </c>
      <c r="E4999" s="11" t="inlineStr"/>
      <c r="F4999" s="11" t="n">
        <v>0</v>
      </c>
      <c r="G4999" s="11">
        <f>E4999-F4999</f>
        <v/>
      </c>
      <c r="H4999" s="11" t="n">
        <v>0</v>
      </c>
      <c r="I4999" s="11" t="n">
        <v>0</v>
      </c>
      <c r="J4999" s="11" t="n">
        <v>0</v>
      </c>
      <c r="K4999" s="4" t="inlineStr">
        <is>
          <t>Stundensätze eingeben</t>
        </is>
      </c>
    </row>
    <row r="5000">
      <c r="A5000" s="4" t="inlineStr">
        <is>
          <t>7447 BGT-BSN-Begegnungsstätte-Friedrichsthal</t>
        </is>
      </c>
      <c r="B5000" s="4" t="inlineStr">
        <is>
          <t>● (p) LP 3</t>
        </is>
      </c>
      <c r="C5000" s="4" t="inlineStr">
        <is>
          <t>Pauschale</t>
        </is>
      </c>
      <c r="D5000" s="10" t="inlineStr">
        <is>
          <t>⚠ Manual erforderlich</t>
        </is>
      </c>
      <c r="E5000" s="11" t="inlineStr"/>
      <c r="F5000" s="11" t="n">
        <v>0</v>
      </c>
      <c r="G5000" s="11">
        <f>E5000-F5000</f>
        <v/>
      </c>
      <c r="H5000" s="11" t="n">
        <v>0</v>
      </c>
      <c r="I5000" s="11" t="n">
        <v>0</v>
      </c>
      <c r="J5000" s="11" t="n">
        <v>0</v>
      </c>
      <c r="K5000" s="4" t="inlineStr">
        <is>
          <t>Stundensätze eingeben</t>
        </is>
      </c>
    </row>
    <row r="5001">
      <c r="A5001" s="4" t="inlineStr">
        <is>
          <t>7447 BGT-BSN-Begegnungsstätte-Friedrichsthal</t>
        </is>
      </c>
      <c r="B5001" s="4" t="inlineStr">
        <is>
          <t>● (p) LP 4</t>
        </is>
      </c>
      <c r="C5001" s="4" t="inlineStr">
        <is>
          <t>Pauschale</t>
        </is>
      </c>
      <c r="D5001" s="10" t="inlineStr">
        <is>
          <t>⚠ Manual erforderlich</t>
        </is>
      </c>
      <c r="E5001" s="11" t="inlineStr"/>
      <c r="F5001" s="11" t="n">
        <v>0</v>
      </c>
      <c r="G5001" s="11">
        <f>E5001-F5001</f>
        <v/>
      </c>
      <c r="H5001" s="11" t="n">
        <v>0</v>
      </c>
      <c r="I5001" s="11" t="n">
        <v>0</v>
      </c>
      <c r="J5001" s="11" t="n">
        <v>0</v>
      </c>
      <c r="K5001" s="4" t="inlineStr">
        <is>
          <t>Stundensätze eingeben</t>
        </is>
      </c>
    </row>
    <row r="5002">
      <c r="A5002" s="4" t="inlineStr">
        <is>
          <t>7447 BGT-BSN-Begegnungsstätte-Friedrichsthal</t>
        </is>
      </c>
      <c r="B5002" s="4" t="inlineStr">
        <is>
          <t>● ADM</t>
        </is>
      </c>
      <c r="C5002" s="9" t="inlineStr">
        <is>
          <t>Unbekannt</t>
        </is>
      </c>
      <c r="D5002" s="10" t="inlineStr">
        <is>
          <t>⚠ Manual erforderlich</t>
        </is>
      </c>
      <c r="E5002" s="11" t="inlineStr"/>
      <c r="F5002" s="11" t="n">
        <v>0</v>
      </c>
      <c r="G5002" s="11">
        <f>E5002-F5002</f>
        <v/>
      </c>
      <c r="H5002" s="11" t="n">
        <v/>
      </c>
      <c r="I5002" s="11" t="n">
        <v/>
      </c>
      <c r="J5002" s="11" t="n">
        <v/>
      </c>
      <c r="K5002" s="4" t="inlineStr">
        <is>
          <t>Abrechnungsart wählen; Stundensätze eingeben</t>
        </is>
      </c>
    </row>
    <row r="5003">
      <c r="A5003" s="4" t="inlineStr">
        <is>
          <t>7448 Seniorenresidenz-Sonnenwinkel-BSH-Im-Füllengarten14-16-Saarbrücken</t>
        </is>
      </c>
      <c r="B5003" s="4" t="inlineStr">
        <is>
          <t>● (p) Pos. 1 Brandschutzschulung (Theorie) für Brandschutzhelfer + Feuerlöschtraining</t>
        </is>
      </c>
      <c r="C5003" s="4" t="inlineStr">
        <is>
          <t>Pauschale</t>
        </is>
      </c>
      <c r="D5003" s="10" t="inlineStr">
        <is>
          <t>⚠ Manual erforderlich</t>
        </is>
      </c>
      <c r="E5003" s="11" t="inlineStr"/>
      <c r="F5003" s="11" t="n">
        <v>0</v>
      </c>
      <c r="G5003" s="11">
        <f>E5003-F5003</f>
        <v/>
      </c>
      <c r="H5003" s="11" t="n">
        <v>0</v>
      </c>
      <c r="I5003" s="11" t="n">
        <v>0</v>
      </c>
      <c r="J5003" s="11" t="n">
        <v>0</v>
      </c>
      <c r="K5003" s="4" t="inlineStr">
        <is>
          <t>Stundensätze eingeben</t>
        </is>
      </c>
    </row>
    <row r="5004">
      <c r="A5004" s="4" t="inlineStr">
        <is>
          <t>7449 KOF-Steinheimer-Vorstadt-11-Hanau-Bestandsgebäude</t>
        </is>
      </c>
      <c r="B5004" s="4" t="inlineStr">
        <is>
          <t>● (aN) Pos.1 KOF Bestgandsgebäude</t>
        </is>
      </c>
      <c r="C5004" s="4" t="inlineStr">
        <is>
          <t>Nachweis</t>
        </is>
      </c>
      <c r="D5004" s="10" t="inlineStr">
        <is>
          <t>⚠ Manual erforderlich</t>
        </is>
      </c>
      <c r="E5004" s="11" t="inlineStr"/>
      <c r="F5004" s="11" t="n">
        <v>0</v>
      </c>
      <c r="G5004" s="11">
        <f>E5004-F5004</f>
        <v/>
      </c>
      <c r="H5004" s="11" t="n">
        <v/>
      </c>
      <c r="I5004" s="11" t="n">
        <v/>
      </c>
      <c r="J5004" s="11" t="n">
        <v/>
      </c>
      <c r="K5004" s="4" t="inlineStr">
        <is>
          <t>Stundensätze eingeben</t>
        </is>
      </c>
    </row>
    <row r="5005">
      <c r="A5005" s="4" t="inlineStr">
        <is>
          <t>7450 ServiceNow-Kinzo-BTB-FRP-Levelingstr4-München</t>
        </is>
      </c>
      <c r="B5005" s="4" t="inlineStr">
        <is>
          <t>● (aN) Pos. 1 Brandschutztechnische Beratung</t>
        </is>
      </c>
      <c r="C5005" s="4" t="inlineStr">
        <is>
          <t>Nachweis</t>
        </is>
      </c>
      <c r="D5005" s="10" t="inlineStr">
        <is>
          <t>⚠ Manual erforderlich</t>
        </is>
      </c>
      <c r="E5005" s="11" t="inlineStr"/>
      <c r="F5005" s="11" t="n">
        <v>0</v>
      </c>
      <c r="G5005" s="11">
        <f>E5005-F5005</f>
        <v/>
      </c>
      <c r="H5005" s="11" t="n">
        <v/>
      </c>
      <c r="I5005" s="11" t="n">
        <v/>
      </c>
      <c r="J5005" s="11" t="n">
        <v/>
      </c>
      <c r="K5005" s="4" t="inlineStr">
        <is>
          <t>Stundensätze eingeben</t>
        </is>
      </c>
    </row>
    <row r="5006">
      <c r="A5006" s="4" t="inlineStr">
        <is>
          <t>7450 ServiceNow-Kinzo-BTB-FRP-Levelingstr4-München</t>
        </is>
      </c>
      <c r="B5006" s="4" t="inlineStr">
        <is>
          <t>● (aN) Pos. 2 Anpassung von Flucht- und Rettungsplänen</t>
        </is>
      </c>
      <c r="C5006" s="4" t="inlineStr">
        <is>
          <t>Nachweis</t>
        </is>
      </c>
      <c r="D5006" s="10" t="inlineStr">
        <is>
          <t>⚠ Manual erforderlich</t>
        </is>
      </c>
      <c r="E5006" s="11" t="inlineStr"/>
      <c r="F5006" s="11" t="n">
        <v>0</v>
      </c>
      <c r="G5006" s="11">
        <f>E5006-F5006</f>
        <v/>
      </c>
      <c r="H5006" s="11" t="n">
        <v/>
      </c>
      <c r="I5006" s="11" t="n">
        <v/>
      </c>
      <c r="J5006" s="11" t="n">
        <v/>
      </c>
      <c r="K5006" s="4" t="inlineStr">
        <is>
          <t>Stundensätze eingeben</t>
        </is>
      </c>
    </row>
    <row r="5007">
      <c r="A5007" s="4" t="inlineStr">
        <is>
          <t>7451 BTB-Brückhofstraße-1-Frankfurt-Außenwände</t>
        </is>
      </c>
      <c r="B5007" s="4" t="inlineStr">
        <is>
          <t>● 2025-07-10 /kk (aN) Pos.1 BTB - Baumaßnahmen an Außenwänden/Brandwänden</t>
        </is>
      </c>
      <c r="C5007" s="4" t="inlineStr">
        <is>
          <t>Nachweis</t>
        </is>
      </c>
      <c r="D5007" s="10" t="inlineStr">
        <is>
          <t>⚠ Manual erforderlich</t>
        </is>
      </c>
      <c r="E5007" s="11" t="inlineStr"/>
      <c r="F5007" s="11" t="n">
        <v>0</v>
      </c>
      <c r="G5007" s="11">
        <f>E5007-F5007</f>
        <v/>
      </c>
      <c r="H5007" s="11" t="n">
        <v/>
      </c>
      <c r="I5007" s="11" t="n">
        <v/>
      </c>
      <c r="J5007" s="11" t="n">
        <v/>
      </c>
      <c r="K5007" s="4" t="inlineStr">
        <is>
          <t>Stundensätze eingeben</t>
        </is>
      </c>
    </row>
    <row r="5008">
      <c r="A5008" s="4" t="inlineStr">
        <is>
          <t>7452 PadelCity-CFD-Strömungs-+Brandsimulation-Emma-Herwegh-Str-Berlin</t>
        </is>
      </c>
      <c r="B5008" s="4" t="inlineStr">
        <is>
          <t>● (p) Pos. 1 CFD Strömungs- und Brandsimulation Basisvariante</t>
        </is>
      </c>
      <c r="C5008" s="4" t="inlineStr">
        <is>
          <t>Pauschale</t>
        </is>
      </c>
      <c r="D5008" s="10" t="inlineStr">
        <is>
          <t>⚠ Manual erforderlich</t>
        </is>
      </c>
      <c r="E5008" s="11" t="inlineStr"/>
      <c r="F5008" s="11" t="n">
        <v>0</v>
      </c>
      <c r="G5008" s="11">
        <f>E5008-F5008</f>
        <v/>
      </c>
      <c r="H5008" s="11" t="n">
        <v>0</v>
      </c>
      <c r="I5008" s="11" t="n">
        <v>0</v>
      </c>
      <c r="J5008" s="11" t="n">
        <v>0</v>
      </c>
      <c r="K5008" s="4" t="inlineStr">
        <is>
          <t>Stundensätze eingeben</t>
        </is>
      </c>
    </row>
    <row r="5009">
      <c r="A5009" s="4" t="inlineStr">
        <is>
          <t>7453 BSN-Louisenstraße-94-Bad-Homburg-Gastronomie</t>
        </is>
      </c>
      <c r="B5009" s="4" t="inlineStr">
        <is>
          <t>● (p) Pos.1 Erstellung BSN</t>
        </is>
      </c>
      <c r="C5009" s="4" t="inlineStr">
        <is>
          <t>Pauschale</t>
        </is>
      </c>
      <c r="D5009" s="10" t="inlineStr">
        <is>
          <t>⚠ Manual erforderlich</t>
        </is>
      </c>
      <c r="E5009" s="11" t="inlineStr"/>
      <c r="F5009" s="11" t="n">
        <v>0</v>
      </c>
      <c r="G5009" s="11">
        <f>E5009-F5009</f>
        <v/>
      </c>
      <c r="H5009" s="11" t="n">
        <v>0</v>
      </c>
      <c r="I5009" s="11" t="n">
        <v>0</v>
      </c>
      <c r="J5009" s="11" t="n">
        <v>0</v>
      </c>
      <c r="K5009" s="4" t="inlineStr">
        <is>
          <t>Stundensätze eingeben</t>
        </is>
      </c>
    </row>
    <row r="5010">
      <c r="A5010" s="4" t="inlineStr">
        <is>
          <t>7453 BSN-Louisenstraße-94-Bad-Homburg-Gastronomie</t>
        </is>
      </c>
      <c r="B5010" s="4" t="inlineStr">
        <is>
          <t>● (p) Pos.2 erstellung Brandschutzpläne</t>
        </is>
      </c>
      <c r="C5010" s="4" t="inlineStr">
        <is>
          <t>Pauschale</t>
        </is>
      </c>
      <c r="D5010" s="10" t="inlineStr">
        <is>
          <t>⚠ Manual erforderlich</t>
        </is>
      </c>
      <c r="E5010" s="11" t="inlineStr"/>
      <c r="F5010" s="11" t="n">
        <v>0</v>
      </c>
      <c r="G5010" s="11">
        <f>E5010-F5010</f>
        <v/>
      </c>
      <c r="H5010" s="11" t="n">
        <v>0</v>
      </c>
      <c r="I5010" s="11" t="n">
        <v>0</v>
      </c>
      <c r="J5010" s="11" t="n">
        <v>0</v>
      </c>
      <c r="K5010" s="4" t="inlineStr">
        <is>
          <t>Stundensätze eingeben</t>
        </is>
      </c>
    </row>
    <row r="5011">
      <c r="A5011" s="4" t="inlineStr">
        <is>
          <t>7453 BSN-Louisenstraße-94-Bad-Homburg-Gastronomie</t>
        </is>
      </c>
      <c r="B5011" s="4" t="inlineStr">
        <is>
          <t>● (aN) Pos.3 BAB + Qualitätsüberwachung für die Durchführung der BM</t>
        </is>
      </c>
      <c r="C5011" s="4" t="inlineStr">
        <is>
          <t>Nachweis</t>
        </is>
      </c>
      <c r="D5011" s="10" t="inlineStr">
        <is>
          <t>⚠ Manual erforderlich</t>
        </is>
      </c>
      <c r="E5011" s="11" t="inlineStr"/>
      <c r="F5011" s="11" t="n">
        <v>0</v>
      </c>
      <c r="G5011" s="11">
        <f>E5011-F5011</f>
        <v/>
      </c>
      <c r="H5011" s="11" t="n">
        <v/>
      </c>
      <c r="I5011" s="11" t="n">
        <v/>
      </c>
      <c r="J5011" s="11" t="n">
        <v/>
      </c>
      <c r="K5011" s="4" t="inlineStr">
        <is>
          <t>Stundensätze eingeben</t>
        </is>
      </c>
    </row>
    <row r="5012">
      <c r="A5012" s="4" t="inlineStr">
        <is>
          <t>7454 BTB-Werner-Eckert-Straße-8-12-München-2.OG</t>
        </is>
      </c>
      <c r="B5012" s="4" t="inlineStr">
        <is>
          <t>● (p) pos. 1 Brandschutztechnische Stellungnahme</t>
        </is>
      </c>
      <c r="C5012" s="4" t="inlineStr">
        <is>
          <t>Pauschale</t>
        </is>
      </c>
      <c r="D5012" s="10" t="inlineStr">
        <is>
          <t>⚠ Manual erforderlich</t>
        </is>
      </c>
      <c r="E5012" s="11" t="inlineStr"/>
      <c r="F5012" s="11" t="n">
        <v>0</v>
      </c>
      <c r="G5012" s="11">
        <f>E5012-F5012</f>
        <v/>
      </c>
      <c r="H5012" s="11" t="n">
        <v>0</v>
      </c>
      <c r="I5012" s="11" t="n">
        <v>0</v>
      </c>
      <c r="J5012" s="11" t="n">
        <v>0</v>
      </c>
      <c r="K5012" s="4" t="inlineStr">
        <is>
          <t>Stundensätze eingeben</t>
        </is>
      </c>
    </row>
    <row r="5013">
      <c r="A5013" s="4" t="inlineStr">
        <is>
          <t>7455 IKEA-PLA-Griesenhörn-2-4-Elsdorf</t>
        </is>
      </c>
      <c r="B5013" s="4" t="inlineStr">
        <is>
          <t>● (aN) Pos.1 Erstellung eines Löschanlagenkonzeptes</t>
        </is>
      </c>
      <c r="C5013" s="4" t="inlineStr">
        <is>
          <t>Nachweis</t>
        </is>
      </c>
      <c r="D5013" s="10" t="inlineStr">
        <is>
          <t>⚠ Manual erforderlich</t>
        </is>
      </c>
      <c r="E5013" s="11" t="inlineStr"/>
      <c r="F5013" s="11" t="n">
        <v>0</v>
      </c>
      <c r="G5013" s="11">
        <f>E5013-F5013</f>
        <v/>
      </c>
      <c r="H5013" s="11" t="n">
        <v/>
      </c>
      <c r="I5013" s="11" t="n">
        <v/>
      </c>
      <c r="J5013" s="11" t="n">
        <v/>
      </c>
      <c r="K5013" s="4" t="inlineStr">
        <is>
          <t>Stundensätze eingeben</t>
        </is>
      </c>
    </row>
    <row r="5014">
      <c r="A5014" s="4" t="inlineStr">
        <is>
          <t>7455.01 Ikea-BTB-Griesenhörn-2-4-Elsdorf-Hochregallager</t>
        </is>
      </c>
      <c r="B5014" s="4" t="inlineStr">
        <is>
          <t>● (p) Pos.1 BTB</t>
        </is>
      </c>
      <c r="C5014" s="4" t="inlineStr">
        <is>
          <t>Pauschale</t>
        </is>
      </c>
      <c r="D5014" s="10" t="inlineStr">
        <is>
          <t>⚠ Manual erforderlich</t>
        </is>
      </c>
      <c r="E5014" s="11" t="inlineStr"/>
      <c r="F5014" s="11" t="n">
        <v>0</v>
      </c>
      <c r="G5014" s="11">
        <f>E5014-F5014</f>
        <v/>
      </c>
      <c r="H5014" s="11" t="n">
        <v>0</v>
      </c>
      <c r="I5014" s="11" t="n">
        <v>0</v>
      </c>
      <c r="J5014" s="11" t="n">
        <v>0</v>
      </c>
      <c r="K5014" s="4" t="inlineStr">
        <is>
          <t>Stundensätze eingeben</t>
        </is>
      </c>
    </row>
    <row r="5015">
      <c r="A5015" s="4" t="inlineStr">
        <is>
          <t>7456 BTB-Behördenzentrum-Gerichtsstraße-1+3-Idstein-Brandmeldeanlage</t>
        </is>
      </c>
      <c r="B5015" s="4" t="inlineStr">
        <is>
          <t>● (aN) ohne ANG BTB zur Thematik Ausführung der Brandmeldeanlage</t>
        </is>
      </c>
      <c r="C5015" s="4" t="inlineStr">
        <is>
          <t>Nachweis</t>
        </is>
      </c>
      <c r="D5015" s="10" t="inlineStr">
        <is>
          <t>⚠ Manual erforderlich</t>
        </is>
      </c>
      <c r="E5015" s="11" t="inlineStr"/>
      <c r="F5015" s="11" t="n">
        <v>0</v>
      </c>
      <c r="G5015" s="11">
        <f>E5015-F5015</f>
        <v/>
      </c>
      <c r="H5015" s="11" t="n">
        <v/>
      </c>
      <c r="I5015" s="11" t="n">
        <v/>
      </c>
      <c r="J5015" s="11" t="n">
        <v/>
      </c>
      <c r="K5015" s="4" t="inlineStr">
        <is>
          <t>Stundensätze eingeben</t>
        </is>
      </c>
    </row>
    <row r="5016">
      <c r="A5016" s="4" t="inlineStr">
        <is>
          <t>7457 BTB-Lilienthalstr-Unterbiberg-Quartiersentwicklung</t>
        </is>
      </c>
      <c r="B5016" s="4" t="inlineStr">
        <is>
          <t>● (p) Pos.1 BTB inkl. Zusammenfassung der Ergebnisse div. Flurnummern</t>
        </is>
      </c>
      <c r="C5016" s="4" t="inlineStr">
        <is>
          <t>Pauschale</t>
        </is>
      </c>
      <c r="D5016" s="10" t="inlineStr">
        <is>
          <t>⚠ Manual erforderlich</t>
        </is>
      </c>
      <c r="E5016" s="11" t="inlineStr"/>
      <c r="F5016" s="11" t="n">
        <v>0</v>
      </c>
      <c r="G5016" s="11">
        <f>E5016-F5016</f>
        <v/>
      </c>
      <c r="H5016" s="11" t="n">
        <v>0</v>
      </c>
      <c r="I5016" s="11" t="n">
        <v>0</v>
      </c>
      <c r="J5016" s="11" t="n">
        <v>0</v>
      </c>
      <c r="K5016" s="4" t="inlineStr">
        <is>
          <t>Stundensätze eingeben</t>
        </is>
      </c>
    </row>
    <row r="5017">
      <c r="A5017" s="4" t="inlineStr">
        <is>
          <t>7458 Finzelberg-FLAK-Koblenzer-Straße-48-56-Andernach</t>
        </is>
      </c>
      <c r="B5017" s="4" t="inlineStr">
        <is>
          <t>● (p) Pos.1 Erstellen einer gutachterlichen Stellungnahme</t>
        </is>
      </c>
      <c r="C5017" s="4" t="inlineStr">
        <is>
          <t>Pauschale</t>
        </is>
      </c>
      <c r="D5017" s="10" t="inlineStr">
        <is>
          <t>⚠ Manual erforderlich</t>
        </is>
      </c>
      <c r="E5017" s="11" t="inlineStr"/>
      <c r="F5017" s="11" t="n">
        <v>0</v>
      </c>
      <c r="G5017" s="11">
        <f>E5017-F5017</f>
        <v/>
      </c>
      <c r="H5017" s="11" t="n">
        <v>0</v>
      </c>
      <c r="I5017" s="11" t="n">
        <v>0</v>
      </c>
      <c r="J5017" s="11" t="n">
        <v>0</v>
      </c>
      <c r="K5017" s="4" t="inlineStr">
        <is>
          <t>Stundensätze eingeben</t>
        </is>
      </c>
    </row>
    <row r="5018">
      <c r="A5018" s="4" t="inlineStr">
        <is>
          <t>7459 Baupionier-BTB-Prüfung-Details-Garagenparks</t>
        </is>
      </c>
      <c r="B5018" s="4" t="inlineStr">
        <is>
          <t>● (p) Erstellung brandschutztechnische Stellungnahme (16h SV / 1h Admin) 1.900€ / 2.200€</t>
        </is>
      </c>
      <c r="C5018" s="4" t="inlineStr">
        <is>
          <t>Pauschale</t>
        </is>
      </c>
      <c r="D5018" s="10" t="inlineStr">
        <is>
          <t>⚠ Manual erforderlich</t>
        </is>
      </c>
      <c r="E5018" s="11" t="inlineStr"/>
      <c r="F5018" s="11" t="n">
        <v>0</v>
      </c>
      <c r="G5018" s="11">
        <f>E5018-F5018</f>
        <v/>
      </c>
      <c r="H5018" s="11" t="n">
        <v>0</v>
      </c>
      <c r="I5018" s="11" t="n">
        <v>0</v>
      </c>
      <c r="J5018" s="11" t="n">
        <v>0</v>
      </c>
      <c r="K5018" s="4" t="inlineStr">
        <is>
          <t>Stundensätze eingeben</t>
        </is>
      </c>
    </row>
    <row r="5019">
      <c r="A5019" s="4" t="inlineStr">
        <is>
          <t>7461 SEF-LOS-2-ARA-Gutleutstraße-407-Griesheim-Explosionsschutzpläne</t>
        </is>
      </c>
      <c r="B5019" s="4" t="inlineStr">
        <is>
          <t>● (p) LOS 2 Aktualisierung Explosionsschutzdokument-ARA</t>
        </is>
      </c>
      <c r="C5019" s="4" t="inlineStr">
        <is>
          <t>Pauschale</t>
        </is>
      </c>
      <c r="D5019" s="10" t="inlineStr">
        <is>
          <t>⚠ Manual erforderlich</t>
        </is>
      </c>
      <c r="E5019" s="11" t="inlineStr"/>
      <c r="F5019" s="11" t="n">
        <v>0</v>
      </c>
      <c r="G5019" s="11">
        <f>E5019-F5019</f>
        <v/>
      </c>
      <c r="H5019" s="11" t="n">
        <v>0</v>
      </c>
      <c r="I5019" s="11" t="n">
        <v>0</v>
      </c>
      <c r="J5019" s="11" t="n">
        <v>0</v>
      </c>
      <c r="K5019" s="4" t="inlineStr">
        <is>
          <t>Stundensätze eingeben</t>
        </is>
      </c>
    </row>
    <row r="5020">
      <c r="A5020" s="4" t="inlineStr">
        <is>
          <t>7462 SEF-LOS-2-ARA-Goldsteinstraße-160-Niederrad-Explosionsschutzpläne</t>
        </is>
      </c>
      <c r="B5020" s="4" t="inlineStr">
        <is>
          <t>● (p) LOS 2 Aktualisierung Explosionsschutzdokument-ARA</t>
        </is>
      </c>
      <c r="C5020" s="4" t="inlineStr">
        <is>
          <t>Pauschale</t>
        </is>
      </c>
      <c r="D5020" s="10" t="inlineStr">
        <is>
          <t>⚠ Manual erforderlich</t>
        </is>
      </c>
      <c r="E5020" s="11" t="inlineStr"/>
      <c r="F5020" s="11" t="n">
        <v>0</v>
      </c>
      <c r="G5020" s="11">
        <f>E5020-F5020</f>
        <v/>
      </c>
      <c r="H5020" s="11" t="n">
        <v>0</v>
      </c>
      <c r="I5020" s="11" t="n">
        <v>0</v>
      </c>
      <c r="J5020" s="11" t="n">
        <v>0</v>
      </c>
      <c r="K5020" s="4" t="inlineStr">
        <is>
          <t>Stundensätze eingeben</t>
        </is>
      </c>
    </row>
    <row r="5021">
      <c r="A5021" s="4" t="inlineStr">
        <is>
          <t>7463 Baupionier-GP-Danziger-Straße-3-Hannover</t>
        </is>
      </c>
      <c r="B5021" s="4" t="inlineStr">
        <is>
          <t>● Stundensammler SV</t>
        </is>
      </c>
      <c r="C5021" s="9" t="inlineStr">
        <is>
          <t>Unbekannt</t>
        </is>
      </c>
      <c r="D5021" s="10" t="inlineStr">
        <is>
          <t>⚠ Manual erforderlich</t>
        </is>
      </c>
      <c r="E5021" s="11" t="inlineStr"/>
      <c r="F5021" s="11" t="n">
        <v>0</v>
      </c>
      <c r="G5021" s="11">
        <f>E5021-F5021</f>
        <v/>
      </c>
      <c r="H5021" s="11" t="n">
        <v/>
      </c>
      <c r="I5021" s="11" t="n">
        <v/>
      </c>
      <c r="J5021" s="11" t="n">
        <v/>
      </c>
      <c r="K5021" s="4" t="inlineStr">
        <is>
          <t>Abrechnungsart wählen; Stundensätze eingeben</t>
        </is>
      </c>
    </row>
    <row r="5022">
      <c r="A5022" s="4" t="inlineStr">
        <is>
          <t>7463 Baupionier-GP-Danziger-Straße-3-Hannover</t>
        </is>
      </c>
      <c r="B5022" s="4" t="inlineStr">
        <is>
          <t>● Stundensammler CAD</t>
        </is>
      </c>
      <c r="C5022" s="9" t="inlineStr">
        <is>
          <t>Unbekannt</t>
        </is>
      </c>
      <c r="D5022" s="10" t="inlineStr">
        <is>
          <t>⚠ Manual erforderlich</t>
        </is>
      </c>
      <c r="E5022" s="11" t="inlineStr"/>
      <c r="F5022" s="11" t="n">
        <v>0</v>
      </c>
      <c r="G5022" s="11">
        <f>E5022-F5022</f>
        <v/>
      </c>
      <c r="H5022" s="11" t="n">
        <v/>
      </c>
      <c r="I5022" s="11" t="n">
        <v/>
      </c>
      <c r="J5022" s="11" t="n">
        <v/>
      </c>
      <c r="K5022" s="4" t="inlineStr">
        <is>
          <t>Abrechnungsart wählen; Stundensätze eingeben</t>
        </is>
      </c>
    </row>
    <row r="5023">
      <c r="A5023" s="4" t="inlineStr">
        <is>
          <t>7464 BTB-Europaallee12-22-Ffm-Geb-OPTIONS</t>
        </is>
      </c>
      <c r="B5023" s="4" t="inlineStr">
        <is>
          <t>● (aN) Pos.1 BTB</t>
        </is>
      </c>
      <c r="C5023" s="4" t="inlineStr">
        <is>
          <t>Nachweis</t>
        </is>
      </c>
      <c r="D5023" s="10" t="inlineStr">
        <is>
          <t>⚠ Manual erforderlich</t>
        </is>
      </c>
      <c r="E5023" s="11" t="inlineStr"/>
      <c r="F5023" s="11" t="n">
        <v>0</v>
      </c>
      <c r="G5023" s="11">
        <f>E5023-F5023</f>
        <v/>
      </c>
      <c r="H5023" s="11" t="n">
        <v/>
      </c>
      <c r="I5023" s="11" t="n">
        <v/>
      </c>
      <c r="J5023" s="11" t="n">
        <v/>
      </c>
      <c r="K5023" s="4" t="inlineStr">
        <is>
          <t>Stundensätze eingeben</t>
        </is>
      </c>
    </row>
    <row r="5024">
      <c r="A5024" s="4" t="inlineStr">
        <is>
          <t>7465 Begehung-FWP-Grüner-Weg-33-Kassel-Polizeipräsidium</t>
        </is>
      </c>
      <c r="B5024" s="4" t="inlineStr">
        <is>
          <t>● (p) Pos.1 Objektbegeh.-Aufnahme brandschutztechn. Einrichtungen+Abgleich  vorhandenen FWP m. Bestand</t>
        </is>
      </c>
      <c r="C5024" s="4" t="inlineStr">
        <is>
          <t>Pauschale</t>
        </is>
      </c>
      <c r="D5024" s="10" t="inlineStr">
        <is>
          <t>⚠ Manual erforderlich</t>
        </is>
      </c>
      <c r="E5024" s="11" t="inlineStr"/>
      <c r="F5024" s="11" t="n">
        <v>0</v>
      </c>
      <c r="G5024" s="11">
        <f>E5024-F5024</f>
        <v/>
      </c>
      <c r="H5024" s="11" t="n">
        <v>0</v>
      </c>
      <c r="I5024" s="11" t="n">
        <v>0</v>
      </c>
      <c r="J5024" s="11" t="n">
        <v>0</v>
      </c>
      <c r="K5024" s="4" t="inlineStr">
        <is>
          <t>Stundensätze eingeben</t>
        </is>
      </c>
    </row>
    <row r="5025">
      <c r="A5025" s="4" t="inlineStr">
        <is>
          <t>7465 Begehung-FWP-Grüner-Weg-33-Kassel-Polizeipräsidium</t>
        </is>
      </c>
      <c r="B5025" s="4" t="inlineStr">
        <is>
          <t>● (p) Pos.3 Anpassung Grundrisspläne nach Abgleich</t>
        </is>
      </c>
      <c r="C5025" s="4" t="inlineStr">
        <is>
          <t>Pauschale</t>
        </is>
      </c>
      <c r="D5025" s="10" t="inlineStr">
        <is>
          <t>⚠ Manual erforderlich</t>
        </is>
      </c>
      <c r="E5025" s="11" t="inlineStr"/>
      <c r="F5025" s="11" t="n">
        <v>0</v>
      </c>
      <c r="G5025" s="11">
        <f>E5025-F5025</f>
        <v/>
      </c>
      <c r="H5025" s="11" t="n">
        <v/>
      </c>
      <c r="I5025" s="11" t="n">
        <v/>
      </c>
      <c r="J5025" s="11" t="n">
        <v/>
      </c>
      <c r="K5025" s="4" t="inlineStr">
        <is>
          <t>Stundensätze eingeben</t>
        </is>
      </c>
    </row>
    <row r="5026">
      <c r="A5026" s="4" t="inlineStr">
        <is>
          <t>7465.01 FWP-Grüner-Weg-33-Kassel-Polizeipräsidium</t>
        </is>
      </c>
      <c r="B5026" s="4" t="inlineStr">
        <is>
          <t>● (p) Pos.2 Erstellung FWP</t>
        </is>
      </c>
      <c r="C5026" s="4" t="inlineStr">
        <is>
          <t>Pauschale</t>
        </is>
      </c>
      <c r="D5026" s="10" t="inlineStr">
        <is>
          <t>⚠ Manual erforderlich</t>
        </is>
      </c>
      <c r="E5026" s="11" t="inlineStr"/>
      <c r="F5026" s="11" t="n">
        <v>0</v>
      </c>
      <c r="G5026" s="11">
        <f>E5026-F5026</f>
        <v/>
      </c>
      <c r="H5026" s="11" t="n">
        <v>0</v>
      </c>
      <c r="I5026" s="11" t="n">
        <v>0</v>
      </c>
      <c r="J5026" s="11" t="n">
        <v>0</v>
      </c>
      <c r="K5026" s="4" t="inlineStr">
        <is>
          <t>Stundensätze eingeben</t>
        </is>
      </c>
    </row>
    <row r="5027">
      <c r="A5027" s="4" t="inlineStr">
        <is>
          <t>7466 Hoppe-PHP-Mühlstr76-Darmstadt-HPPVO</t>
        </is>
      </c>
      <c r="B5027" s="4" t="inlineStr">
        <is>
          <t>● (aN) Prüfung und Bescheinigung von Abweichungen zum Bauvorhaben</t>
        </is>
      </c>
      <c r="C5027" s="4" t="inlineStr">
        <is>
          <t>Nachweis</t>
        </is>
      </c>
      <c r="D5027" s="10" t="inlineStr">
        <is>
          <t>⚠ Manual erforderlich</t>
        </is>
      </c>
      <c r="E5027" s="11" t="inlineStr"/>
      <c r="F5027" s="11" t="n">
        <v>0</v>
      </c>
      <c r="G5027" s="11">
        <f>E5027-F5027</f>
        <v/>
      </c>
      <c r="H5027" s="11" t="n">
        <v/>
      </c>
      <c r="I5027" s="11" t="n">
        <v/>
      </c>
      <c r="J5027" s="11" t="n">
        <v/>
      </c>
      <c r="K5027" s="4" t="inlineStr">
        <is>
          <t>Stundensätze eingeben</t>
        </is>
      </c>
    </row>
    <row r="5028">
      <c r="A5028" s="4" t="inlineStr">
        <is>
          <t>7466 Hoppe-PHP-Mühlstr76-Darmstadt-HPPVO</t>
        </is>
      </c>
      <c r="B5028" s="4" t="inlineStr">
        <is>
          <t>● (p) Auftragsbearbeitung/Administrative Tätigkeiten zur Projektunterstützung</t>
        </is>
      </c>
      <c r="C5028" s="4" t="inlineStr">
        <is>
          <t>Pauschale</t>
        </is>
      </c>
      <c r="D5028" s="10" t="inlineStr">
        <is>
          <t>⚠ Manual erforderlich</t>
        </is>
      </c>
      <c r="E5028" s="11" t="inlineStr"/>
      <c r="F5028" s="11" t="n">
        <v>0</v>
      </c>
      <c r="G5028" s="11">
        <f>E5028-F5028</f>
        <v/>
      </c>
      <c r="H5028" s="11" t="n">
        <v>0</v>
      </c>
      <c r="I5028" s="11" t="n">
        <v>0</v>
      </c>
      <c r="J5028" s="11" t="n">
        <v>0</v>
      </c>
      <c r="K5028" s="4" t="inlineStr">
        <is>
          <t>Stundensätze eingeben</t>
        </is>
      </c>
    </row>
    <row r="5029">
      <c r="A5029" s="4" t="inlineStr">
        <is>
          <t>7467 Kernig-BSK-Bismarckstraße-27-Köln-EG-EVO-Fitnessstudio</t>
        </is>
      </c>
      <c r="B5029" s="4" t="inlineStr">
        <is>
          <t>● (p) Pos.1 Erstellung BSK für Nutzungsänderung der EG-Einheit in ein EVO-Fitnessstudio</t>
        </is>
      </c>
      <c r="C5029" s="4" t="inlineStr">
        <is>
          <t>Pauschale</t>
        </is>
      </c>
      <c r="D5029" s="10" t="inlineStr">
        <is>
          <t>⚠ Manual erforderlich</t>
        </is>
      </c>
      <c r="E5029" s="11" t="inlineStr"/>
      <c r="F5029" s="11" t="n">
        <v>0</v>
      </c>
      <c r="G5029" s="11">
        <f>E5029-F5029</f>
        <v/>
      </c>
      <c r="H5029" s="11" t="n">
        <v>0</v>
      </c>
      <c r="I5029" s="11" t="n">
        <v>0</v>
      </c>
      <c r="J5029" s="11" t="n">
        <v>0</v>
      </c>
      <c r="K5029" s="4" t="inlineStr">
        <is>
          <t>Stundensätze eingeben</t>
        </is>
      </c>
    </row>
    <row r="5030">
      <c r="A5030" s="4" t="inlineStr">
        <is>
          <t>7467 Kernig-BSK-Bismarckstraße-27-Köln-EG-EVO-Fitnessstudio</t>
        </is>
      </c>
      <c r="B5030" s="4" t="inlineStr">
        <is>
          <t>● (aN) Pos.2 Baubegl. Brandschutzberatung +Qualitätsüberwachung für Durchführung der BM</t>
        </is>
      </c>
      <c r="C5030" s="4" t="inlineStr">
        <is>
          <t>Nachweis</t>
        </is>
      </c>
      <c r="D5030" s="10" t="inlineStr">
        <is>
          <t>⚠ Manual erforderlich</t>
        </is>
      </c>
      <c r="E5030" s="11" t="inlineStr"/>
      <c r="F5030" s="11" t="n">
        <v>0</v>
      </c>
      <c r="G5030" s="11">
        <f>E5030-F5030</f>
        <v/>
      </c>
      <c r="H5030" s="11" t="n">
        <v/>
      </c>
      <c r="I5030" s="11" t="n">
        <v/>
      </c>
      <c r="J5030" s="11" t="n">
        <v/>
      </c>
      <c r="K5030" s="4" t="inlineStr">
        <is>
          <t>Stundensätze eingeben</t>
        </is>
      </c>
    </row>
    <row r="5031">
      <c r="A5031" s="4" t="inlineStr">
        <is>
          <t>7468 PasingGmbH-BTB-FRP-FWP-Steinerweg3a-Pasing</t>
        </is>
      </c>
      <c r="B5031" s="4" t="inlineStr">
        <is>
          <t>● (aN) Pos. 1 Brandschutztechnische Beratungsleistungen (LP5)</t>
        </is>
      </c>
      <c r="C5031" s="4" t="inlineStr">
        <is>
          <t>Nachweis</t>
        </is>
      </c>
      <c r="D5031" s="10" t="inlineStr">
        <is>
          <t>⚠ Manual erforderlich</t>
        </is>
      </c>
      <c r="E5031" s="11" t="inlineStr"/>
      <c r="F5031" s="11" t="n">
        <v>0</v>
      </c>
      <c r="G5031" s="11">
        <f>E5031-F5031</f>
        <v/>
      </c>
      <c r="H5031" s="11" t="n">
        <v/>
      </c>
      <c r="I5031" s="11" t="n">
        <v/>
      </c>
      <c r="J5031" s="11" t="n">
        <v/>
      </c>
      <c r="K5031" s="4" t="inlineStr">
        <is>
          <t>Stundensätze eingeben</t>
        </is>
      </c>
    </row>
    <row r="5032">
      <c r="A5032" s="4" t="inlineStr">
        <is>
          <t>7468 PasingGmbH-BTB-FRP-FWP-Steinerweg3a-Pasing</t>
        </is>
      </c>
      <c r="B5032" s="4" t="inlineStr">
        <is>
          <t>● (aN) Pos. 2 Brandschutztechnische Beratungsleistungen (LP8)</t>
        </is>
      </c>
      <c r="C5032" s="4" t="inlineStr">
        <is>
          <t>Nachweis</t>
        </is>
      </c>
      <c r="D5032" s="10" t="inlineStr">
        <is>
          <t>⚠ Manual erforderlich</t>
        </is>
      </c>
      <c r="E5032" s="11" t="inlineStr"/>
      <c r="F5032" s="11" t="n">
        <v>0</v>
      </c>
      <c r="G5032" s="11">
        <f>E5032-F5032</f>
        <v/>
      </c>
      <c r="H5032" s="11" t="n">
        <v/>
      </c>
      <c r="I5032" s="11" t="n">
        <v/>
      </c>
      <c r="J5032" s="11" t="n">
        <v/>
      </c>
      <c r="K5032" s="4" t="inlineStr">
        <is>
          <t>Stundensätze eingeben</t>
        </is>
      </c>
    </row>
    <row r="5033">
      <c r="A5033" s="4" t="inlineStr">
        <is>
          <t>7468 PasingGmbH-BTB-FRP-FWP-Steinerweg3a-Pasing</t>
        </is>
      </c>
      <c r="B5033" s="4" t="inlineStr">
        <is>
          <t>● (aN) Pos. 3 Erstellung bzw. Anpassung der Feuerwehrplän</t>
        </is>
      </c>
      <c r="C5033" s="4" t="inlineStr">
        <is>
          <t>Nachweis</t>
        </is>
      </c>
      <c r="D5033" s="10" t="inlineStr">
        <is>
          <t>⚠ Manual erforderlich</t>
        </is>
      </c>
      <c r="E5033" s="11" t="inlineStr"/>
      <c r="F5033" s="11" t="n">
        <v>0</v>
      </c>
      <c r="G5033" s="11">
        <f>E5033-F5033</f>
        <v/>
      </c>
      <c r="H5033" s="11" t="n">
        <v/>
      </c>
      <c r="I5033" s="11" t="n">
        <v/>
      </c>
      <c r="J5033" s="11" t="n">
        <v/>
      </c>
      <c r="K5033" s="4" t="inlineStr">
        <is>
          <t>Stundensätze eingeben</t>
        </is>
      </c>
    </row>
    <row r="5034">
      <c r="A5034" s="4" t="inlineStr">
        <is>
          <t>7468 PasingGmbH-BTB-FRP-FWP-Steinerweg3a-Pasing</t>
        </is>
      </c>
      <c r="B5034" s="4" t="inlineStr">
        <is>
          <t>● (aN) Pos. 4 Erstellung bzw. Anpassung der Flucht- und Rettungspläne (+ optional Klapprahmen)</t>
        </is>
      </c>
      <c r="C5034" s="4" t="inlineStr">
        <is>
          <t>Nachweis</t>
        </is>
      </c>
      <c r="D5034" s="10" t="inlineStr">
        <is>
          <t>⚠ Manual erforderlich</t>
        </is>
      </c>
      <c r="E5034" s="11" t="inlineStr"/>
      <c r="F5034" s="11" t="n">
        <v>0</v>
      </c>
      <c r="G5034" s="11">
        <f>E5034-F5034</f>
        <v/>
      </c>
      <c r="H5034" s="11" t="n">
        <v/>
      </c>
      <c r="I5034" s="11" t="n">
        <v/>
      </c>
      <c r="J5034" s="11" t="n">
        <v/>
      </c>
      <c r="K5034" s="4" t="inlineStr">
        <is>
          <t>Stundensätze eingeben</t>
        </is>
      </c>
    </row>
    <row r="5035">
      <c r="A5035" s="4" t="inlineStr">
        <is>
          <t>7468 PasingGmbH-BTB-FRP-FWP-Steinerweg3a-Pasing</t>
        </is>
      </c>
      <c r="B5035" s="4" t="inlineStr">
        <is>
          <t>● Pos. 5 Optional: Zusätzliche Beratungsleistungen</t>
        </is>
      </c>
      <c r="C5035" s="9" t="inlineStr">
        <is>
          <t>Unbekannt</t>
        </is>
      </c>
      <c r="D5035" s="10" t="inlineStr">
        <is>
          <t>⚠ Manual erforderlich</t>
        </is>
      </c>
      <c r="E5035" s="11" t="inlineStr"/>
      <c r="F5035" s="11" t="n">
        <v>0</v>
      </c>
      <c r="G5035" s="11">
        <f>E5035-F5035</f>
        <v/>
      </c>
      <c r="H5035" s="11" t="n">
        <v/>
      </c>
      <c r="I5035" s="11" t="n">
        <v/>
      </c>
      <c r="J5035" s="11" t="n">
        <v/>
      </c>
      <c r="K5035" s="4" t="inlineStr">
        <is>
          <t>Abrechnungsart wählen; Stundensätze eingeben</t>
        </is>
      </c>
    </row>
    <row r="5036">
      <c r="A5036" s="4" t="inlineStr">
        <is>
          <t>7469 DRV-BSB-06-2025-052026-Los1-FK-Gaißach</t>
        </is>
      </c>
      <c r="B5036" s="4" t="inlineStr">
        <is>
          <t>● (aN) BSB 06-2025/05-2026  Los 1</t>
        </is>
      </c>
      <c r="C5036" s="4" t="inlineStr">
        <is>
          <t>Nachweis</t>
        </is>
      </c>
      <c r="D5036" s="10" t="inlineStr">
        <is>
          <t>⚠ Manual erforderlich</t>
        </is>
      </c>
      <c r="E5036" s="11" t="inlineStr"/>
      <c r="F5036" s="11" t="n">
        <v>0</v>
      </c>
      <c r="G5036" s="11">
        <f>E5036-F5036</f>
        <v/>
      </c>
      <c r="H5036" s="11" t="n">
        <v/>
      </c>
      <c r="I5036" s="11" t="n">
        <v/>
      </c>
      <c r="J5036" s="11" t="n">
        <v/>
      </c>
      <c r="K5036" s="4" t="inlineStr">
        <is>
          <t>Stundensätze eingeben</t>
        </is>
      </c>
    </row>
    <row r="5037">
      <c r="A5037" s="4" t="inlineStr">
        <is>
          <t>7469 DRV-BSB-06-2025-052026-Los1-FK-Gaißach</t>
        </is>
      </c>
      <c r="B5037" s="4" t="inlineStr">
        <is>
          <t>● Anfahrten / Jahr á 4h zu 95€ = 2.280€</t>
        </is>
      </c>
      <c r="C5037" s="9" t="inlineStr">
        <is>
          <t>Unbekannt</t>
        </is>
      </c>
      <c r="D5037" s="10" t="inlineStr">
        <is>
          <t>⚠ Manual erforderlich</t>
        </is>
      </c>
      <c r="E5037" s="11" t="inlineStr"/>
      <c r="F5037" s="11" t="n">
        <v>0</v>
      </c>
      <c r="G5037" s="11">
        <f>E5037-F5037</f>
        <v/>
      </c>
      <c r="H5037" s="11" t="n">
        <v/>
      </c>
      <c r="I5037" s="11" t="n">
        <v/>
      </c>
      <c r="J5037" s="11" t="n">
        <v/>
      </c>
      <c r="K5037" s="4" t="inlineStr">
        <is>
          <t>Abrechnungsart wählen; Stundensätze eingeben</t>
        </is>
      </c>
    </row>
    <row r="5038">
      <c r="A5038" s="4" t="inlineStr">
        <is>
          <t>7471 Löw-FRP-Benzstr-14-Bad Homburg-Krippe</t>
        </is>
      </c>
      <c r="B5038" s="4" t="inlineStr">
        <is>
          <t>● (p) Pos.1 Erstellung FRP</t>
        </is>
      </c>
      <c r="C5038" s="4" t="inlineStr">
        <is>
          <t>Pauschale</t>
        </is>
      </c>
      <c r="D5038" s="10" t="inlineStr">
        <is>
          <t>⚠ Manual erforderlich</t>
        </is>
      </c>
      <c r="E5038" s="11" t="inlineStr"/>
      <c r="F5038" s="11" t="n">
        <v>0</v>
      </c>
      <c r="G5038" s="11">
        <f>E5038-F5038</f>
        <v/>
      </c>
      <c r="H5038" s="11" t="n">
        <v>0</v>
      </c>
      <c r="I5038" s="11" t="n">
        <v>0</v>
      </c>
      <c r="J5038" s="11" t="n">
        <v>0</v>
      </c>
      <c r="K5038" s="4" t="inlineStr">
        <is>
          <t>Stundensätze eingeben</t>
        </is>
      </c>
    </row>
    <row r="5039">
      <c r="A5039" s="4" t="inlineStr">
        <is>
          <t>7472 ASB-FWP-Frankfurter-Str-2-Weilbach-WG</t>
        </is>
      </c>
      <c r="B5039" s="4" t="inlineStr">
        <is>
          <t>● (p) Feuerwehrpläne</t>
        </is>
      </c>
      <c r="C5039" s="4" t="inlineStr">
        <is>
          <t>Pauschale</t>
        </is>
      </c>
      <c r="D5039" s="10" t="inlineStr">
        <is>
          <t>⚠ Manual erforderlich</t>
        </is>
      </c>
      <c r="E5039" s="11" t="inlineStr"/>
      <c r="F5039" s="11" t="n">
        <v>0</v>
      </c>
      <c r="G5039" s="11">
        <f>E5039-F5039</f>
        <v/>
      </c>
      <c r="H5039" s="11" t="n">
        <v>0</v>
      </c>
      <c r="I5039" s="11" t="n">
        <v>0</v>
      </c>
      <c r="J5039" s="11" t="n">
        <v>0</v>
      </c>
      <c r="K5039" s="4" t="inlineStr">
        <is>
          <t>Stundensätze eingeben</t>
        </is>
      </c>
    </row>
    <row r="5040">
      <c r="A5040" s="4" t="inlineStr">
        <is>
          <t>7473 BST-FritzKortnerBogen2-MUC-5.OG-UP-WC-Spülkasten</t>
        </is>
      </c>
      <c r="B5040" s="4" t="inlineStr">
        <is>
          <t>● (p) Pos.1 Erstellung BST zu -UP-WC-Spülkasten</t>
        </is>
      </c>
      <c r="C5040" s="4" t="inlineStr">
        <is>
          <t>Pauschale</t>
        </is>
      </c>
      <c r="D5040" s="10" t="inlineStr">
        <is>
          <t>⚠ Manual erforderlich</t>
        </is>
      </c>
      <c r="E5040" s="11" t="inlineStr"/>
      <c r="F5040" s="11" t="n">
        <v>0</v>
      </c>
      <c r="G5040" s="11">
        <f>E5040-F5040</f>
        <v/>
      </c>
      <c r="H5040" s="11" t="n">
        <v>0</v>
      </c>
      <c r="I5040" s="11" t="n">
        <v>0</v>
      </c>
      <c r="J5040" s="11" t="n">
        <v>0</v>
      </c>
      <c r="K5040" s="4" t="inlineStr">
        <is>
          <t>Stundensätze eingeben</t>
        </is>
      </c>
    </row>
    <row r="5041">
      <c r="A5041" s="4" t="inlineStr">
        <is>
          <t>7474 Alterric-BSK-Simmerner-Str-Simmern</t>
        </is>
      </c>
      <c r="B5041" s="4" t="inlineStr">
        <is>
          <t>● (p) Pos. 1 BSK Prüpfung + Fortschr. eines bestehenden, genehmigten Gutachtens</t>
        </is>
      </c>
      <c r="C5041" s="4" t="inlineStr">
        <is>
          <t>Pauschale</t>
        </is>
      </c>
      <c r="D5041" s="10" t="inlineStr">
        <is>
          <t>⚠ Manual erforderlich</t>
        </is>
      </c>
      <c r="E5041" s="11" t="inlineStr"/>
      <c r="F5041" s="11" t="n">
        <v>0</v>
      </c>
      <c r="G5041" s="11">
        <f>E5041-F5041</f>
        <v/>
      </c>
      <c r="H5041" s="11" t="n">
        <v>0</v>
      </c>
      <c r="I5041" s="11" t="n">
        <v>0</v>
      </c>
      <c r="J5041" s="11" t="n">
        <v>0</v>
      </c>
      <c r="K5041" s="4" t="inlineStr">
        <is>
          <t>Stundensätze eingeben</t>
        </is>
      </c>
    </row>
    <row r="5042">
      <c r="A5042" s="4" t="inlineStr">
        <is>
          <t>7475 URL-WEG-BTB-Schwarzenbergstr1+3+5-Rosenheim</t>
        </is>
      </c>
      <c r="B5042" s="4" t="inlineStr">
        <is>
          <t>● (aN) Pos. 1 BTB</t>
        </is>
      </c>
      <c r="C5042" s="4" t="inlineStr">
        <is>
          <t>Nachweis</t>
        </is>
      </c>
      <c r="D5042" s="10" t="inlineStr">
        <is>
          <t>⚠ Manual erforderlich</t>
        </is>
      </c>
      <c r="E5042" s="11" t="inlineStr"/>
      <c r="F5042" s="11" t="n">
        <v>0</v>
      </c>
      <c r="G5042" s="11">
        <f>E5042-F5042</f>
        <v/>
      </c>
      <c r="H5042" s="11" t="n">
        <v/>
      </c>
      <c r="I5042" s="11" t="n">
        <v/>
      </c>
      <c r="J5042" s="11" t="n">
        <v/>
      </c>
      <c r="K5042" s="4" t="inlineStr">
        <is>
          <t>Stundensätze eingeben</t>
        </is>
      </c>
    </row>
    <row r="5043">
      <c r="A5043" s="4" t="inlineStr">
        <is>
          <t>7476 Porr-BTB-Frankfurter-Straße-62-Raunheim-FRA32</t>
        </is>
      </c>
      <c r="B5043" s="4" t="inlineStr">
        <is>
          <t>● (aN) Pos.1 BTB - consulting services</t>
        </is>
      </c>
      <c r="C5043" s="4" t="inlineStr">
        <is>
          <t>Nachweis</t>
        </is>
      </c>
      <c r="D5043" s="10" t="inlineStr">
        <is>
          <t>⚠ Manual erforderlich</t>
        </is>
      </c>
      <c r="E5043" s="11" t="inlineStr"/>
      <c r="F5043" s="11" t="n">
        <v>0</v>
      </c>
      <c r="G5043" s="11">
        <f>E5043-F5043</f>
        <v/>
      </c>
      <c r="H5043" s="11" t="n">
        <v/>
      </c>
      <c r="I5043" s="11" t="n">
        <v/>
      </c>
      <c r="J5043" s="11" t="n">
        <v/>
      </c>
      <c r="K5043" s="4" t="inlineStr">
        <is>
          <t>Stundensätze eingeben</t>
        </is>
      </c>
    </row>
    <row r="5044">
      <c r="A5044" s="4" t="inlineStr">
        <is>
          <t>7476 Porr-BTB-Frankfurter-Straße-62-Raunheim-FRA32</t>
        </is>
      </c>
      <c r="B5044" s="4" t="inlineStr">
        <is>
          <t>● (p) Pos.2 Ortstermin - On-site inspections</t>
        </is>
      </c>
      <c r="C5044" s="4" t="inlineStr">
        <is>
          <t>Pauschale</t>
        </is>
      </c>
      <c r="D5044" s="10" t="inlineStr">
        <is>
          <t>⚠ Manual erforderlich</t>
        </is>
      </c>
      <c r="E5044" s="11" t="inlineStr"/>
      <c r="F5044" s="11" t="n">
        <v>0</v>
      </c>
      <c r="G5044" s="11">
        <f>E5044-F5044</f>
        <v/>
      </c>
      <c r="H5044" s="11" t="n">
        <v>0</v>
      </c>
      <c r="I5044" s="11" t="n">
        <v>0</v>
      </c>
      <c r="J5044" s="11" t="n">
        <v>0</v>
      </c>
      <c r="K5044" s="4" t="inlineStr">
        <is>
          <t>Stundensätze eingeben</t>
        </is>
      </c>
    </row>
    <row r="5045">
      <c r="A5045" s="4" t="inlineStr">
        <is>
          <t>7476 Porr-BTB-Frankfurter-Straße-62-Raunheim-FRA32</t>
        </is>
      </c>
      <c r="B5045" s="4" t="inlineStr">
        <is>
          <t>● (aN) Pos.3 BSK - Summary of changes to the fire protection concept</t>
        </is>
      </c>
      <c r="C5045" s="4" t="inlineStr">
        <is>
          <t>Nachweis</t>
        </is>
      </c>
      <c r="D5045" s="10" t="inlineStr">
        <is>
          <t>⚠ Manual erforderlich</t>
        </is>
      </c>
      <c r="E5045" s="11" t="inlineStr"/>
      <c r="F5045" s="11" t="n">
        <v>0</v>
      </c>
      <c r="G5045" s="11">
        <f>E5045-F5045</f>
        <v/>
      </c>
      <c r="H5045" s="11" t="n">
        <v/>
      </c>
      <c r="I5045" s="11" t="n">
        <v/>
      </c>
      <c r="J5045" s="11" t="n">
        <v/>
      </c>
      <c r="K5045" s="4" t="inlineStr">
        <is>
          <t>Stundensätze eingeben</t>
        </is>
      </c>
    </row>
    <row r="5046">
      <c r="A5046" s="4" t="inlineStr">
        <is>
          <t>7477 WindBauer-BSK-WEA-Waldhausen</t>
        </is>
      </c>
      <c r="B5046" s="4" t="inlineStr">
        <is>
          <t>● (p) Pos. 1 Erstellung BSK</t>
        </is>
      </c>
      <c r="C5046" s="4" t="inlineStr">
        <is>
          <t>Pauschale</t>
        </is>
      </c>
      <c r="D5046" s="10" t="inlineStr">
        <is>
          <t>⚠ Manual erforderlich</t>
        </is>
      </c>
      <c r="E5046" s="11" t="inlineStr"/>
      <c r="F5046" s="11" t="n">
        <v>0</v>
      </c>
      <c r="G5046" s="11">
        <f>E5046-F5046</f>
        <v/>
      </c>
      <c r="H5046" s="11" t="n">
        <v>0</v>
      </c>
      <c r="I5046" s="11" t="n">
        <v>0</v>
      </c>
      <c r="J5046" s="11" t="n">
        <v>0</v>
      </c>
      <c r="K5046" s="4" t="inlineStr">
        <is>
          <t>Stundensätze eingeben</t>
        </is>
      </c>
    </row>
    <row r="5047">
      <c r="A5047" s="4" t="inlineStr">
        <is>
          <t>7478 WindBauer-BSK-WEA-Hofstett</t>
        </is>
      </c>
      <c r="B5047" s="4" t="inlineStr">
        <is>
          <t>● (p) Pos. 1 Erstellung BSK</t>
        </is>
      </c>
      <c r="C5047" s="4" t="inlineStr">
        <is>
          <t>Pauschale</t>
        </is>
      </c>
      <c r="D5047" s="10" t="inlineStr">
        <is>
          <t>⚠ Manual erforderlich</t>
        </is>
      </c>
      <c r="E5047" s="11" t="inlineStr"/>
      <c r="F5047" s="11" t="n">
        <v>0</v>
      </c>
      <c r="G5047" s="11">
        <f>E5047-F5047</f>
        <v/>
      </c>
      <c r="H5047" s="11" t="n">
        <v>0</v>
      </c>
      <c r="I5047" s="11" t="n">
        <v>0</v>
      </c>
      <c r="J5047" s="11" t="n">
        <v>0</v>
      </c>
      <c r="K5047" s="4" t="inlineStr">
        <is>
          <t>Stundensätze eingeben</t>
        </is>
      </c>
    </row>
    <row r="5048">
      <c r="A5048" s="4" t="inlineStr">
        <is>
          <t>7479 Weinke-BST-Oranienstraße-9-Frankfurt-DG</t>
        </is>
      </c>
      <c r="B5048" s="4" t="inlineStr">
        <is>
          <t>● (aN) Pos.1 BTB bzgl. der Wohnnutzung im DG sowie der Büronutzung im KG</t>
        </is>
      </c>
      <c r="C5048" s="4" t="inlineStr">
        <is>
          <t>Nachweis</t>
        </is>
      </c>
      <c r="D5048" s="10" t="inlineStr">
        <is>
          <t>⚠ Manual erforderlich</t>
        </is>
      </c>
      <c r="E5048" s="11" t="inlineStr"/>
      <c r="F5048" s="11" t="n">
        <v>0</v>
      </c>
      <c r="G5048" s="11">
        <f>E5048-F5048</f>
        <v/>
      </c>
      <c r="H5048" s="11" t="n">
        <v/>
      </c>
      <c r="I5048" s="11" t="n">
        <v/>
      </c>
      <c r="J5048" s="11" t="n">
        <v/>
      </c>
      <c r="K5048" s="4" t="inlineStr">
        <is>
          <t>Stundensätze eingeben</t>
        </is>
      </c>
    </row>
    <row r="5049">
      <c r="A5049" s="4" t="inlineStr">
        <is>
          <t>7481 The Oswalds-BSO-Gewerbegegäude-Reichertshausen</t>
        </is>
      </c>
      <c r="B5049" s="4" t="inlineStr">
        <is>
          <t>● (p) Pos. 1 Ermittlung der Feuerlöscheranzahl</t>
        </is>
      </c>
      <c r="C5049" s="4" t="inlineStr">
        <is>
          <t>Pauschale</t>
        </is>
      </c>
      <c r="D5049" s="10" t="inlineStr">
        <is>
          <t>⚠ Manual erforderlich</t>
        </is>
      </c>
      <c r="E5049" s="11" t="inlineStr"/>
      <c r="F5049" s="11" t="n">
        <v>0</v>
      </c>
      <c r="G5049" s="11">
        <f>E5049-F5049</f>
        <v/>
      </c>
      <c r="H5049" s="11" t="n">
        <v>0</v>
      </c>
      <c r="I5049" s="11" t="n">
        <v>0</v>
      </c>
      <c r="J5049" s="11" t="n">
        <v>0</v>
      </c>
      <c r="K5049" s="4" t="inlineStr">
        <is>
          <t>Stundensätze eingeben</t>
        </is>
      </c>
    </row>
    <row r="5050">
      <c r="A5050" s="4" t="inlineStr">
        <is>
          <t>7481 The Oswalds-BSO-Gewerbegegäude-Reichertshausen</t>
        </is>
      </c>
      <c r="B5050" s="4" t="inlineStr">
        <is>
          <t>● (p) Pos.2 Brandschutzordnung</t>
        </is>
      </c>
      <c r="C5050" s="4" t="inlineStr">
        <is>
          <t>Pauschale</t>
        </is>
      </c>
      <c r="D5050" s="10" t="inlineStr">
        <is>
          <t>⚠ Manual erforderlich</t>
        </is>
      </c>
      <c r="E5050" s="11" t="inlineStr"/>
      <c r="F5050" s="11" t="n">
        <v>0</v>
      </c>
      <c r="G5050" s="11">
        <f>E5050-F5050</f>
        <v/>
      </c>
      <c r="H5050" s="11" t="n">
        <v>0</v>
      </c>
      <c r="I5050" s="11" t="n">
        <v>0</v>
      </c>
      <c r="J5050" s="11" t="n">
        <v>0</v>
      </c>
      <c r="K5050" s="4" t="inlineStr">
        <is>
          <t>Stundensätze eingeben</t>
        </is>
      </c>
    </row>
    <row r="5051">
      <c r="A5051" s="4" t="inlineStr">
        <is>
          <t>7482 Telehouse-BSK-TDE-Campus-Kleyerstraße-FFM-übergeordnetes-BSK</t>
        </is>
      </c>
      <c r="B5051" s="4" t="inlineStr">
        <is>
          <t>● (p) Pos. 1 Zusammenstellung der Gebäude mit vorhandenen brandschutztechnischen Bewertungen</t>
        </is>
      </c>
      <c r="C5051" s="4" t="inlineStr">
        <is>
          <t>Pauschale</t>
        </is>
      </c>
      <c r="D5051" s="10" t="inlineStr">
        <is>
          <t>⚠ Manual erforderlich</t>
        </is>
      </c>
      <c r="E5051" s="11" t="inlineStr"/>
      <c r="F5051" s="11" t="n">
        <v>0</v>
      </c>
      <c r="G5051" s="11">
        <f>E5051-F5051</f>
        <v/>
      </c>
      <c r="H5051" s="11" t="n">
        <v>0</v>
      </c>
      <c r="I5051" s="11" t="n">
        <v>0</v>
      </c>
      <c r="J5051" s="11" t="n">
        <v>0</v>
      </c>
      <c r="K5051" s="4" t="inlineStr">
        <is>
          <t>Stundensätze eingeben</t>
        </is>
      </c>
    </row>
    <row r="5052">
      <c r="A5052" s="4" t="inlineStr">
        <is>
          <t>7482 Telehouse-BSK-TDE-Campus-Kleyerstraße-FFM-übergeordnetes-BSK</t>
        </is>
      </c>
      <c r="B5052" s="4" t="inlineStr">
        <is>
          <t>● (aN) Pos. 2 übergreifendes BSK (Campus)x</t>
        </is>
      </c>
      <c r="C5052" s="4" t="inlineStr">
        <is>
          <t>Nachweis</t>
        </is>
      </c>
      <c r="D5052" s="10" t="inlineStr">
        <is>
          <t>⚠ Manual erforderlich</t>
        </is>
      </c>
      <c r="E5052" s="11" t="inlineStr"/>
      <c r="F5052" s="11" t="n">
        <v>0</v>
      </c>
      <c r="G5052" s="11">
        <f>E5052-F5052</f>
        <v/>
      </c>
      <c r="H5052" s="11" t="n">
        <v/>
      </c>
      <c r="I5052" s="11" t="n">
        <v/>
      </c>
      <c r="J5052" s="11" t="n">
        <v/>
      </c>
      <c r="K5052" s="4" t="inlineStr">
        <is>
          <t>Stundensätze eingeben</t>
        </is>
      </c>
    </row>
    <row r="5053">
      <c r="A5053" s="4" t="inlineStr">
        <is>
          <t>7482 Telehouse-BSK-TDE-Campus-Kleyerstraße-FFM-übergeordnetes-BSK</t>
        </is>
      </c>
      <c r="B5053" s="4" t="inlineStr">
        <is>
          <t>● ADM (nicht kalkuliert)</t>
        </is>
      </c>
      <c r="C5053" s="9" t="inlineStr">
        <is>
          <t>Unbekannt</t>
        </is>
      </c>
      <c r="D5053" s="10" t="inlineStr">
        <is>
          <t>⚠ Manual erforderlich</t>
        </is>
      </c>
      <c r="E5053" s="11" t="inlineStr"/>
      <c r="F5053" s="11" t="n">
        <v>0</v>
      </c>
      <c r="G5053" s="11">
        <f>E5053-F5053</f>
        <v/>
      </c>
      <c r="H5053" s="11" t="n">
        <v/>
      </c>
      <c r="I5053" s="11" t="n">
        <v/>
      </c>
      <c r="J5053" s="11" t="n">
        <v/>
      </c>
      <c r="K5053" s="4" t="inlineStr">
        <is>
          <t>Abrechnungsart wählen; Stundensätze eingeben</t>
        </is>
      </c>
    </row>
    <row r="5054">
      <c r="A5054" s="4" t="inlineStr">
        <is>
          <t>7483 Fortschr.-BSK-Bhf-Traunstein</t>
        </is>
      </c>
      <c r="B5054" s="4" t="inlineStr">
        <is>
          <t>● (p) Pos. 01.16.03 Fortschreibung des bestehenden BSK für Personenverkehrsanlagen mit Gebäuden</t>
        </is>
      </c>
      <c r="C5054" s="4" t="inlineStr">
        <is>
          <t>Pauschale</t>
        </is>
      </c>
      <c r="D5054" s="10" t="inlineStr">
        <is>
          <t>⚠ Manual erforderlich</t>
        </is>
      </c>
      <c r="E5054" s="11" t="inlineStr"/>
      <c r="F5054" s="11" t="n">
        <v>0</v>
      </c>
      <c r="G5054" s="11">
        <f>E5054-F5054</f>
        <v/>
      </c>
      <c r="H5054" s="11" t="n">
        <v>0</v>
      </c>
      <c r="I5054" s="11" t="n">
        <v>0</v>
      </c>
      <c r="J5054" s="11" t="n">
        <v>0</v>
      </c>
      <c r="K5054" s="4" t="inlineStr">
        <is>
          <t>Stundensätze eingeben</t>
        </is>
      </c>
    </row>
    <row r="5055">
      <c r="A5055" s="4" t="inlineStr">
        <is>
          <t>7484 Vitzthum-AHO-NeubauOtto9-Otto-Straße 9-München</t>
        </is>
      </c>
      <c r="B5055" s="4" t="inlineStr">
        <is>
          <t>● (p) Pos1 LPH 1 Grundlagenermittlung RL</t>
        </is>
      </c>
      <c r="C5055" s="4" t="inlineStr">
        <is>
          <t>Pauschale</t>
        </is>
      </c>
      <c r="D5055" s="10" t="inlineStr">
        <is>
          <t>⚠ Manual erforderlich</t>
        </is>
      </c>
      <c r="E5055" s="11" t="inlineStr"/>
      <c r="F5055" s="11" t="n">
        <v>0</v>
      </c>
      <c r="G5055" s="11">
        <f>E5055-F5055</f>
        <v/>
      </c>
      <c r="H5055" s="11" t="n">
        <v>0</v>
      </c>
      <c r="I5055" s="11" t="n">
        <v>0</v>
      </c>
      <c r="J5055" s="11" t="n">
        <v>0</v>
      </c>
      <c r="K5055" s="4" t="inlineStr">
        <is>
          <t>Stundensätze eingeben</t>
        </is>
      </c>
    </row>
    <row r="5056">
      <c r="A5056" s="4" t="inlineStr">
        <is>
          <t>7484 Vitzthum-AHO-NeubauOtto9-Otto-Straße 9-München</t>
        </is>
      </c>
      <c r="B5056" s="4" t="inlineStr">
        <is>
          <t>● (p) Pos.2 LPH 2 Vorplanung RL</t>
        </is>
      </c>
      <c r="C5056" s="4" t="inlineStr">
        <is>
          <t>Pauschale</t>
        </is>
      </c>
      <c r="D5056" s="10" t="inlineStr">
        <is>
          <t>⚠ Manual erforderlich</t>
        </is>
      </c>
      <c r="E5056" s="11" t="inlineStr"/>
      <c r="F5056" s="11" t="n">
        <v>0</v>
      </c>
      <c r="G5056" s="11">
        <f>E5056-F5056</f>
        <v/>
      </c>
      <c r="H5056" s="11" t="n">
        <v>0</v>
      </c>
      <c r="I5056" s="11" t="n">
        <v>0</v>
      </c>
      <c r="J5056" s="11" t="n">
        <v>0</v>
      </c>
      <c r="K5056" s="4" t="inlineStr">
        <is>
          <t>Stundensätze eingeben</t>
        </is>
      </c>
    </row>
    <row r="5057">
      <c r="A5057" s="4" t="inlineStr">
        <is>
          <t>7484 Vitzthum-AHO-NeubauOtto9-Otto-Straße 9-München</t>
        </is>
      </c>
      <c r="B5057" s="4" t="inlineStr">
        <is>
          <t>● (p) Pos.3 LPH 3 Entwurfsplanung RL</t>
        </is>
      </c>
      <c r="C5057" s="4" t="inlineStr">
        <is>
          <t>Pauschale</t>
        </is>
      </c>
      <c r="D5057" s="10" t="inlineStr">
        <is>
          <t>⚠ Manual erforderlich</t>
        </is>
      </c>
      <c r="E5057" s="11" t="inlineStr"/>
      <c r="F5057" s="11" t="n">
        <v>0</v>
      </c>
      <c r="G5057" s="11">
        <f>E5057-F5057</f>
        <v/>
      </c>
      <c r="H5057" s="11" t="n">
        <v>0</v>
      </c>
      <c r="I5057" s="11" t="n">
        <v>0</v>
      </c>
      <c r="J5057" s="11" t="n">
        <v>0</v>
      </c>
      <c r="K5057" s="4" t="inlineStr">
        <is>
          <t>Stundensätze eingeben</t>
        </is>
      </c>
    </row>
    <row r="5058">
      <c r="A5058" s="4" t="inlineStr">
        <is>
          <t>7484 Vitzthum-AHO-NeubauOtto9-Otto-Straße 9-München</t>
        </is>
      </c>
      <c r="B5058" s="4" t="inlineStr">
        <is>
          <t>● (p) Pos.4 LPH 4 Genehmigungsplanung RL</t>
        </is>
      </c>
      <c r="C5058" s="4" t="inlineStr">
        <is>
          <t>Pauschale</t>
        </is>
      </c>
      <c r="D5058" s="10" t="inlineStr">
        <is>
          <t>⚠ Manual erforderlich</t>
        </is>
      </c>
      <c r="E5058" s="11" t="inlineStr"/>
      <c r="F5058" s="11" t="n">
        <v>0</v>
      </c>
      <c r="G5058" s="11">
        <f>E5058-F5058</f>
        <v/>
      </c>
      <c r="H5058" s="11" t="n">
        <v>0</v>
      </c>
      <c r="I5058" s="11" t="n">
        <v>0</v>
      </c>
      <c r="J5058" s="11" t="n">
        <v>0</v>
      </c>
      <c r="K5058" s="4" t="inlineStr">
        <is>
          <t>Stundensätze eingeben</t>
        </is>
      </c>
    </row>
    <row r="5059">
      <c r="A5059" s="4" t="inlineStr">
        <is>
          <t>7484 Vitzthum-AHO-NeubauOtto9-Otto-Straße 9-München</t>
        </is>
      </c>
      <c r="B5059" s="4" t="inlineStr">
        <is>
          <t>● (p) Pos.5 OPTIONAL LPH 5</t>
        </is>
      </c>
      <c r="C5059" s="4" t="inlineStr">
        <is>
          <t>Pauschale</t>
        </is>
      </c>
      <c r="D5059" s="10" t="inlineStr">
        <is>
          <t>⚠ Manual erforderlich</t>
        </is>
      </c>
      <c r="E5059" s="11" t="inlineStr"/>
      <c r="F5059" s="11" t="n">
        <v>0</v>
      </c>
      <c r="G5059" s="11">
        <f>E5059-F5059</f>
        <v/>
      </c>
      <c r="H5059" s="11" t="n">
        <v>0</v>
      </c>
      <c r="I5059" s="11" t="n">
        <v>0</v>
      </c>
      <c r="J5059" s="11" t="n">
        <v>0</v>
      </c>
      <c r="K5059" s="4" t="inlineStr">
        <is>
          <t>Stundensätze eingeben</t>
        </is>
      </c>
    </row>
    <row r="5060">
      <c r="A5060" s="4" t="inlineStr">
        <is>
          <t>7484 Vitzthum-AHO-NeubauOtto9-Otto-Straße 9-München</t>
        </is>
      </c>
      <c r="B5060" s="4" t="inlineStr">
        <is>
          <t>● (p) Pos.8 OPTIONAL LPH 8 RL</t>
        </is>
      </c>
      <c r="C5060" s="4" t="inlineStr">
        <is>
          <t>Pauschale</t>
        </is>
      </c>
      <c r="D5060" s="10" t="inlineStr">
        <is>
          <t>⚠ Manual erforderlich</t>
        </is>
      </c>
      <c r="E5060" s="11" t="inlineStr"/>
      <c r="F5060" s="11" t="n">
        <v>0</v>
      </c>
      <c r="G5060" s="11">
        <f>E5060-F5060</f>
        <v/>
      </c>
      <c r="H5060" s="11" t="n">
        <v>0</v>
      </c>
      <c r="I5060" s="11" t="n">
        <v>0</v>
      </c>
      <c r="J5060" s="11" t="n">
        <v>0</v>
      </c>
      <c r="K5060" s="4" t="inlineStr">
        <is>
          <t>Stundensätze eingeben</t>
        </is>
      </c>
    </row>
    <row r="5061">
      <c r="A5061" s="4" t="inlineStr">
        <is>
          <t>7485 Hijran-Sohrab-BSK-Europaplatz10-BKR</t>
        </is>
      </c>
      <c r="B5061" s="4" t="inlineStr">
        <is>
          <t>● (aN) Pos. 1 BST</t>
        </is>
      </c>
      <c r="C5061" s="4" t="inlineStr">
        <is>
          <t>Nachweis</t>
        </is>
      </c>
      <c r="D5061" s="10" t="inlineStr">
        <is>
          <t>⚠ Manual erforderlich</t>
        </is>
      </c>
      <c r="E5061" s="11" t="inlineStr"/>
      <c r="F5061" s="11" t="n">
        <v>0</v>
      </c>
      <c r="G5061" s="11">
        <f>E5061-F5061</f>
        <v/>
      </c>
      <c r="H5061" s="11" t="n">
        <v/>
      </c>
      <c r="I5061" s="11" t="n">
        <v/>
      </c>
      <c r="J5061" s="11" t="n">
        <v/>
      </c>
      <c r="K5061" s="4" t="inlineStr">
        <is>
          <t>Stundensätze eingeben</t>
        </is>
      </c>
    </row>
    <row r="5062">
      <c r="A5062" s="4" t="inlineStr">
        <is>
          <t>7485 Hijran-Sohrab-BSK-Europaplatz10-BKR</t>
        </is>
      </c>
      <c r="B5062" s="4" t="inlineStr">
        <is>
          <t>● ADM</t>
        </is>
      </c>
      <c r="C5062" s="9" t="inlineStr">
        <is>
          <t>Unbekannt</t>
        </is>
      </c>
      <c r="D5062" s="10" t="inlineStr">
        <is>
          <t>⚠ Manual erforderlich</t>
        </is>
      </c>
      <c r="E5062" s="11" t="inlineStr"/>
      <c r="F5062" s="11" t="n">
        <v>0</v>
      </c>
      <c r="G5062" s="11">
        <f>E5062-F5062</f>
        <v/>
      </c>
      <c r="H5062" s="11" t="n">
        <v/>
      </c>
      <c r="I5062" s="11" t="n">
        <v/>
      </c>
      <c r="J5062" s="11" t="n">
        <v/>
      </c>
      <c r="K5062" s="4" t="inlineStr">
        <is>
          <t>Abrechnungsart wählen; Stundensätze eingeben</t>
        </is>
      </c>
    </row>
    <row r="5063">
      <c r="A5063" s="4" t="inlineStr">
        <is>
          <t>7486 wiwi-BSK-WEA-Mainz-Hechtsheim</t>
        </is>
      </c>
      <c r="B5063" s="4" t="inlineStr">
        <is>
          <t>● (p) Pos. 1 Erst. BSK</t>
        </is>
      </c>
      <c r="C5063" s="4" t="inlineStr">
        <is>
          <t>Pauschale</t>
        </is>
      </c>
      <c r="D5063" s="10" t="inlineStr">
        <is>
          <t>⚠ Manual erforderlich</t>
        </is>
      </c>
      <c r="E5063" s="11" t="inlineStr"/>
      <c r="F5063" s="11" t="n">
        <v>0</v>
      </c>
      <c r="G5063" s="11">
        <f>E5063-F5063</f>
        <v/>
      </c>
      <c r="H5063" s="11" t="n">
        <v>0</v>
      </c>
      <c r="I5063" s="11" t="n">
        <v>0</v>
      </c>
      <c r="J5063" s="11" t="n">
        <v>0</v>
      </c>
      <c r="K5063" s="4" t="inlineStr">
        <is>
          <t>Stundensätze eingeben</t>
        </is>
      </c>
    </row>
    <row r="5064">
      <c r="A5064" s="4" t="inlineStr">
        <is>
          <t>7487 BLB-Mühlenhagen-85-Hamburg-NB-Pulverproduktion</t>
        </is>
      </c>
      <c r="B5064" s="4" t="inlineStr">
        <is>
          <t>● (aN) Pos.1 Beratung zur Brandlastberechnung</t>
        </is>
      </c>
      <c r="C5064" s="4" t="inlineStr">
        <is>
          <t>Nachweis</t>
        </is>
      </c>
      <c r="D5064" s="10" t="inlineStr">
        <is>
          <t>⚠ Manual erforderlich</t>
        </is>
      </c>
      <c r="E5064" s="11" t="inlineStr"/>
      <c r="F5064" s="11" t="n">
        <v>0</v>
      </c>
      <c r="G5064" s="11">
        <f>E5064-F5064</f>
        <v/>
      </c>
      <c r="H5064" s="11" t="n">
        <v/>
      </c>
      <c r="I5064" s="11" t="n">
        <v/>
      </c>
      <c r="J5064" s="11" t="n">
        <v/>
      </c>
      <c r="K5064" s="4" t="inlineStr">
        <is>
          <t>Stundensätze eingeben</t>
        </is>
      </c>
    </row>
    <row r="5065">
      <c r="A5065" s="4" t="inlineStr">
        <is>
          <t>7488 BTB-Adelheidstr.18-Königstein-Klinik-Dr.Steib</t>
        </is>
      </c>
      <c r="B5065" s="4" t="inlineStr">
        <is>
          <t>● (aN) Pos.1 BTB während der Ausführungsphase</t>
        </is>
      </c>
      <c r="C5065" s="4" t="inlineStr">
        <is>
          <t>Nachweis</t>
        </is>
      </c>
      <c r="D5065" s="10" t="inlineStr">
        <is>
          <t>⚠ Manual erforderlich</t>
        </is>
      </c>
      <c r="E5065" s="11" t="inlineStr"/>
      <c r="F5065" s="11" t="n">
        <v>0</v>
      </c>
      <c r="G5065" s="11">
        <f>E5065-F5065</f>
        <v/>
      </c>
      <c r="H5065" s="11" t="n">
        <v/>
      </c>
      <c r="I5065" s="11" t="n">
        <v/>
      </c>
      <c r="J5065" s="11" t="n">
        <v/>
      </c>
      <c r="K5065" s="4" t="inlineStr">
        <is>
          <t>Stundensätze eingeben</t>
        </is>
      </c>
    </row>
    <row r="5066">
      <c r="A5066" s="4" t="inlineStr">
        <is>
          <t>7489 HKT-BST-Funkturm-Zülpicher-Wall-48-Köln-Dachbodendecke</t>
        </is>
      </c>
      <c r="B5066" s="4" t="inlineStr">
        <is>
          <t>● (p) Pos. 1 BST - Artikel-Nr. B00000</t>
        </is>
      </c>
      <c r="C5066" s="4" t="inlineStr">
        <is>
          <t>Pauschale</t>
        </is>
      </c>
      <c r="D5066" s="10" t="inlineStr">
        <is>
          <t>⚠ Manual erforderlich</t>
        </is>
      </c>
      <c r="E5066" s="11" t="inlineStr"/>
      <c r="F5066" s="11" t="n">
        <v>0</v>
      </c>
      <c r="G5066" s="11">
        <f>E5066-F5066</f>
        <v/>
      </c>
      <c r="H5066" s="11" t="n">
        <v>0</v>
      </c>
      <c r="I5066" s="11" t="n">
        <v>0</v>
      </c>
      <c r="J5066" s="11" t="n">
        <v>0</v>
      </c>
      <c r="K5066" s="4" t="inlineStr">
        <is>
          <t>Stundensätze eingeben</t>
        </is>
      </c>
    </row>
    <row r="5067">
      <c r="A5067" s="4" t="inlineStr">
        <is>
          <t>7490 BSB-Kinderhaus-Krabbelkäfer-Benzstr-14-Bad Homburg</t>
        </is>
      </c>
      <c r="B5067" s="4" t="inlineStr">
        <is>
          <t>● (aN) Pos.1 Stellung eines externen BSB 1 Begehung pro Jahr</t>
        </is>
      </c>
      <c r="C5067" s="4" t="inlineStr">
        <is>
          <t>Nachweis</t>
        </is>
      </c>
      <c r="D5067" s="10" t="inlineStr">
        <is>
          <t>⚠ Manual erforderlich</t>
        </is>
      </c>
      <c r="E5067" s="11" t="inlineStr"/>
      <c r="F5067" s="11" t="n">
        <v>0</v>
      </c>
      <c r="G5067" s="11">
        <f>E5067-F5067</f>
        <v/>
      </c>
      <c r="H5067" s="11" t="n">
        <v/>
      </c>
      <c r="I5067" s="11" t="n">
        <v/>
      </c>
      <c r="J5067" s="11" t="n">
        <v/>
      </c>
      <c r="K5067" s="4" t="inlineStr">
        <is>
          <t>Stundensätze eingeben</t>
        </is>
      </c>
    </row>
    <row r="5068">
      <c r="A5068" s="4" t="inlineStr">
        <is>
          <t>7491 BSB-Kita-Taunuskrebse-Zeppelinstr34-Bad Homburg</t>
        </is>
      </c>
      <c r="B5068" s="4" t="inlineStr">
        <is>
          <t>● (aN) Pos.1 Stellung eines externen BSB 1 Begehung pro Jahr</t>
        </is>
      </c>
      <c r="C5068" s="4" t="inlineStr">
        <is>
          <t>Nachweis</t>
        </is>
      </c>
      <c r="D5068" s="10" t="inlineStr">
        <is>
          <t>⚠ Manual erforderlich</t>
        </is>
      </c>
      <c r="E5068" s="11" t="inlineStr"/>
      <c r="F5068" s="11" t="n">
        <v>0</v>
      </c>
      <c r="G5068" s="11">
        <f>E5068-F5068</f>
        <v/>
      </c>
      <c r="H5068" s="11" t="n">
        <v/>
      </c>
      <c r="I5068" s="11" t="n">
        <v/>
      </c>
      <c r="J5068" s="11" t="n">
        <v/>
      </c>
      <c r="K5068" s="4" t="inlineStr">
        <is>
          <t>Stundensätze eingeben</t>
        </is>
      </c>
    </row>
    <row r="5069">
      <c r="A5069" s="4" t="inlineStr">
        <is>
          <t>7492 HD-FRP-Ausbildungshaus-Römerstr129-131-Heidelberg</t>
        </is>
      </c>
      <c r="B5069" s="4" t="inlineStr">
        <is>
          <t>● (p) Pos. 1 Flucht- und Rettungspläne</t>
        </is>
      </c>
      <c r="C5069" s="4" t="inlineStr">
        <is>
          <t>Pauschale</t>
        </is>
      </c>
      <c r="D5069" s="10" t="inlineStr">
        <is>
          <t>⚠ Manual erforderlich</t>
        </is>
      </c>
      <c r="E5069" s="11" t="inlineStr"/>
      <c r="F5069" s="11" t="n">
        <v>0</v>
      </c>
      <c r="G5069" s="11">
        <f>E5069-F5069</f>
        <v/>
      </c>
      <c r="H5069" s="11" t="n">
        <v>0</v>
      </c>
      <c r="I5069" s="11" t="n">
        <v>0</v>
      </c>
      <c r="J5069" s="11" t="n">
        <v>0</v>
      </c>
      <c r="K5069" s="4" t="inlineStr">
        <is>
          <t>Stundensätze eingeben</t>
        </is>
      </c>
    </row>
    <row r="5070">
      <c r="A5070" s="4" t="inlineStr">
        <is>
          <t>7492 HD-FRP-Ausbildungshaus-Römerstr129-131-Heidelberg</t>
        </is>
      </c>
      <c r="B5070" s="4" t="inlineStr">
        <is>
          <t>● (aN) Pos. 2 Begehung (CAD)</t>
        </is>
      </c>
      <c r="C5070" s="4" t="inlineStr">
        <is>
          <t>Nachweis</t>
        </is>
      </c>
      <c r="D5070" s="10" t="inlineStr">
        <is>
          <t>⚠ Manual erforderlich</t>
        </is>
      </c>
      <c r="E5070" s="11" t="inlineStr"/>
      <c r="F5070" s="11" t="n">
        <v>0</v>
      </c>
      <c r="G5070" s="11">
        <f>E5070-F5070</f>
        <v/>
      </c>
      <c r="H5070" s="11" t="n">
        <v/>
      </c>
      <c r="I5070" s="11" t="n">
        <v/>
      </c>
      <c r="J5070" s="11" t="n">
        <v/>
      </c>
      <c r="K5070" s="4" t="inlineStr">
        <is>
          <t>Stundensätze eingeben</t>
        </is>
      </c>
    </row>
    <row r="5071">
      <c r="A5071" s="4" t="inlineStr">
        <is>
          <t>7493 xpressSeals-BSH-Elbring-14-Wedel</t>
        </is>
      </c>
      <c r="B5071" s="4" t="inlineStr">
        <is>
          <t>● (p) Pos.1 Brandschutzhelferausbildung (Theorie + Praxis)</t>
        </is>
      </c>
      <c r="C5071" s="4" t="inlineStr">
        <is>
          <t>Pauschale</t>
        </is>
      </c>
      <c r="D5071" s="10" t="inlineStr">
        <is>
          <t>⚠ Manual erforderlich</t>
        </is>
      </c>
      <c r="E5071" s="11" t="inlineStr"/>
      <c r="F5071" s="11" t="n">
        <v>0</v>
      </c>
      <c r="G5071" s="11">
        <f>E5071-F5071</f>
        <v/>
      </c>
      <c r="H5071" s="11" t="n">
        <v>0</v>
      </c>
      <c r="I5071" s="11" t="n">
        <v>0</v>
      </c>
      <c r="J5071" s="11" t="n">
        <v>0</v>
      </c>
      <c r="K5071" s="4" t="inlineStr">
        <is>
          <t>Stundensätze eingeben</t>
        </is>
      </c>
    </row>
    <row r="5072">
      <c r="A5072" s="4" t="inlineStr">
        <is>
          <t>7494 Fresenius-BTB-Forum-EK2--Else-Kröner-Straße-2-Bad Homburg-Verschattungsanlage</t>
        </is>
      </c>
      <c r="B5072" s="4" t="inlineStr">
        <is>
          <t>● (aN) Pos.1 BTB-Bew. gepl. Verschattungsanlage Forum EK2 hinsichtl. Tragkonstruktion + Rauchableitung</t>
        </is>
      </c>
      <c r="C5072" s="4" t="inlineStr">
        <is>
          <t>Nachweis</t>
        </is>
      </c>
      <c r="D5072" s="10" t="inlineStr">
        <is>
          <t>⚠ Manual erforderlich</t>
        </is>
      </c>
      <c r="E5072" s="11" t="inlineStr"/>
      <c r="F5072" s="11" t="n">
        <v>0</v>
      </c>
      <c r="G5072" s="11">
        <f>E5072-F5072</f>
        <v/>
      </c>
      <c r="H5072" s="11" t="n">
        <v/>
      </c>
      <c r="I5072" s="11" t="n">
        <v/>
      </c>
      <c r="J5072" s="11" t="n">
        <v/>
      </c>
      <c r="K5072" s="4" t="inlineStr">
        <is>
          <t>Stundensätze eingeben</t>
        </is>
      </c>
    </row>
    <row r="5073">
      <c r="A5073" s="4" t="inlineStr">
        <is>
          <t>7495 WEG-BTB-Instandhaltung-Implerstr29-33-München</t>
        </is>
      </c>
      <c r="B5073" s="4" t="inlineStr">
        <is>
          <t>● (aN) Pos. 1 BTB Ausführungsplanung (SV)</t>
        </is>
      </c>
      <c r="C5073" s="4" t="inlineStr">
        <is>
          <t>Nachweis</t>
        </is>
      </c>
      <c r="D5073" s="10" t="inlineStr">
        <is>
          <t>⚠ Manual erforderlich</t>
        </is>
      </c>
      <c r="E5073" s="11" t="inlineStr"/>
      <c r="F5073" s="11" t="n">
        <v>0</v>
      </c>
      <c r="G5073" s="11">
        <f>E5073-F5073</f>
        <v/>
      </c>
      <c r="H5073" s="11" t="n">
        <v/>
      </c>
      <c r="I5073" s="11" t="n">
        <v/>
      </c>
      <c r="J5073" s="11" t="n">
        <v/>
      </c>
      <c r="K5073" s="4" t="inlineStr">
        <is>
          <t>Stundensätze eingeben</t>
        </is>
      </c>
    </row>
    <row r="5074">
      <c r="A5074" s="4" t="inlineStr">
        <is>
          <t>7495 WEG-BTB-Instandhaltung-Implerstr29-33-München</t>
        </is>
      </c>
      <c r="B5074" s="4" t="inlineStr">
        <is>
          <t>● (aN) Pos. 1 BTB Ausführungsplanung (ADM)</t>
        </is>
      </c>
      <c r="C5074" s="4" t="inlineStr">
        <is>
          <t>Nachweis</t>
        </is>
      </c>
      <c r="D5074" s="10" t="inlineStr">
        <is>
          <t>⚠ Manual erforderlich</t>
        </is>
      </c>
      <c r="E5074" s="11" t="inlineStr"/>
      <c r="F5074" s="11" t="n">
        <v>0</v>
      </c>
      <c r="G5074" s="11">
        <f>E5074-F5074</f>
        <v/>
      </c>
      <c r="H5074" s="11" t="n">
        <v/>
      </c>
      <c r="I5074" s="11" t="n">
        <v/>
      </c>
      <c r="J5074" s="11" t="n">
        <v/>
      </c>
      <c r="K5074" s="4" t="inlineStr">
        <is>
          <t>Stundensätze eingeben</t>
        </is>
      </c>
    </row>
    <row r="5075">
      <c r="A5075" s="4" t="inlineStr">
        <is>
          <t>7495.01 WEG-BTB-TG-Implerstr29-33-München</t>
        </is>
      </c>
      <c r="B5075" s="4" t="inlineStr">
        <is>
          <t>● (aN) Pos. 1 BTB Ausführungsplanung (SV)</t>
        </is>
      </c>
      <c r="C5075" s="4" t="inlineStr">
        <is>
          <t>Nachweis</t>
        </is>
      </c>
      <c r="D5075" s="10" t="inlineStr">
        <is>
          <t>⚠ Manual erforderlich</t>
        </is>
      </c>
      <c r="E5075" s="11" t="inlineStr"/>
      <c r="F5075" s="11" t="n">
        <v>0</v>
      </c>
      <c r="G5075" s="11">
        <f>E5075-F5075</f>
        <v/>
      </c>
      <c r="H5075" s="11" t="n">
        <v/>
      </c>
      <c r="I5075" s="11" t="n">
        <v/>
      </c>
      <c r="J5075" s="11" t="n">
        <v/>
      </c>
      <c r="K5075" s="4" t="inlineStr">
        <is>
          <t>Stundensätze eingeben</t>
        </is>
      </c>
    </row>
    <row r="5076">
      <c r="A5076" s="4" t="inlineStr">
        <is>
          <t>7496 FWP-An-der-alten-Mühle-20-Eschborn-Alte-Mühle</t>
        </is>
      </c>
      <c r="B5076" s="4" t="inlineStr">
        <is>
          <t>● (p) Pos.1 Erstellung FWP</t>
        </is>
      </c>
      <c r="C5076" s="4" t="inlineStr">
        <is>
          <t>Pauschale</t>
        </is>
      </c>
      <c r="D5076" s="10" t="inlineStr">
        <is>
          <t>⚠ Manual erforderlich</t>
        </is>
      </c>
      <c r="E5076" s="11" t="inlineStr"/>
      <c r="F5076" s="11" t="n">
        <v>0</v>
      </c>
      <c r="G5076" s="11">
        <f>E5076-F5076</f>
        <v/>
      </c>
      <c r="H5076" s="11" t="n">
        <v>0</v>
      </c>
      <c r="I5076" s="11" t="n">
        <v>0</v>
      </c>
      <c r="J5076" s="11" t="n">
        <v>0</v>
      </c>
      <c r="K5076" s="4" t="inlineStr">
        <is>
          <t>Stundensätze eingeben</t>
        </is>
      </c>
    </row>
    <row r="5077">
      <c r="A5077" s="4" t="inlineStr">
        <is>
          <t>7497 Fichter-BTB-Dachsanierung-Kettlerstraße44-Ludwigshafen</t>
        </is>
      </c>
      <c r="B5077" s="4" t="inlineStr">
        <is>
          <t>● (aN) Pos. 1 Brandschutztechnische Beratung während der Planungsphase (SV)</t>
        </is>
      </c>
      <c r="C5077" s="4" t="inlineStr">
        <is>
          <t>Nachweis</t>
        </is>
      </c>
      <c r="D5077" s="10" t="inlineStr">
        <is>
          <t>⚠ Manual erforderlich</t>
        </is>
      </c>
      <c r="E5077" s="11" t="inlineStr"/>
      <c r="F5077" s="11" t="n">
        <v>0</v>
      </c>
      <c r="G5077" s="11">
        <f>E5077-F5077</f>
        <v/>
      </c>
      <c r="H5077" s="11" t="n">
        <v/>
      </c>
      <c r="I5077" s="11" t="n">
        <v/>
      </c>
      <c r="J5077" s="11" t="n">
        <v/>
      </c>
      <c r="K5077" s="4" t="inlineStr">
        <is>
          <t>Stundensätze eingeben</t>
        </is>
      </c>
    </row>
    <row r="5078">
      <c r="A5078" s="4" t="inlineStr">
        <is>
          <t>7499 Hauer-BTB-2.OG-Helene-Wessel-Bogen21-MUC</t>
        </is>
      </c>
      <c r="B5078" s="4" t="inlineStr">
        <is>
          <t>● (aN) Pos. 1 BTB und BST</t>
        </is>
      </c>
      <c r="C5078" s="4" t="inlineStr">
        <is>
          <t>Nachweis</t>
        </is>
      </c>
      <c r="D5078" s="10" t="inlineStr">
        <is>
          <t>⚠ Manual erforderlich</t>
        </is>
      </c>
      <c r="E5078" s="11" t="inlineStr"/>
      <c r="F5078" s="11" t="n">
        <v>0</v>
      </c>
      <c r="G5078" s="11">
        <f>E5078-F5078</f>
        <v/>
      </c>
      <c r="H5078" s="11" t="n">
        <v/>
      </c>
      <c r="I5078" s="11" t="n">
        <v/>
      </c>
      <c r="J5078" s="11" t="n">
        <v/>
      </c>
      <c r="K5078" s="4" t="inlineStr">
        <is>
          <t>Stundensätze eingeben</t>
        </is>
      </c>
    </row>
    <row r="5079">
      <c r="A5079" s="4" t="inlineStr">
        <is>
          <t>7500 Baupionier-PCP-RV-diverse-Garagenparks</t>
        </is>
      </c>
      <c r="B5079" s="4" t="inlineStr">
        <is>
          <t>● Garagenpark-Malsch (#7208)</t>
        </is>
      </c>
      <c r="C5079" s="9" t="inlineStr">
        <is>
          <t>Unbekannt</t>
        </is>
      </c>
      <c r="D5079" s="10" t="inlineStr">
        <is>
          <t>⚠ Manual erforderlich</t>
        </is>
      </c>
      <c r="E5079" s="11" t="inlineStr"/>
      <c r="F5079" s="11" t="n">
        <v>0</v>
      </c>
      <c r="G5079" s="11">
        <f>E5079-F5079</f>
        <v/>
      </c>
      <c r="H5079" s="11" t="n">
        <v/>
      </c>
      <c r="I5079" s="11" t="n">
        <v/>
      </c>
      <c r="J5079" s="11" t="n">
        <v/>
      </c>
      <c r="K5079" s="4" t="inlineStr">
        <is>
          <t>Abrechnungsart wählen; Stundensätze eingeben</t>
        </is>
      </c>
    </row>
    <row r="5080">
      <c r="A5080" s="4" t="inlineStr">
        <is>
          <t>7500 Baupionier-PCP-RV-diverse-Garagenparks</t>
        </is>
      </c>
      <c r="B5080" s="4" t="inlineStr">
        <is>
          <t>● • (p) Pos. 2 Erstellung Brandschutzkonzept inkl. BS-Plan</t>
        </is>
      </c>
      <c r="C5080" s="4" t="inlineStr">
        <is>
          <t>Pauschale</t>
        </is>
      </c>
      <c r="D5080" s="10" t="inlineStr">
        <is>
          <t>⚠ Manual erforderlich</t>
        </is>
      </c>
      <c r="E5080" s="11" t="inlineStr"/>
      <c r="F5080" s="11" t="n">
        <v>0</v>
      </c>
      <c r="G5080" s="11">
        <f>E5080-F5080</f>
        <v/>
      </c>
      <c r="H5080" s="11" t="n">
        <v>0</v>
      </c>
      <c r="I5080" s="11" t="n">
        <v>0</v>
      </c>
      <c r="J5080" s="11" t="n">
        <v>0</v>
      </c>
      <c r="K5080" s="4" t="inlineStr">
        <is>
          <t>Stundensätze eingeben</t>
        </is>
      </c>
    </row>
    <row r="5081">
      <c r="A5081" s="4" t="inlineStr">
        <is>
          <t>7500 Baupionier-PCP-RV-diverse-Garagenparks</t>
        </is>
      </c>
      <c r="B5081" s="4" t="inlineStr">
        <is>
          <t>● • (p) Mehraufwand Planänderungen</t>
        </is>
      </c>
      <c r="C5081" s="4" t="inlineStr">
        <is>
          <t>Pauschale</t>
        </is>
      </c>
      <c r="D5081" s="10" t="inlineStr">
        <is>
          <t>⚠ Manual erforderlich</t>
        </is>
      </c>
      <c r="E5081" s="11" t="inlineStr"/>
      <c r="F5081" s="11" t="n">
        <v>0</v>
      </c>
      <c r="G5081" s="11">
        <f>E5081-F5081</f>
        <v/>
      </c>
      <c r="H5081" s="11" t="n">
        <v>0</v>
      </c>
      <c r="I5081" s="11" t="n">
        <v>0</v>
      </c>
      <c r="J5081" s="11" t="n">
        <v>0</v>
      </c>
      <c r="K5081" s="4" t="inlineStr">
        <is>
          <t>Stundensätze eingeben</t>
        </is>
      </c>
    </row>
    <row r="5082">
      <c r="A5082" s="4" t="inlineStr">
        <is>
          <t>7500 Baupionier-PCP-RV-diverse-Garagenparks</t>
        </is>
      </c>
      <c r="B5082" s="4" t="inlineStr">
        <is>
          <t>● • ‧ SV</t>
        </is>
      </c>
      <c r="C5082" s="9" t="inlineStr">
        <is>
          <t>Unbekannt</t>
        </is>
      </c>
      <c r="D5082" s="10" t="inlineStr">
        <is>
          <t>⚠ Manual erforderlich</t>
        </is>
      </c>
      <c r="E5082" s="11" t="inlineStr"/>
      <c r="F5082" s="11" t="n">
        <v>0</v>
      </c>
      <c r="G5082" s="11">
        <f>E5082-F5082</f>
        <v/>
      </c>
      <c r="H5082" s="11" t="n">
        <v/>
      </c>
      <c r="I5082" s="11" t="n">
        <v/>
      </c>
      <c r="J5082" s="11" t="n">
        <v/>
      </c>
      <c r="K5082" s="4" t="inlineStr">
        <is>
          <t>Abrechnungsart wählen; Stundensätze eingeben</t>
        </is>
      </c>
    </row>
    <row r="5083">
      <c r="A5083" s="4" t="inlineStr">
        <is>
          <t>7500 Baupionier-PCP-RV-diverse-Garagenparks</t>
        </is>
      </c>
      <c r="B5083" s="4" t="inlineStr">
        <is>
          <t>● • ‧ CAD</t>
        </is>
      </c>
      <c r="C5083" s="9" t="inlineStr">
        <is>
          <t>Unbekannt</t>
        </is>
      </c>
      <c r="D5083" s="10" t="inlineStr">
        <is>
          <t>⚠ Manual erforderlich</t>
        </is>
      </c>
      <c r="E5083" s="11" t="inlineStr"/>
      <c r="F5083" s="11" t="n">
        <v>0</v>
      </c>
      <c r="G5083" s="11">
        <f>E5083-F5083</f>
        <v/>
      </c>
      <c r="H5083" s="11" t="n">
        <v/>
      </c>
      <c r="I5083" s="11" t="n">
        <v/>
      </c>
      <c r="J5083" s="11" t="n">
        <v/>
      </c>
      <c r="K5083" s="4" t="inlineStr">
        <is>
          <t>Abrechnungsart wählen; Stundensätze eingeben</t>
        </is>
      </c>
    </row>
    <row r="5084">
      <c r="A5084" s="4" t="inlineStr">
        <is>
          <t>7500 Baupionier-PCP-RV-diverse-Garagenparks</t>
        </is>
      </c>
      <c r="B5084" s="4" t="inlineStr">
        <is>
          <t>● Garagenpark-Erlangen-Löschwasserversorgung</t>
        </is>
      </c>
      <c r="C5084" s="9" t="inlineStr">
        <is>
          <t>Unbekannt</t>
        </is>
      </c>
      <c r="D5084" s="10" t="inlineStr">
        <is>
          <t>⚠ Manual erforderlich</t>
        </is>
      </c>
      <c r="E5084" s="11" t="inlineStr"/>
      <c r="F5084" s="11" t="n">
        <v>0</v>
      </c>
      <c r="G5084" s="11">
        <f>E5084-F5084</f>
        <v/>
      </c>
      <c r="H5084" s="11" t="n">
        <v/>
      </c>
      <c r="I5084" s="11" t="n">
        <v/>
      </c>
      <c r="J5084" s="11" t="n">
        <v/>
      </c>
      <c r="K5084" s="4" t="inlineStr">
        <is>
          <t>Abrechnungsart wählen; Stundensätze eingeben</t>
        </is>
      </c>
    </row>
    <row r="5085">
      <c r="A5085" s="4" t="inlineStr">
        <is>
          <t>7500 Baupionier-PCP-RV-diverse-Garagenparks</t>
        </is>
      </c>
      <c r="B5085" s="4" t="inlineStr">
        <is>
          <t>● • (p) BSK</t>
        </is>
      </c>
      <c r="C5085" s="4" t="inlineStr">
        <is>
          <t>Pauschale</t>
        </is>
      </c>
      <c r="D5085" s="10" t="inlineStr">
        <is>
          <t>⚠ Manual erforderlich</t>
        </is>
      </c>
      <c r="E5085" s="11" t="inlineStr"/>
      <c r="F5085" s="11" t="n">
        <v>0</v>
      </c>
      <c r="G5085" s="11">
        <f>E5085-F5085</f>
        <v/>
      </c>
      <c r="H5085" s="11" t="n">
        <v>0</v>
      </c>
      <c r="I5085" s="11" t="n">
        <v>0</v>
      </c>
      <c r="J5085" s="11" t="n">
        <v>0</v>
      </c>
      <c r="K5085" s="4" t="inlineStr">
        <is>
          <t>Stundensätze eingeben</t>
        </is>
      </c>
    </row>
    <row r="5086">
      <c r="A5086" s="4" t="inlineStr">
        <is>
          <t>7500 Baupionier-PCP-RV-diverse-Garagenparks</t>
        </is>
      </c>
      <c r="B5086" s="4" t="inlineStr">
        <is>
          <t>● • ‧ SV</t>
        </is>
      </c>
      <c r="C5086" s="9" t="inlineStr">
        <is>
          <t>Unbekannt</t>
        </is>
      </c>
      <c r="D5086" s="10" t="inlineStr">
        <is>
          <t>⚠ Manual erforderlich</t>
        </is>
      </c>
      <c r="E5086" s="11" t="inlineStr"/>
      <c r="F5086" s="11" t="n">
        <v>0</v>
      </c>
      <c r="G5086" s="11">
        <f>E5086-F5086</f>
        <v/>
      </c>
      <c r="H5086" s="11" t="n">
        <v/>
      </c>
      <c r="I5086" s="11" t="n">
        <v/>
      </c>
      <c r="J5086" s="11" t="n">
        <v/>
      </c>
      <c r="K5086" s="4" t="inlineStr">
        <is>
          <t>Abrechnungsart wählen; Stundensätze eingeben</t>
        </is>
      </c>
    </row>
    <row r="5087">
      <c r="A5087" s="4" t="inlineStr">
        <is>
          <t>7500 Baupionier-PCP-RV-diverse-Garagenparks</t>
        </is>
      </c>
      <c r="B5087" s="4" t="inlineStr">
        <is>
          <t>● • ‧ CAD</t>
        </is>
      </c>
      <c r="C5087" s="9" t="inlineStr">
        <is>
          <t>Unbekannt</t>
        </is>
      </c>
      <c r="D5087" s="10" t="inlineStr">
        <is>
          <t>⚠ Manual erforderlich</t>
        </is>
      </c>
      <c r="E5087" s="11" t="inlineStr"/>
      <c r="F5087" s="11" t="n">
        <v>0</v>
      </c>
      <c r="G5087" s="11">
        <f>E5087-F5087</f>
        <v/>
      </c>
      <c r="H5087" s="11" t="n">
        <v/>
      </c>
      <c r="I5087" s="11" t="n">
        <v/>
      </c>
      <c r="J5087" s="11" t="n">
        <v/>
      </c>
      <c r="K5087" s="4" t="inlineStr">
        <is>
          <t>Abrechnungsart wählen; Stundensätze eingeben</t>
        </is>
      </c>
    </row>
    <row r="5088">
      <c r="A5088" s="4" t="inlineStr">
        <is>
          <t>7500 Baupionier-PCP-RV-diverse-Garagenparks</t>
        </is>
      </c>
      <c r="B5088" s="4" t="inlineStr">
        <is>
          <t>● • (p) Pos. 1 Brandschutztechnische Beratung zur Konzeption/Machbarkeitsstudie</t>
        </is>
      </c>
      <c r="C5088" s="4" t="inlineStr">
        <is>
          <t>Pauschale</t>
        </is>
      </c>
      <c r="D5088" s="10" t="inlineStr">
        <is>
          <t>⚠ Manual erforderlich</t>
        </is>
      </c>
      <c r="E5088" s="11" t="inlineStr"/>
      <c r="F5088" s="11" t="n">
        <v>0</v>
      </c>
      <c r="G5088" s="11">
        <f>E5088-F5088</f>
        <v/>
      </c>
      <c r="H5088" s="11" t="n">
        <v>0</v>
      </c>
      <c r="I5088" s="11" t="n">
        <v>0</v>
      </c>
      <c r="J5088" s="11" t="n">
        <v>0</v>
      </c>
      <c r="K5088" s="4" t="inlineStr">
        <is>
          <t>Stundensätze eingeben</t>
        </is>
      </c>
    </row>
    <row r="5089">
      <c r="A5089" s="4" t="inlineStr">
        <is>
          <t>7501 GA-tec-BFM-BTB-Apple-Karlstr77-MUC</t>
        </is>
      </c>
      <c r="B5089" s="4" t="inlineStr">
        <is>
          <t>● (aN) Pos. 1 Anpassung des Brandschutznachweises</t>
        </is>
      </c>
      <c r="C5089" s="4" t="inlineStr">
        <is>
          <t>Nachweis</t>
        </is>
      </c>
      <c r="D5089" s="10" t="inlineStr">
        <is>
          <t>⚠ Manual erforderlich</t>
        </is>
      </c>
      <c r="E5089" s="11" t="inlineStr"/>
      <c r="F5089" s="11" t="n">
        <v>0</v>
      </c>
      <c r="G5089" s="11">
        <f>E5089-F5089</f>
        <v/>
      </c>
      <c r="H5089" s="11" t="n">
        <v/>
      </c>
      <c r="I5089" s="11" t="n">
        <v/>
      </c>
      <c r="J5089" s="11" t="n">
        <v/>
      </c>
      <c r="K5089" s="4" t="inlineStr">
        <is>
          <t>Stundensätze eingeben</t>
        </is>
      </c>
    </row>
    <row r="5090">
      <c r="A5090" s="4" t="inlineStr">
        <is>
          <t>7501 GA-tec-BFM-BTB-Apple-Karlstr77-MUC</t>
        </is>
      </c>
      <c r="B5090" s="4" t="inlineStr">
        <is>
          <t>● (aN) Pos. 2 Anpassung der Brandfallsteuertabelle</t>
        </is>
      </c>
      <c r="C5090" s="4" t="inlineStr">
        <is>
          <t>Nachweis</t>
        </is>
      </c>
      <c r="D5090" s="10" t="inlineStr">
        <is>
          <t>⚠ Manual erforderlich</t>
        </is>
      </c>
      <c r="E5090" s="11" t="inlineStr"/>
      <c r="F5090" s="11" t="n">
        <v>0</v>
      </c>
      <c r="G5090" s="11">
        <f>E5090-F5090</f>
        <v/>
      </c>
      <c r="H5090" s="11" t="n">
        <v/>
      </c>
      <c r="I5090" s="11" t="n">
        <v/>
      </c>
      <c r="J5090" s="11" t="n">
        <v/>
      </c>
      <c r="K5090" s="4" t="inlineStr">
        <is>
          <t>Stundensätze eingeben</t>
        </is>
      </c>
    </row>
    <row r="5091">
      <c r="A5091" s="4" t="inlineStr">
        <is>
          <t>7501 GA-tec-BFM-BTB-Apple-Karlstr77-MUC</t>
        </is>
      </c>
      <c r="B5091" s="4" t="inlineStr">
        <is>
          <t>● Pos. 3 Optional: Zusätzliche Beratungsleistungen</t>
        </is>
      </c>
      <c r="C5091" s="9" t="inlineStr">
        <is>
          <t>Unbekannt</t>
        </is>
      </c>
      <c r="D5091" s="10" t="inlineStr">
        <is>
          <t>⚠ Manual erforderlich</t>
        </is>
      </c>
      <c r="E5091" s="11" t="inlineStr"/>
      <c r="F5091" s="11" t="n">
        <v>0</v>
      </c>
      <c r="G5091" s="11">
        <f>E5091-F5091</f>
        <v/>
      </c>
      <c r="H5091" s="11" t="n">
        <v/>
      </c>
      <c r="I5091" s="11" t="n">
        <v/>
      </c>
      <c r="J5091" s="11" t="n">
        <v/>
      </c>
      <c r="K5091" s="4" t="inlineStr">
        <is>
          <t>Abrechnungsart wählen; Stundensätze eingeben</t>
        </is>
      </c>
    </row>
    <row r="5092">
      <c r="A5092" s="4" t="inlineStr">
        <is>
          <t>7502 FRP-Große-Bockenheimer-Str-50-Frankfurt</t>
        </is>
      </c>
      <c r="B5092" s="4" t="inlineStr">
        <is>
          <t>● (p) Pos.1 Erstellung FRP</t>
        </is>
      </c>
      <c r="C5092" s="4" t="inlineStr">
        <is>
          <t>Pauschale</t>
        </is>
      </c>
      <c r="D5092" s="10" t="inlineStr">
        <is>
          <t>⚠ Manual erforderlich</t>
        </is>
      </c>
      <c r="E5092" s="11" t="inlineStr"/>
      <c r="F5092" s="11" t="n">
        <v>0</v>
      </c>
      <c r="G5092" s="11">
        <f>E5092-F5092</f>
        <v/>
      </c>
      <c r="H5092" s="11" t="n">
        <v>0</v>
      </c>
      <c r="I5092" s="11" t="n">
        <v>0</v>
      </c>
      <c r="J5092" s="11" t="n">
        <v>0</v>
      </c>
      <c r="K5092" s="4" t="inlineStr">
        <is>
          <t>Stundensätze eingeben</t>
        </is>
      </c>
    </row>
    <row r="5093">
      <c r="A5093" s="4" t="inlineStr">
        <is>
          <t>7502 FRP-Große-Bockenheimer-Str-50-Frankfurt</t>
        </is>
      </c>
      <c r="B5093" s="4" t="inlineStr">
        <is>
          <t>● (p) Pos.2 Übermittlung von DWG-Dateien</t>
        </is>
      </c>
      <c r="C5093" s="4" t="inlineStr">
        <is>
          <t>Pauschale</t>
        </is>
      </c>
      <c r="D5093" s="10" t="inlineStr">
        <is>
          <t>⚠ Manual erforderlich</t>
        </is>
      </c>
      <c r="E5093" s="11" t="inlineStr"/>
      <c r="F5093" s="11" t="n">
        <v>0</v>
      </c>
      <c r="G5093" s="11">
        <f>E5093-F5093</f>
        <v/>
      </c>
      <c r="H5093" s="11" t="n">
        <v>0</v>
      </c>
      <c r="I5093" s="11" t="n">
        <v>0</v>
      </c>
      <c r="J5093" s="11" t="n">
        <v>0</v>
      </c>
      <c r="K5093" s="4" t="inlineStr">
        <is>
          <t>Stundensätze eingeben</t>
        </is>
      </c>
    </row>
    <row r="5094">
      <c r="A5094" s="4" t="inlineStr">
        <is>
          <t>7503 MSP-AHO-BSN-Einsteinstr-Ismaningerstr-Muenchen</t>
        </is>
      </c>
      <c r="B5094" s="4" t="inlineStr">
        <is>
          <t>● Pos. 1 LPH 1 Grundlagenermittlung</t>
        </is>
      </c>
      <c r="C5094" s="9" t="inlineStr">
        <is>
          <t>Unbekannt</t>
        </is>
      </c>
      <c r="D5094" s="10" t="inlineStr">
        <is>
          <t>⚠ Manual erforderlich</t>
        </is>
      </c>
      <c r="E5094" s="11" t="inlineStr"/>
      <c r="F5094" s="11" t="n">
        <v>0</v>
      </c>
      <c r="G5094" s="11">
        <f>E5094-F5094</f>
        <v/>
      </c>
      <c r="H5094" s="11" t="n">
        <v/>
      </c>
      <c r="I5094" s="11" t="n">
        <v/>
      </c>
      <c r="J5094" s="11" t="n">
        <v/>
      </c>
      <c r="K5094" s="4" t="inlineStr">
        <is>
          <t>Abrechnungsart wählen; Stundensätze eingeben</t>
        </is>
      </c>
    </row>
    <row r="5095">
      <c r="A5095" s="4" t="inlineStr">
        <is>
          <t>7503 MSP-AHO-BSN-Einsteinstr-Ismaningerstr-Muenchen</t>
        </is>
      </c>
      <c r="B5095" s="4" t="inlineStr">
        <is>
          <t>● Pos. 2 LPH 2 Vorplanung</t>
        </is>
      </c>
      <c r="C5095" s="9" t="inlineStr">
        <is>
          <t>Unbekannt</t>
        </is>
      </c>
      <c r="D5095" s="10" t="inlineStr">
        <is>
          <t>⚠ Manual erforderlich</t>
        </is>
      </c>
      <c r="E5095" s="11" t="inlineStr"/>
      <c r="F5095" s="11" t="n">
        <v>0</v>
      </c>
      <c r="G5095" s="11">
        <f>E5095-F5095</f>
        <v/>
      </c>
      <c r="H5095" s="11" t="n">
        <v/>
      </c>
      <c r="I5095" s="11" t="n">
        <v/>
      </c>
      <c r="J5095" s="11" t="n">
        <v/>
      </c>
      <c r="K5095" s="4" t="inlineStr">
        <is>
          <t>Abrechnungsart wählen; Stundensätze eingeben</t>
        </is>
      </c>
    </row>
    <row r="5096">
      <c r="A5096" s="4" t="inlineStr">
        <is>
          <t>7503 MSP-AHO-BSN-Einsteinstr-Ismaningerstr-Muenchen</t>
        </is>
      </c>
      <c r="B5096" s="4" t="inlineStr">
        <is>
          <t>● Pos. 3 LPH 3 Entwurfsplanung</t>
        </is>
      </c>
      <c r="C5096" s="9" t="inlineStr">
        <is>
          <t>Unbekannt</t>
        </is>
      </c>
      <c r="D5096" s="10" t="inlineStr">
        <is>
          <t>⚠ Manual erforderlich</t>
        </is>
      </c>
      <c r="E5096" s="11" t="inlineStr"/>
      <c r="F5096" s="11" t="n">
        <v>0</v>
      </c>
      <c r="G5096" s="11">
        <f>E5096-F5096</f>
        <v/>
      </c>
      <c r="H5096" s="11" t="n">
        <v/>
      </c>
      <c r="I5096" s="11" t="n">
        <v/>
      </c>
      <c r="J5096" s="11" t="n">
        <v/>
      </c>
      <c r="K5096" s="4" t="inlineStr">
        <is>
          <t>Abrechnungsart wählen; Stundensätze eingeben</t>
        </is>
      </c>
    </row>
    <row r="5097">
      <c r="A5097" s="4" t="inlineStr">
        <is>
          <t>7503 MSP-AHO-BSN-Einsteinstr-Ismaningerstr-Muenchen</t>
        </is>
      </c>
      <c r="B5097" s="4" t="inlineStr">
        <is>
          <t>● Pos. 4 LPH 4 Genehmigungsplanung</t>
        </is>
      </c>
      <c r="C5097" s="9" t="inlineStr">
        <is>
          <t>Unbekannt</t>
        </is>
      </c>
      <c r="D5097" s="10" t="inlineStr">
        <is>
          <t>⚠ Manual erforderlich</t>
        </is>
      </c>
      <c r="E5097" s="11" t="inlineStr"/>
      <c r="F5097" s="11" t="n">
        <v>0</v>
      </c>
      <c r="G5097" s="11">
        <f>E5097-F5097</f>
        <v/>
      </c>
      <c r="H5097" s="11" t="n">
        <v/>
      </c>
      <c r="I5097" s="11" t="n">
        <v/>
      </c>
      <c r="J5097" s="11" t="n">
        <v/>
      </c>
      <c r="K5097" s="4" t="inlineStr">
        <is>
          <t>Abrechnungsart wählen; Stundensätze eingeben</t>
        </is>
      </c>
    </row>
    <row r="5098">
      <c r="A5098" s="4" t="inlineStr">
        <is>
          <t>7504 e-con-FWP-Solarpark-am-Airport-Schlachthofstr61-Memmingen</t>
        </is>
      </c>
      <c r="B5098" s="4" t="inlineStr">
        <is>
          <t>● (aN) Pos. 1 Erstellung von Feuerwehrplänen</t>
        </is>
      </c>
      <c r="C5098" s="4" t="inlineStr">
        <is>
          <t>Nachweis</t>
        </is>
      </c>
      <c r="D5098" s="10" t="inlineStr">
        <is>
          <t>⚠ Manual erforderlich</t>
        </is>
      </c>
      <c r="E5098" s="11" t="inlineStr"/>
      <c r="F5098" s="11" t="n">
        <v>0</v>
      </c>
      <c r="G5098" s="11">
        <f>E5098-F5098</f>
        <v/>
      </c>
      <c r="H5098" s="11" t="n">
        <v/>
      </c>
      <c r="I5098" s="11" t="n">
        <v/>
      </c>
      <c r="J5098" s="11" t="n">
        <v/>
      </c>
      <c r="K5098" s="4" t="inlineStr">
        <is>
          <t>Stundensätze eingeben</t>
        </is>
      </c>
    </row>
    <row r="5099">
      <c r="A5099" s="4" t="inlineStr">
        <is>
          <t>7505 Züblin-AHO-Neubau-Grundschule-Gengenbach</t>
        </is>
      </c>
      <c r="B5099" s="4" t="inlineStr">
        <is>
          <t>● Pos. 1 LPH 3 Entwurfsplanung</t>
        </is>
      </c>
      <c r="C5099" s="9" t="inlineStr">
        <is>
          <t>Unbekannt</t>
        </is>
      </c>
      <c r="D5099" s="10" t="inlineStr">
        <is>
          <t>⚠ Manual erforderlich</t>
        </is>
      </c>
      <c r="E5099" s="11" t="inlineStr"/>
      <c r="F5099" s="11" t="n">
        <v>0</v>
      </c>
      <c r="G5099" s="11">
        <f>E5099-F5099</f>
        <v/>
      </c>
      <c r="H5099" s="11" t="n">
        <v/>
      </c>
      <c r="I5099" s="11" t="n">
        <v/>
      </c>
      <c r="J5099" s="11" t="n">
        <v/>
      </c>
      <c r="K5099" s="4" t="inlineStr">
        <is>
          <t>Abrechnungsart wählen; Stundensätze eingeben</t>
        </is>
      </c>
    </row>
    <row r="5100">
      <c r="A5100" s="4" t="inlineStr">
        <is>
          <t>7505 Züblin-AHO-Neubau-Grundschule-Gengenbach</t>
        </is>
      </c>
      <c r="B5100" s="4" t="inlineStr">
        <is>
          <t>● Pos. 2 LPH 4 Genehmigungsplanung</t>
        </is>
      </c>
      <c r="C5100" s="9" t="inlineStr">
        <is>
          <t>Unbekannt</t>
        </is>
      </c>
      <c r="D5100" s="10" t="inlineStr">
        <is>
          <t>⚠ Manual erforderlich</t>
        </is>
      </c>
      <c r="E5100" s="11" t="inlineStr"/>
      <c r="F5100" s="11" t="n">
        <v>0</v>
      </c>
      <c r="G5100" s="11">
        <f>E5100-F5100</f>
        <v/>
      </c>
      <c r="H5100" s="11" t="n">
        <v/>
      </c>
      <c r="I5100" s="11" t="n">
        <v/>
      </c>
      <c r="J5100" s="11" t="n">
        <v/>
      </c>
      <c r="K5100" s="4" t="inlineStr">
        <is>
          <t>Abrechnungsart wählen; Stundensätze eingeben</t>
        </is>
      </c>
    </row>
    <row r="5101">
      <c r="A5101" s="4" t="inlineStr">
        <is>
          <t>7505 Züblin-AHO-Neubau-Grundschule-Gengenbach</t>
        </is>
      </c>
      <c r="B5101" s="4" t="inlineStr">
        <is>
          <t>● Pos. 3 LPH 5 Ausführungsplanung</t>
        </is>
      </c>
      <c r="C5101" s="9" t="inlineStr">
        <is>
          <t>Unbekannt</t>
        </is>
      </c>
      <c r="D5101" s="10" t="inlineStr">
        <is>
          <t>⚠ Manual erforderlich</t>
        </is>
      </c>
      <c r="E5101" s="11" t="inlineStr"/>
      <c r="F5101" s="11" t="n">
        <v>0</v>
      </c>
      <c r="G5101" s="11">
        <f>E5101-F5101</f>
        <v/>
      </c>
      <c r="H5101" s="11" t="n">
        <v/>
      </c>
      <c r="I5101" s="11" t="n">
        <v/>
      </c>
      <c r="J5101" s="11" t="n">
        <v/>
      </c>
      <c r="K5101" s="4" t="inlineStr">
        <is>
          <t>Abrechnungsart wählen; Stundensätze eingeben</t>
        </is>
      </c>
    </row>
    <row r="5102">
      <c r="A5102" s="4" t="inlineStr">
        <is>
          <t>7505 Züblin-AHO-Neubau-Grundschule-Gengenbach</t>
        </is>
      </c>
      <c r="B5102" s="4" t="inlineStr">
        <is>
          <t>● Pos. 6 LPH 8 Objektüberwachung</t>
        </is>
      </c>
      <c r="C5102" s="9" t="inlineStr">
        <is>
          <t>Unbekannt</t>
        </is>
      </c>
      <c r="D5102" s="10" t="inlineStr">
        <is>
          <t>⚠ Manual erforderlich</t>
        </is>
      </c>
      <c r="E5102" s="11" t="inlineStr"/>
      <c r="F5102" s="11" t="n">
        <v>0</v>
      </c>
      <c r="G5102" s="11">
        <f>E5102-F5102</f>
        <v/>
      </c>
      <c r="H5102" s="11" t="n">
        <v/>
      </c>
      <c r="I5102" s="11" t="n">
        <v/>
      </c>
      <c r="J5102" s="11" t="n">
        <v/>
      </c>
      <c r="K5102" s="4" t="inlineStr">
        <is>
          <t>Abrechnungsart wählen; Stundensätze eingeben</t>
        </is>
      </c>
    </row>
    <row r="5103">
      <c r="A5103" s="4" t="inlineStr">
        <is>
          <t>7505 Züblin-AHO-Neubau-Grundschule-Gengenbach</t>
        </is>
      </c>
      <c r="B5103" s="4" t="inlineStr">
        <is>
          <t>● ADM (nicht kalkuliert)</t>
        </is>
      </c>
      <c r="C5103" s="9" t="inlineStr">
        <is>
          <t>Unbekannt</t>
        </is>
      </c>
      <c r="D5103" s="10" t="inlineStr">
        <is>
          <t>⚠ Manual erforderlich</t>
        </is>
      </c>
      <c r="E5103" s="11" t="inlineStr"/>
      <c r="F5103" s="11" t="n">
        <v>0</v>
      </c>
      <c r="G5103" s="11">
        <f>E5103-F5103</f>
        <v/>
      </c>
      <c r="H5103" s="11" t="n">
        <v/>
      </c>
      <c r="I5103" s="11" t="n">
        <v/>
      </c>
      <c r="J5103" s="11" t="n">
        <v/>
      </c>
      <c r="K5103" s="4" t="inlineStr">
        <is>
          <t>Abrechnungsart wählen; Stundensätze eingeben</t>
        </is>
      </c>
    </row>
    <row r="5104">
      <c r="A5104" s="4" t="inlineStr">
        <is>
          <t>7506 bsb-BSK-Schnackenburgallee-49-Hamburg-AT-Matthies</t>
        </is>
      </c>
      <c r="B5104" s="4" t="inlineStr">
        <is>
          <t>● (p) Pos.1 Erstellung BSK</t>
        </is>
      </c>
      <c r="C5104" s="4" t="inlineStr">
        <is>
          <t>Pauschale</t>
        </is>
      </c>
      <c r="D5104" s="10" t="inlineStr">
        <is>
          <t>⚠ Manual erforderlich</t>
        </is>
      </c>
      <c r="E5104" s="11" t="inlineStr"/>
      <c r="F5104" s="11" t="n">
        <v>0</v>
      </c>
      <c r="G5104" s="11">
        <f>E5104-F5104</f>
        <v/>
      </c>
      <c r="H5104" s="11" t="n">
        <v>0</v>
      </c>
      <c r="I5104" s="11" t="n">
        <v>0</v>
      </c>
      <c r="J5104" s="11" t="n">
        <v>0</v>
      </c>
      <c r="K5104" s="4" t="inlineStr">
        <is>
          <t>Stundensätze eingeben</t>
        </is>
      </c>
    </row>
    <row r="5105">
      <c r="A5105" s="4" t="inlineStr">
        <is>
          <t>7506 bsb-BSK-Schnackenburgallee-49-Hamburg-AT-Matthies</t>
        </is>
      </c>
      <c r="B5105" s="4" t="inlineStr">
        <is>
          <t>● (aN) Pos.2 (optional) Löschanlagenkonzept</t>
        </is>
      </c>
      <c r="C5105" s="4" t="inlineStr">
        <is>
          <t>Nachweis</t>
        </is>
      </c>
      <c r="D5105" s="10" t="inlineStr">
        <is>
          <t>⚠ Manual erforderlich</t>
        </is>
      </c>
      <c r="E5105" s="11" t="inlineStr"/>
      <c r="F5105" s="11" t="n">
        <v>0</v>
      </c>
      <c r="G5105" s="11">
        <f>E5105-F5105</f>
        <v/>
      </c>
      <c r="H5105" s="11" t="n">
        <v/>
      </c>
      <c r="I5105" s="11" t="n">
        <v/>
      </c>
      <c r="J5105" s="11" t="n">
        <v/>
      </c>
      <c r="K5105" s="4" t="inlineStr">
        <is>
          <t>Stundensätze eingeben</t>
        </is>
      </c>
    </row>
    <row r="5106">
      <c r="A5106" s="4" t="inlineStr">
        <is>
          <t>7506.01 bsb-FRP-Schnackenburgallee-51-Hamburg-AT-Matthies</t>
        </is>
      </c>
      <c r="B5106" s="4" t="inlineStr">
        <is>
          <t>● (p) Pos.1 Erstellung FRP</t>
        </is>
      </c>
      <c r="C5106" s="4" t="inlineStr">
        <is>
          <t>Pauschale</t>
        </is>
      </c>
      <c r="D5106" s="10" t="inlineStr">
        <is>
          <t>⚠ Manual erforderlich</t>
        </is>
      </c>
      <c r="E5106" s="11" t="inlineStr"/>
      <c r="F5106" s="11" t="n">
        <v>0</v>
      </c>
      <c r="G5106" s="11">
        <f>E5106-F5106</f>
        <v/>
      </c>
      <c r="H5106" s="11" t="n">
        <v>0</v>
      </c>
      <c r="I5106" s="11" t="n">
        <v>0</v>
      </c>
      <c r="J5106" s="11" t="n">
        <v>0</v>
      </c>
      <c r="K5106" s="4" t="inlineStr">
        <is>
          <t>Stundensätze eingeben</t>
        </is>
      </c>
    </row>
    <row r="5107">
      <c r="A5107" s="4" t="inlineStr">
        <is>
          <t>7506.01 bsb-FRP-Schnackenburgallee-51-Hamburg-AT-Matthies</t>
        </is>
      </c>
      <c r="B5107" s="4" t="inlineStr">
        <is>
          <t>● (p) Pos.2 Erstellung FWP</t>
        </is>
      </c>
      <c r="C5107" s="4" t="inlineStr">
        <is>
          <t>Pauschale</t>
        </is>
      </c>
      <c r="D5107" s="10" t="inlineStr">
        <is>
          <t>⚠ Manual erforderlich</t>
        </is>
      </c>
      <c r="E5107" s="11" t="inlineStr"/>
      <c r="F5107" s="11" t="n">
        <v>0</v>
      </c>
      <c r="G5107" s="11">
        <f>E5107-F5107</f>
        <v/>
      </c>
      <c r="H5107" s="11" t="n">
        <v>0</v>
      </c>
      <c r="I5107" s="11" t="n">
        <v>0</v>
      </c>
      <c r="J5107" s="11" t="n">
        <v>0</v>
      </c>
      <c r="K5107" s="4" t="inlineStr">
        <is>
          <t>Stundensätze eingeben</t>
        </is>
      </c>
    </row>
    <row r="5108">
      <c r="A5108" s="4" t="inlineStr">
        <is>
          <t>7507 Metzeler-Vita-BSB-Donaustr51-Memmingen</t>
        </is>
      </c>
      <c r="B5108" s="4" t="inlineStr">
        <is>
          <t>● BSB 2025 (VER unbefristet)</t>
        </is>
      </c>
      <c r="C5108" s="9" t="inlineStr">
        <is>
          <t>Unbekannt</t>
        </is>
      </c>
      <c r="D5108" s="10" t="inlineStr">
        <is>
          <t>⚠ Manual erforderlich</t>
        </is>
      </c>
      <c r="E5108" s="11" t="inlineStr"/>
      <c r="F5108" s="11" t="n">
        <v>0</v>
      </c>
      <c r="G5108" s="11">
        <f>E5108-F5108</f>
        <v/>
      </c>
      <c r="H5108" s="11" t="n">
        <v/>
      </c>
      <c r="I5108" s="11" t="n">
        <v/>
      </c>
      <c r="J5108" s="11" t="n">
        <v/>
      </c>
      <c r="K5108" s="4" t="inlineStr">
        <is>
          <t>Abrechnungsart wählen; Stundensätze eingeben</t>
        </is>
      </c>
    </row>
    <row r="5109">
      <c r="A5109" s="4" t="inlineStr">
        <is>
          <t>7508 Schleiergarten-PHP-Schleiermacherstr21-23-Darmstadt</t>
        </is>
      </c>
      <c r="B5109" s="4" t="inlineStr">
        <is>
          <t>● (p) Pos. 1 Prüfung +Bescheinigung d. Nachweis d. vorbeugenden Brandschutzes</t>
        </is>
      </c>
      <c r="C5109" s="4" t="inlineStr">
        <is>
          <t>Pauschale</t>
        </is>
      </c>
      <c r="D5109" s="10" t="inlineStr">
        <is>
          <t>⚠ Manual erforderlich</t>
        </is>
      </c>
      <c r="E5109" s="11" t="inlineStr"/>
      <c r="F5109" s="11" t="n">
        <v>0</v>
      </c>
      <c r="G5109" s="11">
        <f>E5109-F5109</f>
        <v/>
      </c>
      <c r="H5109" s="11" t="n">
        <v>0</v>
      </c>
      <c r="I5109" s="11" t="n">
        <v>0</v>
      </c>
      <c r="J5109" s="11" t="n">
        <v>0</v>
      </c>
      <c r="K5109" s="4" t="inlineStr">
        <is>
          <t>Stundensätze eingeben</t>
        </is>
      </c>
    </row>
    <row r="5110">
      <c r="A5110" s="4" t="inlineStr">
        <is>
          <t>7508 Schleiergarten-PHP-Schleiermacherstr21-23-Darmstadt</t>
        </is>
      </c>
      <c r="B5110" s="4" t="inlineStr">
        <is>
          <t>● (p) Pos. 2 Überwachung und Bescheinigung der übereinstimmenden Bauausführung</t>
        </is>
      </c>
      <c r="C5110" s="4" t="inlineStr">
        <is>
          <t>Pauschale</t>
        </is>
      </c>
      <c r="D5110" s="10" t="inlineStr">
        <is>
          <t>⚠ Manual erforderlich</t>
        </is>
      </c>
      <c r="E5110" s="11" t="inlineStr"/>
      <c r="F5110" s="11" t="n">
        <v>0</v>
      </c>
      <c r="G5110" s="11">
        <f>E5110-F5110</f>
        <v/>
      </c>
      <c r="H5110" s="11" t="n">
        <v>0</v>
      </c>
      <c r="I5110" s="11" t="n">
        <v>0</v>
      </c>
      <c r="J5110" s="11" t="n">
        <v>0</v>
      </c>
      <c r="K5110" s="4" t="inlineStr">
        <is>
          <t>Stundensätze eingeben</t>
        </is>
      </c>
    </row>
    <row r="5111">
      <c r="A5111" s="4" t="inlineStr">
        <is>
          <t>7509 PPB-FWP-Grundschule-Patton Barracks-Palo-Alto-Platz-4-6-Heidelberg</t>
        </is>
      </c>
      <c r="B5111" s="4" t="inlineStr">
        <is>
          <t>● (p) Pos. 1 Feuerwehrpläne</t>
        </is>
      </c>
      <c r="C5111" s="4" t="inlineStr">
        <is>
          <t>Pauschale</t>
        </is>
      </c>
      <c r="D5111" s="10" t="inlineStr">
        <is>
          <t>⚠ Manual erforderlich</t>
        </is>
      </c>
      <c r="E5111" s="11" t="inlineStr"/>
      <c r="F5111" s="11" t="n">
        <v>0</v>
      </c>
      <c r="G5111" s="11">
        <f>E5111-F5111</f>
        <v/>
      </c>
      <c r="H5111" s="11" t="n">
        <v>0</v>
      </c>
      <c r="I5111" s="11" t="n">
        <v>0</v>
      </c>
      <c r="J5111" s="11" t="n">
        <v>0</v>
      </c>
      <c r="K5111" s="4" t="inlineStr">
        <is>
          <t>Stundensätze eingeben</t>
        </is>
      </c>
    </row>
    <row r="5112">
      <c r="A5112" s="4" t="inlineStr">
        <is>
          <t>7509 PPB-FWP-Grundschule-Patton Barracks-Palo-Alto-Platz-4-6-Heidelberg</t>
        </is>
      </c>
      <c r="B5112" s="4" t="inlineStr">
        <is>
          <t>● (aN) Pos. 2 Begehung</t>
        </is>
      </c>
      <c r="C5112" s="4" t="inlineStr">
        <is>
          <t>Nachweis</t>
        </is>
      </c>
      <c r="D5112" s="10" t="inlineStr">
        <is>
          <t>⚠ Manual erforderlich</t>
        </is>
      </c>
      <c r="E5112" s="11" t="inlineStr"/>
      <c r="F5112" s="11" t="n">
        <v>0</v>
      </c>
      <c r="G5112" s="11">
        <f>E5112-F5112</f>
        <v/>
      </c>
      <c r="H5112" s="11" t="n">
        <v/>
      </c>
      <c r="I5112" s="11" t="n">
        <v/>
      </c>
      <c r="J5112" s="11" t="n">
        <v/>
      </c>
      <c r="K5112" s="4" t="inlineStr">
        <is>
          <t>Stundensätze eingeben</t>
        </is>
      </c>
    </row>
    <row r="5113">
      <c r="A5113" s="4" t="inlineStr">
        <is>
          <t>7510 Equinix-BTB-Friesstraße-9-Frankfurt-Gebäude-FR13.2</t>
        </is>
      </c>
      <c r="B5113" s="4" t="inlineStr">
        <is>
          <t>● (aN) Pos.1 Baustellenbegehung im Zeitraum August 2025 - März 2026, bei 2 Begehungen pro Monat</t>
        </is>
      </c>
      <c r="C5113" s="4" t="inlineStr">
        <is>
          <t>Nachweis</t>
        </is>
      </c>
      <c r="D5113" s="10" t="inlineStr">
        <is>
          <t>⚠ Manual erforderlich</t>
        </is>
      </c>
      <c r="E5113" s="11" t="inlineStr"/>
      <c r="F5113" s="11" t="n">
        <v>0</v>
      </c>
      <c r="G5113" s="11">
        <f>E5113-F5113</f>
        <v/>
      </c>
      <c r="H5113" s="11" t="n">
        <v/>
      </c>
      <c r="I5113" s="11" t="n">
        <v/>
      </c>
      <c r="J5113" s="11" t="n">
        <v/>
      </c>
      <c r="K5113" s="4" t="inlineStr">
        <is>
          <t>Stundensätze eingeben</t>
        </is>
      </c>
    </row>
    <row r="5114">
      <c r="A5114" s="4" t="inlineStr">
        <is>
          <t>7510 Equinix-BTB-Friesstraße-9-Frankfurt-Gebäude-FR13.2</t>
        </is>
      </c>
      <c r="B5114" s="4" t="inlineStr">
        <is>
          <t>● (aN) Pos.2 Beratungsleistung in der Planungsphase</t>
        </is>
      </c>
      <c r="C5114" s="4" t="inlineStr">
        <is>
          <t>Nachweis</t>
        </is>
      </c>
      <c r="D5114" s="10" t="inlineStr">
        <is>
          <t>⚠ Manual erforderlich</t>
        </is>
      </c>
      <c r="E5114" s="11" t="inlineStr"/>
      <c r="F5114" s="11" t="n">
        <v>0</v>
      </c>
      <c r="G5114" s="11">
        <f>E5114-F5114</f>
        <v/>
      </c>
      <c r="H5114" s="11" t="n">
        <v/>
      </c>
      <c r="I5114" s="11" t="n">
        <v/>
      </c>
      <c r="J5114" s="11" t="n">
        <v/>
      </c>
      <c r="K5114" s="4" t="inlineStr">
        <is>
          <t>Stundensätze eingeben</t>
        </is>
      </c>
    </row>
    <row r="5115">
      <c r="A5115" s="4" t="inlineStr">
        <is>
          <t>7511 BST-Zum-Wartturm-9-Gelnhausen-Physio-Campus-MK</t>
        </is>
      </c>
      <c r="B5115" s="4" t="inlineStr">
        <is>
          <t>● (aN) Pos.1 BST für die Räume des Physio Campus MK</t>
        </is>
      </c>
      <c r="C5115" s="4" t="inlineStr">
        <is>
          <t>Nachweis</t>
        </is>
      </c>
      <c r="D5115" s="10" t="inlineStr">
        <is>
          <t>⚠ Manual erforderlich</t>
        </is>
      </c>
      <c r="E5115" s="11" t="inlineStr"/>
      <c r="F5115" s="11" t="n">
        <v>0</v>
      </c>
      <c r="G5115" s="11">
        <f>E5115-F5115</f>
        <v/>
      </c>
      <c r="H5115" s="11" t="n">
        <v/>
      </c>
      <c r="I5115" s="11" t="n">
        <v/>
      </c>
      <c r="J5115" s="11" t="n">
        <v/>
      </c>
      <c r="K5115" s="4" t="inlineStr">
        <is>
          <t>Stundensätze eingeben</t>
        </is>
      </c>
    </row>
    <row r="5116">
      <c r="A5116" s="4" t="inlineStr">
        <is>
          <t>7512 BWSW-Hotel-Edelweiß-BSB-Martinswinkelstr17-Garmisch-Partenkirchen</t>
        </is>
      </c>
      <c r="B5116" s="4" t="inlineStr">
        <is>
          <t>● (p) Brandschutzbeauftragter MM/JJ - MM/JJ</t>
        </is>
      </c>
      <c r="C5116" s="4" t="inlineStr">
        <is>
          <t>Pauschale</t>
        </is>
      </c>
      <c r="D5116" s="10" t="inlineStr">
        <is>
          <t>⚠ Manual erforderlich</t>
        </is>
      </c>
      <c r="E5116" s="11" t="inlineStr"/>
      <c r="F5116" s="11" t="n">
        <v>0</v>
      </c>
      <c r="G5116" s="11">
        <f>E5116-F5116</f>
        <v/>
      </c>
      <c r="H5116" s="11" t="n">
        <v/>
      </c>
      <c r="I5116" s="11" t="n">
        <v/>
      </c>
      <c r="J5116" s="11" t="n">
        <v/>
      </c>
      <c r="K5116" s="4" t="inlineStr">
        <is>
          <t>Stundensätze eingeben</t>
        </is>
      </c>
    </row>
    <row r="5117">
      <c r="A5117" s="4" t="inlineStr">
        <is>
          <t>7512 BWSW-Hotel-Edelweiß-BSB-Martinswinkelstr17-Garmisch-Partenkirchen</t>
        </is>
      </c>
      <c r="B5117" s="4" t="inlineStr">
        <is>
          <t>● ADM</t>
        </is>
      </c>
      <c r="C5117" s="9" t="inlineStr">
        <is>
          <t>Unbekannt</t>
        </is>
      </c>
      <c r="D5117" s="10" t="inlineStr">
        <is>
          <t>⚠ Manual erforderlich</t>
        </is>
      </c>
      <c r="E5117" s="11" t="inlineStr"/>
      <c r="F5117" s="11" t="n">
        <v>0</v>
      </c>
      <c r="G5117" s="11">
        <f>E5117-F5117</f>
        <v/>
      </c>
      <c r="H5117" s="11" t="n">
        <v/>
      </c>
      <c r="I5117" s="11" t="n">
        <v/>
      </c>
      <c r="J5117" s="11" t="n">
        <v/>
      </c>
      <c r="K5117" s="4" t="inlineStr">
        <is>
          <t>Abrechnungsart wählen; Stundensätze eingeben</t>
        </is>
      </c>
    </row>
    <row r="5118">
      <c r="A5118" s="4" t="inlineStr">
        <is>
          <t>7513 Rührgarten, Stefan-BTB-Weißenburgerstr18-München</t>
        </is>
      </c>
      <c r="B5118" s="4" t="inlineStr">
        <is>
          <t>● (aN) BTB</t>
        </is>
      </c>
      <c r="C5118" s="4" t="inlineStr">
        <is>
          <t>Nachweis</t>
        </is>
      </c>
      <c r="D5118" s="10" t="inlineStr">
        <is>
          <t>⚠ Manual erforderlich</t>
        </is>
      </c>
      <c r="E5118" s="11" t="inlineStr"/>
      <c r="F5118" s="11" t="n">
        <v>0</v>
      </c>
      <c r="G5118" s="11">
        <f>E5118-F5118</f>
        <v/>
      </c>
      <c r="H5118" s="11" t="n">
        <v/>
      </c>
      <c r="I5118" s="11" t="n">
        <v/>
      </c>
      <c r="J5118" s="11" t="n">
        <v/>
      </c>
      <c r="K5118" s="4" t="inlineStr">
        <is>
          <t>Stundensätze eingeben</t>
        </is>
      </c>
    </row>
    <row r="5119">
      <c r="A5119" s="4" t="inlineStr">
        <is>
          <t>7514 AG-offen-BTB+BSN-Burgstr4-München</t>
        </is>
      </c>
      <c r="B5119" s="4" t="inlineStr">
        <is>
          <t>● (aN) BTB</t>
        </is>
      </c>
      <c r="C5119" s="4" t="inlineStr">
        <is>
          <t>Nachweis</t>
        </is>
      </c>
      <c r="D5119" s="10" t="inlineStr">
        <is>
          <t>⚠ Manual erforderlich</t>
        </is>
      </c>
      <c r="E5119" s="11" t="inlineStr"/>
      <c r="F5119" s="11" t="n">
        <v>0</v>
      </c>
      <c r="G5119" s="11">
        <f>E5119-F5119</f>
        <v/>
      </c>
      <c r="H5119" s="11" t="n">
        <v/>
      </c>
      <c r="I5119" s="11" t="n">
        <v/>
      </c>
      <c r="J5119" s="11" t="n">
        <v/>
      </c>
      <c r="K5119" s="4" t="inlineStr">
        <is>
          <t>Stundensätze eingeben</t>
        </is>
      </c>
    </row>
    <row r="5120">
      <c r="A5120" s="4" t="inlineStr">
        <is>
          <t>7514 AG-offen-BTB+BSN-Burgstr4-München</t>
        </is>
      </c>
      <c r="B5120" s="4" t="inlineStr">
        <is>
          <t>● (?) BSN</t>
        </is>
      </c>
      <c r="C5120" s="9" t="inlineStr">
        <is>
          <t>Unbekannt</t>
        </is>
      </c>
      <c r="D5120" s="10" t="inlineStr">
        <is>
          <t>⚠ Manual erforderlich</t>
        </is>
      </c>
      <c r="E5120" s="11" t="inlineStr"/>
      <c r="F5120" s="11" t="n">
        <v>0</v>
      </c>
      <c r="G5120" s="11">
        <f>E5120-F5120</f>
        <v/>
      </c>
      <c r="H5120" s="11" t="n">
        <v/>
      </c>
      <c r="I5120" s="11" t="n">
        <v/>
      </c>
      <c r="J5120" s="11" t="n">
        <v/>
      </c>
      <c r="K5120" s="4" t="inlineStr">
        <is>
          <t>Abrechnungsart wählen; Stundensätze eingeben</t>
        </is>
      </c>
    </row>
    <row r="5121">
      <c r="A5121" s="4" t="inlineStr">
        <is>
          <t>7514 AG-offen-BTB+BSN-Burgstr4-München</t>
        </is>
      </c>
      <c r="B5121" s="4" t="inlineStr">
        <is>
          <t>● ADM</t>
        </is>
      </c>
      <c r="C5121" s="9" t="inlineStr">
        <is>
          <t>Unbekannt</t>
        </is>
      </c>
      <c r="D5121" s="10" t="inlineStr">
        <is>
          <t>⚠ Manual erforderlich</t>
        </is>
      </c>
      <c r="E5121" s="11" t="inlineStr"/>
      <c r="F5121" s="11" t="n">
        <v>0</v>
      </c>
      <c r="G5121" s="11">
        <f>E5121-F5121</f>
        <v/>
      </c>
      <c r="H5121" s="11" t="n">
        <v/>
      </c>
      <c r="I5121" s="11" t="n">
        <v/>
      </c>
      <c r="J5121" s="11" t="n">
        <v/>
      </c>
      <c r="K5121" s="4" t="inlineStr">
        <is>
          <t>Abrechnungsart wählen; Stundensätze eingeben</t>
        </is>
      </c>
    </row>
    <row r="5122">
      <c r="A5122" s="4" t="inlineStr">
        <is>
          <t>7515 BSK-Hannoversche-Str.113-Isernhagen</t>
        </is>
      </c>
      <c r="B5122" s="4" t="inlineStr">
        <is>
          <t>● (p) Pos.1 BST nach Abgleich des umstrukturieten Bereichs (BA II) mit dem BSK</t>
        </is>
      </c>
      <c r="C5122" s="4" t="inlineStr">
        <is>
          <t>Pauschale</t>
        </is>
      </c>
      <c r="D5122" s="10" t="inlineStr">
        <is>
          <t>⚠ Manual erforderlich</t>
        </is>
      </c>
      <c r="E5122" s="11" t="inlineStr"/>
      <c r="F5122" s="11" t="n">
        <v>0</v>
      </c>
      <c r="G5122" s="11">
        <f>E5122-F5122</f>
        <v/>
      </c>
      <c r="H5122" s="11" t="n">
        <v>0</v>
      </c>
      <c r="I5122" s="11" t="n">
        <v>0</v>
      </c>
      <c r="J5122" s="11" t="n">
        <v>0</v>
      </c>
      <c r="K5122" s="4" t="inlineStr">
        <is>
          <t>Stundensätze eingeben</t>
        </is>
      </c>
    </row>
    <row r="5123">
      <c r="A5123" s="4" t="inlineStr">
        <is>
          <t>7515 BSK-Hannoversche-Str.113-Isernhagen</t>
        </is>
      </c>
      <c r="B5123" s="4" t="inlineStr">
        <is>
          <t>● (p) Pos.2 Fortschreibung BSK auf Grundlage der aktuellen Nutzung (in BA II)</t>
        </is>
      </c>
      <c r="C5123" s="4" t="inlineStr">
        <is>
          <t>Pauschale</t>
        </is>
      </c>
      <c r="D5123" s="10" t="inlineStr">
        <is>
          <t>⚠ Manual erforderlich</t>
        </is>
      </c>
      <c r="E5123" s="11" t="inlineStr"/>
      <c r="F5123" s="11" t="n">
        <v>0</v>
      </c>
      <c r="G5123" s="11">
        <f>E5123-F5123</f>
        <v/>
      </c>
      <c r="H5123" s="11" t="n">
        <v>0</v>
      </c>
      <c r="I5123" s="11" t="n">
        <v>0</v>
      </c>
      <c r="J5123" s="11" t="n">
        <v>0</v>
      </c>
      <c r="K5123" s="4" t="inlineStr">
        <is>
          <t>Stundensätze eingeben</t>
        </is>
      </c>
    </row>
    <row r="5124">
      <c r="A5124" s="4" t="inlineStr">
        <is>
          <t>7515 BSK-Hannoversche-Str.113-Isernhagen</t>
        </is>
      </c>
      <c r="B5124" s="4" t="inlineStr">
        <is>
          <t>● (p) Pos.3 FRP für den Hallenbereich in Brandabschnitt II</t>
        </is>
      </c>
      <c r="C5124" s="4" t="inlineStr">
        <is>
          <t>Pauschale</t>
        </is>
      </c>
      <c r="D5124" s="10" t="inlineStr">
        <is>
          <t>⚠ Manual erforderlich</t>
        </is>
      </c>
      <c r="E5124" s="11" t="inlineStr"/>
      <c r="F5124" s="11" t="n">
        <v>0</v>
      </c>
      <c r="G5124" s="11">
        <f>E5124-F5124</f>
        <v/>
      </c>
      <c r="H5124" s="11" t="n">
        <v>0</v>
      </c>
      <c r="I5124" s="11" t="n">
        <v>0</v>
      </c>
      <c r="J5124" s="11" t="n">
        <v>0</v>
      </c>
      <c r="K5124" s="4" t="inlineStr">
        <is>
          <t>Stundensätze eingeben</t>
        </is>
      </c>
    </row>
    <row r="5125">
      <c r="A5125" s="4" t="inlineStr">
        <is>
          <t>7516 svt-BST-Griesbergstraße-8-Bad Salzdetfurth</t>
        </is>
      </c>
      <c r="B5125" s="4" t="inlineStr">
        <is>
          <t>● (p) BST</t>
        </is>
      </c>
      <c r="C5125" s="4" t="inlineStr">
        <is>
          <t>Pauschale</t>
        </is>
      </c>
      <c r="D5125" s="10" t="inlineStr">
        <is>
          <t>⚠ Manual erforderlich</t>
        </is>
      </c>
      <c r="E5125" s="11" t="inlineStr"/>
      <c r="F5125" s="11" t="n">
        <v>0</v>
      </c>
      <c r="G5125" s="11">
        <f>E5125-F5125</f>
        <v/>
      </c>
      <c r="H5125" s="11" t="n">
        <v>0</v>
      </c>
      <c r="I5125" s="11" t="n">
        <v>0</v>
      </c>
      <c r="J5125" s="11" t="n">
        <v>0</v>
      </c>
      <c r="K5125" s="4" t="inlineStr">
        <is>
          <t>Stundensätze eingeben</t>
        </is>
      </c>
    </row>
    <row r="5126">
      <c r="A5126" s="4" t="inlineStr">
        <is>
          <t>7517 HuSch-FWP-WEA-Nußbach</t>
        </is>
      </c>
      <c r="B5126" s="4" t="inlineStr">
        <is>
          <t>● (p) Pos. 1 Feuerwehrpläne</t>
        </is>
      </c>
      <c r="C5126" s="4" t="inlineStr">
        <is>
          <t>Pauschale</t>
        </is>
      </c>
      <c r="D5126" s="10" t="inlineStr">
        <is>
          <t>⚠ Manual erforderlich</t>
        </is>
      </c>
      <c r="E5126" s="11" t="inlineStr"/>
      <c r="F5126" s="11" t="n">
        <v>0</v>
      </c>
      <c r="G5126" s="11">
        <f>E5126-F5126</f>
        <v/>
      </c>
      <c r="H5126" s="11" t="n">
        <v>0</v>
      </c>
      <c r="I5126" s="11" t="n">
        <v>0</v>
      </c>
      <c r="J5126" s="11" t="n">
        <v>0</v>
      </c>
      <c r="K5126" s="4" t="inlineStr">
        <is>
          <t>Stundensätze eingeben</t>
        </is>
      </c>
    </row>
    <row r="5127">
      <c r="A5127" s="4" t="inlineStr">
        <is>
          <t>7518 LBB-KL-AHO-Instandsetzung-Geb3205-Kleber-Kaserne-KL</t>
        </is>
      </c>
      <c r="B5127" s="4" t="inlineStr">
        <is>
          <t>● • ‧ Besprechungen</t>
        </is>
      </c>
      <c r="C5127" s="9" t="inlineStr">
        <is>
          <t>Unbekannt</t>
        </is>
      </c>
      <c r="D5127" s="10" t="inlineStr">
        <is>
          <t>⚠ Manual erforderlich</t>
        </is>
      </c>
      <c r="E5127" s="11" t="inlineStr"/>
      <c r="F5127" s="11" t="n">
        <v>0</v>
      </c>
      <c r="G5127" s="11">
        <f>E5127-F5127</f>
        <v/>
      </c>
      <c r="H5127" s="11" t="n">
        <v/>
      </c>
      <c r="I5127" s="11" t="n">
        <v/>
      </c>
      <c r="J5127" s="11" t="n">
        <v/>
      </c>
      <c r="K5127" s="4" t="inlineStr">
        <is>
          <t>Abrechnungsart wählen; Stundensätze eingeben</t>
        </is>
      </c>
    </row>
    <row r="5128">
      <c r="A5128" s="4" t="inlineStr">
        <is>
          <t>7518 LBB-KL-AHO-Instandsetzung-Geb3205-Kleber-Kaserne-KL</t>
        </is>
      </c>
      <c r="B5128" s="4" t="inlineStr">
        <is>
          <t>● • ‧ ‧ ‧ 1.1  Grundlagenermittlung Regelleistung</t>
        </is>
      </c>
      <c r="C5128" s="9" t="inlineStr">
        <is>
          <t>Unbekannt</t>
        </is>
      </c>
      <c r="D5128" s="10" t="inlineStr">
        <is>
          <t>⚠ Manual erforderlich</t>
        </is>
      </c>
      <c r="E5128" s="11" t="inlineStr"/>
      <c r="F5128" s="11" t="n">
        <v>0</v>
      </c>
      <c r="G5128" s="11">
        <f>E5128-F5128</f>
        <v/>
      </c>
      <c r="H5128" s="11" t="n">
        <v/>
      </c>
      <c r="I5128" s="11" t="n">
        <v/>
      </c>
      <c r="J5128" s="11" t="n">
        <v/>
      </c>
      <c r="K5128" s="4" t="inlineStr">
        <is>
          <t>Abrechnungsart wählen; Stundensätze eingeben</t>
        </is>
      </c>
    </row>
    <row r="5129">
      <c r="A5129" s="4" t="inlineStr">
        <is>
          <t>7518 LBB-KL-AHO-Instandsetzung-Geb3205-Kleber-Kaserne-KL</t>
        </is>
      </c>
      <c r="B5129" s="4" t="inlineStr">
        <is>
          <t>● • ‧ ‧ ‧ 1.2. Grundlagenermittlung optionale Leistung</t>
        </is>
      </c>
      <c r="C5129" s="9" t="inlineStr">
        <is>
          <t>Unbekannt</t>
        </is>
      </c>
      <c r="D5129" s="10" t="inlineStr">
        <is>
          <t>⚠ Manual erforderlich</t>
        </is>
      </c>
      <c r="E5129" s="11" t="inlineStr"/>
      <c r="F5129" s="11" t="n">
        <v>0</v>
      </c>
      <c r="G5129" s="11">
        <f>E5129-F5129</f>
        <v/>
      </c>
      <c r="H5129" s="11" t="n">
        <v/>
      </c>
      <c r="I5129" s="11" t="n">
        <v/>
      </c>
      <c r="J5129" s="11" t="n">
        <v/>
      </c>
      <c r="K5129" s="4" t="inlineStr">
        <is>
          <t>Abrechnungsart wählen; Stundensätze eingeben</t>
        </is>
      </c>
    </row>
    <row r="5130">
      <c r="A5130" s="4" t="inlineStr">
        <is>
          <t>7518 LBB-KL-AHO-Instandsetzung-Geb3205-Kleber-Kaserne-KL</t>
        </is>
      </c>
      <c r="B5130" s="4" t="inlineStr">
        <is>
          <t>● • ‧ ‧ ‧ 2.1  Vorplanung Regelleistung</t>
        </is>
      </c>
      <c r="C5130" s="9" t="inlineStr">
        <is>
          <t>Unbekannt</t>
        </is>
      </c>
      <c r="D5130" s="10" t="inlineStr">
        <is>
          <t>⚠ Manual erforderlich</t>
        </is>
      </c>
      <c r="E5130" s="11" t="inlineStr"/>
      <c r="F5130" s="11" t="n">
        <v>0</v>
      </c>
      <c r="G5130" s="11">
        <f>E5130-F5130</f>
        <v/>
      </c>
      <c r="H5130" s="11" t="n">
        <v/>
      </c>
      <c r="I5130" s="11" t="n">
        <v/>
      </c>
      <c r="J5130" s="11" t="n">
        <v/>
      </c>
      <c r="K5130" s="4" t="inlineStr">
        <is>
          <t>Abrechnungsart wählen; Stundensätze eingeben</t>
        </is>
      </c>
    </row>
    <row r="5131">
      <c r="A5131" s="4" t="inlineStr">
        <is>
          <t>7518 LBB-KL-AHO-Instandsetzung-Geb3205-Kleber-Kaserne-KL</t>
        </is>
      </c>
      <c r="B5131" s="4" t="inlineStr">
        <is>
          <t>● • ‧ ‧ ‧ 2.2. Vorplanung optionale Leistung</t>
        </is>
      </c>
      <c r="C5131" s="9" t="inlineStr">
        <is>
          <t>Unbekannt</t>
        </is>
      </c>
      <c r="D5131" s="10" t="inlineStr">
        <is>
          <t>⚠ Manual erforderlich</t>
        </is>
      </c>
      <c r="E5131" s="11" t="inlineStr"/>
      <c r="F5131" s="11" t="n">
        <v>0</v>
      </c>
      <c r="G5131" s="11">
        <f>E5131-F5131</f>
        <v/>
      </c>
      <c r="H5131" s="11" t="n">
        <v/>
      </c>
      <c r="I5131" s="11" t="n">
        <v/>
      </c>
      <c r="J5131" s="11" t="n">
        <v/>
      </c>
      <c r="K5131" s="4" t="inlineStr">
        <is>
          <t>Abrechnungsart wählen; Stundensätze eingeben</t>
        </is>
      </c>
    </row>
    <row r="5132">
      <c r="A5132" s="4" t="inlineStr">
        <is>
          <t>7518 LBB-KL-AHO-Instandsetzung-Geb3205-Kleber-Kaserne-KL</t>
        </is>
      </c>
      <c r="B5132" s="4" t="inlineStr">
        <is>
          <t>● • ‧ ‧ ‧ 3.1  Entwurfsplanung Regelleistungen</t>
        </is>
      </c>
      <c r="C5132" s="9" t="inlineStr">
        <is>
          <t>Unbekannt</t>
        </is>
      </c>
      <c r="D5132" s="10" t="inlineStr">
        <is>
          <t>⚠ Manual erforderlich</t>
        </is>
      </c>
      <c r="E5132" s="11" t="inlineStr"/>
      <c r="F5132" s="11" t="n">
        <v>0</v>
      </c>
      <c r="G5132" s="11">
        <f>E5132-F5132</f>
        <v/>
      </c>
      <c r="H5132" s="11" t="n">
        <v/>
      </c>
      <c r="I5132" s="11" t="n">
        <v/>
      </c>
      <c r="J5132" s="11" t="n">
        <v/>
      </c>
      <c r="K5132" s="4" t="inlineStr">
        <is>
          <t>Abrechnungsart wählen; Stundensätze eingeben</t>
        </is>
      </c>
    </row>
    <row r="5133">
      <c r="A5133" s="4" t="inlineStr">
        <is>
          <t>7518 LBB-KL-AHO-Instandsetzung-Geb3205-Kleber-Kaserne-KL</t>
        </is>
      </c>
      <c r="B5133" s="4" t="inlineStr">
        <is>
          <t>● • ‧ ‧ ‧ ‧ SV</t>
        </is>
      </c>
      <c r="C5133" s="9" t="inlineStr">
        <is>
          <t>Unbekannt</t>
        </is>
      </c>
      <c r="D5133" s="10" t="inlineStr">
        <is>
          <t>⚠ Manual erforderlich</t>
        </is>
      </c>
      <c r="E5133" s="11" t="inlineStr"/>
      <c r="F5133" s="11" t="n">
        <v>0</v>
      </c>
      <c r="G5133" s="11">
        <f>E5133-F5133</f>
        <v/>
      </c>
      <c r="H5133" s="11" t="n">
        <v/>
      </c>
      <c r="I5133" s="11" t="n">
        <v/>
      </c>
      <c r="J5133" s="11" t="n">
        <v/>
      </c>
      <c r="K5133" s="4" t="inlineStr">
        <is>
          <t>Abrechnungsart wählen; Stundensätze eingeben</t>
        </is>
      </c>
    </row>
    <row r="5134">
      <c r="A5134" s="4" t="inlineStr">
        <is>
          <t>7518 LBB-KL-AHO-Instandsetzung-Geb3205-Kleber-Kaserne-KL</t>
        </is>
      </c>
      <c r="B5134" s="4" t="inlineStr">
        <is>
          <t>● • ‧ ‧ ‧ ‧ CAD</t>
        </is>
      </c>
      <c r="C5134" s="9" t="inlineStr">
        <is>
          <t>Unbekannt</t>
        </is>
      </c>
      <c r="D5134" s="10" t="inlineStr">
        <is>
          <t>⚠ Manual erforderlich</t>
        </is>
      </c>
      <c r="E5134" s="11" t="inlineStr"/>
      <c r="F5134" s="11" t="n">
        <v>0</v>
      </c>
      <c r="G5134" s="11">
        <f>E5134-F5134</f>
        <v/>
      </c>
      <c r="H5134" s="11" t="n">
        <v/>
      </c>
      <c r="I5134" s="11" t="n">
        <v/>
      </c>
      <c r="J5134" s="11" t="n">
        <v/>
      </c>
      <c r="K5134" s="4" t="inlineStr">
        <is>
          <t>Abrechnungsart wählen; Stundensätze eingeben</t>
        </is>
      </c>
    </row>
    <row r="5135">
      <c r="A5135" s="4" t="inlineStr">
        <is>
          <t>7518 LBB-KL-AHO-Instandsetzung-Geb3205-Kleber-Kaserne-KL</t>
        </is>
      </c>
      <c r="B5135" s="4" t="inlineStr">
        <is>
          <t>● • ‧ ‧ ‧ 4.2  Genehmigungsplanung optionale Leistungen</t>
        </is>
      </c>
      <c r="C5135" s="9" t="inlineStr">
        <is>
          <t>Unbekannt</t>
        </is>
      </c>
      <c r="D5135" s="10" t="inlineStr">
        <is>
          <t>⚠ Manual erforderlich</t>
        </is>
      </c>
      <c r="E5135" s="11" t="inlineStr"/>
      <c r="F5135" s="11" t="n">
        <v>0</v>
      </c>
      <c r="G5135" s="11">
        <f>E5135-F5135</f>
        <v/>
      </c>
      <c r="H5135" s="11" t="n">
        <v/>
      </c>
      <c r="I5135" s="11" t="n">
        <v/>
      </c>
      <c r="J5135" s="11" t="n">
        <v/>
      </c>
      <c r="K5135" s="4" t="inlineStr">
        <is>
          <t>Abrechnungsart wählen; Stundensätze eingeben</t>
        </is>
      </c>
    </row>
    <row r="5136">
      <c r="A5136" s="4" t="inlineStr">
        <is>
          <t>7518 LBB-KL-AHO-Instandsetzung-Geb3205-Kleber-Kaserne-KL</t>
        </is>
      </c>
      <c r="B5136" s="4" t="inlineStr">
        <is>
          <t>● • ‧ ‧  5.1  Ausführungsplanung Regelleistungen</t>
        </is>
      </c>
      <c r="C5136" s="9" t="inlineStr">
        <is>
          <t>Unbekannt</t>
        </is>
      </c>
      <c r="D5136" s="10" t="inlineStr">
        <is>
          <t>⚠ Manual erforderlich</t>
        </is>
      </c>
      <c r="E5136" s="11" t="inlineStr"/>
      <c r="F5136" s="11" t="n">
        <v>0</v>
      </c>
      <c r="G5136" s="11">
        <f>E5136-F5136</f>
        <v/>
      </c>
      <c r="H5136" s="11" t="n">
        <v/>
      </c>
      <c r="I5136" s="11" t="n">
        <v/>
      </c>
      <c r="J5136" s="11" t="n">
        <v/>
      </c>
      <c r="K5136" s="4" t="inlineStr">
        <is>
          <t>Abrechnungsart wählen; Stundensätze eingeben</t>
        </is>
      </c>
    </row>
    <row r="5137">
      <c r="A5137" s="4" t="inlineStr">
        <is>
          <t>7518 LBB-KL-AHO-Instandsetzung-Geb3205-Kleber-Kaserne-KL</t>
        </is>
      </c>
      <c r="B5137" s="4" t="inlineStr">
        <is>
          <t>● • ‧ ‧  5.2  Ausführungsplanung Optionale Leistungen</t>
        </is>
      </c>
      <c r="C5137" s="9" t="inlineStr">
        <is>
          <t>Unbekannt</t>
        </is>
      </c>
      <c r="D5137" s="10" t="inlineStr">
        <is>
          <t>⚠ Manual erforderlich</t>
        </is>
      </c>
      <c r="E5137" s="11" t="inlineStr"/>
      <c r="F5137" s="11" t="n">
        <v>0</v>
      </c>
      <c r="G5137" s="11">
        <f>E5137-F5137</f>
        <v/>
      </c>
      <c r="H5137" s="11" t="n">
        <v/>
      </c>
      <c r="I5137" s="11" t="n">
        <v/>
      </c>
      <c r="J5137" s="11" t="n">
        <v/>
      </c>
      <c r="K5137" s="4" t="inlineStr">
        <is>
          <t>Abrechnungsart wählen; Stundensätze eingeben</t>
        </is>
      </c>
    </row>
    <row r="5138">
      <c r="A5138" s="4" t="inlineStr">
        <is>
          <t>7518 LBB-KL-AHO-Instandsetzung-Geb3205-Kleber-Kaserne-KL</t>
        </is>
      </c>
      <c r="B5138" s="4" t="inlineStr">
        <is>
          <t>● • ‧ ‧  6.2  Vorbereitung der Vergabe Optionale Leistungen</t>
        </is>
      </c>
      <c r="C5138" s="9" t="inlineStr">
        <is>
          <t>Unbekannt</t>
        </is>
      </c>
      <c r="D5138" s="10" t="inlineStr">
        <is>
          <t>⚠ Manual erforderlich</t>
        </is>
      </c>
      <c r="E5138" s="11" t="inlineStr"/>
      <c r="F5138" s="11" t="n">
        <v>0</v>
      </c>
      <c r="G5138" s="11">
        <f>E5138-F5138</f>
        <v/>
      </c>
      <c r="H5138" s="11" t="n">
        <v/>
      </c>
      <c r="I5138" s="11" t="n">
        <v/>
      </c>
      <c r="J5138" s="11" t="n">
        <v/>
      </c>
      <c r="K5138" s="4" t="inlineStr">
        <is>
          <t>Abrechnungsart wählen; Stundensätze eingeben</t>
        </is>
      </c>
    </row>
    <row r="5139">
      <c r="A5139" s="4" t="inlineStr">
        <is>
          <t>7518 LBB-KL-AHO-Instandsetzung-Geb3205-Kleber-Kaserne-KL</t>
        </is>
      </c>
      <c r="B5139" s="4" t="inlineStr">
        <is>
          <t>● • ‧ ‧ 7.2  Mitwirkung bei der Vergabe Optionale Leistungen</t>
        </is>
      </c>
      <c r="C5139" s="9" t="inlineStr">
        <is>
          <t>Unbekannt</t>
        </is>
      </c>
      <c r="D5139" s="10" t="inlineStr">
        <is>
          <t>⚠ Manual erforderlich</t>
        </is>
      </c>
      <c r="E5139" s="11" t="inlineStr"/>
      <c r="F5139" s="11" t="n">
        <v>0</v>
      </c>
      <c r="G5139" s="11">
        <f>E5139-F5139</f>
        <v/>
      </c>
      <c r="H5139" s="11" t="n">
        <v/>
      </c>
      <c r="I5139" s="11" t="n">
        <v/>
      </c>
      <c r="J5139" s="11" t="n">
        <v/>
      </c>
      <c r="K5139" s="4" t="inlineStr">
        <is>
          <t>Abrechnungsart wählen; Stundensätze eingeben</t>
        </is>
      </c>
    </row>
    <row r="5140">
      <c r="A5140" s="4" t="inlineStr">
        <is>
          <t>7518 LBB-KL-AHO-Instandsetzung-Geb3205-Kleber-Kaserne-KL</t>
        </is>
      </c>
      <c r="B5140" s="4" t="inlineStr">
        <is>
          <t>● • ‧ ‧ 8.1 Objektüberwachung Regelleistungen</t>
        </is>
      </c>
      <c r="C5140" s="9" t="inlineStr">
        <is>
          <t>Unbekannt</t>
        </is>
      </c>
      <c r="D5140" s="10" t="inlineStr">
        <is>
          <t>⚠ Manual erforderlich</t>
        </is>
      </c>
      <c r="E5140" s="11" t="inlineStr"/>
      <c r="F5140" s="11" t="n">
        <v>0</v>
      </c>
      <c r="G5140" s="11">
        <f>E5140-F5140</f>
        <v/>
      </c>
      <c r="H5140" s="11" t="n">
        <v/>
      </c>
      <c r="I5140" s="11" t="n">
        <v/>
      </c>
      <c r="J5140" s="11" t="n">
        <v/>
      </c>
      <c r="K5140" s="4" t="inlineStr">
        <is>
          <t>Abrechnungsart wählen; Stundensätze eingeben</t>
        </is>
      </c>
    </row>
    <row r="5141">
      <c r="A5141" s="4" t="inlineStr">
        <is>
          <t>7518 LBB-KL-AHO-Instandsetzung-Geb3205-Kleber-Kaserne-KL</t>
        </is>
      </c>
      <c r="B5141" s="4" t="inlineStr">
        <is>
          <t>● • ‧ ‧ ‧ 1.1  Grundlagenermittlung Regelleistungen</t>
        </is>
      </c>
      <c r="C5141" s="9" t="inlineStr">
        <is>
          <t>Unbekannt</t>
        </is>
      </c>
      <c r="D5141" s="10" t="inlineStr">
        <is>
          <t>⚠ Manual erforderlich</t>
        </is>
      </c>
      <c r="E5141" s="11" t="inlineStr"/>
      <c r="F5141" s="11" t="n">
        <v>0</v>
      </c>
      <c r="G5141" s="11">
        <f>E5141-F5141</f>
        <v/>
      </c>
      <c r="H5141" s="11" t="n">
        <v/>
      </c>
      <c r="I5141" s="11" t="n">
        <v/>
      </c>
      <c r="J5141" s="11" t="n">
        <v/>
      </c>
      <c r="K5141" s="4" t="inlineStr">
        <is>
          <t>Abrechnungsart wählen; Stundensätze eingeben</t>
        </is>
      </c>
    </row>
    <row r="5142">
      <c r="A5142" s="4" t="inlineStr">
        <is>
          <t>7518 LBB-KL-AHO-Instandsetzung-Geb3205-Kleber-Kaserne-KL</t>
        </is>
      </c>
      <c r="B5142" s="4" t="inlineStr">
        <is>
          <t>● • ‧ ‧ ‧ 1.2. Grundlagenermittlung Optionale Leistungen</t>
        </is>
      </c>
      <c r="C5142" s="9" t="inlineStr">
        <is>
          <t>Unbekannt</t>
        </is>
      </c>
      <c r="D5142" s="10" t="inlineStr">
        <is>
          <t>⚠ Manual erforderlich</t>
        </is>
      </c>
      <c r="E5142" s="11" t="inlineStr"/>
      <c r="F5142" s="11" t="n">
        <v>0</v>
      </c>
      <c r="G5142" s="11">
        <f>E5142-F5142</f>
        <v/>
      </c>
      <c r="H5142" s="11" t="n">
        <v/>
      </c>
      <c r="I5142" s="11" t="n">
        <v/>
      </c>
      <c r="J5142" s="11" t="n">
        <v/>
      </c>
      <c r="K5142" s="4" t="inlineStr">
        <is>
          <t>Abrechnungsart wählen; Stundensätze eingeben</t>
        </is>
      </c>
    </row>
    <row r="5143">
      <c r="A5143" s="4" t="inlineStr">
        <is>
          <t>7518 LBB-KL-AHO-Instandsetzung-Geb3205-Kleber-Kaserne-KL</t>
        </is>
      </c>
      <c r="B5143" s="4" t="inlineStr">
        <is>
          <t>● • ‧ ‧ ‧  2.1  Vorplanung Regelleistungen</t>
        </is>
      </c>
      <c r="C5143" s="9" t="inlineStr">
        <is>
          <t>Unbekannt</t>
        </is>
      </c>
      <c r="D5143" s="10" t="inlineStr">
        <is>
          <t>⚠ Manual erforderlich</t>
        </is>
      </c>
      <c r="E5143" s="11" t="inlineStr"/>
      <c r="F5143" s="11" t="n">
        <v>0</v>
      </c>
      <c r="G5143" s="11">
        <f>E5143-F5143</f>
        <v/>
      </c>
      <c r="H5143" s="11" t="n">
        <v/>
      </c>
      <c r="I5143" s="11" t="n">
        <v/>
      </c>
      <c r="J5143" s="11" t="n">
        <v/>
      </c>
      <c r="K5143" s="4" t="inlineStr">
        <is>
          <t>Abrechnungsart wählen; Stundensätze eingeben</t>
        </is>
      </c>
    </row>
    <row r="5144">
      <c r="A5144" s="4" t="inlineStr">
        <is>
          <t>7518 LBB-KL-AHO-Instandsetzung-Geb3205-Kleber-Kaserne-KL</t>
        </is>
      </c>
      <c r="B5144" s="4" t="inlineStr">
        <is>
          <t>● • ‧ ‧ ‧ 2.2 Vorplanung Optionale Leistungen</t>
        </is>
      </c>
      <c r="C5144" s="9" t="inlineStr">
        <is>
          <t>Unbekannt</t>
        </is>
      </c>
      <c r="D5144" s="10" t="inlineStr">
        <is>
          <t>⚠ Manual erforderlich</t>
        </is>
      </c>
      <c r="E5144" s="11" t="inlineStr"/>
      <c r="F5144" s="11" t="n">
        <v>0</v>
      </c>
      <c r="G5144" s="11">
        <f>E5144-F5144</f>
        <v/>
      </c>
      <c r="H5144" s="11" t="n">
        <v/>
      </c>
      <c r="I5144" s="11" t="n">
        <v/>
      </c>
      <c r="J5144" s="11" t="n">
        <v/>
      </c>
      <c r="K5144" s="4" t="inlineStr">
        <is>
          <t>Abrechnungsart wählen; Stundensätze eingeben</t>
        </is>
      </c>
    </row>
    <row r="5145">
      <c r="A5145" s="4" t="inlineStr">
        <is>
          <t>7518 LBB-KL-AHO-Instandsetzung-Geb3205-Kleber-Kaserne-KL</t>
        </is>
      </c>
      <c r="B5145" s="4" t="inlineStr">
        <is>
          <t>● • ‧ ‧ ‧ 3.1  Entwurfsplanung Regelleistungen</t>
        </is>
      </c>
      <c r="C5145" s="9" t="inlineStr">
        <is>
          <t>Unbekannt</t>
        </is>
      </c>
      <c r="D5145" s="10" t="inlineStr">
        <is>
          <t>⚠ Manual erforderlich</t>
        </is>
      </c>
      <c r="E5145" s="11" t="inlineStr"/>
      <c r="F5145" s="11" t="n">
        <v>0</v>
      </c>
      <c r="G5145" s="11">
        <f>E5145-F5145</f>
        <v/>
      </c>
      <c r="H5145" s="11" t="n">
        <v/>
      </c>
      <c r="I5145" s="11" t="n">
        <v/>
      </c>
      <c r="J5145" s="11" t="n">
        <v/>
      </c>
      <c r="K5145" s="4" t="inlineStr">
        <is>
          <t>Abrechnungsart wählen; Stundensätze eingeben</t>
        </is>
      </c>
    </row>
    <row r="5146">
      <c r="A5146" s="4" t="inlineStr">
        <is>
          <t>7518 LBB-KL-AHO-Instandsetzung-Geb3205-Kleber-Kaserne-KL</t>
        </is>
      </c>
      <c r="B5146" s="4" t="inlineStr">
        <is>
          <t>● • ‧ ‧ ‧ 3.2 Entwurfsplanung Optionale Leistungen</t>
        </is>
      </c>
      <c r="C5146" s="9" t="inlineStr">
        <is>
          <t>Unbekannt</t>
        </is>
      </c>
      <c r="D5146" s="10" t="inlineStr">
        <is>
          <t>⚠ Manual erforderlich</t>
        </is>
      </c>
      <c r="E5146" s="11" t="inlineStr"/>
      <c r="F5146" s="11" t="n">
        <v>0</v>
      </c>
      <c r="G5146" s="11">
        <f>E5146-F5146</f>
        <v/>
      </c>
      <c r="H5146" s="11" t="n">
        <v/>
      </c>
      <c r="I5146" s="11" t="n">
        <v/>
      </c>
      <c r="J5146" s="11" t="n">
        <v/>
      </c>
      <c r="K5146" s="4" t="inlineStr">
        <is>
          <t>Abrechnungsart wählen; Stundensätze eingeben</t>
        </is>
      </c>
    </row>
    <row r="5147">
      <c r="A5147" s="4" t="inlineStr">
        <is>
          <t>7518 LBB-KL-AHO-Instandsetzung-Geb3205-Kleber-Kaserne-KL</t>
        </is>
      </c>
      <c r="B5147" s="4" t="inlineStr">
        <is>
          <t>● • ‧ ‧ ‧ 4.1  Genehmigungsplanung Regelleistungen</t>
        </is>
      </c>
      <c r="C5147" s="9" t="inlineStr">
        <is>
          <t>Unbekannt</t>
        </is>
      </c>
      <c r="D5147" s="10" t="inlineStr">
        <is>
          <t>⚠ Manual erforderlich</t>
        </is>
      </c>
      <c r="E5147" s="11" t="inlineStr"/>
      <c r="F5147" s="11" t="n">
        <v>0</v>
      </c>
      <c r="G5147" s="11">
        <f>E5147-F5147</f>
        <v/>
      </c>
      <c r="H5147" s="11" t="n">
        <v/>
      </c>
      <c r="I5147" s="11" t="n">
        <v/>
      </c>
      <c r="J5147" s="11" t="n">
        <v/>
      </c>
      <c r="K5147" s="4" t="inlineStr">
        <is>
          <t>Abrechnungsart wählen; Stundensätze eingeben</t>
        </is>
      </c>
    </row>
    <row r="5148">
      <c r="A5148" s="4" t="inlineStr">
        <is>
          <t>7518 LBB-KL-AHO-Instandsetzung-Geb3205-Kleber-Kaserne-KL</t>
        </is>
      </c>
      <c r="B5148" s="4" t="inlineStr">
        <is>
          <t>● • ‧ ‧ ‧ 4.2 Genehmigungsplanung Optionale Leistungen</t>
        </is>
      </c>
      <c r="C5148" s="9" t="inlineStr">
        <is>
          <t>Unbekannt</t>
        </is>
      </c>
      <c r="D5148" s="10" t="inlineStr">
        <is>
          <t>⚠ Manual erforderlich</t>
        </is>
      </c>
      <c r="E5148" s="11" t="inlineStr"/>
      <c r="F5148" s="11" t="n">
        <v>0</v>
      </c>
      <c r="G5148" s="11">
        <f>E5148-F5148</f>
        <v/>
      </c>
      <c r="H5148" s="11" t="n">
        <v/>
      </c>
      <c r="I5148" s="11" t="n">
        <v/>
      </c>
      <c r="J5148" s="11" t="n">
        <v/>
      </c>
      <c r="K5148" s="4" t="inlineStr">
        <is>
          <t>Abrechnungsart wählen; Stundensätze eingeben</t>
        </is>
      </c>
    </row>
    <row r="5149">
      <c r="A5149" s="4" t="inlineStr">
        <is>
          <t>7518 LBB-KL-AHO-Instandsetzung-Geb3205-Kleber-Kaserne-KL</t>
        </is>
      </c>
      <c r="B5149" s="4" t="inlineStr">
        <is>
          <t>● • ‧ ‧ 5.1 RL</t>
        </is>
      </c>
      <c r="C5149" s="9" t="inlineStr">
        <is>
          <t>Unbekannt</t>
        </is>
      </c>
      <c r="D5149" s="10" t="inlineStr">
        <is>
          <t>⚠ Manual erforderlich</t>
        </is>
      </c>
      <c r="E5149" s="11" t="inlineStr"/>
      <c r="F5149" s="11" t="n">
        <v>0</v>
      </c>
      <c r="G5149" s="11">
        <f>E5149-F5149</f>
        <v/>
      </c>
      <c r="H5149" s="11" t="n">
        <v/>
      </c>
      <c r="I5149" s="11" t="n">
        <v/>
      </c>
      <c r="J5149" s="11" t="n">
        <v/>
      </c>
      <c r="K5149" s="4" t="inlineStr">
        <is>
          <t>Abrechnungsart wählen; Stundensätze eingeben</t>
        </is>
      </c>
    </row>
    <row r="5150">
      <c r="A5150" s="4" t="inlineStr">
        <is>
          <t>7518 LBB-KL-AHO-Instandsetzung-Geb3205-Kleber-Kaserne-KL</t>
        </is>
      </c>
      <c r="B5150" s="4" t="inlineStr">
        <is>
          <t>● • ‧ ‧ 5.2 OL</t>
        </is>
      </c>
      <c r="C5150" s="9" t="inlineStr">
        <is>
          <t>Unbekannt</t>
        </is>
      </c>
      <c r="D5150" s="10" t="inlineStr">
        <is>
          <t>⚠ Manual erforderlich</t>
        </is>
      </c>
      <c r="E5150" s="11" t="inlineStr"/>
      <c r="F5150" s="11" t="n">
        <v>0</v>
      </c>
      <c r="G5150" s="11">
        <f>E5150-F5150</f>
        <v/>
      </c>
      <c r="H5150" s="11" t="n">
        <v/>
      </c>
      <c r="I5150" s="11" t="n">
        <v/>
      </c>
      <c r="J5150" s="11" t="n">
        <v/>
      </c>
      <c r="K5150" s="4" t="inlineStr">
        <is>
          <t>Abrechnungsart wählen; Stundensätze eingeben</t>
        </is>
      </c>
    </row>
    <row r="5151">
      <c r="A5151" s="4" t="inlineStr">
        <is>
          <t>7518 LBB-KL-AHO-Instandsetzung-Geb3205-Kleber-Kaserne-KL</t>
        </is>
      </c>
      <c r="B5151" s="4" t="inlineStr">
        <is>
          <t>● • ‧ ‧ 6.2 OL</t>
        </is>
      </c>
      <c r="C5151" s="9" t="inlineStr">
        <is>
          <t>Unbekannt</t>
        </is>
      </c>
      <c r="D5151" s="10" t="inlineStr">
        <is>
          <t>⚠ Manual erforderlich</t>
        </is>
      </c>
      <c r="E5151" s="11" t="inlineStr"/>
      <c r="F5151" s="11" t="n">
        <v>0</v>
      </c>
      <c r="G5151" s="11">
        <f>E5151-F5151</f>
        <v/>
      </c>
      <c r="H5151" s="11" t="n">
        <v/>
      </c>
      <c r="I5151" s="11" t="n">
        <v/>
      </c>
      <c r="J5151" s="11" t="n">
        <v/>
      </c>
      <c r="K5151" s="4" t="inlineStr">
        <is>
          <t>Abrechnungsart wählen; Stundensätze eingeben</t>
        </is>
      </c>
    </row>
    <row r="5152">
      <c r="A5152" s="4" t="inlineStr">
        <is>
          <t>7518 LBB-KL-AHO-Instandsetzung-Geb3205-Kleber-Kaserne-KL</t>
        </is>
      </c>
      <c r="B5152" s="4" t="inlineStr">
        <is>
          <t>● • ‧ ‧ 7.2 OL</t>
        </is>
      </c>
      <c r="C5152" s="9" t="inlineStr">
        <is>
          <t>Unbekannt</t>
        </is>
      </c>
      <c r="D5152" s="10" t="inlineStr">
        <is>
          <t>⚠ Manual erforderlich</t>
        </is>
      </c>
      <c r="E5152" s="11" t="inlineStr"/>
      <c r="F5152" s="11" t="n">
        <v>0</v>
      </c>
      <c r="G5152" s="11">
        <f>E5152-F5152</f>
        <v/>
      </c>
      <c r="H5152" s="11" t="n">
        <v/>
      </c>
      <c r="I5152" s="11" t="n">
        <v/>
      </c>
      <c r="J5152" s="11" t="n">
        <v/>
      </c>
      <c r="K5152" s="4" t="inlineStr">
        <is>
          <t>Abrechnungsart wählen; Stundensätze eingeben</t>
        </is>
      </c>
    </row>
    <row r="5153">
      <c r="A5153" s="4" t="inlineStr">
        <is>
          <t>7518 LBB-KL-AHO-Instandsetzung-Geb3205-Kleber-Kaserne-KL</t>
        </is>
      </c>
      <c r="B5153" s="4" t="inlineStr">
        <is>
          <t>● • ‧ ‧ 8.1 RL</t>
        </is>
      </c>
      <c r="C5153" s="9" t="inlineStr">
        <is>
          <t>Unbekannt</t>
        </is>
      </c>
      <c r="D5153" s="10" t="inlineStr">
        <is>
          <t>⚠ Manual erforderlich</t>
        </is>
      </c>
      <c r="E5153" s="11" t="inlineStr"/>
      <c r="F5153" s="11" t="n">
        <v>0</v>
      </c>
      <c r="G5153" s="11">
        <f>E5153-F5153</f>
        <v/>
      </c>
      <c r="H5153" s="11" t="n">
        <v/>
      </c>
      <c r="I5153" s="11" t="n">
        <v/>
      </c>
      <c r="J5153" s="11" t="n">
        <v/>
      </c>
      <c r="K5153" s="4" t="inlineStr">
        <is>
          <t>Abrechnungsart wählen; Stundensätze eingeben</t>
        </is>
      </c>
    </row>
    <row r="5154">
      <c r="A5154" s="4" t="inlineStr">
        <is>
          <t>7518 LBB-KL-AHO-Instandsetzung-Geb3205-Kleber-Kaserne-KL</t>
        </is>
      </c>
      <c r="B5154" s="4" t="inlineStr">
        <is>
          <t>● • ‧ ‧ 8.2 OL</t>
        </is>
      </c>
      <c r="C5154" s="9" t="inlineStr">
        <is>
          <t>Unbekannt</t>
        </is>
      </c>
      <c r="D5154" s="10" t="inlineStr">
        <is>
          <t>⚠ Manual erforderlich</t>
        </is>
      </c>
      <c r="E5154" s="11" t="inlineStr"/>
      <c r="F5154" s="11" t="n">
        <v>0</v>
      </c>
      <c r="G5154" s="11">
        <f>E5154-F5154</f>
        <v/>
      </c>
      <c r="H5154" s="11" t="n">
        <v/>
      </c>
      <c r="I5154" s="11" t="n">
        <v/>
      </c>
      <c r="J5154" s="11" t="n">
        <v/>
      </c>
      <c r="K5154" s="4" t="inlineStr">
        <is>
          <t>Abrechnungsart wählen; Stundensätze eingeben</t>
        </is>
      </c>
    </row>
    <row r="5155">
      <c r="A5155" s="4" t="inlineStr">
        <is>
          <t>7519 DKB-BTB-Parkweg-1-Löwenberger-Land</t>
        </is>
      </c>
      <c r="B5155" s="4" t="inlineStr">
        <is>
          <t>● (p) Pos.1 Grundlagenermittung und Bestandserfassung</t>
        </is>
      </c>
      <c r="C5155" s="4" t="inlineStr">
        <is>
          <t>Pauschale</t>
        </is>
      </c>
      <c r="D5155" s="10" t="inlineStr">
        <is>
          <t>⚠ Manual erforderlich</t>
        </is>
      </c>
      <c r="E5155" s="11" t="inlineStr"/>
      <c r="F5155" s="11" t="n">
        <v>0</v>
      </c>
      <c r="G5155" s="11">
        <f>E5155-F5155</f>
        <v/>
      </c>
      <c r="H5155" s="11" t="n">
        <v>0</v>
      </c>
      <c r="I5155" s="11" t="n">
        <v>0</v>
      </c>
      <c r="J5155" s="11" t="n">
        <v>0</v>
      </c>
      <c r="K5155" s="4" t="inlineStr">
        <is>
          <t>Stundensätze eingeben</t>
        </is>
      </c>
    </row>
    <row r="5156">
      <c r="A5156" s="4" t="inlineStr">
        <is>
          <t>7519 DKB-BTB-Parkweg-1-Löwenberger-Land</t>
        </is>
      </c>
      <c r="B5156" s="4" t="inlineStr">
        <is>
          <t>● (p) Pos.2 Analyse +Bew. IST-Zustand d. Gebäude(-teile) +Ableitung von Maßnahmen</t>
        </is>
      </c>
      <c r="C5156" s="4" t="inlineStr">
        <is>
          <t>Pauschale</t>
        </is>
      </c>
      <c r="D5156" s="10" t="inlineStr">
        <is>
          <t>⚠ Manual erforderlich</t>
        </is>
      </c>
      <c r="E5156" s="11" t="inlineStr"/>
      <c r="F5156" s="11" t="n">
        <v>0</v>
      </c>
      <c r="G5156" s="11">
        <f>E5156-F5156</f>
        <v/>
      </c>
      <c r="H5156" s="11" t="n">
        <v>0</v>
      </c>
      <c r="I5156" s="11" t="n">
        <v>0</v>
      </c>
      <c r="J5156" s="11" t="n">
        <v>0</v>
      </c>
      <c r="K5156" s="4" t="inlineStr">
        <is>
          <t>Stundensätze eingeben</t>
        </is>
      </c>
    </row>
    <row r="5157">
      <c r="A5157" s="4" t="inlineStr">
        <is>
          <t>7519 DKB-BTB-Parkweg-1-Löwenberger-Land</t>
        </is>
      </c>
      <c r="B5157" s="4" t="inlineStr">
        <is>
          <t>● (p) Pos.3 Option: Rechtskonformität Inspektorenhaus (Nr. 5) und Schloss (Nrn. 1 und 2)</t>
        </is>
      </c>
      <c r="C5157" s="4" t="inlineStr">
        <is>
          <t>Pauschale</t>
        </is>
      </c>
      <c r="D5157" s="10" t="inlineStr">
        <is>
          <t>⚠ Manual erforderlich</t>
        </is>
      </c>
      <c r="E5157" s="11" t="inlineStr"/>
      <c r="F5157" s="11" t="n">
        <v>0</v>
      </c>
      <c r="G5157" s="11">
        <f>E5157-F5157</f>
        <v/>
      </c>
      <c r="H5157" s="11" t="n">
        <v>0</v>
      </c>
      <c r="I5157" s="11" t="n">
        <v>0</v>
      </c>
      <c r="J5157" s="11" t="n">
        <v>0</v>
      </c>
      <c r="K5157" s="4" t="inlineStr">
        <is>
          <t>Stundensätze eingeben</t>
        </is>
      </c>
    </row>
    <row r="5158">
      <c r="A5158" s="4" t="inlineStr">
        <is>
          <t>7519 DKB-BTB-Parkweg-1-Löwenberger-Land</t>
        </is>
      </c>
      <c r="B5158" s="4" t="inlineStr">
        <is>
          <t>● (p) Pos.4 Option: Rechtskonformität Seehaus (Nr. 29)</t>
        </is>
      </c>
      <c r="C5158" s="4" t="inlineStr">
        <is>
          <t>Pauschale</t>
        </is>
      </c>
      <c r="D5158" s="10" t="inlineStr">
        <is>
          <t>⚠ Manual erforderlich</t>
        </is>
      </c>
      <c r="E5158" s="11" t="inlineStr"/>
      <c r="F5158" s="11" t="n">
        <v>0</v>
      </c>
      <c r="G5158" s="11">
        <f>E5158-F5158</f>
        <v/>
      </c>
      <c r="H5158" s="11" t="n">
        <v>0</v>
      </c>
      <c r="I5158" s="11" t="n">
        <v>0</v>
      </c>
      <c r="J5158" s="11" t="n">
        <v>0</v>
      </c>
      <c r="K5158" s="4" t="inlineStr">
        <is>
          <t>Stundensätze eingeben</t>
        </is>
      </c>
    </row>
    <row r="5159">
      <c r="A5159" s="4" t="inlineStr">
        <is>
          <t>7519 DKB-BTB-Parkweg-1-Löwenberger-Land</t>
        </is>
      </c>
      <c r="B5159" s="4" t="inlineStr">
        <is>
          <t>● (p) Pos.5 Gefährdungsanalyse + Priorisierung der umzusetzenden Maßnahmen</t>
        </is>
      </c>
      <c r="C5159" s="4" t="inlineStr">
        <is>
          <t>Pauschale</t>
        </is>
      </c>
      <c r="D5159" s="10" t="inlineStr">
        <is>
          <t>⚠ Manual erforderlich</t>
        </is>
      </c>
      <c r="E5159" s="11" t="inlineStr"/>
      <c r="F5159" s="11" t="n">
        <v>0</v>
      </c>
      <c r="G5159" s="11">
        <f>E5159-F5159</f>
        <v/>
      </c>
      <c r="H5159" s="11" t="n">
        <v>0</v>
      </c>
      <c r="I5159" s="11" t="n">
        <v>0</v>
      </c>
      <c r="J5159" s="11" t="n">
        <v>0</v>
      </c>
      <c r="K5159" s="4" t="inlineStr">
        <is>
          <t>Stundensätze eingeben</t>
        </is>
      </c>
    </row>
    <row r="5160">
      <c r="A5160" s="4" t="inlineStr">
        <is>
          <t>7519 DKB-BTB-Parkweg-1-Löwenberger-Land</t>
        </is>
      </c>
      <c r="B5160" s="4" t="inlineStr">
        <is>
          <t>● (p) Pos.6 Kostengrobschätzung Maßnahmenkatalog</t>
        </is>
      </c>
      <c r="C5160" s="4" t="inlineStr">
        <is>
          <t>Pauschale</t>
        </is>
      </c>
      <c r="D5160" s="10" t="inlineStr">
        <is>
          <t>⚠ Manual erforderlich</t>
        </is>
      </c>
      <c r="E5160" s="11" t="inlineStr"/>
      <c r="F5160" s="11" t="n">
        <v>0</v>
      </c>
      <c r="G5160" s="11">
        <f>E5160-F5160</f>
        <v/>
      </c>
      <c r="H5160" s="11" t="n">
        <v>0</v>
      </c>
      <c r="I5160" s="11" t="n">
        <v>0</v>
      </c>
      <c r="J5160" s="11" t="n">
        <v>0</v>
      </c>
      <c r="K5160" s="4" t="inlineStr">
        <is>
          <t>Stundensätze eingeben</t>
        </is>
      </c>
    </row>
    <row r="5161">
      <c r="A5161" s="4" t="inlineStr">
        <is>
          <t>7520 Baxter-Provendor-PHP-BMA-Carl-Zeiss-Str7-9-Saalfeld</t>
        </is>
      </c>
      <c r="B5161" s="4" t="inlineStr">
        <is>
          <t>● ANG per eMail</t>
        </is>
      </c>
      <c r="C5161" s="9" t="inlineStr">
        <is>
          <t>Unbekannt</t>
        </is>
      </c>
      <c r="D5161" s="10" t="inlineStr">
        <is>
          <t>⚠ Manual erforderlich</t>
        </is>
      </c>
      <c r="E5161" s="11" t="inlineStr"/>
      <c r="F5161" s="11" t="n">
        <v>0</v>
      </c>
      <c r="G5161" s="11">
        <f>E5161-F5161</f>
        <v/>
      </c>
      <c r="H5161" s="11" t="n">
        <v/>
      </c>
      <c r="I5161" s="11" t="n">
        <v/>
      </c>
      <c r="J5161" s="11" t="n">
        <v/>
      </c>
      <c r="K5161" s="4" t="inlineStr">
        <is>
          <t>Abrechnungsart wählen; Stundensätze eingeben</t>
        </is>
      </c>
    </row>
    <row r="5162">
      <c r="A5162" s="4" t="inlineStr">
        <is>
          <t>7520.01 Baxter-Provendor-PHP-SV-Prüfung- Bau13-Halle9,5-Carl-Zeiss-Str7-9-Saalfeld</t>
        </is>
      </c>
      <c r="B5162" s="4" t="inlineStr">
        <is>
          <t>● • ‧ (aN) PrüfSV, prüfend</t>
        </is>
      </c>
      <c r="C5162" s="4" t="inlineStr">
        <is>
          <t>Nachweis</t>
        </is>
      </c>
      <c r="D5162" s="10" t="inlineStr">
        <is>
          <t>⚠ Manual erforderlich</t>
        </is>
      </c>
      <c r="E5162" s="11" t="inlineStr"/>
      <c r="F5162" s="11" t="n">
        <v>0</v>
      </c>
      <c r="G5162" s="11">
        <f>E5162-F5162</f>
        <v/>
      </c>
      <c r="H5162" s="11" t="n">
        <v/>
      </c>
      <c r="I5162" s="11" t="n">
        <v/>
      </c>
      <c r="J5162" s="11" t="n">
        <v/>
      </c>
      <c r="K5162" s="4" t="inlineStr">
        <is>
          <t>Stundensätze eingeben</t>
        </is>
      </c>
    </row>
    <row r="5163">
      <c r="A5163" s="4" t="inlineStr">
        <is>
          <t>7520.01 Baxter-Provendor-PHP-SV-Prüfung- Bau13-Halle9,5-Carl-Zeiss-Str7-9-Saalfeld</t>
        </is>
      </c>
      <c r="B5163" s="4" t="inlineStr">
        <is>
          <t>● • ‧ (aN) ADM</t>
        </is>
      </c>
      <c r="C5163" s="4" t="inlineStr">
        <is>
          <t>Nachweis</t>
        </is>
      </c>
      <c r="D5163" s="10" t="inlineStr">
        <is>
          <t>⚠ Manual erforderlich</t>
        </is>
      </c>
      <c r="E5163" s="11" t="inlineStr"/>
      <c r="F5163" s="11" t="n">
        <v>0</v>
      </c>
      <c r="G5163" s="11">
        <f>E5163-F5163</f>
        <v/>
      </c>
      <c r="H5163" s="11" t="n">
        <v/>
      </c>
      <c r="I5163" s="11" t="n">
        <v/>
      </c>
      <c r="J5163" s="11" t="n">
        <v/>
      </c>
      <c r="K5163" s="4" t="inlineStr">
        <is>
          <t>Stundensätze eingeben</t>
        </is>
      </c>
    </row>
    <row r="5164">
      <c r="A5164" s="4" t="inlineStr">
        <is>
          <t>7520.01 Baxter-Provendor-PHP-SV-Prüfung- Bau13-Halle9,5-Carl-Zeiss-Str7-9-Saalfeld</t>
        </is>
      </c>
      <c r="B5164" s="4" t="inlineStr">
        <is>
          <t>● • (p) Pos. 2 Sachverständigenprüfung nach Prüfverordnung der Bundesländer</t>
        </is>
      </c>
      <c r="C5164" s="4" t="inlineStr">
        <is>
          <t>Pauschale</t>
        </is>
      </c>
      <c r="D5164" s="10" t="inlineStr">
        <is>
          <t>⚠ Manual erforderlich</t>
        </is>
      </c>
      <c r="E5164" s="11" t="inlineStr"/>
      <c r="F5164" s="11" t="n">
        <v>0</v>
      </c>
      <c r="G5164" s="11">
        <f>E5164-F5164</f>
        <v/>
      </c>
      <c r="H5164" s="11" t="n">
        <v>0</v>
      </c>
      <c r="I5164" s="11" t="n">
        <v>0</v>
      </c>
      <c r="J5164" s="11" t="n">
        <v>0</v>
      </c>
      <c r="K5164" s="4" t="inlineStr">
        <is>
          <t>Stundensätze eingeben</t>
        </is>
      </c>
    </row>
    <row r="5165">
      <c r="A5165" s="4" t="inlineStr">
        <is>
          <t>7520.01 Baxter-Provendor-PHP-SV-Prüfung- Bau13-Halle9,5-Carl-Zeiss-Str7-9-Saalfeld</t>
        </is>
      </c>
      <c r="B5165" s="4" t="inlineStr">
        <is>
          <t>● • optional: Pos. 3 Mängelkontrollen nach Aufwand</t>
        </is>
      </c>
      <c r="C5165" s="9" t="inlineStr">
        <is>
          <t>Unbekannt</t>
        </is>
      </c>
      <c r="D5165" s="10" t="inlineStr">
        <is>
          <t>⚠ Manual erforderlich</t>
        </is>
      </c>
      <c r="E5165" s="11" t="inlineStr"/>
      <c r="F5165" s="11" t="n">
        <v>0</v>
      </c>
      <c r="G5165" s="11">
        <f>E5165-F5165</f>
        <v/>
      </c>
      <c r="H5165" s="11" t="n">
        <v/>
      </c>
      <c r="I5165" s="11" t="n">
        <v/>
      </c>
      <c r="J5165" s="11" t="n">
        <v/>
      </c>
      <c r="K5165" s="4" t="inlineStr">
        <is>
          <t>Abrechnungsart wählen; Stundensätze eingeben</t>
        </is>
      </c>
    </row>
    <row r="5166">
      <c r="A5166" s="4" t="inlineStr">
        <is>
          <t>7521 Telelink-BSK-Funk-Gebäude-Aachen</t>
        </is>
      </c>
      <c r="B5166" s="4" t="inlineStr">
        <is>
          <t>● (p) Pos. 1 BSK für Beton+Stahlgittermasten ohne Begehung</t>
        </is>
      </c>
      <c r="C5166" s="4" t="inlineStr">
        <is>
          <t>Pauschale</t>
        </is>
      </c>
      <c r="D5166" s="10" t="inlineStr">
        <is>
          <t>⚠ Manual erforderlich</t>
        </is>
      </c>
      <c r="E5166" s="11" t="inlineStr"/>
      <c r="F5166" s="11" t="n">
        <v>0</v>
      </c>
      <c r="G5166" s="11">
        <f>E5166-F5166</f>
        <v/>
      </c>
      <c r="H5166" s="11" t="n">
        <v>0</v>
      </c>
      <c r="I5166" s="11" t="n">
        <v>0</v>
      </c>
      <c r="J5166" s="11" t="n">
        <v>0</v>
      </c>
      <c r="K5166" s="4" t="inlineStr">
        <is>
          <t>Stundensätze eingeben</t>
        </is>
      </c>
    </row>
    <row r="5167">
      <c r="A5167" s="4" t="inlineStr">
        <is>
          <t>7521 Telelink-BSK-Funk-Gebäude-Aachen</t>
        </is>
      </c>
      <c r="B5167" s="4" t="inlineStr">
        <is>
          <t>● (p) Pos. 2 Begehung Spez. BV bis 400 km</t>
        </is>
      </c>
      <c r="C5167" s="4" t="inlineStr">
        <is>
          <t>Pauschale</t>
        </is>
      </c>
      <c r="D5167" s="10" t="inlineStr">
        <is>
          <t>⚠ Manual erforderlich</t>
        </is>
      </c>
      <c r="E5167" s="11" t="inlineStr"/>
      <c r="F5167" s="11" t="n">
        <v>0</v>
      </c>
      <c r="G5167" s="11">
        <f>E5167-F5167</f>
        <v/>
      </c>
      <c r="H5167" s="11" t="n">
        <v>0</v>
      </c>
      <c r="I5167" s="11" t="n">
        <v>0</v>
      </c>
      <c r="J5167" s="11" t="n">
        <v>0</v>
      </c>
      <c r="K5167" s="4" t="inlineStr">
        <is>
          <t>Stundensätze eingeben</t>
        </is>
      </c>
    </row>
    <row r="5168">
      <c r="A5168" s="4" t="inlineStr">
        <is>
          <t>7522 Herth&amp;Buss; Heusenstamm-Dachsanierung Gebäude G&amp;F</t>
        </is>
      </c>
      <c r="B5168" s="4" t="inlineStr">
        <is>
          <t>● 0000-Aquise</t>
        </is>
      </c>
      <c r="C5168" s="9" t="inlineStr">
        <is>
          <t>Unbekannt</t>
        </is>
      </c>
      <c r="D5168" s="10" t="inlineStr">
        <is>
          <t>⚠ Manual erforderlich</t>
        </is>
      </c>
      <c r="E5168" s="11" t="inlineStr"/>
      <c r="F5168" s="11" t="n">
        <v>0</v>
      </c>
      <c r="G5168" s="11">
        <f>E5168-F5168</f>
        <v/>
      </c>
      <c r="H5168" s="11" t="n">
        <v/>
      </c>
      <c r="I5168" s="11" t="n">
        <v/>
      </c>
      <c r="J5168" s="11" t="n">
        <v/>
      </c>
      <c r="K5168" s="4" t="inlineStr">
        <is>
          <t>Abrechnungsart wählen; Stundensätze eingeben</t>
        </is>
      </c>
    </row>
    <row r="5169">
      <c r="A5169" s="4" t="inlineStr">
        <is>
          <t>7522 Herth&amp;Buss; Heusenstamm-Dachsanierung Gebäude G&amp;F</t>
        </is>
      </c>
      <c r="B5169" s="4" t="inlineStr">
        <is>
          <t>● (p) Brandschutztechnische Stellungnahme</t>
        </is>
      </c>
      <c r="C5169" s="4" t="inlineStr">
        <is>
          <t>Pauschale</t>
        </is>
      </c>
      <c r="D5169" s="10" t="inlineStr">
        <is>
          <t>⚠ Manual erforderlich</t>
        </is>
      </c>
      <c r="E5169" s="11" t="inlineStr"/>
      <c r="F5169" s="11" t="n">
        <v>0</v>
      </c>
      <c r="G5169" s="11">
        <f>E5169-F5169</f>
        <v/>
      </c>
      <c r="H5169" s="11" t="n">
        <v>0</v>
      </c>
      <c r="I5169" s="11" t="n">
        <v>0</v>
      </c>
      <c r="J5169" s="11" t="n">
        <v>0</v>
      </c>
      <c r="K5169" s="4" t="inlineStr">
        <is>
          <t>Stundensätze eingeben</t>
        </is>
      </c>
    </row>
    <row r="5170">
      <c r="A5170" s="4" t="inlineStr">
        <is>
          <t>7522 Herth&amp;Buss; Heusenstamm-Dachsanierung Gebäude G&amp;F</t>
        </is>
      </c>
      <c r="B5170" s="4" t="inlineStr">
        <is>
          <t>● (a.N.) Brandschutztechnische Beratung</t>
        </is>
      </c>
      <c r="C5170" s="4" t="inlineStr">
        <is>
          <t>Nachweis</t>
        </is>
      </c>
      <c r="D5170" s="10" t="inlineStr">
        <is>
          <t>⚠ Manual erforderlich</t>
        </is>
      </c>
      <c r="E5170" s="11" t="inlineStr"/>
      <c r="F5170" s="11" t="n">
        <v>0</v>
      </c>
      <c r="G5170" s="11">
        <f>E5170-F5170</f>
        <v/>
      </c>
      <c r="H5170" s="11" t="n">
        <v/>
      </c>
      <c r="I5170" s="11" t="n">
        <v/>
      </c>
      <c r="J5170" s="11" t="n">
        <v/>
      </c>
      <c r="K5170" s="4" t="inlineStr">
        <is>
          <t>Stundensätze eingeben</t>
        </is>
      </c>
    </row>
    <row r="5171">
      <c r="A5171" s="4" t="inlineStr">
        <is>
          <t>7523 MaurerPharma-FWP-Gutenbergring-40-Norderstedt</t>
        </is>
      </c>
      <c r="B5171" s="4" t="inlineStr">
        <is>
          <t>● (p) Pos.1 FWP (14 Einzelpläne)</t>
        </is>
      </c>
      <c r="C5171" s="4" t="inlineStr">
        <is>
          <t>Pauschale</t>
        </is>
      </c>
      <c r="D5171" s="10" t="inlineStr">
        <is>
          <t>⚠ Manual erforderlich</t>
        </is>
      </c>
      <c r="E5171" s="11" t="inlineStr"/>
      <c r="F5171" s="11" t="n">
        <v>0</v>
      </c>
      <c r="G5171" s="11">
        <f>E5171-F5171</f>
        <v/>
      </c>
      <c r="H5171" s="11" t="n">
        <v>0</v>
      </c>
      <c r="I5171" s="11" t="n">
        <v>0</v>
      </c>
      <c r="J5171" s="11" t="n">
        <v>0</v>
      </c>
      <c r="K5171" s="4" t="inlineStr">
        <is>
          <t>Stundensätze eingeben</t>
        </is>
      </c>
    </row>
    <row r="5172">
      <c r="A5172" s="4" t="inlineStr">
        <is>
          <t>7523 MaurerPharma-FWP-Gutenbergring-40-Norderstedt</t>
        </is>
      </c>
      <c r="B5172" s="4" t="inlineStr">
        <is>
          <t>● (p) Pos.2 FRP (18 Grundpläne, 64 Standortpläne)</t>
        </is>
      </c>
      <c r="C5172" s="4" t="inlineStr">
        <is>
          <t>Pauschale</t>
        </is>
      </c>
      <c r="D5172" s="10" t="inlineStr">
        <is>
          <t>⚠ Manual erforderlich</t>
        </is>
      </c>
      <c r="E5172" s="11" t="inlineStr"/>
      <c r="F5172" s="11" t="n">
        <v>0</v>
      </c>
      <c r="G5172" s="11">
        <f>E5172-F5172</f>
        <v/>
      </c>
      <c r="H5172" s="11" t="n">
        <v>0</v>
      </c>
      <c r="I5172" s="11" t="n">
        <v>0</v>
      </c>
      <c r="J5172" s="11" t="n">
        <v>0</v>
      </c>
      <c r="K5172" s="4" t="inlineStr">
        <is>
          <t>Stundensätze eingeben</t>
        </is>
      </c>
    </row>
    <row r="5173">
      <c r="A5173" s="4" t="inlineStr">
        <is>
          <t>7524 FuchsEuropols-KOF-Funkturm-Eschweiler</t>
        </is>
      </c>
      <c r="B5173" s="4" t="inlineStr">
        <is>
          <t>● (p) Pos.1 Schlussbescheinigung</t>
        </is>
      </c>
      <c r="C5173" s="4" t="inlineStr">
        <is>
          <t>Pauschale</t>
        </is>
      </c>
      <c r="D5173" s="10" t="inlineStr">
        <is>
          <t>⚠ Manual erforderlich</t>
        </is>
      </c>
      <c r="E5173" s="11" t="inlineStr"/>
      <c r="F5173" s="11" t="n">
        <v>0</v>
      </c>
      <c r="G5173" s="11">
        <f>E5173-F5173</f>
        <v/>
      </c>
      <c r="H5173" s="11" t="n">
        <v>0</v>
      </c>
      <c r="I5173" s="11" t="n">
        <v>0</v>
      </c>
      <c r="J5173" s="11" t="n">
        <v>0</v>
      </c>
      <c r="K5173" s="4" t="inlineStr">
        <is>
          <t>Stundensätze eingeben</t>
        </is>
      </c>
    </row>
    <row r="5174">
      <c r="A5174" s="4" t="inlineStr">
        <is>
          <t>7525 SWM-RV-BSK-uPVA-Mangfallplatz-München</t>
        </is>
      </c>
      <c r="B5174" s="4" t="inlineStr">
        <is>
          <t>● (p) Pos. 1 Erstellung BSK inkl. Brandschutzkonzeptpläne</t>
        </is>
      </c>
      <c r="C5174" s="4" t="inlineStr">
        <is>
          <t>Pauschale</t>
        </is>
      </c>
      <c r="D5174" s="10" t="inlineStr">
        <is>
          <t>⚠ Manual erforderlich</t>
        </is>
      </c>
      <c r="E5174" s="11" t="inlineStr"/>
      <c r="F5174" s="11" t="n">
        <v>0</v>
      </c>
      <c r="G5174" s="11">
        <f>E5174-F5174</f>
        <v/>
      </c>
      <c r="H5174" s="11" t="n">
        <v>0</v>
      </c>
      <c r="I5174" s="11" t="n">
        <v>0</v>
      </c>
      <c r="J5174" s="11" t="n">
        <v>0</v>
      </c>
      <c r="K5174" s="4" t="inlineStr">
        <is>
          <t>Stundensätze eingeben</t>
        </is>
      </c>
    </row>
    <row r="5175">
      <c r="A5175" s="4" t="inlineStr">
        <is>
          <t>7525 SWM-RV-BSK-uPVA-Mangfallplatz-München</t>
        </is>
      </c>
      <c r="B5175" s="4" t="inlineStr">
        <is>
          <t>● (p) Pos.2 Dokumentation Bestandsaufnahme</t>
        </is>
      </c>
      <c r="C5175" s="4" t="inlineStr">
        <is>
          <t>Pauschale</t>
        </is>
      </c>
      <c r="D5175" s="10" t="inlineStr">
        <is>
          <t>⚠ Manual erforderlich</t>
        </is>
      </c>
      <c r="E5175" s="11" t="inlineStr"/>
      <c r="F5175" s="11" t="n">
        <v>0</v>
      </c>
      <c r="G5175" s="11">
        <f>E5175-F5175</f>
        <v/>
      </c>
      <c r="H5175" s="11" t="n">
        <v>0</v>
      </c>
      <c r="I5175" s="11" t="n">
        <v>0</v>
      </c>
      <c r="J5175" s="11" t="n">
        <v>0</v>
      </c>
      <c r="K5175" s="4" t="inlineStr">
        <is>
          <t>Stundensätze eingeben</t>
        </is>
      </c>
    </row>
    <row r="5176">
      <c r="A5176" s="4" t="inlineStr">
        <is>
          <t>7525 SWM-RV-BSK-uPVA-Mangfallplatz-München</t>
        </is>
      </c>
      <c r="B5176" s="4" t="inlineStr">
        <is>
          <t>● (p) Pos.3 Projektbezogene Besprechungen</t>
        </is>
      </c>
      <c r="C5176" s="4" t="inlineStr">
        <is>
          <t>Pauschale</t>
        </is>
      </c>
      <c r="D5176" s="10" t="inlineStr">
        <is>
          <t>⚠ Manual erforderlich</t>
        </is>
      </c>
      <c r="E5176" s="11" t="inlineStr"/>
      <c r="F5176" s="11" t="n">
        <v>0</v>
      </c>
      <c r="G5176" s="11">
        <f>E5176-F5176</f>
        <v/>
      </c>
      <c r="H5176" s="11" t="n">
        <v>0</v>
      </c>
      <c r="I5176" s="11" t="n">
        <v>0</v>
      </c>
      <c r="J5176" s="11" t="n">
        <v>0</v>
      </c>
      <c r="K5176" s="4" t="inlineStr">
        <is>
          <t>Stundensätze eingeben</t>
        </is>
      </c>
    </row>
    <row r="5177">
      <c r="A5177" s="4" t="inlineStr">
        <is>
          <t>7525.01 SWM-RV-BSK-uPVA-Nordfriedhof-München</t>
        </is>
      </c>
      <c r="B5177" s="4" t="inlineStr">
        <is>
          <t>● (p) Pos. 1 Erstellung BSK inkl. Brandschutzkonzeptpläne</t>
        </is>
      </c>
      <c r="C5177" s="4" t="inlineStr">
        <is>
          <t>Pauschale</t>
        </is>
      </c>
      <c r="D5177" s="10" t="inlineStr">
        <is>
          <t>⚠ Manual erforderlich</t>
        </is>
      </c>
      <c r="E5177" s="11" t="inlineStr"/>
      <c r="F5177" s="11" t="n">
        <v>0</v>
      </c>
      <c r="G5177" s="11">
        <f>E5177-F5177</f>
        <v/>
      </c>
      <c r="H5177" s="11" t="n">
        <v>0</v>
      </c>
      <c r="I5177" s="11" t="n">
        <v>0</v>
      </c>
      <c r="J5177" s="11" t="n">
        <v>0</v>
      </c>
      <c r="K5177" s="4" t="inlineStr">
        <is>
          <t>Stundensätze eingeben</t>
        </is>
      </c>
    </row>
    <row r="5178">
      <c r="A5178" s="4" t="inlineStr">
        <is>
          <t>7525.01 SWM-RV-BSK-uPVA-Nordfriedhof-München</t>
        </is>
      </c>
      <c r="B5178" s="4" t="inlineStr">
        <is>
          <t>● (p) Pos.2 Dokumentation Bestandsaufnahme</t>
        </is>
      </c>
      <c r="C5178" s="4" t="inlineStr">
        <is>
          <t>Pauschale</t>
        </is>
      </c>
      <c r="D5178" s="10" t="inlineStr">
        <is>
          <t>⚠ Manual erforderlich</t>
        </is>
      </c>
      <c r="E5178" s="11" t="inlineStr"/>
      <c r="F5178" s="11" t="n">
        <v>0</v>
      </c>
      <c r="G5178" s="11">
        <f>E5178-F5178</f>
        <v/>
      </c>
      <c r="H5178" s="11" t="n">
        <v>0</v>
      </c>
      <c r="I5178" s="11" t="n">
        <v>0</v>
      </c>
      <c r="J5178" s="11" t="n">
        <v>0</v>
      </c>
      <c r="K5178" s="4" t="inlineStr">
        <is>
          <t>Stundensätze eingeben</t>
        </is>
      </c>
    </row>
    <row r="5179">
      <c r="A5179" s="4" t="inlineStr">
        <is>
          <t>7525.01 SWM-RV-BSK-uPVA-Nordfriedhof-München</t>
        </is>
      </c>
      <c r="B5179" s="4" t="inlineStr">
        <is>
          <t>● (p) Pos.3 Projektbezogene Besprechungen</t>
        </is>
      </c>
      <c r="C5179" s="4" t="inlineStr">
        <is>
          <t>Pauschale</t>
        </is>
      </c>
      <c r="D5179" s="10" t="inlineStr">
        <is>
          <t>⚠ Manual erforderlich</t>
        </is>
      </c>
      <c r="E5179" s="11" t="inlineStr"/>
      <c r="F5179" s="11" t="n">
        <v>0</v>
      </c>
      <c r="G5179" s="11">
        <f>E5179-F5179</f>
        <v/>
      </c>
      <c r="H5179" s="11" t="n">
        <v>0</v>
      </c>
      <c r="I5179" s="11" t="n">
        <v>0</v>
      </c>
      <c r="J5179" s="11" t="n">
        <v>0</v>
      </c>
      <c r="K5179" s="4" t="inlineStr">
        <is>
          <t>Stundensätze eingeben</t>
        </is>
      </c>
    </row>
    <row r="5180">
      <c r="A5180" s="4" t="inlineStr">
        <is>
          <t>7525.02 SWM-RV-BSK-uPVA-Therese-Giese-Allee-München</t>
        </is>
      </c>
      <c r="B5180" s="4" t="inlineStr">
        <is>
          <t>● (p) Pos. 1 Erstellung BSK inkl. Brandschutzkonzeptpläne</t>
        </is>
      </c>
      <c r="C5180" s="4" t="inlineStr">
        <is>
          <t>Pauschale</t>
        </is>
      </c>
      <c r="D5180" s="10" t="inlineStr">
        <is>
          <t>⚠ Manual erforderlich</t>
        </is>
      </c>
      <c r="E5180" s="11" t="inlineStr"/>
      <c r="F5180" s="11" t="n">
        <v>0</v>
      </c>
      <c r="G5180" s="11">
        <f>E5180-F5180</f>
        <v/>
      </c>
      <c r="H5180" s="11" t="n">
        <v>0</v>
      </c>
      <c r="I5180" s="11" t="n">
        <v>0</v>
      </c>
      <c r="J5180" s="11" t="n">
        <v>0</v>
      </c>
      <c r="K5180" s="4" t="inlineStr">
        <is>
          <t>Stundensätze eingeben</t>
        </is>
      </c>
    </row>
    <row r="5181">
      <c r="A5181" s="4" t="inlineStr">
        <is>
          <t>7525.02 SWM-RV-BSK-uPVA-Therese-Giese-Allee-München</t>
        </is>
      </c>
      <c r="B5181" s="4" t="inlineStr">
        <is>
          <t>● (p) Pos.2 Dokumentation Bestandsaufnahme</t>
        </is>
      </c>
      <c r="C5181" s="4" t="inlineStr">
        <is>
          <t>Pauschale</t>
        </is>
      </c>
      <c r="D5181" s="10" t="inlineStr">
        <is>
          <t>⚠ Manual erforderlich</t>
        </is>
      </c>
      <c r="E5181" s="11" t="inlineStr"/>
      <c r="F5181" s="11" t="n">
        <v>0</v>
      </c>
      <c r="G5181" s="11">
        <f>E5181-F5181</f>
        <v/>
      </c>
      <c r="H5181" s="11" t="n">
        <v>0</v>
      </c>
      <c r="I5181" s="11" t="n">
        <v>0</v>
      </c>
      <c r="J5181" s="11" t="n">
        <v>0</v>
      </c>
      <c r="K5181" s="4" t="inlineStr">
        <is>
          <t>Stundensätze eingeben</t>
        </is>
      </c>
    </row>
    <row r="5182">
      <c r="A5182" s="4" t="inlineStr">
        <is>
          <t>7525.02 SWM-RV-BSK-uPVA-Therese-Giese-Allee-München</t>
        </is>
      </c>
      <c r="B5182" s="4" t="inlineStr">
        <is>
          <t>● (p) Pos.3 Projektbezogene Besprechungen</t>
        </is>
      </c>
      <c r="C5182" s="4" t="inlineStr">
        <is>
          <t>Pauschale</t>
        </is>
      </c>
      <c r="D5182" s="10" t="inlineStr">
        <is>
          <t>⚠ Manual erforderlich</t>
        </is>
      </c>
      <c r="E5182" s="11" t="inlineStr"/>
      <c r="F5182" s="11" t="n">
        <v>0</v>
      </c>
      <c r="G5182" s="11">
        <f>E5182-F5182</f>
        <v/>
      </c>
      <c r="H5182" s="11" t="n">
        <v>0</v>
      </c>
      <c r="I5182" s="11" t="n">
        <v>0</v>
      </c>
      <c r="J5182" s="11" t="n">
        <v>0</v>
      </c>
      <c r="K5182" s="4" t="inlineStr">
        <is>
          <t>Stundensätze eingeben</t>
        </is>
      </c>
    </row>
    <row r="5183">
      <c r="A5183" s="4" t="inlineStr">
        <is>
          <t>7525.03 SWM-RV-BSK-uPVA-Dietlindstraße-München</t>
        </is>
      </c>
      <c r="B5183" s="4" t="inlineStr">
        <is>
          <t>● (p) Pos. 1 Erstellung BSK inkl. Brandschutzkonzeptpläne</t>
        </is>
      </c>
      <c r="C5183" s="4" t="inlineStr">
        <is>
          <t>Pauschale</t>
        </is>
      </c>
      <c r="D5183" s="10" t="inlineStr">
        <is>
          <t>⚠ Manual erforderlich</t>
        </is>
      </c>
      <c r="E5183" s="11" t="inlineStr"/>
      <c r="F5183" s="11" t="n">
        <v>0</v>
      </c>
      <c r="G5183" s="11">
        <f>E5183-F5183</f>
        <v/>
      </c>
      <c r="H5183" s="11" t="n">
        <v>0</v>
      </c>
      <c r="I5183" s="11" t="n">
        <v>0</v>
      </c>
      <c r="J5183" s="11" t="n">
        <v>0</v>
      </c>
      <c r="K5183" s="4" t="inlineStr">
        <is>
          <t>Stundensätze eingeben</t>
        </is>
      </c>
    </row>
    <row r="5184">
      <c r="A5184" s="4" t="inlineStr">
        <is>
          <t>7525.03 SWM-RV-BSK-uPVA-Dietlindstraße-München</t>
        </is>
      </c>
      <c r="B5184" s="4" t="inlineStr">
        <is>
          <t>● (p) Pos.2 Dokumentation Bestandsaufnahme</t>
        </is>
      </c>
      <c r="C5184" s="4" t="inlineStr">
        <is>
          <t>Pauschale</t>
        </is>
      </c>
      <c r="D5184" s="10" t="inlineStr">
        <is>
          <t>⚠ Manual erforderlich</t>
        </is>
      </c>
      <c r="E5184" s="11" t="inlineStr"/>
      <c r="F5184" s="11" t="n">
        <v>0</v>
      </c>
      <c r="G5184" s="11">
        <f>E5184-F5184</f>
        <v/>
      </c>
      <c r="H5184" s="11" t="n">
        <v>0</v>
      </c>
      <c r="I5184" s="11" t="n">
        <v>0</v>
      </c>
      <c r="J5184" s="11" t="n">
        <v>0</v>
      </c>
      <c r="K5184" s="4" t="inlineStr">
        <is>
          <t>Stundensätze eingeben</t>
        </is>
      </c>
    </row>
    <row r="5185">
      <c r="A5185" s="4" t="inlineStr">
        <is>
          <t>7525.03 SWM-RV-BSK-uPVA-Dietlindstraße-München</t>
        </is>
      </c>
      <c r="B5185" s="4" t="inlineStr">
        <is>
          <t>● (p) Pos.3 Projektbezogene Besprechungen</t>
        </is>
      </c>
      <c r="C5185" s="4" t="inlineStr">
        <is>
          <t>Pauschale</t>
        </is>
      </c>
      <c r="D5185" s="10" t="inlineStr">
        <is>
          <t>⚠ Manual erforderlich</t>
        </is>
      </c>
      <c r="E5185" s="11" t="inlineStr"/>
      <c r="F5185" s="11" t="n">
        <v>0</v>
      </c>
      <c r="G5185" s="11">
        <f>E5185-F5185</f>
        <v/>
      </c>
      <c r="H5185" s="11" t="n">
        <v>0</v>
      </c>
      <c r="I5185" s="11" t="n">
        <v>0</v>
      </c>
      <c r="J5185" s="11" t="n">
        <v>0</v>
      </c>
      <c r="K5185" s="4" t="inlineStr">
        <is>
          <t>Stundensätze eingeben</t>
        </is>
      </c>
    </row>
    <row r="5186">
      <c r="A5186" s="4" t="inlineStr">
        <is>
          <t>7525.04 SWM-RV-BSK-uPVA-Alte Heide-München</t>
        </is>
      </c>
      <c r="B5186" s="4" t="inlineStr">
        <is>
          <t>● (p) Pos. 1 Erstellung BSK inkl. Brandschutzkonzeptpläne</t>
        </is>
      </c>
      <c r="C5186" s="4" t="inlineStr">
        <is>
          <t>Pauschale</t>
        </is>
      </c>
      <c r="D5186" s="10" t="inlineStr">
        <is>
          <t>⚠ Manual erforderlich</t>
        </is>
      </c>
      <c r="E5186" s="11" t="inlineStr"/>
      <c r="F5186" s="11" t="n">
        <v>0</v>
      </c>
      <c r="G5186" s="11">
        <f>E5186-F5186</f>
        <v/>
      </c>
      <c r="H5186" s="11" t="n">
        <v>0</v>
      </c>
      <c r="I5186" s="11" t="n">
        <v>0</v>
      </c>
      <c r="J5186" s="11" t="n">
        <v>0</v>
      </c>
      <c r="K5186" s="4" t="inlineStr">
        <is>
          <t>Stundensätze eingeben</t>
        </is>
      </c>
    </row>
    <row r="5187">
      <c r="A5187" s="4" t="inlineStr">
        <is>
          <t>7525.04 SWM-RV-BSK-uPVA-Alte Heide-München</t>
        </is>
      </c>
      <c r="B5187" s="4" t="inlineStr">
        <is>
          <t>● (p) Pos.2 Dokumentation Bestandsaufnahme</t>
        </is>
      </c>
      <c r="C5187" s="4" t="inlineStr">
        <is>
          <t>Pauschale</t>
        </is>
      </c>
      <c r="D5187" s="10" t="inlineStr">
        <is>
          <t>⚠ Manual erforderlich</t>
        </is>
      </c>
      <c r="E5187" s="11" t="inlineStr"/>
      <c r="F5187" s="11" t="n">
        <v>0</v>
      </c>
      <c r="G5187" s="11">
        <f>E5187-F5187</f>
        <v/>
      </c>
      <c r="H5187" s="11" t="n">
        <v>0</v>
      </c>
      <c r="I5187" s="11" t="n">
        <v>0</v>
      </c>
      <c r="J5187" s="11" t="n">
        <v>0</v>
      </c>
      <c r="K5187" s="4" t="inlineStr">
        <is>
          <t>Stundensätze eingeben</t>
        </is>
      </c>
    </row>
    <row r="5188">
      <c r="A5188" s="4" t="inlineStr">
        <is>
          <t>7525.04 SWM-RV-BSK-uPVA-Alte Heide-München</t>
        </is>
      </c>
      <c r="B5188" s="4" t="inlineStr">
        <is>
          <t>● (p) Pos.3 Projektbezogene Besprechungen</t>
        </is>
      </c>
      <c r="C5188" s="4" t="inlineStr">
        <is>
          <t>Pauschale</t>
        </is>
      </c>
      <c r="D5188" s="10" t="inlineStr">
        <is>
          <t>⚠ Manual erforderlich</t>
        </is>
      </c>
      <c r="E5188" s="11" t="inlineStr"/>
      <c r="F5188" s="11" t="n">
        <v>0</v>
      </c>
      <c r="G5188" s="11">
        <f>E5188-F5188</f>
        <v/>
      </c>
      <c r="H5188" s="11" t="n">
        <v>0</v>
      </c>
      <c r="I5188" s="11" t="n">
        <v>0</v>
      </c>
      <c r="J5188" s="11" t="n">
        <v>0</v>
      </c>
      <c r="K5188" s="4" t="inlineStr">
        <is>
          <t>Stundensätze eingeben</t>
        </is>
      </c>
    </row>
    <row r="5189">
      <c r="A5189" s="4" t="inlineStr">
        <is>
          <t>7525.05 SWM-RV-BSK-uPVA-Milbertshofen-München</t>
        </is>
      </c>
      <c r="B5189" s="4" t="inlineStr">
        <is>
          <t>● (p) Pos. 1 Erstellung BSK inkl. Brandschutzkonzeptpläne</t>
        </is>
      </c>
      <c r="C5189" s="4" t="inlineStr">
        <is>
          <t>Pauschale</t>
        </is>
      </c>
      <c r="D5189" s="10" t="inlineStr">
        <is>
          <t>⚠ Manual erforderlich</t>
        </is>
      </c>
      <c r="E5189" s="11" t="inlineStr"/>
      <c r="F5189" s="11" t="n">
        <v>0</v>
      </c>
      <c r="G5189" s="11">
        <f>E5189-F5189</f>
        <v/>
      </c>
      <c r="H5189" s="11" t="n">
        <v>0</v>
      </c>
      <c r="I5189" s="11" t="n">
        <v>0</v>
      </c>
      <c r="J5189" s="11" t="n">
        <v>0</v>
      </c>
      <c r="K5189" s="4" t="inlineStr">
        <is>
          <t>Stundensätze eingeben</t>
        </is>
      </c>
    </row>
    <row r="5190">
      <c r="A5190" s="4" t="inlineStr">
        <is>
          <t>7525.05 SWM-RV-BSK-uPVA-Milbertshofen-München</t>
        </is>
      </c>
      <c r="B5190" s="4" t="inlineStr">
        <is>
          <t>● (p) Pos.2 Dokumentation Bestandsaufnahme</t>
        </is>
      </c>
      <c r="C5190" s="4" t="inlineStr">
        <is>
          <t>Pauschale</t>
        </is>
      </c>
      <c r="D5190" s="10" t="inlineStr">
        <is>
          <t>⚠ Manual erforderlich</t>
        </is>
      </c>
      <c r="E5190" s="11" t="inlineStr"/>
      <c r="F5190" s="11" t="n">
        <v>0</v>
      </c>
      <c r="G5190" s="11">
        <f>E5190-F5190</f>
        <v/>
      </c>
      <c r="H5190" s="11" t="n">
        <v>0</v>
      </c>
      <c r="I5190" s="11" t="n">
        <v>0</v>
      </c>
      <c r="J5190" s="11" t="n">
        <v>0</v>
      </c>
      <c r="K5190" s="4" t="inlineStr">
        <is>
          <t>Stundensätze eingeben</t>
        </is>
      </c>
    </row>
    <row r="5191">
      <c r="A5191" s="4" t="inlineStr">
        <is>
          <t>7525.05 SWM-RV-BSK-uPVA-Milbertshofen-München</t>
        </is>
      </c>
      <c r="B5191" s="4" t="inlineStr">
        <is>
          <t>● (p) Pos.3 Projektbezogene Besprechungen</t>
        </is>
      </c>
      <c r="C5191" s="4" t="inlineStr">
        <is>
          <t>Pauschale</t>
        </is>
      </c>
      <c r="D5191" s="10" t="inlineStr">
        <is>
          <t>⚠ Manual erforderlich</t>
        </is>
      </c>
      <c r="E5191" s="11" t="inlineStr"/>
      <c r="F5191" s="11" t="n">
        <v>0</v>
      </c>
      <c r="G5191" s="11">
        <f>E5191-F5191</f>
        <v/>
      </c>
      <c r="H5191" s="11" t="n">
        <v>0</v>
      </c>
      <c r="I5191" s="11" t="n">
        <v>0</v>
      </c>
      <c r="J5191" s="11" t="n">
        <v>0</v>
      </c>
      <c r="K5191" s="4" t="inlineStr">
        <is>
          <t>Stundensätze eingeben</t>
        </is>
      </c>
    </row>
    <row r="5192">
      <c r="A5192" s="4" t="inlineStr">
        <is>
          <t>7525.06 SWM-RV-BSK-uPVA-Fürstenried West-München</t>
        </is>
      </c>
      <c r="B5192" s="4" t="inlineStr">
        <is>
          <t>● (p) Pos. 1 Erstellung BSK inkl. Brandschutzkonzeptpläne</t>
        </is>
      </c>
      <c r="C5192" s="4" t="inlineStr">
        <is>
          <t>Pauschale</t>
        </is>
      </c>
      <c r="D5192" s="10" t="inlineStr">
        <is>
          <t>⚠ Manual erforderlich</t>
        </is>
      </c>
      <c r="E5192" s="11" t="inlineStr"/>
      <c r="F5192" s="11" t="n">
        <v>0</v>
      </c>
      <c r="G5192" s="11">
        <f>E5192-F5192</f>
        <v/>
      </c>
      <c r="H5192" s="11" t="n">
        <v>0</v>
      </c>
      <c r="I5192" s="11" t="n">
        <v>0</v>
      </c>
      <c r="J5192" s="11" t="n">
        <v>0</v>
      </c>
      <c r="K5192" s="4" t="inlineStr">
        <is>
          <t>Stundensätze eingeben</t>
        </is>
      </c>
    </row>
    <row r="5193">
      <c r="A5193" s="4" t="inlineStr">
        <is>
          <t>7525.06 SWM-RV-BSK-uPVA-Fürstenried West-München</t>
        </is>
      </c>
      <c r="B5193" s="4" t="inlineStr">
        <is>
          <t>● (p) Pos.2 Dokumentation Bestandsaufnahme</t>
        </is>
      </c>
      <c r="C5193" s="4" t="inlineStr">
        <is>
          <t>Pauschale</t>
        </is>
      </c>
      <c r="D5193" s="10" t="inlineStr">
        <is>
          <t>⚠ Manual erforderlich</t>
        </is>
      </c>
      <c r="E5193" s="11" t="inlineStr"/>
      <c r="F5193" s="11" t="n">
        <v>0</v>
      </c>
      <c r="G5193" s="11">
        <f>E5193-F5193</f>
        <v/>
      </c>
      <c r="H5193" s="11" t="n">
        <v>0</v>
      </c>
      <c r="I5193" s="11" t="n">
        <v>0</v>
      </c>
      <c r="J5193" s="11" t="n">
        <v>0</v>
      </c>
      <c r="K5193" s="4" t="inlineStr">
        <is>
          <t>Stundensätze eingeben</t>
        </is>
      </c>
    </row>
    <row r="5194">
      <c r="A5194" s="4" t="inlineStr">
        <is>
          <t>7525.06 SWM-RV-BSK-uPVA-Fürstenried West-München</t>
        </is>
      </c>
      <c r="B5194" s="4" t="inlineStr">
        <is>
          <t>● (p) Pos.3 Projektbezogene Besprechungen</t>
        </is>
      </c>
      <c r="C5194" s="4" t="inlineStr">
        <is>
          <t>Pauschale</t>
        </is>
      </c>
      <c r="D5194" s="10" t="inlineStr">
        <is>
          <t>⚠ Manual erforderlich</t>
        </is>
      </c>
      <c r="E5194" s="11" t="inlineStr"/>
      <c r="F5194" s="11" t="n">
        <v>0</v>
      </c>
      <c r="G5194" s="11">
        <f>E5194-F5194</f>
        <v/>
      </c>
      <c r="H5194" s="11" t="n">
        <v>0</v>
      </c>
      <c r="I5194" s="11" t="n">
        <v>0</v>
      </c>
      <c r="J5194" s="11" t="n">
        <v>0</v>
      </c>
      <c r="K5194" s="4" t="inlineStr">
        <is>
          <t>Stundensätze eingeben</t>
        </is>
      </c>
    </row>
    <row r="5195">
      <c r="A5195" s="4" t="inlineStr">
        <is>
          <t>7525.07 SWM-RV-BSK-uPVA-Giesing-München</t>
        </is>
      </c>
      <c r="B5195" s="4" t="inlineStr">
        <is>
          <t>● (p) Pos. 1 Erstellung BSK inkl. Brandschutzkonzeptpläne</t>
        </is>
      </c>
      <c r="C5195" s="4" t="inlineStr">
        <is>
          <t>Pauschale</t>
        </is>
      </c>
      <c r="D5195" s="10" t="inlineStr">
        <is>
          <t>⚠ Manual erforderlich</t>
        </is>
      </c>
      <c r="E5195" s="11" t="inlineStr"/>
      <c r="F5195" s="11" t="n">
        <v>0</v>
      </c>
      <c r="G5195" s="11">
        <f>E5195-F5195</f>
        <v/>
      </c>
      <c r="H5195" s="11" t="n">
        <v>0</v>
      </c>
      <c r="I5195" s="11" t="n">
        <v>0</v>
      </c>
      <c r="J5195" s="11" t="n">
        <v>0</v>
      </c>
      <c r="K5195" s="4" t="inlineStr">
        <is>
          <t>Stundensätze eingeben</t>
        </is>
      </c>
    </row>
    <row r="5196">
      <c r="A5196" s="4" t="inlineStr">
        <is>
          <t>7525.07 SWM-RV-BSK-uPVA-Giesing-München</t>
        </is>
      </c>
      <c r="B5196" s="4" t="inlineStr">
        <is>
          <t>● (p) Pos.2 Dokumentation Bestandsaufnahme</t>
        </is>
      </c>
      <c r="C5196" s="4" t="inlineStr">
        <is>
          <t>Pauschale</t>
        </is>
      </c>
      <c r="D5196" s="10" t="inlineStr">
        <is>
          <t>⚠ Manual erforderlich</t>
        </is>
      </c>
      <c r="E5196" s="11" t="inlineStr"/>
      <c r="F5196" s="11" t="n">
        <v>0</v>
      </c>
      <c r="G5196" s="11">
        <f>E5196-F5196</f>
        <v/>
      </c>
      <c r="H5196" s="11" t="n">
        <v>0</v>
      </c>
      <c r="I5196" s="11" t="n">
        <v>0</v>
      </c>
      <c r="J5196" s="11" t="n">
        <v>0</v>
      </c>
      <c r="K5196" s="4" t="inlineStr">
        <is>
          <t>Stundensätze eingeben</t>
        </is>
      </c>
    </row>
    <row r="5197">
      <c r="A5197" s="4" t="inlineStr">
        <is>
          <t>7525.07 SWM-RV-BSK-uPVA-Giesing-München</t>
        </is>
      </c>
      <c r="B5197" s="4" t="inlineStr">
        <is>
          <t>● (p) Pos.3 Projektbezogene Besprechungen</t>
        </is>
      </c>
      <c r="C5197" s="4" t="inlineStr">
        <is>
          <t>Pauschale</t>
        </is>
      </c>
      <c r="D5197" s="10" t="inlineStr">
        <is>
          <t>⚠ Manual erforderlich</t>
        </is>
      </c>
      <c r="E5197" s="11" t="inlineStr"/>
      <c r="F5197" s="11" t="n">
        <v>0</v>
      </c>
      <c r="G5197" s="11">
        <f>E5197-F5197</f>
        <v/>
      </c>
      <c r="H5197" s="11" t="n">
        <v>0</v>
      </c>
      <c r="I5197" s="11" t="n">
        <v>0</v>
      </c>
      <c r="J5197" s="11" t="n">
        <v>0</v>
      </c>
      <c r="K5197" s="4" t="inlineStr">
        <is>
          <t>Stundensätze eingeben</t>
        </is>
      </c>
    </row>
    <row r="5198">
      <c r="A5198" s="4" t="inlineStr">
        <is>
          <t>7525.08 SWM-RV-BSK-uPVA-Wettersteinplatz-München</t>
        </is>
      </c>
      <c r="B5198" s="4" t="inlineStr">
        <is>
          <t>● (p) Pos. 1 Erstellung BSK inkl. Brandschutzkonzeptpläne</t>
        </is>
      </c>
      <c r="C5198" s="4" t="inlineStr">
        <is>
          <t>Pauschale</t>
        </is>
      </c>
      <c r="D5198" s="10" t="inlineStr">
        <is>
          <t>⚠ Manual erforderlich</t>
        </is>
      </c>
      <c r="E5198" s="11" t="inlineStr"/>
      <c r="F5198" s="11" t="n">
        <v>0</v>
      </c>
      <c r="G5198" s="11">
        <f>E5198-F5198</f>
        <v/>
      </c>
      <c r="H5198" s="11" t="n">
        <v>0</v>
      </c>
      <c r="I5198" s="11" t="n">
        <v>0</v>
      </c>
      <c r="J5198" s="11" t="n">
        <v>0</v>
      </c>
      <c r="K5198" s="4" t="inlineStr">
        <is>
          <t>Stundensätze eingeben</t>
        </is>
      </c>
    </row>
    <row r="5199">
      <c r="A5199" s="4" t="inlineStr">
        <is>
          <t>7525.08 SWM-RV-BSK-uPVA-Wettersteinplatz-München</t>
        </is>
      </c>
      <c r="B5199" s="4" t="inlineStr">
        <is>
          <t>● (p) Pos.2 Dokumentation Bestandsaufnahme</t>
        </is>
      </c>
      <c r="C5199" s="4" t="inlineStr">
        <is>
          <t>Pauschale</t>
        </is>
      </c>
      <c r="D5199" s="10" t="inlineStr">
        <is>
          <t>⚠ Manual erforderlich</t>
        </is>
      </c>
      <c r="E5199" s="11" t="inlineStr"/>
      <c r="F5199" s="11" t="n">
        <v>0</v>
      </c>
      <c r="G5199" s="11">
        <f>E5199-F5199</f>
        <v/>
      </c>
      <c r="H5199" s="11" t="n">
        <v>0</v>
      </c>
      <c r="I5199" s="11" t="n">
        <v>0</v>
      </c>
      <c r="J5199" s="11" t="n">
        <v>0</v>
      </c>
      <c r="K5199" s="4" t="inlineStr">
        <is>
          <t>Stundensätze eingeben</t>
        </is>
      </c>
    </row>
    <row r="5200">
      <c r="A5200" s="4" t="inlineStr">
        <is>
          <t>7525.08 SWM-RV-BSK-uPVA-Wettersteinplatz-München</t>
        </is>
      </c>
      <c r="B5200" s="4" t="inlineStr">
        <is>
          <t>● (p) Pos.3 Projektbezogene Besprechungen</t>
        </is>
      </c>
      <c r="C5200" s="4" t="inlineStr">
        <is>
          <t>Pauschale</t>
        </is>
      </c>
      <c r="D5200" s="10" t="inlineStr">
        <is>
          <t>⚠ Manual erforderlich</t>
        </is>
      </c>
      <c r="E5200" s="11" t="inlineStr"/>
      <c r="F5200" s="11" t="n">
        <v>0</v>
      </c>
      <c r="G5200" s="11">
        <f>E5200-F5200</f>
        <v/>
      </c>
      <c r="H5200" s="11" t="n">
        <v>0</v>
      </c>
      <c r="I5200" s="11" t="n">
        <v>0</v>
      </c>
      <c r="J5200" s="11" t="n">
        <v>0</v>
      </c>
      <c r="K5200" s="4" t="inlineStr">
        <is>
          <t>Stundensätze eingeben</t>
        </is>
      </c>
    </row>
    <row r="5201">
      <c r="A5201" s="4" t="inlineStr">
        <is>
          <t>7526 TÜV-Saarland-Seminare</t>
        </is>
      </c>
      <c r="B5201" s="4" t="inlineStr">
        <is>
          <t>● (p) Seminar Hamburg Präsentationserstellung</t>
        </is>
      </c>
      <c r="C5201" s="4" t="inlineStr">
        <is>
          <t>Pauschale</t>
        </is>
      </c>
      <c r="D5201" s="10" t="inlineStr">
        <is>
          <t>⚠ Manual erforderlich</t>
        </is>
      </c>
      <c r="E5201" s="11" t="inlineStr"/>
      <c r="F5201" s="11" t="n">
        <v>0</v>
      </c>
      <c r="G5201" s="11">
        <f>E5201-F5201</f>
        <v/>
      </c>
      <c r="H5201" s="11" t="n">
        <v>0</v>
      </c>
      <c r="I5201" s="11" t="n">
        <v>0</v>
      </c>
      <c r="J5201" s="11" t="n">
        <v>0</v>
      </c>
      <c r="K5201" s="4" t="inlineStr">
        <is>
          <t>Stundensätze eingeben</t>
        </is>
      </c>
    </row>
    <row r="5202">
      <c r="A5202" s="4" t="inlineStr">
        <is>
          <t>7526 TÜV-Saarland-Seminare</t>
        </is>
      </c>
      <c r="B5202" s="4" t="inlineStr">
        <is>
          <t>● 25-10-20 /dq (p) 25-11-28 19. Fachtagung Brandschutz Freiburg 450€ zzgl. FK 40km x 0,35€</t>
        </is>
      </c>
      <c r="C5202" s="4" t="inlineStr">
        <is>
          <t>Pauschale</t>
        </is>
      </c>
      <c r="D5202" s="10" t="inlineStr">
        <is>
          <t>⚠ Manual erforderlich</t>
        </is>
      </c>
      <c r="E5202" s="11" t="inlineStr"/>
      <c r="F5202" s="11" t="n">
        <v>0</v>
      </c>
      <c r="G5202" s="11">
        <f>E5202-F5202</f>
        <v/>
      </c>
      <c r="H5202" s="11" t="n">
        <v>0</v>
      </c>
      <c r="I5202" s="11" t="n">
        <v>0</v>
      </c>
      <c r="J5202" s="11" t="n">
        <v>0</v>
      </c>
      <c r="K5202" s="4" t="inlineStr">
        <is>
          <t>Stundensätze eingeben</t>
        </is>
      </c>
    </row>
    <row r="5203">
      <c r="A5203" s="4" t="inlineStr">
        <is>
          <t>7527 Fuyao-Ohmstr1-Leingarten-LAK-Gaslöschanlage</t>
        </is>
      </c>
      <c r="B5203" s="4" t="inlineStr">
        <is>
          <t>● ANG</t>
        </is>
      </c>
      <c r="C5203" s="9" t="inlineStr">
        <is>
          <t>Unbekannt</t>
        </is>
      </c>
      <c r="D5203" s="10" t="inlineStr">
        <is>
          <t>⚠ Manual erforderlich</t>
        </is>
      </c>
      <c r="E5203" s="11" t="inlineStr"/>
      <c r="F5203" s="11" t="n">
        <v>0</v>
      </c>
      <c r="G5203" s="11">
        <f>E5203-F5203</f>
        <v/>
      </c>
      <c r="H5203" s="11" t="n">
        <v/>
      </c>
      <c r="I5203" s="11" t="n">
        <v/>
      </c>
      <c r="J5203" s="11" t="n">
        <v/>
      </c>
      <c r="K5203" s="4" t="inlineStr">
        <is>
          <t>Abrechnungsart wählen; Stundensätze eingeben</t>
        </is>
      </c>
    </row>
    <row r="5204">
      <c r="A5204" s="4" t="inlineStr">
        <is>
          <t>7528 BST-Funkturm-Wesseling</t>
        </is>
      </c>
      <c r="B5204" s="4" t="inlineStr">
        <is>
          <t>● (p) Pos. 1 Erstellen brandschutztechnischer Stellungnahme</t>
        </is>
      </c>
      <c r="C5204" s="4" t="inlineStr">
        <is>
          <t>Pauschale</t>
        </is>
      </c>
      <c r="D5204" s="10" t="inlineStr">
        <is>
          <t>⚠ Manual erforderlich</t>
        </is>
      </c>
      <c r="E5204" s="11" t="inlineStr"/>
      <c r="F5204" s="11" t="n">
        <v>0</v>
      </c>
      <c r="G5204" s="11">
        <f>E5204-F5204</f>
        <v/>
      </c>
      <c r="H5204" s="11" t="n">
        <v>0</v>
      </c>
      <c r="I5204" s="11" t="n">
        <v>0</v>
      </c>
      <c r="J5204" s="11" t="n">
        <v>0</v>
      </c>
      <c r="K5204" s="4" t="inlineStr">
        <is>
          <t>Stundensätze eingeben</t>
        </is>
      </c>
    </row>
    <row r="5205">
      <c r="A5205" s="4" t="inlineStr">
        <is>
          <t>7529 FairDoctors-Fortschr-BSK-HoheStr77-Bonn</t>
        </is>
      </c>
      <c r="B5205" s="4" t="inlineStr">
        <is>
          <t>● Kompensationsmaßnahme Feuerwiderstand</t>
        </is>
      </c>
      <c r="C5205" s="9" t="inlineStr">
        <is>
          <t>Unbekannt</t>
        </is>
      </c>
      <c r="D5205" s="10" t="inlineStr">
        <is>
          <t>⚠ Manual erforderlich</t>
        </is>
      </c>
      <c r="E5205" s="11" t="inlineStr"/>
      <c r="F5205" s="11" t="n">
        <v>0</v>
      </c>
      <c r="G5205" s="11">
        <f>E5205-F5205</f>
        <v/>
      </c>
      <c r="H5205" s="11" t="n">
        <v/>
      </c>
      <c r="I5205" s="11" t="n">
        <v/>
      </c>
      <c r="J5205" s="11" t="n">
        <v/>
      </c>
      <c r="K5205" s="4" t="inlineStr">
        <is>
          <t>Abrechnungsart wählen; Stundensätze eingeben</t>
        </is>
      </c>
    </row>
    <row r="5206">
      <c r="A5206" s="4" t="inlineStr">
        <is>
          <t>7530 Freiwald-BST-Wohnhaus-Zeppelinstr182-Heidelberg</t>
        </is>
      </c>
      <c r="B5206" s="4" t="inlineStr">
        <is>
          <t>● ohne ANG/BAU</t>
        </is>
      </c>
      <c r="C5206" s="9" t="inlineStr">
        <is>
          <t>Unbekannt</t>
        </is>
      </c>
      <c r="D5206" s="10" t="inlineStr">
        <is>
          <t>⚠ Manual erforderlich</t>
        </is>
      </c>
      <c r="E5206" s="11" t="inlineStr"/>
      <c r="F5206" s="11" t="n">
        <v>0</v>
      </c>
      <c r="G5206" s="11">
        <f>E5206-F5206</f>
        <v/>
      </c>
      <c r="H5206" s="11" t="n">
        <v/>
      </c>
      <c r="I5206" s="11" t="n">
        <v/>
      </c>
      <c r="J5206" s="11" t="n">
        <v/>
      </c>
      <c r="K5206" s="4" t="inlineStr">
        <is>
          <t>Abrechnungsart wählen; Stundensätze eingeben</t>
        </is>
      </c>
    </row>
    <row r="5207">
      <c r="A5207" s="4" t="inlineStr">
        <is>
          <t>7531 CBRE-FRP-Gwinnerstraße-1-Frankfurt</t>
        </is>
      </c>
      <c r="B5207" s="4" t="inlineStr">
        <is>
          <t>● (p) Pos.1 Überarbeitung FRP</t>
        </is>
      </c>
      <c r="C5207" s="4" t="inlineStr">
        <is>
          <t>Pauschale</t>
        </is>
      </c>
      <c r="D5207" s="10" t="inlineStr">
        <is>
          <t>⚠ Manual erforderlich</t>
        </is>
      </c>
      <c r="E5207" s="11" t="inlineStr"/>
      <c r="F5207" s="11" t="n">
        <v>0</v>
      </c>
      <c r="G5207" s="11">
        <f>E5207-F5207</f>
        <v/>
      </c>
      <c r="H5207" s="11" t="n">
        <v>0</v>
      </c>
      <c r="I5207" s="11" t="n">
        <v>0</v>
      </c>
      <c r="J5207" s="11" t="n">
        <v>0</v>
      </c>
      <c r="K5207" s="4" t="inlineStr">
        <is>
          <t>Stundensätze eingeben</t>
        </is>
      </c>
    </row>
    <row r="5208">
      <c r="A5208" s="4" t="inlineStr">
        <is>
          <t>7531 CBRE-FRP-Gwinnerstraße-1-Frankfurt</t>
        </is>
      </c>
      <c r="B5208" s="4" t="inlineStr">
        <is>
          <t>● (p) Pos.2 Erstellung der zu erweiternden FRP</t>
        </is>
      </c>
      <c r="C5208" s="4" t="inlineStr">
        <is>
          <t>Pauschale</t>
        </is>
      </c>
      <c r="D5208" s="10" t="inlineStr">
        <is>
          <t>⚠ Manual erforderlich</t>
        </is>
      </c>
      <c r="E5208" s="11" t="inlineStr"/>
      <c r="F5208" s="11" t="n">
        <v>0</v>
      </c>
      <c r="G5208" s="11">
        <f>E5208-F5208</f>
        <v/>
      </c>
      <c r="H5208" s="11" t="n">
        <v>0</v>
      </c>
      <c r="I5208" s="11" t="n">
        <v>0</v>
      </c>
      <c r="J5208" s="11" t="n">
        <v>0</v>
      </c>
      <c r="K5208" s="4" t="inlineStr">
        <is>
          <t>Stundensätze eingeben</t>
        </is>
      </c>
    </row>
    <row r="5209">
      <c r="A5209" s="4" t="inlineStr">
        <is>
          <t>7532 Blatt-BSK-Kriegkstr22-FFM-Restaurant-KG</t>
        </is>
      </c>
      <c r="B5209" s="4" t="inlineStr">
        <is>
          <t>● (p) Pos.1 Fortschreibung des bestehenden  BSK</t>
        </is>
      </c>
      <c r="C5209" s="4" t="inlineStr">
        <is>
          <t>Pauschale</t>
        </is>
      </c>
      <c r="D5209" s="10" t="inlineStr">
        <is>
          <t>⚠ Manual erforderlich</t>
        </is>
      </c>
      <c r="E5209" s="11" t="inlineStr"/>
      <c r="F5209" s="11" t="n">
        <v>0</v>
      </c>
      <c r="G5209" s="11">
        <f>E5209-F5209</f>
        <v/>
      </c>
      <c r="H5209" s="11" t="n">
        <v>0</v>
      </c>
      <c r="I5209" s="11" t="n">
        <v>0</v>
      </c>
      <c r="J5209" s="11" t="n">
        <v>0</v>
      </c>
      <c r="K5209" s="4" t="inlineStr">
        <is>
          <t>Stundensätze eingeben</t>
        </is>
      </c>
    </row>
    <row r="5210">
      <c r="A5210" s="4" t="inlineStr">
        <is>
          <t>7532 Blatt-BSK-Kriegkstr22-FFM-Restaurant-KG</t>
        </is>
      </c>
      <c r="B5210" s="4" t="inlineStr">
        <is>
          <t>● (aN) Pos.2 BAB</t>
        </is>
      </c>
      <c r="C5210" s="4" t="inlineStr">
        <is>
          <t>Nachweis</t>
        </is>
      </c>
      <c r="D5210" s="10" t="inlineStr">
        <is>
          <t>⚠ Manual erforderlich</t>
        </is>
      </c>
      <c r="E5210" s="11" t="inlineStr"/>
      <c r="F5210" s="11" t="n">
        <v>0</v>
      </c>
      <c r="G5210" s="11">
        <f>E5210-F5210</f>
        <v/>
      </c>
      <c r="H5210" s="11" t="n">
        <v/>
      </c>
      <c r="I5210" s="11" t="n">
        <v/>
      </c>
      <c r="J5210" s="11" t="n">
        <v/>
      </c>
      <c r="K5210" s="4" t="inlineStr">
        <is>
          <t>Stundensätze eingeben</t>
        </is>
      </c>
    </row>
    <row r="5211">
      <c r="A5211" s="4" t="inlineStr">
        <is>
          <t>7534 RMK-KH-Spitalstraße -25-Lörrach</t>
        </is>
      </c>
      <c r="B5211" s="4" t="inlineStr">
        <is>
          <t>● aN) Pos.1 Erstellung Räumungskonzept</t>
        </is>
      </c>
      <c r="C5211" s="9" t="inlineStr">
        <is>
          <t>Unbekannt</t>
        </is>
      </c>
      <c r="D5211" s="10" t="inlineStr">
        <is>
          <t>⚠ Manual erforderlich</t>
        </is>
      </c>
      <c r="E5211" s="11" t="inlineStr"/>
      <c r="F5211" s="11" t="n">
        <v>0</v>
      </c>
      <c r="G5211" s="11">
        <f>E5211-F5211</f>
        <v/>
      </c>
      <c r="H5211" s="11" t="n">
        <v/>
      </c>
      <c r="I5211" s="11" t="n">
        <v/>
      </c>
      <c r="J5211" s="11" t="n">
        <v/>
      </c>
      <c r="K5211" s="4" t="inlineStr">
        <is>
          <t>Abrechnungsart wählen; Stundensätze eingeben</t>
        </is>
      </c>
    </row>
    <row r="5212">
      <c r="A5212" s="4" t="inlineStr">
        <is>
          <t>7534 RMK-KH-Spitalstraße -25-Lörrach</t>
        </is>
      </c>
      <c r="B5212" s="4" t="inlineStr">
        <is>
          <t>● (aN) Pos.2 Erstellung d. 'Lage Brand' für Notfallhandbuch</t>
        </is>
      </c>
      <c r="C5212" s="4" t="inlineStr">
        <is>
          <t>Nachweis</t>
        </is>
      </c>
      <c r="D5212" s="10" t="inlineStr">
        <is>
          <t>⚠ Manual erforderlich</t>
        </is>
      </c>
      <c r="E5212" s="11" t="inlineStr"/>
      <c r="F5212" s="11" t="n">
        <v>0</v>
      </c>
      <c r="G5212" s="11">
        <f>E5212-F5212</f>
        <v/>
      </c>
      <c r="H5212" s="11" t="n">
        <v/>
      </c>
      <c r="I5212" s="11" t="n">
        <v/>
      </c>
      <c r="J5212" s="11" t="n">
        <v/>
      </c>
      <c r="K5212" s="4" t="inlineStr">
        <is>
          <t>Stundensätze eingeben</t>
        </is>
      </c>
    </row>
    <row r="5213">
      <c r="A5213" s="4" t="inlineStr">
        <is>
          <t>7534 RMK-KH-Spitalstraße -25-Lörrach</t>
        </is>
      </c>
      <c r="B5213" s="4" t="inlineStr">
        <is>
          <t>● (aN) Pos.3 Räumungskonzeptpläne</t>
        </is>
      </c>
      <c r="C5213" s="4" t="inlineStr">
        <is>
          <t>Nachweis</t>
        </is>
      </c>
      <c r="D5213" s="10" t="inlineStr">
        <is>
          <t>⚠ Manual erforderlich</t>
        </is>
      </c>
      <c r="E5213" s="11" t="inlineStr"/>
      <c r="F5213" s="11" t="n">
        <v>0</v>
      </c>
      <c r="G5213" s="11">
        <f>E5213-F5213</f>
        <v/>
      </c>
      <c r="H5213" s="11" t="n">
        <v/>
      </c>
      <c r="I5213" s="11" t="n">
        <v/>
      </c>
      <c r="J5213" s="11" t="n">
        <v/>
      </c>
      <c r="K5213" s="4" t="inlineStr">
        <is>
          <t>Stundensätze eingeben</t>
        </is>
      </c>
    </row>
    <row r="5214">
      <c r="A5214" s="4" t="inlineStr">
        <is>
          <t>7534 RMK-KH-Spitalstraße -25-Lörrach</t>
        </is>
      </c>
      <c r="B5214" s="4" t="inlineStr">
        <is>
          <t>● (aN) Pos.4 Optional Erstellung Räumungsbereichspläne Pauschal 150 €/Stück</t>
        </is>
      </c>
      <c r="C5214" s="4" t="inlineStr">
        <is>
          <t>Nachweis</t>
        </is>
      </c>
      <c r="D5214" s="10" t="inlineStr">
        <is>
          <t>⚠ Manual erforderlich</t>
        </is>
      </c>
      <c r="E5214" s="11" t="inlineStr"/>
      <c r="F5214" s="11" t="n">
        <v>0</v>
      </c>
      <c r="G5214" s="11">
        <f>E5214-F5214</f>
        <v/>
      </c>
      <c r="H5214" s="11" t="n">
        <v/>
      </c>
      <c r="I5214" s="11" t="n">
        <v/>
      </c>
      <c r="J5214" s="11" t="n">
        <v/>
      </c>
      <c r="K5214" s="4" t="inlineStr">
        <is>
          <t>Stundensätze eingeben</t>
        </is>
      </c>
    </row>
    <row r="5215">
      <c r="A5215" s="4" t="inlineStr">
        <is>
          <t>7534 RMK-KH-Spitalstraße -25-Lörrach</t>
        </is>
      </c>
      <c r="B5215" s="4" t="inlineStr">
        <is>
          <t>● (aN) Pos.5 Optional Prakt. Ausbildung BSH (Tagespauschale)</t>
        </is>
      </c>
      <c r="C5215" s="4" t="inlineStr">
        <is>
          <t>Nachweis</t>
        </is>
      </c>
      <c r="D5215" s="10" t="inlineStr">
        <is>
          <t>⚠ Manual erforderlich</t>
        </is>
      </c>
      <c r="E5215" s="11" t="inlineStr"/>
      <c r="F5215" s="11" t="n">
        <v>0</v>
      </c>
      <c r="G5215" s="11">
        <f>E5215-F5215</f>
        <v/>
      </c>
      <c r="H5215" s="11" t="n">
        <v/>
      </c>
      <c r="I5215" s="11" t="n">
        <v/>
      </c>
      <c r="J5215" s="11" t="n">
        <v/>
      </c>
      <c r="K5215" s="4" t="inlineStr">
        <is>
          <t>Stundensätze eingeben</t>
        </is>
      </c>
    </row>
    <row r="5216">
      <c r="A5216" s="4" t="inlineStr">
        <is>
          <t>7534 RMK-KH-Spitalstraße -25-Lörrach</t>
        </is>
      </c>
      <c r="B5216" s="4" t="inlineStr">
        <is>
          <t>● (aN) Pos.6 Optional Fachl. Prüfung v. Dokumenten = individuelle Abstimmung mit AG</t>
        </is>
      </c>
      <c r="C5216" s="4" t="inlineStr">
        <is>
          <t>Nachweis</t>
        </is>
      </c>
      <c r="D5216" s="10" t="inlineStr">
        <is>
          <t>⚠ Manual erforderlich</t>
        </is>
      </c>
      <c r="E5216" s="11" t="inlineStr"/>
      <c r="F5216" s="11" t="n">
        <v>0</v>
      </c>
      <c r="G5216" s="11">
        <f>E5216-F5216</f>
        <v/>
      </c>
      <c r="H5216" s="11" t="n">
        <v/>
      </c>
      <c r="I5216" s="11" t="n">
        <v/>
      </c>
      <c r="J5216" s="11" t="n">
        <v/>
      </c>
      <c r="K5216" s="4" t="inlineStr">
        <is>
          <t>Stundensätze eingeben</t>
        </is>
      </c>
    </row>
    <row r="5217">
      <c r="A5217" s="4" t="inlineStr">
        <is>
          <t>7534 RMK-KH-Spitalstraße -25-Lörrach</t>
        </is>
      </c>
      <c r="B5217" s="4" t="inlineStr">
        <is>
          <t>● (aN) Pos.7 Optional Material für Räumung u. Einsatzfall</t>
        </is>
      </c>
      <c r="C5217" s="4" t="inlineStr">
        <is>
          <t>Nachweis</t>
        </is>
      </c>
      <c r="D5217" s="10" t="inlineStr">
        <is>
          <t>⚠ Manual erforderlich</t>
        </is>
      </c>
      <c r="E5217" s="11" t="inlineStr"/>
      <c r="F5217" s="11" t="n">
        <v>0</v>
      </c>
      <c r="G5217" s="11">
        <f>E5217-F5217</f>
        <v/>
      </c>
      <c r="H5217" s="11" t="n">
        <v/>
      </c>
      <c r="I5217" s="11" t="n">
        <v/>
      </c>
      <c r="J5217" s="11" t="n">
        <v/>
      </c>
      <c r="K5217" s="4" t="inlineStr">
        <is>
          <t>Stundensätze eingeben</t>
        </is>
      </c>
    </row>
    <row r="5218">
      <c r="A5218" s="4" t="inlineStr">
        <is>
          <t>7535 Kernig-BTB-Fitness-First-Hans-Sachs-Str2-4-Heilbronn</t>
        </is>
      </c>
      <c r="B5218" s="4" t="inlineStr">
        <is>
          <t>● (a.N.) pos.1 BTB - Bewertung der Errichtung einer feuerbeständigen Trennwand</t>
        </is>
      </c>
      <c r="C5218" s="4" t="inlineStr">
        <is>
          <t>Nachweis</t>
        </is>
      </c>
      <c r="D5218" s="10" t="inlineStr">
        <is>
          <t>⚠ Manual erforderlich</t>
        </is>
      </c>
      <c r="E5218" s="11" t="inlineStr"/>
      <c r="F5218" s="11" t="n">
        <v>0</v>
      </c>
      <c r="G5218" s="11">
        <f>E5218-F5218</f>
        <v/>
      </c>
      <c r="H5218" s="11" t="n">
        <v/>
      </c>
      <c r="I5218" s="11" t="n">
        <v/>
      </c>
      <c r="J5218" s="11" t="n">
        <v/>
      </c>
      <c r="K5218" s="4" t="inlineStr">
        <is>
          <t>Stundensätze eingeben</t>
        </is>
      </c>
    </row>
    <row r="5219">
      <c r="A5219" s="4" t="inlineStr">
        <is>
          <t>7536 T&amp;W-BTB-Lenbachstraße-18-Rüsselsheim-Wohnungseingangstüren</t>
        </is>
      </c>
      <c r="B5219" s="4" t="inlineStr">
        <is>
          <t>● (aN) Pos.1 BTB - Bewertung Wohnungsein-gangstüren+Prüfung Sanierungsvorschlag der ausführenden Firma</t>
        </is>
      </c>
      <c r="C5219" s="4" t="inlineStr">
        <is>
          <t>Nachweis</t>
        </is>
      </c>
      <c r="D5219" s="10" t="inlineStr">
        <is>
          <t>⚠ Manual erforderlich</t>
        </is>
      </c>
      <c r="E5219" s="11" t="inlineStr"/>
      <c r="F5219" s="11" t="n">
        <v>0</v>
      </c>
      <c r="G5219" s="11">
        <f>E5219-F5219</f>
        <v/>
      </c>
      <c r="H5219" s="11" t="n">
        <v/>
      </c>
      <c r="I5219" s="11" t="n">
        <v/>
      </c>
      <c r="J5219" s="11" t="n">
        <v/>
      </c>
      <c r="K5219" s="4" t="inlineStr">
        <is>
          <t>Stundensätze eingeben</t>
        </is>
      </c>
    </row>
    <row r="5220">
      <c r="A5220" s="4" t="inlineStr">
        <is>
          <t>7537 Remmers-Löningen</t>
        </is>
      </c>
      <c r="B5220" s="4" t="inlineStr">
        <is>
          <t>● Brandschutz</t>
        </is>
      </c>
      <c r="C5220" s="9" t="inlineStr">
        <is>
          <t>Unbekannt</t>
        </is>
      </c>
      <c r="D5220" s="10" t="inlineStr">
        <is>
          <t>⚠ Manual erforderlich</t>
        </is>
      </c>
      <c r="E5220" s="11" t="inlineStr"/>
      <c r="F5220" s="11" t="n">
        <v>0</v>
      </c>
      <c r="G5220" s="11">
        <f>E5220-F5220</f>
        <v/>
      </c>
      <c r="H5220" s="11" t="n">
        <v/>
      </c>
      <c r="I5220" s="11" t="n">
        <v/>
      </c>
      <c r="J5220" s="11" t="n">
        <v/>
      </c>
      <c r="K5220" s="4" t="inlineStr">
        <is>
          <t>Abrechnungsart wählen; Stundensätze eingeben</t>
        </is>
      </c>
    </row>
    <row r="5221">
      <c r="A5221" s="4" t="inlineStr">
        <is>
          <t>7537 Remmers-Löningen</t>
        </is>
      </c>
      <c r="B5221" s="4" t="inlineStr">
        <is>
          <t>● Löschanlagen</t>
        </is>
      </c>
      <c r="C5221" s="9" t="inlineStr">
        <is>
          <t>Unbekannt</t>
        </is>
      </c>
      <c r="D5221" s="10" t="inlineStr">
        <is>
          <t>⚠ Manual erforderlich</t>
        </is>
      </c>
      <c r="E5221" s="11" t="inlineStr"/>
      <c r="F5221" s="11" t="n">
        <v>0</v>
      </c>
      <c r="G5221" s="11">
        <f>E5221-F5221</f>
        <v/>
      </c>
      <c r="H5221" s="11" t="n">
        <v/>
      </c>
      <c r="I5221" s="11" t="n">
        <v/>
      </c>
      <c r="J5221" s="11" t="n">
        <v/>
      </c>
      <c r="K5221" s="4" t="inlineStr">
        <is>
          <t>Abrechnungsart wählen; Stundensätze eingeben</t>
        </is>
      </c>
    </row>
    <row r="5222">
      <c r="A5222" s="4" t="inlineStr">
        <is>
          <t>7537 Remmers-Löningen</t>
        </is>
      </c>
      <c r="B5222" s="4" t="inlineStr">
        <is>
          <t>● Umwelschutz</t>
        </is>
      </c>
      <c r="C5222" s="9" t="inlineStr">
        <is>
          <t>Unbekannt</t>
        </is>
      </c>
      <c r="D5222" s="10" t="inlineStr">
        <is>
          <t>⚠ Manual erforderlich</t>
        </is>
      </c>
      <c r="E5222" s="11" t="inlineStr"/>
      <c r="F5222" s="11" t="n">
        <v>0</v>
      </c>
      <c r="G5222" s="11">
        <f>E5222-F5222</f>
        <v/>
      </c>
      <c r="H5222" s="11" t="n">
        <v/>
      </c>
      <c r="I5222" s="11" t="n">
        <v/>
      </c>
      <c r="J5222" s="11" t="n">
        <v/>
      </c>
      <c r="K5222" s="4" t="inlineStr">
        <is>
          <t>Abrechnungsart wählen; Stundensätze eingeben</t>
        </is>
      </c>
    </row>
    <row r="5223">
      <c r="A5223" s="4" t="inlineStr">
        <is>
          <t>7537.100 Remmers-Löningen-Gebäude E</t>
        </is>
      </c>
      <c r="B5223" s="4" t="inlineStr">
        <is>
          <t>● Brandschutz</t>
        </is>
      </c>
      <c r="C5223" s="9" t="inlineStr">
        <is>
          <t>Unbekannt</t>
        </is>
      </c>
      <c r="D5223" s="10" t="inlineStr">
        <is>
          <t>⚠ Manual erforderlich</t>
        </is>
      </c>
      <c r="E5223" s="11" t="inlineStr"/>
      <c r="F5223" s="11" t="n">
        <v>0</v>
      </c>
      <c r="G5223" s="11">
        <f>E5223-F5223</f>
        <v/>
      </c>
      <c r="H5223" s="11" t="n">
        <v/>
      </c>
      <c r="I5223" s="11" t="n">
        <v/>
      </c>
      <c r="J5223" s="11" t="n">
        <v/>
      </c>
      <c r="K5223" s="4" t="inlineStr">
        <is>
          <t>Abrechnungsart wählen; Stundensätze eingeben</t>
        </is>
      </c>
    </row>
    <row r="5224">
      <c r="A5224" s="4" t="inlineStr">
        <is>
          <t>7537.100 Remmers-Löningen-Gebäude E</t>
        </is>
      </c>
      <c r="B5224" s="4" t="inlineStr">
        <is>
          <t>● Löschanlagen</t>
        </is>
      </c>
      <c r="C5224" s="9" t="inlineStr">
        <is>
          <t>Unbekannt</t>
        </is>
      </c>
      <c r="D5224" s="10" t="inlineStr">
        <is>
          <t>⚠ Manual erforderlich</t>
        </is>
      </c>
      <c r="E5224" s="11" t="inlineStr"/>
      <c r="F5224" s="11" t="n">
        <v>0</v>
      </c>
      <c r="G5224" s="11">
        <f>E5224-F5224</f>
        <v/>
      </c>
      <c r="H5224" s="11" t="n">
        <v/>
      </c>
      <c r="I5224" s="11" t="n">
        <v/>
      </c>
      <c r="J5224" s="11" t="n">
        <v/>
      </c>
      <c r="K5224" s="4" t="inlineStr">
        <is>
          <t>Abrechnungsart wählen; Stundensätze eingeben</t>
        </is>
      </c>
    </row>
    <row r="5225">
      <c r="A5225" s="4" t="inlineStr">
        <is>
          <t>7537.100 Remmers-Löningen-Gebäude E</t>
        </is>
      </c>
      <c r="B5225" s="4" t="inlineStr">
        <is>
          <t>● Umweltschutz</t>
        </is>
      </c>
      <c r="C5225" s="9" t="inlineStr">
        <is>
          <t>Unbekannt</t>
        </is>
      </c>
      <c r="D5225" s="10" t="inlineStr">
        <is>
          <t>⚠ Manual erforderlich</t>
        </is>
      </c>
      <c r="E5225" s="11" t="inlineStr"/>
      <c r="F5225" s="11" t="n">
        <v>0</v>
      </c>
      <c r="G5225" s="11">
        <f>E5225-F5225</f>
        <v/>
      </c>
      <c r="H5225" s="11" t="n">
        <v/>
      </c>
      <c r="I5225" s="11" t="n">
        <v/>
      </c>
      <c r="J5225" s="11" t="n">
        <v/>
      </c>
      <c r="K5225" s="4" t="inlineStr">
        <is>
          <t>Abrechnungsart wählen; Stundensätze eingeben</t>
        </is>
      </c>
    </row>
    <row r="5226">
      <c r="A5226" s="4" t="inlineStr">
        <is>
          <t>7537.200 Remmers-Löningen-NB-Flooring</t>
        </is>
      </c>
      <c r="B5226" s="4" t="inlineStr">
        <is>
          <t>● Brandschutz</t>
        </is>
      </c>
      <c r="C5226" s="9" t="inlineStr">
        <is>
          <t>Unbekannt</t>
        </is>
      </c>
      <c r="D5226" s="10" t="inlineStr">
        <is>
          <t>⚠ Manual erforderlich</t>
        </is>
      </c>
      <c r="E5226" s="11" t="inlineStr"/>
      <c r="F5226" s="11" t="n">
        <v>0</v>
      </c>
      <c r="G5226" s="11">
        <f>E5226-F5226</f>
        <v/>
      </c>
      <c r="H5226" s="11" t="n">
        <v/>
      </c>
      <c r="I5226" s="11" t="n">
        <v/>
      </c>
      <c r="J5226" s="11" t="n">
        <v/>
      </c>
      <c r="K5226" s="4" t="inlineStr">
        <is>
          <t>Abrechnungsart wählen; Stundensätze eingeben</t>
        </is>
      </c>
    </row>
    <row r="5227">
      <c r="A5227" s="4" t="inlineStr">
        <is>
          <t>7537.200 Remmers-Löningen-NB-Flooring</t>
        </is>
      </c>
      <c r="B5227" s="4" t="inlineStr">
        <is>
          <t>● Löschanlagen</t>
        </is>
      </c>
      <c r="C5227" s="9" t="inlineStr">
        <is>
          <t>Unbekannt</t>
        </is>
      </c>
      <c r="D5227" s="10" t="inlineStr">
        <is>
          <t>⚠ Manual erforderlich</t>
        </is>
      </c>
      <c r="E5227" s="11" t="inlineStr"/>
      <c r="F5227" s="11" t="n">
        <v>0</v>
      </c>
      <c r="G5227" s="11">
        <f>E5227-F5227</f>
        <v/>
      </c>
      <c r="H5227" s="11" t="n">
        <v/>
      </c>
      <c r="I5227" s="11" t="n">
        <v/>
      </c>
      <c r="J5227" s="11" t="n">
        <v/>
      </c>
      <c r="K5227" s="4" t="inlineStr">
        <is>
          <t>Abrechnungsart wählen; Stundensätze eingeben</t>
        </is>
      </c>
    </row>
    <row r="5228">
      <c r="A5228" s="4" t="inlineStr">
        <is>
          <t>7537.200 Remmers-Löningen-NB-Flooring</t>
        </is>
      </c>
      <c r="B5228" s="4" t="inlineStr">
        <is>
          <t>● Umwelschutz</t>
        </is>
      </c>
      <c r="C5228" s="9" t="inlineStr">
        <is>
          <t>Unbekannt</t>
        </is>
      </c>
      <c r="D5228" s="10" t="inlineStr">
        <is>
          <t>⚠ Manual erforderlich</t>
        </is>
      </c>
      <c r="E5228" s="11" t="inlineStr"/>
      <c r="F5228" s="11" t="n">
        <v>0</v>
      </c>
      <c r="G5228" s="11">
        <f>E5228-F5228</f>
        <v/>
      </c>
      <c r="H5228" s="11" t="n">
        <v/>
      </c>
      <c r="I5228" s="11" t="n">
        <v/>
      </c>
      <c r="J5228" s="11" t="n">
        <v/>
      </c>
      <c r="K5228" s="4" t="inlineStr">
        <is>
          <t>Abrechnungsart wählen; Stundensätze eingeben</t>
        </is>
      </c>
    </row>
    <row r="5229">
      <c r="A5229" s="4" t="inlineStr">
        <is>
          <t>7537.300 Remmers-Löningen-Polymerisation</t>
        </is>
      </c>
      <c r="B5229" s="4" t="inlineStr">
        <is>
          <t>● Brandschutz</t>
        </is>
      </c>
      <c r="C5229" s="9" t="inlineStr">
        <is>
          <t>Unbekannt</t>
        </is>
      </c>
      <c r="D5229" s="10" t="inlineStr">
        <is>
          <t>⚠ Manual erforderlich</t>
        </is>
      </c>
      <c r="E5229" s="11" t="inlineStr"/>
      <c r="F5229" s="11" t="n">
        <v>0</v>
      </c>
      <c r="G5229" s="11">
        <f>E5229-F5229</f>
        <v/>
      </c>
      <c r="H5229" s="11" t="n">
        <v/>
      </c>
      <c r="I5229" s="11" t="n">
        <v/>
      </c>
      <c r="J5229" s="11" t="n">
        <v/>
      </c>
      <c r="K5229" s="4" t="inlineStr">
        <is>
          <t>Abrechnungsart wählen; Stundensätze eingeben</t>
        </is>
      </c>
    </row>
    <row r="5230">
      <c r="A5230" s="4" t="inlineStr">
        <is>
          <t>7537.300 Remmers-Löningen-Polymerisation</t>
        </is>
      </c>
      <c r="B5230" s="4" t="inlineStr">
        <is>
          <t>● Löschanlagen</t>
        </is>
      </c>
      <c r="C5230" s="9" t="inlineStr">
        <is>
          <t>Unbekannt</t>
        </is>
      </c>
      <c r="D5230" s="10" t="inlineStr">
        <is>
          <t>⚠ Manual erforderlich</t>
        </is>
      </c>
      <c r="E5230" s="11" t="inlineStr"/>
      <c r="F5230" s="11" t="n">
        <v>0</v>
      </c>
      <c r="G5230" s="11">
        <f>E5230-F5230</f>
        <v/>
      </c>
      <c r="H5230" s="11" t="n">
        <v/>
      </c>
      <c r="I5230" s="11" t="n">
        <v/>
      </c>
      <c r="J5230" s="11" t="n">
        <v/>
      </c>
      <c r="K5230" s="4" t="inlineStr">
        <is>
          <t>Abrechnungsart wählen; Stundensätze eingeben</t>
        </is>
      </c>
    </row>
    <row r="5231">
      <c r="A5231" s="4" t="inlineStr">
        <is>
          <t>7537.300 Remmers-Löningen-Polymerisation</t>
        </is>
      </c>
      <c r="B5231" s="4" t="inlineStr">
        <is>
          <t>● Umwelschutz</t>
        </is>
      </c>
      <c r="C5231" s="9" t="inlineStr">
        <is>
          <t>Unbekannt</t>
        </is>
      </c>
      <c r="D5231" s="10" t="inlineStr">
        <is>
          <t>⚠ Manual erforderlich</t>
        </is>
      </c>
      <c r="E5231" s="11" t="inlineStr"/>
      <c r="F5231" s="11" t="n">
        <v>0</v>
      </c>
      <c r="G5231" s="11">
        <f>E5231-F5231</f>
        <v/>
      </c>
      <c r="H5231" s="11" t="n">
        <v/>
      </c>
      <c r="I5231" s="11" t="n">
        <v/>
      </c>
      <c r="J5231" s="11" t="n">
        <v/>
      </c>
      <c r="K5231" s="4" t="inlineStr">
        <is>
          <t>Abrechnungsart wählen; Stundensätze eingeben</t>
        </is>
      </c>
    </row>
    <row r="5232">
      <c r="A5232" s="4" t="inlineStr">
        <is>
          <t>7554 Badtke-FWP-Carl-Friedrich-Benz-Str-7-Langenselbold</t>
        </is>
      </c>
      <c r="B5232" s="4" t="inlineStr">
        <is>
          <t>● (p) Pos.1 Erstellung FWP + Begehung</t>
        </is>
      </c>
      <c r="C5232" s="4" t="inlineStr">
        <is>
          <t>Pauschale</t>
        </is>
      </c>
      <c r="D5232" s="10" t="inlineStr">
        <is>
          <t>⚠ Manual erforderlich</t>
        </is>
      </c>
      <c r="E5232" s="11" t="inlineStr"/>
      <c r="F5232" s="11" t="n">
        <v>0</v>
      </c>
      <c r="G5232" s="11">
        <f>E5232-F5232</f>
        <v/>
      </c>
      <c r="H5232" s="11" t="n">
        <v>0</v>
      </c>
      <c r="I5232" s="11" t="n">
        <v>0</v>
      </c>
      <c r="J5232" s="11" t="n">
        <v>0</v>
      </c>
      <c r="K5232" s="4" t="inlineStr">
        <is>
          <t>Stundensätze eingeben</t>
        </is>
      </c>
    </row>
    <row r="5233">
      <c r="A5233" s="4" t="inlineStr">
        <is>
          <t>7555 Endreß Academy</t>
        </is>
      </c>
      <c r="B5233" s="4" t="inlineStr">
        <is>
          <t>● • Projektbezogen</t>
        </is>
      </c>
      <c r="C5233" s="9" t="inlineStr">
        <is>
          <t>Unbekannt</t>
        </is>
      </c>
      <c r="D5233" s="10" t="inlineStr">
        <is>
          <t>⚠ Manual erforderlich</t>
        </is>
      </c>
      <c r="E5233" s="11" t="inlineStr"/>
      <c r="F5233" s="11" t="n">
        <v>0</v>
      </c>
      <c r="G5233" s="11">
        <f>E5233-F5233</f>
        <v/>
      </c>
      <c r="H5233" s="11" t="n">
        <v/>
      </c>
      <c r="I5233" s="11" t="n">
        <v/>
      </c>
      <c r="J5233" s="11" t="n">
        <v/>
      </c>
      <c r="K5233" s="4" t="inlineStr">
        <is>
          <t>Abrechnungsart wählen; Stundensätze eingeben</t>
        </is>
      </c>
    </row>
    <row r="5234">
      <c r="A5234" s="4" t="inlineStr">
        <is>
          <t>7555 Endreß Academy</t>
        </is>
      </c>
      <c r="B5234" s="4" t="inlineStr">
        <is>
          <t>● • ‧ Tagespauschale</t>
        </is>
      </c>
      <c r="C5234" s="9" t="inlineStr">
        <is>
          <t>Unbekannt</t>
        </is>
      </c>
      <c r="D5234" s="10" t="inlineStr">
        <is>
          <t>⚠ Manual erforderlich</t>
        </is>
      </c>
      <c r="E5234" s="11" t="inlineStr"/>
      <c r="F5234" s="11" t="n">
        <v>0</v>
      </c>
      <c r="G5234" s="11">
        <f>E5234-F5234</f>
        <v/>
      </c>
      <c r="H5234" s="11" t="n">
        <v/>
      </c>
      <c r="I5234" s="11" t="n">
        <v/>
      </c>
      <c r="J5234" s="11" t="n">
        <v/>
      </c>
      <c r="K5234" s="4" t="inlineStr">
        <is>
          <t>Abrechnungsart wählen; Stundensätze eingeben</t>
        </is>
      </c>
    </row>
    <row r="5235">
      <c r="A5235" s="4" t="inlineStr">
        <is>
          <t>7555 Endreß Academy</t>
        </is>
      </c>
      <c r="B5235" s="4" t="inlineStr">
        <is>
          <t>● • ‧ auf Nachweis</t>
        </is>
      </c>
      <c r="C5235" s="9" t="inlineStr">
        <is>
          <t>Unbekannt</t>
        </is>
      </c>
      <c r="D5235" s="10" t="inlineStr">
        <is>
          <t>⚠ Manual erforderlich</t>
        </is>
      </c>
      <c r="E5235" s="11" t="inlineStr"/>
      <c r="F5235" s="11" t="n">
        <v>0</v>
      </c>
      <c r="G5235" s="11">
        <f>E5235-F5235</f>
        <v/>
      </c>
      <c r="H5235" s="11" t="n">
        <v/>
      </c>
      <c r="I5235" s="11" t="n">
        <v/>
      </c>
      <c r="J5235" s="11" t="n">
        <v/>
      </c>
      <c r="K5235" s="4" t="inlineStr">
        <is>
          <t>Abrechnungsart wählen; Stundensätze eingeben</t>
        </is>
      </c>
    </row>
    <row r="5236">
      <c r="A5236" s="4" t="inlineStr">
        <is>
          <t>7555 Endreß Academy</t>
        </is>
      </c>
      <c r="B5236" s="4" t="inlineStr">
        <is>
          <t>● • Academy-Schulungsinhalte erstellen (pauschal?)</t>
        </is>
      </c>
      <c r="C5236" s="9" t="inlineStr">
        <is>
          <t>Unbekannt</t>
        </is>
      </c>
      <c r="D5236" s="10" t="inlineStr">
        <is>
          <t>⚠ Manual erforderlich</t>
        </is>
      </c>
      <c r="E5236" s="11" t="inlineStr"/>
      <c r="F5236" s="11" t="n">
        <v>0</v>
      </c>
      <c r="G5236" s="11">
        <f>E5236-F5236</f>
        <v/>
      </c>
      <c r="H5236" s="11" t="n">
        <v/>
      </c>
      <c r="I5236" s="11" t="n">
        <v/>
      </c>
      <c r="J5236" s="11" t="n">
        <v/>
      </c>
      <c r="K5236" s="4" t="inlineStr">
        <is>
          <t>Abrechnungsart wählen; Stundensätze eingeben</t>
        </is>
      </c>
    </row>
    <row r="5237">
      <c r="A5237" s="4" t="inlineStr">
        <is>
          <t>7555 Endreß Academy</t>
        </is>
      </c>
      <c r="B5237" s="4" t="inlineStr">
        <is>
          <t>● • Academy-E-Learning erstellen (auf Nachweis)</t>
        </is>
      </c>
      <c r="C5237" s="9" t="inlineStr">
        <is>
          <t>Unbekannt</t>
        </is>
      </c>
      <c r="D5237" s="10" t="inlineStr">
        <is>
          <t>⚠ Manual erforderlich</t>
        </is>
      </c>
      <c r="E5237" s="11" t="inlineStr"/>
      <c r="F5237" s="11" t="n">
        <v>0</v>
      </c>
      <c r="G5237" s="11">
        <f>E5237-F5237</f>
        <v/>
      </c>
      <c r="H5237" s="11" t="n">
        <v/>
      </c>
      <c r="I5237" s="11" t="n">
        <v/>
      </c>
      <c r="J5237" s="11" t="n">
        <v/>
      </c>
      <c r="K5237" s="4" t="inlineStr">
        <is>
          <t>Abrechnungsart wählen; Stundensätze eingeben</t>
        </is>
      </c>
    </row>
    <row r="5238">
      <c r="A5238" s="4" t="inlineStr">
        <is>
          <t>7555 Endreß Academy</t>
        </is>
      </c>
      <c r="B5238" s="4" t="inlineStr">
        <is>
          <t>● • ‧ Tagespauschale</t>
        </is>
      </c>
      <c r="C5238" s="9" t="inlineStr">
        <is>
          <t>Unbekannt</t>
        </is>
      </c>
      <c r="D5238" s="10" t="inlineStr">
        <is>
          <t>⚠ Manual erforderlich</t>
        </is>
      </c>
      <c r="E5238" s="11" t="inlineStr"/>
      <c r="F5238" s="11" t="n">
        <v>0</v>
      </c>
      <c r="G5238" s="11">
        <f>E5238-F5238</f>
        <v/>
      </c>
      <c r="H5238" s="11" t="n">
        <v/>
      </c>
      <c r="I5238" s="11" t="n">
        <v/>
      </c>
      <c r="J5238" s="11" t="n">
        <v/>
      </c>
      <c r="K5238" s="4" t="inlineStr">
        <is>
          <t>Abrechnungsart wählen; Stundensätze eingeben</t>
        </is>
      </c>
    </row>
    <row r="5239">
      <c r="A5239" s="4" t="inlineStr">
        <is>
          <t>7555 Endreß Academy</t>
        </is>
      </c>
      <c r="B5239" s="4" t="inlineStr">
        <is>
          <t>● • ‧ 3 Std. pauschal</t>
        </is>
      </c>
      <c r="C5239" s="9" t="inlineStr">
        <is>
          <t>Unbekannt</t>
        </is>
      </c>
      <c r="D5239" s="10" t="inlineStr">
        <is>
          <t>⚠ Manual erforderlich</t>
        </is>
      </c>
      <c r="E5239" s="11" t="inlineStr"/>
      <c r="F5239" s="11" t="n">
        <v>0</v>
      </c>
      <c r="G5239" s="11">
        <f>E5239-F5239</f>
        <v/>
      </c>
      <c r="H5239" s="11" t="n">
        <v/>
      </c>
      <c r="I5239" s="11" t="n">
        <v/>
      </c>
      <c r="J5239" s="11" t="n">
        <v/>
      </c>
      <c r="K5239" s="4" t="inlineStr">
        <is>
          <t>Abrechnungsart wählen; Stundensätze eingeben</t>
        </is>
      </c>
    </row>
    <row r="5240">
      <c r="A5240" s="4" t="inlineStr">
        <is>
          <t>7555 Endreß Academy</t>
        </is>
      </c>
      <c r="B5240" s="4" t="inlineStr">
        <is>
          <t>● • Academy-Vorträge halten (45 Minuten pauschal)</t>
        </is>
      </c>
      <c r="C5240" s="9" t="inlineStr">
        <is>
          <t>Unbekannt</t>
        </is>
      </c>
      <c r="D5240" s="10" t="inlineStr">
        <is>
          <t>⚠ Manual erforderlich</t>
        </is>
      </c>
      <c r="E5240" s="11" t="inlineStr"/>
      <c r="F5240" s="11" t="n">
        <v>0</v>
      </c>
      <c r="G5240" s="11">
        <f>E5240-F5240</f>
        <v/>
      </c>
      <c r="H5240" s="11" t="n">
        <v/>
      </c>
      <c r="I5240" s="11" t="n">
        <v/>
      </c>
      <c r="J5240" s="11" t="n">
        <v/>
      </c>
      <c r="K5240" s="4" t="inlineStr">
        <is>
          <t>Abrechnungsart wählen; Stundensätze eingeben</t>
        </is>
      </c>
    </row>
    <row r="5241">
      <c r="A5241" s="4" t="inlineStr">
        <is>
          <t>7555 Endreß Academy</t>
        </is>
      </c>
      <c r="B5241" s="4" t="inlineStr">
        <is>
          <t>● • SV</t>
        </is>
      </c>
      <c r="C5241" s="9" t="inlineStr">
        <is>
          <t>Unbekannt</t>
        </is>
      </c>
      <c r="D5241" s="10" t="inlineStr">
        <is>
          <t>⚠ Manual erforderlich</t>
        </is>
      </c>
      <c r="E5241" s="11" t="inlineStr"/>
      <c r="F5241" s="11" t="n">
        <v>0</v>
      </c>
      <c r="G5241" s="11">
        <f>E5241-F5241</f>
        <v/>
      </c>
      <c r="H5241" s="11" t="n">
        <v/>
      </c>
      <c r="I5241" s="11" t="n">
        <v/>
      </c>
      <c r="J5241" s="11" t="n">
        <v/>
      </c>
      <c r="K5241" s="4" t="inlineStr">
        <is>
          <t>Abrechnungsart wählen; Stundensätze eingeben</t>
        </is>
      </c>
    </row>
    <row r="5242">
      <c r="A5242" s="4" t="inlineStr">
        <is>
          <t>7555 Endreß Academy</t>
        </is>
      </c>
      <c r="B5242" s="4" t="inlineStr">
        <is>
          <t>● • NLL</t>
        </is>
      </c>
      <c r="C5242" s="9" t="inlineStr">
        <is>
          <t>Unbekannt</t>
        </is>
      </c>
      <c r="D5242" s="10" t="inlineStr">
        <is>
          <t>⚠ Manual erforderlich</t>
        </is>
      </c>
      <c r="E5242" s="11" t="inlineStr"/>
      <c r="F5242" s="11" t="n">
        <v>0</v>
      </c>
      <c r="G5242" s="11">
        <f>E5242-F5242</f>
        <v/>
      </c>
      <c r="H5242" s="11" t="n">
        <v/>
      </c>
      <c r="I5242" s="11" t="n">
        <v/>
      </c>
      <c r="J5242" s="11" t="n">
        <v/>
      </c>
      <c r="K5242" s="4" t="inlineStr">
        <is>
          <t>Abrechnungsart wählen; Stundensätze eingeben</t>
        </is>
      </c>
    </row>
    <row r="5243">
      <c r="A5243" s="4" t="inlineStr">
        <is>
          <t>7555 Endreß Academy</t>
        </is>
      </c>
      <c r="B5243" s="4" t="inlineStr">
        <is>
          <t>● • ADM</t>
        </is>
      </c>
      <c r="C5243" s="9" t="inlineStr">
        <is>
          <t>Unbekannt</t>
        </is>
      </c>
      <c r="D5243" s="10" t="inlineStr">
        <is>
          <t>⚠ Manual erforderlich</t>
        </is>
      </c>
      <c r="E5243" s="11" t="inlineStr"/>
      <c r="F5243" s="11" t="n">
        <v>0</v>
      </c>
      <c r="G5243" s="11">
        <f>E5243-F5243</f>
        <v/>
      </c>
      <c r="H5243" s="11" t="n">
        <v/>
      </c>
      <c r="I5243" s="11" t="n">
        <v/>
      </c>
      <c r="J5243" s="11" t="n">
        <v/>
      </c>
      <c r="K5243" s="4" t="inlineStr">
        <is>
          <t>Abrechnungsart wählen; Stundensätze eingeben</t>
        </is>
      </c>
    </row>
    <row r="5244">
      <c r="A5244" s="4" t="inlineStr">
        <is>
          <t>7556 Stadt-Bottrop-AHO-NB-Feuerwache-Josef-Albers-Str-Bottrop</t>
        </is>
      </c>
      <c r="B5244" s="4" t="inlineStr">
        <is>
          <t>● • (p) LP 1 Grundlagenermittlung</t>
        </is>
      </c>
      <c r="C5244" s="4" t="inlineStr">
        <is>
          <t>Pauschale</t>
        </is>
      </c>
      <c r="D5244" s="10" t="inlineStr">
        <is>
          <t>⚠ Manual erforderlich</t>
        </is>
      </c>
      <c r="E5244" s="11" t="inlineStr"/>
      <c r="F5244" s="11" t="n">
        <v>0</v>
      </c>
      <c r="G5244" s="11">
        <f>E5244-F5244</f>
        <v/>
      </c>
      <c r="H5244" s="11" t="n">
        <v>0</v>
      </c>
      <c r="I5244" s="11" t="n">
        <v>0</v>
      </c>
      <c r="J5244" s="11" t="n">
        <v>0</v>
      </c>
      <c r="K5244" s="4" t="inlineStr">
        <is>
          <t>Stundensätze eingeben</t>
        </is>
      </c>
    </row>
    <row r="5245">
      <c r="A5245" s="4" t="inlineStr">
        <is>
          <t>7556 Stadt-Bottrop-AHO-NB-Feuerwache-Josef-Albers-Str-Bottrop</t>
        </is>
      </c>
      <c r="B5245" s="4" t="inlineStr">
        <is>
          <t>● • (p) LP 2 Vorplanung</t>
        </is>
      </c>
      <c r="C5245" s="4" t="inlineStr">
        <is>
          <t>Pauschale</t>
        </is>
      </c>
      <c r="D5245" s="10" t="inlineStr">
        <is>
          <t>⚠ Manual erforderlich</t>
        </is>
      </c>
      <c r="E5245" s="11" t="inlineStr"/>
      <c r="F5245" s="11" t="n">
        <v>0</v>
      </c>
      <c r="G5245" s="11">
        <f>E5245-F5245</f>
        <v/>
      </c>
      <c r="H5245" s="11" t="n">
        <v>0</v>
      </c>
      <c r="I5245" s="11" t="n">
        <v>0</v>
      </c>
      <c r="J5245" s="11" t="n">
        <v>0</v>
      </c>
      <c r="K5245" s="4" t="inlineStr">
        <is>
          <t>Stundensätze eingeben</t>
        </is>
      </c>
    </row>
    <row r="5246">
      <c r="A5246" s="4" t="inlineStr">
        <is>
          <t>7556 Stadt-Bottrop-AHO-NB-Feuerwache-Josef-Albers-Str-Bottrop</t>
        </is>
      </c>
      <c r="B5246" s="4" t="inlineStr">
        <is>
          <t>● • (p) LP 3 Entwurfsplanung</t>
        </is>
      </c>
      <c r="C5246" s="4" t="inlineStr">
        <is>
          <t>Pauschale</t>
        </is>
      </c>
      <c r="D5246" s="10" t="inlineStr">
        <is>
          <t>⚠ Manual erforderlich</t>
        </is>
      </c>
      <c r="E5246" s="11" t="inlineStr"/>
      <c r="F5246" s="11" t="n">
        <v>0</v>
      </c>
      <c r="G5246" s="11">
        <f>E5246-F5246</f>
        <v/>
      </c>
      <c r="H5246" s="11" t="n">
        <v>0</v>
      </c>
      <c r="I5246" s="11" t="n">
        <v>0</v>
      </c>
      <c r="J5246" s="11" t="n">
        <v>0</v>
      </c>
      <c r="K5246" s="4" t="inlineStr">
        <is>
          <t>Stundensätze eingeben</t>
        </is>
      </c>
    </row>
    <row r="5247">
      <c r="A5247" s="4" t="inlineStr">
        <is>
          <t>7556 Stadt-Bottrop-AHO-NB-Feuerwache-Josef-Albers-Str-Bottrop</t>
        </is>
      </c>
      <c r="B5247" s="4" t="inlineStr">
        <is>
          <t>● • (p) LP 4 Genehmigungsplanung</t>
        </is>
      </c>
      <c r="C5247" s="4" t="inlineStr">
        <is>
          <t>Pauschale</t>
        </is>
      </c>
      <c r="D5247" s="10" t="inlineStr">
        <is>
          <t>⚠ Manual erforderlich</t>
        </is>
      </c>
      <c r="E5247" s="11" t="inlineStr"/>
      <c r="F5247" s="11" t="n">
        <v>0</v>
      </c>
      <c r="G5247" s="11">
        <f>E5247-F5247</f>
        <v/>
      </c>
      <c r="H5247" s="11" t="n">
        <v>0</v>
      </c>
      <c r="I5247" s="11" t="n">
        <v>0</v>
      </c>
      <c r="J5247" s="11" t="n">
        <v>0</v>
      </c>
      <c r="K5247" s="4" t="inlineStr">
        <is>
          <t>Stundensätze eingeben</t>
        </is>
      </c>
    </row>
    <row r="5248">
      <c r="A5248" s="4" t="inlineStr">
        <is>
          <t>7556 Stadt-Bottrop-AHO-NB-Feuerwache-Josef-Albers-Str-Bottrop</t>
        </is>
      </c>
      <c r="B5248" s="4" t="inlineStr">
        <is>
          <t>● • (p) LP 5</t>
        </is>
      </c>
      <c r="C5248" s="4" t="inlineStr">
        <is>
          <t>Pauschale</t>
        </is>
      </c>
      <c r="D5248" s="10" t="inlineStr">
        <is>
          <t>⚠ Manual erforderlich</t>
        </is>
      </c>
      <c r="E5248" s="11" t="inlineStr"/>
      <c r="F5248" s="11" t="n">
        <v>0</v>
      </c>
      <c r="G5248" s="11">
        <f>E5248-F5248</f>
        <v/>
      </c>
      <c r="H5248" s="11" t="n">
        <v/>
      </c>
      <c r="I5248" s="11" t="n">
        <v/>
      </c>
      <c r="J5248" s="11" t="n">
        <v/>
      </c>
      <c r="K5248" s="4" t="inlineStr">
        <is>
          <t>Stundensätze eingeben</t>
        </is>
      </c>
    </row>
    <row r="5249">
      <c r="A5249" s="4" t="inlineStr">
        <is>
          <t>7556 Stadt-Bottrop-AHO-NB-Feuerwache-Josef-Albers-Str-Bottrop</t>
        </is>
      </c>
      <c r="B5249" s="4" t="inlineStr">
        <is>
          <t>● • (p) LP 6</t>
        </is>
      </c>
      <c r="C5249" s="4" t="inlineStr">
        <is>
          <t>Pauschale</t>
        </is>
      </c>
      <c r="D5249" s="10" t="inlineStr">
        <is>
          <t>⚠ Manual erforderlich</t>
        </is>
      </c>
      <c r="E5249" s="11" t="inlineStr"/>
      <c r="F5249" s="11" t="n">
        <v>0</v>
      </c>
      <c r="G5249" s="11">
        <f>E5249-F5249</f>
        <v/>
      </c>
      <c r="H5249" s="11" t="n">
        <v/>
      </c>
      <c r="I5249" s="11" t="n">
        <v/>
      </c>
      <c r="J5249" s="11" t="n">
        <v/>
      </c>
      <c r="K5249" s="4" t="inlineStr">
        <is>
          <t>Stundensätze eingeben</t>
        </is>
      </c>
    </row>
    <row r="5250">
      <c r="A5250" s="4" t="inlineStr">
        <is>
          <t>7556 Stadt-Bottrop-AHO-NB-Feuerwache-Josef-Albers-Str-Bottrop</t>
        </is>
      </c>
      <c r="B5250" s="4" t="inlineStr">
        <is>
          <t>● • (p) LP 8</t>
        </is>
      </c>
      <c r="C5250" s="4" t="inlineStr">
        <is>
          <t>Pauschale</t>
        </is>
      </c>
      <c r="D5250" s="10" t="inlineStr">
        <is>
          <t>⚠ Manual erforderlich</t>
        </is>
      </c>
      <c r="E5250" s="11" t="inlineStr"/>
      <c r="F5250" s="11" t="n">
        <v>0</v>
      </c>
      <c r="G5250" s="11">
        <f>E5250-F5250</f>
        <v/>
      </c>
      <c r="H5250" s="11" t="n">
        <v/>
      </c>
      <c r="I5250" s="11" t="n">
        <v/>
      </c>
      <c r="J5250" s="11" t="n">
        <v/>
      </c>
      <c r="K5250" s="4" t="inlineStr">
        <is>
          <t>Stundensätze eingeben</t>
        </is>
      </c>
    </row>
    <row r="5251">
      <c r="A5251" s="4" t="inlineStr">
        <is>
          <t>7556 Stadt-Bottrop-AHO-NB-Feuerwache-Josef-Albers-Str-Bottrop</t>
        </is>
      </c>
      <c r="B5251" s="4" t="inlineStr">
        <is>
          <t>● • (p) LP 9</t>
        </is>
      </c>
      <c r="C5251" s="4" t="inlineStr">
        <is>
          <t>Pauschale</t>
        </is>
      </c>
      <c r="D5251" s="10" t="inlineStr">
        <is>
          <t>⚠ Manual erforderlich</t>
        </is>
      </c>
      <c r="E5251" s="11" t="inlineStr"/>
      <c r="F5251" s="11" t="n">
        <v>0</v>
      </c>
      <c r="G5251" s="11">
        <f>E5251-F5251</f>
        <v/>
      </c>
      <c r="H5251" s="11" t="n">
        <v/>
      </c>
      <c r="I5251" s="11" t="n">
        <v/>
      </c>
      <c r="J5251" s="11" t="n">
        <v/>
      </c>
      <c r="K5251" s="4" t="inlineStr">
        <is>
          <t>Stundensätze eingeben</t>
        </is>
      </c>
    </row>
    <row r="5252">
      <c r="A5252" s="4" t="inlineStr">
        <is>
          <t>7557 Bauer-BTB-Bayerwaldstr6+8-Geretsried</t>
        </is>
      </c>
      <c r="B5252" s="4" t="inlineStr">
        <is>
          <t>● ANG</t>
        </is>
      </c>
      <c r="C5252" s="9" t="inlineStr">
        <is>
          <t>Unbekannt</t>
        </is>
      </c>
      <c r="D5252" s="10" t="inlineStr">
        <is>
          <t>⚠ Manual erforderlich</t>
        </is>
      </c>
      <c r="E5252" s="11" t="inlineStr"/>
      <c r="F5252" s="11" t="n">
        <v>0</v>
      </c>
      <c r="G5252" s="11">
        <f>E5252-F5252</f>
        <v/>
      </c>
      <c r="H5252" s="11" t="n">
        <v/>
      </c>
      <c r="I5252" s="11" t="n">
        <v/>
      </c>
      <c r="J5252" s="11" t="n">
        <v/>
      </c>
      <c r="K5252" s="4" t="inlineStr">
        <is>
          <t>Abrechnungsart wählen; Stundensätze eingeben</t>
        </is>
      </c>
    </row>
    <row r="5253">
      <c r="A5253" s="4" t="inlineStr">
        <is>
          <t>7558 Synthomer-PLA-Paul-Baumann-Str1-Marl</t>
        </is>
      </c>
      <c r="B5253" s="4" t="inlineStr">
        <is>
          <t>● ANG-PLA-001-2025-07-28-Synthomer-Marl</t>
        </is>
      </c>
      <c r="C5253" s="9" t="inlineStr">
        <is>
          <t>Unbekannt</t>
        </is>
      </c>
      <c r="D5253" s="10" t="inlineStr">
        <is>
          <t>⚠ Manual erforderlich</t>
        </is>
      </c>
      <c r="E5253" s="11" t="inlineStr"/>
      <c r="F5253" s="11" t="n">
        <v>0</v>
      </c>
      <c r="G5253" s="11">
        <f>E5253-F5253</f>
        <v/>
      </c>
      <c r="H5253" s="11" t="n">
        <v/>
      </c>
      <c r="I5253" s="11" t="n">
        <v/>
      </c>
      <c r="J5253" s="11" t="n">
        <v/>
      </c>
      <c r="K5253" s="4" t="inlineStr">
        <is>
          <t>Abrechnungsart wählen; Stundensätze eingeben</t>
        </is>
      </c>
    </row>
    <row r="5254">
      <c r="A5254" s="4" t="inlineStr">
        <is>
          <t>7559 Saarpflege-BSH-Intensivpflege-WG-SprengerStr19-Püttlingen</t>
        </is>
      </c>
      <c r="B5254" s="4" t="inlineStr">
        <is>
          <t>● (p) Pos. 1 Brandschutzschulung (Theorie) für Brandschutzhelfer + Feuerlöschtraining</t>
        </is>
      </c>
      <c r="C5254" s="4" t="inlineStr">
        <is>
          <t>Pauschale</t>
        </is>
      </c>
      <c r="D5254" s="10" t="inlineStr">
        <is>
          <t>⚠ Manual erforderlich</t>
        </is>
      </c>
      <c r="E5254" s="11" t="inlineStr"/>
      <c r="F5254" s="11" t="n">
        <v>0</v>
      </c>
      <c r="G5254" s="11">
        <f>E5254-F5254</f>
        <v/>
      </c>
      <c r="H5254" s="11" t="n">
        <v>0</v>
      </c>
      <c r="I5254" s="11" t="n">
        <v>0</v>
      </c>
      <c r="J5254" s="11" t="n">
        <v>0</v>
      </c>
      <c r="K5254" s="4" t="inlineStr">
        <is>
          <t>Stundensätze eingeben</t>
        </is>
      </c>
    </row>
    <row r="5255">
      <c r="A5255" s="4" t="inlineStr">
        <is>
          <t>7560 BSK-Limburger-Straße-53-Idstein-Astro-Automaten</t>
        </is>
      </c>
      <c r="B5255" s="4" t="inlineStr">
        <is>
          <t>● (p) Pos.1 Erstellung BSK zur Legalisierung der bestehenden Spielstätte. Die übrigen Gebäudeteile werden nicht betrachtet</t>
        </is>
      </c>
      <c r="C5255" s="4" t="inlineStr">
        <is>
          <t>Pauschale</t>
        </is>
      </c>
      <c r="D5255" s="10" t="inlineStr">
        <is>
          <t>⚠ Manual erforderlich</t>
        </is>
      </c>
      <c r="E5255" s="11" t="inlineStr"/>
      <c r="F5255" s="11" t="n">
        <v>0</v>
      </c>
      <c r="G5255" s="11">
        <f>E5255-F5255</f>
        <v/>
      </c>
      <c r="H5255" s="11" t="n">
        <v>0</v>
      </c>
      <c r="I5255" s="11" t="n">
        <v>0</v>
      </c>
      <c r="J5255" s="11" t="n">
        <v>0</v>
      </c>
      <c r="K5255" s="4" t="inlineStr">
        <is>
          <t>Stundensätze eingeben</t>
        </is>
      </c>
    </row>
    <row r="5256">
      <c r="A5256" s="4" t="inlineStr">
        <is>
          <t>7560 BSK-Limburger-Straße-53-Idstein-Astro-Automaten</t>
        </is>
      </c>
      <c r="B5256" s="4" t="inlineStr">
        <is>
          <t>● (aN) Pos.2 BAB</t>
        </is>
      </c>
      <c r="C5256" s="4" t="inlineStr">
        <is>
          <t>Nachweis</t>
        </is>
      </c>
      <c r="D5256" s="10" t="inlineStr">
        <is>
          <t>⚠ Manual erforderlich</t>
        </is>
      </c>
      <c r="E5256" s="11" t="inlineStr"/>
      <c r="F5256" s="11" t="n">
        <v>0</v>
      </c>
      <c r="G5256" s="11">
        <f>E5256-F5256</f>
        <v/>
      </c>
      <c r="H5256" s="11" t="n">
        <v/>
      </c>
      <c r="I5256" s="11" t="n">
        <v/>
      </c>
      <c r="J5256" s="11" t="n">
        <v/>
      </c>
      <c r="K5256" s="4" t="inlineStr">
        <is>
          <t>Stundensätze eingeben</t>
        </is>
      </c>
    </row>
    <row r="5257">
      <c r="A5257" s="4" t="inlineStr">
        <is>
          <t>7561 BSK-Wiesbadener-Straße-173-Königstein-Astro-Automaten</t>
        </is>
      </c>
      <c r="B5257" s="4" t="inlineStr">
        <is>
          <t>● (p) Pos.1 Erstellung BSK</t>
        </is>
      </c>
      <c r="C5257" s="4" t="inlineStr">
        <is>
          <t>Pauschale</t>
        </is>
      </c>
      <c r="D5257" s="10" t="inlineStr">
        <is>
          <t>⚠ Manual erforderlich</t>
        </is>
      </c>
      <c r="E5257" s="11" t="inlineStr"/>
      <c r="F5257" s="11" t="n">
        <v>0</v>
      </c>
      <c r="G5257" s="11">
        <f>E5257-F5257</f>
        <v/>
      </c>
      <c r="H5257" s="11" t="n">
        <v>0</v>
      </c>
      <c r="I5257" s="11" t="n">
        <v>0</v>
      </c>
      <c r="J5257" s="11" t="n">
        <v>0</v>
      </c>
      <c r="K5257" s="4" t="inlineStr">
        <is>
          <t>Stundensätze eingeben</t>
        </is>
      </c>
    </row>
    <row r="5258">
      <c r="A5258" s="4" t="inlineStr">
        <is>
          <t>7561 BSK-Wiesbadener-Straße-173-Königstein-Astro-Automaten</t>
        </is>
      </c>
      <c r="B5258" s="4" t="inlineStr">
        <is>
          <t>● (aN) Pos.2 BAB</t>
        </is>
      </c>
      <c r="C5258" s="4" t="inlineStr">
        <is>
          <t>Nachweis</t>
        </is>
      </c>
      <c r="D5258" s="10" t="inlineStr">
        <is>
          <t>⚠ Manual erforderlich</t>
        </is>
      </c>
      <c r="E5258" s="11" t="inlineStr"/>
      <c r="F5258" s="11" t="n">
        <v>0</v>
      </c>
      <c r="G5258" s="11">
        <f>E5258-F5258</f>
        <v/>
      </c>
      <c r="H5258" s="11" t="n">
        <v/>
      </c>
      <c r="I5258" s="11" t="n">
        <v/>
      </c>
      <c r="J5258" s="11" t="n">
        <v/>
      </c>
      <c r="K5258" s="4" t="inlineStr">
        <is>
          <t>Stundensätze eingeben</t>
        </is>
      </c>
    </row>
    <row r="5259">
      <c r="A5259" s="4" t="inlineStr">
        <is>
          <t>7562 LW-BSK-Brauereistraße-Plankstadt-Areal2-Aufbereitungshalle</t>
        </is>
      </c>
      <c r="B5259" s="4" t="inlineStr">
        <is>
          <t>● (p) Pos.1 Erstellen BSK</t>
        </is>
      </c>
      <c r="C5259" s="4" t="inlineStr">
        <is>
          <t>Pauschale</t>
        </is>
      </c>
      <c r="D5259" s="10" t="inlineStr">
        <is>
          <t>⚠ Manual erforderlich</t>
        </is>
      </c>
      <c r="E5259" s="11" t="inlineStr"/>
      <c r="F5259" s="11" t="n">
        <v>0</v>
      </c>
      <c r="G5259" s="11">
        <f>E5259-F5259</f>
        <v/>
      </c>
      <c r="H5259" s="11" t="n">
        <v>0</v>
      </c>
      <c r="I5259" s="11" t="n">
        <v>0</v>
      </c>
      <c r="J5259" s="11" t="n">
        <v>0</v>
      </c>
      <c r="K5259" s="4" t="inlineStr">
        <is>
          <t>Stundensätze eingeben</t>
        </is>
      </c>
    </row>
    <row r="5260">
      <c r="A5260" s="4" t="inlineStr">
        <is>
          <t>7562 LW-BSK-Brauereistraße-Plankstadt-Areal2-Aufbereitungshalle</t>
        </is>
      </c>
      <c r="B5260" s="4" t="inlineStr">
        <is>
          <t>● (aN) Pos.2 Beratungsleistung</t>
        </is>
      </c>
      <c r="C5260" s="4" t="inlineStr">
        <is>
          <t>Nachweis</t>
        </is>
      </c>
      <c r="D5260" s="10" t="inlineStr">
        <is>
          <t>⚠ Manual erforderlich</t>
        </is>
      </c>
      <c r="E5260" s="11" t="inlineStr"/>
      <c r="F5260" s="11" t="n">
        <v>0</v>
      </c>
      <c r="G5260" s="11">
        <f>E5260-F5260</f>
        <v/>
      </c>
      <c r="H5260" s="11" t="n">
        <v/>
      </c>
      <c r="I5260" s="11" t="n">
        <v/>
      </c>
      <c r="J5260" s="11" t="n">
        <v/>
      </c>
      <c r="K5260" s="4" t="inlineStr">
        <is>
          <t>Stundensätze eingeben</t>
        </is>
      </c>
    </row>
    <row r="5261">
      <c r="A5261" s="4" t="inlineStr">
        <is>
          <t>7563 Hanse-Service-BSK-Dratelnstraße-18-Hamburg-Lagerhalle</t>
        </is>
      </c>
      <c r="B5261" s="4" t="inlineStr">
        <is>
          <t>● (p) Pos.1 BSK</t>
        </is>
      </c>
      <c r="C5261" s="4" t="inlineStr">
        <is>
          <t>Pauschale</t>
        </is>
      </c>
      <c r="D5261" s="10" t="inlineStr">
        <is>
          <t>⚠ Manual erforderlich</t>
        </is>
      </c>
      <c r="E5261" s="11" t="inlineStr"/>
      <c r="F5261" s="11" t="n">
        <v>0</v>
      </c>
      <c r="G5261" s="11">
        <f>E5261-F5261</f>
        <v/>
      </c>
      <c r="H5261" s="11" t="n">
        <v>0</v>
      </c>
      <c r="I5261" s="11" t="n">
        <v>0</v>
      </c>
      <c r="J5261" s="11" t="n">
        <v>0</v>
      </c>
      <c r="K5261" s="4" t="inlineStr">
        <is>
          <t>Stundensätze eingeben</t>
        </is>
      </c>
    </row>
    <row r="5262">
      <c r="A5262" s="4" t="inlineStr">
        <is>
          <t>7570.01 Sinn-BSH-Louisenstraße-86-90-Bad-Homburg-Hompageanmeldung</t>
        </is>
      </c>
      <c r="B5262" s="4" t="inlineStr">
        <is>
          <t>● (p) BSH für 4 Pers. à 120€/Pers.</t>
        </is>
      </c>
      <c r="C5262" s="4" t="inlineStr">
        <is>
          <t>Pauschale</t>
        </is>
      </c>
      <c r="D5262" s="10" t="inlineStr">
        <is>
          <t>⚠ Manual erforderlich</t>
        </is>
      </c>
      <c r="E5262" s="11" t="inlineStr"/>
      <c r="F5262" s="11" t="n">
        <v>0</v>
      </c>
      <c r="G5262" s="11">
        <f>E5262-F5262</f>
        <v/>
      </c>
      <c r="H5262" s="11" t="n">
        <v>0</v>
      </c>
      <c r="I5262" s="11" t="n">
        <v>0</v>
      </c>
      <c r="J5262" s="11" t="n">
        <v>0</v>
      </c>
      <c r="K5262" s="4" t="inlineStr">
        <is>
          <t>Stundensätze eingeben</t>
        </is>
      </c>
    </row>
    <row r="5263">
      <c r="A5263" s="4" t="inlineStr">
        <is>
          <t>7570.02 Lebenslust-BSH-Michaelkirchplatz-1-2-Berlin-HJompageanmeldung</t>
        </is>
      </c>
      <c r="B5263" s="4" t="inlineStr">
        <is>
          <t>● (p) BSH 3 Pers.</t>
        </is>
      </c>
      <c r="C5263" s="4" t="inlineStr">
        <is>
          <t>Pauschale</t>
        </is>
      </c>
      <c r="D5263" s="10" t="inlineStr">
        <is>
          <t>⚠ Manual erforderlich</t>
        </is>
      </c>
      <c r="E5263" s="11" t="inlineStr"/>
      <c r="F5263" s="11" t="n">
        <v>0</v>
      </c>
      <c r="G5263" s="11">
        <f>E5263-F5263</f>
        <v/>
      </c>
      <c r="H5263" s="11" t="n">
        <v>0</v>
      </c>
      <c r="I5263" s="11" t="n">
        <v>0</v>
      </c>
      <c r="J5263" s="11" t="n">
        <v>0</v>
      </c>
      <c r="K5263" s="4" t="inlineStr">
        <is>
          <t>Stundensätze eingeben</t>
        </is>
      </c>
    </row>
    <row r="5264">
      <c r="A5264" s="4" t="inlineStr">
        <is>
          <t>7600 Altus-Dummy-für-Unterprojekte</t>
        </is>
      </c>
      <c r="B5264" s="4" t="inlineStr">
        <is>
          <t>● (p) Pos. 1 BSK</t>
        </is>
      </c>
      <c r="C5264" s="4" t="inlineStr">
        <is>
          <t>Pauschale</t>
        </is>
      </c>
      <c r="D5264" s="10" t="inlineStr">
        <is>
          <t>⚠ Manual erforderlich</t>
        </is>
      </c>
      <c r="E5264" s="11" t="inlineStr"/>
      <c r="F5264" s="11" t="n">
        <v>0</v>
      </c>
      <c r="G5264" s="11">
        <f>E5264-F5264</f>
        <v/>
      </c>
      <c r="H5264" s="11" t="n">
        <v/>
      </c>
      <c r="I5264" s="11" t="n">
        <v/>
      </c>
      <c r="J5264" s="11" t="n">
        <v/>
      </c>
      <c r="K5264" s="4" t="inlineStr">
        <is>
          <t>Stundensätze eingeben</t>
        </is>
      </c>
    </row>
    <row r="5265">
      <c r="A5265" s="4" t="inlineStr">
        <is>
          <t>7600 Altus-Dummy-für-Unterprojekte</t>
        </is>
      </c>
      <c r="B5265" s="4" t="inlineStr">
        <is>
          <t>● (p) Pos. 2 FWP</t>
        </is>
      </c>
      <c r="C5265" s="4" t="inlineStr">
        <is>
          <t>Pauschale</t>
        </is>
      </c>
      <c r="D5265" s="10" t="inlineStr">
        <is>
          <t>⚠ Manual erforderlich</t>
        </is>
      </c>
      <c r="E5265" s="11" t="inlineStr"/>
      <c r="F5265" s="11" t="n">
        <v>0</v>
      </c>
      <c r="G5265" s="11">
        <f>E5265-F5265</f>
        <v/>
      </c>
      <c r="H5265" s="11" t="n">
        <v/>
      </c>
      <c r="I5265" s="11" t="n">
        <v/>
      </c>
      <c r="J5265" s="11" t="n">
        <v/>
      </c>
      <c r="K5265" s="4" t="inlineStr">
        <is>
          <t>Stundensätze eingeben</t>
        </is>
      </c>
    </row>
    <row r="5266">
      <c r="A5266" s="4" t="inlineStr">
        <is>
          <t>7601 Klink-FWP-Industriestr44-Waldmohr</t>
        </is>
      </c>
      <c r="B5266" s="4" t="inlineStr">
        <is>
          <t>● • (p) Pos. 1 Fertigstellung der Feuerwehrpläne Hotel Amerika (CAD)</t>
        </is>
      </c>
      <c r="C5266" s="4" t="inlineStr">
        <is>
          <t>Pauschale</t>
        </is>
      </c>
      <c r="D5266" s="10" t="inlineStr">
        <is>
          <t>⚠ Manual erforderlich</t>
        </is>
      </c>
      <c r="E5266" s="11" t="inlineStr"/>
      <c r="F5266" s="11" t="n">
        <v>0</v>
      </c>
      <c r="G5266" s="11">
        <f>E5266-F5266</f>
        <v/>
      </c>
      <c r="H5266" s="11" t="n">
        <v>0</v>
      </c>
      <c r="I5266" s="11" t="n">
        <v>0</v>
      </c>
      <c r="J5266" s="11" t="n">
        <v>0</v>
      </c>
      <c r="K5266" s="4" t="inlineStr">
        <is>
          <t>Stundensätze eingeben</t>
        </is>
      </c>
    </row>
    <row r="5267">
      <c r="A5267" s="4" t="inlineStr">
        <is>
          <t>7601 Klink-FWP-Industriestr44-Waldmohr</t>
        </is>
      </c>
      <c r="B5267" s="4" t="inlineStr">
        <is>
          <t>● • (p) Pos. 2 Fertigstellung der Feuerwehrpläne Hotel Europa</t>
        </is>
      </c>
      <c r="C5267" s="4" t="inlineStr">
        <is>
          <t>Pauschale</t>
        </is>
      </c>
      <c r="D5267" s="10" t="inlineStr">
        <is>
          <t>⚠ Manual erforderlich</t>
        </is>
      </c>
      <c r="E5267" s="11" t="inlineStr"/>
      <c r="F5267" s="11" t="n">
        <v>0</v>
      </c>
      <c r="G5267" s="11">
        <f>E5267-F5267</f>
        <v/>
      </c>
      <c r="H5267" s="11" t="n">
        <v>0</v>
      </c>
      <c r="I5267" s="11" t="n">
        <v>0</v>
      </c>
      <c r="J5267" s="11" t="n">
        <v>0</v>
      </c>
      <c r="K5267" s="4" t="inlineStr">
        <is>
          <t>Stundensätze eingeben</t>
        </is>
      </c>
    </row>
    <row r="5268">
      <c r="A5268" s="4" t="inlineStr">
        <is>
          <t>7601 Klink-FWP-Industriestr44-Waldmohr</t>
        </is>
      </c>
      <c r="B5268" s="4" t="inlineStr">
        <is>
          <t>● • (p) Pos. 3 Fertigstellung der Feuerwehrpläne SW Immobilien Pirmasens</t>
        </is>
      </c>
      <c r="C5268" s="4" t="inlineStr">
        <is>
          <t>Pauschale</t>
        </is>
      </c>
      <c r="D5268" s="10" t="inlineStr">
        <is>
          <t>⚠ Manual erforderlich</t>
        </is>
      </c>
      <c r="E5268" s="11" t="inlineStr"/>
      <c r="F5268" s="11" t="n">
        <v>0</v>
      </c>
      <c r="G5268" s="11">
        <f>E5268-F5268</f>
        <v/>
      </c>
      <c r="H5268" s="11" t="n">
        <v>0</v>
      </c>
      <c r="I5268" s="11" t="n">
        <v>0</v>
      </c>
      <c r="J5268" s="11" t="n">
        <v>0</v>
      </c>
      <c r="K5268" s="4" t="inlineStr">
        <is>
          <t>Stundensätze eingeben</t>
        </is>
      </c>
    </row>
    <row r="5269">
      <c r="A5269" s="4" t="inlineStr">
        <is>
          <t>7601 Klink-FWP-Industriestr44-Waldmohr</t>
        </is>
      </c>
      <c r="B5269" s="4" t="inlineStr">
        <is>
          <t>● • (p) Pos. 4 Erstellung eines Sonderfeuerwehrplans - PV Anlage</t>
        </is>
      </c>
      <c r="C5269" s="4" t="inlineStr">
        <is>
          <t>Pauschale</t>
        </is>
      </c>
      <c r="D5269" s="10" t="inlineStr">
        <is>
          <t>⚠ Manual erforderlich</t>
        </is>
      </c>
      <c r="E5269" s="11" t="inlineStr"/>
      <c r="F5269" s="11" t="n">
        <v>0</v>
      </c>
      <c r="G5269" s="11">
        <f>E5269-F5269</f>
        <v/>
      </c>
      <c r="H5269" s="11" t="n">
        <v>0</v>
      </c>
      <c r="I5269" s="11" t="n">
        <v>0</v>
      </c>
      <c r="J5269" s="11" t="n">
        <v>0</v>
      </c>
      <c r="K5269" s="4" t="inlineStr">
        <is>
          <t>Stundensätze eingeben</t>
        </is>
      </c>
    </row>
    <row r="5270">
      <c r="A5270" s="4" t="inlineStr">
        <is>
          <t>7601 Klink-FWP-Industriestr44-Waldmohr</t>
        </is>
      </c>
      <c r="B5270" s="4" t="inlineStr">
        <is>
          <t>● • (p) Pos. 5 Feuerwehrlaufkarten Kursana Kaiserslautern</t>
        </is>
      </c>
      <c r="C5270" s="4" t="inlineStr">
        <is>
          <t>Pauschale</t>
        </is>
      </c>
      <c r="D5270" s="10" t="inlineStr">
        <is>
          <t>⚠ Manual erforderlich</t>
        </is>
      </c>
      <c r="E5270" s="11" t="inlineStr"/>
      <c r="F5270" s="11" t="n">
        <v>0</v>
      </c>
      <c r="G5270" s="11">
        <f>E5270-F5270</f>
        <v/>
      </c>
      <c r="H5270" s="11" t="n">
        <v>0</v>
      </c>
      <c r="I5270" s="11" t="n">
        <v>0</v>
      </c>
      <c r="J5270" s="11" t="n">
        <v>0</v>
      </c>
      <c r="K5270" s="4" t="inlineStr">
        <is>
          <t>Stundensätze eingeben</t>
        </is>
      </c>
    </row>
    <row r="5271">
      <c r="A5271" s="4" t="inlineStr">
        <is>
          <t>7601 Klink-FWP-Industriestr44-Waldmohr</t>
        </is>
      </c>
      <c r="B5271" s="4" t="inlineStr">
        <is>
          <t>● • (p) Pos. 6 Feuerwehrpläne Kursana Kaiserslautern</t>
        </is>
      </c>
      <c r="C5271" s="4" t="inlineStr">
        <is>
          <t>Pauschale</t>
        </is>
      </c>
      <c r="D5271" s="10" t="inlineStr">
        <is>
          <t>⚠ Manual erforderlich</t>
        </is>
      </c>
      <c r="E5271" s="11" t="inlineStr"/>
      <c r="F5271" s="11" t="n">
        <v>0</v>
      </c>
      <c r="G5271" s="11">
        <f>E5271-F5271</f>
        <v/>
      </c>
      <c r="H5271" s="11" t="n">
        <v>0</v>
      </c>
      <c r="I5271" s="11" t="n">
        <v>0</v>
      </c>
      <c r="J5271" s="11" t="n">
        <v>0</v>
      </c>
      <c r="K5271" s="4" t="inlineStr">
        <is>
          <t>Stundensätze eingeben</t>
        </is>
      </c>
    </row>
    <row r="5272">
      <c r="A5272" s="4" t="inlineStr">
        <is>
          <t>7602 1100-Architekten-MBS-Cafeteria-US-Wohngeb-Bundesbank-FFM</t>
        </is>
      </c>
      <c r="B5272" s="4" t="inlineStr">
        <is>
          <t>● • (p) Pos. 1 Erstellung Eckdatenkonzept</t>
        </is>
      </c>
      <c r="C5272" s="4" t="inlineStr">
        <is>
          <t>Pauschale</t>
        </is>
      </c>
      <c r="D5272" s="10" t="inlineStr">
        <is>
          <t>⚠ Manual erforderlich</t>
        </is>
      </c>
      <c r="E5272" s="11" t="inlineStr"/>
      <c r="F5272" s="11" t="n">
        <v>0</v>
      </c>
      <c r="G5272" s="11">
        <f>E5272-F5272</f>
        <v/>
      </c>
      <c r="H5272" s="11" t="n">
        <v>0</v>
      </c>
      <c r="I5272" s="11" t="n">
        <v>0</v>
      </c>
      <c r="J5272" s="11" t="n">
        <v>0</v>
      </c>
      <c r="K5272" s="4" t="inlineStr">
        <is>
          <t>Stundensätze eingeben</t>
        </is>
      </c>
    </row>
    <row r="5273">
      <c r="A5273" s="4" t="inlineStr">
        <is>
          <t>7603 Hundhausen-FWP-Justus-von-Liebig-Str-27-Achim</t>
        </is>
      </c>
      <c r="B5273" s="4" t="inlineStr">
        <is>
          <t>● • (p) Pos. 1 Feuerwehrpläne</t>
        </is>
      </c>
      <c r="C5273" s="4" t="inlineStr">
        <is>
          <t>Pauschale</t>
        </is>
      </c>
      <c r="D5273" s="10" t="inlineStr">
        <is>
          <t>⚠ Manual erforderlich</t>
        </is>
      </c>
      <c r="E5273" s="11" t="inlineStr"/>
      <c r="F5273" s="11" t="n">
        <v>0</v>
      </c>
      <c r="G5273" s="11">
        <f>E5273-F5273</f>
        <v/>
      </c>
      <c r="H5273" s="11" t="n">
        <v>0</v>
      </c>
      <c r="I5273" s="11" t="n">
        <v>0</v>
      </c>
      <c r="J5273" s="11" t="n">
        <v>0</v>
      </c>
      <c r="K5273" s="4" t="inlineStr">
        <is>
          <t>Stundensätze eingeben</t>
        </is>
      </c>
    </row>
    <row r="5274">
      <c r="A5274" s="4" t="inlineStr">
        <is>
          <t>7603 Hundhausen-FWP-Justus-von-Liebig-Str-27-Achim</t>
        </is>
      </c>
      <c r="B5274" s="4" t="inlineStr">
        <is>
          <t>● • (p) Pos. 2 Flucht- und Rettungspläne</t>
        </is>
      </c>
      <c r="C5274" s="4" t="inlineStr">
        <is>
          <t>Pauschale</t>
        </is>
      </c>
      <c r="D5274" s="10" t="inlineStr">
        <is>
          <t>⚠ Manual erforderlich</t>
        </is>
      </c>
      <c r="E5274" s="11" t="inlineStr"/>
      <c r="F5274" s="11" t="n">
        <v>0</v>
      </c>
      <c r="G5274" s="11">
        <f>E5274-F5274</f>
        <v/>
      </c>
      <c r="H5274" s="11" t="n">
        <v>0</v>
      </c>
      <c r="I5274" s="11" t="n">
        <v>0</v>
      </c>
      <c r="J5274" s="11" t="n">
        <v>0</v>
      </c>
      <c r="K5274" s="4" t="inlineStr">
        <is>
          <t>Stundensätze eingeben</t>
        </is>
      </c>
    </row>
    <row r="5275">
      <c r="A5275" s="4" t="inlineStr">
        <is>
          <t>7604 Lakeward-AHO-Rise-Räpplenstr19-Stuttgart</t>
        </is>
      </c>
      <c r="B5275" s="4" t="inlineStr">
        <is>
          <t>● • (p) 1.1 Brandschutzkonzept LP 2-4</t>
        </is>
      </c>
      <c r="C5275" s="4" t="inlineStr">
        <is>
          <t>Pauschale</t>
        </is>
      </c>
      <c r="D5275" s="10" t="inlineStr">
        <is>
          <t>⚠ Manual erforderlich</t>
        </is>
      </c>
      <c r="E5275" s="11" t="inlineStr"/>
      <c r="F5275" s="11" t="n">
        <v>0</v>
      </c>
      <c r="G5275" s="11">
        <f>E5275-F5275</f>
        <v/>
      </c>
      <c r="H5275" s="11" t="n">
        <v>0</v>
      </c>
      <c r="I5275" s="11" t="n">
        <v>0</v>
      </c>
      <c r="J5275" s="11" t="n">
        <v>0</v>
      </c>
      <c r="K5275" s="4" t="inlineStr">
        <is>
          <t>Stundensätze eingeben</t>
        </is>
      </c>
    </row>
    <row r="5276">
      <c r="A5276" s="4" t="inlineStr">
        <is>
          <t>7605 PE-Hellerhöfe-PHP-Gallusviertel-FFM</t>
        </is>
      </c>
      <c r="B5276" s="4" t="inlineStr">
        <is>
          <t>● (p) Pos. 1 Prüfung +Bescheinigung d. Nachweis d. vorbeugenden Brandschutzes (SV)</t>
        </is>
      </c>
      <c r="C5276" s="4" t="inlineStr">
        <is>
          <t>Pauschale</t>
        </is>
      </c>
      <c r="D5276" s="10" t="inlineStr">
        <is>
          <t>⚠ Manual erforderlich</t>
        </is>
      </c>
      <c r="E5276" s="11" t="inlineStr"/>
      <c r="F5276" s="11" t="n">
        <v>0</v>
      </c>
      <c r="G5276" s="11">
        <f>E5276-F5276</f>
        <v/>
      </c>
      <c r="H5276" s="11" t="n">
        <v/>
      </c>
      <c r="I5276" s="11" t="n">
        <v/>
      </c>
      <c r="J5276" s="11" t="n">
        <v/>
      </c>
      <c r="K5276" s="4" t="inlineStr">
        <is>
          <t>Stundensätze eingeben</t>
        </is>
      </c>
    </row>
    <row r="5277">
      <c r="A5277" s="4" t="inlineStr">
        <is>
          <t>7605 PE-Hellerhöfe-PHP-Gallusviertel-FFM</t>
        </is>
      </c>
      <c r="B5277" s="4" t="inlineStr">
        <is>
          <t>● (p) Pos. 2 Überwachung und Bescheinigung der übereinstimmenden Bauausführung (SV)</t>
        </is>
      </c>
      <c r="C5277" s="4" t="inlineStr">
        <is>
          <t>Pauschale</t>
        </is>
      </c>
      <c r="D5277" s="10" t="inlineStr">
        <is>
          <t>⚠ Manual erforderlich</t>
        </is>
      </c>
      <c r="E5277" s="11" t="inlineStr"/>
      <c r="F5277" s="11" t="n">
        <v>0</v>
      </c>
      <c r="G5277" s="11">
        <f>E5277-F5277</f>
        <v/>
      </c>
      <c r="H5277" s="11" t="n">
        <v>0</v>
      </c>
      <c r="I5277" s="11" t="n">
        <v>0</v>
      </c>
      <c r="J5277" s="11" t="n">
        <v>0</v>
      </c>
      <c r="K5277" s="4" t="inlineStr">
        <is>
          <t>Stundensätze eingeben</t>
        </is>
      </c>
    </row>
    <row r="5278">
      <c r="A5278" s="4" t="inlineStr">
        <is>
          <t>7605 PE-Hellerhöfe-PHP-Gallusviertel-FFM</t>
        </is>
      </c>
      <c r="B5278" s="4" t="inlineStr">
        <is>
          <t>● ADM (nicht abrechenbar)</t>
        </is>
      </c>
      <c r="C5278" s="9" t="inlineStr">
        <is>
          <t>Unbekannt</t>
        </is>
      </c>
      <c r="D5278" s="10" t="inlineStr">
        <is>
          <t>⚠ Manual erforderlich</t>
        </is>
      </c>
      <c r="E5278" s="11" t="inlineStr"/>
      <c r="F5278" s="11" t="n">
        <v>0</v>
      </c>
      <c r="G5278" s="11">
        <f>E5278-F5278</f>
        <v/>
      </c>
      <c r="H5278" s="11" t="n">
        <v/>
      </c>
      <c r="I5278" s="11" t="n">
        <v/>
      </c>
      <c r="J5278" s="11" t="n">
        <v/>
      </c>
      <c r="K5278" s="4" t="inlineStr">
        <is>
          <t>Abrechnungsart wählen; Stundensätze eingeben</t>
        </is>
      </c>
    </row>
    <row r="5279">
      <c r="A5279" s="4" t="inlineStr">
        <is>
          <t>7606 RIZ-BSK-Badstr22A-Offenburg</t>
        </is>
      </c>
      <c r="B5279" s="4" t="inlineStr">
        <is>
          <t>● • (p) Pos. 1 Erstellung Brandschutzkonzept</t>
        </is>
      </c>
      <c r="C5279" s="4" t="inlineStr">
        <is>
          <t>Pauschale</t>
        </is>
      </c>
      <c r="D5279" s="10" t="inlineStr">
        <is>
          <t>⚠ Manual erforderlich</t>
        </is>
      </c>
      <c r="E5279" s="11" t="inlineStr"/>
      <c r="F5279" s="11" t="n">
        <v>0</v>
      </c>
      <c r="G5279" s="11">
        <f>E5279-F5279</f>
        <v/>
      </c>
      <c r="H5279" s="11" t="n">
        <v>0</v>
      </c>
      <c r="I5279" s="11" t="n">
        <v>0</v>
      </c>
      <c r="J5279" s="11" t="n">
        <v>0</v>
      </c>
      <c r="K5279" s="4" t="inlineStr">
        <is>
          <t>Stundensätze eingeben</t>
        </is>
      </c>
    </row>
    <row r="5280">
      <c r="A5280" s="4" t="inlineStr">
        <is>
          <t>7607 LAER-Garagenpark-Möchengladbach</t>
        </is>
      </c>
      <c r="B5280" s="4" t="inlineStr">
        <is>
          <t>● (p) Pos. 1 Erstellung Brandschutzkonzept</t>
        </is>
      </c>
      <c r="C5280" s="4" t="inlineStr">
        <is>
          <t>Pauschale</t>
        </is>
      </c>
      <c r="D5280" s="10" t="inlineStr">
        <is>
          <t>⚠ Manual erforderlich</t>
        </is>
      </c>
      <c r="E5280" s="11" t="inlineStr"/>
      <c r="F5280" s="11" t="n">
        <v>0</v>
      </c>
      <c r="G5280" s="11">
        <f>E5280-F5280</f>
        <v/>
      </c>
      <c r="H5280" s="11" t="n">
        <v>0</v>
      </c>
      <c r="I5280" s="11" t="n">
        <v>0</v>
      </c>
      <c r="J5280" s="11" t="n">
        <v>0</v>
      </c>
      <c r="K5280" s="4" t="inlineStr">
        <is>
          <t>Stundensätze eingeben</t>
        </is>
      </c>
    </row>
    <row r="5281">
      <c r="A5281" s="4" t="inlineStr">
        <is>
          <t>7608 Ratisbona-AHO-BSK-RheinsbergerStr2-Lindow</t>
        </is>
      </c>
      <c r="B5281" s="4" t="inlineStr">
        <is>
          <t>● • (p) 1.4 Bestandsbegehung (SV)</t>
        </is>
      </c>
      <c r="C5281" s="4" t="inlineStr">
        <is>
          <t>Pauschale</t>
        </is>
      </c>
      <c r="D5281" s="10" t="inlineStr">
        <is>
          <t>⚠ Manual erforderlich</t>
        </is>
      </c>
      <c r="E5281" s="11" t="inlineStr"/>
      <c r="F5281" s="11" t="n">
        <v>0</v>
      </c>
      <c r="G5281" s="11">
        <f>E5281-F5281</f>
        <v/>
      </c>
      <c r="H5281" s="11" t="n">
        <v>0</v>
      </c>
      <c r="I5281" s="11" t="n">
        <v>0</v>
      </c>
      <c r="J5281" s="11" t="n">
        <v>0</v>
      </c>
      <c r="K5281" s="4" t="inlineStr">
        <is>
          <t>Stundensätze eingeben</t>
        </is>
      </c>
    </row>
    <row r="5282">
      <c r="A5282" s="4" t="inlineStr">
        <is>
          <t>7608 Ratisbona-AHO-BSK-RheinsbergerStr2-Lindow</t>
        </is>
      </c>
      <c r="B5282" s="4" t="inlineStr">
        <is>
          <t>● • (p) Fahrtkostenpauschale optional</t>
        </is>
      </c>
      <c r="C5282" s="4" t="inlineStr">
        <is>
          <t>Pauschale</t>
        </is>
      </c>
      <c r="D5282" s="10" t="inlineStr">
        <is>
          <t>⚠ Manual erforderlich</t>
        </is>
      </c>
      <c r="E5282" s="11" t="inlineStr"/>
      <c r="F5282" s="11" t="n">
        <v>0</v>
      </c>
      <c r="G5282" s="11">
        <f>E5282-F5282</f>
        <v/>
      </c>
      <c r="H5282" s="11" t="n">
        <v/>
      </c>
      <c r="I5282" s="11" t="n">
        <v/>
      </c>
      <c r="J5282" s="11" t="n">
        <v/>
      </c>
      <c r="K5282" s="4" t="inlineStr">
        <is>
          <t>Stundensätze eingeben</t>
        </is>
      </c>
    </row>
    <row r="5283">
      <c r="A5283" s="4" t="inlineStr">
        <is>
          <t>7609 Ratisbona-AHO-BSK-Neubau-Eichendorffstr1-Regenstauf</t>
        </is>
      </c>
      <c r="B5283" s="4" t="inlineStr">
        <is>
          <t>● • (p) 1.1 Brandschutzkonzept LP 1 bis 4</t>
        </is>
      </c>
      <c r="C5283" s="4" t="inlineStr">
        <is>
          <t>Pauschale</t>
        </is>
      </c>
      <c r="D5283" s="10" t="inlineStr">
        <is>
          <t>⚠ Manual erforderlich</t>
        </is>
      </c>
      <c r="E5283" s="11" t="inlineStr"/>
      <c r="F5283" s="11" t="n">
        <v>0</v>
      </c>
      <c r="G5283" s="11">
        <f>E5283-F5283</f>
        <v/>
      </c>
      <c r="H5283" s="11" t="n">
        <v>0</v>
      </c>
      <c r="I5283" s="11" t="n">
        <v>0</v>
      </c>
      <c r="J5283" s="11" t="n">
        <v>0</v>
      </c>
      <c r="K5283" s="4" t="inlineStr">
        <is>
          <t>Stundensätze eingeben</t>
        </is>
      </c>
    </row>
    <row r="5284">
      <c r="A5284" s="4" t="inlineStr">
        <is>
          <t>7609 Ratisbona-AHO-BSK-Neubau-Eichendorffstr1-Regenstauf</t>
        </is>
      </c>
      <c r="B5284" s="4" t="inlineStr">
        <is>
          <t>● • Fahrtkostenpauschale je Termin</t>
        </is>
      </c>
      <c r="C5284" s="9" t="inlineStr">
        <is>
          <t>Unbekannt</t>
        </is>
      </c>
      <c r="D5284" s="10" t="inlineStr">
        <is>
          <t>⚠ Manual erforderlich</t>
        </is>
      </c>
      <c r="E5284" s="11" t="inlineStr"/>
      <c r="F5284" s="11" t="n">
        <v>0</v>
      </c>
      <c r="G5284" s="11">
        <f>E5284-F5284</f>
        <v/>
      </c>
      <c r="H5284" s="11" t="n">
        <v/>
      </c>
      <c r="I5284" s="11" t="n">
        <v/>
      </c>
      <c r="J5284" s="11" t="n">
        <v/>
      </c>
      <c r="K5284" s="4" t="inlineStr">
        <is>
          <t>Abrechnungsart wählen; Stundensätze eingeben</t>
        </is>
      </c>
    </row>
    <row r="5285">
      <c r="A5285" s="4" t="inlineStr">
        <is>
          <t>7610 Ratisbona-AHO-BSK-Umbau-Eichendorffstr1-Regenstauf</t>
        </is>
      </c>
      <c r="B5285" s="4" t="inlineStr">
        <is>
          <t>● • (p) 1.1 Brandschutzkonzept LP 1 bis 4</t>
        </is>
      </c>
      <c r="C5285" s="4" t="inlineStr">
        <is>
          <t>Pauschale</t>
        </is>
      </c>
      <c r="D5285" s="10" t="inlineStr">
        <is>
          <t>⚠ Manual erforderlich</t>
        </is>
      </c>
      <c r="E5285" s="11" t="inlineStr"/>
      <c r="F5285" s="11" t="n">
        <v>0</v>
      </c>
      <c r="G5285" s="11">
        <f>E5285-F5285</f>
        <v/>
      </c>
      <c r="H5285" s="11" t="n">
        <v>0</v>
      </c>
      <c r="I5285" s="11" t="n">
        <v>0</v>
      </c>
      <c r="J5285" s="11" t="n">
        <v>0</v>
      </c>
      <c r="K5285" s="4" t="inlineStr">
        <is>
          <t>Stundensätze eingeben</t>
        </is>
      </c>
    </row>
    <row r="5286">
      <c r="A5286" s="4" t="inlineStr">
        <is>
          <t>7610 Ratisbona-AHO-BSK-Umbau-Eichendorffstr1-Regenstauf</t>
        </is>
      </c>
      <c r="B5286" s="4" t="inlineStr">
        <is>
          <t>● • (p) 1.2 Auswertung übergebene Bauakte</t>
        </is>
      </c>
      <c r="C5286" s="4" t="inlineStr">
        <is>
          <t>Pauschale</t>
        </is>
      </c>
      <c r="D5286" s="10" t="inlineStr">
        <is>
          <t>⚠ Manual erforderlich</t>
        </is>
      </c>
      <c r="E5286" s="11" t="inlineStr"/>
      <c r="F5286" s="11" t="n">
        <v>0</v>
      </c>
      <c r="G5286" s="11">
        <f>E5286-F5286</f>
        <v/>
      </c>
      <c r="H5286" s="11" t="n">
        <v>0</v>
      </c>
      <c r="I5286" s="11" t="n">
        <v>0</v>
      </c>
      <c r="J5286" s="11" t="n">
        <v>0</v>
      </c>
      <c r="K5286" s="4" t="inlineStr">
        <is>
          <t>Stundensätze eingeben</t>
        </is>
      </c>
    </row>
    <row r="5287">
      <c r="A5287" s="4" t="inlineStr">
        <is>
          <t>7610 Ratisbona-AHO-BSK-Umbau-Eichendorffstr1-Regenstauf</t>
        </is>
      </c>
      <c r="B5287" s="4" t="inlineStr">
        <is>
          <t>● • Fahrtkostenpauschale je Termin</t>
        </is>
      </c>
      <c r="C5287" s="9" t="inlineStr">
        <is>
          <t>Unbekannt</t>
        </is>
      </c>
      <c r="D5287" s="10" t="inlineStr">
        <is>
          <t>⚠ Manual erforderlich</t>
        </is>
      </c>
      <c r="E5287" s="11" t="inlineStr"/>
      <c r="F5287" s="11" t="n">
        <v>0</v>
      </c>
      <c r="G5287" s="11">
        <f>E5287-F5287</f>
        <v/>
      </c>
      <c r="H5287" s="11" t="n">
        <v/>
      </c>
      <c r="I5287" s="11" t="n">
        <v/>
      </c>
      <c r="J5287" s="11" t="n">
        <v/>
      </c>
      <c r="K5287" s="4" t="inlineStr">
        <is>
          <t>Abrechnungsart wählen; Stundensätze eingeben</t>
        </is>
      </c>
    </row>
    <row r="5288">
      <c r="A5288" s="4" t="inlineStr">
        <is>
          <t>7611 Telcat-FRP-Lagerhalle-Veckenstädter-Weg10-Ilsenburg</t>
        </is>
      </c>
      <c r="B5288" s="4" t="inlineStr">
        <is>
          <t>● • 1.001 Flucht- und Rettungsplan DIN A3</t>
        </is>
      </c>
      <c r="C5288" s="9" t="inlineStr">
        <is>
          <t>Unbekannt</t>
        </is>
      </c>
      <c r="D5288" s="10" t="inlineStr">
        <is>
          <t>⚠ Manual erforderlich</t>
        </is>
      </c>
      <c r="E5288" s="11" t="inlineStr"/>
      <c r="F5288" s="11" t="n">
        <v>0</v>
      </c>
      <c r="G5288" s="11">
        <f>E5288-F5288</f>
        <v/>
      </c>
      <c r="H5288" s="11" t="n">
        <v/>
      </c>
      <c r="I5288" s="11" t="n">
        <v/>
      </c>
      <c r="J5288" s="11" t="n">
        <v/>
      </c>
      <c r="K5288" s="4" t="inlineStr">
        <is>
          <t>Abrechnungsart wählen; Stundensätze eingeben</t>
        </is>
      </c>
    </row>
    <row r="5289">
      <c r="A5289" s="4" t="inlineStr">
        <is>
          <t>7611 Telcat-FRP-Lagerhalle-Veckenstädter-Weg10-Ilsenburg</t>
        </is>
      </c>
      <c r="B5289" s="4" t="inlineStr">
        <is>
          <t>● • 1.002 Aluminiumklapprahmen DIN A3</t>
        </is>
      </c>
      <c r="C5289" s="9" t="inlineStr">
        <is>
          <t>Unbekannt</t>
        </is>
      </c>
      <c r="D5289" s="10" t="inlineStr">
        <is>
          <t>⚠ Manual erforderlich</t>
        </is>
      </c>
      <c r="E5289" s="11" t="inlineStr"/>
      <c r="F5289" s="11" t="n">
        <v>0</v>
      </c>
      <c r="G5289" s="11">
        <f>E5289-F5289</f>
        <v/>
      </c>
      <c r="H5289" s="11" t="n">
        <v/>
      </c>
      <c r="I5289" s="11" t="n">
        <v/>
      </c>
      <c r="J5289" s="11" t="n">
        <v/>
      </c>
      <c r="K5289" s="4" t="inlineStr">
        <is>
          <t>Abrechnungsart wählen; Stundensätze eingeben</t>
        </is>
      </c>
    </row>
    <row r="5290">
      <c r="A5290" s="4" t="inlineStr">
        <is>
          <t>7611 Telcat-FRP-Lagerhalle-Veckenstädter-Weg10-Ilsenburg</t>
        </is>
      </c>
      <c r="B5290" s="4" t="inlineStr">
        <is>
          <t>● • 1.003 Abgleich/Aufnahme vor Ort der Flucht-/Rettungspläne (CAD)</t>
        </is>
      </c>
      <c r="C5290" s="9" t="inlineStr">
        <is>
          <t>Unbekannt</t>
        </is>
      </c>
      <c r="D5290" s="10" t="inlineStr">
        <is>
          <t>⚠ Manual erforderlich</t>
        </is>
      </c>
      <c r="E5290" s="11" t="inlineStr"/>
      <c r="F5290" s="11" t="n">
        <v>0</v>
      </c>
      <c r="G5290" s="11">
        <f>E5290-F5290</f>
        <v/>
      </c>
      <c r="H5290" s="11" t="n">
        <v/>
      </c>
      <c r="I5290" s="11" t="n">
        <v/>
      </c>
      <c r="J5290" s="11" t="n">
        <v/>
      </c>
      <c r="K5290" s="4" t="inlineStr">
        <is>
          <t>Abrechnungsart wählen; Stundensätze eingeben</t>
        </is>
      </c>
    </row>
    <row r="5291">
      <c r="A5291" s="4" t="inlineStr">
        <is>
          <t>7611 Telcat-FRP-Lagerhalle-Veckenstädter-Weg10-Ilsenburg</t>
        </is>
      </c>
      <c r="B5291" s="4" t="inlineStr">
        <is>
          <t>● • 2.001 Digitale Aufbereitung (pro Grundriss/Geschoss/Brandabschnitt)</t>
        </is>
      </c>
      <c r="C5291" s="9" t="inlineStr">
        <is>
          <t>Unbekannt</t>
        </is>
      </c>
      <c r="D5291" s="10" t="inlineStr">
        <is>
          <t>⚠ Manual erforderlich</t>
        </is>
      </c>
      <c r="E5291" s="11" t="inlineStr"/>
      <c r="F5291" s="11" t="n">
        <v>0</v>
      </c>
      <c r="G5291" s="11">
        <f>E5291-F5291</f>
        <v/>
      </c>
      <c r="H5291" s="11" t="n">
        <v/>
      </c>
      <c r="I5291" s="11" t="n">
        <v/>
      </c>
      <c r="J5291" s="11" t="n">
        <v/>
      </c>
      <c r="K5291" s="4" t="inlineStr">
        <is>
          <t>Abrechnungsart wählen; Stundensätze eingeben</t>
        </is>
      </c>
    </row>
    <row r="5292">
      <c r="A5292" s="4" t="inlineStr">
        <is>
          <t>7611 Telcat-FRP-Lagerhalle-Veckenstädter-Weg10-Ilsenburg</t>
        </is>
      </c>
      <c r="B5292" s="4" t="inlineStr">
        <is>
          <t>● • 2.002 Verpackung und Versandkosten</t>
        </is>
      </c>
      <c r="C5292" s="9" t="inlineStr">
        <is>
          <t>Unbekannt</t>
        </is>
      </c>
      <c r="D5292" s="10" t="inlineStr">
        <is>
          <t>⚠ Manual erforderlich</t>
        </is>
      </c>
      <c r="E5292" s="11" t="inlineStr"/>
      <c r="F5292" s="11" t="n">
        <v>0</v>
      </c>
      <c r="G5292" s="11">
        <f>E5292-F5292</f>
        <v/>
      </c>
      <c r="H5292" s="11" t="n">
        <v/>
      </c>
      <c r="I5292" s="11" t="n">
        <v/>
      </c>
      <c r="J5292" s="11" t="n">
        <v/>
      </c>
      <c r="K5292" s="4" t="inlineStr">
        <is>
          <t>Abrechnungsart wählen; Stundensätze eingeben</t>
        </is>
      </c>
    </row>
    <row r="5293">
      <c r="A5293" s="4" t="inlineStr">
        <is>
          <t>7611 Telcat-FRP-Lagerhalle-Veckenstädter-Weg10-Ilsenburg</t>
        </is>
      </c>
      <c r="B5293" s="4" t="inlineStr">
        <is>
          <t>● • 2.005 Fahrtkostenpauschale je Termin, Fahrzeugkosten und Fahrtzeit NL Braunschweig - Ilsenburg - NL Braunschweig</t>
        </is>
      </c>
      <c r="C5293" s="9" t="inlineStr">
        <is>
          <t>Unbekannt</t>
        </is>
      </c>
      <c r="D5293" s="10" t="inlineStr">
        <is>
          <t>⚠ Manual erforderlich</t>
        </is>
      </c>
      <c r="E5293" s="11" t="inlineStr"/>
      <c r="F5293" s="11" t="n">
        <v>0</v>
      </c>
      <c r="G5293" s="11">
        <f>E5293-F5293</f>
        <v/>
      </c>
      <c r="H5293" s="11" t="n">
        <v/>
      </c>
      <c r="I5293" s="11" t="n">
        <v/>
      </c>
      <c r="J5293" s="11" t="n">
        <v/>
      </c>
      <c r="K5293" s="4" t="inlineStr">
        <is>
          <t>Abrechnungsart wählen; Stundensätze eingeben</t>
        </is>
      </c>
    </row>
    <row r="5294">
      <c r="A5294" s="4" t="inlineStr">
        <is>
          <t>7612 SVT-Schadensanierung-Digit-Grundrisse-Heydeckplatz1-Ingolstadt</t>
        </is>
      </c>
      <c r="B5294" s="4" t="inlineStr">
        <is>
          <t>● • (aN) Digitalisierung der Grundrisse</t>
        </is>
      </c>
      <c r="C5294" s="4" t="inlineStr">
        <is>
          <t>Nachweis</t>
        </is>
      </c>
      <c r="D5294" s="10" t="inlineStr">
        <is>
          <t>⚠ Manual erforderlich</t>
        </is>
      </c>
      <c r="E5294" s="11" t="inlineStr"/>
      <c r="F5294" s="11" t="n">
        <v>0</v>
      </c>
      <c r="G5294" s="11">
        <f>E5294-F5294</f>
        <v/>
      </c>
      <c r="H5294" s="11" t="n">
        <v/>
      </c>
      <c r="I5294" s="11" t="n">
        <v/>
      </c>
      <c r="J5294" s="11" t="n">
        <v/>
      </c>
      <c r="K5294" s="4" t="inlineStr">
        <is>
          <t>Stundensätze eingeben</t>
        </is>
      </c>
    </row>
    <row r="5295">
      <c r="A5295" s="4" t="inlineStr">
        <is>
          <t>7613 UTS-BSH-Europa-Allee11-Föhren</t>
        </is>
      </c>
      <c r="B5295" s="4" t="inlineStr">
        <is>
          <t>● • (p) Pos. 1 Seminar Erweiterte Brandschutz- und Einsatzunterstützung im Werkschutz</t>
        </is>
      </c>
      <c r="C5295" s="4" t="inlineStr">
        <is>
          <t>Pauschale</t>
        </is>
      </c>
      <c r="D5295" s="10" t="inlineStr">
        <is>
          <t>⚠ Manual erforderlich</t>
        </is>
      </c>
      <c r="E5295" s="11" t="inlineStr"/>
      <c r="F5295" s="11" t="n">
        <v>0</v>
      </c>
      <c r="G5295" s="11">
        <f>E5295-F5295</f>
        <v/>
      </c>
      <c r="H5295" s="11" t="n">
        <v>0</v>
      </c>
      <c r="I5295" s="11" t="n">
        <v>0</v>
      </c>
      <c r="J5295" s="11" t="n">
        <v>0</v>
      </c>
      <c r="K5295" s="4" t="inlineStr">
        <is>
          <t>Stundensätze eingeben</t>
        </is>
      </c>
    </row>
    <row r="5296">
      <c r="A5296" s="4" t="inlineStr">
        <is>
          <t>7613 UTS-BSH-Europa-Allee11-Föhren</t>
        </is>
      </c>
      <c r="B5296" s="4" t="inlineStr">
        <is>
          <t>● • Fahrtkosten</t>
        </is>
      </c>
      <c r="C5296" s="9" t="inlineStr">
        <is>
          <t>Unbekannt</t>
        </is>
      </c>
      <c r="D5296" s="10" t="inlineStr">
        <is>
          <t>⚠ Manual erforderlich</t>
        </is>
      </c>
      <c r="E5296" s="11" t="inlineStr"/>
      <c r="F5296" s="11" t="n">
        <v>0</v>
      </c>
      <c r="G5296" s="11">
        <f>E5296-F5296</f>
        <v/>
      </c>
      <c r="H5296" s="11" t="n">
        <v/>
      </c>
      <c r="I5296" s="11" t="n">
        <v/>
      </c>
      <c r="J5296" s="11" t="n">
        <v/>
      </c>
      <c r="K5296" s="4" t="inlineStr">
        <is>
          <t>Abrechnungsart wählen; Stundensätze eingeben</t>
        </is>
      </c>
    </row>
    <row r="5297">
      <c r="A5297" s="4" t="inlineStr">
        <is>
          <t>7614 Goldbeck-LAK-NB-Industriehalle-Im-Flürle-Öhringen</t>
        </is>
      </c>
      <c r="B5297" s="4" t="inlineStr">
        <is>
          <t>● • (p) Pos. 1 Erstellung LAK</t>
        </is>
      </c>
      <c r="C5297" s="4" t="inlineStr">
        <is>
          <t>Pauschale</t>
        </is>
      </c>
      <c r="D5297" s="10" t="inlineStr">
        <is>
          <t>⚠ Manual erforderlich</t>
        </is>
      </c>
      <c r="E5297" s="11" t="inlineStr"/>
      <c r="F5297" s="11" t="n">
        <v>0</v>
      </c>
      <c r="G5297" s="11">
        <f>E5297-F5297</f>
        <v/>
      </c>
      <c r="H5297" s="11" t="n">
        <v>0</v>
      </c>
      <c r="I5297" s="11" t="n">
        <v>0</v>
      </c>
      <c r="J5297" s="11" t="n">
        <v>0</v>
      </c>
      <c r="K5297" s="4" t="inlineStr">
        <is>
          <t>Stundensätze eingeben</t>
        </is>
      </c>
    </row>
    <row r="5298">
      <c r="A5298" s="4" t="inlineStr">
        <is>
          <t>7614 Goldbeck-LAK-NB-Industriehalle-Im-Flürle-Öhringen</t>
        </is>
      </c>
      <c r="B5298" s="4" t="inlineStr">
        <is>
          <t>● • Pos. pauschal</t>
        </is>
      </c>
      <c r="C5298" s="9" t="inlineStr">
        <is>
          <t>Unbekannt</t>
        </is>
      </c>
      <c r="D5298" s="10" t="inlineStr">
        <is>
          <t>⚠ Manual erforderlich</t>
        </is>
      </c>
      <c r="E5298" s="11" t="inlineStr"/>
      <c r="F5298" s="11" t="n">
        <v>0</v>
      </c>
      <c r="G5298" s="11">
        <f>E5298-F5298</f>
        <v/>
      </c>
      <c r="H5298" s="11" t="n">
        <v/>
      </c>
      <c r="I5298" s="11" t="n">
        <v/>
      </c>
      <c r="J5298" s="11" t="n">
        <v/>
      </c>
      <c r="K5298" s="4" t="inlineStr">
        <is>
          <t>Abrechnungsart wählen; Stundensätze eingeben</t>
        </is>
      </c>
    </row>
    <row r="5299">
      <c r="A5299" s="4" t="inlineStr">
        <is>
          <t>7615 Spantech-Condor-Hangar</t>
        </is>
      </c>
      <c r="B5299" s="4" t="inlineStr">
        <is>
          <t>● (p) BSK</t>
        </is>
      </c>
      <c r="C5299" s="4" t="inlineStr">
        <is>
          <t>Pauschale</t>
        </is>
      </c>
      <c r="D5299" s="10" t="inlineStr">
        <is>
          <t>⚠ Manual erforderlich</t>
        </is>
      </c>
      <c r="E5299" s="11" t="inlineStr"/>
      <c r="F5299" s="11" t="n">
        <v>0</v>
      </c>
      <c r="G5299" s="11">
        <f>E5299-F5299</f>
        <v/>
      </c>
      <c r="H5299" s="11" t="n">
        <v/>
      </c>
      <c r="I5299" s="11" t="n">
        <v/>
      </c>
      <c r="J5299" s="11" t="n">
        <v/>
      </c>
      <c r="K5299" s="4" t="inlineStr">
        <is>
          <t>Stundensätze eingeben</t>
        </is>
      </c>
    </row>
    <row r="5300">
      <c r="A5300" s="4" t="inlineStr">
        <is>
          <t>7615 Spantech-Condor-Hangar</t>
        </is>
      </c>
      <c r="B5300" s="4" t="inlineStr">
        <is>
          <t>● (p) LAK</t>
        </is>
      </c>
      <c r="C5300" s="4" t="inlineStr">
        <is>
          <t>Pauschale</t>
        </is>
      </c>
      <c r="D5300" s="10" t="inlineStr">
        <is>
          <t>⚠ Manual erforderlich</t>
        </is>
      </c>
      <c r="E5300" s="11" t="inlineStr"/>
      <c r="F5300" s="11" t="n">
        <v>0</v>
      </c>
      <c r="G5300" s="11">
        <f>E5300-F5300</f>
        <v/>
      </c>
      <c r="H5300" s="11" t="n">
        <v/>
      </c>
      <c r="I5300" s="11" t="n">
        <v/>
      </c>
      <c r="J5300" s="11" t="n">
        <v/>
      </c>
      <c r="K5300" s="4" t="inlineStr">
        <is>
          <t>Stundensätze eingeben</t>
        </is>
      </c>
    </row>
    <row r="5301">
      <c r="A5301" s="4" t="inlineStr">
        <is>
          <t>7615 Spantech-Condor-Hangar</t>
        </is>
      </c>
      <c r="B5301" s="4" t="inlineStr">
        <is>
          <t>● (p) Admin-Intern</t>
        </is>
      </c>
      <c r="C5301" s="4" t="inlineStr">
        <is>
          <t>Pauschale</t>
        </is>
      </c>
      <c r="D5301" s="10" t="inlineStr">
        <is>
          <t>⚠ Manual erforderlich</t>
        </is>
      </c>
      <c r="E5301" s="11" t="inlineStr"/>
      <c r="F5301" s="11" t="n">
        <v>0</v>
      </c>
      <c r="G5301" s="11">
        <f>E5301-F5301</f>
        <v/>
      </c>
      <c r="H5301" s="11" t="n">
        <v/>
      </c>
      <c r="I5301" s="11" t="n">
        <v/>
      </c>
      <c r="J5301" s="11" t="n">
        <v/>
      </c>
      <c r="K5301" s="4" t="inlineStr">
        <is>
          <t>Stundensätze eingeben</t>
        </is>
      </c>
    </row>
    <row r="5302">
      <c r="A5302" s="4" t="inlineStr">
        <is>
          <t>7616 Projahn-BST-Gottlieb-Daimler-Str.5-Dietzenbach</t>
        </is>
      </c>
      <c r="B5302" s="4" t="inlineStr">
        <is>
          <t>● Pos.1 - Beratung und Stellungnahme</t>
        </is>
      </c>
      <c r="C5302" s="9" t="inlineStr">
        <is>
          <t>Unbekannt</t>
        </is>
      </c>
      <c r="D5302" s="10" t="inlineStr">
        <is>
          <t>⚠ Manual erforderlich</t>
        </is>
      </c>
      <c r="E5302" s="11" t="inlineStr"/>
      <c r="F5302" s="11" t="n">
        <v>0</v>
      </c>
      <c r="G5302" s="11">
        <f>E5302-F5302</f>
        <v/>
      </c>
      <c r="H5302" s="11" t="n">
        <v/>
      </c>
      <c r="I5302" s="11" t="n">
        <v/>
      </c>
      <c r="J5302" s="11" t="n">
        <v/>
      </c>
      <c r="K5302" s="4" t="inlineStr">
        <is>
          <t>Abrechnungsart wählen; Stundensätze eingeben</t>
        </is>
      </c>
    </row>
    <row r="5303">
      <c r="A5303" s="4" t="inlineStr">
        <is>
          <t>7616 Projahn-BST-Gottlieb-Daimler-Str.5-Dietzenbach</t>
        </is>
      </c>
      <c r="B5303" s="4" t="inlineStr">
        <is>
          <t>● Pos 2. - Administrative Tätigkeiten</t>
        </is>
      </c>
      <c r="C5303" s="9" t="inlineStr">
        <is>
          <t>Unbekannt</t>
        </is>
      </c>
      <c r="D5303" s="10" t="inlineStr">
        <is>
          <t>⚠ Manual erforderlich</t>
        </is>
      </c>
      <c r="E5303" s="11" t="inlineStr"/>
      <c r="F5303" s="11" t="n">
        <v>0</v>
      </c>
      <c r="G5303" s="11">
        <f>E5303-F5303</f>
        <v/>
      </c>
      <c r="H5303" s="11" t="n">
        <v/>
      </c>
      <c r="I5303" s="11" t="n">
        <v/>
      </c>
      <c r="J5303" s="11" t="n">
        <v/>
      </c>
      <c r="K5303" s="4" t="inlineStr">
        <is>
          <t>Abrechnungsart wählen; Stundensätze eingeben</t>
        </is>
      </c>
    </row>
    <row r="5304">
      <c r="A5304" s="4" t="inlineStr">
        <is>
          <t>7700 EAM-Dummy-Unterobjekte</t>
        </is>
      </c>
      <c r="B5304" s="4" t="inlineStr">
        <is>
          <t>● (p) Pos. 1 BSK</t>
        </is>
      </c>
      <c r="C5304" s="4" t="inlineStr">
        <is>
          <t>Pauschale</t>
        </is>
      </c>
      <c r="D5304" s="10" t="inlineStr">
        <is>
          <t>⚠ Manual erforderlich</t>
        </is>
      </c>
      <c r="E5304" s="11" t="inlineStr"/>
      <c r="F5304" s="11" t="n">
        <v>0</v>
      </c>
      <c r="G5304" s="11">
        <f>E5304-F5304</f>
        <v/>
      </c>
      <c r="H5304" s="11" t="n">
        <v/>
      </c>
      <c r="I5304" s="11" t="n">
        <v/>
      </c>
      <c r="J5304" s="11" t="n">
        <v/>
      </c>
      <c r="K5304" s="4" t="inlineStr">
        <is>
          <t>Stundensätze eingeben</t>
        </is>
      </c>
    </row>
    <row r="5305">
      <c r="A5305" s="4" t="inlineStr">
        <is>
          <t>7700.01 EAM-BSK-WEA-Herborn</t>
        </is>
      </c>
      <c r="B5305" s="4" t="inlineStr">
        <is>
          <t>● (p) Pos. 1 BSK</t>
        </is>
      </c>
      <c r="C5305" s="4" t="inlineStr">
        <is>
          <t>Pauschale</t>
        </is>
      </c>
      <c r="D5305" s="10" t="inlineStr">
        <is>
          <t>⚠ Manual erforderlich</t>
        </is>
      </c>
      <c r="E5305" s="11" t="inlineStr"/>
      <c r="F5305" s="11" t="n">
        <v>0</v>
      </c>
      <c r="G5305" s="11">
        <f>E5305-F5305</f>
        <v/>
      </c>
      <c r="H5305" s="11" t="n">
        <v>0</v>
      </c>
      <c r="I5305" s="11" t="n">
        <v>0</v>
      </c>
      <c r="J5305" s="11" t="n">
        <v>0</v>
      </c>
      <c r="K5305" s="4" t="inlineStr">
        <is>
          <t>Stundensätze eingeben</t>
        </is>
      </c>
    </row>
    <row r="5306">
      <c r="A5306" s="4" t="inlineStr">
        <is>
          <t>7800.01 LBB-RV-KL-MunLgr-KRI-TP04-MAH-Wasenbacher-Höhe-Kriegsfeld</t>
        </is>
      </c>
      <c r="B5306" s="4" t="inlineStr">
        <is>
          <t>● TP04/alle Geb. Stufe 1a (LP 1+2)</t>
        </is>
      </c>
      <c r="C5306" s="9" t="inlineStr">
        <is>
          <t>Unbekannt</t>
        </is>
      </c>
      <c r="D5306" s="10" t="inlineStr">
        <is>
          <t>⚠ Manual erforderlich</t>
        </is>
      </c>
      <c r="E5306" s="11" t="inlineStr"/>
      <c r="F5306" s="11" t="n">
        <v>0</v>
      </c>
      <c r="G5306" s="11">
        <f>E5306-F5306</f>
        <v/>
      </c>
      <c r="H5306" s="11" t="n">
        <v/>
      </c>
      <c r="I5306" s="11" t="n">
        <v/>
      </c>
      <c r="J5306" s="11" t="n">
        <v/>
      </c>
      <c r="K5306" s="4" t="inlineStr">
        <is>
          <t>Abrechnungsart wählen; Stundensätze eingeben</t>
        </is>
      </c>
    </row>
    <row r="5307">
      <c r="A5307" s="4" t="inlineStr">
        <is>
          <t>7800.01 LBB-RV-KL-MunLgr-KRI-TP04-MAH-Wasenbacher-Höhe-Kriegsfeld</t>
        </is>
      </c>
      <c r="B5307" s="4" t="inlineStr">
        <is>
          <t>● TP04/alle Geb. Stufe 1b (LP 3+4)</t>
        </is>
      </c>
      <c r="C5307" s="9" t="inlineStr">
        <is>
          <t>Unbekannt</t>
        </is>
      </c>
      <c r="D5307" s="10" t="inlineStr">
        <is>
          <t>⚠ Manual erforderlich</t>
        </is>
      </c>
      <c r="E5307" s="11" t="inlineStr"/>
      <c r="F5307" s="11" t="n">
        <v>0</v>
      </c>
      <c r="G5307" s="11">
        <f>E5307-F5307</f>
        <v/>
      </c>
      <c r="H5307" s="11" t="n">
        <v/>
      </c>
      <c r="I5307" s="11" t="n">
        <v/>
      </c>
      <c r="J5307" s="11" t="n">
        <v/>
      </c>
      <c r="K5307" s="4" t="inlineStr">
        <is>
          <t>Abrechnungsart wählen; Stundensätze eingeben</t>
        </is>
      </c>
    </row>
    <row r="5308">
      <c r="A5308" s="4" t="inlineStr">
        <is>
          <t>7800.01 LBB-RV-KL-MunLgr-KRI-TP04-MAH-Wasenbacher-Höhe-Kriegsfeld</t>
        </is>
      </c>
      <c r="B5308" s="4" t="inlineStr">
        <is>
          <t>● TP04/alle Geb. Stufe 2 (LP 5)</t>
        </is>
      </c>
      <c r="C5308" s="9" t="inlineStr">
        <is>
          <t>Unbekannt</t>
        </is>
      </c>
      <c r="D5308" s="10" t="inlineStr">
        <is>
          <t>⚠ Manual erforderlich</t>
        </is>
      </c>
      <c r="E5308" s="11" t="inlineStr"/>
      <c r="F5308" s="11" t="n">
        <v>0</v>
      </c>
      <c r="G5308" s="11">
        <f>E5308-F5308</f>
        <v/>
      </c>
      <c r="H5308" s="11" t="n">
        <v/>
      </c>
      <c r="I5308" s="11" t="n">
        <v/>
      </c>
      <c r="J5308" s="11" t="n">
        <v/>
      </c>
      <c r="K5308" s="4" t="inlineStr">
        <is>
          <t>Abrechnungsart wählen; Stundensätze eingeben</t>
        </is>
      </c>
    </row>
    <row r="5309">
      <c r="A5309" s="4" t="inlineStr">
        <is>
          <t>7800.01 LBB-RV-KL-MunLgr-KRI-TP04-MAH-Wasenbacher-Höhe-Kriegsfeld</t>
        </is>
      </c>
      <c r="B5309" s="4" t="inlineStr">
        <is>
          <t>● TP04/alle Geb. Stufe 3 (LP 6+7)</t>
        </is>
      </c>
      <c r="C5309" s="9" t="inlineStr">
        <is>
          <t>Unbekannt</t>
        </is>
      </c>
      <c r="D5309" s="10" t="inlineStr">
        <is>
          <t>⚠ Manual erforderlich</t>
        </is>
      </c>
      <c r="E5309" s="11" t="inlineStr"/>
      <c r="F5309" s="11" t="n">
        <v>0</v>
      </c>
      <c r="G5309" s="11">
        <f>E5309-F5309</f>
        <v/>
      </c>
      <c r="H5309" s="11" t="n">
        <v/>
      </c>
      <c r="I5309" s="11" t="n">
        <v/>
      </c>
      <c r="J5309" s="11" t="n">
        <v/>
      </c>
      <c r="K5309" s="4" t="inlineStr">
        <is>
          <t>Abrechnungsart wählen; Stundensätze eingeben</t>
        </is>
      </c>
    </row>
    <row r="5310">
      <c r="A5310" s="4" t="inlineStr">
        <is>
          <t>7800.01 LBB-RV-KL-MunLgr-KRI-TP04-MAH-Wasenbacher-Höhe-Kriegsfeld</t>
        </is>
      </c>
      <c r="B5310" s="4" t="inlineStr">
        <is>
          <t>● TP04/alle Geb. Stufe 4 (LP 8)</t>
        </is>
      </c>
      <c r="C5310" s="9" t="inlineStr">
        <is>
          <t>Unbekannt</t>
        </is>
      </c>
      <c r="D5310" s="10" t="inlineStr">
        <is>
          <t>⚠ Manual erforderlich</t>
        </is>
      </c>
      <c r="E5310" s="11" t="inlineStr"/>
      <c r="F5310" s="11" t="n">
        <v>0</v>
      </c>
      <c r="G5310" s="11">
        <f>E5310-F5310</f>
        <v/>
      </c>
      <c r="H5310" s="11" t="n">
        <v/>
      </c>
      <c r="I5310" s="11" t="n">
        <v/>
      </c>
      <c r="J5310" s="11" t="n">
        <v/>
      </c>
      <c r="K5310" s="4" t="inlineStr">
        <is>
          <t>Abrechnungsart wählen; Stundensätze eingeben</t>
        </is>
      </c>
    </row>
    <row r="5311">
      <c r="A5311" s="4" t="inlineStr">
        <is>
          <t>7800.02 LBB-RV-KL-MunLgr-KRI-TP06-MLH-WasenbacherHöhe-Kriegsfeld</t>
        </is>
      </c>
      <c r="B5311" s="4" t="inlineStr">
        <is>
          <t>● TP06/alle Geb. Stufe 1a (LP 1+2)</t>
        </is>
      </c>
      <c r="C5311" s="9" t="inlineStr">
        <is>
          <t>Unbekannt</t>
        </is>
      </c>
      <c r="D5311" s="10" t="inlineStr">
        <is>
          <t>⚠ Manual erforderlich</t>
        </is>
      </c>
      <c r="E5311" s="11" t="inlineStr"/>
      <c r="F5311" s="11" t="n">
        <v>0</v>
      </c>
      <c r="G5311" s="11">
        <f>E5311-F5311</f>
        <v/>
      </c>
      <c r="H5311" s="11" t="n">
        <v/>
      </c>
      <c r="I5311" s="11" t="n">
        <v/>
      </c>
      <c r="J5311" s="11" t="n">
        <v/>
      </c>
      <c r="K5311" s="4" t="inlineStr">
        <is>
          <t>Abrechnungsart wählen; Stundensätze eingeben</t>
        </is>
      </c>
    </row>
    <row r="5312">
      <c r="A5312" s="4" t="inlineStr">
        <is>
          <t>7800.02 LBB-RV-KL-MunLgr-KRI-TP06-MLH-WasenbacherHöhe-Kriegsfeld</t>
        </is>
      </c>
      <c r="B5312" s="4" t="inlineStr">
        <is>
          <t>● TP06/alle Geb. Stufe 1b (LP 3+4)</t>
        </is>
      </c>
      <c r="C5312" s="9" t="inlineStr">
        <is>
          <t>Unbekannt</t>
        </is>
      </c>
      <c r="D5312" s="10" t="inlineStr">
        <is>
          <t>⚠ Manual erforderlich</t>
        </is>
      </c>
      <c r="E5312" s="11" t="inlineStr"/>
      <c r="F5312" s="11" t="n">
        <v>0</v>
      </c>
      <c r="G5312" s="11">
        <f>E5312-F5312</f>
        <v/>
      </c>
      <c r="H5312" s="11" t="n">
        <v/>
      </c>
      <c r="I5312" s="11" t="n">
        <v/>
      </c>
      <c r="J5312" s="11" t="n">
        <v/>
      </c>
      <c r="K5312" s="4" t="inlineStr">
        <is>
          <t>Abrechnungsart wählen; Stundensätze eingeben</t>
        </is>
      </c>
    </row>
    <row r="5313">
      <c r="A5313" s="4" t="inlineStr">
        <is>
          <t>7800.02 LBB-RV-KL-MunLgr-KRI-TP06-MLH-WasenbacherHöhe-Kriegsfeld</t>
        </is>
      </c>
      <c r="B5313" s="4" t="inlineStr">
        <is>
          <t>● TP06/alle Geb. Stufe 2 (LP 5)</t>
        </is>
      </c>
      <c r="C5313" s="9" t="inlineStr">
        <is>
          <t>Unbekannt</t>
        </is>
      </c>
      <c r="D5313" s="10" t="inlineStr">
        <is>
          <t>⚠ Manual erforderlich</t>
        </is>
      </c>
      <c r="E5313" s="11" t="inlineStr"/>
      <c r="F5313" s="11" t="n">
        <v>0</v>
      </c>
      <c r="G5313" s="11">
        <f>E5313-F5313</f>
        <v/>
      </c>
      <c r="H5313" s="11" t="n">
        <v/>
      </c>
      <c r="I5313" s="11" t="n">
        <v/>
      </c>
      <c r="J5313" s="11" t="n">
        <v/>
      </c>
      <c r="K5313" s="4" t="inlineStr">
        <is>
          <t>Abrechnungsart wählen; Stundensätze eingeben</t>
        </is>
      </c>
    </row>
    <row r="5314">
      <c r="A5314" s="4" t="inlineStr">
        <is>
          <t>7800.02 LBB-RV-KL-MunLgr-KRI-TP06-MLH-WasenbacherHöhe-Kriegsfeld</t>
        </is>
      </c>
      <c r="B5314" s="4" t="inlineStr">
        <is>
          <t>● TP06/alle Geb. Stufe 3 (LP 6+7)</t>
        </is>
      </c>
      <c r="C5314" s="9" t="inlineStr">
        <is>
          <t>Unbekannt</t>
        </is>
      </c>
      <c r="D5314" s="10" t="inlineStr">
        <is>
          <t>⚠ Manual erforderlich</t>
        </is>
      </c>
      <c r="E5314" s="11" t="inlineStr"/>
      <c r="F5314" s="11" t="n">
        <v>0</v>
      </c>
      <c r="G5314" s="11">
        <f>E5314-F5314</f>
        <v/>
      </c>
      <c r="H5314" s="11" t="n">
        <v/>
      </c>
      <c r="I5314" s="11" t="n">
        <v/>
      </c>
      <c r="J5314" s="11" t="n">
        <v/>
      </c>
      <c r="K5314" s="4" t="inlineStr">
        <is>
          <t>Abrechnungsart wählen; Stundensätze eingeben</t>
        </is>
      </c>
    </row>
    <row r="5315">
      <c r="A5315" s="4" t="inlineStr">
        <is>
          <t>7800.02 LBB-RV-KL-MunLgr-KRI-TP06-MLH-WasenbacherHöhe-Kriegsfeld</t>
        </is>
      </c>
      <c r="B5315" s="4" t="inlineStr">
        <is>
          <t>● TP06/alle Geb. Stufe 4 (LP 8)</t>
        </is>
      </c>
      <c r="C5315" s="9" t="inlineStr">
        <is>
          <t>Unbekannt</t>
        </is>
      </c>
      <c r="D5315" s="10" t="inlineStr">
        <is>
          <t>⚠ Manual erforderlich</t>
        </is>
      </c>
      <c r="E5315" s="11" t="inlineStr"/>
      <c r="F5315" s="11" t="n">
        <v>0</v>
      </c>
      <c r="G5315" s="11">
        <f>E5315-F5315</f>
        <v/>
      </c>
      <c r="H5315" s="11" t="n">
        <v/>
      </c>
      <c r="I5315" s="11" t="n">
        <v/>
      </c>
      <c r="J5315" s="11" t="n">
        <v/>
      </c>
      <c r="K5315" s="4" t="inlineStr">
        <is>
          <t>Abrechnungsart wählen; Stundensätze eingeben</t>
        </is>
      </c>
    </row>
    <row r="5316">
      <c r="A5316" s="4" t="inlineStr">
        <is>
          <t>7800.03 LBB-RV-KL-Fahrtkosten-WasenbacherHöhe-Kriegsfeld</t>
        </is>
      </c>
      <c r="B5316" s="4" t="inlineStr">
        <is>
          <t>● (p) Fahrtkosten für TP04 / TP06</t>
        </is>
      </c>
      <c r="C5316" s="4" t="inlineStr">
        <is>
          <t>Pauschale</t>
        </is>
      </c>
      <c r="D5316" s="10" t="inlineStr">
        <is>
          <t>⚠ Manual erforderlich</t>
        </is>
      </c>
      <c r="E5316" s="11" t="inlineStr"/>
      <c r="F5316" s="11" t="n">
        <v>0</v>
      </c>
      <c r="G5316" s="11">
        <f>E5316-F5316</f>
        <v/>
      </c>
      <c r="H5316" s="11" t="n">
        <v/>
      </c>
      <c r="I5316" s="11" t="n">
        <v/>
      </c>
      <c r="J5316" s="11" t="n">
        <v/>
      </c>
      <c r="K5316" s="4" t="inlineStr">
        <is>
          <t>Stundensätze eingeben</t>
        </is>
      </c>
    </row>
    <row r="5317">
      <c r="A5317" s="4" t="inlineStr">
        <is>
          <t>7900 Carl-Zeiss-Rahmenvertrag-Dummy-Unterprojekte</t>
        </is>
      </c>
      <c r="B5317" s="4" t="inlineStr">
        <is>
          <t>● ADM</t>
        </is>
      </c>
      <c r="C5317" s="9" t="inlineStr">
        <is>
          <t>Unbekannt</t>
        </is>
      </c>
      <c r="D5317" s="10" t="inlineStr">
        <is>
          <t>⚠ Manual erforderlich</t>
        </is>
      </c>
      <c r="E5317" s="11" t="inlineStr"/>
      <c r="F5317" s="11" t="n">
        <v>0</v>
      </c>
      <c r="G5317" s="11">
        <f>E5317-F5317</f>
        <v/>
      </c>
      <c r="H5317" s="11" t="n">
        <v/>
      </c>
      <c r="I5317" s="11" t="n">
        <v/>
      </c>
      <c r="J5317" s="11" t="n">
        <v/>
      </c>
      <c r="K5317" s="4" t="inlineStr">
        <is>
          <t>Abrechnungsart wählen; Stundensätze eingeben</t>
        </is>
      </c>
    </row>
    <row r="5318">
      <c r="A5318" s="4" t="inlineStr">
        <is>
          <t>7900.01 CZ-RV-KVA-1633-zwei HighNA-CCP</t>
        </is>
      </c>
      <c r="B5318" s="4" t="inlineStr">
        <is>
          <t>● (p) Pos. 3 KVA 1633 zwei HighNA CCP, Ausführungsplanung</t>
        </is>
      </c>
      <c r="C5318" s="4" t="inlineStr">
        <is>
          <t>Pauschale</t>
        </is>
      </c>
      <c r="D5318" s="10" t="inlineStr">
        <is>
          <t>⚠ Manual erforderlich</t>
        </is>
      </c>
      <c r="E5318" s="11" t="inlineStr"/>
      <c r="F5318" s="11" t="n">
        <v>0</v>
      </c>
      <c r="G5318" s="11">
        <f>E5318-F5318</f>
        <v/>
      </c>
      <c r="H5318" s="11" t="n">
        <v>0</v>
      </c>
      <c r="I5318" s="11" t="n">
        <v>0</v>
      </c>
      <c r="J5318" s="11" t="n">
        <v>0</v>
      </c>
      <c r="K5318" s="4" t="inlineStr">
        <is>
          <t>Stundensätze eingeben</t>
        </is>
      </c>
    </row>
    <row r="5319">
      <c r="A5319" s="4" t="inlineStr">
        <is>
          <t>7900.02 CZ-RV-KVA-1581-2-Regale</t>
        </is>
      </c>
      <c r="B5319" s="4" t="inlineStr">
        <is>
          <t>● (p) Pos. 2 KVA 1581 zwei Regale, Ausführungsplanung</t>
        </is>
      </c>
      <c r="C5319" s="4" t="inlineStr">
        <is>
          <t>Pauschale</t>
        </is>
      </c>
      <c r="D5319" s="10" t="inlineStr">
        <is>
          <t>⚠ Manual erforderlich</t>
        </is>
      </c>
      <c r="E5319" s="11" t="inlineStr"/>
      <c r="F5319" s="11" t="n">
        <v>0</v>
      </c>
      <c r="G5319" s="11">
        <f>E5319-F5319</f>
        <v/>
      </c>
      <c r="H5319" s="11" t="n">
        <v>0</v>
      </c>
      <c r="I5319" s="11" t="n">
        <v>0</v>
      </c>
      <c r="J5319" s="11" t="n">
        <v>0</v>
      </c>
      <c r="K5319" s="4" t="inlineStr">
        <is>
          <t>Stundensätze eingeben</t>
        </is>
      </c>
    </row>
    <row r="5320">
      <c r="A5320" s="4" t="inlineStr">
        <is>
          <t>7900.03 CZ-RV-KVA-1357-Auto-Fügestand-2</t>
        </is>
      </c>
      <c r="B5320" s="4" t="inlineStr">
        <is>
          <t>● (p) Pos. 3 KVA 1633 zwei HighNA CCP, Ausführungsplanung</t>
        </is>
      </c>
      <c r="C5320" s="4" t="inlineStr">
        <is>
          <t>Pauschale</t>
        </is>
      </c>
      <c r="D5320" s="10" t="inlineStr">
        <is>
          <t>⚠ Manual erforderlich</t>
        </is>
      </c>
      <c r="E5320" s="11" t="inlineStr"/>
      <c r="F5320" s="11" t="n">
        <v>0</v>
      </c>
      <c r="G5320" s="11">
        <f>E5320-F5320</f>
        <v/>
      </c>
      <c r="H5320" s="11" t="n">
        <v>0</v>
      </c>
      <c r="I5320" s="11" t="n">
        <v>0</v>
      </c>
      <c r="J5320" s="11" t="n">
        <v>0</v>
      </c>
      <c r="K5320" s="4" t="inlineStr">
        <is>
          <t>Stundensätze eingeben</t>
        </is>
      </c>
    </row>
    <row r="5321">
      <c r="A5321" s="4" t="inlineStr">
        <is>
          <t>7900.04 CZ-RV-KVA-1316-Regal-Halle8</t>
        </is>
      </c>
      <c r="B5321" s="4" t="inlineStr">
        <is>
          <t>● (aN) Pos. 1 KVA 1316 Regal Halle 8</t>
        </is>
      </c>
      <c r="C5321" s="4" t="inlineStr">
        <is>
          <t>Nachweis</t>
        </is>
      </c>
      <c r="D5321" s="10" t="inlineStr">
        <is>
          <t>⚠ Manual erforderlich</t>
        </is>
      </c>
      <c r="E5321" s="11" t="inlineStr"/>
      <c r="F5321" s="11" t="n">
        <v>0</v>
      </c>
      <c r="G5321" s="11">
        <f>E5321-F5321</f>
        <v/>
      </c>
      <c r="H5321" s="11" t="n">
        <v/>
      </c>
      <c r="I5321" s="11" t="n">
        <v/>
      </c>
      <c r="J5321" s="11" t="n">
        <v/>
      </c>
      <c r="K5321" s="4" t="inlineStr">
        <is>
          <t>Stundensätze eingeben</t>
        </is>
      </c>
    </row>
    <row r="5322">
      <c r="A5322" s="4" t="inlineStr">
        <is>
          <t>7900.05 CZ-KVA-1739-PLA-Schwerlastregale-Grauraum-Halle-7.3</t>
        </is>
      </c>
      <c r="B5322" s="4" t="inlineStr">
        <is>
          <t>● (p) Pos. 1 Sprinklerschutzplanung, Regal 1 Halle 7.3 (Durchgangsbereich)</t>
        </is>
      </c>
      <c r="C5322" s="4" t="inlineStr">
        <is>
          <t>Pauschale</t>
        </is>
      </c>
      <c r="D5322" s="10" t="inlineStr">
        <is>
          <t>⚠ Manual erforderlich</t>
        </is>
      </c>
      <c r="E5322" s="11" t="inlineStr"/>
      <c r="F5322" s="11" t="n">
        <v>0</v>
      </c>
      <c r="G5322" s="11">
        <f>E5322-F5322</f>
        <v/>
      </c>
      <c r="H5322" s="11" t="n">
        <v>0</v>
      </c>
      <c r="I5322" s="11" t="n">
        <v>0</v>
      </c>
      <c r="J5322" s="11" t="n">
        <v>0</v>
      </c>
      <c r="K5322" s="4" t="inlineStr">
        <is>
          <t>Stundensätze eingeben</t>
        </is>
      </c>
    </row>
    <row r="5323">
      <c r="A5323" s="4" t="inlineStr">
        <is>
          <t>7900.05 CZ-KVA-1739-PLA-Schwerlastregale-Grauraum-Halle-7.3</t>
        </is>
      </c>
      <c r="B5323" s="4" t="inlineStr">
        <is>
          <t>● (p) Pos. 2 Sprinklerschutzplanung, Regal 2 Halle 7.3 (Durchgangsbereich)</t>
        </is>
      </c>
      <c r="C5323" s="4" t="inlineStr">
        <is>
          <t>Pauschale</t>
        </is>
      </c>
      <c r="D5323" s="10" t="inlineStr">
        <is>
          <t>⚠ Manual erforderlich</t>
        </is>
      </c>
      <c r="E5323" s="11" t="inlineStr"/>
      <c r="F5323" s="11" t="n">
        <v>0</v>
      </c>
      <c r="G5323" s="11">
        <f>E5323-F5323</f>
        <v/>
      </c>
      <c r="H5323" s="11" t="n">
        <v>0</v>
      </c>
      <c r="I5323" s="11" t="n">
        <v>0</v>
      </c>
      <c r="J5323" s="11" t="n">
        <v>0</v>
      </c>
      <c r="K5323" s="4" t="inlineStr">
        <is>
          <t>Stundensätze eingeben</t>
        </is>
      </c>
    </row>
    <row r="5324">
      <c r="A5324" s="4" t="inlineStr">
        <is>
          <t>7900.05 CZ-KVA-1739-PLA-Schwerlastregale-Grauraum-Halle-7.3</t>
        </is>
      </c>
      <c r="B5324" s="4" t="inlineStr">
        <is>
          <t>● (aN) Pos. zusätzliche Beratungsleistungen</t>
        </is>
      </c>
      <c r="C5324" s="4" t="inlineStr">
        <is>
          <t>Nachweis</t>
        </is>
      </c>
      <c r="D5324" s="10" t="inlineStr">
        <is>
          <t>⚠ Manual erforderlich</t>
        </is>
      </c>
      <c r="E5324" s="11" t="inlineStr"/>
      <c r="F5324" s="11" t="n">
        <v>0</v>
      </c>
      <c r="G5324" s="11">
        <f>E5324-F5324</f>
        <v/>
      </c>
      <c r="H5324" s="11" t="n">
        <v/>
      </c>
      <c r="I5324" s="11" t="n">
        <v/>
      </c>
      <c r="J5324" s="11" t="n">
        <v/>
      </c>
      <c r="K5324" s="4" t="inlineStr">
        <is>
          <t>Stundensätze eingeben</t>
        </is>
      </c>
    </row>
    <row r="5325">
      <c r="A5325" s="4" t="inlineStr">
        <is>
          <t>8000 Fraport-RV-Dummy-für-Unterprojekte</t>
        </is>
      </c>
      <c r="B5325" s="4" t="inlineStr">
        <is>
          <t>● (p) Pos. 1 Feuerwehrpläne</t>
        </is>
      </c>
      <c r="C5325" s="4" t="inlineStr">
        <is>
          <t>Pauschale</t>
        </is>
      </c>
      <c r="D5325" s="10" t="inlineStr">
        <is>
          <t>⚠ Manual erforderlich</t>
        </is>
      </c>
      <c r="E5325" s="11" t="inlineStr"/>
      <c r="F5325" s="11" t="n">
        <v>0</v>
      </c>
      <c r="G5325" s="11">
        <f>E5325-F5325</f>
        <v/>
      </c>
      <c r="H5325" s="11" t="n">
        <v/>
      </c>
      <c r="I5325" s="11" t="n">
        <v/>
      </c>
      <c r="J5325" s="11" t="n">
        <v/>
      </c>
      <c r="K5325" s="4" t="inlineStr">
        <is>
          <t>Stundensätze eingeben</t>
        </is>
      </c>
    </row>
    <row r="5326">
      <c r="A5326" s="4" t="inlineStr">
        <is>
          <t>8000.01 Fraport-RV-BSK-NB-Trafostation-Ramp9+12-FFM</t>
        </is>
      </c>
      <c r="B5326" s="4" t="inlineStr">
        <is>
          <t>● (p) Erstellung BSK + Pläne</t>
        </is>
      </c>
      <c r="C5326" s="4" t="inlineStr">
        <is>
          <t>Pauschale</t>
        </is>
      </c>
      <c r="D5326" s="10" t="inlineStr">
        <is>
          <t>⚠ Manual erforderlich</t>
        </is>
      </c>
      <c r="E5326" s="11" t="inlineStr"/>
      <c r="F5326" s="11" t="n">
        <v>0</v>
      </c>
      <c r="G5326" s="11">
        <f>E5326-F5326</f>
        <v/>
      </c>
      <c r="H5326" s="11" t="n">
        <v/>
      </c>
      <c r="I5326" s="11" t="n">
        <v/>
      </c>
      <c r="J5326" s="11" t="n">
        <v/>
      </c>
      <c r="K5326" s="4" t="inlineStr">
        <is>
          <t>Stundensätze eingeben</t>
        </is>
      </c>
    </row>
    <row r="5327">
      <c r="A5327" s="4" t="inlineStr">
        <is>
          <t>8000.03 Fraport-RV-BSK-Geb. 584</t>
        </is>
      </c>
      <c r="B5327" s="4" t="inlineStr">
        <is>
          <t>● (a.N.) Pos. 1 - Einmalige Erstellung BSK</t>
        </is>
      </c>
      <c r="C5327" s="4" t="inlineStr">
        <is>
          <t>Nachweis</t>
        </is>
      </c>
      <c r="D5327" s="10" t="inlineStr">
        <is>
          <t>⚠ Manual erforderlich</t>
        </is>
      </c>
      <c r="E5327" s="11" t="inlineStr"/>
      <c r="F5327" s="11" t="n">
        <v>0</v>
      </c>
      <c r="G5327" s="11">
        <f>E5327-F5327</f>
        <v/>
      </c>
      <c r="H5327" s="11" t="n">
        <v/>
      </c>
      <c r="I5327" s="11" t="n">
        <v/>
      </c>
      <c r="J5327" s="11" t="n">
        <v/>
      </c>
      <c r="K5327" s="4" t="inlineStr">
        <is>
          <t>Stundensätze eingeben</t>
        </is>
      </c>
    </row>
    <row r="5328">
      <c r="A5328" s="4" t="inlineStr">
        <is>
          <t>8000.03 Fraport-RV-BSK-Geb. 584</t>
        </is>
      </c>
      <c r="B5328" s="4" t="inlineStr">
        <is>
          <t>● (a.N.) Pos. 2 - Erstellung BSK-Pläne (CAD 4h) 284€</t>
        </is>
      </c>
      <c r="C5328" s="4" t="inlineStr">
        <is>
          <t>Nachweis</t>
        </is>
      </c>
      <c r="D5328" s="10" t="inlineStr">
        <is>
          <t>⚠ Manual erforderlich</t>
        </is>
      </c>
      <c r="E5328" s="11" t="inlineStr"/>
      <c r="F5328" s="11" t="n">
        <v>0</v>
      </c>
      <c r="G5328" s="11">
        <f>E5328-F5328</f>
        <v/>
      </c>
      <c r="H5328" s="11" t="n">
        <v/>
      </c>
      <c r="I5328" s="11" t="n">
        <v/>
      </c>
      <c r="J5328" s="11" t="n">
        <v/>
      </c>
      <c r="K5328" s="4" t="inlineStr">
        <is>
          <t>Stundensätze eingeben</t>
        </is>
      </c>
    </row>
    <row r="5329">
      <c r="A5329" s="4" t="inlineStr">
        <is>
          <t>8100 UStrich-Stunden-für-Mosaik-/Kaarst-Projekte</t>
        </is>
      </c>
      <c r="B5329" s="4" t="inlineStr">
        <is>
          <t>● (aN) GEL für Erfurt: Begehung zur Aufnahme für FRP-Spessartstraße 3-Bad Orb-C.Grauel-Std.satz:110€</t>
        </is>
      </c>
      <c r="C5329" s="4" t="inlineStr">
        <is>
          <t>Nachweis</t>
        </is>
      </c>
      <c r="D5329" s="10" t="inlineStr">
        <is>
          <t>⚠ Manual erforderlich</t>
        </is>
      </c>
      <c r="E5329" s="11" t="inlineStr"/>
      <c r="F5329" s="11" t="n">
        <v>0</v>
      </c>
      <c r="G5329" s="11">
        <f>E5329-F5329</f>
        <v/>
      </c>
      <c r="H5329" s="11" t="n">
        <v/>
      </c>
      <c r="I5329" s="11" t="n">
        <v/>
      </c>
      <c r="J5329" s="11" t="n">
        <v/>
      </c>
      <c r="K5329" s="4" t="inlineStr">
        <is>
          <t>Stundensätze eingeben</t>
        </is>
      </c>
    </row>
    <row r="5330">
      <c r="A5330" s="4" t="inlineStr">
        <is>
          <t>8100 UStrich-Stunden-für-Mosaik-/Kaarst-Projekte</t>
        </is>
      </c>
      <c r="B5330" s="4" t="inlineStr">
        <is>
          <t>● (aN) LUD für ERF: FWP-FRP-Four Points Flex by Sheraton- Industriestr.6-Östringen-Mosaik 1025220131</t>
        </is>
      </c>
      <c r="C5330" s="4" t="inlineStr">
        <is>
          <t>Nachweis</t>
        </is>
      </c>
      <c r="D5330" s="10" t="inlineStr">
        <is>
          <t>⚠ Manual erforderlich</t>
        </is>
      </c>
      <c r="E5330" s="11" t="inlineStr"/>
      <c r="F5330" s="11" t="n">
        <v>0</v>
      </c>
      <c r="G5330" s="11">
        <f>E5330-F5330</f>
        <v/>
      </c>
      <c r="H5330" s="11" t="n">
        <v/>
      </c>
      <c r="I5330" s="11" t="n">
        <v/>
      </c>
      <c r="J5330" s="11" t="n">
        <v/>
      </c>
      <c r="K5330" s="4" t="inlineStr">
        <is>
          <t>Stundensätze eingeben</t>
        </is>
      </c>
    </row>
    <row r="5331">
      <c r="A5331" s="4" t="inlineStr">
        <is>
          <t>8100 UStrich-Stunden-für-Mosaik-/Kaarst-Projekte</t>
        </is>
      </c>
      <c r="B5331" s="4" t="inlineStr">
        <is>
          <t>● (aN) LUD für ERF: Treffert, Bingen - UStrich wg. Unterstützung NL Erfurt</t>
        </is>
      </c>
      <c r="C5331" s="4" t="inlineStr">
        <is>
          <t>Nachweis</t>
        </is>
      </c>
      <c r="D5331" s="10" t="inlineStr">
        <is>
          <t>⚠ Manual erforderlich</t>
        </is>
      </c>
      <c r="E5331" s="11" t="inlineStr"/>
      <c r="F5331" s="11" t="n">
        <v>0</v>
      </c>
      <c r="G5331" s="11">
        <f>E5331-F5331</f>
        <v/>
      </c>
      <c r="H5331" s="11" t="n">
        <v/>
      </c>
      <c r="I5331" s="11" t="n">
        <v/>
      </c>
      <c r="J5331" s="11" t="n">
        <v/>
      </c>
      <c r="K5331" s="4" t="inlineStr">
        <is>
          <t>Stundensätze eingeben</t>
        </is>
      </c>
    </row>
    <row r="5332">
      <c r="A5332" s="4" t="inlineStr">
        <is>
          <t>8100 UStrich-Stunden-für-Mosaik-/Kaarst-Projekte</t>
        </is>
      </c>
      <c r="B5332" s="4" t="inlineStr">
        <is>
          <t>● FLA-FRA für STU: Denkendorf Körschtalstraße Sprinkleranlage</t>
        </is>
      </c>
      <c r="C5332" s="9" t="inlineStr">
        <is>
          <t>Unbekannt</t>
        </is>
      </c>
      <c r="D5332" s="10" t="inlineStr">
        <is>
          <t>⚠ Manual erforderlich</t>
        </is>
      </c>
      <c r="E5332" s="11" t="inlineStr"/>
      <c r="F5332" s="11" t="n">
        <v>0</v>
      </c>
      <c r="G5332" s="11">
        <f>E5332-F5332</f>
        <v/>
      </c>
      <c r="H5332" s="11" t="n">
        <v/>
      </c>
      <c r="I5332" s="11" t="n">
        <v/>
      </c>
      <c r="J5332" s="11" t="n">
        <v/>
      </c>
      <c r="K5332" s="4" t="inlineStr">
        <is>
          <t>Abrechnungsart wählen; Stundensätze eingeben</t>
        </is>
      </c>
    </row>
    <row r="5333">
      <c r="A5333" s="4" t="inlineStr">
        <is>
          <t>8100 UStrich-Stunden-für-Mosaik-/Kaarst-Projekte</t>
        </is>
      </c>
      <c r="B5333" s="4" t="inlineStr">
        <is>
          <t>● (p) NL BHG für BER: Strittmatter Gymnasium in Gransee - Bearbeiter: Yalda Sultani</t>
        </is>
      </c>
      <c r="C5333" s="4" t="inlineStr">
        <is>
          <t>Pauschale</t>
        </is>
      </c>
      <c r="D5333" s="10" t="inlineStr">
        <is>
          <t>⚠ Manual erforderlich</t>
        </is>
      </c>
      <c r="E5333" s="11" t="inlineStr"/>
      <c r="F5333" s="11" t="n">
        <v>0</v>
      </c>
      <c r="G5333" s="11">
        <f>E5333-F5333</f>
        <v/>
      </c>
      <c r="H5333" s="11" t="n">
        <v>0</v>
      </c>
      <c r="I5333" s="11" t="n">
        <v>0</v>
      </c>
      <c r="J5333" s="11" t="n">
        <v>0</v>
      </c>
      <c r="K5333" s="4" t="inlineStr">
        <is>
          <t>Stundensätze eingeben</t>
        </is>
      </c>
    </row>
    <row r="5334">
      <c r="A5334" s="4" t="inlineStr">
        <is>
          <t>8100 UStrich-Stunden-für-Mosaik-/Kaarst-Projekte</t>
        </is>
      </c>
      <c r="B5334" s="4" t="inlineStr">
        <is>
          <t>● • • Explosionsschutzdokument</t>
        </is>
      </c>
      <c r="C5334" s="9" t="inlineStr">
        <is>
          <t>Unbekannt</t>
        </is>
      </c>
      <c r="D5334" s="10" t="inlineStr">
        <is>
          <t>⚠ Manual erforderlich</t>
        </is>
      </c>
      <c r="E5334" s="11" t="inlineStr"/>
      <c r="F5334" s="11" t="n">
        <v>0</v>
      </c>
      <c r="G5334" s="11">
        <f>E5334-F5334</f>
        <v/>
      </c>
      <c r="H5334" s="11" t="n">
        <v/>
      </c>
      <c r="I5334" s="11" t="n">
        <v/>
      </c>
      <c r="J5334" s="11" t="n">
        <v/>
      </c>
      <c r="K5334" s="4" t="inlineStr">
        <is>
          <t>Abrechnungsart wählen; Stundensätze eingeben</t>
        </is>
      </c>
    </row>
    <row r="5335">
      <c r="A5335" s="4" t="inlineStr">
        <is>
          <t>8100 UStrich-Stunden-für-Mosaik-/Kaarst-Projekte</t>
        </is>
      </c>
      <c r="B5335" s="4" t="inlineStr">
        <is>
          <t>● ADM für alle MST</t>
        </is>
      </c>
      <c r="C5335" s="9" t="inlineStr">
        <is>
          <t>Unbekannt</t>
        </is>
      </c>
      <c r="D5335" s="10" t="inlineStr">
        <is>
          <t>⚠ Manual erforderlich</t>
        </is>
      </c>
      <c r="E5335" s="11" t="inlineStr"/>
      <c r="F5335" s="11" t="n">
        <v>0</v>
      </c>
      <c r="G5335" s="11">
        <f>E5335-F5335</f>
        <v/>
      </c>
      <c r="H5335" s="11" t="n">
        <v/>
      </c>
      <c r="I5335" s="11" t="n">
        <v/>
      </c>
      <c r="J5335" s="11" t="n">
        <v/>
      </c>
      <c r="K5335" s="4" t="inlineStr">
        <is>
          <t>Abrechnungsart wählen; Stundensätze eingeben</t>
        </is>
      </c>
    </row>
    <row r="5336">
      <c r="A5336" s="4" t="inlineStr">
        <is>
          <t>9000.01 TESTPROJEKT Bauer-BTB-Bayerwaldstr6+8-Geretsried</t>
        </is>
      </c>
      <c r="B5336" s="4" t="inlineStr">
        <is>
          <t>● ANG</t>
        </is>
      </c>
      <c r="C5336" s="9" t="inlineStr">
        <is>
          <t>Unbekannt</t>
        </is>
      </c>
      <c r="D5336" s="10" t="inlineStr">
        <is>
          <t>⚠ Manual erforderlich</t>
        </is>
      </c>
      <c r="E5336" s="11" t="inlineStr"/>
      <c r="F5336" s="11" t="n">
        <v>0</v>
      </c>
      <c r="G5336" s="11">
        <f>E5336-F5336</f>
        <v/>
      </c>
      <c r="H5336" s="11" t="n">
        <v/>
      </c>
      <c r="I5336" s="11" t="n">
        <v/>
      </c>
      <c r="J5336" s="11" t="n">
        <v/>
      </c>
      <c r="K5336" s="4" t="inlineStr">
        <is>
          <t>Abrechnungsart wählen; Stundensätze eingeben</t>
        </is>
      </c>
    </row>
    <row r="5337">
      <c r="A5337" s="4" t="inlineStr">
        <is>
          <t>9000.02 TESTPROJEKT Blatt-BSK-Kriegkstr22-FFM-Restaurant-KG</t>
        </is>
      </c>
      <c r="B5337" s="4" t="inlineStr">
        <is>
          <t>● (p) Pos.1 Fortschreibung des bestehenden  BSK</t>
        </is>
      </c>
      <c r="C5337" s="4" t="inlineStr">
        <is>
          <t>Pauschale</t>
        </is>
      </c>
      <c r="D5337" s="10" t="inlineStr">
        <is>
          <t>⚠ Manual erforderlich</t>
        </is>
      </c>
      <c r="E5337" s="11" t="inlineStr"/>
      <c r="F5337" s="11" t="n">
        <v>0</v>
      </c>
      <c r="G5337" s="11">
        <f>E5337-F5337</f>
        <v/>
      </c>
      <c r="H5337" s="11" t="n">
        <v/>
      </c>
      <c r="I5337" s="11" t="n">
        <v/>
      </c>
      <c r="J5337" s="11" t="n">
        <v/>
      </c>
      <c r="K5337" s="4" t="inlineStr">
        <is>
          <t>Stundensätze eingeben</t>
        </is>
      </c>
    </row>
    <row r="5338">
      <c r="A5338" s="4" t="inlineStr">
        <is>
          <t>9000.02 TESTPROJEKT Blatt-BSK-Kriegkstr22-FFM-Restaurant-KG</t>
        </is>
      </c>
      <c r="B5338" s="4" t="inlineStr">
        <is>
          <t>● (aN) Pos.2 BAB</t>
        </is>
      </c>
      <c r="C5338" s="4" t="inlineStr">
        <is>
          <t>Nachweis</t>
        </is>
      </c>
      <c r="D5338" s="10" t="inlineStr">
        <is>
          <t>⚠ Manual erforderlich</t>
        </is>
      </c>
      <c r="E5338" s="11" t="inlineStr"/>
      <c r="F5338" s="11" t="n">
        <v>0</v>
      </c>
      <c r="G5338" s="11">
        <f>E5338-F5338</f>
        <v/>
      </c>
      <c r="H5338" s="11" t="n">
        <v/>
      </c>
      <c r="I5338" s="11" t="n">
        <v/>
      </c>
      <c r="J5338" s="11" t="n">
        <v/>
      </c>
      <c r="K5338" s="4" t="inlineStr">
        <is>
          <t>Stundensätze eingeben</t>
        </is>
      </c>
    </row>
    <row r="5339">
      <c r="A5339" s="4" t="inlineStr">
        <is>
          <t>9000.03 TESTPROJEKT Blatt-xxx-Kriegkstr22-FFM-Restaurant-KG</t>
        </is>
      </c>
      <c r="B5339" s="4" t="inlineStr">
        <is>
          <t>● • Pos. pauschal</t>
        </is>
      </c>
      <c r="C5339" s="9" t="inlineStr">
        <is>
          <t>Unbekannt</t>
        </is>
      </c>
      <c r="D5339" s="10" t="inlineStr">
        <is>
          <t>⚠ Manual erforderlich</t>
        </is>
      </c>
      <c r="E5339" s="11" t="inlineStr"/>
      <c r="F5339" s="11" t="n">
        <v>0</v>
      </c>
      <c r="G5339" s="11">
        <f>E5339-F5339</f>
        <v/>
      </c>
      <c r="H5339" s="11" t="n">
        <v/>
      </c>
      <c r="I5339" s="11" t="n">
        <v/>
      </c>
      <c r="J5339" s="11" t="n">
        <v/>
      </c>
      <c r="K5339" s="4" t="inlineStr">
        <is>
          <t>Abrechnungsart wählen; Stundensätze eingeben</t>
        </is>
      </c>
    </row>
    <row r="5340">
      <c r="A5340" s="4" t="inlineStr">
        <is>
          <t>9000.03 TESTPROJEKT Blatt-xxx-Kriegkstr22-FFM-Restaurant-KG</t>
        </is>
      </c>
      <c r="B5340" s="4" t="inlineStr">
        <is>
          <t>● • ‧ (aN) SV</t>
        </is>
      </c>
      <c r="C5340" s="4" t="inlineStr">
        <is>
          <t>Nachweis</t>
        </is>
      </c>
      <c r="D5340" s="10" t="inlineStr">
        <is>
          <t>⚠ Manual erforderlich</t>
        </is>
      </c>
      <c r="E5340" s="11" t="inlineStr"/>
      <c r="F5340" s="11" t="n">
        <v>0</v>
      </c>
      <c r="G5340" s="11">
        <f>E5340-F5340</f>
        <v/>
      </c>
      <c r="H5340" s="11" t="n">
        <v/>
      </c>
      <c r="I5340" s="11" t="n">
        <v/>
      </c>
      <c r="J5340" s="11" t="n">
        <v/>
      </c>
      <c r="K5340" s="4" t="inlineStr">
        <is>
          <t>Stundensätze eingeben</t>
        </is>
      </c>
    </row>
  </sheetData>
  <dataValidations count="5335">
    <dataValidation sqref="C6" showDropDown="0" showInputMessage="0" showErrorMessage="0" allowBlank="0" type="list">
      <formula1>"Pauschale,Nachweis,Unbekannt"</formula1>
    </dataValidation>
    <dataValidation sqref="C7" showDropDown="0" showInputMessage="0" showErrorMessage="0" allowBlank="0" type="list">
      <formula1>"Pauschale,Nachweis,Unbekannt"</formula1>
    </dataValidation>
    <dataValidation sqref="C8" showDropDown="0" showInputMessage="0" showErrorMessage="0" allowBlank="0" type="list">
      <formula1>"Pauschale,Nachweis,Unbekannt"</formula1>
    </dataValidation>
    <dataValidation sqref="C9" showDropDown="0" showInputMessage="0" showErrorMessage="0" allowBlank="0" type="list">
      <formula1>"Pauschale,Nachweis,Unbekannt"</formula1>
    </dataValidation>
    <dataValidation sqref="C10" showDropDown="0" showInputMessage="0" showErrorMessage="0" allowBlank="0" type="list">
      <formula1>"Pauschale,Nachweis,Unbekannt"</formula1>
    </dataValidation>
    <dataValidation sqref="C11" showDropDown="0" showInputMessage="0" showErrorMessage="0" allowBlank="0" type="list">
      <formula1>"Pauschale,Nachweis,Unbekannt"</formula1>
    </dataValidation>
    <dataValidation sqref="C12" showDropDown="0" showInputMessage="0" showErrorMessage="0" allowBlank="0" type="list">
      <formula1>"Pauschale,Nachweis,Unbekannt"</formula1>
    </dataValidation>
    <dataValidation sqref="C13" showDropDown="0" showInputMessage="0" showErrorMessage="0" allowBlank="0" type="list">
      <formula1>"Pauschale,Nachweis,Unbekannt"</formula1>
    </dataValidation>
    <dataValidation sqref="C14" showDropDown="0" showInputMessage="0" showErrorMessage="0" allowBlank="0" type="list">
      <formula1>"Pauschale,Nachweis,Unbekannt"</formula1>
    </dataValidation>
    <dataValidation sqref="C15" showDropDown="0" showInputMessage="0" showErrorMessage="0" allowBlank="0" type="list">
      <formula1>"Pauschale,Nachweis,Unbekannt"</formula1>
    </dataValidation>
    <dataValidation sqref="C16" showDropDown="0" showInputMessage="0" showErrorMessage="0" allowBlank="0" type="list">
      <formula1>"Pauschale,Nachweis,Unbekannt"</formula1>
    </dataValidation>
    <dataValidation sqref="C17" showDropDown="0" showInputMessage="0" showErrorMessage="0" allowBlank="0" type="list">
      <formula1>"Pauschale,Nachweis,Unbekannt"</formula1>
    </dataValidation>
    <dataValidation sqref="C18" showDropDown="0" showInputMessage="0" showErrorMessage="0" allowBlank="0" type="list">
      <formula1>"Pauschale,Nachweis,Unbekannt"</formula1>
    </dataValidation>
    <dataValidation sqref="C19" showDropDown="0" showInputMessage="0" showErrorMessage="0" allowBlank="0" type="list">
      <formula1>"Pauschale,Nachweis,Unbekannt"</formula1>
    </dataValidation>
    <dataValidation sqref="C20" showDropDown="0" showInputMessage="0" showErrorMessage="0" allowBlank="0" type="list">
      <formula1>"Pauschale,Nachweis,Unbekannt"</formula1>
    </dataValidation>
    <dataValidation sqref="C21" showDropDown="0" showInputMessage="0" showErrorMessage="0" allowBlank="0" type="list">
      <formula1>"Pauschale,Nachweis,Unbekannt"</formula1>
    </dataValidation>
    <dataValidation sqref="C22" showDropDown="0" showInputMessage="0" showErrorMessage="0" allowBlank="0" type="list">
      <formula1>"Pauschale,Nachweis,Unbekannt"</formula1>
    </dataValidation>
    <dataValidation sqref="C23" showDropDown="0" showInputMessage="0" showErrorMessage="0" allowBlank="0" type="list">
      <formula1>"Pauschale,Nachweis,Unbekannt"</formula1>
    </dataValidation>
    <dataValidation sqref="C24" showDropDown="0" showInputMessage="0" showErrorMessage="0" allowBlank="0" type="list">
      <formula1>"Pauschale,Nachweis,Unbekannt"</formula1>
    </dataValidation>
    <dataValidation sqref="C25" showDropDown="0" showInputMessage="0" showErrorMessage="0" allowBlank="0" type="list">
      <formula1>"Pauschale,Nachweis,Unbekannt"</formula1>
    </dataValidation>
    <dataValidation sqref="C26" showDropDown="0" showInputMessage="0" showErrorMessage="0" allowBlank="0" type="list">
      <formula1>"Pauschale,Nachweis,Unbekannt"</formula1>
    </dataValidation>
    <dataValidation sqref="C27" showDropDown="0" showInputMessage="0" showErrorMessage="0" allowBlank="0" type="list">
      <formula1>"Pauschale,Nachweis,Unbekannt"</formula1>
    </dataValidation>
    <dataValidation sqref="C28" showDropDown="0" showInputMessage="0" showErrorMessage="0" allowBlank="0" type="list">
      <formula1>"Pauschale,Nachweis,Unbekannt"</formula1>
    </dataValidation>
    <dataValidation sqref="C29" showDropDown="0" showInputMessage="0" showErrorMessage="0" allowBlank="0" type="list">
      <formula1>"Pauschale,Nachweis,Unbekannt"</formula1>
    </dataValidation>
    <dataValidation sqref="C30" showDropDown="0" showInputMessage="0" showErrorMessage="0" allowBlank="0" type="list">
      <formula1>"Pauschale,Nachweis,Unbekannt"</formula1>
    </dataValidation>
    <dataValidation sqref="C31" showDropDown="0" showInputMessage="0" showErrorMessage="0" allowBlank="0" type="list">
      <formula1>"Pauschale,Nachweis,Unbekannt"</formula1>
    </dataValidation>
    <dataValidation sqref="C32" showDropDown="0" showInputMessage="0" showErrorMessage="0" allowBlank="0" type="list">
      <formula1>"Pauschale,Nachweis,Unbekannt"</formula1>
    </dataValidation>
    <dataValidation sqref="C33" showDropDown="0" showInputMessage="0" showErrorMessage="0" allowBlank="0" type="list">
      <formula1>"Pauschale,Nachweis,Unbekannt"</formula1>
    </dataValidation>
    <dataValidation sqref="C34" showDropDown="0" showInputMessage="0" showErrorMessage="0" allowBlank="0" type="list">
      <formula1>"Pauschale,Nachweis,Unbekannt"</formula1>
    </dataValidation>
    <dataValidation sqref="C35" showDropDown="0" showInputMessage="0" showErrorMessage="0" allowBlank="0" type="list">
      <formula1>"Pauschale,Nachweis,Unbekannt"</formula1>
    </dataValidation>
    <dataValidation sqref="C36" showDropDown="0" showInputMessage="0" showErrorMessage="0" allowBlank="0" type="list">
      <formula1>"Pauschale,Nachweis,Unbekannt"</formula1>
    </dataValidation>
    <dataValidation sqref="C37" showDropDown="0" showInputMessage="0" showErrorMessage="0" allowBlank="0" type="list">
      <formula1>"Pauschale,Nachweis,Unbekannt"</formula1>
    </dataValidation>
    <dataValidation sqref="C38" showDropDown="0" showInputMessage="0" showErrorMessage="0" allowBlank="0" type="list">
      <formula1>"Pauschale,Nachweis,Unbekannt"</formula1>
    </dataValidation>
    <dataValidation sqref="C39" showDropDown="0" showInputMessage="0" showErrorMessage="0" allowBlank="0" type="list">
      <formula1>"Pauschale,Nachweis,Unbekannt"</formula1>
    </dataValidation>
    <dataValidation sqref="C40" showDropDown="0" showInputMessage="0" showErrorMessage="0" allowBlank="0" type="list">
      <formula1>"Pauschale,Nachweis,Unbekannt"</formula1>
    </dataValidation>
    <dataValidation sqref="C41" showDropDown="0" showInputMessage="0" showErrorMessage="0" allowBlank="0" type="list">
      <formula1>"Pauschale,Nachweis,Unbekannt"</formula1>
    </dataValidation>
    <dataValidation sqref="C42" showDropDown="0" showInputMessage="0" showErrorMessage="0" allowBlank="0" type="list">
      <formula1>"Pauschale,Nachweis,Unbekannt"</formula1>
    </dataValidation>
    <dataValidation sqref="C43" showDropDown="0" showInputMessage="0" showErrorMessage="0" allowBlank="0" type="list">
      <formula1>"Pauschale,Nachweis,Unbekannt"</formula1>
    </dataValidation>
    <dataValidation sqref="C44" showDropDown="0" showInputMessage="0" showErrorMessage="0" allowBlank="0" type="list">
      <formula1>"Pauschale,Nachweis,Unbekannt"</formula1>
    </dataValidation>
    <dataValidation sqref="C45" showDropDown="0" showInputMessage="0" showErrorMessage="0" allowBlank="0" type="list">
      <formula1>"Pauschale,Nachweis,Unbekannt"</formula1>
    </dataValidation>
    <dataValidation sqref="C46" showDropDown="0" showInputMessage="0" showErrorMessage="0" allowBlank="0" type="list">
      <formula1>"Pauschale,Nachweis,Unbekannt"</formula1>
    </dataValidation>
    <dataValidation sqref="C47" showDropDown="0" showInputMessage="0" showErrorMessage="0" allowBlank="0" type="list">
      <formula1>"Pauschale,Nachweis,Unbekannt"</formula1>
    </dataValidation>
    <dataValidation sqref="C48" showDropDown="0" showInputMessage="0" showErrorMessage="0" allowBlank="0" type="list">
      <formula1>"Pauschale,Nachweis,Unbekannt"</formula1>
    </dataValidation>
    <dataValidation sqref="C49" showDropDown="0" showInputMessage="0" showErrorMessage="0" allowBlank="0" type="list">
      <formula1>"Pauschale,Nachweis,Unbekannt"</formula1>
    </dataValidation>
    <dataValidation sqref="C50" showDropDown="0" showInputMessage="0" showErrorMessage="0" allowBlank="0" type="list">
      <formula1>"Pauschale,Nachweis,Unbekannt"</formula1>
    </dataValidation>
    <dataValidation sqref="C51" showDropDown="0" showInputMessage="0" showErrorMessage="0" allowBlank="0" type="list">
      <formula1>"Pauschale,Nachweis,Unbekannt"</formula1>
    </dataValidation>
    <dataValidation sqref="C52" showDropDown="0" showInputMessage="0" showErrorMessage="0" allowBlank="0" type="list">
      <formula1>"Pauschale,Nachweis,Unbekannt"</formula1>
    </dataValidation>
    <dataValidation sqref="C53" showDropDown="0" showInputMessage="0" showErrorMessage="0" allowBlank="0" type="list">
      <formula1>"Pauschale,Nachweis,Unbekannt"</formula1>
    </dataValidation>
    <dataValidation sqref="C54" showDropDown="0" showInputMessage="0" showErrorMessage="0" allowBlank="0" type="list">
      <formula1>"Pauschale,Nachweis,Unbekannt"</formula1>
    </dataValidation>
    <dataValidation sqref="C55" showDropDown="0" showInputMessage="0" showErrorMessage="0" allowBlank="0" type="list">
      <formula1>"Pauschale,Nachweis,Unbekannt"</formula1>
    </dataValidation>
    <dataValidation sqref="C56" showDropDown="0" showInputMessage="0" showErrorMessage="0" allowBlank="0" type="list">
      <formula1>"Pauschale,Nachweis,Unbekannt"</formula1>
    </dataValidation>
    <dataValidation sqref="C57" showDropDown="0" showInputMessage="0" showErrorMessage="0" allowBlank="0" type="list">
      <formula1>"Pauschale,Nachweis,Unbekannt"</formula1>
    </dataValidation>
    <dataValidation sqref="C58" showDropDown="0" showInputMessage="0" showErrorMessage="0" allowBlank="0" type="list">
      <formula1>"Pauschale,Nachweis,Unbekannt"</formula1>
    </dataValidation>
    <dataValidation sqref="C59" showDropDown="0" showInputMessage="0" showErrorMessage="0" allowBlank="0" type="list">
      <formula1>"Pauschale,Nachweis,Unbekannt"</formula1>
    </dataValidation>
    <dataValidation sqref="C60" showDropDown="0" showInputMessage="0" showErrorMessage="0" allowBlank="0" type="list">
      <formula1>"Pauschale,Nachweis,Unbekannt"</formula1>
    </dataValidation>
    <dataValidation sqref="C61" showDropDown="0" showInputMessage="0" showErrorMessage="0" allowBlank="0" type="list">
      <formula1>"Pauschale,Nachweis,Unbekannt"</formula1>
    </dataValidation>
    <dataValidation sqref="C62" showDropDown="0" showInputMessage="0" showErrorMessage="0" allowBlank="0" type="list">
      <formula1>"Pauschale,Nachweis,Unbekannt"</formula1>
    </dataValidation>
    <dataValidation sqref="C63" showDropDown="0" showInputMessage="0" showErrorMessage="0" allowBlank="0" type="list">
      <formula1>"Pauschale,Nachweis,Unbekannt"</formula1>
    </dataValidation>
    <dataValidation sqref="C64" showDropDown="0" showInputMessage="0" showErrorMessage="0" allowBlank="0" type="list">
      <formula1>"Pauschale,Nachweis,Unbekannt"</formula1>
    </dataValidation>
    <dataValidation sqref="C65" showDropDown="0" showInputMessage="0" showErrorMessage="0" allowBlank="0" type="list">
      <formula1>"Pauschale,Nachweis,Unbekannt"</formula1>
    </dataValidation>
    <dataValidation sqref="C66" showDropDown="0" showInputMessage="0" showErrorMessage="0" allowBlank="0" type="list">
      <formula1>"Pauschale,Nachweis,Unbekannt"</formula1>
    </dataValidation>
    <dataValidation sqref="C67" showDropDown="0" showInputMessage="0" showErrorMessage="0" allowBlank="0" type="list">
      <formula1>"Pauschale,Nachweis,Unbekannt"</formula1>
    </dataValidation>
    <dataValidation sqref="C68" showDropDown="0" showInputMessage="0" showErrorMessage="0" allowBlank="0" type="list">
      <formula1>"Pauschale,Nachweis,Unbekannt"</formula1>
    </dataValidation>
    <dataValidation sqref="C69" showDropDown="0" showInputMessage="0" showErrorMessage="0" allowBlank="0" type="list">
      <formula1>"Pauschale,Nachweis,Unbekannt"</formula1>
    </dataValidation>
    <dataValidation sqref="C70" showDropDown="0" showInputMessage="0" showErrorMessage="0" allowBlank="0" type="list">
      <formula1>"Pauschale,Nachweis,Unbekannt"</formula1>
    </dataValidation>
    <dataValidation sqref="C71" showDropDown="0" showInputMessage="0" showErrorMessage="0" allowBlank="0" type="list">
      <formula1>"Pauschale,Nachweis,Unbekannt"</formula1>
    </dataValidation>
    <dataValidation sqref="C72" showDropDown="0" showInputMessage="0" showErrorMessage="0" allowBlank="0" type="list">
      <formula1>"Pauschale,Nachweis,Unbekannt"</formula1>
    </dataValidation>
    <dataValidation sqref="C73" showDropDown="0" showInputMessage="0" showErrorMessage="0" allowBlank="0" type="list">
      <formula1>"Pauschale,Nachweis,Unbekannt"</formula1>
    </dataValidation>
    <dataValidation sqref="C74" showDropDown="0" showInputMessage="0" showErrorMessage="0" allowBlank="0" type="list">
      <formula1>"Pauschale,Nachweis,Unbekannt"</formula1>
    </dataValidation>
    <dataValidation sqref="C75" showDropDown="0" showInputMessage="0" showErrorMessage="0" allowBlank="0" type="list">
      <formula1>"Pauschale,Nachweis,Unbekannt"</formula1>
    </dataValidation>
    <dataValidation sqref="C76" showDropDown="0" showInputMessage="0" showErrorMessage="0" allowBlank="0" type="list">
      <formula1>"Pauschale,Nachweis,Unbekannt"</formula1>
    </dataValidation>
    <dataValidation sqref="C77" showDropDown="0" showInputMessage="0" showErrorMessage="0" allowBlank="0" type="list">
      <formula1>"Pauschale,Nachweis,Unbekannt"</formula1>
    </dataValidation>
    <dataValidation sqref="C78" showDropDown="0" showInputMessage="0" showErrorMessage="0" allowBlank="0" type="list">
      <formula1>"Pauschale,Nachweis,Unbekannt"</formula1>
    </dataValidation>
    <dataValidation sqref="C79" showDropDown="0" showInputMessage="0" showErrorMessage="0" allowBlank="0" type="list">
      <formula1>"Pauschale,Nachweis,Unbekannt"</formula1>
    </dataValidation>
    <dataValidation sqref="C80" showDropDown="0" showInputMessage="0" showErrorMessage="0" allowBlank="0" type="list">
      <formula1>"Pauschale,Nachweis,Unbekannt"</formula1>
    </dataValidation>
    <dataValidation sqref="C81" showDropDown="0" showInputMessage="0" showErrorMessage="0" allowBlank="0" type="list">
      <formula1>"Pauschale,Nachweis,Unbekannt"</formula1>
    </dataValidation>
    <dataValidation sqref="C82" showDropDown="0" showInputMessage="0" showErrorMessage="0" allowBlank="0" type="list">
      <formula1>"Pauschale,Nachweis,Unbekannt"</formula1>
    </dataValidation>
    <dataValidation sqref="C83" showDropDown="0" showInputMessage="0" showErrorMessage="0" allowBlank="0" type="list">
      <formula1>"Pauschale,Nachweis,Unbekannt"</formula1>
    </dataValidation>
    <dataValidation sqref="C84" showDropDown="0" showInputMessage="0" showErrorMessage="0" allowBlank="0" type="list">
      <formula1>"Pauschale,Nachweis,Unbekannt"</formula1>
    </dataValidation>
    <dataValidation sqref="C85" showDropDown="0" showInputMessage="0" showErrorMessage="0" allowBlank="0" type="list">
      <formula1>"Pauschale,Nachweis,Unbekannt"</formula1>
    </dataValidation>
    <dataValidation sqref="C86" showDropDown="0" showInputMessage="0" showErrorMessage="0" allowBlank="0" type="list">
      <formula1>"Pauschale,Nachweis,Unbekannt"</formula1>
    </dataValidation>
    <dataValidation sqref="C87" showDropDown="0" showInputMessage="0" showErrorMessage="0" allowBlank="0" type="list">
      <formula1>"Pauschale,Nachweis,Unbekannt"</formula1>
    </dataValidation>
    <dataValidation sqref="C88" showDropDown="0" showInputMessage="0" showErrorMessage="0" allowBlank="0" type="list">
      <formula1>"Pauschale,Nachweis,Unbekannt"</formula1>
    </dataValidation>
    <dataValidation sqref="C89" showDropDown="0" showInputMessage="0" showErrorMessage="0" allowBlank="0" type="list">
      <formula1>"Pauschale,Nachweis,Unbekannt"</formula1>
    </dataValidation>
    <dataValidation sqref="C90" showDropDown="0" showInputMessage="0" showErrorMessage="0" allowBlank="0" type="list">
      <formula1>"Pauschale,Nachweis,Unbekannt"</formula1>
    </dataValidation>
    <dataValidation sqref="C91" showDropDown="0" showInputMessage="0" showErrorMessage="0" allowBlank="0" type="list">
      <formula1>"Pauschale,Nachweis,Unbekannt"</formula1>
    </dataValidation>
    <dataValidation sqref="C92" showDropDown="0" showInputMessage="0" showErrorMessage="0" allowBlank="0" type="list">
      <formula1>"Pauschale,Nachweis,Unbekannt"</formula1>
    </dataValidation>
    <dataValidation sqref="C93" showDropDown="0" showInputMessage="0" showErrorMessage="0" allowBlank="0" type="list">
      <formula1>"Pauschale,Nachweis,Unbekannt"</formula1>
    </dataValidation>
    <dataValidation sqref="C94" showDropDown="0" showInputMessage="0" showErrorMessage="0" allowBlank="0" type="list">
      <formula1>"Pauschale,Nachweis,Unbekannt"</formula1>
    </dataValidation>
    <dataValidation sqref="C95" showDropDown="0" showInputMessage="0" showErrorMessage="0" allowBlank="0" type="list">
      <formula1>"Pauschale,Nachweis,Unbekannt"</formula1>
    </dataValidation>
    <dataValidation sqref="C96" showDropDown="0" showInputMessage="0" showErrorMessage="0" allowBlank="0" type="list">
      <formula1>"Pauschale,Nachweis,Unbekannt"</formula1>
    </dataValidation>
    <dataValidation sqref="C97" showDropDown="0" showInputMessage="0" showErrorMessage="0" allowBlank="0" type="list">
      <formula1>"Pauschale,Nachweis,Unbekannt"</formula1>
    </dataValidation>
    <dataValidation sqref="C98" showDropDown="0" showInputMessage="0" showErrorMessage="0" allowBlank="0" type="list">
      <formula1>"Pauschale,Nachweis,Unbekannt"</formula1>
    </dataValidation>
    <dataValidation sqref="C99" showDropDown="0" showInputMessage="0" showErrorMessage="0" allowBlank="0" type="list">
      <formula1>"Pauschale,Nachweis,Unbekannt"</formula1>
    </dataValidation>
    <dataValidation sqref="C100" showDropDown="0" showInputMessage="0" showErrorMessage="0" allowBlank="0" type="list">
      <formula1>"Pauschale,Nachweis,Unbekannt"</formula1>
    </dataValidation>
    <dataValidation sqref="C101" showDropDown="0" showInputMessage="0" showErrorMessage="0" allowBlank="0" type="list">
      <formula1>"Pauschale,Nachweis,Unbekannt"</formula1>
    </dataValidation>
    <dataValidation sqref="C102" showDropDown="0" showInputMessage="0" showErrorMessage="0" allowBlank="0" type="list">
      <formula1>"Pauschale,Nachweis,Unbekannt"</formula1>
    </dataValidation>
    <dataValidation sqref="C103" showDropDown="0" showInputMessage="0" showErrorMessage="0" allowBlank="0" type="list">
      <formula1>"Pauschale,Nachweis,Unbekannt"</formula1>
    </dataValidation>
    <dataValidation sqref="C104" showDropDown="0" showInputMessage="0" showErrorMessage="0" allowBlank="0" type="list">
      <formula1>"Pauschale,Nachweis,Unbekannt"</formula1>
    </dataValidation>
    <dataValidation sqref="C105" showDropDown="0" showInputMessage="0" showErrorMessage="0" allowBlank="0" type="list">
      <formula1>"Pauschale,Nachweis,Unbekannt"</formula1>
    </dataValidation>
    <dataValidation sqref="C106" showDropDown="0" showInputMessage="0" showErrorMessage="0" allowBlank="0" type="list">
      <formula1>"Pauschale,Nachweis,Unbekannt"</formula1>
    </dataValidation>
    <dataValidation sqref="C107" showDropDown="0" showInputMessage="0" showErrorMessage="0" allowBlank="0" type="list">
      <formula1>"Pauschale,Nachweis,Unbekannt"</formula1>
    </dataValidation>
    <dataValidation sqref="C108" showDropDown="0" showInputMessage="0" showErrorMessage="0" allowBlank="0" type="list">
      <formula1>"Pauschale,Nachweis,Unbekannt"</formula1>
    </dataValidation>
    <dataValidation sqref="C109" showDropDown="0" showInputMessage="0" showErrorMessage="0" allowBlank="0" type="list">
      <formula1>"Pauschale,Nachweis,Unbekannt"</formula1>
    </dataValidation>
    <dataValidation sqref="C110" showDropDown="0" showInputMessage="0" showErrorMessage="0" allowBlank="0" type="list">
      <formula1>"Pauschale,Nachweis,Unbekannt"</formula1>
    </dataValidation>
    <dataValidation sqref="C111" showDropDown="0" showInputMessage="0" showErrorMessage="0" allowBlank="0" type="list">
      <formula1>"Pauschale,Nachweis,Unbekannt"</formula1>
    </dataValidation>
    <dataValidation sqref="C112" showDropDown="0" showInputMessage="0" showErrorMessage="0" allowBlank="0" type="list">
      <formula1>"Pauschale,Nachweis,Unbekannt"</formula1>
    </dataValidation>
    <dataValidation sqref="C113" showDropDown="0" showInputMessage="0" showErrorMessage="0" allowBlank="0" type="list">
      <formula1>"Pauschale,Nachweis,Unbekannt"</formula1>
    </dataValidation>
    <dataValidation sqref="C114" showDropDown="0" showInputMessage="0" showErrorMessage="0" allowBlank="0" type="list">
      <formula1>"Pauschale,Nachweis,Unbekannt"</formula1>
    </dataValidation>
    <dataValidation sqref="C115" showDropDown="0" showInputMessage="0" showErrorMessage="0" allowBlank="0" type="list">
      <formula1>"Pauschale,Nachweis,Unbekannt"</formula1>
    </dataValidation>
    <dataValidation sqref="C116" showDropDown="0" showInputMessage="0" showErrorMessage="0" allowBlank="0" type="list">
      <formula1>"Pauschale,Nachweis,Unbekannt"</formula1>
    </dataValidation>
    <dataValidation sqref="C117" showDropDown="0" showInputMessage="0" showErrorMessage="0" allowBlank="0" type="list">
      <formula1>"Pauschale,Nachweis,Unbekannt"</formula1>
    </dataValidation>
    <dataValidation sqref="C118" showDropDown="0" showInputMessage="0" showErrorMessage="0" allowBlank="0" type="list">
      <formula1>"Pauschale,Nachweis,Unbekannt"</formula1>
    </dataValidation>
    <dataValidation sqref="C119" showDropDown="0" showInputMessage="0" showErrorMessage="0" allowBlank="0" type="list">
      <formula1>"Pauschale,Nachweis,Unbekannt"</formula1>
    </dataValidation>
    <dataValidation sqref="C120" showDropDown="0" showInputMessage="0" showErrorMessage="0" allowBlank="0" type="list">
      <formula1>"Pauschale,Nachweis,Unbekannt"</formula1>
    </dataValidation>
    <dataValidation sqref="C121" showDropDown="0" showInputMessage="0" showErrorMessage="0" allowBlank="0" type="list">
      <formula1>"Pauschale,Nachweis,Unbekannt"</formula1>
    </dataValidation>
    <dataValidation sqref="C122" showDropDown="0" showInputMessage="0" showErrorMessage="0" allowBlank="0" type="list">
      <formula1>"Pauschale,Nachweis,Unbekannt"</formula1>
    </dataValidation>
    <dataValidation sqref="C123" showDropDown="0" showInputMessage="0" showErrorMessage="0" allowBlank="0" type="list">
      <formula1>"Pauschale,Nachweis,Unbekannt"</formula1>
    </dataValidation>
    <dataValidation sqref="C124" showDropDown="0" showInputMessage="0" showErrorMessage="0" allowBlank="0" type="list">
      <formula1>"Pauschale,Nachweis,Unbekannt"</formula1>
    </dataValidation>
    <dataValidation sqref="C125" showDropDown="0" showInputMessage="0" showErrorMessage="0" allowBlank="0" type="list">
      <formula1>"Pauschale,Nachweis,Unbekannt"</formula1>
    </dataValidation>
    <dataValidation sqref="C126" showDropDown="0" showInputMessage="0" showErrorMessage="0" allowBlank="0" type="list">
      <formula1>"Pauschale,Nachweis,Unbekannt"</formula1>
    </dataValidation>
    <dataValidation sqref="C127" showDropDown="0" showInputMessage="0" showErrorMessage="0" allowBlank="0" type="list">
      <formula1>"Pauschale,Nachweis,Unbekannt"</formula1>
    </dataValidation>
    <dataValidation sqref="C128" showDropDown="0" showInputMessage="0" showErrorMessage="0" allowBlank="0" type="list">
      <formula1>"Pauschale,Nachweis,Unbekannt"</formula1>
    </dataValidation>
    <dataValidation sqref="C129" showDropDown="0" showInputMessage="0" showErrorMessage="0" allowBlank="0" type="list">
      <formula1>"Pauschale,Nachweis,Unbekannt"</formula1>
    </dataValidation>
    <dataValidation sqref="C130" showDropDown="0" showInputMessage="0" showErrorMessage="0" allowBlank="0" type="list">
      <formula1>"Pauschale,Nachweis,Unbekannt"</formula1>
    </dataValidation>
    <dataValidation sqref="C131" showDropDown="0" showInputMessage="0" showErrorMessage="0" allowBlank="0" type="list">
      <formula1>"Pauschale,Nachweis,Unbekannt"</formula1>
    </dataValidation>
    <dataValidation sqref="C132" showDropDown="0" showInputMessage="0" showErrorMessage="0" allowBlank="0" type="list">
      <formula1>"Pauschale,Nachweis,Unbekannt"</formula1>
    </dataValidation>
    <dataValidation sqref="C133" showDropDown="0" showInputMessage="0" showErrorMessage="0" allowBlank="0" type="list">
      <formula1>"Pauschale,Nachweis,Unbekannt"</formula1>
    </dataValidation>
    <dataValidation sqref="C134" showDropDown="0" showInputMessage="0" showErrorMessage="0" allowBlank="0" type="list">
      <formula1>"Pauschale,Nachweis,Unbekannt"</formula1>
    </dataValidation>
    <dataValidation sqref="C135" showDropDown="0" showInputMessage="0" showErrorMessage="0" allowBlank="0" type="list">
      <formula1>"Pauschale,Nachweis,Unbekannt"</formula1>
    </dataValidation>
    <dataValidation sqref="C136" showDropDown="0" showInputMessage="0" showErrorMessage="0" allowBlank="0" type="list">
      <formula1>"Pauschale,Nachweis,Unbekannt"</formula1>
    </dataValidation>
    <dataValidation sqref="C137" showDropDown="0" showInputMessage="0" showErrorMessage="0" allowBlank="0" type="list">
      <formula1>"Pauschale,Nachweis,Unbekannt"</formula1>
    </dataValidation>
    <dataValidation sqref="C138" showDropDown="0" showInputMessage="0" showErrorMessage="0" allowBlank="0" type="list">
      <formula1>"Pauschale,Nachweis,Unbekannt"</formula1>
    </dataValidation>
    <dataValidation sqref="C139" showDropDown="0" showInputMessage="0" showErrorMessage="0" allowBlank="0" type="list">
      <formula1>"Pauschale,Nachweis,Unbekannt"</formula1>
    </dataValidation>
    <dataValidation sqref="C140" showDropDown="0" showInputMessage="0" showErrorMessage="0" allowBlank="0" type="list">
      <formula1>"Pauschale,Nachweis,Unbekannt"</formula1>
    </dataValidation>
    <dataValidation sqref="C141" showDropDown="0" showInputMessage="0" showErrorMessage="0" allowBlank="0" type="list">
      <formula1>"Pauschale,Nachweis,Unbekannt"</formula1>
    </dataValidation>
    <dataValidation sqref="C142" showDropDown="0" showInputMessage="0" showErrorMessage="0" allowBlank="0" type="list">
      <formula1>"Pauschale,Nachweis,Unbekannt"</formula1>
    </dataValidation>
    <dataValidation sqref="C143" showDropDown="0" showInputMessage="0" showErrorMessage="0" allowBlank="0" type="list">
      <formula1>"Pauschale,Nachweis,Unbekannt"</formula1>
    </dataValidation>
    <dataValidation sqref="C144" showDropDown="0" showInputMessage="0" showErrorMessage="0" allowBlank="0" type="list">
      <formula1>"Pauschale,Nachweis,Unbekannt"</formula1>
    </dataValidation>
    <dataValidation sqref="C145" showDropDown="0" showInputMessage="0" showErrorMessage="0" allowBlank="0" type="list">
      <formula1>"Pauschale,Nachweis,Unbekannt"</formula1>
    </dataValidation>
    <dataValidation sqref="C146" showDropDown="0" showInputMessage="0" showErrorMessage="0" allowBlank="0" type="list">
      <formula1>"Pauschale,Nachweis,Unbekannt"</formula1>
    </dataValidation>
    <dataValidation sqref="C147" showDropDown="0" showInputMessage="0" showErrorMessage="0" allowBlank="0" type="list">
      <formula1>"Pauschale,Nachweis,Unbekannt"</formula1>
    </dataValidation>
    <dataValidation sqref="C148" showDropDown="0" showInputMessage="0" showErrorMessage="0" allowBlank="0" type="list">
      <formula1>"Pauschale,Nachweis,Unbekannt"</formula1>
    </dataValidation>
    <dataValidation sqref="C149" showDropDown="0" showInputMessage="0" showErrorMessage="0" allowBlank="0" type="list">
      <formula1>"Pauschale,Nachweis,Unbekannt"</formula1>
    </dataValidation>
    <dataValidation sqref="C150" showDropDown="0" showInputMessage="0" showErrorMessage="0" allowBlank="0" type="list">
      <formula1>"Pauschale,Nachweis,Unbekannt"</formula1>
    </dataValidation>
    <dataValidation sqref="C151" showDropDown="0" showInputMessage="0" showErrorMessage="0" allowBlank="0" type="list">
      <formula1>"Pauschale,Nachweis,Unbekannt"</formula1>
    </dataValidation>
    <dataValidation sqref="C152" showDropDown="0" showInputMessage="0" showErrorMessage="0" allowBlank="0" type="list">
      <formula1>"Pauschale,Nachweis,Unbekannt"</formula1>
    </dataValidation>
    <dataValidation sqref="C153" showDropDown="0" showInputMessage="0" showErrorMessage="0" allowBlank="0" type="list">
      <formula1>"Pauschale,Nachweis,Unbekannt"</formula1>
    </dataValidation>
    <dataValidation sqref="C154" showDropDown="0" showInputMessage="0" showErrorMessage="0" allowBlank="0" type="list">
      <formula1>"Pauschale,Nachweis,Unbekannt"</formula1>
    </dataValidation>
    <dataValidation sqref="C155" showDropDown="0" showInputMessage="0" showErrorMessage="0" allowBlank="0" type="list">
      <formula1>"Pauschale,Nachweis,Unbekannt"</formula1>
    </dataValidation>
    <dataValidation sqref="C156" showDropDown="0" showInputMessage="0" showErrorMessage="0" allowBlank="0" type="list">
      <formula1>"Pauschale,Nachweis,Unbekannt"</formula1>
    </dataValidation>
    <dataValidation sqref="C157" showDropDown="0" showInputMessage="0" showErrorMessage="0" allowBlank="0" type="list">
      <formula1>"Pauschale,Nachweis,Unbekannt"</formula1>
    </dataValidation>
    <dataValidation sqref="C158" showDropDown="0" showInputMessage="0" showErrorMessage="0" allowBlank="0" type="list">
      <formula1>"Pauschale,Nachweis,Unbekannt"</formula1>
    </dataValidation>
    <dataValidation sqref="C159" showDropDown="0" showInputMessage="0" showErrorMessage="0" allowBlank="0" type="list">
      <formula1>"Pauschale,Nachweis,Unbekannt"</formula1>
    </dataValidation>
    <dataValidation sqref="C160" showDropDown="0" showInputMessage="0" showErrorMessage="0" allowBlank="0" type="list">
      <formula1>"Pauschale,Nachweis,Unbekannt"</formula1>
    </dataValidation>
    <dataValidation sqref="C161" showDropDown="0" showInputMessage="0" showErrorMessage="0" allowBlank="0" type="list">
      <formula1>"Pauschale,Nachweis,Unbekannt"</formula1>
    </dataValidation>
    <dataValidation sqref="C162" showDropDown="0" showInputMessage="0" showErrorMessage="0" allowBlank="0" type="list">
      <formula1>"Pauschale,Nachweis,Unbekannt"</formula1>
    </dataValidation>
    <dataValidation sqref="C163" showDropDown="0" showInputMessage="0" showErrorMessage="0" allowBlank="0" type="list">
      <formula1>"Pauschale,Nachweis,Unbekannt"</formula1>
    </dataValidation>
    <dataValidation sqref="C164" showDropDown="0" showInputMessage="0" showErrorMessage="0" allowBlank="0" type="list">
      <formula1>"Pauschale,Nachweis,Unbekannt"</formula1>
    </dataValidation>
    <dataValidation sqref="C165" showDropDown="0" showInputMessage="0" showErrorMessage="0" allowBlank="0" type="list">
      <formula1>"Pauschale,Nachweis,Unbekannt"</formula1>
    </dataValidation>
    <dataValidation sqref="C166" showDropDown="0" showInputMessage="0" showErrorMessage="0" allowBlank="0" type="list">
      <formula1>"Pauschale,Nachweis,Unbekannt"</formula1>
    </dataValidation>
    <dataValidation sqref="C167" showDropDown="0" showInputMessage="0" showErrorMessage="0" allowBlank="0" type="list">
      <formula1>"Pauschale,Nachweis,Unbekannt"</formula1>
    </dataValidation>
    <dataValidation sqref="C168" showDropDown="0" showInputMessage="0" showErrorMessage="0" allowBlank="0" type="list">
      <formula1>"Pauschale,Nachweis,Unbekannt"</formula1>
    </dataValidation>
    <dataValidation sqref="C169" showDropDown="0" showInputMessage="0" showErrorMessage="0" allowBlank="0" type="list">
      <formula1>"Pauschale,Nachweis,Unbekannt"</formula1>
    </dataValidation>
    <dataValidation sqref="C170" showDropDown="0" showInputMessage="0" showErrorMessage="0" allowBlank="0" type="list">
      <formula1>"Pauschale,Nachweis,Unbekannt"</formula1>
    </dataValidation>
    <dataValidation sqref="C171" showDropDown="0" showInputMessage="0" showErrorMessage="0" allowBlank="0" type="list">
      <formula1>"Pauschale,Nachweis,Unbekannt"</formula1>
    </dataValidation>
    <dataValidation sqref="C172" showDropDown="0" showInputMessage="0" showErrorMessage="0" allowBlank="0" type="list">
      <formula1>"Pauschale,Nachweis,Unbekannt"</formula1>
    </dataValidation>
    <dataValidation sqref="C173" showDropDown="0" showInputMessage="0" showErrorMessage="0" allowBlank="0" type="list">
      <formula1>"Pauschale,Nachweis,Unbekannt"</formula1>
    </dataValidation>
    <dataValidation sqref="C174" showDropDown="0" showInputMessage="0" showErrorMessage="0" allowBlank="0" type="list">
      <formula1>"Pauschale,Nachweis,Unbekannt"</formula1>
    </dataValidation>
    <dataValidation sqref="C175" showDropDown="0" showInputMessage="0" showErrorMessage="0" allowBlank="0" type="list">
      <formula1>"Pauschale,Nachweis,Unbekannt"</formula1>
    </dataValidation>
    <dataValidation sqref="C176" showDropDown="0" showInputMessage="0" showErrorMessage="0" allowBlank="0" type="list">
      <formula1>"Pauschale,Nachweis,Unbekannt"</formula1>
    </dataValidation>
    <dataValidation sqref="C177" showDropDown="0" showInputMessage="0" showErrorMessage="0" allowBlank="0" type="list">
      <formula1>"Pauschale,Nachweis,Unbekannt"</formula1>
    </dataValidation>
    <dataValidation sqref="C178" showDropDown="0" showInputMessage="0" showErrorMessage="0" allowBlank="0" type="list">
      <formula1>"Pauschale,Nachweis,Unbekannt"</formula1>
    </dataValidation>
    <dataValidation sqref="C179" showDropDown="0" showInputMessage="0" showErrorMessage="0" allowBlank="0" type="list">
      <formula1>"Pauschale,Nachweis,Unbekannt"</formula1>
    </dataValidation>
    <dataValidation sqref="C180" showDropDown="0" showInputMessage="0" showErrorMessage="0" allowBlank="0" type="list">
      <formula1>"Pauschale,Nachweis,Unbekannt"</formula1>
    </dataValidation>
    <dataValidation sqref="C181" showDropDown="0" showInputMessage="0" showErrorMessage="0" allowBlank="0" type="list">
      <formula1>"Pauschale,Nachweis,Unbekannt"</formula1>
    </dataValidation>
    <dataValidation sqref="C182" showDropDown="0" showInputMessage="0" showErrorMessage="0" allowBlank="0" type="list">
      <formula1>"Pauschale,Nachweis,Unbekannt"</formula1>
    </dataValidation>
    <dataValidation sqref="C183" showDropDown="0" showInputMessage="0" showErrorMessage="0" allowBlank="0" type="list">
      <formula1>"Pauschale,Nachweis,Unbekannt"</formula1>
    </dataValidation>
    <dataValidation sqref="C184" showDropDown="0" showInputMessage="0" showErrorMessage="0" allowBlank="0" type="list">
      <formula1>"Pauschale,Nachweis,Unbekannt"</formula1>
    </dataValidation>
    <dataValidation sqref="C185" showDropDown="0" showInputMessage="0" showErrorMessage="0" allowBlank="0" type="list">
      <formula1>"Pauschale,Nachweis,Unbekannt"</formula1>
    </dataValidation>
    <dataValidation sqref="C186" showDropDown="0" showInputMessage="0" showErrorMessage="0" allowBlank="0" type="list">
      <formula1>"Pauschale,Nachweis,Unbekannt"</formula1>
    </dataValidation>
    <dataValidation sqref="C187" showDropDown="0" showInputMessage="0" showErrorMessage="0" allowBlank="0" type="list">
      <formula1>"Pauschale,Nachweis,Unbekannt"</formula1>
    </dataValidation>
    <dataValidation sqref="C188" showDropDown="0" showInputMessage="0" showErrorMessage="0" allowBlank="0" type="list">
      <formula1>"Pauschale,Nachweis,Unbekannt"</formula1>
    </dataValidation>
    <dataValidation sqref="C189" showDropDown="0" showInputMessage="0" showErrorMessage="0" allowBlank="0" type="list">
      <formula1>"Pauschale,Nachweis,Unbekannt"</formula1>
    </dataValidation>
    <dataValidation sqref="C190" showDropDown="0" showInputMessage="0" showErrorMessage="0" allowBlank="0" type="list">
      <formula1>"Pauschale,Nachweis,Unbekannt"</formula1>
    </dataValidation>
    <dataValidation sqref="C191" showDropDown="0" showInputMessage="0" showErrorMessage="0" allowBlank="0" type="list">
      <formula1>"Pauschale,Nachweis,Unbekannt"</formula1>
    </dataValidation>
    <dataValidation sqref="C192" showDropDown="0" showInputMessage="0" showErrorMessage="0" allowBlank="0" type="list">
      <formula1>"Pauschale,Nachweis,Unbekannt"</formula1>
    </dataValidation>
    <dataValidation sqref="C193" showDropDown="0" showInputMessage="0" showErrorMessage="0" allowBlank="0" type="list">
      <formula1>"Pauschale,Nachweis,Unbekannt"</formula1>
    </dataValidation>
    <dataValidation sqref="C194" showDropDown="0" showInputMessage="0" showErrorMessage="0" allowBlank="0" type="list">
      <formula1>"Pauschale,Nachweis,Unbekannt"</formula1>
    </dataValidation>
    <dataValidation sqref="C195" showDropDown="0" showInputMessage="0" showErrorMessage="0" allowBlank="0" type="list">
      <formula1>"Pauschale,Nachweis,Unbekannt"</formula1>
    </dataValidation>
    <dataValidation sqref="C196" showDropDown="0" showInputMessage="0" showErrorMessage="0" allowBlank="0" type="list">
      <formula1>"Pauschale,Nachweis,Unbekannt"</formula1>
    </dataValidation>
    <dataValidation sqref="C197" showDropDown="0" showInputMessage="0" showErrorMessage="0" allowBlank="0" type="list">
      <formula1>"Pauschale,Nachweis,Unbekannt"</formula1>
    </dataValidation>
    <dataValidation sqref="C198" showDropDown="0" showInputMessage="0" showErrorMessage="0" allowBlank="0" type="list">
      <formula1>"Pauschale,Nachweis,Unbekannt"</formula1>
    </dataValidation>
    <dataValidation sqref="C199" showDropDown="0" showInputMessage="0" showErrorMessage="0" allowBlank="0" type="list">
      <formula1>"Pauschale,Nachweis,Unbekannt"</formula1>
    </dataValidation>
    <dataValidation sqref="C200" showDropDown="0" showInputMessage="0" showErrorMessage="0" allowBlank="0" type="list">
      <formula1>"Pauschale,Nachweis,Unbekannt"</formula1>
    </dataValidation>
    <dataValidation sqref="C201" showDropDown="0" showInputMessage="0" showErrorMessage="0" allowBlank="0" type="list">
      <formula1>"Pauschale,Nachweis,Unbekannt"</formula1>
    </dataValidation>
    <dataValidation sqref="C202" showDropDown="0" showInputMessage="0" showErrorMessage="0" allowBlank="0" type="list">
      <formula1>"Pauschale,Nachweis,Unbekannt"</formula1>
    </dataValidation>
    <dataValidation sqref="C203" showDropDown="0" showInputMessage="0" showErrorMessage="0" allowBlank="0" type="list">
      <formula1>"Pauschale,Nachweis,Unbekannt"</formula1>
    </dataValidation>
    <dataValidation sqref="C204" showDropDown="0" showInputMessage="0" showErrorMessage="0" allowBlank="0" type="list">
      <formula1>"Pauschale,Nachweis,Unbekannt"</formula1>
    </dataValidation>
    <dataValidation sqref="C205" showDropDown="0" showInputMessage="0" showErrorMessage="0" allowBlank="0" type="list">
      <formula1>"Pauschale,Nachweis,Unbekannt"</formula1>
    </dataValidation>
    <dataValidation sqref="C206" showDropDown="0" showInputMessage="0" showErrorMessage="0" allowBlank="0" type="list">
      <formula1>"Pauschale,Nachweis,Unbekannt"</formula1>
    </dataValidation>
    <dataValidation sqref="C207" showDropDown="0" showInputMessage="0" showErrorMessage="0" allowBlank="0" type="list">
      <formula1>"Pauschale,Nachweis,Unbekannt"</formula1>
    </dataValidation>
    <dataValidation sqref="C208" showDropDown="0" showInputMessage="0" showErrorMessage="0" allowBlank="0" type="list">
      <formula1>"Pauschale,Nachweis,Unbekannt"</formula1>
    </dataValidation>
    <dataValidation sqref="C209" showDropDown="0" showInputMessage="0" showErrorMessage="0" allowBlank="0" type="list">
      <formula1>"Pauschale,Nachweis,Unbekannt"</formula1>
    </dataValidation>
    <dataValidation sqref="C210" showDropDown="0" showInputMessage="0" showErrorMessage="0" allowBlank="0" type="list">
      <formula1>"Pauschale,Nachweis,Unbekannt"</formula1>
    </dataValidation>
    <dataValidation sqref="C211" showDropDown="0" showInputMessage="0" showErrorMessage="0" allowBlank="0" type="list">
      <formula1>"Pauschale,Nachweis,Unbekannt"</formula1>
    </dataValidation>
    <dataValidation sqref="C212" showDropDown="0" showInputMessage="0" showErrorMessage="0" allowBlank="0" type="list">
      <formula1>"Pauschale,Nachweis,Unbekannt"</formula1>
    </dataValidation>
    <dataValidation sqref="C213" showDropDown="0" showInputMessage="0" showErrorMessage="0" allowBlank="0" type="list">
      <formula1>"Pauschale,Nachweis,Unbekannt"</formula1>
    </dataValidation>
    <dataValidation sqref="C214" showDropDown="0" showInputMessage="0" showErrorMessage="0" allowBlank="0" type="list">
      <formula1>"Pauschale,Nachweis,Unbekannt"</formula1>
    </dataValidation>
    <dataValidation sqref="C215" showDropDown="0" showInputMessage="0" showErrorMessage="0" allowBlank="0" type="list">
      <formula1>"Pauschale,Nachweis,Unbekannt"</formula1>
    </dataValidation>
    <dataValidation sqref="C216" showDropDown="0" showInputMessage="0" showErrorMessage="0" allowBlank="0" type="list">
      <formula1>"Pauschale,Nachweis,Unbekannt"</formula1>
    </dataValidation>
    <dataValidation sqref="C217" showDropDown="0" showInputMessage="0" showErrorMessage="0" allowBlank="0" type="list">
      <formula1>"Pauschale,Nachweis,Unbekannt"</formula1>
    </dataValidation>
    <dataValidation sqref="C218" showDropDown="0" showInputMessage="0" showErrorMessage="0" allowBlank="0" type="list">
      <formula1>"Pauschale,Nachweis,Unbekannt"</formula1>
    </dataValidation>
    <dataValidation sqref="C219" showDropDown="0" showInputMessage="0" showErrorMessage="0" allowBlank="0" type="list">
      <formula1>"Pauschale,Nachweis,Unbekannt"</formula1>
    </dataValidation>
    <dataValidation sqref="C220" showDropDown="0" showInputMessage="0" showErrorMessage="0" allowBlank="0" type="list">
      <formula1>"Pauschale,Nachweis,Unbekannt"</formula1>
    </dataValidation>
    <dataValidation sqref="C221" showDropDown="0" showInputMessage="0" showErrorMessage="0" allowBlank="0" type="list">
      <formula1>"Pauschale,Nachweis,Unbekannt"</formula1>
    </dataValidation>
    <dataValidation sqref="C222" showDropDown="0" showInputMessage="0" showErrorMessage="0" allowBlank="0" type="list">
      <formula1>"Pauschale,Nachweis,Unbekannt"</formula1>
    </dataValidation>
    <dataValidation sqref="C223" showDropDown="0" showInputMessage="0" showErrorMessage="0" allowBlank="0" type="list">
      <formula1>"Pauschale,Nachweis,Unbekannt"</formula1>
    </dataValidation>
    <dataValidation sqref="C224" showDropDown="0" showInputMessage="0" showErrorMessage="0" allowBlank="0" type="list">
      <formula1>"Pauschale,Nachweis,Unbekannt"</formula1>
    </dataValidation>
    <dataValidation sqref="C225" showDropDown="0" showInputMessage="0" showErrorMessage="0" allowBlank="0" type="list">
      <formula1>"Pauschale,Nachweis,Unbekannt"</formula1>
    </dataValidation>
    <dataValidation sqref="C226" showDropDown="0" showInputMessage="0" showErrorMessage="0" allowBlank="0" type="list">
      <formula1>"Pauschale,Nachweis,Unbekannt"</formula1>
    </dataValidation>
    <dataValidation sqref="C227" showDropDown="0" showInputMessage="0" showErrorMessage="0" allowBlank="0" type="list">
      <formula1>"Pauschale,Nachweis,Unbekannt"</formula1>
    </dataValidation>
    <dataValidation sqref="C228" showDropDown="0" showInputMessage="0" showErrorMessage="0" allowBlank="0" type="list">
      <formula1>"Pauschale,Nachweis,Unbekannt"</formula1>
    </dataValidation>
    <dataValidation sqref="C229" showDropDown="0" showInputMessage="0" showErrorMessage="0" allowBlank="0" type="list">
      <formula1>"Pauschale,Nachweis,Unbekannt"</formula1>
    </dataValidation>
    <dataValidation sqref="C230" showDropDown="0" showInputMessage="0" showErrorMessage="0" allowBlank="0" type="list">
      <formula1>"Pauschale,Nachweis,Unbekannt"</formula1>
    </dataValidation>
    <dataValidation sqref="C231" showDropDown="0" showInputMessage="0" showErrorMessage="0" allowBlank="0" type="list">
      <formula1>"Pauschale,Nachweis,Unbekannt"</formula1>
    </dataValidation>
    <dataValidation sqref="C232" showDropDown="0" showInputMessage="0" showErrorMessage="0" allowBlank="0" type="list">
      <formula1>"Pauschale,Nachweis,Unbekannt"</formula1>
    </dataValidation>
    <dataValidation sqref="C233" showDropDown="0" showInputMessage="0" showErrorMessage="0" allowBlank="0" type="list">
      <formula1>"Pauschale,Nachweis,Unbekannt"</formula1>
    </dataValidation>
    <dataValidation sqref="C234" showDropDown="0" showInputMessage="0" showErrorMessage="0" allowBlank="0" type="list">
      <formula1>"Pauschale,Nachweis,Unbekannt"</formula1>
    </dataValidation>
    <dataValidation sqref="C235" showDropDown="0" showInputMessage="0" showErrorMessage="0" allowBlank="0" type="list">
      <formula1>"Pauschale,Nachweis,Unbekannt"</formula1>
    </dataValidation>
    <dataValidation sqref="C236" showDropDown="0" showInputMessage="0" showErrorMessage="0" allowBlank="0" type="list">
      <formula1>"Pauschale,Nachweis,Unbekannt"</formula1>
    </dataValidation>
    <dataValidation sqref="C237" showDropDown="0" showInputMessage="0" showErrorMessage="0" allowBlank="0" type="list">
      <formula1>"Pauschale,Nachweis,Unbekannt"</formula1>
    </dataValidation>
    <dataValidation sqref="C238" showDropDown="0" showInputMessage="0" showErrorMessage="0" allowBlank="0" type="list">
      <formula1>"Pauschale,Nachweis,Unbekannt"</formula1>
    </dataValidation>
    <dataValidation sqref="C239" showDropDown="0" showInputMessage="0" showErrorMessage="0" allowBlank="0" type="list">
      <formula1>"Pauschale,Nachweis,Unbekannt"</formula1>
    </dataValidation>
    <dataValidation sqref="C240" showDropDown="0" showInputMessage="0" showErrorMessage="0" allowBlank="0" type="list">
      <formula1>"Pauschale,Nachweis,Unbekannt"</formula1>
    </dataValidation>
    <dataValidation sqref="C241" showDropDown="0" showInputMessage="0" showErrorMessage="0" allowBlank="0" type="list">
      <formula1>"Pauschale,Nachweis,Unbekannt"</formula1>
    </dataValidation>
    <dataValidation sqref="C242" showDropDown="0" showInputMessage="0" showErrorMessage="0" allowBlank="0" type="list">
      <formula1>"Pauschale,Nachweis,Unbekannt"</formula1>
    </dataValidation>
    <dataValidation sqref="C243" showDropDown="0" showInputMessage="0" showErrorMessage="0" allowBlank="0" type="list">
      <formula1>"Pauschale,Nachweis,Unbekannt"</formula1>
    </dataValidation>
    <dataValidation sqref="C244" showDropDown="0" showInputMessage="0" showErrorMessage="0" allowBlank="0" type="list">
      <formula1>"Pauschale,Nachweis,Unbekannt"</formula1>
    </dataValidation>
    <dataValidation sqref="C245" showDropDown="0" showInputMessage="0" showErrorMessage="0" allowBlank="0" type="list">
      <formula1>"Pauschale,Nachweis,Unbekannt"</formula1>
    </dataValidation>
    <dataValidation sqref="C246" showDropDown="0" showInputMessage="0" showErrorMessage="0" allowBlank="0" type="list">
      <formula1>"Pauschale,Nachweis,Unbekannt"</formula1>
    </dataValidation>
    <dataValidation sqref="C247" showDropDown="0" showInputMessage="0" showErrorMessage="0" allowBlank="0" type="list">
      <formula1>"Pauschale,Nachweis,Unbekannt"</formula1>
    </dataValidation>
    <dataValidation sqref="C248" showDropDown="0" showInputMessage="0" showErrorMessage="0" allowBlank="0" type="list">
      <formula1>"Pauschale,Nachweis,Unbekannt"</formula1>
    </dataValidation>
    <dataValidation sqref="C249" showDropDown="0" showInputMessage="0" showErrorMessage="0" allowBlank="0" type="list">
      <formula1>"Pauschale,Nachweis,Unbekannt"</formula1>
    </dataValidation>
    <dataValidation sqref="C250" showDropDown="0" showInputMessage="0" showErrorMessage="0" allowBlank="0" type="list">
      <formula1>"Pauschale,Nachweis,Unbekannt"</formula1>
    </dataValidation>
    <dataValidation sqref="C251" showDropDown="0" showInputMessage="0" showErrorMessage="0" allowBlank="0" type="list">
      <formula1>"Pauschale,Nachweis,Unbekannt"</formula1>
    </dataValidation>
    <dataValidation sqref="C252" showDropDown="0" showInputMessage="0" showErrorMessage="0" allowBlank="0" type="list">
      <formula1>"Pauschale,Nachweis,Unbekannt"</formula1>
    </dataValidation>
    <dataValidation sqref="C253" showDropDown="0" showInputMessage="0" showErrorMessage="0" allowBlank="0" type="list">
      <formula1>"Pauschale,Nachweis,Unbekannt"</formula1>
    </dataValidation>
    <dataValidation sqref="C254" showDropDown="0" showInputMessage="0" showErrorMessage="0" allowBlank="0" type="list">
      <formula1>"Pauschale,Nachweis,Unbekannt"</formula1>
    </dataValidation>
    <dataValidation sqref="C255" showDropDown="0" showInputMessage="0" showErrorMessage="0" allowBlank="0" type="list">
      <formula1>"Pauschale,Nachweis,Unbekannt"</formula1>
    </dataValidation>
    <dataValidation sqref="C256" showDropDown="0" showInputMessage="0" showErrorMessage="0" allowBlank="0" type="list">
      <formula1>"Pauschale,Nachweis,Unbekannt"</formula1>
    </dataValidation>
    <dataValidation sqref="C257" showDropDown="0" showInputMessage="0" showErrorMessage="0" allowBlank="0" type="list">
      <formula1>"Pauschale,Nachweis,Unbekannt"</formula1>
    </dataValidation>
    <dataValidation sqref="C258" showDropDown="0" showInputMessage="0" showErrorMessage="0" allowBlank="0" type="list">
      <formula1>"Pauschale,Nachweis,Unbekannt"</formula1>
    </dataValidation>
    <dataValidation sqref="C259" showDropDown="0" showInputMessage="0" showErrorMessage="0" allowBlank="0" type="list">
      <formula1>"Pauschale,Nachweis,Unbekannt"</formula1>
    </dataValidation>
    <dataValidation sqref="C260" showDropDown="0" showInputMessage="0" showErrorMessage="0" allowBlank="0" type="list">
      <formula1>"Pauschale,Nachweis,Unbekannt"</formula1>
    </dataValidation>
    <dataValidation sqref="C261" showDropDown="0" showInputMessage="0" showErrorMessage="0" allowBlank="0" type="list">
      <formula1>"Pauschale,Nachweis,Unbekannt"</formula1>
    </dataValidation>
    <dataValidation sqref="C262" showDropDown="0" showInputMessage="0" showErrorMessage="0" allowBlank="0" type="list">
      <formula1>"Pauschale,Nachweis,Unbekannt"</formula1>
    </dataValidation>
    <dataValidation sqref="C263" showDropDown="0" showInputMessage="0" showErrorMessage="0" allowBlank="0" type="list">
      <formula1>"Pauschale,Nachweis,Unbekannt"</formula1>
    </dataValidation>
    <dataValidation sqref="C264" showDropDown="0" showInputMessage="0" showErrorMessage="0" allowBlank="0" type="list">
      <formula1>"Pauschale,Nachweis,Unbekannt"</formula1>
    </dataValidation>
    <dataValidation sqref="C265" showDropDown="0" showInputMessage="0" showErrorMessage="0" allowBlank="0" type="list">
      <formula1>"Pauschale,Nachweis,Unbekannt"</formula1>
    </dataValidation>
    <dataValidation sqref="C266" showDropDown="0" showInputMessage="0" showErrorMessage="0" allowBlank="0" type="list">
      <formula1>"Pauschale,Nachweis,Unbekannt"</formula1>
    </dataValidation>
    <dataValidation sqref="C267" showDropDown="0" showInputMessage="0" showErrorMessage="0" allowBlank="0" type="list">
      <formula1>"Pauschale,Nachweis,Unbekannt"</formula1>
    </dataValidation>
    <dataValidation sqref="C268" showDropDown="0" showInputMessage="0" showErrorMessage="0" allowBlank="0" type="list">
      <formula1>"Pauschale,Nachweis,Unbekannt"</formula1>
    </dataValidation>
    <dataValidation sqref="C269" showDropDown="0" showInputMessage="0" showErrorMessage="0" allowBlank="0" type="list">
      <formula1>"Pauschale,Nachweis,Unbekannt"</formula1>
    </dataValidation>
    <dataValidation sqref="C270" showDropDown="0" showInputMessage="0" showErrorMessage="0" allowBlank="0" type="list">
      <formula1>"Pauschale,Nachweis,Unbekannt"</formula1>
    </dataValidation>
    <dataValidation sqref="C271" showDropDown="0" showInputMessage="0" showErrorMessage="0" allowBlank="0" type="list">
      <formula1>"Pauschale,Nachweis,Unbekannt"</formula1>
    </dataValidation>
    <dataValidation sqref="C272" showDropDown="0" showInputMessage="0" showErrorMessage="0" allowBlank="0" type="list">
      <formula1>"Pauschale,Nachweis,Unbekannt"</formula1>
    </dataValidation>
    <dataValidation sqref="C273" showDropDown="0" showInputMessage="0" showErrorMessage="0" allowBlank="0" type="list">
      <formula1>"Pauschale,Nachweis,Unbekannt"</formula1>
    </dataValidation>
    <dataValidation sqref="C274" showDropDown="0" showInputMessage="0" showErrorMessage="0" allowBlank="0" type="list">
      <formula1>"Pauschale,Nachweis,Unbekannt"</formula1>
    </dataValidation>
    <dataValidation sqref="C275" showDropDown="0" showInputMessage="0" showErrorMessage="0" allowBlank="0" type="list">
      <formula1>"Pauschale,Nachweis,Unbekannt"</formula1>
    </dataValidation>
    <dataValidation sqref="C276" showDropDown="0" showInputMessage="0" showErrorMessage="0" allowBlank="0" type="list">
      <formula1>"Pauschale,Nachweis,Unbekannt"</formula1>
    </dataValidation>
    <dataValidation sqref="C277" showDropDown="0" showInputMessage="0" showErrorMessage="0" allowBlank="0" type="list">
      <formula1>"Pauschale,Nachweis,Unbekannt"</formula1>
    </dataValidation>
    <dataValidation sqref="C278" showDropDown="0" showInputMessage="0" showErrorMessage="0" allowBlank="0" type="list">
      <formula1>"Pauschale,Nachweis,Unbekannt"</formula1>
    </dataValidation>
    <dataValidation sqref="C279" showDropDown="0" showInputMessage="0" showErrorMessage="0" allowBlank="0" type="list">
      <formula1>"Pauschale,Nachweis,Unbekannt"</formula1>
    </dataValidation>
    <dataValidation sqref="C280" showDropDown="0" showInputMessage="0" showErrorMessage="0" allowBlank="0" type="list">
      <formula1>"Pauschale,Nachweis,Unbekannt"</formula1>
    </dataValidation>
    <dataValidation sqref="C281" showDropDown="0" showInputMessage="0" showErrorMessage="0" allowBlank="0" type="list">
      <formula1>"Pauschale,Nachweis,Unbekannt"</formula1>
    </dataValidation>
    <dataValidation sqref="C282" showDropDown="0" showInputMessage="0" showErrorMessage="0" allowBlank="0" type="list">
      <formula1>"Pauschale,Nachweis,Unbekannt"</formula1>
    </dataValidation>
    <dataValidation sqref="C283" showDropDown="0" showInputMessage="0" showErrorMessage="0" allowBlank="0" type="list">
      <formula1>"Pauschale,Nachweis,Unbekannt"</formula1>
    </dataValidation>
    <dataValidation sqref="C284" showDropDown="0" showInputMessage="0" showErrorMessage="0" allowBlank="0" type="list">
      <formula1>"Pauschale,Nachweis,Unbekannt"</formula1>
    </dataValidation>
    <dataValidation sqref="C285" showDropDown="0" showInputMessage="0" showErrorMessage="0" allowBlank="0" type="list">
      <formula1>"Pauschale,Nachweis,Unbekannt"</formula1>
    </dataValidation>
    <dataValidation sqref="C286" showDropDown="0" showInputMessage="0" showErrorMessage="0" allowBlank="0" type="list">
      <formula1>"Pauschale,Nachweis,Unbekannt"</formula1>
    </dataValidation>
    <dataValidation sqref="C287" showDropDown="0" showInputMessage="0" showErrorMessage="0" allowBlank="0" type="list">
      <formula1>"Pauschale,Nachweis,Unbekannt"</formula1>
    </dataValidation>
    <dataValidation sqref="C288" showDropDown="0" showInputMessage="0" showErrorMessage="0" allowBlank="0" type="list">
      <formula1>"Pauschale,Nachweis,Unbekannt"</formula1>
    </dataValidation>
    <dataValidation sqref="C289" showDropDown="0" showInputMessage="0" showErrorMessage="0" allowBlank="0" type="list">
      <formula1>"Pauschale,Nachweis,Unbekannt"</formula1>
    </dataValidation>
    <dataValidation sqref="C290" showDropDown="0" showInputMessage="0" showErrorMessage="0" allowBlank="0" type="list">
      <formula1>"Pauschale,Nachweis,Unbekannt"</formula1>
    </dataValidation>
    <dataValidation sqref="C291" showDropDown="0" showInputMessage="0" showErrorMessage="0" allowBlank="0" type="list">
      <formula1>"Pauschale,Nachweis,Unbekannt"</formula1>
    </dataValidation>
    <dataValidation sqref="C292" showDropDown="0" showInputMessage="0" showErrorMessage="0" allowBlank="0" type="list">
      <formula1>"Pauschale,Nachweis,Unbekannt"</formula1>
    </dataValidation>
    <dataValidation sqref="C293" showDropDown="0" showInputMessage="0" showErrorMessage="0" allowBlank="0" type="list">
      <formula1>"Pauschale,Nachweis,Unbekannt"</formula1>
    </dataValidation>
    <dataValidation sqref="C294" showDropDown="0" showInputMessage="0" showErrorMessage="0" allowBlank="0" type="list">
      <formula1>"Pauschale,Nachweis,Unbekannt"</formula1>
    </dataValidation>
    <dataValidation sqref="C295" showDropDown="0" showInputMessage="0" showErrorMessage="0" allowBlank="0" type="list">
      <formula1>"Pauschale,Nachweis,Unbekannt"</formula1>
    </dataValidation>
    <dataValidation sqref="C296" showDropDown="0" showInputMessage="0" showErrorMessage="0" allowBlank="0" type="list">
      <formula1>"Pauschale,Nachweis,Unbekannt"</formula1>
    </dataValidation>
    <dataValidation sqref="C297" showDropDown="0" showInputMessage="0" showErrorMessage="0" allowBlank="0" type="list">
      <formula1>"Pauschale,Nachweis,Unbekannt"</formula1>
    </dataValidation>
    <dataValidation sqref="C298" showDropDown="0" showInputMessage="0" showErrorMessage="0" allowBlank="0" type="list">
      <formula1>"Pauschale,Nachweis,Unbekannt"</formula1>
    </dataValidation>
    <dataValidation sqref="C299" showDropDown="0" showInputMessage="0" showErrorMessage="0" allowBlank="0" type="list">
      <formula1>"Pauschale,Nachweis,Unbekannt"</formula1>
    </dataValidation>
    <dataValidation sqref="C300" showDropDown="0" showInputMessage="0" showErrorMessage="0" allowBlank="0" type="list">
      <formula1>"Pauschale,Nachweis,Unbekannt"</formula1>
    </dataValidation>
    <dataValidation sqref="C301" showDropDown="0" showInputMessage="0" showErrorMessage="0" allowBlank="0" type="list">
      <formula1>"Pauschale,Nachweis,Unbekannt"</formula1>
    </dataValidation>
    <dataValidation sqref="C302" showDropDown="0" showInputMessage="0" showErrorMessage="0" allowBlank="0" type="list">
      <formula1>"Pauschale,Nachweis,Unbekannt"</formula1>
    </dataValidation>
    <dataValidation sqref="C303" showDropDown="0" showInputMessage="0" showErrorMessage="0" allowBlank="0" type="list">
      <formula1>"Pauschale,Nachweis,Unbekannt"</formula1>
    </dataValidation>
    <dataValidation sqref="C304" showDropDown="0" showInputMessage="0" showErrorMessage="0" allowBlank="0" type="list">
      <formula1>"Pauschale,Nachweis,Unbekannt"</formula1>
    </dataValidation>
    <dataValidation sqref="C305" showDropDown="0" showInputMessage="0" showErrorMessage="0" allowBlank="0" type="list">
      <formula1>"Pauschale,Nachweis,Unbekannt"</formula1>
    </dataValidation>
    <dataValidation sqref="C306" showDropDown="0" showInputMessage="0" showErrorMessage="0" allowBlank="0" type="list">
      <formula1>"Pauschale,Nachweis,Unbekannt"</formula1>
    </dataValidation>
    <dataValidation sqref="C307" showDropDown="0" showInputMessage="0" showErrorMessage="0" allowBlank="0" type="list">
      <formula1>"Pauschale,Nachweis,Unbekannt"</formula1>
    </dataValidation>
    <dataValidation sqref="C308" showDropDown="0" showInputMessage="0" showErrorMessage="0" allowBlank="0" type="list">
      <formula1>"Pauschale,Nachweis,Unbekannt"</formula1>
    </dataValidation>
    <dataValidation sqref="C309" showDropDown="0" showInputMessage="0" showErrorMessage="0" allowBlank="0" type="list">
      <formula1>"Pauschale,Nachweis,Unbekannt"</formula1>
    </dataValidation>
    <dataValidation sqref="C310" showDropDown="0" showInputMessage="0" showErrorMessage="0" allowBlank="0" type="list">
      <formula1>"Pauschale,Nachweis,Unbekannt"</formula1>
    </dataValidation>
    <dataValidation sqref="C311" showDropDown="0" showInputMessage="0" showErrorMessage="0" allowBlank="0" type="list">
      <formula1>"Pauschale,Nachweis,Unbekannt"</formula1>
    </dataValidation>
    <dataValidation sqref="C312" showDropDown="0" showInputMessage="0" showErrorMessage="0" allowBlank="0" type="list">
      <formula1>"Pauschale,Nachweis,Unbekannt"</formula1>
    </dataValidation>
    <dataValidation sqref="C313" showDropDown="0" showInputMessage="0" showErrorMessage="0" allowBlank="0" type="list">
      <formula1>"Pauschale,Nachweis,Unbekannt"</formula1>
    </dataValidation>
    <dataValidation sqref="C314" showDropDown="0" showInputMessage="0" showErrorMessage="0" allowBlank="0" type="list">
      <formula1>"Pauschale,Nachweis,Unbekannt"</formula1>
    </dataValidation>
    <dataValidation sqref="C315" showDropDown="0" showInputMessage="0" showErrorMessage="0" allowBlank="0" type="list">
      <formula1>"Pauschale,Nachweis,Unbekannt"</formula1>
    </dataValidation>
    <dataValidation sqref="C316" showDropDown="0" showInputMessage="0" showErrorMessage="0" allowBlank="0" type="list">
      <formula1>"Pauschale,Nachweis,Unbekannt"</formula1>
    </dataValidation>
    <dataValidation sqref="C317" showDropDown="0" showInputMessage="0" showErrorMessage="0" allowBlank="0" type="list">
      <formula1>"Pauschale,Nachweis,Unbekannt"</formula1>
    </dataValidation>
    <dataValidation sqref="C318" showDropDown="0" showInputMessage="0" showErrorMessage="0" allowBlank="0" type="list">
      <formula1>"Pauschale,Nachweis,Unbekannt"</formula1>
    </dataValidation>
    <dataValidation sqref="C319" showDropDown="0" showInputMessage="0" showErrorMessage="0" allowBlank="0" type="list">
      <formula1>"Pauschale,Nachweis,Unbekannt"</formula1>
    </dataValidation>
    <dataValidation sqref="C320" showDropDown="0" showInputMessage="0" showErrorMessage="0" allowBlank="0" type="list">
      <formula1>"Pauschale,Nachweis,Unbekannt"</formula1>
    </dataValidation>
    <dataValidation sqref="C321" showDropDown="0" showInputMessage="0" showErrorMessage="0" allowBlank="0" type="list">
      <formula1>"Pauschale,Nachweis,Unbekannt"</formula1>
    </dataValidation>
    <dataValidation sqref="C322" showDropDown="0" showInputMessage="0" showErrorMessage="0" allowBlank="0" type="list">
      <formula1>"Pauschale,Nachweis,Unbekannt"</formula1>
    </dataValidation>
    <dataValidation sqref="C323" showDropDown="0" showInputMessage="0" showErrorMessage="0" allowBlank="0" type="list">
      <formula1>"Pauschale,Nachweis,Unbekannt"</formula1>
    </dataValidation>
    <dataValidation sqref="C324" showDropDown="0" showInputMessage="0" showErrorMessage="0" allowBlank="0" type="list">
      <formula1>"Pauschale,Nachweis,Unbekannt"</formula1>
    </dataValidation>
    <dataValidation sqref="C325" showDropDown="0" showInputMessage="0" showErrorMessage="0" allowBlank="0" type="list">
      <formula1>"Pauschale,Nachweis,Unbekannt"</formula1>
    </dataValidation>
    <dataValidation sqref="C326" showDropDown="0" showInputMessage="0" showErrorMessage="0" allowBlank="0" type="list">
      <formula1>"Pauschale,Nachweis,Unbekannt"</formula1>
    </dataValidation>
    <dataValidation sqref="C327" showDropDown="0" showInputMessage="0" showErrorMessage="0" allowBlank="0" type="list">
      <formula1>"Pauschale,Nachweis,Unbekannt"</formula1>
    </dataValidation>
    <dataValidation sqref="C328" showDropDown="0" showInputMessage="0" showErrorMessage="0" allowBlank="0" type="list">
      <formula1>"Pauschale,Nachweis,Unbekannt"</formula1>
    </dataValidation>
    <dataValidation sqref="C329" showDropDown="0" showInputMessage="0" showErrorMessage="0" allowBlank="0" type="list">
      <formula1>"Pauschale,Nachweis,Unbekannt"</formula1>
    </dataValidation>
    <dataValidation sqref="C330" showDropDown="0" showInputMessage="0" showErrorMessage="0" allowBlank="0" type="list">
      <formula1>"Pauschale,Nachweis,Unbekannt"</formula1>
    </dataValidation>
    <dataValidation sqref="C331" showDropDown="0" showInputMessage="0" showErrorMessage="0" allowBlank="0" type="list">
      <formula1>"Pauschale,Nachweis,Unbekannt"</formula1>
    </dataValidation>
    <dataValidation sqref="C332" showDropDown="0" showInputMessage="0" showErrorMessage="0" allowBlank="0" type="list">
      <formula1>"Pauschale,Nachweis,Unbekannt"</formula1>
    </dataValidation>
    <dataValidation sqref="C333" showDropDown="0" showInputMessage="0" showErrorMessage="0" allowBlank="0" type="list">
      <formula1>"Pauschale,Nachweis,Unbekannt"</formula1>
    </dataValidation>
    <dataValidation sqref="C334" showDropDown="0" showInputMessage="0" showErrorMessage="0" allowBlank="0" type="list">
      <formula1>"Pauschale,Nachweis,Unbekannt"</formula1>
    </dataValidation>
    <dataValidation sqref="C335" showDropDown="0" showInputMessage="0" showErrorMessage="0" allowBlank="0" type="list">
      <formula1>"Pauschale,Nachweis,Unbekannt"</formula1>
    </dataValidation>
    <dataValidation sqref="C336" showDropDown="0" showInputMessage="0" showErrorMessage="0" allowBlank="0" type="list">
      <formula1>"Pauschale,Nachweis,Unbekannt"</formula1>
    </dataValidation>
    <dataValidation sqref="C337" showDropDown="0" showInputMessage="0" showErrorMessage="0" allowBlank="0" type="list">
      <formula1>"Pauschale,Nachweis,Unbekannt"</formula1>
    </dataValidation>
    <dataValidation sqref="C338" showDropDown="0" showInputMessage="0" showErrorMessage="0" allowBlank="0" type="list">
      <formula1>"Pauschale,Nachweis,Unbekannt"</formula1>
    </dataValidation>
    <dataValidation sqref="C339" showDropDown="0" showInputMessage="0" showErrorMessage="0" allowBlank="0" type="list">
      <formula1>"Pauschale,Nachweis,Unbekannt"</formula1>
    </dataValidation>
    <dataValidation sqref="C340" showDropDown="0" showInputMessage="0" showErrorMessage="0" allowBlank="0" type="list">
      <formula1>"Pauschale,Nachweis,Unbekannt"</formula1>
    </dataValidation>
    <dataValidation sqref="C341" showDropDown="0" showInputMessage="0" showErrorMessage="0" allowBlank="0" type="list">
      <formula1>"Pauschale,Nachweis,Unbekannt"</formula1>
    </dataValidation>
    <dataValidation sqref="C342" showDropDown="0" showInputMessage="0" showErrorMessage="0" allowBlank="0" type="list">
      <formula1>"Pauschale,Nachweis,Unbekannt"</formula1>
    </dataValidation>
    <dataValidation sqref="C343" showDropDown="0" showInputMessage="0" showErrorMessage="0" allowBlank="0" type="list">
      <formula1>"Pauschale,Nachweis,Unbekannt"</formula1>
    </dataValidation>
    <dataValidation sqref="C344" showDropDown="0" showInputMessage="0" showErrorMessage="0" allowBlank="0" type="list">
      <formula1>"Pauschale,Nachweis,Unbekannt"</formula1>
    </dataValidation>
    <dataValidation sqref="C345" showDropDown="0" showInputMessage="0" showErrorMessage="0" allowBlank="0" type="list">
      <formula1>"Pauschale,Nachweis,Unbekannt"</formula1>
    </dataValidation>
    <dataValidation sqref="C346" showDropDown="0" showInputMessage="0" showErrorMessage="0" allowBlank="0" type="list">
      <formula1>"Pauschale,Nachweis,Unbekannt"</formula1>
    </dataValidation>
    <dataValidation sqref="C347" showDropDown="0" showInputMessage="0" showErrorMessage="0" allowBlank="0" type="list">
      <formula1>"Pauschale,Nachweis,Unbekannt"</formula1>
    </dataValidation>
    <dataValidation sqref="C348" showDropDown="0" showInputMessage="0" showErrorMessage="0" allowBlank="0" type="list">
      <formula1>"Pauschale,Nachweis,Unbekannt"</formula1>
    </dataValidation>
    <dataValidation sqref="C349" showDropDown="0" showInputMessage="0" showErrorMessage="0" allowBlank="0" type="list">
      <formula1>"Pauschale,Nachweis,Unbekannt"</formula1>
    </dataValidation>
    <dataValidation sqref="C350" showDropDown="0" showInputMessage="0" showErrorMessage="0" allowBlank="0" type="list">
      <formula1>"Pauschale,Nachweis,Unbekannt"</formula1>
    </dataValidation>
    <dataValidation sqref="C351" showDropDown="0" showInputMessage="0" showErrorMessage="0" allowBlank="0" type="list">
      <formula1>"Pauschale,Nachweis,Unbekannt"</formula1>
    </dataValidation>
    <dataValidation sqref="C352" showDropDown="0" showInputMessage="0" showErrorMessage="0" allowBlank="0" type="list">
      <formula1>"Pauschale,Nachweis,Unbekannt"</formula1>
    </dataValidation>
    <dataValidation sqref="C353" showDropDown="0" showInputMessage="0" showErrorMessage="0" allowBlank="0" type="list">
      <formula1>"Pauschale,Nachweis,Unbekannt"</formula1>
    </dataValidation>
    <dataValidation sqref="C354" showDropDown="0" showInputMessage="0" showErrorMessage="0" allowBlank="0" type="list">
      <formula1>"Pauschale,Nachweis,Unbekannt"</formula1>
    </dataValidation>
    <dataValidation sqref="C355" showDropDown="0" showInputMessage="0" showErrorMessage="0" allowBlank="0" type="list">
      <formula1>"Pauschale,Nachweis,Unbekannt"</formula1>
    </dataValidation>
    <dataValidation sqref="C356" showDropDown="0" showInputMessage="0" showErrorMessage="0" allowBlank="0" type="list">
      <formula1>"Pauschale,Nachweis,Unbekannt"</formula1>
    </dataValidation>
    <dataValidation sqref="C357" showDropDown="0" showInputMessage="0" showErrorMessage="0" allowBlank="0" type="list">
      <formula1>"Pauschale,Nachweis,Unbekannt"</formula1>
    </dataValidation>
    <dataValidation sqref="C358" showDropDown="0" showInputMessage="0" showErrorMessage="0" allowBlank="0" type="list">
      <formula1>"Pauschale,Nachweis,Unbekannt"</formula1>
    </dataValidation>
    <dataValidation sqref="C359" showDropDown="0" showInputMessage="0" showErrorMessage="0" allowBlank="0" type="list">
      <formula1>"Pauschale,Nachweis,Unbekannt"</formula1>
    </dataValidation>
    <dataValidation sqref="C360" showDropDown="0" showInputMessage="0" showErrorMessage="0" allowBlank="0" type="list">
      <formula1>"Pauschale,Nachweis,Unbekannt"</formula1>
    </dataValidation>
    <dataValidation sqref="C361" showDropDown="0" showInputMessage="0" showErrorMessage="0" allowBlank="0" type="list">
      <formula1>"Pauschale,Nachweis,Unbekannt"</formula1>
    </dataValidation>
    <dataValidation sqref="C362" showDropDown="0" showInputMessage="0" showErrorMessage="0" allowBlank="0" type="list">
      <formula1>"Pauschale,Nachweis,Unbekannt"</formula1>
    </dataValidation>
    <dataValidation sqref="C363" showDropDown="0" showInputMessage="0" showErrorMessage="0" allowBlank="0" type="list">
      <formula1>"Pauschale,Nachweis,Unbekannt"</formula1>
    </dataValidation>
    <dataValidation sqref="C364" showDropDown="0" showInputMessage="0" showErrorMessage="0" allowBlank="0" type="list">
      <formula1>"Pauschale,Nachweis,Unbekannt"</formula1>
    </dataValidation>
    <dataValidation sqref="C365" showDropDown="0" showInputMessage="0" showErrorMessage="0" allowBlank="0" type="list">
      <formula1>"Pauschale,Nachweis,Unbekannt"</formula1>
    </dataValidation>
    <dataValidation sqref="C366" showDropDown="0" showInputMessage="0" showErrorMessage="0" allowBlank="0" type="list">
      <formula1>"Pauschale,Nachweis,Unbekannt"</formula1>
    </dataValidation>
    <dataValidation sqref="C367" showDropDown="0" showInputMessage="0" showErrorMessage="0" allowBlank="0" type="list">
      <formula1>"Pauschale,Nachweis,Unbekannt"</formula1>
    </dataValidation>
    <dataValidation sqref="C368" showDropDown="0" showInputMessage="0" showErrorMessage="0" allowBlank="0" type="list">
      <formula1>"Pauschale,Nachweis,Unbekannt"</formula1>
    </dataValidation>
    <dataValidation sqref="C369" showDropDown="0" showInputMessage="0" showErrorMessage="0" allowBlank="0" type="list">
      <formula1>"Pauschale,Nachweis,Unbekannt"</formula1>
    </dataValidation>
    <dataValidation sqref="C370" showDropDown="0" showInputMessage="0" showErrorMessage="0" allowBlank="0" type="list">
      <formula1>"Pauschale,Nachweis,Unbekannt"</formula1>
    </dataValidation>
    <dataValidation sqref="C371" showDropDown="0" showInputMessage="0" showErrorMessage="0" allowBlank="0" type="list">
      <formula1>"Pauschale,Nachweis,Unbekannt"</formula1>
    </dataValidation>
    <dataValidation sqref="C372" showDropDown="0" showInputMessage="0" showErrorMessage="0" allowBlank="0" type="list">
      <formula1>"Pauschale,Nachweis,Unbekannt"</formula1>
    </dataValidation>
    <dataValidation sqref="C373" showDropDown="0" showInputMessage="0" showErrorMessage="0" allowBlank="0" type="list">
      <formula1>"Pauschale,Nachweis,Unbekannt"</formula1>
    </dataValidation>
    <dataValidation sqref="C374" showDropDown="0" showInputMessage="0" showErrorMessage="0" allowBlank="0" type="list">
      <formula1>"Pauschale,Nachweis,Unbekannt"</formula1>
    </dataValidation>
    <dataValidation sqref="C375" showDropDown="0" showInputMessage="0" showErrorMessage="0" allowBlank="0" type="list">
      <formula1>"Pauschale,Nachweis,Unbekannt"</formula1>
    </dataValidation>
    <dataValidation sqref="C376" showDropDown="0" showInputMessage="0" showErrorMessage="0" allowBlank="0" type="list">
      <formula1>"Pauschale,Nachweis,Unbekannt"</formula1>
    </dataValidation>
    <dataValidation sqref="C377" showDropDown="0" showInputMessage="0" showErrorMessage="0" allowBlank="0" type="list">
      <formula1>"Pauschale,Nachweis,Unbekannt"</formula1>
    </dataValidation>
    <dataValidation sqref="C378" showDropDown="0" showInputMessage="0" showErrorMessage="0" allowBlank="0" type="list">
      <formula1>"Pauschale,Nachweis,Unbekannt"</formula1>
    </dataValidation>
    <dataValidation sqref="C379" showDropDown="0" showInputMessage="0" showErrorMessage="0" allowBlank="0" type="list">
      <formula1>"Pauschale,Nachweis,Unbekannt"</formula1>
    </dataValidation>
    <dataValidation sqref="C380" showDropDown="0" showInputMessage="0" showErrorMessage="0" allowBlank="0" type="list">
      <formula1>"Pauschale,Nachweis,Unbekannt"</formula1>
    </dataValidation>
    <dataValidation sqref="C381" showDropDown="0" showInputMessage="0" showErrorMessage="0" allowBlank="0" type="list">
      <formula1>"Pauschale,Nachweis,Unbekannt"</formula1>
    </dataValidation>
    <dataValidation sqref="C382" showDropDown="0" showInputMessage="0" showErrorMessage="0" allowBlank="0" type="list">
      <formula1>"Pauschale,Nachweis,Unbekannt"</formula1>
    </dataValidation>
    <dataValidation sqref="C383" showDropDown="0" showInputMessage="0" showErrorMessage="0" allowBlank="0" type="list">
      <formula1>"Pauschale,Nachweis,Unbekannt"</formula1>
    </dataValidation>
    <dataValidation sqref="C384" showDropDown="0" showInputMessage="0" showErrorMessage="0" allowBlank="0" type="list">
      <formula1>"Pauschale,Nachweis,Unbekannt"</formula1>
    </dataValidation>
    <dataValidation sqref="C385" showDropDown="0" showInputMessage="0" showErrorMessage="0" allowBlank="0" type="list">
      <formula1>"Pauschale,Nachweis,Unbekannt"</formula1>
    </dataValidation>
    <dataValidation sqref="C386" showDropDown="0" showInputMessage="0" showErrorMessage="0" allowBlank="0" type="list">
      <formula1>"Pauschale,Nachweis,Unbekannt"</formula1>
    </dataValidation>
    <dataValidation sqref="C387" showDropDown="0" showInputMessage="0" showErrorMessage="0" allowBlank="0" type="list">
      <formula1>"Pauschale,Nachweis,Unbekannt"</formula1>
    </dataValidation>
    <dataValidation sqref="C388" showDropDown="0" showInputMessage="0" showErrorMessage="0" allowBlank="0" type="list">
      <formula1>"Pauschale,Nachweis,Unbekannt"</formula1>
    </dataValidation>
    <dataValidation sqref="C389" showDropDown="0" showInputMessage="0" showErrorMessage="0" allowBlank="0" type="list">
      <formula1>"Pauschale,Nachweis,Unbekannt"</formula1>
    </dataValidation>
    <dataValidation sqref="C390" showDropDown="0" showInputMessage="0" showErrorMessage="0" allowBlank="0" type="list">
      <formula1>"Pauschale,Nachweis,Unbekannt"</formula1>
    </dataValidation>
    <dataValidation sqref="C391" showDropDown="0" showInputMessage="0" showErrorMessage="0" allowBlank="0" type="list">
      <formula1>"Pauschale,Nachweis,Unbekannt"</formula1>
    </dataValidation>
    <dataValidation sqref="C392" showDropDown="0" showInputMessage="0" showErrorMessage="0" allowBlank="0" type="list">
      <formula1>"Pauschale,Nachweis,Unbekannt"</formula1>
    </dataValidation>
    <dataValidation sqref="C393" showDropDown="0" showInputMessage="0" showErrorMessage="0" allowBlank="0" type="list">
      <formula1>"Pauschale,Nachweis,Unbekannt"</formula1>
    </dataValidation>
    <dataValidation sqref="C394" showDropDown="0" showInputMessage="0" showErrorMessage="0" allowBlank="0" type="list">
      <formula1>"Pauschale,Nachweis,Unbekannt"</formula1>
    </dataValidation>
    <dataValidation sqref="C395" showDropDown="0" showInputMessage="0" showErrorMessage="0" allowBlank="0" type="list">
      <formula1>"Pauschale,Nachweis,Unbekannt"</formula1>
    </dataValidation>
    <dataValidation sqref="C396" showDropDown="0" showInputMessage="0" showErrorMessage="0" allowBlank="0" type="list">
      <formula1>"Pauschale,Nachweis,Unbekannt"</formula1>
    </dataValidation>
    <dataValidation sqref="C397" showDropDown="0" showInputMessage="0" showErrorMessage="0" allowBlank="0" type="list">
      <formula1>"Pauschale,Nachweis,Unbekannt"</formula1>
    </dataValidation>
    <dataValidation sqref="C398" showDropDown="0" showInputMessage="0" showErrorMessage="0" allowBlank="0" type="list">
      <formula1>"Pauschale,Nachweis,Unbekannt"</formula1>
    </dataValidation>
    <dataValidation sqref="C399" showDropDown="0" showInputMessage="0" showErrorMessage="0" allowBlank="0" type="list">
      <formula1>"Pauschale,Nachweis,Unbekannt"</formula1>
    </dataValidation>
    <dataValidation sqref="C400" showDropDown="0" showInputMessage="0" showErrorMessage="0" allowBlank="0" type="list">
      <formula1>"Pauschale,Nachweis,Unbekannt"</formula1>
    </dataValidation>
    <dataValidation sqref="C401" showDropDown="0" showInputMessage="0" showErrorMessage="0" allowBlank="0" type="list">
      <formula1>"Pauschale,Nachweis,Unbekannt"</formula1>
    </dataValidation>
    <dataValidation sqref="C402" showDropDown="0" showInputMessage="0" showErrorMessage="0" allowBlank="0" type="list">
      <formula1>"Pauschale,Nachweis,Unbekannt"</formula1>
    </dataValidation>
    <dataValidation sqref="C403" showDropDown="0" showInputMessage="0" showErrorMessage="0" allowBlank="0" type="list">
      <formula1>"Pauschale,Nachweis,Unbekannt"</formula1>
    </dataValidation>
    <dataValidation sqref="C404" showDropDown="0" showInputMessage="0" showErrorMessage="0" allowBlank="0" type="list">
      <formula1>"Pauschale,Nachweis,Unbekannt"</formula1>
    </dataValidation>
    <dataValidation sqref="C405" showDropDown="0" showInputMessage="0" showErrorMessage="0" allowBlank="0" type="list">
      <formula1>"Pauschale,Nachweis,Unbekannt"</formula1>
    </dataValidation>
    <dataValidation sqref="C406" showDropDown="0" showInputMessage="0" showErrorMessage="0" allowBlank="0" type="list">
      <formula1>"Pauschale,Nachweis,Unbekannt"</formula1>
    </dataValidation>
    <dataValidation sqref="C407" showDropDown="0" showInputMessage="0" showErrorMessage="0" allowBlank="0" type="list">
      <formula1>"Pauschale,Nachweis,Unbekannt"</formula1>
    </dataValidation>
    <dataValidation sqref="C408" showDropDown="0" showInputMessage="0" showErrorMessage="0" allowBlank="0" type="list">
      <formula1>"Pauschale,Nachweis,Unbekannt"</formula1>
    </dataValidation>
    <dataValidation sqref="C409" showDropDown="0" showInputMessage="0" showErrorMessage="0" allowBlank="0" type="list">
      <formula1>"Pauschale,Nachweis,Unbekannt"</formula1>
    </dataValidation>
    <dataValidation sqref="C410" showDropDown="0" showInputMessage="0" showErrorMessage="0" allowBlank="0" type="list">
      <formula1>"Pauschale,Nachweis,Unbekannt"</formula1>
    </dataValidation>
    <dataValidation sqref="C411" showDropDown="0" showInputMessage="0" showErrorMessage="0" allowBlank="0" type="list">
      <formula1>"Pauschale,Nachweis,Unbekannt"</formula1>
    </dataValidation>
    <dataValidation sqref="C412" showDropDown="0" showInputMessage="0" showErrorMessage="0" allowBlank="0" type="list">
      <formula1>"Pauschale,Nachweis,Unbekannt"</formula1>
    </dataValidation>
    <dataValidation sqref="C413" showDropDown="0" showInputMessage="0" showErrorMessage="0" allowBlank="0" type="list">
      <formula1>"Pauschale,Nachweis,Unbekannt"</formula1>
    </dataValidation>
    <dataValidation sqref="C414" showDropDown="0" showInputMessage="0" showErrorMessage="0" allowBlank="0" type="list">
      <formula1>"Pauschale,Nachweis,Unbekannt"</formula1>
    </dataValidation>
    <dataValidation sqref="C415" showDropDown="0" showInputMessage="0" showErrorMessage="0" allowBlank="0" type="list">
      <formula1>"Pauschale,Nachweis,Unbekannt"</formula1>
    </dataValidation>
    <dataValidation sqref="C416" showDropDown="0" showInputMessage="0" showErrorMessage="0" allowBlank="0" type="list">
      <formula1>"Pauschale,Nachweis,Unbekannt"</formula1>
    </dataValidation>
    <dataValidation sqref="C417" showDropDown="0" showInputMessage="0" showErrorMessage="0" allowBlank="0" type="list">
      <formula1>"Pauschale,Nachweis,Unbekannt"</formula1>
    </dataValidation>
    <dataValidation sqref="C418" showDropDown="0" showInputMessage="0" showErrorMessage="0" allowBlank="0" type="list">
      <formula1>"Pauschale,Nachweis,Unbekannt"</formula1>
    </dataValidation>
    <dataValidation sqref="C419" showDropDown="0" showInputMessage="0" showErrorMessage="0" allowBlank="0" type="list">
      <formula1>"Pauschale,Nachweis,Unbekannt"</formula1>
    </dataValidation>
    <dataValidation sqref="C420" showDropDown="0" showInputMessage="0" showErrorMessage="0" allowBlank="0" type="list">
      <formula1>"Pauschale,Nachweis,Unbekannt"</formula1>
    </dataValidation>
    <dataValidation sqref="C421" showDropDown="0" showInputMessage="0" showErrorMessage="0" allowBlank="0" type="list">
      <formula1>"Pauschale,Nachweis,Unbekannt"</formula1>
    </dataValidation>
    <dataValidation sqref="C422" showDropDown="0" showInputMessage="0" showErrorMessage="0" allowBlank="0" type="list">
      <formula1>"Pauschale,Nachweis,Unbekannt"</formula1>
    </dataValidation>
    <dataValidation sqref="C423" showDropDown="0" showInputMessage="0" showErrorMessage="0" allowBlank="0" type="list">
      <formula1>"Pauschale,Nachweis,Unbekannt"</formula1>
    </dataValidation>
    <dataValidation sqref="C424" showDropDown="0" showInputMessage="0" showErrorMessage="0" allowBlank="0" type="list">
      <formula1>"Pauschale,Nachweis,Unbekannt"</formula1>
    </dataValidation>
    <dataValidation sqref="C425" showDropDown="0" showInputMessage="0" showErrorMessage="0" allowBlank="0" type="list">
      <formula1>"Pauschale,Nachweis,Unbekannt"</formula1>
    </dataValidation>
    <dataValidation sqref="C426" showDropDown="0" showInputMessage="0" showErrorMessage="0" allowBlank="0" type="list">
      <formula1>"Pauschale,Nachweis,Unbekannt"</formula1>
    </dataValidation>
    <dataValidation sqref="C427" showDropDown="0" showInputMessage="0" showErrorMessage="0" allowBlank="0" type="list">
      <formula1>"Pauschale,Nachweis,Unbekannt"</formula1>
    </dataValidation>
    <dataValidation sqref="C428" showDropDown="0" showInputMessage="0" showErrorMessage="0" allowBlank="0" type="list">
      <formula1>"Pauschale,Nachweis,Unbekannt"</formula1>
    </dataValidation>
    <dataValidation sqref="C429" showDropDown="0" showInputMessage="0" showErrorMessage="0" allowBlank="0" type="list">
      <formula1>"Pauschale,Nachweis,Unbekannt"</formula1>
    </dataValidation>
    <dataValidation sqref="C430" showDropDown="0" showInputMessage="0" showErrorMessage="0" allowBlank="0" type="list">
      <formula1>"Pauschale,Nachweis,Unbekannt"</formula1>
    </dataValidation>
    <dataValidation sqref="C431" showDropDown="0" showInputMessage="0" showErrorMessage="0" allowBlank="0" type="list">
      <formula1>"Pauschale,Nachweis,Unbekannt"</formula1>
    </dataValidation>
    <dataValidation sqref="C432" showDropDown="0" showInputMessage="0" showErrorMessage="0" allowBlank="0" type="list">
      <formula1>"Pauschale,Nachweis,Unbekannt"</formula1>
    </dataValidation>
    <dataValidation sqref="C433" showDropDown="0" showInputMessage="0" showErrorMessage="0" allowBlank="0" type="list">
      <formula1>"Pauschale,Nachweis,Unbekannt"</formula1>
    </dataValidation>
    <dataValidation sqref="C434" showDropDown="0" showInputMessage="0" showErrorMessage="0" allowBlank="0" type="list">
      <formula1>"Pauschale,Nachweis,Unbekannt"</formula1>
    </dataValidation>
    <dataValidation sqref="C435" showDropDown="0" showInputMessage="0" showErrorMessage="0" allowBlank="0" type="list">
      <formula1>"Pauschale,Nachweis,Unbekannt"</formula1>
    </dataValidation>
    <dataValidation sqref="C436" showDropDown="0" showInputMessage="0" showErrorMessage="0" allowBlank="0" type="list">
      <formula1>"Pauschale,Nachweis,Unbekannt"</formula1>
    </dataValidation>
    <dataValidation sqref="C437" showDropDown="0" showInputMessage="0" showErrorMessage="0" allowBlank="0" type="list">
      <formula1>"Pauschale,Nachweis,Unbekannt"</formula1>
    </dataValidation>
    <dataValidation sqref="C438" showDropDown="0" showInputMessage="0" showErrorMessage="0" allowBlank="0" type="list">
      <formula1>"Pauschale,Nachweis,Unbekannt"</formula1>
    </dataValidation>
    <dataValidation sqref="C439" showDropDown="0" showInputMessage="0" showErrorMessage="0" allowBlank="0" type="list">
      <formula1>"Pauschale,Nachweis,Unbekannt"</formula1>
    </dataValidation>
    <dataValidation sqref="C440" showDropDown="0" showInputMessage="0" showErrorMessage="0" allowBlank="0" type="list">
      <formula1>"Pauschale,Nachweis,Unbekannt"</formula1>
    </dataValidation>
    <dataValidation sqref="C441" showDropDown="0" showInputMessage="0" showErrorMessage="0" allowBlank="0" type="list">
      <formula1>"Pauschale,Nachweis,Unbekannt"</formula1>
    </dataValidation>
    <dataValidation sqref="C442" showDropDown="0" showInputMessage="0" showErrorMessage="0" allowBlank="0" type="list">
      <formula1>"Pauschale,Nachweis,Unbekannt"</formula1>
    </dataValidation>
    <dataValidation sqref="C443" showDropDown="0" showInputMessage="0" showErrorMessage="0" allowBlank="0" type="list">
      <formula1>"Pauschale,Nachweis,Unbekannt"</formula1>
    </dataValidation>
    <dataValidation sqref="C444" showDropDown="0" showInputMessage="0" showErrorMessage="0" allowBlank="0" type="list">
      <formula1>"Pauschale,Nachweis,Unbekannt"</formula1>
    </dataValidation>
    <dataValidation sqref="C445" showDropDown="0" showInputMessage="0" showErrorMessage="0" allowBlank="0" type="list">
      <formula1>"Pauschale,Nachweis,Unbekannt"</formula1>
    </dataValidation>
    <dataValidation sqref="C446" showDropDown="0" showInputMessage="0" showErrorMessage="0" allowBlank="0" type="list">
      <formula1>"Pauschale,Nachweis,Unbekannt"</formula1>
    </dataValidation>
    <dataValidation sqref="C447" showDropDown="0" showInputMessage="0" showErrorMessage="0" allowBlank="0" type="list">
      <formula1>"Pauschale,Nachweis,Unbekannt"</formula1>
    </dataValidation>
    <dataValidation sqref="C448" showDropDown="0" showInputMessage="0" showErrorMessage="0" allowBlank="0" type="list">
      <formula1>"Pauschale,Nachweis,Unbekannt"</formula1>
    </dataValidation>
    <dataValidation sqref="C449" showDropDown="0" showInputMessage="0" showErrorMessage="0" allowBlank="0" type="list">
      <formula1>"Pauschale,Nachweis,Unbekannt"</formula1>
    </dataValidation>
    <dataValidation sqref="C450" showDropDown="0" showInputMessage="0" showErrorMessage="0" allowBlank="0" type="list">
      <formula1>"Pauschale,Nachweis,Unbekannt"</formula1>
    </dataValidation>
    <dataValidation sqref="C451" showDropDown="0" showInputMessage="0" showErrorMessage="0" allowBlank="0" type="list">
      <formula1>"Pauschale,Nachweis,Unbekannt"</formula1>
    </dataValidation>
    <dataValidation sqref="C452" showDropDown="0" showInputMessage="0" showErrorMessage="0" allowBlank="0" type="list">
      <formula1>"Pauschale,Nachweis,Unbekannt"</formula1>
    </dataValidation>
    <dataValidation sqref="C453" showDropDown="0" showInputMessage="0" showErrorMessage="0" allowBlank="0" type="list">
      <formula1>"Pauschale,Nachweis,Unbekannt"</formula1>
    </dataValidation>
    <dataValidation sqref="C454" showDropDown="0" showInputMessage="0" showErrorMessage="0" allowBlank="0" type="list">
      <formula1>"Pauschale,Nachweis,Unbekannt"</formula1>
    </dataValidation>
    <dataValidation sqref="C455" showDropDown="0" showInputMessage="0" showErrorMessage="0" allowBlank="0" type="list">
      <formula1>"Pauschale,Nachweis,Unbekannt"</formula1>
    </dataValidation>
    <dataValidation sqref="C456" showDropDown="0" showInputMessage="0" showErrorMessage="0" allowBlank="0" type="list">
      <formula1>"Pauschale,Nachweis,Unbekannt"</formula1>
    </dataValidation>
    <dataValidation sqref="C457" showDropDown="0" showInputMessage="0" showErrorMessage="0" allowBlank="0" type="list">
      <formula1>"Pauschale,Nachweis,Unbekannt"</formula1>
    </dataValidation>
    <dataValidation sqref="C458" showDropDown="0" showInputMessage="0" showErrorMessage="0" allowBlank="0" type="list">
      <formula1>"Pauschale,Nachweis,Unbekannt"</formula1>
    </dataValidation>
    <dataValidation sqref="C459" showDropDown="0" showInputMessage="0" showErrorMessage="0" allowBlank="0" type="list">
      <formula1>"Pauschale,Nachweis,Unbekannt"</formula1>
    </dataValidation>
    <dataValidation sqref="C460" showDropDown="0" showInputMessage="0" showErrorMessage="0" allowBlank="0" type="list">
      <formula1>"Pauschale,Nachweis,Unbekannt"</formula1>
    </dataValidation>
    <dataValidation sqref="C461" showDropDown="0" showInputMessage="0" showErrorMessage="0" allowBlank="0" type="list">
      <formula1>"Pauschale,Nachweis,Unbekannt"</formula1>
    </dataValidation>
    <dataValidation sqref="C462" showDropDown="0" showInputMessage="0" showErrorMessage="0" allowBlank="0" type="list">
      <formula1>"Pauschale,Nachweis,Unbekannt"</formula1>
    </dataValidation>
    <dataValidation sqref="C463" showDropDown="0" showInputMessage="0" showErrorMessage="0" allowBlank="0" type="list">
      <formula1>"Pauschale,Nachweis,Unbekannt"</formula1>
    </dataValidation>
    <dataValidation sqref="C464" showDropDown="0" showInputMessage="0" showErrorMessage="0" allowBlank="0" type="list">
      <formula1>"Pauschale,Nachweis,Unbekannt"</formula1>
    </dataValidation>
    <dataValidation sqref="C465" showDropDown="0" showInputMessage="0" showErrorMessage="0" allowBlank="0" type="list">
      <formula1>"Pauschale,Nachweis,Unbekannt"</formula1>
    </dataValidation>
    <dataValidation sqref="C466" showDropDown="0" showInputMessage="0" showErrorMessage="0" allowBlank="0" type="list">
      <formula1>"Pauschale,Nachweis,Unbekannt"</formula1>
    </dataValidation>
    <dataValidation sqref="C467" showDropDown="0" showInputMessage="0" showErrorMessage="0" allowBlank="0" type="list">
      <formula1>"Pauschale,Nachweis,Unbekannt"</formula1>
    </dataValidation>
    <dataValidation sqref="C468" showDropDown="0" showInputMessage="0" showErrorMessage="0" allowBlank="0" type="list">
      <formula1>"Pauschale,Nachweis,Unbekannt"</formula1>
    </dataValidation>
    <dataValidation sqref="C469" showDropDown="0" showInputMessage="0" showErrorMessage="0" allowBlank="0" type="list">
      <formula1>"Pauschale,Nachweis,Unbekannt"</formula1>
    </dataValidation>
    <dataValidation sqref="C470" showDropDown="0" showInputMessage="0" showErrorMessage="0" allowBlank="0" type="list">
      <formula1>"Pauschale,Nachweis,Unbekannt"</formula1>
    </dataValidation>
    <dataValidation sqref="C471" showDropDown="0" showInputMessage="0" showErrorMessage="0" allowBlank="0" type="list">
      <formula1>"Pauschale,Nachweis,Unbekannt"</formula1>
    </dataValidation>
    <dataValidation sqref="C472" showDropDown="0" showInputMessage="0" showErrorMessage="0" allowBlank="0" type="list">
      <formula1>"Pauschale,Nachweis,Unbekannt"</formula1>
    </dataValidation>
    <dataValidation sqref="C473" showDropDown="0" showInputMessage="0" showErrorMessage="0" allowBlank="0" type="list">
      <formula1>"Pauschale,Nachweis,Unbekannt"</formula1>
    </dataValidation>
    <dataValidation sqref="C474" showDropDown="0" showInputMessage="0" showErrorMessage="0" allowBlank="0" type="list">
      <formula1>"Pauschale,Nachweis,Unbekannt"</formula1>
    </dataValidation>
    <dataValidation sqref="C475" showDropDown="0" showInputMessage="0" showErrorMessage="0" allowBlank="0" type="list">
      <formula1>"Pauschale,Nachweis,Unbekannt"</formula1>
    </dataValidation>
    <dataValidation sqref="C476" showDropDown="0" showInputMessage="0" showErrorMessage="0" allowBlank="0" type="list">
      <formula1>"Pauschale,Nachweis,Unbekannt"</formula1>
    </dataValidation>
    <dataValidation sqref="C477" showDropDown="0" showInputMessage="0" showErrorMessage="0" allowBlank="0" type="list">
      <formula1>"Pauschale,Nachweis,Unbekannt"</formula1>
    </dataValidation>
    <dataValidation sqref="C478" showDropDown="0" showInputMessage="0" showErrorMessage="0" allowBlank="0" type="list">
      <formula1>"Pauschale,Nachweis,Unbekannt"</formula1>
    </dataValidation>
    <dataValidation sqref="C479" showDropDown="0" showInputMessage="0" showErrorMessage="0" allowBlank="0" type="list">
      <formula1>"Pauschale,Nachweis,Unbekannt"</formula1>
    </dataValidation>
    <dataValidation sqref="C480" showDropDown="0" showInputMessage="0" showErrorMessage="0" allowBlank="0" type="list">
      <formula1>"Pauschale,Nachweis,Unbekannt"</formula1>
    </dataValidation>
    <dataValidation sqref="C481" showDropDown="0" showInputMessage="0" showErrorMessage="0" allowBlank="0" type="list">
      <formula1>"Pauschale,Nachweis,Unbekannt"</formula1>
    </dataValidation>
    <dataValidation sqref="C482" showDropDown="0" showInputMessage="0" showErrorMessage="0" allowBlank="0" type="list">
      <formula1>"Pauschale,Nachweis,Unbekannt"</formula1>
    </dataValidation>
    <dataValidation sqref="C483" showDropDown="0" showInputMessage="0" showErrorMessage="0" allowBlank="0" type="list">
      <formula1>"Pauschale,Nachweis,Unbekannt"</formula1>
    </dataValidation>
    <dataValidation sqref="C484" showDropDown="0" showInputMessage="0" showErrorMessage="0" allowBlank="0" type="list">
      <formula1>"Pauschale,Nachweis,Unbekannt"</formula1>
    </dataValidation>
    <dataValidation sqref="C485" showDropDown="0" showInputMessage="0" showErrorMessage="0" allowBlank="0" type="list">
      <formula1>"Pauschale,Nachweis,Unbekannt"</formula1>
    </dataValidation>
    <dataValidation sqref="C486" showDropDown="0" showInputMessage="0" showErrorMessage="0" allowBlank="0" type="list">
      <formula1>"Pauschale,Nachweis,Unbekannt"</formula1>
    </dataValidation>
    <dataValidation sqref="C487" showDropDown="0" showInputMessage="0" showErrorMessage="0" allowBlank="0" type="list">
      <formula1>"Pauschale,Nachweis,Unbekannt"</formula1>
    </dataValidation>
    <dataValidation sqref="C488" showDropDown="0" showInputMessage="0" showErrorMessage="0" allowBlank="0" type="list">
      <formula1>"Pauschale,Nachweis,Unbekannt"</formula1>
    </dataValidation>
    <dataValidation sqref="C489" showDropDown="0" showInputMessage="0" showErrorMessage="0" allowBlank="0" type="list">
      <formula1>"Pauschale,Nachweis,Unbekannt"</formula1>
    </dataValidation>
    <dataValidation sqref="C490" showDropDown="0" showInputMessage="0" showErrorMessage="0" allowBlank="0" type="list">
      <formula1>"Pauschale,Nachweis,Unbekannt"</formula1>
    </dataValidation>
    <dataValidation sqref="C491" showDropDown="0" showInputMessage="0" showErrorMessage="0" allowBlank="0" type="list">
      <formula1>"Pauschale,Nachweis,Unbekannt"</formula1>
    </dataValidation>
    <dataValidation sqref="C492" showDropDown="0" showInputMessage="0" showErrorMessage="0" allowBlank="0" type="list">
      <formula1>"Pauschale,Nachweis,Unbekannt"</formula1>
    </dataValidation>
    <dataValidation sqref="C493" showDropDown="0" showInputMessage="0" showErrorMessage="0" allowBlank="0" type="list">
      <formula1>"Pauschale,Nachweis,Unbekannt"</formula1>
    </dataValidation>
    <dataValidation sqref="C494" showDropDown="0" showInputMessage="0" showErrorMessage="0" allowBlank="0" type="list">
      <formula1>"Pauschale,Nachweis,Unbekannt"</formula1>
    </dataValidation>
    <dataValidation sqref="C495" showDropDown="0" showInputMessage="0" showErrorMessage="0" allowBlank="0" type="list">
      <formula1>"Pauschale,Nachweis,Unbekannt"</formula1>
    </dataValidation>
    <dataValidation sqref="C496" showDropDown="0" showInputMessage="0" showErrorMessage="0" allowBlank="0" type="list">
      <formula1>"Pauschale,Nachweis,Unbekannt"</formula1>
    </dataValidation>
    <dataValidation sqref="C497" showDropDown="0" showInputMessage="0" showErrorMessage="0" allowBlank="0" type="list">
      <formula1>"Pauschale,Nachweis,Unbekannt"</formula1>
    </dataValidation>
    <dataValidation sqref="C498" showDropDown="0" showInputMessage="0" showErrorMessage="0" allowBlank="0" type="list">
      <formula1>"Pauschale,Nachweis,Unbekannt"</formula1>
    </dataValidation>
    <dataValidation sqref="C499" showDropDown="0" showInputMessage="0" showErrorMessage="0" allowBlank="0" type="list">
      <formula1>"Pauschale,Nachweis,Unbekannt"</formula1>
    </dataValidation>
    <dataValidation sqref="C500" showDropDown="0" showInputMessage="0" showErrorMessage="0" allowBlank="0" type="list">
      <formula1>"Pauschale,Nachweis,Unbekannt"</formula1>
    </dataValidation>
    <dataValidation sqref="C501" showDropDown="0" showInputMessage="0" showErrorMessage="0" allowBlank="0" type="list">
      <formula1>"Pauschale,Nachweis,Unbekannt"</formula1>
    </dataValidation>
    <dataValidation sqref="C502" showDropDown="0" showInputMessage="0" showErrorMessage="0" allowBlank="0" type="list">
      <formula1>"Pauschale,Nachweis,Unbekannt"</formula1>
    </dataValidation>
    <dataValidation sqref="C503" showDropDown="0" showInputMessage="0" showErrorMessage="0" allowBlank="0" type="list">
      <formula1>"Pauschale,Nachweis,Unbekannt"</formula1>
    </dataValidation>
    <dataValidation sqref="C504" showDropDown="0" showInputMessage="0" showErrorMessage="0" allowBlank="0" type="list">
      <formula1>"Pauschale,Nachweis,Unbekannt"</formula1>
    </dataValidation>
    <dataValidation sqref="C505" showDropDown="0" showInputMessage="0" showErrorMessage="0" allowBlank="0" type="list">
      <formula1>"Pauschale,Nachweis,Unbekannt"</formula1>
    </dataValidation>
    <dataValidation sqref="C506" showDropDown="0" showInputMessage="0" showErrorMessage="0" allowBlank="0" type="list">
      <formula1>"Pauschale,Nachweis,Unbekannt"</formula1>
    </dataValidation>
    <dataValidation sqref="C507" showDropDown="0" showInputMessage="0" showErrorMessage="0" allowBlank="0" type="list">
      <formula1>"Pauschale,Nachweis,Unbekannt"</formula1>
    </dataValidation>
    <dataValidation sqref="C508" showDropDown="0" showInputMessage="0" showErrorMessage="0" allowBlank="0" type="list">
      <formula1>"Pauschale,Nachweis,Unbekannt"</formula1>
    </dataValidation>
    <dataValidation sqref="C509" showDropDown="0" showInputMessage="0" showErrorMessage="0" allowBlank="0" type="list">
      <formula1>"Pauschale,Nachweis,Unbekannt"</formula1>
    </dataValidation>
    <dataValidation sqref="C510" showDropDown="0" showInputMessage="0" showErrorMessage="0" allowBlank="0" type="list">
      <formula1>"Pauschale,Nachweis,Unbekannt"</formula1>
    </dataValidation>
    <dataValidation sqref="C511" showDropDown="0" showInputMessage="0" showErrorMessage="0" allowBlank="0" type="list">
      <formula1>"Pauschale,Nachweis,Unbekannt"</formula1>
    </dataValidation>
    <dataValidation sqref="C512" showDropDown="0" showInputMessage="0" showErrorMessage="0" allowBlank="0" type="list">
      <formula1>"Pauschale,Nachweis,Unbekannt"</formula1>
    </dataValidation>
    <dataValidation sqref="C513" showDropDown="0" showInputMessage="0" showErrorMessage="0" allowBlank="0" type="list">
      <formula1>"Pauschale,Nachweis,Unbekannt"</formula1>
    </dataValidation>
    <dataValidation sqref="C514" showDropDown="0" showInputMessage="0" showErrorMessage="0" allowBlank="0" type="list">
      <formula1>"Pauschale,Nachweis,Unbekannt"</formula1>
    </dataValidation>
    <dataValidation sqref="C515" showDropDown="0" showInputMessage="0" showErrorMessage="0" allowBlank="0" type="list">
      <formula1>"Pauschale,Nachweis,Unbekannt"</formula1>
    </dataValidation>
    <dataValidation sqref="C516" showDropDown="0" showInputMessage="0" showErrorMessage="0" allowBlank="0" type="list">
      <formula1>"Pauschale,Nachweis,Unbekannt"</formula1>
    </dataValidation>
    <dataValidation sqref="C517" showDropDown="0" showInputMessage="0" showErrorMessage="0" allowBlank="0" type="list">
      <formula1>"Pauschale,Nachweis,Unbekannt"</formula1>
    </dataValidation>
    <dataValidation sqref="C518" showDropDown="0" showInputMessage="0" showErrorMessage="0" allowBlank="0" type="list">
      <formula1>"Pauschale,Nachweis,Unbekannt"</formula1>
    </dataValidation>
    <dataValidation sqref="C519" showDropDown="0" showInputMessage="0" showErrorMessage="0" allowBlank="0" type="list">
      <formula1>"Pauschale,Nachweis,Unbekannt"</formula1>
    </dataValidation>
    <dataValidation sqref="C520" showDropDown="0" showInputMessage="0" showErrorMessage="0" allowBlank="0" type="list">
      <formula1>"Pauschale,Nachweis,Unbekannt"</formula1>
    </dataValidation>
    <dataValidation sqref="C521" showDropDown="0" showInputMessage="0" showErrorMessage="0" allowBlank="0" type="list">
      <formula1>"Pauschale,Nachweis,Unbekannt"</formula1>
    </dataValidation>
    <dataValidation sqref="C522" showDropDown="0" showInputMessage="0" showErrorMessage="0" allowBlank="0" type="list">
      <formula1>"Pauschale,Nachweis,Unbekannt"</formula1>
    </dataValidation>
    <dataValidation sqref="C523" showDropDown="0" showInputMessage="0" showErrorMessage="0" allowBlank="0" type="list">
      <formula1>"Pauschale,Nachweis,Unbekannt"</formula1>
    </dataValidation>
    <dataValidation sqref="C524" showDropDown="0" showInputMessage="0" showErrorMessage="0" allowBlank="0" type="list">
      <formula1>"Pauschale,Nachweis,Unbekannt"</formula1>
    </dataValidation>
    <dataValidation sqref="C525" showDropDown="0" showInputMessage="0" showErrorMessage="0" allowBlank="0" type="list">
      <formula1>"Pauschale,Nachweis,Unbekannt"</formula1>
    </dataValidation>
    <dataValidation sqref="C526" showDropDown="0" showInputMessage="0" showErrorMessage="0" allowBlank="0" type="list">
      <formula1>"Pauschale,Nachweis,Unbekannt"</formula1>
    </dataValidation>
    <dataValidation sqref="C527" showDropDown="0" showInputMessage="0" showErrorMessage="0" allowBlank="0" type="list">
      <formula1>"Pauschale,Nachweis,Unbekannt"</formula1>
    </dataValidation>
    <dataValidation sqref="C528" showDropDown="0" showInputMessage="0" showErrorMessage="0" allowBlank="0" type="list">
      <formula1>"Pauschale,Nachweis,Unbekannt"</formula1>
    </dataValidation>
    <dataValidation sqref="C529" showDropDown="0" showInputMessage="0" showErrorMessage="0" allowBlank="0" type="list">
      <formula1>"Pauschale,Nachweis,Unbekannt"</formula1>
    </dataValidation>
    <dataValidation sqref="C530" showDropDown="0" showInputMessage="0" showErrorMessage="0" allowBlank="0" type="list">
      <formula1>"Pauschale,Nachweis,Unbekannt"</formula1>
    </dataValidation>
    <dataValidation sqref="C531" showDropDown="0" showInputMessage="0" showErrorMessage="0" allowBlank="0" type="list">
      <formula1>"Pauschale,Nachweis,Unbekannt"</formula1>
    </dataValidation>
    <dataValidation sqref="C532" showDropDown="0" showInputMessage="0" showErrorMessage="0" allowBlank="0" type="list">
      <formula1>"Pauschale,Nachweis,Unbekannt"</formula1>
    </dataValidation>
    <dataValidation sqref="C533" showDropDown="0" showInputMessage="0" showErrorMessage="0" allowBlank="0" type="list">
      <formula1>"Pauschale,Nachweis,Unbekannt"</formula1>
    </dataValidation>
    <dataValidation sqref="C534" showDropDown="0" showInputMessage="0" showErrorMessage="0" allowBlank="0" type="list">
      <formula1>"Pauschale,Nachweis,Unbekannt"</formula1>
    </dataValidation>
    <dataValidation sqref="C535" showDropDown="0" showInputMessage="0" showErrorMessage="0" allowBlank="0" type="list">
      <formula1>"Pauschale,Nachweis,Unbekannt"</formula1>
    </dataValidation>
    <dataValidation sqref="C536" showDropDown="0" showInputMessage="0" showErrorMessage="0" allowBlank="0" type="list">
      <formula1>"Pauschale,Nachweis,Unbekannt"</formula1>
    </dataValidation>
    <dataValidation sqref="C537" showDropDown="0" showInputMessage="0" showErrorMessage="0" allowBlank="0" type="list">
      <formula1>"Pauschale,Nachweis,Unbekannt"</formula1>
    </dataValidation>
    <dataValidation sqref="C538" showDropDown="0" showInputMessage="0" showErrorMessage="0" allowBlank="0" type="list">
      <formula1>"Pauschale,Nachweis,Unbekannt"</formula1>
    </dataValidation>
    <dataValidation sqref="C539" showDropDown="0" showInputMessage="0" showErrorMessage="0" allowBlank="0" type="list">
      <formula1>"Pauschale,Nachweis,Unbekannt"</formula1>
    </dataValidation>
    <dataValidation sqref="C540" showDropDown="0" showInputMessage="0" showErrorMessage="0" allowBlank="0" type="list">
      <formula1>"Pauschale,Nachweis,Unbekannt"</formula1>
    </dataValidation>
    <dataValidation sqref="C541" showDropDown="0" showInputMessage="0" showErrorMessage="0" allowBlank="0" type="list">
      <formula1>"Pauschale,Nachweis,Unbekannt"</formula1>
    </dataValidation>
    <dataValidation sqref="C542" showDropDown="0" showInputMessage="0" showErrorMessage="0" allowBlank="0" type="list">
      <formula1>"Pauschale,Nachweis,Unbekannt"</formula1>
    </dataValidation>
    <dataValidation sqref="C543" showDropDown="0" showInputMessage="0" showErrorMessage="0" allowBlank="0" type="list">
      <formula1>"Pauschale,Nachweis,Unbekannt"</formula1>
    </dataValidation>
    <dataValidation sqref="C544" showDropDown="0" showInputMessage="0" showErrorMessage="0" allowBlank="0" type="list">
      <formula1>"Pauschale,Nachweis,Unbekannt"</formula1>
    </dataValidation>
    <dataValidation sqref="C545" showDropDown="0" showInputMessage="0" showErrorMessage="0" allowBlank="0" type="list">
      <formula1>"Pauschale,Nachweis,Unbekannt"</formula1>
    </dataValidation>
    <dataValidation sqref="C546" showDropDown="0" showInputMessage="0" showErrorMessage="0" allowBlank="0" type="list">
      <formula1>"Pauschale,Nachweis,Unbekannt"</formula1>
    </dataValidation>
    <dataValidation sqref="C547" showDropDown="0" showInputMessage="0" showErrorMessage="0" allowBlank="0" type="list">
      <formula1>"Pauschale,Nachweis,Unbekannt"</formula1>
    </dataValidation>
    <dataValidation sqref="C548" showDropDown="0" showInputMessage="0" showErrorMessage="0" allowBlank="0" type="list">
      <formula1>"Pauschale,Nachweis,Unbekannt"</formula1>
    </dataValidation>
    <dataValidation sqref="C549" showDropDown="0" showInputMessage="0" showErrorMessage="0" allowBlank="0" type="list">
      <formula1>"Pauschale,Nachweis,Unbekannt"</formula1>
    </dataValidation>
    <dataValidation sqref="C550" showDropDown="0" showInputMessage="0" showErrorMessage="0" allowBlank="0" type="list">
      <formula1>"Pauschale,Nachweis,Unbekannt"</formula1>
    </dataValidation>
    <dataValidation sqref="C551" showDropDown="0" showInputMessage="0" showErrorMessage="0" allowBlank="0" type="list">
      <formula1>"Pauschale,Nachweis,Unbekannt"</formula1>
    </dataValidation>
    <dataValidation sqref="C552" showDropDown="0" showInputMessage="0" showErrorMessage="0" allowBlank="0" type="list">
      <formula1>"Pauschale,Nachweis,Unbekannt"</formula1>
    </dataValidation>
    <dataValidation sqref="C553" showDropDown="0" showInputMessage="0" showErrorMessage="0" allowBlank="0" type="list">
      <formula1>"Pauschale,Nachweis,Unbekannt"</formula1>
    </dataValidation>
    <dataValidation sqref="C554" showDropDown="0" showInputMessage="0" showErrorMessage="0" allowBlank="0" type="list">
      <formula1>"Pauschale,Nachweis,Unbekannt"</formula1>
    </dataValidation>
    <dataValidation sqref="C555" showDropDown="0" showInputMessage="0" showErrorMessage="0" allowBlank="0" type="list">
      <formula1>"Pauschale,Nachweis,Unbekannt"</formula1>
    </dataValidation>
    <dataValidation sqref="C556" showDropDown="0" showInputMessage="0" showErrorMessage="0" allowBlank="0" type="list">
      <formula1>"Pauschale,Nachweis,Unbekannt"</formula1>
    </dataValidation>
    <dataValidation sqref="C557" showDropDown="0" showInputMessage="0" showErrorMessage="0" allowBlank="0" type="list">
      <formula1>"Pauschale,Nachweis,Unbekannt"</formula1>
    </dataValidation>
    <dataValidation sqref="C558" showDropDown="0" showInputMessage="0" showErrorMessage="0" allowBlank="0" type="list">
      <formula1>"Pauschale,Nachweis,Unbekannt"</formula1>
    </dataValidation>
    <dataValidation sqref="C559" showDropDown="0" showInputMessage="0" showErrorMessage="0" allowBlank="0" type="list">
      <formula1>"Pauschale,Nachweis,Unbekannt"</formula1>
    </dataValidation>
    <dataValidation sqref="C560" showDropDown="0" showInputMessage="0" showErrorMessage="0" allowBlank="0" type="list">
      <formula1>"Pauschale,Nachweis,Unbekannt"</formula1>
    </dataValidation>
    <dataValidation sqref="C561" showDropDown="0" showInputMessage="0" showErrorMessage="0" allowBlank="0" type="list">
      <formula1>"Pauschale,Nachweis,Unbekannt"</formula1>
    </dataValidation>
    <dataValidation sqref="C562" showDropDown="0" showInputMessage="0" showErrorMessage="0" allowBlank="0" type="list">
      <formula1>"Pauschale,Nachweis,Unbekannt"</formula1>
    </dataValidation>
    <dataValidation sqref="C563" showDropDown="0" showInputMessage="0" showErrorMessage="0" allowBlank="0" type="list">
      <formula1>"Pauschale,Nachweis,Unbekannt"</formula1>
    </dataValidation>
    <dataValidation sqref="C564" showDropDown="0" showInputMessage="0" showErrorMessage="0" allowBlank="0" type="list">
      <formula1>"Pauschale,Nachweis,Unbekannt"</formula1>
    </dataValidation>
    <dataValidation sqref="C565" showDropDown="0" showInputMessage="0" showErrorMessage="0" allowBlank="0" type="list">
      <formula1>"Pauschale,Nachweis,Unbekannt"</formula1>
    </dataValidation>
    <dataValidation sqref="C566" showDropDown="0" showInputMessage="0" showErrorMessage="0" allowBlank="0" type="list">
      <formula1>"Pauschale,Nachweis,Unbekannt"</formula1>
    </dataValidation>
    <dataValidation sqref="C567" showDropDown="0" showInputMessage="0" showErrorMessage="0" allowBlank="0" type="list">
      <formula1>"Pauschale,Nachweis,Unbekannt"</formula1>
    </dataValidation>
    <dataValidation sqref="C568" showDropDown="0" showInputMessage="0" showErrorMessage="0" allowBlank="0" type="list">
      <formula1>"Pauschale,Nachweis,Unbekannt"</formula1>
    </dataValidation>
    <dataValidation sqref="C569" showDropDown="0" showInputMessage="0" showErrorMessage="0" allowBlank="0" type="list">
      <formula1>"Pauschale,Nachweis,Unbekannt"</formula1>
    </dataValidation>
    <dataValidation sqref="C570" showDropDown="0" showInputMessage="0" showErrorMessage="0" allowBlank="0" type="list">
      <formula1>"Pauschale,Nachweis,Unbekannt"</formula1>
    </dataValidation>
    <dataValidation sqref="C571" showDropDown="0" showInputMessage="0" showErrorMessage="0" allowBlank="0" type="list">
      <formula1>"Pauschale,Nachweis,Unbekannt"</formula1>
    </dataValidation>
    <dataValidation sqref="C572" showDropDown="0" showInputMessage="0" showErrorMessage="0" allowBlank="0" type="list">
      <formula1>"Pauschale,Nachweis,Unbekannt"</formula1>
    </dataValidation>
    <dataValidation sqref="C573" showDropDown="0" showInputMessage="0" showErrorMessage="0" allowBlank="0" type="list">
      <formula1>"Pauschale,Nachweis,Unbekannt"</formula1>
    </dataValidation>
    <dataValidation sqref="C574" showDropDown="0" showInputMessage="0" showErrorMessage="0" allowBlank="0" type="list">
      <formula1>"Pauschale,Nachweis,Unbekannt"</formula1>
    </dataValidation>
    <dataValidation sqref="C575" showDropDown="0" showInputMessage="0" showErrorMessage="0" allowBlank="0" type="list">
      <formula1>"Pauschale,Nachweis,Unbekannt"</formula1>
    </dataValidation>
    <dataValidation sqref="C576" showDropDown="0" showInputMessage="0" showErrorMessage="0" allowBlank="0" type="list">
      <formula1>"Pauschale,Nachweis,Unbekannt"</formula1>
    </dataValidation>
    <dataValidation sqref="C577" showDropDown="0" showInputMessage="0" showErrorMessage="0" allowBlank="0" type="list">
      <formula1>"Pauschale,Nachweis,Unbekannt"</formula1>
    </dataValidation>
    <dataValidation sqref="C578" showDropDown="0" showInputMessage="0" showErrorMessage="0" allowBlank="0" type="list">
      <formula1>"Pauschale,Nachweis,Unbekannt"</formula1>
    </dataValidation>
    <dataValidation sqref="C579" showDropDown="0" showInputMessage="0" showErrorMessage="0" allowBlank="0" type="list">
      <formula1>"Pauschale,Nachweis,Unbekannt"</formula1>
    </dataValidation>
    <dataValidation sqref="C580" showDropDown="0" showInputMessage="0" showErrorMessage="0" allowBlank="0" type="list">
      <formula1>"Pauschale,Nachweis,Unbekannt"</formula1>
    </dataValidation>
    <dataValidation sqref="C581" showDropDown="0" showInputMessage="0" showErrorMessage="0" allowBlank="0" type="list">
      <formula1>"Pauschale,Nachweis,Unbekannt"</formula1>
    </dataValidation>
    <dataValidation sqref="C582" showDropDown="0" showInputMessage="0" showErrorMessage="0" allowBlank="0" type="list">
      <formula1>"Pauschale,Nachweis,Unbekannt"</formula1>
    </dataValidation>
    <dataValidation sqref="C583" showDropDown="0" showInputMessage="0" showErrorMessage="0" allowBlank="0" type="list">
      <formula1>"Pauschale,Nachweis,Unbekannt"</formula1>
    </dataValidation>
    <dataValidation sqref="C584" showDropDown="0" showInputMessage="0" showErrorMessage="0" allowBlank="0" type="list">
      <formula1>"Pauschale,Nachweis,Unbekannt"</formula1>
    </dataValidation>
    <dataValidation sqref="C585" showDropDown="0" showInputMessage="0" showErrorMessage="0" allowBlank="0" type="list">
      <formula1>"Pauschale,Nachweis,Unbekannt"</formula1>
    </dataValidation>
    <dataValidation sqref="C586" showDropDown="0" showInputMessage="0" showErrorMessage="0" allowBlank="0" type="list">
      <formula1>"Pauschale,Nachweis,Unbekannt"</formula1>
    </dataValidation>
    <dataValidation sqref="C587" showDropDown="0" showInputMessage="0" showErrorMessage="0" allowBlank="0" type="list">
      <formula1>"Pauschale,Nachweis,Unbekannt"</formula1>
    </dataValidation>
    <dataValidation sqref="C588" showDropDown="0" showInputMessage="0" showErrorMessage="0" allowBlank="0" type="list">
      <formula1>"Pauschale,Nachweis,Unbekannt"</formula1>
    </dataValidation>
    <dataValidation sqref="C589" showDropDown="0" showInputMessage="0" showErrorMessage="0" allowBlank="0" type="list">
      <formula1>"Pauschale,Nachweis,Unbekannt"</formula1>
    </dataValidation>
    <dataValidation sqref="C590" showDropDown="0" showInputMessage="0" showErrorMessage="0" allowBlank="0" type="list">
      <formula1>"Pauschale,Nachweis,Unbekannt"</formula1>
    </dataValidation>
    <dataValidation sqref="C591" showDropDown="0" showInputMessage="0" showErrorMessage="0" allowBlank="0" type="list">
      <formula1>"Pauschale,Nachweis,Unbekannt"</formula1>
    </dataValidation>
    <dataValidation sqref="C592" showDropDown="0" showInputMessage="0" showErrorMessage="0" allowBlank="0" type="list">
      <formula1>"Pauschale,Nachweis,Unbekannt"</formula1>
    </dataValidation>
    <dataValidation sqref="C593" showDropDown="0" showInputMessage="0" showErrorMessage="0" allowBlank="0" type="list">
      <formula1>"Pauschale,Nachweis,Unbekannt"</formula1>
    </dataValidation>
    <dataValidation sqref="C594" showDropDown="0" showInputMessage="0" showErrorMessage="0" allowBlank="0" type="list">
      <formula1>"Pauschale,Nachweis,Unbekannt"</formula1>
    </dataValidation>
    <dataValidation sqref="C595" showDropDown="0" showInputMessage="0" showErrorMessage="0" allowBlank="0" type="list">
      <formula1>"Pauschale,Nachweis,Unbekannt"</formula1>
    </dataValidation>
    <dataValidation sqref="C596" showDropDown="0" showInputMessage="0" showErrorMessage="0" allowBlank="0" type="list">
      <formula1>"Pauschale,Nachweis,Unbekannt"</formula1>
    </dataValidation>
    <dataValidation sqref="C597" showDropDown="0" showInputMessage="0" showErrorMessage="0" allowBlank="0" type="list">
      <formula1>"Pauschale,Nachweis,Unbekannt"</formula1>
    </dataValidation>
    <dataValidation sqref="C598" showDropDown="0" showInputMessage="0" showErrorMessage="0" allowBlank="0" type="list">
      <formula1>"Pauschale,Nachweis,Unbekannt"</formula1>
    </dataValidation>
    <dataValidation sqref="C599" showDropDown="0" showInputMessage="0" showErrorMessage="0" allowBlank="0" type="list">
      <formula1>"Pauschale,Nachweis,Unbekannt"</formula1>
    </dataValidation>
    <dataValidation sqref="C600" showDropDown="0" showInputMessage="0" showErrorMessage="0" allowBlank="0" type="list">
      <formula1>"Pauschale,Nachweis,Unbekannt"</formula1>
    </dataValidation>
    <dataValidation sqref="C601" showDropDown="0" showInputMessage="0" showErrorMessage="0" allowBlank="0" type="list">
      <formula1>"Pauschale,Nachweis,Unbekannt"</formula1>
    </dataValidation>
    <dataValidation sqref="C602" showDropDown="0" showInputMessage="0" showErrorMessage="0" allowBlank="0" type="list">
      <formula1>"Pauschale,Nachweis,Unbekannt"</formula1>
    </dataValidation>
    <dataValidation sqref="C603" showDropDown="0" showInputMessage="0" showErrorMessage="0" allowBlank="0" type="list">
      <formula1>"Pauschale,Nachweis,Unbekannt"</formula1>
    </dataValidation>
    <dataValidation sqref="C604" showDropDown="0" showInputMessage="0" showErrorMessage="0" allowBlank="0" type="list">
      <formula1>"Pauschale,Nachweis,Unbekannt"</formula1>
    </dataValidation>
    <dataValidation sqref="C605" showDropDown="0" showInputMessage="0" showErrorMessage="0" allowBlank="0" type="list">
      <formula1>"Pauschale,Nachweis,Unbekannt"</formula1>
    </dataValidation>
    <dataValidation sqref="C606" showDropDown="0" showInputMessage="0" showErrorMessage="0" allowBlank="0" type="list">
      <formula1>"Pauschale,Nachweis,Unbekannt"</formula1>
    </dataValidation>
    <dataValidation sqref="C607" showDropDown="0" showInputMessage="0" showErrorMessage="0" allowBlank="0" type="list">
      <formula1>"Pauschale,Nachweis,Unbekannt"</formula1>
    </dataValidation>
    <dataValidation sqref="C608" showDropDown="0" showInputMessage="0" showErrorMessage="0" allowBlank="0" type="list">
      <formula1>"Pauschale,Nachweis,Unbekannt"</formula1>
    </dataValidation>
    <dataValidation sqref="C609" showDropDown="0" showInputMessage="0" showErrorMessage="0" allowBlank="0" type="list">
      <formula1>"Pauschale,Nachweis,Unbekannt"</formula1>
    </dataValidation>
    <dataValidation sqref="C610" showDropDown="0" showInputMessage="0" showErrorMessage="0" allowBlank="0" type="list">
      <formula1>"Pauschale,Nachweis,Unbekannt"</formula1>
    </dataValidation>
    <dataValidation sqref="C611" showDropDown="0" showInputMessage="0" showErrorMessage="0" allowBlank="0" type="list">
      <formula1>"Pauschale,Nachweis,Unbekannt"</formula1>
    </dataValidation>
    <dataValidation sqref="C612" showDropDown="0" showInputMessage="0" showErrorMessage="0" allowBlank="0" type="list">
      <formula1>"Pauschale,Nachweis,Unbekannt"</formula1>
    </dataValidation>
    <dataValidation sqref="C613" showDropDown="0" showInputMessage="0" showErrorMessage="0" allowBlank="0" type="list">
      <formula1>"Pauschale,Nachweis,Unbekannt"</formula1>
    </dataValidation>
    <dataValidation sqref="C614" showDropDown="0" showInputMessage="0" showErrorMessage="0" allowBlank="0" type="list">
      <formula1>"Pauschale,Nachweis,Unbekannt"</formula1>
    </dataValidation>
    <dataValidation sqref="C615" showDropDown="0" showInputMessage="0" showErrorMessage="0" allowBlank="0" type="list">
      <formula1>"Pauschale,Nachweis,Unbekannt"</formula1>
    </dataValidation>
    <dataValidation sqref="C616" showDropDown="0" showInputMessage="0" showErrorMessage="0" allowBlank="0" type="list">
      <formula1>"Pauschale,Nachweis,Unbekannt"</formula1>
    </dataValidation>
    <dataValidation sqref="C617" showDropDown="0" showInputMessage="0" showErrorMessage="0" allowBlank="0" type="list">
      <formula1>"Pauschale,Nachweis,Unbekannt"</formula1>
    </dataValidation>
    <dataValidation sqref="C618" showDropDown="0" showInputMessage="0" showErrorMessage="0" allowBlank="0" type="list">
      <formula1>"Pauschale,Nachweis,Unbekannt"</formula1>
    </dataValidation>
    <dataValidation sqref="C619" showDropDown="0" showInputMessage="0" showErrorMessage="0" allowBlank="0" type="list">
      <formula1>"Pauschale,Nachweis,Unbekannt"</formula1>
    </dataValidation>
    <dataValidation sqref="C620" showDropDown="0" showInputMessage="0" showErrorMessage="0" allowBlank="0" type="list">
      <formula1>"Pauschale,Nachweis,Unbekannt"</formula1>
    </dataValidation>
    <dataValidation sqref="C621" showDropDown="0" showInputMessage="0" showErrorMessage="0" allowBlank="0" type="list">
      <formula1>"Pauschale,Nachweis,Unbekannt"</formula1>
    </dataValidation>
    <dataValidation sqref="C622" showDropDown="0" showInputMessage="0" showErrorMessage="0" allowBlank="0" type="list">
      <formula1>"Pauschale,Nachweis,Unbekannt"</formula1>
    </dataValidation>
    <dataValidation sqref="C623" showDropDown="0" showInputMessage="0" showErrorMessage="0" allowBlank="0" type="list">
      <formula1>"Pauschale,Nachweis,Unbekannt"</formula1>
    </dataValidation>
    <dataValidation sqref="C624" showDropDown="0" showInputMessage="0" showErrorMessage="0" allowBlank="0" type="list">
      <formula1>"Pauschale,Nachweis,Unbekannt"</formula1>
    </dataValidation>
    <dataValidation sqref="C625" showDropDown="0" showInputMessage="0" showErrorMessage="0" allowBlank="0" type="list">
      <formula1>"Pauschale,Nachweis,Unbekannt"</formula1>
    </dataValidation>
    <dataValidation sqref="C626" showDropDown="0" showInputMessage="0" showErrorMessage="0" allowBlank="0" type="list">
      <formula1>"Pauschale,Nachweis,Unbekannt"</formula1>
    </dataValidation>
    <dataValidation sqref="C627" showDropDown="0" showInputMessage="0" showErrorMessage="0" allowBlank="0" type="list">
      <formula1>"Pauschale,Nachweis,Unbekannt"</formula1>
    </dataValidation>
    <dataValidation sqref="C628" showDropDown="0" showInputMessage="0" showErrorMessage="0" allowBlank="0" type="list">
      <formula1>"Pauschale,Nachweis,Unbekannt"</formula1>
    </dataValidation>
    <dataValidation sqref="C629" showDropDown="0" showInputMessage="0" showErrorMessage="0" allowBlank="0" type="list">
      <formula1>"Pauschale,Nachweis,Unbekannt"</formula1>
    </dataValidation>
    <dataValidation sqref="C630" showDropDown="0" showInputMessage="0" showErrorMessage="0" allowBlank="0" type="list">
      <formula1>"Pauschale,Nachweis,Unbekannt"</formula1>
    </dataValidation>
    <dataValidation sqref="C631" showDropDown="0" showInputMessage="0" showErrorMessage="0" allowBlank="0" type="list">
      <formula1>"Pauschale,Nachweis,Unbekannt"</formula1>
    </dataValidation>
    <dataValidation sqref="C632" showDropDown="0" showInputMessage="0" showErrorMessage="0" allowBlank="0" type="list">
      <formula1>"Pauschale,Nachweis,Unbekannt"</formula1>
    </dataValidation>
    <dataValidation sqref="C633" showDropDown="0" showInputMessage="0" showErrorMessage="0" allowBlank="0" type="list">
      <formula1>"Pauschale,Nachweis,Unbekannt"</formula1>
    </dataValidation>
    <dataValidation sqref="C634" showDropDown="0" showInputMessage="0" showErrorMessage="0" allowBlank="0" type="list">
      <formula1>"Pauschale,Nachweis,Unbekannt"</formula1>
    </dataValidation>
    <dataValidation sqref="C635" showDropDown="0" showInputMessage="0" showErrorMessage="0" allowBlank="0" type="list">
      <formula1>"Pauschale,Nachweis,Unbekannt"</formula1>
    </dataValidation>
    <dataValidation sqref="C636" showDropDown="0" showInputMessage="0" showErrorMessage="0" allowBlank="0" type="list">
      <formula1>"Pauschale,Nachweis,Unbekannt"</formula1>
    </dataValidation>
    <dataValidation sqref="C637" showDropDown="0" showInputMessage="0" showErrorMessage="0" allowBlank="0" type="list">
      <formula1>"Pauschale,Nachweis,Unbekannt"</formula1>
    </dataValidation>
    <dataValidation sqref="C638" showDropDown="0" showInputMessage="0" showErrorMessage="0" allowBlank="0" type="list">
      <formula1>"Pauschale,Nachweis,Unbekannt"</formula1>
    </dataValidation>
    <dataValidation sqref="C639" showDropDown="0" showInputMessage="0" showErrorMessage="0" allowBlank="0" type="list">
      <formula1>"Pauschale,Nachweis,Unbekannt"</formula1>
    </dataValidation>
    <dataValidation sqref="C640" showDropDown="0" showInputMessage="0" showErrorMessage="0" allowBlank="0" type="list">
      <formula1>"Pauschale,Nachweis,Unbekannt"</formula1>
    </dataValidation>
    <dataValidation sqref="C641" showDropDown="0" showInputMessage="0" showErrorMessage="0" allowBlank="0" type="list">
      <formula1>"Pauschale,Nachweis,Unbekannt"</formula1>
    </dataValidation>
    <dataValidation sqref="C642" showDropDown="0" showInputMessage="0" showErrorMessage="0" allowBlank="0" type="list">
      <formula1>"Pauschale,Nachweis,Unbekannt"</formula1>
    </dataValidation>
    <dataValidation sqref="C643" showDropDown="0" showInputMessage="0" showErrorMessage="0" allowBlank="0" type="list">
      <formula1>"Pauschale,Nachweis,Unbekannt"</formula1>
    </dataValidation>
    <dataValidation sqref="C644" showDropDown="0" showInputMessage="0" showErrorMessage="0" allowBlank="0" type="list">
      <formula1>"Pauschale,Nachweis,Unbekannt"</formula1>
    </dataValidation>
    <dataValidation sqref="C645" showDropDown="0" showInputMessage="0" showErrorMessage="0" allowBlank="0" type="list">
      <formula1>"Pauschale,Nachweis,Unbekannt"</formula1>
    </dataValidation>
    <dataValidation sqref="C646" showDropDown="0" showInputMessage="0" showErrorMessage="0" allowBlank="0" type="list">
      <formula1>"Pauschale,Nachweis,Unbekannt"</formula1>
    </dataValidation>
    <dataValidation sqref="C647" showDropDown="0" showInputMessage="0" showErrorMessage="0" allowBlank="0" type="list">
      <formula1>"Pauschale,Nachweis,Unbekannt"</formula1>
    </dataValidation>
    <dataValidation sqref="C648" showDropDown="0" showInputMessage="0" showErrorMessage="0" allowBlank="0" type="list">
      <formula1>"Pauschale,Nachweis,Unbekannt"</formula1>
    </dataValidation>
    <dataValidation sqref="C649" showDropDown="0" showInputMessage="0" showErrorMessage="0" allowBlank="0" type="list">
      <formula1>"Pauschale,Nachweis,Unbekannt"</formula1>
    </dataValidation>
    <dataValidation sqref="C650" showDropDown="0" showInputMessage="0" showErrorMessage="0" allowBlank="0" type="list">
      <formula1>"Pauschale,Nachweis,Unbekannt"</formula1>
    </dataValidation>
    <dataValidation sqref="C651" showDropDown="0" showInputMessage="0" showErrorMessage="0" allowBlank="0" type="list">
      <formula1>"Pauschale,Nachweis,Unbekannt"</formula1>
    </dataValidation>
    <dataValidation sqref="C652" showDropDown="0" showInputMessage="0" showErrorMessage="0" allowBlank="0" type="list">
      <formula1>"Pauschale,Nachweis,Unbekannt"</formula1>
    </dataValidation>
    <dataValidation sqref="C653" showDropDown="0" showInputMessage="0" showErrorMessage="0" allowBlank="0" type="list">
      <formula1>"Pauschale,Nachweis,Unbekannt"</formula1>
    </dataValidation>
    <dataValidation sqref="C654" showDropDown="0" showInputMessage="0" showErrorMessage="0" allowBlank="0" type="list">
      <formula1>"Pauschale,Nachweis,Unbekannt"</formula1>
    </dataValidation>
    <dataValidation sqref="C655" showDropDown="0" showInputMessage="0" showErrorMessage="0" allowBlank="0" type="list">
      <formula1>"Pauschale,Nachweis,Unbekannt"</formula1>
    </dataValidation>
    <dataValidation sqref="C656" showDropDown="0" showInputMessage="0" showErrorMessage="0" allowBlank="0" type="list">
      <formula1>"Pauschale,Nachweis,Unbekannt"</formula1>
    </dataValidation>
    <dataValidation sqref="C657" showDropDown="0" showInputMessage="0" showErrorMessage="0" allowBlank="0" type="list">
      <formula1>"Pauschale,Nachweis,Unbekannt"</formula1>
    </dataValidation>
    <dataValidation sqref="C658" showDropDown="0" showInputMessage="0" showErrorMessage="0" allowBlank="0" type="list">
      <formula1>"Pauschale,Nachweis,Unbekannt"</formula1>
    </dataValidation>
    <dataValidation sqref="C659" showDropDown="0" showInputMessage="0" showErrorMessage="0" allowBlank="0" type="list">
      <formula1>"Pauschale,Nachweis,Unbekannt"</formula1>
    </dataValidation>
    <dataValidation sqref="C660" showDropDown="0" showInputMessage="0" showErrorMessage="0" allowBlank="0" type="list">
      <formula1>"Pauschale,Nachweis,Unbekannt"</formula1>
    </dataValidation>
    <dataValidation sqref="C661" showDropDown="0" showInputMessage="0" showErrorMessage="0" allowBlank="0" type="list">
      <formula1>"Pauschale,Nachweis,Unbekannt"</formula1>
    </dataValidation>
    <dataValidation sqref="C662" showDropDown="0" showInputMessage="0" showErrorMessage="0" allowBlank="0" type="list">
      <formula1>"Pauschale,Nachweis,Unbekannt"</formula1>
    </dataValidation>
    <dataValidation sqref="C663" showDropDown="0" showInputMessage="0" showErrorMessage="0" allowBlank="0" type="list">
      <formula1>"Pauschale,Nachweis,Unbekannt"</formula1>
    </dataValidation>
    <dataValidation sqref="C664" showDropDown="0" showInputMessage="0" showErrorMessage="0" allowBlank="0" type="list">
      <formula1>"Pauschale,Nachweis,Unbekannt"</formula1>
    </dataValidation>
    <dataValidation sqref="C665" showDropDown="0" showInputMessage="0" showErrorMessage="0" allowBlank="0" type="list">
      <formula1>"Pauschale,Nachweis,Unbekannt"</formula1>
    </dataValidation>
    <dataValidation sqref="C666" showDropDown="0" showInputMessage="0" showErrorMessage="0" allowBlank="0" type="list">
      <formula1>"Pauschale,Nachweis,Unbekannt"</formula1>
    </dataValidation>
    <dataValidation sqref="C667" showDropDown="0" showInputMessage="0" showErrorMessage="0" allowBlank="0" type="list">
      <formula1>"Pauschale,Nachweis,Unbekannt"</formula1>
    </dataValidation>
    <dataValidation sqref="C668" showDropDown="0" showInputMessage="0" showErrorMessage="0" allowBlank="0" type="list">
      <formula1>"Pauschale,Nachweis,Unbekannt"</formula1>
    </dataValidation>
    <dataValidation sqref="C669" showDropDown="0" showInputMessage="0" showErrorMessage="0" allowBlank="0" type="list">
      <formula1>"Pauschale,Nachweis,Unbekannt"</formula1>
    </dataValidation>
    <dataValidation sqref="C670" showDropDown="0" showInputMessage="0" showErrorMessage="0" allowBlank="0" type="list">
      <formula1>"Pauschale,Nachweis,Unbekannt"</formula1>
    </dataValidation>
    <dataValidation sqref="C671" showDropDown="0" showInputMessage="0" showErrorMessage="0" allowBlank="0" type="list">
      <formula1>"Pauschale,Nachweis,Unbekannt"</formula1>
    </dataValidation>
    <dataValidation sqref="C672" showDropDown="0" showInputMessage="0" showErrorMessage="0" allowBlank="0" type="list">
      <formula1>"Pauschale,Nachweis,Unbekannt"</formula1>
    </dataValidation>
    <dataValidation sqref="C673" showDropDown="0" showInputMessage="0" showErrorMessage="0" allowBlank="0" type="list">
      <formula1>"Pauschale,Nachweis,Unbekannt"</formula1>
    </dataValidation>
    <dataValidation sqref="C674" showDropDown="0" showInputMessage="0" showErrorMessage="0" allowBlank="0" type="list">
      <formula1>"Pauschale,Nachweis,Unbekannt"</formula1>
    </dataValidation>
    <dataValidation sqref="C675" showDropDown="0" showInputMessage="0" showErrorMessage="0" allowBlank="0" type="list">
      <formula1>"Pauschale,Nachweis,Unbekannt"</formula1>
    </dataValidation>
    <dataValidation sqref="C676" showDropDown="0" showInputMessage="0" showErrorMessage="0" allowBlank="0" type="list">
      <formula1>"Pauschale,Nachweis,Unbekannt"</formula1>
    </dataValidation>
    <dataValidation sqref="C677" showDropDown="0" showInputMessage="0" showErrorMessage="0" allowBlank="0" type="list">
      <formula1>"Pauschale,Nachweis,Unbekannt"</formula1>
    </dataValidation>
    <dataValidation sqref="C678" showDropDown="0" showInputMessage="0" showErrorMessage="0" allowBlank="0" type="list">
      <formula1>"Pauschale,Nachweis,Unbekannt"</formula1>
    </dataValidation>
    <dataValidation sqref="C679" showDropDown="0" showInputMessage="0" showErrorMessage="0" allowBlank="0" type="list">
      <formula1>"Pauschale,Nachweis,Unbekannt"</formula1>
    </dataValidation>
    <dataValidation sqref="C680" showDropDown="0" showInputMessage="0" showErrorMessage="0" allowBlank="0" type="list">
      <formula1>"Pauschale,Nachweis,Unbekannt"</formula1>
    </dataValidation>
    <dataValidation sqref="C681" showDropDown="0" showInputMessage="0" showErrorMessage="0" allowBlank="0" type="list">
      <formula1>"Pauschale,Nachweis,Unbekannt"</formula1>
    </dataValidation>
    <dataValidation sqref="C682" showDropDown="0" showInputMessage="0" showErrorMessage="0" allowBlank="0" type="list">
      <formula1>"Pauschale,Nachweis,Unbekannt"</formula1>
    </dataValidation>
    <dataValidation sqref="C683" showDropDown="0" showInputMessage="0" showErrorMessage="0" allowBlank="0" type="list">
      <formula1>"Pauschale,Nachweis,Unbekannt"</formula1>
    </dataValidation>
    <dataValidation sqref="C684" showDropDown="0" showInputMessage="0" showErrorMessage="0" allowBlank="0" type="list">
      <formula1>"Pauschale,Nachweis,Unbekannt"</formula1>
    </dataValidation>
    <dataValidation sqref="C685" showDropDown="0" showInputMessage="0" showErrorMessage="0" allowBlank="0" type="list">
      <formula1>"Pauschale,Nachweis,Unbekannt"</formula1>
    </dataValidation>
    <dataValidation sqref="C686" showDropDown="0" showInputMessage="0" showErrorMessage="0" allowBlank="0" type="list">
      <formula1>"Pauschale,Nachweis,Unbekannt"</formula1>
    </dataValidation>
    <dataValidation sqref="C687" showDropDown="0" showInputMessage="0" showErrorMessage="0" allowBlank="0" type="list">
      <formula1>"Pauschale,Nachweis,Unbekannt"</formula1>
    </dataValidation>
    <dataValidation sqref="C688" showDropDown="0" showInputMessage="0" showErrorMessage="0" allowBlank="0" type="list">
      <formula1>"Pauschale,Nachweis,Unbekannt"</formula1>
    </dataValidation>
    <dataValidation sqref="C689" showDropDown="0" showInputMessage="0" showErrorMessage="0" allowBlank="0" type="list">
      <formula1>"Pauschale,Nachweis,Unbekannt"</formula1>
    </dataValidation>
    <dataValidation sqref="C690" showDropDown="0" showInputMessage="0" showErrorMessage="0" allowBlank="0" type="list">
      <formula1>"Pauschale,Nachweis,Unbekannt"</formula1>
    </dataValidation>
    <dataValidation sqref="C691" showDropDown="0" showInputMessage="0" showErrorMessage="0" allowBlank="0" type="list">
      <formula1>"Pauschale,Nachweis,Unbekannt"</formula1>
    </dataValidation>
    <dataValidation sqref="C692" showDropDown="0" showInputMessage="0" showErrorMessage="0" allowBlank="0" type="list">
      <formula1>"Pauschale,Nachweis,Unbekannt"</formula1>
    </dataValidation>
    <dataValidation sqref="C693" showDropDown="0" showInputMessage="0" showErrorMessage="0" allowBlank="0" type="list">
      <formula1>"Pauschale,Nachweis,Unbekannt"</formula1>
    </dataValidation>
    <dataValidation sqref="C694" showDropDown="0" showInputMessage="0" showErrorMessage="0" allowBlank="0" type="list">
      <formula1>"Pauschale,Nachweis,Unbekannt"</formula1>
    </dataValidation>
    <dataValidation sqref="C695" showDropDown="0" showInputMessage="0" showErrorMessage="0" allowBlank="0" type="list">
      <formula1>"Pauschale,Nachweis,Unbekannt"</formula1>
    </dataValidation>
    <dataValidation sqref="C696" showDropDown="0" showInputMessage="0" showErrorMessage="0" allowBlank="0" type="list">
      <formula1>"Pauschale,Nachweis,Unbekannt"</formula1>
    </dataValidation>
    <dataValidation sqref="C697" showDropDown="0" showInputMessage="0" showErrorMessage="0" allowBlank="0" type="list">
      <formula1>"Pauschale,Nachweis,Unbekannt"</formula1>
    </dataValidation>
    <dataValidation sqref="C698" showDropDown="0" showInputMessage="0" showErrorMessage="0" allowBlank="0" type="list">
      <formula1>"Pauschale,Nachweis,Unbekannt"</formula1>
    </dataValidation>
    <dataValidation sqref="C699" showDropDown="0" showInputMessage="0" showErrorMessage="0" allowBlank="0" type="list">
      <formula1>"Pauschale,Nachweis,Unbekannt"</formula1>
    </dataValidation>
    <dataValidation sqref="C700" showDropDown="0" showInputMessage="0" showErrorMessage="0" allowBlank="0" type="list">
      <formula1>"Pauschale,Nachweis,Unbekannt"</formula1>
    </dataValidation>
    <dataValidation sqref="C701" showDropDown="0" showInputMessage="0" showErrorMessage="0" allowBlank="0" type="list">
      <formula1>"Pauschale,Nachweis,Unbekannt"</formula1>
    </dataValidation>
    <dataValidation sqref="C702" showDropDown="0" showInputMessage="0" showErrorMessage="0" allowBlank="0" type="list">
      <formula1>"Pauschale,Nachweis,Unbekannt"</formula1>
    </dataValidation>
    <dataValidation sqref="C703" showDropDown="0" showInputMessage="0" showErrorMessage="0" allowBlank="0" type="list">
      <formula1>"Pauschale,Nachweis,Unbekannt"</formula1>
    </dataValidation>
    <dataValidation sqref="C704" showDropDown="0" showInputMessage="0" showErrorMessage="0" allowBlank="0" type="list">
      <formula1>"Pauschale,Nachweis,Unbekannt"</formula1>
    </dataValidation>
    <dataValidation sqref="C705" showDropDown="0" showInputMessage="0" showErrorMessage="0" allowBlank="0" type="list">
      <formula1>"Pauschale,Nachweis,Unbekannt"</formula1>
    </dataValidation>
    <dataValidation sqref="C706" showDropDown="0" showInputMessage="0" showErrorMessage="0" allowBlank="0" type="list">
      <formula1>"Pauschale,Nachweis,Unbekannt"</formula1>
    </dataValidation>
    <dataValidation sqref="C707" showDropDown="0" showInputMessage="0" showErrorMessage="0" allowBlank="0" type="list">
      <formula1>"Pauschale,Nachweis,Unbekannt"</formula1>
    </dataValidation>
    <dataValidation sqref="C708" showDropDown="0" showInputMessage="0" showErrorMessage="0" allowBlank="0" type="list">
      <formula1>"Pauschale,Nachweis,Unbekannt"</formula1>
    </dataValidation>
    <dataValidation sqref="C709" showDropDown="0" showInputMessage="0" showErrorMessage="0" allowBlank="0" type="list">
      <formula1>"Pauschale,Nachweis,Unbekannt"</formula1>
    </dataValidation>
    <dataValidation sqref="C710" showDropDown="0" showInputMessage="0" showErrorMessage="0" allowBlank="0" type="list">
      <formula1>"Pauschale,Nachweis,Unbekannt"</formula1>
    </dataValidation>
    <dataValidation sqref="C711" showDropDown="0" showInputMessage="0" showErrorMessage="0" allowBlank="0" type="list">
      <formula1>"Pauschale,Nachweis,Unbekannt"</formula1>
    </dataValidation>
    <dataValidation sqref="C712" showDropDown="0" showInputMessage="0" showErrorMessage="0" allowBlank="0" type="list">
      <formula1>"Pauschale,Nachweis,Unbekannt"</formula1>
    </dataValidation>
    <dataValidation sqref="C713" showDropDown="0" showInputMessage="0" showErrorMessage="0" allowBlank="0" type="list">
      <formula1>"Pauschale,Nachweis,Unbekannt"</formula1>
    </dataValidation>
    <dataValidation sqref="C714" showDropDown="0" showInputMessage="0" showErrorMessage="0" allowBlank="0" type="list">
      <formula1>"Pauschale,Nachweis,Unbekannt"</formula1>
    </dataValidation>
    <dataValidation sqref="C715" showDropDown="0" showInputMessage="0" showErrorMessage="0" allowBlank="0" type="list">
      <formula1>"Pauschale,Nachweis,Unbekannt"</formula1>
    </dataValidation>
    <dataValidation sqref="C716" showDropDown="0" showInputMessage="0" showErrorMessage="0" allowBlank="0" type="list">
      <formula1>"Pauschale,Nachweis,Unbekannt"</formula1>
    </dataValidation>
    <dataValidation sqref="C717" showDropDown="0" showInputMessage="0" showErrorMessage="0" allowBlank="0" type="list">
      <formula1>"Pauschale,Nachweis,Unbekannt"</formula1>
    </dataValidation>
    <dataValidation sqref="C718" showDropDown="0" showInputMessage="0" showErrorMessage="0" allowBlank="0" type="list">
      <formula1>"Pauschale,Nachweis,Unbekannt"</formula1>
    </dataValidation>
    <dataValidation sqref="C719" showDropDown="0" showInputMessage="0" showErrorMessage="0" allowBlank="0" type="list">
      <formula1>"Pauschale,Nachweis,Unbekannt"</formula1>
    </dataValidation>
    <dataValidation sqref="C720" showDropDown="0" showInputMessage="0" showErrorMessage="0" allowBlank="0" type="list">
      <formula1>"Pauschale,Nachweis,Unbekannt"</formula1>
    </dataValidation>
    <dataValidation sqref="C721" showDropDown="0" showInputMessage="0" showErrorMessage="0" allowBlank="0" type="list">
      <formula1>"Pauschale,Nachweis,Unbekannt"</formula1>
    </dataValidation>
    <dataValidation sqref="C722" showDropDown="0" showInputMessage="0" showErrorMessage="0" allowBlank="0" type="list">
      <formula1>"Pauschale,Nachweis,Unbekannt"</formula1>
    </dataValidation>
    <dataValidation sqref="C723" showDropDown="0" showInputMessage="0" showErrorMessage="0" allowBlank="0" type="list">
      <formula1>"Pauschale,Nachweis,Unbekannt"</formula1>
    </dataValidation>
    <dataValidation sqref="C724" showDropDown="0" showInputMessage="0" showErrorMessage="0" allowBlank="0" type="list">
      <formula1>"Pauschale,Nachweis,Unbekannt"</formula1>
    </dataValidation>
    <dataValidation sqref="C725" showDropDown="0" showInputMessage="0" showErrorMessage="0" allowBlank="0" type="list">
      <formula1>"Pauschale,Nachweis,Unbekannt"</formula1>
    </dataValidation>
    <dataValidation sqref="C726" showDropDown="0" showInputMessage="0" showErrorMessage="0" allowBlank="0" type="list">
      <formula1>"Pauschale,Nachweis,Unbekannt"</formula1>
    </dataValidation>
    <dataValidation sqref="C727" showDropDown="0" showInputMessage="0" showErrorMessage="0" allowBlank="0" type="list">
      <formula1>"Pauschale,Nachweis,Unbekannt"</formula1>
    </dataValidation>
    <dataValidation sqref="C728" showDropDown="0" showInputMessage="0" showErrorMessage="0" allowBlank="0" type="list">
      <formula1>"Pauschale,Nachweis,Unbekannt"</formula1>
    </dataValidation>
    <dataValidation sqref="C729" showDropDown="0" showInputMessage="0" showErrorMessage="0" allowBlank="0" type="list">
      <formula1>"Pauschale,Nachweis,Unbekannt"</formula1>
    </dataValidation>
    <dataValidation sqref="C730" showDropDown="0" showInputMessage="0" showErrorMessage="0" allowBlank="0" type="list">
      <formula1>"Pauschale,Nachweis,Unbekannt"</formula1>
    </dataValidation>
    <dataValidation sqref="C731" showDropDown="0" showInputMessage="0" showErrorMessage="0" allowBlank="0" type="list">
      <formula1>"Pauschale,Nachweis,Unbekannt"</formula1>
    </dataValidation>
    <dataValidation sqref="C732" showDropDown="0" showInputMessage="0" showErrorMessage="0" allowBlank="0" type="list">
      <formula1>"Pauschale,Nachweis,Unbekannt"</formula1>
    </dataValidation>
    <dataValidation sqref="C733" showDropDown="0" showInputMessage="0" showErrorMessage="0" allowBlank="0" type="list">
      <formula1>"Pauschale,Nachweis,Unbekannt"</formula1>
    </dataValidation>
    <dataValidation sqref="C734" showDropDown="0" showInputMessage="0" showErrorMessage="0" allowBlank="0" type="list">
      <formula1>"Pauschale,Nachweis,Unbekannt"</formula1>
    </dataValidation>
    <dataValidation sqref="C735" showDropDown="0" showInputMessage="0" showErrorMessage="0" allowBlank="0" type="list">
      <formula1>"Pauschale,Nachweis,Unbekannt"</formula1>
    </dataValidation>
    <dataValidation sqref="C736" showDropDown="0" showInputMessage="0" showErrorMessage="0" allowBlank="0" type="list">
      <formula1>"Pauschale,Nachweis,Unbekannt"</formula1>
    </dataValidation>
    <dataValidation sqref="C737" showDropDown="0" showInputMessage="0" showErrorMessage="0" allowBlank="0" type="list">
      <formula1>"Pauschale,Nachweis,Unbekannt"</formula1>
    </dataValidation>
    <dataValidation sqref="C738" showDropDown="0" showInputMessage="0" showErrorMessage="0" allowBlank="0" type="list">
      <formula1>"Pauschale,Nachweis,Unbekannt"</formula1>
    </dataValidation>
    <dataValidation sqref="C739" showDropDown="0" showInputMessage="0" showErrorMessage="0" allowBlank="0" type="list">
      <formula1>"Pauschale,Nachweis,Unbekannt"</formula1>
    </dataValidation>
    <dataValidation sqref="C740" showDropDown="0" showInputMessage="0" showErrorMessage="0" allowBlank="0" type="list">
      <formula1>"Pauschale,Nachweis,Unbekannt"</formula1>
    </dataValidation>
    <dataValidation sqref="C741" showDropDown="0" showInputMessage="0" showErrorMessage="0" allowBlank="0" type="list">
      <formula1>"Pauschale,Nachweis,Unbekannt"</formula1>
    </dataValidation>
    <dataValidation sqref="C742" showDropDown="0" showInputMessage="0" showErrorMessage="0" allowBlank="0" type="list">
      <formula1>"Pauschale,Nachweis,Unbekannt"</formula1>
    </dataValidation>
    <dataValidation sqref="C743" showDropDown="0" showInputMessage="0" showErrorMessage="0" allowBlank="0" type="list">
      <formula1>"Pauschale,Nachweis,Unbekannt"</formula1>
    </dataValidation>
    <dataValidation sqref="C744" showDropDown="0" showInputMessage="0" showErrorMessage="0" allowBlank="0" type="list">
      <formula1>"Pauschale,Nachweis,Unbekannt"</formula1>
    </dataValidation>
    <dataValidation sqref="C745" showDropDown="0" showInputMessage="0" showErrorMessage="0" allowBlank="0" type="list">
      <formula1>"Pauschale,Nachweis,Unbekannt"</formula1>
    </dataValidation>
    <dataValidation sqref="C746" showDropDown="0" showInputMessage="0" showErrorMessage="0" allowBlank="0" type="list">
      <formula1>"Pauschale,Nachweis,Unbekannt"</formula1>
    </dataValidation>
    <dataValidation sqref="C747" showDropDown="0" showInputMessage="0" showErrorMessage="0" allowBlank="0" type="list">
      <formula1>"Pauschale,Nachweis,Unbekannt"</formula1>
    </dataValidation>
    <dataValidation sqref="C748" showDropDown="0" showInputMessage="0" showErrorMessage="0" allowBlank="0" type="list">
      <formula1>"Pauschale,Nachweis,Unbekannt"</formula1>
    </dataValidation>
    <dataValidation sqref="C749" showDropDown="0" showInputMessage="0" showErrorMessage="0" allowBlank="0" type="list">
      <formula1>"Pauschale,Nachweis,Unbekannt"</formula1>
    </dataValidation>
    <dataValidation sqref="C750" showDropDown="0" showInputMessage="0" showErrorMessage="0" allowBlank="0" type="list">
      <formula1>"Pauschale,Nachweis,Unbekannt"</formula1>
    </dataValidation>
    <dataValidation sqref="C751" showDropDown="0" showInputMessage="0" showErrorMessage="0" allowBlank="0" type="list">
      <formula1>"Pauschale,Nachweis,Unbekannt"</formula1>
    </dataValidation>
    <dataValidation sqref="C752" showDropDown="0" showInputMessage="0" showErrorMessage="0" allowBlank="0" type="list">
      <formula1>"Pauschale,Nachweis,Unbekannt"</formula1>
    </dataValidation>
    <dataValidation sqref="C753" showDropDown="0" showInputMessage="0" showErrorMessage="0" allowBlank="0" type="list">
      <formula1>"Pauschale,Nachweis,Unbekannt"</formula1>
    </dataValidation>
    <dataValidation sqref="C754" showDropDown="0" showInputMessage="0" showErrorMessage="0" allowBlank="0" type="list">
      <formula1>"Pauschale,Nachweis,Unbekannt"</formula1>
    </dataValidation>
    <dataValidation sqref="C755" showDropDown="0" showInputMessage="0" showErrorMessage="0" allowBlank="0" type="list">
      <formula1>"Pauschale,Nachweis,Unbekannt"</formula1>
    </dataValidation>
    <dataValidation sqref="C756" showDropDown="0" showInputMessage="0" showErrorMessage="0" allowBlank="0" type="list">
      <formula1>"Pauschale,Nachweis,Unbekannt"</formula1>
    </dataValidation>
    <dataValidation sqref="C757" showDropDown="0" showInputMessage="0" showErrorMessage="0" allowBlank="0" type="list">
      <formula1>"Pauschale,Nachweis,Unbekannt"</formula1>
    </dataValidation>
    <dataValidation sqref="C758" showDropDown="0" showInputMessage="0" showErrorMessage="0" allowBlank="0" type="list">
      <formula1>"Pauschale,Nachweis,Unbekannt"</formula1>
    </dataValidation>
    <dataValidation sqref="C759" showDropDown="0" showInputMessage="0" showErrorMessage="0" allowBlank="0" type="list">
      <formula1>"Pauschale,Nachweis,Unbekannt"</formula1>
    </dataValidation>
    <dataValidation sqref="C760" showDropDown="0" showInputMessage="0" showErrorMessage="0" allowBlank="0" type="list">
      <formula1>"Pauschale,Nachweis,Unbekannt"</formula1>
    </dataValidation>
    <dataValidation sqref="C761" showDropDown="0" showInputMessage="0" showErrorMessage="0" allowBlank="0" type="list">
      <formula1>"Pauschale,Nachweis,Unbekannt"</formula1>
    </dataValidation>
    <dataValidation sqref="C762" showDropDown="0" showInputMessage="0" showErrorMessage="0" allowBlank="0" type="list">
      <formula1>"Pauschale,Nachweis,Unbekannt"</formula1>
    </dataValidation>
    <dataValidation sqref="C763" showDropDown="0" showInputMessage="0" showErrorMessage="0" allowBlank="0" type="list">
      <formula1>"Pauschale,Nachweis,Unbekannt"</formula1>
    </dataValidation>
    <dataValidation sqref="C764" showDropDown="0" showInputMessage="0" showErrorMessage="0" allowBlank="0" type="list">
      <formula1>"Pauschale,Nachweis,Unbekannt"</formula1>
    </dataValidation>
    <dataValidation sqref="C765" showDropDown="0" showInputMessage="0" showErrorMessage="0" allowBlank="0" type="list">
      <formula1>"Pauschale,Nachweis,Unbekannt"</formula1>
    </dataValidation>
    <dataValidation sqref="C766" showDropDown="0" showInputMessage="0" showErrorMessage="0" allowBlank="0" type="list">
      <formula1>"Pauschale,Nachweis,Unbekannt"</formula1>
    </dataValidation>
    <dataValidation sqref="C767" showDropDown="0" showInputMessage="0" showErrorMessage="0" allowBlank="0" type="list">
      <formula1>"Pauschale,Nachweis,Unbekannt"</formula1>
    </dataValidation>
    <dataValidation sqref="C768" showDropDown="0" showInputMessage="0" showErrorMessage="0" allowBlank="0" type="list">
      <formula1>"Pauschale,Nachweis,Unbekannt"</formula1>
    </dataValidation>
    <dataValidation sqref="C769" showDropDown="0" showInputMessage="0" showErrorMessage="0" allowBlank="0" type="list">
      <formula1>"Pauschale,Nachweis,Unbekannt"</formula1>
    </dataValidation>
    <dataValidation sqref="C770" showDropDown="0" showInputMessage="0" showErrorMessage="0" allowBlank="0" type="list">
      <formula1>"Pauschale,Nachweis,Unbekannt"</formula1>
    </dataValidation>
    <dataValidation sqref="C771" showDropDown="0" showInputMessage="0" showErrorMessage="0" allowBlank="0" type="list">
      <formula1>"Pauschale,Nachweis,Unbekannt"</formula1>
    </dataValidation>
    <dataValidation sqref="C772" showDropDown="0" showInputMessage="0" showErrorMessage="0" allowBlank="0" type="list">
      <formula1>"Pauschale,Nachweis,Unbekannt"</formula1>
    </dataValidation>
    <dataValidation sqref="C773" showDropDown="0" showInputMessage="0" showErrorMessage="0" allowBlank="0" type="list">
      <formula1>"Pauschale,Nachweis,Unbekannt"</formula1>
    </dataValidation>
    <dataValidation sqref="C774" showDropDown="0" showInputMessage="0" showErrorMessage="0" allowBlank="0" type="list">
      <formula1>"Pauschale,Nachweis,Unbekannt"</formula1>
    </dataValidation>
    <dataValidation sqref="C775" showDropDown="0" showInputMessage="0" showErrorMessage="0" allowBlank="0" type="list">
      <formula1>"Pauschale,Nachweis,Unbekannt"</formula1>
    </dataValidation>
    <dataValidation sqref="C776" showDropDown="0" showInputMessage="0" showErrorMessage="0" allowBlank="0" type="list">
      <formula1>"Pauschale,Nachweis,Unbekannt"</formula1>
    </dataValidation>
    <dataValidation sqref="C777" showDropDown="0" showInputMessage="0" showErrorMessage="0" allowBlank="0" type="list">
      <formula1>"Pauschale,Nachweis,Unbekannt"</formula1>
    </dataValidation>
    <dataValidation sqref="C778" showDropDown="0" showInputMessage="0" showErrorMessage="0" allowBlank="0" type="list">
      <formula1>"Pauschale,Nachweis,Unbekannt"</formula1>
    </dataValidation>
    <dataValidation sqref="C779" showDropDown="0" showInputMessage="0" showErrorMessage="0" allowBlank="0" type="list">
      <formula1>"Pauschale,Nachweis,Unbekannt"</formula1>
    </dataValidation>
    <dataValidation sqref="C780" showDropDown="0" showInputMessage="0" showErrorMessage="0" allowBlank="0" type="list">
      <formula1>"Pauschale,Nachweis,Unbekannt"</formula1>
    </dataValidation>
    <dataValidation sqref="C781" showDropDown="0" showInputMessage="0" showErrorMessage="0" allowBlank="0" type="list">
      <formula1>"Pauschale,Nachweis,Unbekannt"</formula1>
    </dataValidation>
    <dataValidation sqref="C782" showDropDown="0" showInputMessage="0" showErrorMessage="0" allowBlank="0" type="list">
      <formula1>"Pauschale,Nachweis,Unbekannt"</formula1>
    </dataValidation>
    <dataValidation sqref="C783" showDropDown="0" showInputMessage="0" showErrorMessage="0" allowBlank="0" type="list">
      <formula1>"Pauschale,Nachweis,Unbekannt"</formula1>
    </dataValidation>
    <dataValidation sqref="C784" showDropDown="0" showInputMessage="0" showErrorMessage="0" allowBlank="0" type="list">
      <formula1>"Pauschale,Nachweis,Unbekannt"</formula1>
    </dataValidation>
    <dataValidation sqref="C785" showDropDown="0" showInputMessage="0" showErrorMessage="0" allowBlank="0" type="list">
      <formula1>"Pauschale,Nachweis,Unbekannt"</formula1>
    </dataValidation>
    <dataValidation sqref="C786" showDropDown="0" showInputMessage="0" showErrorMessage="0" allowBlank="0" type="list">
      <formula1>"Pauschale,Nachweis,Unbekannt"</formula1>
    </dataValidation>
    <dataValidation sqref="C787" showDropDown="0" showInputMessage="0" showErrorMessage="0" allowBlank="0" type="list">
      <formula1>"Pauschale,Nachweis,Unbekannt"</formula1>
    </dataValidation>
    <dataValidation sqref="C788" showDropDown="0" showInputMessage="0" showErrorMessage="0" allowBlank="0" type="list">
      <formula1>"Pauschale,Nachweis,Unbekannt"</formula1>
    </dataValidation>
    <dataValidation sqref="C789" showDropDown="0" showInputMessage="0" showErrorMessage="0" allowBlank="0" type="list">
      <formula1>"Pauschale,Nachweis,Unbekannt"</formula1>
    </dataValidation>
    <dataValidation sqref="C790" showDropDown="0" showInputMessage="0" showErrorMessage="0" allowBlank="0" type="list">
      <formula1>"Pauschale,Nachweis,Unbekannt"</formula1>
    </dataValidation>
    <dataValidation sqref="C791" showDropDown="0" showInputMessage="0" showErrorMessage="0" allowBlank="0" type="list">
      <formula1>"Pauschale,Nachweis,Unbekannt"</formula1>
    </dataValidation>
    <dataValidation sqref="C792" showDropDown="0" showInputMessage="0" showErrorMessage="0" allowBlank="0" type="list">
      <formula1>"Pauschale,Nachweis,Unbekannt"</formula1>
    </dataValidation>
    <dataValidation sqref="C793" showDropDown="0" showInputMessage="0" showErrorMessage="0" allowBlank="0" type="list">
      <formula1>"Pauschale,Nachweis,Unbekannt"</formula1>
    </dataValidation>
    <dataValidation sqref="C794" showDropDown="0" showInputMessage="0" showErrorMessage="0" allowBlank="0" type="list">
      <formula1>"Pauschale,Nachweis,Unbekannt"</formula1>
    </dataValidation>
    <dataValidation sqref="C795" showDropDown="0" showInputMessage="0" showErrorMessage="0" allowBlank="0" type="list">
      <formula1>"Pauschale,Nachweis,Unbekannt"</formula1>
    </dataValidation>
    <dataValidation sqref="C796" showDropDown="0" showInputMessage="0" showErrorMessage="0" allowBlank="0" type="list">
      <formula1>"Pauschale,Nachweis,Unbekannt"</formula1>
    </dataValidation>
    <dataValidation sqref="C797" showDropDown="0" showInputMessage="0" showErrorMessage="0" allowBlank="0" type="list">
      <formula1>"Pauschale,Nachweis,Unbekannt"</formula1>
    </dataValidation>
    <dataValidation sqref="C798" showDropDown="0" showInputMessage="0" showErrorMessage="0" allowBlank="0" type="list">
      <formula1>"Pauschale,Nachweis,Unbekannt"</formula1>
    </dataValidation>
    <dataValidation sqref="C799" showDropDown="0" showInputMessage="0" showErrorMessage="0" allowBlank="0" type="list">
      <formula1>"Pauschale,Nachweis,Unbekannt"</formula1>
    </dataValidation>
    <dataValidation sqref="C800" showDropDown="0" showInputMessage="0" showErrorMessage="0" allowBlank="0" type="list">
      <formula1>"Pauschale,Nachweis,Unbekannt"</formula1>
    </dataValidation>
    <dataValidation sqref="C801" showDropDown="0" showInputMessage="0" showErrorMessage="0" allowBlank="0" type="list">
      <formula1>"Pauschale,Nachweis,Unbekannt"</formula1>
    </dataValidation>
    <dataValidation sqref="C802" showDropDown="0" showInputMessage="0" showErrorMessage="0" allowBlank="0" type="list">
      <formula1>"Pauschale,Nachweis,Unbekannt"</formula1>
    </dataValidation>
    <dataValidation sqref="C803" showDropDown="0" showInputMessage="0" showErrorMessage="0" allowBlank="0" type="list">
      <formula1>"Pauschale,Nachweis,Unbekannt"</formula1>
    </dataValidation>
    <dataValidation sqref="C804" showDropDown="0" showInputMessage="0" showErrorMessage="0" allowBlank="0" type="list">
      <formula1>"Pauschale,Nachweis,Unbekannt"</formula1>
    </dataValidation>
    <dataValidation sqref="C805" showDropDown="0" showInputMessage="0" showErrorMessage="0" allowBlank="0" type="list">
      <formula1>"Pauschale,Nachweis,Unbekannt"</formula1>
    </dataValidation>
    <dataValidation sqref="C806" showDropDown="0" showInputMessage="0" showErrorMessage="0" allowBlank="0" type="list">
      <formula1>"Pauschale,Nachweis,Unbekannt"</formula1>
    </dataValidation>
    <dataValidation sqref="C807" showDropDown="0" showInputMessage="0" showErrorMessage="0" allowBlank="0" type="list">
      <formula1>"Pauschale,Nachweis,Unbekannt"</formula1>
    </dataValidation>
    <dataValidation sqref="C808" showDropDown="0" showInputMessage="0" showErrorMessage="0" allowBlank="0" type="list">
      <formula1>"Pauschale,Nachweis,Unbekannt"</formula1>
    </dataValidation>
    <dataValidation sqref="C809" showDropDown="0" showInputMessage="0" showErrorMessage="0" allowBlank="0" type="list">
      <formula1>"Pauschale,Nachweis,Unbekannt"</formula1>
    </dataValidation>
    <dataValidation sqref="C810" showDropDown="0" showInputMessage="0" showErrorMessage="0" allowBlank="0" type="list">
      <formula1>"Pauschale,Nachweis,Unbekannt"</formula1>
    </dataValidation>
    <dataValidation sqref="C811" showDropDown="0" showInputMessage="0" showErrorMessage="0" allowBlank="0" type="list">
      <formula1>"Pauschale,Nachweis,Unbekannt"</formula1>
    </dataValidation>
    <dataValidation sqref="C812" showDropDown="0" showInputMessage="0" showErrorMessage="0" allowBlank="0" type="list">
      <formula1>"Pauschale,Nachweis,Unbekannt"</formula1>
    </dataValidation>
    <dataValidation sqref="C813" showDropDown="0" showInputMessage="0" showErrorMessage="0" allowBlank="0" type="list">
      <formula1>"Pauschale,Nachweis,Unbekannt"</formula1>
    </dataValidation>
    <dataValidation sqref="C814" showDropDown="0" showInputMessage="0" showErrorMessage="0" allowBlank="0" type="list">
      <formula1>"Pauschale,Nachweis,Unbekannt"</formula1>
    </dataValidation>
    <dataValidation sqref="C815" showDropDown="0" showInputMessage="0" showErrorMessage="0" allowBlank="0" type="list">
      <formula1>"Pauschale,Nachweis,Unbekannt"</formula1>
    </dataValidation>
    <dataValidation sqref="C816" showDropDown="0" showInputMessage="0" showErrorMessage="0" allowBlank="0" type="list">
      <formula1>"Pauschale,Nachweis,Unbekannt"</formula1>
    </dataValidation>
    <dataValidation sqref="C817" showDropDown="0" showInputMessage="0" showErrorMessage="0" allowBlank="0" type="list">
      <formula1>"Pauschale,Nachweis,Unbekannt"</formula1>
    </dataValidation>
    <dataValidation sqref="C818" showDropDown="0" showInputMessage="0" showErrorMessage="0" allowBlank="0" type="list">
      <formula1>"Pauschale,Nachweis,Unbekannt"</formula1>
    </dataValidation>
    <dataValidation sqref="C819" showDropDown="0" showInputMessage="0" showErrorMessage="0" allowBlank="0" type="list">
      <formula1>"Pauschale,Nachweis,Unbekannt"</formula1>
    </dataValidation>
    <dataValidation sqref="C820" showDropDown="0" showInputMessage="0" showErrorMessage="0" allowBlank="0" type="list">
      <formula1>"Pauschale,Nachweis,Unbekannt"</formula1>
    </dataValidation>
    <dataValidation sqref="C821" showDropDown="0" showInputMessage="0" showErrorMessage="0" allowBlank="0" type="list">
      <formula1>"Pauschale,Nachweis,Unbekannt"</formula1>
    </dataValidation>
    <dataValidation sqref="C822" showDropDown="0" showInputMessage="0" showErrorMessage="0" allowBlank="0" type="list">
      <formula1>"Pauschale,Nachweis,Unbekannt"</formula1>
    </dataValidation>
    <dataValidation sqref="C823" showDropDown="0" showInputMessage="0" showErrorMessage="0" allowBlank="0" type="list">
      <formula1>"Pauschale,Nachweis,Unbekannt"</formula1>
    </dataValidation>
    <dataValidation sqref="C824" showDropDown="0" showInputMessage="0" showErrorMessage="0" allowBlank="0" type="list">
      <formula1>"Pauschale,Nachweis,Unbekannt"</formula1>
    </dataValidation>
    <dataValidation sqref="C825" showDropDown="0" showInputMessage="0" showErrorMessage="0" allowBlank="0" type="list">
      <formula1>"Pauschale,Nachweis,Unbekannt"</formula1>
    </dataValidation>
    <dataValidation sqref="C826" showDropDown="0" showInputMessage="0" showErrorMessage="0" allowBlank="0" type="list">
      <formula1>"Pauschale,Nachweis,Unbekannt"</formula1>
    </dataValidation>
    <dataValidation sqref="C827" showDropDown="0" showInputMessage="0" showErrorMessage="0" allowBlank="0" type="list">
      <formula1>"Pauschale,Nachweis,Unbekannt"</formula1>
    </dataValidation>
    <dataValidation sqref="C828" showDropDown="0" showInputMessage="0" showErrorMessage="0" allowBlank="0" type="list">
      <formula1>"Pauschale,Nachweis,Unbekannt"</formula1>
    </dataValidation>
    <dataValidation sqref="C829" showDropDown="0" showInputMessage="0" showErrorMessage="0" allowBlank="0" type="list">
      <formula1>"Pauschale,Nachweis,Unbekannt"</formula1>
    </dataValidation>
    <dataValidation sqref="C830" showDropDown="0" showInputMessage="0" showErrorMessage="0" allowBlank="0" type="list">
      <formula1>"Pauschale,Nachweis,Unbekannt"</formula1>
    </dataValidation>
    <dataValidation sqref="C831" showDropDown="0" showInputMessage="0" showErrorMessage="0" allowBlank="0" type="list">
      <formula1>"Pauschale,Nachweis,Unbekannt"</formula1>
    </dataValidation>
    <dataValidation sqref="C832" showDropDown="0" showInputMessage="0" showErrorMessage="0" allowBlank="0" type="list">
      <formula1>"Pauschale,Nachweis,Unbekannt"</formula1>
    </dataValidation>
    <dataValidation sqref="C833" showDropDown="0" showInputMessage="0" showErrorMessage="0" allowBlank="0" type="list">
      <formula1>"Pauschale,Nachweis,Unbekannt"</formula1>
    </dataValidation>
    <dataValidation sqref="C834" showDropDown="0" showInputMessage="0" showErrorMessage="0" allowBlank="0" type="list">
      <formula1>"Pauschale,Nachweis,Unbekannt"</formula1>
    </dataValidation>
    <dataValidation sqref="C835" showDropDown="0" showInputMessage="0" showErrorMessage="0" allowBlank="0" type="list">
      <formula1>"Pauschale,Nachweis,Unbekannt"</formula1>
    </dataValidation>
    <dataValidation sqref="C836" showDropDown="0" showInputMessage="0" showErrorMessage="0" allowBlank="0" type="list">
      <formula1>"Pauschale,Nachweis,Unbekannt"</formula1>
    </dataValidation>
    <dataValidation sqref="C837" showDropDown="0" showInputMessage="0" showErrorMessage="0" allowBlank="0" type="list">
      <formula1>"Pauschale,Nachweis,Unbekannt"</formula1>
    </dataValidation>
    <dataValidation sqref="C838" showDropDown="0" showInputMessage="0" showErrorMessage="0" allowBlank="0" type="list">
      <formula1>"Pauschale,Nachweis,Unbekannt"</formula1>
    </dataValidation>
    <dataValidation sqref="C839" showDropDown="0" showInputMessage="0" showErrorMessage="0" allowBlank="0" type="list">
      <formula1>"Pauschale,Nachweis,Unbekannt"</formula1>
    </dataValidation>
    <dataValidation sqref="C840" showDropDown="0" showInputMessage="0" showErrorMessage="0" allowBlank="0" type="list">
      <formula1>"Pauschale,Nachweis,Unbekannt"</formula1>
    </dataValidation>
    <dataValidation sqref="C841" showDropDown="0" showInputMessage="0" showErrorMessage="0" allowBlank="0" type="list">
      <formula1>"Pauschale,Nachweis,Unbekannt"</formula1>
    </dataValidation>
    <dataValidation sqref="C842" showDropDown="0" showInputMessage="0" showErrorMessage="0" allowBlank="0" type="list">
      <formula1>"Pauschale,Nachweis,Unbekannt"</formula1>
    </dataValidation>
    <dataValidation sqref="C843" showDropDown="0" showInputMessage="0" showErrorMessage="0" allowBlank="0" type="list">
      <formula1>"Pauschale,Nachweis,Unbekannt"</formula1>
    </dataValidation>
    <dataValidation sqref="C844" showDropDown="0" showInputMessage="0" showErrorMessage="0" allowBlank="0" type="list">
      <formula1>"Pauschale,Nachweis,Unbekannt"</formula1>
    </dataValidation>
    <dataValidation sqref="C845" showDropDown="0" showInputMessage="0" showErrorMessage="0" allowBlank="0" type="list">
      <formula1>"Pauschale,Nachweis,Unbekannt"</formula1>
    </dataValidation>
    <dataValidation sqref="C846" showDropDown="0" showInputMessage="0" showErrorMessage="0" allowBlank="0" type="list">
      <formula1>"Pauschale,Nachweis,Unbekannt"</formula1>
    </dataValidation>
    <dataValidation sqref="C847" showDropDown="0" showInputMessage="0" showErrorMessage="0" allowBlank="0" type="list">
      <formula1>"Pauschale,Nachweis,Unbekannt"</formula1>
    </dataValidation>
    <dataValidation sqref="C848" showDropDown="0" showInputMessage="0" showErrorMessage="0" allowBlank="0" type="list">
      <formula1>"Pauschale,Nachweis,Unbekannt"</formula1>
    </dataValidation>
    <dataValidation sqref="C849" showDropDown="0" showInputMessage="0" showErrorMessage="0" allowBlank="0" type="list">
      <formula1>"Pauschale,Nachweis,Unbekannt"</formula1>
    </dataValidation>
    <dataValidation sqref="C850" showDropDown="0" showInputMessage="0" showErrorMessage="0" allowBlank="0" type="list">
      <formula1>"Pauschale,Nachweis,Unbekannt"</formula1>
    </dataValidation>
    <dataValidation sqref="C851" showDropDown="0" showInputMessage="0" showErrorMessage="0" allowBlank="0" type="list">
      <formula1>"Pauschale,Nachweis,Unbekannt"</formula1>
    </dataValidation>
    <dataValidation sqref="C852" showDropDown="0" showInputMessage="0" showErrorMessage="0" allowBlank="0" type="list">
      <formula1>"Pauschale,Nachweis,Unbekannt"</formula1>
    </dataValidation>
    <dataValidation sqref="C853" showDropDown="0" showInputMessage="0" showErrorMessage="0" allowBlank="0" type="list">
      <formula1>"Pauschale,Nachweis,Unbekannt"</formula1>
    </dataValidation>
    <dataValidation sqref="C854" showDropDown="0" showInputMessage="0" showErrorMessage="0" allowBlank="0" type="list">
      <formula1>"Pauschale,Nachweis,Unbekannt"</formula1>
    </dataValidation>
    <dataValidation sqref="C855" showDropDown="0" showInputMessage="0" showErrorMessage="0" allowBlank="0" type="list">
      <formula1>"Pauschale,Nachweis,Unbekannt"</formula1>
    </dataValidation>
    <dataValidation sqref="C856" showDropDown="0" showInputMessage="0" showErrorMessage="0" allowBlank="0" type="list">
      <formula1>"Pauschale,Nachweis,Unbekannt"</formula1>
    </dataValidation>
    <dataValidation sqref="C857" showDropDown="0" showInputMessage="0" showErrorMessage="0" allowBlank="0" type="list">
      <formula1>"Pauschale,Nachweis,Unbekannt"</formula1>
    </dataValidation>
    <dataValidation sqref="C858" showDropDown="0" showInputMessage="0" showErrorMessage="0" allowBlank="0" type="list">
      <formula1>"Pauschale,Nachweis,Unbekannt"</formula1>
    </dataValidation>
    <dataValidation sqref="C859" showDropDown="0" showInputMessage="0" showErrorMessage="0" allowBlank="0" type="list">
      <formula1>"Pauschale,Nachweis,Unbekannt"</formula1>
    </dataValidation>
    <dataValidation sqref="C860" showDropDown="0" showInputMessage="0" showErrorMessage="0" allowBlank="0" type="list">
      <formula1>"Pauschale,Nachweis,Unbekannt"</formula1>
    </dataValidation>
    <dataValidation sqref="C861" showDropDown="0" showInputMessage="0" showErrorMessage="0" allowBlank="0" type="list">
      <formula1>"Pauschale,Nachweis,Unbekannt"</formula1>
    </dataValidation>
    <dataValidation sqref="C862" showDropDown="0" showInputMessage="0" showErrorMessage="0" allowBlank="0" type="list">
      <formula1>"Pauschale,Nachweis,Unbekannt"</formula1>
    </dataValidation>
    <dataValidation sqref="C863" showDropDown="0" showInputMessage="0" showErrorMessage="0" allowBlank="0" type="list">
      <formula1>"Pauschale,Nachweis,Unbekannt"</formula1>
    </dataValidation>
    <dataValidation sqref="C864" showDropDown="0" showInputMessage="0" showErrorMessage="0" allowBlank="0" type="list">
      <formula1>"Pauschale,Nachweis,Unbekannt"</formula1>
    </dataValidation>
    <dataValidation sqref="C865" showDropDown="0" showInputMessage="0" showErrorMessage="0" allowBlank="0" type="list">
      <formula1>"Pauschale,Nachweis,Unbekannt"</formula1>
    </dataValidation>
    <dataValidation sqref="C866" showDropDown="0" showInputMessage="0" showErrorMessage="0" allowBlank="0" type="list">
      <formula1>"Pauschale,Nachweis,Unbekannt"</formula1>
    </dataValidation>
    <dataValidation sqref="C867" showDropDown="0" showInputMessage="0" showErrorMessage="0" allowBlank="0" type="list">
      <formula1>"Pauschale,Nachweis,Unbekannt"</formula1>
    </dataValidation>
    <dataValidation sqref="C868" showDropDown="0" showInputMessage="0" showErrorMessage="0" allowBlank="0" type="list">
      <formula1>"Pauschale,Nachweis,Unbekannt"</formula1>
    </dataValidation>
    <dataValidation sqref="C869" showDropDown="0" showInputMessage="0" showErrorMessage="0" allowBlank="0" type="list">
      <formula1>"Pauschale,Nachweis,Unbekannt"</formula1>
    </dataValidation>
    <dataValidation sqref="C870" showDropDown="0" showInputMessage="0" showErrorMessage="0" allowBlank="0" type="list">
      <formula1>"Pauschale,Nachweis,Unbekannt"</formula1>
    </dataValidation>
    <dataValidation sqref="C871" showDropDown="0" showInputMessage="0" showErrorMessage="0" allowBlank="0" type="list">
      <formula1>"Pauschale,Nachweis,Unbekannt"</formula1>
    </dataValidation>
    <dataValidation sqref="C872" showDropDown="0" showInputMessage="0" showErrorMessage="0" allowBlank="0" type="list">
      <formula1>"Pauschale,Nachweis,Unbekannt"</formula1>
    </dataValidation>
    <dataValidation sqref="C873" showDropDown="0" showInputMessage="0" showErrorMessage="0" allowBlank="0" type="list">
      <formula1>"Pauschale,Nachweis,Unbekannt"</formula1>
    </dataValidation>
    <dataValidation sqref="C874" showDropDown="0" showInputMessage="0" showErrorMessage="0" allowBlank="0" type="list">
      <formula1>"Pauschale,Nachweis,Unbekannt"</formula1>
    </dataValidation>
    <dataValidation sqref="C875" showDropDown="0" showInputMessage="0" showErrorMessage="0" allowBlank="0" type="list">
      <formula1>"Pauschale,Nachweis,Unbekannt"</formula1>
    </dataValidation>
    <dataValidation sqref="C876" showDropDown="0" showInputMessage="0" showErrorMessage="0" allowBlank="0" type="list">
      <formula1>"Pauschale,Nachweis,Unbekannt"</formula1>
    </dataValidation>
    <dataValidation sqref="C877" showDropDown="0" showInputMessage="0" showErrorMessage="0" allowBlank="0" type="list">
      <formula1>"Pauschale,Nachweis,Unbekannt"</formula1>
    </dataValidation>
    <dataValidation sqref="C878" showDropDown="0" showInputMessage="0" showErrorMessage="0" allowBlank="0" type="list">
      <formula1>"Pauschale,Nachweis,Unbekannt"</formula1>
    </dataValidation>
    <dataValidation sqref="C879" showDropDown="0" showInputMessage="0" showErrorMessage="0" allowBlank="0" type="list">
      <formula1>"Pauschale,Nachweis,Unbekannt"</formula1>
    </dataValidation>
    <dataValidation sqref="C880" showDropDown="0" showInputMessage="0" showErrorMessage="0" allowBlank="0" type="list">
      <formula1>"Pauschale,Nachweis,Unbekannt"</formula1>
    </dataValidation>
    <dataValidation sqref="C881" showDropDown="0" showInputMessage="0" showErrorMessage="0" allowBlank="0" type="list">
      <formula1>"Pauschale,Nachweis,Unbekannt"</formula1>
    </dataValidation>
    <dataValidation sqref="C882" showDropDown="0" showInputMessage="0" showErrorMessage="0" allowBlank="0" type="list">
      <formula1>"Pauschale,Nachweis,Unbekannt"</formula1>
    </dataValidation>
    <dataValidation sqref="C883" showDropDown="0" showInputMessage="0" showErrorMessage="0" allowBlank="0" type="list">
      <formula1>"Pauschale,Nachweis,Unbekannt"</formula1>
    </dataValidation>
    <dataValidation sqref="C884" showDropDown="0" showInputMessage="0" showErrorMessage="0" allowBlank="0" type="list">
      <formula1>"Pauschale,Nachweis,Unbekannt"</formula1>
    </dataValidation>
    <dataValidation sqref="C885" showDropDown="0" showInputMessage="0" showErrorMessage="0" allowBlank="0" type="list">
      <formula1>"Pauschale,Nachweis,Unbekannt"</formula1>
    </dataValidation>
    <dataValidation sqref="C886" showDropDown="0" showInputMessage="0" showErrorMessage="0" allowBlank="0" type="list">
      <formula1>"Pauschale,Nachweis,Unbekannt"</formula1>
    </dataValidation>
    <dataValidation sqref="C887" showDropDown="0" showInputMessage="0" showErrorMessage="0" allowBlank="0" type="list">
      <formula1>"Pauschale,Nachweis,Unbekannt"</formula1>
    </dataValidation>
    <dataValidation sqref="C888" showDropDown="0" showInputMessage="0" showErrorMessage="0" allowBlank="0" type="list">
      <formula1>"Pauschale,Nachweis,Unbekannt"</formula1>
    </dataValidation>
    <dataValidation sqref="C889" showDropDown="0" showInputMessage="0" showErrorMessage="0" allowBlank="0" type="list">
      <formula1>"Pauschale,Nachweis,Unbekannt"</formula1>
    </dataValidation>
    <dataValidation sqref="C890" showDropDown="0" showInputMessage="0" showErrorMessage="0" allowBlank="0" type="list">
      <formula1>"Pauschale,Nachweis,Unbekannt"</formula1>
    </dataValidation>
    <dataValidation sqref="C891" showDropDown="0" showInputMessage="0" showErrorMessage="0" allowBlank="0" type="list">
      <formula1>"Pauschale,Nachweis,Unbekannt"</formula1>
    </dataValidation>
    <dataValidation sqref="C892" showDropDown="0" showInputMessage="0" showErrorMessage="0" allowBlank="0" type="list">
      <formula1>"Pauschale,Nachweis,Unbekannt"</formula1>
    </dataValidation>
    <dataValidation sqref="C893" showDropDown="0" showInputMessage="0" showErrorMessage="0" allowBlank="0" type="list">
      <formula1>"Pauschale,Nachweis,Unbekannt"</formula1>
    </dataValidation>
    <dataValidation sqref="C894" showDropDown="0" showInputMessage="0" showErrorMessage="0" allowBlank="0" type="list">
      <formula1>"Pauschale,Nachweis,Unbekannt"</formula1>
    </dataValidation>
    <dataValidation sqref="C895" showDropDown="0" showInputMessage="0" showErrorMessage="0" allowBlank="0" type="list">
      <formula1>"Pauschale,Nachweis,Unbekannt"</formula1>
    </dataValidation>
    <dataValidation sqref="C896" showDropDown="0" showInputMessage="0" showErrorMessage="0" allowBlank="0" type="list">
      <formula1>"Pauschale,Nachweis,Unbekannt"</formula1>
    </dataValidation>
    <dataValidation sqref="C897" showDropDown="0" showInputMessage="0" showErrorMessage="0" allowBlank="0" type="list">
      <formula1>"Pauschale,Nachweis,Unbekannt"</formula1>
    </dataValidation>
    <dataValidation sqref="C898" showDropDown="0" showInputMessage="0" showErrorMessage="0" allowBlank="0" type="list">
      <formula1>"Pauschale,Nachweis,Unbekannt"</formula1>
    </dataValidation>
    <dataValidation sqref="C899" showDropDown="0" showInputMessage="0" showErrorMessage="0" allowBlank="0" type="list">
      <formula1>"Pauschale,Nachweis,Unbekannt"</formula1>
    </dataValidation>
    <dataValidation sqref="C900" showDropDown="0" showInputMessage="0" showErrorMessage="0" allowBlank="0" type="list">
      <formula1>"Pauschale,Nachweis,Unbekannt"</formula1>
    </dataValidation>
    <dataValidation sqref="C901" showDropDown="0" showInputMessage="0" showErrorMessage="0" allowBlank="0" type="list">
      <formula1>"Pauschale,Nachweis,Unbekannt"</formula1>
    </dataValidation>
    <dataValidation sqref="C902" showDropDown="0" showInputMessage="0" showErrorMessage="0" allowBlank="0" type="list">
      <formula1>"Pauschale,Nachweis,Unbekannt"</formula1>
    </dataValidation>
    <dataValidation sqref="C903" showDropDown="0" showInputMessage="0" showErrorMessage="0" allowBlank="0" type="list">
      <formula1>"Pauschale,Nachweis,Unbekannt"</formula1>
    </dataValidation>
    <dataValidation sqref="C904" showDropDown="0" showInputMessage="0" showErrorMessage="0" allowBlank="0" type="list">
      <formula1>"Pauschale,Nachweis,Unbekannt"</formula1>
    </dataValidation>
    <dataValidation sqref="C905" showDropDown="0" showInputMessage="0" showErrorMessage="0" allowBlank="0" type="list">
      <formula1>"Pauschale,Nachweis,Unbekannt"</formula1>
    </dataValidation>
    <dataValidation sqref="C906" showDropDown="0" showInputMessage="0" showErrorMessage="0" allowBlank="0" type="list">
      <formula1>"Pauschale,Nachweis,Unbekannt"</formula1>
    </dataValidation>
    <dataValidation sqref="C907" showDropDown="0" showInputMessage="0" showErrorMessage="0" allowBlank="0" type="list">
      <formula1>"Pauschale,Nachweis,Unbekannt"</formula1>
    </dataValidation>
    <dataValidation sqref="C908" showDropDown="0" showInputMessage="0" showErrorMessage="0" allowBlank="0" type="list">
      <formula1>"Pauschale,Nachweis,Unbekannt"</formula1>
    </dataValidation>
    <dataValidation sqref="C909" showDropDown="0" showInputMessage="0" showErrorMessage="0" allowBlank="0" type="list">
      <formula1>"Pauschale,Nachweis,Unbekannt"</formula1>
    </dataValidation>
    <dataValidation sqref="C910" showDropDown="0" showInputMessage="0" showErrorMessage="0" allowBlank="0" type="list">
      <formula1>"Pauschale,Nachweis,Unbekannt"</formula1>
    </dataValidation>
    <dataValidation sqref="C911" showDropDown="0" showInputMessage="0" showErrorMessage="0" allowBlank="0" type="list">
      <formula1>"Pauschale,Nachweis,Unbekannt"</formula1>
    </dataValidation>
    <dataValidation sqref="C912" showDropDown="0" showInputMessage="0" showErrorMessage="0" allowBlank="0" type="list">
      <formula1>"Pauschale,Nachweis,Unbekannt"</formula1>
    </dataValidation>
    <dataValidation sqref="C913" showDropDown="0" showInputMessage="0" showErrorMessage="0" allowBlank="0" type="list">
      <formula1>"Pauschale,Nachweis,Unbekannt"</formula1>
    </dataValidation>
    <dataValidation sqref="C914" showDropDown="0" showInputMessage="0" showErrorMessage="0" allowBlank="0" type="list">
      <formula1>"Pauschale,Nachweis,Unbekannt"</formula1>
    </dataValidation>
    <dataValidation sqref="C915" showDropDown="0" showInputMessage="0" showErrorMessage="0" allowBlank="0" type="list">
      <formula1>"Pauschale,Nachweis,Unbekannt"</formula1>
    </dataValidation>
    <dataValidation sqref="C916" showDropDown="0" showInputMessage="0" showErrorMessage="0" allowBlank="0" type="list">
      <formula1>"Pauschale,Nachweis,Unbekannt"</formula1>
    </dataValidation>
    <dataValidation sqref="C917" showDropDown="0" showInputMessage="0" showErrorMessage="0" allowBlank="0" type="list">
      <formula1>"Pauschale,Nachweis,Unbekannt"</formula1>
    </dataValidation>
    <dataValidation sqref="C918" showDropDown="0" showInputMessage="0" showErrorMessage="0" allowBlank="0" type="list">
      <formula1>"Pauschale,Nachweis,Unbekannt"</formula1>
    </dataValidation>
    <dataValidation sqref="C919" showDropDown="0" showInputMessage="0" showErrorMessage="0" allowBlank="0" type="list">
      <formula1>"Pauschale,Nachweis,Unbekannt"</formula1>
    </dataValidation>
    <dataValidation sqref="C920" showDropDown="0" showInputMessage="0" showErrorMessage="0" allowBlank="0" type="list">
      <formula1>"Pauschale,Nachweis,Unbekannt"</formula1>
    </dataValidation>
    <dataValidation sqref="C921" showDropDown="0" showInputMessage="0" showErrorMessage="0" allowBlank="0" type="list">
      <formula1>"Pauschale,Nachweis,Unbekannt"</formula1>
    </dataValidation>
    <dataValidation sqref="C922" showDropDown="0" showInputMessage="0" showErrorMessage="0" allowBlank="0" type="list">
      <formula1>"Pauschale,Nachweis,Unbekannt"</formula1>
    </dataValidation>
    <dataValidation sqref="C923" showDropDown="0" showInputMessage="0" showErrorMessage="0" allowBlank="0" type="list">
      <formula1>"Pauschale,Nachweis,Unbekannt"</formula1>
    </dataValidation>
    <dataValidation sqref="C924" showDropDown="0" showInputMessage="0" showErrorMessage="0" allowBlank="0" type="list">
      <formula1>"Pauschale,Nachweis,Unbekannt"</formula1>
    </dataValidation>
    <dataValidation sqref="C925" showDropDown="0" showInputMessage="0" showErrorMessage="0" allowBlank="0" type="list">
      <formula1>"Pauschale,Nachweis,Unbekannt"</formula1>
    </dataValidation>
    <dataValidation sqref="C926" showDropDown="0" showInputMessage="0" showErrorMessage="0" allowBlank="0" type="list">
      <formula1>"Pauschale,Nachweis,Unbekannt"</formula1>
    </dataValidation>
    <dataValidation sqref="C927" showDropDown="0" showInputMessage="0" showErrorMessage="0" allowBlank="0" type="list">
      <formula1>"Pauschale,Nachweis,Unbekannt"</formula1>
    </dataValidation>
    <dataValidation sqref="C928" showDropDown="0" showInputMessage="0" showErrorMessage="0" allowBlank="0" type="list">
      <formula1>"Pauschale,Nachweis,Unbekannt"</formula1>
    </dataValidation>
    <dataValidation sqref="C929" showDropDown="0" showInputMessage="0" showErrorMessage="0" allowBlank="0" type="list">
      <formula1>"Pauschale,Nachweis,Unbekannt"</formula1>
    </dataValidation>
    <dataValidation sqref="C930" showDropDown="0" showInputMessage="0" showErrorMessage="0" allowBlank="0" type="list">
      <formula1>"Pauschale,Nachweis,Unbekannt"</formula1>
    </dataValidation>
    <dataValidation sqref="C931" showDropDown="0" showInputMessage="0" showErrorMessage="0" allowBlank="0" type="list">
      <formula1>"Pauschale,Nachweis,Unbekannt"</formula1>
    </dataValidation>
    <dataValidation sqref="C932" showDropDown="0" showInputMessage="0" showErrorMessage="0" allowBlank="0" type="list">
      <formula1>"Pauschale,Nachweis,Unbekannt"</formula1>
    </dataValidation>
    <dataValidation sqref="C933" showDropDown="0" showInputMessage="0" showErrorMessage="0" allowBlank="0" type="list">
      <formula1>"Pauschale,Nachweis,Unbekannt"</formula1>
    </dataValidation>
    <dataValidation sqref="C934" showDropDown="0" showInputMessage="0" showErrorMessage="0" allowBlank="0" type="list">
      <formula1>"Pauschale,Nachweis,Unbekannt"</formula1>
    </dataValidation>
    <dataValidation sqref="C935" showDropDown="0" showInputMessage="0" showErrorMessage="0" allowBlank="0" type="list">
      <formula1>"Pauschale,Nachweis,Unbekannt"</formula1>
    </dataValidation>
    <dataValidation sqref="C936" showDropDown="0" showInputMessage="0" showErrorMessage="0" allowBlank="0" type="list">
      <formula1>"Pauschale,Nachweis,Unbekannt"</formula1>
    </dataValidation>
    <dataValidation sqref="C937" showDropDown="0" showInputMessage="0" showErrorMessage="0" allowBlank="0" type="list">
      <formula1>"Pauschale,Nachweis,Unbekannt"</formula1>
    </dataValidation>
    <dataValidation sqref="C938" showDropDown="0" showInputMessage="0" showErrorMessage="0" allowBlank="0" type="list">
      <formula1>"Pauschale,Nachweis,Unbekannt"</formula1>
    </dataValidation>
    <dataValidation sqref="C939" showDropDown="0" showInputMessage="0" showErrorMessage="0" allowBlank="0" type="list">
      <formula1>"Pauschale,Nachweis,Unbekannt"</formula1>
    </dataValidation>
    <dataValidation sqref="C940" showDropDown="0" showInputMessage="0" showErrorMessage="0" allowBlank="0" type="list">
      <formula1>"Pauschale,Nachweis,Unbekannt"</formula1>
    </dataValidation>
    <dataValidation sqref="C941" showDropDown="0" showInputMessage="0" showErrorMessage="0" allowBlank="0" type="list">
      <formula1>"Pauschale,Nachweis,Unbekannt"</formula1>
    </dataValidation>
    <dataValidation sqref="C942" showDropDown="0" showInputMessage="0" showErrorMessage="0" allowBlank="0" type="list">
      <formula1>"Pauschale,Nachweis,Unbekannt"</formula1>
    </dataValidation>
    <dataValidation sqref="C943" showDropDown="0" showInputMessage="0" showErrorMessage="0" allowBlank="0" type="list">
      <formula1>"Pauschale,Nachweis,Unbekannt"</formula1>
    </dataValidation>
    <dataValidation sqref="C944" showDropDown="0" showInputMessage="0" showErrorMessage="0" allowBlank="0" type="list">
      <formula1>"Pauschale,Nachweis,Unbekannt"</formula1>
    </dataValidation>
    <dataValidation sqref="C945" showDropDown="0" showInputMessage="0" showErrorMessage="0" allowBlank="0" type="list">
      <formula1>"Pauschale,Nachweis,Unbekannt"</formula1>
    </dataValidation>
    <dataValidation sqref="C946" showDropDown="0" showInputMessage="0" showErrorMessage="0" allowBlank="0" type="list">
      <formula1>"Pauschale,Nachweis,Unbekannt"</formula1>
    </dataValidation>
    <dataValidation sqref="C947" showDropDown="0" showInputMessage="0" showErrorMessage="0" allowBlank="0" type="list">
      <formula1>"Pauschale,Nachweis,Unbekannt"</formula1>
    </dataValidation>
    <dataValidation sqref="C948" showDropDown="0" showInputMessage="0" showErrorMessage="0" allowBlank="0" type="list">
      <formula1>"Pauschale,Nachweis,Unbekannt"</formula1>
    </dataValidation>
    <dataValidation sqref="C949" showDropDown="0" showInputMessage="0" showErrorMessage="0" allowBlank="0" type="list">
      <formula1>"Pauschale,Nachweis,Unbekannt"</formula1>
    </dataValidation>
    <dataValidation sqref="C950" showDropDown="0" showInputMessage="0" showErrorMessage="0" allowBlank="0" type="list">
      <formula1>"Pauschale,Nachweis,Unbekannt"</formula1>
    </dataValidation>
    <dataValidation sqref="C951" showDropDown="0" showInputMessage="0" showErrorMessage="0" allowBlank="0" type="list">
      <formula1>"Pauschale,Nachweis,Unbekannt"</formula1>
    </dataValidation>
    <dataValidation sqref="C952" showDropDown="0" showInputMessage="0" showErrorMessage="0" allowBlank="0" type="list">
      <formula1>"Pauschale,Nachweis,Unbekannt"</formula1>
    </dataValidation>
    <dataValidation sqref="C953" showDropDown="0" showInputMessage="0" showErrorMessage="0" allowBlank="0" type="list">
      <formula1>"Pauschale,Nachweis,Unbekannt"</formula1>
    </dataValidation>
    <dataValidation sqref="C954" showDropDown="0" showInputMessage="0" showErrorMessage="0" allowBlank="0" type="list">
      <formula1>"Pauschale,Nachweis,Unbekannt"</formula1>
    </dataValidation>
    <dataValidation sqref="C955" showDropDown="0" showInputMessage="0" showErrorMessage="0" allowBlank="0" type="list">
      <formula1>"Pauschale,Nachweis,Unbekannt"</formula1>
    </dataValidation>
    <dataValidation sqref="C956" showDropDown="0" showInputMessage="0" showErrorMessage="0" allowBlank="0" type="list">
      <formula1>"Pauschale,Nachweis,Unbekannt"</formula1>
    </dataValidation>
    <dataValidation sqref="C957" showDropDown="0" showInputMessage="0" showErrorMessage="0" allowBlank="0" type="list">
      <formula1>"Pauschale,Nachweis,Unbekannt"</formula1>
    </dataValidation>
    <dataValidation sqref="C958" showDropDown="0" showInputMessage="0" showErrorMessage="0" allowBlank="0" type="list">
      <formula1>"Pauschale,Nachweis,Unbekannt"</formula1>
    </dataValidation>
    <dataValidation sqref="C959" showDropDown="0" showInputMessage="0" showErrorMessage="0" allowBlank="0" type="list">
      <formula1>"Pauschale,Nachweis,Unbekannt"</formula1>
    </dataValidation>
    <dataValidation sqref="C960" showDropDown="0" showInputMessage="0" showErrorMessage="0" allowBlank="0" type="list">
      <formula1>"Pauschale,Nachweis,Unbekannt"</formula1>
    </dataValidation>
    <dataValidation sqref="C961" showDropDown="0" showInputMessage="0" showErrorMessage="0" allowBlank="0" type="list">
      <formula1>"Pauschale,Nachweis,Unbekannt"</formula1>
    </dataValidation>
    <dataValidation sqref="C962" showDropDown="0" showInputMessage="0" showErrorMessage="0" allowBlank="0" type="list">
      <formula1>"Pauschale,Nachweis,Unbekannt"</formula1>
    </dataValidation>
    <dataValidation sqref="C963" showDropDown="0" showInputMessage="0" showErrorMessage="0" allowBlank="0" type="list">
      <formula1>"Pauschale,Nachweis,Unbekannt"</formula1>
    </dataValidation>
    <dataValidation sqref="C964" showDropDown="0" showInputMessage="0" showErrorMessage="0" allowBlank="0" type="list">
      <formula1>"Pauschale,Nachweis,Unbekannt"</formula1>
    </dataValidation>
    <dataValidation sqref="C965" showDropDown="0" showInputMessage="0" showErrorMessage="0" allowBlank="0" type="list">
      <formula1>"Pauschale,Nachweis,Unbekannt"</formula1>
    </dataValidation>
    <dataValidation sqref="C966" showDropDown="0" showInputMessage="0" showErrorMessage="0" allowBlank="0" type="list">
      <formula1>"Pauschale,Nachweis,Unbekannt"</formula1>
    </dataValidation>
    <dataValidation sqref="C967" showDropDown="0" showInputMessage="0" showErrorMessage="0" allowBlank="0" type="list">
      <formula1>"Pauschale,Nachweis,Unbekannt"</formula1>
    </dataValidation>
    <dataValidation sqref="C968" showDropDown="0" showInputMessage="0" showErrorMessage="0" allowBlank="0" type="list">
      <formula1>"Pauschale,Nachweis,Unbekannt"</formula1>
    </dataValidation>
    <dataValidation sqref="C969" showDropDown="0" showInputMessage="0" showErrorMessage="0" allowBlank="0" type="list">
      <formula1>"Pauschale,Nachweis,Unbekannt"</formula1>
    </dataValidation>
    <dataValidation sqref="C970" showDropDown="0" showInputMessage="0" showErrorMessage="0" allowBlank="0" type="list">
      <formula1>"Pauschale,Nachweis,Unbekannt"</formula1>
    </dataValidation>
    <dataValidation sqref="C971" showDropDown="0" showInputMessage="0" showErrorMessage="0" allowBlank="0" type="list">
      <formula1>"Pauschale,Nachweis,Unbekannt"</formula1>
    </dataValidation>
    <dataValidation sqref="C972" showDropDown="0" showInputMessage="0" showErrorMessage="0" allowBlank="0" type="list">
      <formula1>"Pauschale,Nachweis,Unbekannt"</formula1>
    </dataValidation>
    <dataValidation sqref="C973" showDropDown="0" showInputMessage="0" showErrorMessage="0" allowBlank="0" type="list">
      <formula1>"Pauschale,Nachweis,Unbekannt"</formula1>
    </dataValidation>
    <dataValidation sqref="C974" showDropDown="0" showInputMessage="0" showErrorMessage="0" allowBlank="0" type="list">
      <formula1>"Pauschale,Nachweis,Unbekannt"</formula1>
    </dataValidation>
    <dataValidation sqref="C975" showDropDown="0" showInputMessage="0" showErrorMessage="0" allowBlank="0" type="list">
      <formula1>"Pauschale,Nachweis,Unbekannt"</formula1>
    </dataValidation>
    <dataValidation sqref="C976" showDropDown="0" showInputMessage="0" showErrorMessage="0" allowBlank="0" type="list">
      <formula1>"Pauschale,Nachweis,Unbekannt"</formula1>
    </dataValidation>
    <dataValidation sqref="C977" showDropDown="0" showInputMessage="0" showErrorMessage="0" allowBlank="0" type="list">
      <formula1>"Pauschale,Nachweis,Unbekannt"</formula1>
    </dataValidation>
    <dataValidation sqref="C978" showDropDown="0" showInputMessage="0" showErrorMessage="0" allowBlank="0" type="list">
      <formula1>"Pauschale,Nachweis,Unbekannt"</formula1>
    </dataValidation>
    <dataValidation sqref="C979" showDropDown="0" showInputMessage="0" showErrorMessage="0" allowBlank="0" type="list">
      <formula1>"Pauschale,Nachweis,Unbekannt"</formula1>
    </dataValidation>
    <dataValidation sqref="C980" showDropDown="0" showInputMessage="0" showErrorMessage="0" allowBlank="0" type="list">
      <formula1>"Pauschale,Nachweis,Unbekannt"</formula1>
    </dataValidation>
    <dataValidation sqref="C981" showDropDown="0" showInputMessage="0" showErrorMessage="0" allowBlank="0" type="list">
      <formula1>"Pauschale,Nachweis,Unbekannt"</formula1>
    </dataValidation>
    <dataValidation sqref="C982" showDropDown="0" showInputMessage="0" showErrorMessage="0" allowBlank="0" type="list">
      <formula1>"Pauschale,Nachweis,Unbekannt"</formula1>
    </dataValidation>
    <dataValidation sqref="C983" showDropDown="0" showInputMessage="0" showErrorMessage="0" allowBlank="0" type="list">
      <formula1>"Pauschale,Nachweis,Unbekannt"</formula1>
    </dataValidation>
    <dataValidation sqref="C984" showDropDown="0" showInputMessage="0" showErrorMessage="0" allowBlank="0" type="list">
      <formula1>"Pauschale,Nachweis,Unbekannt"</formula1>
    </dataValidation>
    <dataValidation sqref="C985" showDropDown="0" showInputMessage="0" showErrorMessage="0" allowBlank="0" type="list">
      <formula1>"Pauschale,Nachweis,Unbekannt"</formula1>
    </dataValidation>
    <dataValidation sqref="C986" showDropDown="0" showInputMessage="0" showErrorMessage="0" allowBlank="0" type="list">
      <formula1>"Pauschale,Nachweis,Unbekannt"</formula1>
    </dataValidation>
    <dataValidation sqref="C987" showDropDown="0" showInputMessage="0" showErrorMessage="0" allowBlank="0" type="list">
      <formula1>"Pauschale,Nachweis,Unbekannt"</formula1>
    </dataValidation>
    <dataValidation sqref="C988" showDropDown="0" showInputMessage="0" showErrorMessage="0" allowBlank="0" type="list">
      <formula1>"Pauschale,Nachweis,Unbekannt"</formula1>
    </dataValidation>
    <dataValidation sqref="C989" showDropDown="0" showInputMessage="0" showErrorMessage="0" allowBlank="0" type="list">
      <formula1>"Pauschale,Nachweis,Unbekannt"</formula1>
    </dataValidation>
    <dataValidation sqref="C990" showDropDown="0" showInputMessage="0" showErrorMessage="0" allowBlank="0" type="list">
      <formula1>"Pauschale,Nachweis,Unbekannt"</formula1>
    </dataValidation>
    <dataValidation sqref="C991" showDropDown="0" showInputMessage="0" showErrorMessage="0" allowBlank="0" type="list">
      <formula1>"Pauschale,Nachweis,Unbekannt"</formula1>
    </dataValidation>
    <dataValidation sqref="C992" showDropDown="0" showInputMessage="0" showErrorMessage="0" allowBlank="0" type="list">
      <formula1>"Pauschale,Nachweis,Unbekannt"</formula1>
    </dataValidation>
    <dataValidation sqref="C993" showDropDown="0" showInputMessage="0" showErrorMessage="0" allowBlank="0" type="list">
      <formula1>"Pauschale,Nachweis,Unbekannt"</formula1>
    </dataValidation>
    <dataValidation sqref="C994" showDropDown="0" showInputMessage="0" showErrorMessage="0" allowBlank="0" type="list">
      <formula1>"Pauschale,Nachweis,Unbekannt"</formula1>
    </dataValidation>
    <dataValidation sqref="C995" showDropDown="0" showInputMessage="0" showErrorMessage="0" allowBlank="0" type="list">
      <formula1>"Pauschale,Nachweis,Unbekannt"</formula1>
    </dataValidation>
    <dataValidation sqref="C996" showDropDown="0" showInputMessage="0" showErrorMessage="0" allowBlank="0" type="list">
      <formula1>"Pauschale,Nachweis,Unbekannt"</formula1>
    </dataValidation>
    <dataValidation sqref="C997" showDropDown="0" showInputMessage="0" showErrorMessage="0" allowBlank="0" type="list">
      <formula1>"Pauschale,Nachweis,Unbekannt"</formula1>
    </dataValidation>
    <dataValidation sqref="C998" showDropDown="0" showInputMessage="0" showErrorMessage="0" allowBlank="0" type="list">
      <formula1>"Pauschale,Nachweis,Unbekannt"</formula1>
    </dataValidation>
    <dataValidation sqref="C999" showDropDown="0" showInputMessage="0" showErrorMessage="0" allowBlank="0" type="list">
      <formula1>"Pauschale,Nachweis,Unbekannt"</formula1>
    </dataValidation>
    <dataValidation sqref="C1000" showDropDown="0" showInputMessage="0" showErrorMessage="0" allowBlank="0" type="list">
      <formula1>"Pauschale,Nachweis,Unbekannt"</formula1>
    </dataValidation>
    <dataValidation sqref="C1001" showDropDown="0" showInputMessage="0" showErrorMessage="0" allowBlank="0" type="list">
      <formula1>"Pauschale,Nachweis,Unbekannt"</formula1>
    </dataValidation>
    <dataValidation sqref="C1002" showDropDown="0" showInputMessage="0" showErrorMessage="0" allowBlank="0" type="list">
      <formula1>"Pauschale,Nachweis,Unbekannt"</formula1>
    </dataValidation>
    <dataValidation sqref="C1003" showDropDown="0" showInputMessage="0" showErrorMessage="0" allowBlank="0" type="list">
      <formula1>"Pauschale,Nachweis,Unbekannt"</formula1>
    </dataValidation>
    <dataValidation sqref="C1004" showDropDown="0" showInputMessage="0" showErrorMessage="0" allowBlank="0" type="list">
      <formula1>"Pauschale,Nachweis,Unbekannt"</formula1>
    </dataValidation>
    <dataValidation sqref="C1005" showDropDown="0" showInputMessage="0" showErrorMessage="0" allowBlank="0" type="list">
      <formula1>"Pauschale,Nachweis,Unbekannt"</formula1>
    </dataValidation>
    <dataValidation sqref="C1006" showDropDown="0" showInputMessage="0" showErrorMessage="0" allowBlank="0" type="list">
      <formula1>"Pauschale,Nachweis,Unbekannt"</formula1>
    </dataValidation>
    <dataValidation sqref="C1007" showDropDown="0" showInputMessage="0" showErrorMessage="0" allowBlank="0" type="list">
      <formula1>"Pauschale,Nachweis,Unbekannt"</formula1>
    </dataValidation>
    <dataValidation sqref="C1008" showDropDown="0" showInputMessage="0" showErrorMessage="0" allowBlank="0" type="list">
      <formula1>"Pauschale,Nachweis,Unbekannt"</formula1>
    </dataValidation>
    <dataValidation sqref="C1009" showDropDown="0" showInputMessage="0" showErrorMessage="0" allowBlank="0" type="list">
      <formula1>"Pauschale,Nachweis,Unbekannt"</formula1>
    </dataValidation>
    <dataValidation sqref="C1010" showDropDown="0" showInputMessage="0" showErrorMessage="0" allowBlank="0" type="list">
      <formula1>"Pauschale,Nachweis,Unbekannt"</formula1>
    </dataValidation>
    <dataValidation sqref="C1011" showDropDown="0" showInputMessage="0" showErrorMessage="0" allowBlank="0" type="list">
      <formula1>"Pauschale,Nachweis,Unbekannt"</formula1>
    </dataValidation>
    <dataValidation sqref="C1012" showDropDown="0" showInputMessage="0" showErrorMessage="0" allowBlank="0" type="list">
      <formula1>"Pauschale,Nachweis,Unbekannt"</formula1>
    </dataValidation>
    <dataValidation sqref="C1013" showDropDown="0" showInputMessage="0" showErrorMessage="0" allowBlank="0" type="list">
      <formula1>"Pauschale,Nachweis,Unbekannt"</formula1>
    </dataValidation>
    <dataValidation sqref="C1014" showDropDown="0" showInputMessage="0" showErrorMessage="0" allowBlank="0" type="list">
      <formula1>"Pauschale,Nachweis,Unbekannt"</formula1>
    </dataValidation>
    <dataValidation sqref="C1015" showDropDown="0" showInputMessage="0" showErrorMessage="0" allowBlank="0" type="list">
      <formula1>"Pauschale,Nachweis,Unbekannt"</formula1>
    </dataValidation>
    <dataValidation sqref="C1016" showDropDown="0" showInputMessage="0" showErrorMessage="0" allowBlank="0" type="list">
      <formula1>"Pauschale,Nachweis,Unbekannt"</formula1>
    </dataValidation>
    <dataValidation sqref="C1017" showDropDown="0" showInputMessage="0" showErrorMessage="0" allowBlank="0" type="list">
      <formula1>"Pauschale,Nachweis,Unbekannt"</formula1>
    </dataValidation>
    <dataValidation sqref="C1018" showDropDown="0" showInputMessage="0" showErrorMessage="0" allowBlank="0" type="list">
      <formula1>"Pauschale,Nachweis,Unbekannt"</formula1>
    </dataValidation>
    <dataValidation sqref="C1019" showDropDown="0" showInputMessage="0" showErrorMessage="0" allowBlank="0" type="list">
      <formula1>"Pauschale,Nachweis,Unbekannt"</formula1>
    </dataValidation>
    <dataValidation sqref="C1020" showDropDown="0" showInputMessage="0" showErrorMessage="0" allowBlank="0" type="list">
      <formula1>"Pauschale,Nachweis,Unbekannt"</formula1>
    </dataValidation>
    <dataValidation sqref="C1021" showDropDown="0" showInputMessage="0" showErrorMessage="0" allowBlank="0" type="list">
      <formula1>"Pauschale,Nachweis,Unbekannt"</formula1>
    </dataValidation>
    <dataValidation sqref="C1022" showDropDown="0" showInputMessage="0" showErrorMessage="0" allowBlank="0" type="list">
      <formula1>"Pauschale,Nachweis,Unbekannt"</formula1>
    </dataValidation>
    <dataValidation sqref="C1023" showDropDown="0" showInputMessage="0" showErrorMessage="0" allowBlank="0" type="list">
      <formula1>"Pauschale,Nachweis,Unbekannt"</formula1>
    </dataValidation>
    <dataValidation sqref="C1024" showDropDown="0" showInputMessage="0" showErrorMessage="0" allowBlank="0" type="list">
      <formula1>"Pauschale,Nachweis,Unbekannt"</formula1>
    </dataValidation>
    <dataValidation sqref="C1025" showDropDown="0" showInputMessage="0" showErrorMessage="0" allowBlank="0" type="list">
      <formula1>"Pauschale,Nachweis,Unbekannt"</formula1>
    </dataValidation>
    <dataValidation sqref="C1026" showDropDown="0" showInputMessage="0" showErrorMessage="0" allowBlank="0" type="list">
      <formula1>"Pauschale,Nachweis,Unbekannt"</formula1>
    </dataValidation>
    <dataValidation sqref="C1027" showDropDown="0" showInputMessage="0" showErrorMessage="0" allowBlank="0" type="list">
      <formula1>"Pauschale,Nachweis,Unbekannt"</formula1>
    </dataValidation>
    <dataValidation sqref="C1028" showDropDown="0" showInputMessage="0" showErrorMessage="0" allowBlank="0" type="list">
      <formula1>"Pauschale,Nachweis,Unbekannt"</formula1>
    </dataValidation>
    <dataValidation sqref="C1029" showDropDown="0" showInputMessage="0" showErrorMessage="0" allowBlank="0" type="list">
      <formula1>"Pauschale,Nachweis,Unbekannt"</formula1>
    </dataValidation>
    <dataValidation sqref="C1030" showDropDown="0" showInputMessage="0" showErrorMessage="0" allowBlank="0" type="list">
      <formula1>"Pauschale,Nachweis,Unbekannt"</formula1>
    </dataValidation>
    <dataValidation sqref="C1031" showDropDown="0" showInputMessage="0" showErrorMessage="0" allowBlank="0" type="list">
      <formula1>"Pauschale,Nachweis,Unbekannt"</formula1>
    </dataValidation>
    <dataValidation sqref="C1032" showDropDown="0" showInputMessage="0" showErrorMessage="0" allowBlank="0" type="list">
      <formula1>"Pauschale,Nachweis,Unbekannt"</formula1>
    </dataValidation>
    <dataValidation sqref="C1033" showDropDown="0" showInputMessage="0" showErrorMessage="0" allowBlank="0" type="list">
      <formula1>"Pauschale,Nachweis,Unbekannt"</formula1>
    </dataValidation>
    <dataValidation sqref="C1034" showDropDown="0" showInputMessage="0" showErrorMessage="0" allowBlank="0" type="list">
      <formula1>"Pauschale,Nachweis,Unbekannt"</formula1>
    </dataValidation>
    <dataValidation sqref="C1035" showDropDown="0" showInputMessage="0" showErrorMessage="0" allowBlank="0" type="list">
      <formula1>"Pauschale,Nachweis,Unbekannt"</formula1>
    </dataValidation>
    <dataValidation sqref="C1036" showDropDown="0" showInputMessage="0" showErrorMessage="0" allowBlank="0" type="list">
      <formula1>"Pauschale,Nachweis,Unbekannt"</formula1>
    </dataValidation>
    <dataValidation sqref="C1037" showDropDown="0" showInputMessage="0" showErrorMessage="0" allowBlank="0" type="list">
      <formula1>"Pauschale,Nachweis,Unbekannt"</formula1>
    </dataValidation>
    <dataValidation sqref="C1038" showDropDown="0" showInputMessage="0" showErrorMessage="0" allowBlank="0" type="list">
      <formula1>"Pauschale,Nachweis,Unbekannt"</formula1>
    </dataValidation>
    <dataValidation sqref="C1039" showDropDown="0" showInputMessage="0" showErrorMessage="0" allowBlank="0" type="list">
      <formula1>"Pauschale,Nachweis,Unbekannt"</formula1>
    </dataValidation>
    <dataValidation sqref="C1040" showDropDown="0" showInputMessage="0" showErrorMessage="0" allowBlank="0" type="list">
      <formula1>"Pauschale,Nachweis,Unbekannt"</formula1>
    </dataValidation>
    <dataValidation sqref="C1041" showDropDown="0" showInputMessage="0" showErrorMessage="0" allowBlank="0" type="list">
      <formula1>"Pauschale,Nachweis,Unbekannt"</formula1>
    </dataValidation>
    <dataValidation sqref="C1042" showDropDown="0" showInputMessage="0" showErrorMessage="0" allowBlank="0" type="list">
      <formula1>"Pauschale,Nachweis,Unbekannt"</formula1>
    </dataValidation>
    <dataValidation sqref="C1043" showDropDown="0" showInputMessage="0" showErrorMessage="0" allowBlank="0" type="list">
      <formula1>"Pauschale,Nachweis,Unbekannt"</formula1>
    </dataValidation>
    <dataValidation sqref="C1044" showDropDown="0" showInputMessage="0" showErrorMessage="0" allowBlank="0" type="list">
      <formula1>"Pauschale,Nachweis,Unbekannt"</formula1>
    </dataValidation>
    <dataValidation sqref="C1045" showDropDown="0" showInputMessage="0" showErrorMessage="0" allowBlank="0" type="list">
      <formula1>"Pauschale,Nachweis,Unbekannt"</formula1>
    </dataValidation>
    <dataValidation sqref="C1046" showDropDown="0" showInputMessage="0" showErrorMessage="0" allowBlank="0" type="list">
      <formula1>"Pauschale,Nachweis,Unbekannt"</formula1>
    </dataValidation>
    <dataValidation sqref="C1047" showDropDown="0" showInputMessage="0" showErrorMessage="0" allowBlank="0" type="list">
      <formula1>"Pauschale,Nachweis,Unbekannt"</formula1>
    </dataValidation>
    <dataValidation sqref="C1048" showDropDown="0" showInputMessage="0" showErrorMessage="0" allowBlank="0" type="list">
      <formula1>"Pauschale,Nachweis,Unbekannt"</formula1>
    </dataValidation>
    <dataValidation sqref="C1049" showDropDown="0" showInputMessage="0" showErrorMessage="0" allowBlank="0" type="list">
      <formula1>"Pauschale,Nachweis,Unbekannt"</formula1>
    </dataValidation>
    <dataValidation sqref="C1050" showDropDown="0" showInputMessage="0" showErrorMessage="0" allowBlank="0" type="list">
      <formula1>"Pauschale,Nachweis,Unbekannt"</formula1>
    </dataValidation>
    <dataValidation sqref="C1051" showDropDown="0" showInputMessage="0" showErrorMessage="0" allowBlank="0" type="list">
      <formula1>"Pauschale,Nachweis,Unbekannt"</formula1>
    </dataValidation>
    <dataValidation sqref="C1052" showDropDown="0" showInputMessage="0" showErrorMessage="0" allowBlank="0" type="list">
      <formula1>"Pauschale,Nachweis,Unbekannt"</formula1>
    </dataValidation>
    <dataValidation sqref="C1053" showDropDown="0" showInputMessage="0" showErrorMessage="0" allowBlank="0" type="list">
      <formula1>"Pauschale,Nachweis,Unbekannt"</formula1>
    </dataValidation>
    <dataValidation sqref="C1054" showDropDown="0" showInputMessage="0" showErrorMessage="0" allowBlank="0" type="list">
      <formula1>"Pauschale,Nachweis,Unbekannt"</formula1>
    </dataValidation>
    <dataValidation sqref="C1055" showDropDown="0" showInputMessage="0" showErrorMessage="0" allowBlank="0" type="list">
      <formula1>"Pauschale,Nachweis,Unbekannt"</formula1>
    </dataValidation>
    <dataValidation sqref="C1056" showDropDown="0" showInputMessage="0" showErrorMessage="0" allowBlank="0" type="list">
      <formula1>"Pauschale,Nachweis,Unbekannt"</formula1>
    </dataValidation>
    <dataValidation sqref="C1057" showDropDown="0" showInputMessage="0" showErrorMessage="0" allowBlank="0" type="list">
      <formula1>"Pauschale,Nachweis,Unbekannt"</formula1>
    </dataValidation>
    <dataValidation sqref="C1058" showDropDown="0" showInputMessage="0" showErrorMessage="0" allowBlank="0" type="list">
      <formula1>"Pauschale,Nachweis,Unbekannt"</formula1>
    </dataValidation>
    <dataValidation sqref="C1059" showDropDown="0" showInputMessage="0" showErrorMessage="0" allowBlank="0" type="list">
      <formula1>"Pauschale,Nachweis,Unbekannt"</formula1>
    </dataValidation>
    <dataValidation sqref="C1060" showDropDown="0" showInputMessage="0" showErrorMessage="0" allowBlank="0" type="list">
      <formula1>"Pauschale,Nachweis,Unbekannt"</formula1>
    </dataValidation>
    <dataValidation sqref="C1061" showDropDown="0" showInputMessage="0" showErrorMessage="0" allowBlank="0" type="list">
      <formula1>"Pauschale,Nachweis,Unbekannt"</formula1>
    </dataValidation>
    <dataValidation sqref="C1062" showDropDown="0" showInputMessage="0" showErrorMessage="0" allowBlank="0" type="list">
      <formula1>"Pauschale,Nachweis,Unbekannt"</formula1>
    </dataValidation>
    <dataValidation sqref="C1063" showDropDown="0" showInputMessage="0" showErrorMessage="0" allowBlank="0" type="list">
      <formula1>"Pauschale,Nachweis,Unbekannt"</formula1>
    </dataValidation>
    <dataValidation sqref="C1064" showDropDown="0" showInputMessage="0" showErrorMessage="0" allowBlank="0" type="list">
      <formula1>"Pauschale,Nachweis,Unbekannt"</formula1>
    </dataValidation>
    <dataValidation sqref="C1065" showDropDown="0" showInputMessage="0" showErrorMessage="0" allowBlank="0" type="list">
      <formula1>"Pauschale,Nachweis,Unbekannt"</formula1>
    </dataValidation>
    <dataValidation sqref="C1066" showDropDown="0" showInputMessage="0" showErrorMessage="0" allowBlank="0" type="list">
      <formula1>"Pauschale,Nachweis,Unbekannt"</formula1>
    </dataValidation>
    <dataValidation sqref="C1067" showDropDown="0" showInputMessage="0" showErrorMessage="0" allowBlank="0" type="list">
      <formula1>"Pauschale,Nachweis,Unbekannt"</formula1>
    </dataValidation>
    <dataValidation sqref="C1068" showDropDown="0" showInputMessage="0" showErrorMessage="0" allowBlank="0" type="list">
      <formula1>"Pauschale,Nachweis,Unbekannt"</formula1>
    </dataValidation>
    <dataValidation sqref="C1069" showDropDown="0" showInputMessage="0" showErrorMessage="0" allowBlank="0" type="list">
      <formula1>"Pauschale,Nachweis,Unbekannt"</formula1>
    </dataValidation>
    <dataValidation sqref="C1070" showDropDown="0" showInputMessage="0" showErrorMessage="0" allowBlank="0" type="list">
      <formula1>"Pauschale,Nachweis,Unbekannt"</formula1>
    </dataValidation>
    <dataValidation sqref="C1071" showDropDown="0" showInputMessage="0" showErrorMessage="0" allowBlank="0" type="list">
      <formula1>"Pauschale,Nachweis,Unbekannt"</formula1>
    </dataValidation>
    <dataValidation sqref="C1072" showDropDown="0" showInputMessage="0" showErrorMessage="0" allowBlank="0" type="list">
      <formula1>"Pauschale,Nachweis,Unbekannt"</formula1>
    </dataValidation>
    <dataValidation sqref="C1073" showDropDown="0" showInputMessage="0" showErrorMessage="0" allowBlank="0" type="list">
      <formula1>"Pauschale,Nachweis,Unbekannt"</formula1>
    </dataValidation>
    <dataValidation sqref="C1074" showDropDown="0" showInputMessage="0" showErrorMessage="0" allowBlank="0" type="list">
      <formula1>"Pauschale,Nachweis,Unbekannt"</formula1>
    </dataValidation>
    <dataValidation sqref="C1075" showDropDown="0" showInputMessage="0" showErrorMessage="0" allowBlank="0" type="list">
      <formula1>"Pauschale,Nachweis,Unbekannt"</formula1>
    </dataValidation>
    <dataValidation sqref="C1076" showDropDown="0" showInputMessage="0" showErrorMessage="0" allowBlank="0" type="list">
      <formula1>"Pauschale,Nachweis,Unbekannt"</formula1>
    </dataValidation>
    <dataValidation sqref="C1077" showDropDown="0" showInputMessage="0" showErrorMessage="0" allowBlank="0" type="list">
      <formula1>"Pauschale,Nachweis,Unbekannt"</formula1>
    </dataValidation>
    <dataValidation sqref="C1078" showDropDown="0" showInputMessage="0" showErrorMessage="0" allowBlank="0" type="list">
      <formula1>"Pauschale,Nachweis,Unbekannt"</formula1>
    </dataValidation>
    <dataValidation sqref="C1079" showDropDown="0" showInputMessage="0" showErrorMessage="0" allowBlank="0" type="list">
      <formula1>"Pauschale,Nachweis,Unbekannt"</formula1>
    </dataValidation>
    <dataValidation sqref="C1080" showDropDown="0" showInputMessage="0" showErrorMessage="0" allowBlank="0" type="list">
      <formula1>"Pauschale,Nachweis,Unbekannt"</formula1>
    </dataValidation>
    <dataValidation sqref="C1081" showDropDown="0" showInputMessage="0" showErrorMessage="0" allowBlank="0" type="list">
      <formula1>"Pauschale,Nachweis,Unbekannt"</formula1>
    </dataValidation>
    <dataValidation sqref="C1082" showDropDown="0" showInputMessage="0" showErrorMessage="0" allowBlank="0" type="list">
      <formula1>"Pauschale,Nachweis,Unbekannt"</formula1>
    </dataValidation>
    <dataValidation sqref="C1083" showDropDown="0" showInputMessage="0" showErrorMessage="0" allowBlank="0" type="list">
      <formula1>"Pauschale,Nachweis,Unbekannt"</formula1>
    </dataValidation>
    <dataValidation sqref="C1084" showDropDown="0" showInputMessage="0" showErrorMessage="0" allowBlank="0" type="list">
      <formula1>"Pauschale,Nachweis,Unbekannt"</formula1>
    </dataValidation>
    <dataValidation sqref="C1085" showDropDown="0" showInputMessage="0" showErrorMessage="0" allowBlank="0" type="list">
      <formula1>"Pauschale,Nachweis,Unbekannt"</formula1>
    </dataValidation>
    <dataValidation sqref="C1086" showDropDown="0" showInputMessage="0" showErrorMessage="0" allowBlank="0" type="list">
      <formula1>"Pauschale,Nachweis,Unbekannt"</formula1>
    </dataValidation>
    <dataValidation sqref="C1087" showDropDown="0" showInputMessage="0" showErrorMessage="0" allowBlank="0" type="list">
      <formula1>"Pauschale,Nachweis,Unbekannt"</formula1>
    </dataValidation>
    <dataValidation sqref="C1088" showDropDown="0" showInputMessage="0" showErrorMessage="0" allowBlank="0" type="list">
      <formula1>"Pauschale,Nachweis,Unbekannt"</formula1>
    </dataValidation>
    <dataValidation sqref="C1089" showDropDown="0" showInputMessage="0" showErrorMessage="0" allowBlank="0" type="list">
      <formula1>"Pauschale,Nachweis,Unbekannt"</formula1>
    </dataValidation>
    <dataValidation sqref="C1090" showDropDown="0" showInputMessage="0" showErrorMessage="0" allowBlank="0" type="list">
      <formula1>"Pauschale,Nachweis,Unbekannt"</formula1>
    </dataValidation>
    <dataValidation sqref="C1091" showDropDown="0" showInputMessage="0" showErrorMessage="0" allowBlank="0" type="list">
      <formula1>"Pauschale,Nachweis,Unbekannt"</formula1>
    </dataValidation>
    <dataValidation sqref="C1092" showDropDown="0" showInputMessage="0" showErrorMessage="0" allowBlank="0" type="list">
      <formula1>"Pauschale,Nachweis,Unbekannt"</formula1>
    </dataValidation>
    <dataValidation sqref="C1093" showDropDown="0" showInputMessage="0" showErrorMessage="0" allowBlank="0" type="list">
      <formula1>"Pauschale,Nachweis,Unbekannt"</formula1>
    </dataValidation>
    <dataValidation sqref="C1094" showDropDown="0" showInputMessage="0" showErrorMessage="0" allowBlank="0" type="list">
      <formula1>"Pauschale,Nachweis,Unbekannt"</formula1>
    </dataValidation>
    <dataValidation sqref="C1095" showDropDown="0" showInputMessage="0" showErrorMessage="0" allowBlank="0" type="list">
      <formula1>"Pauschale,Nachweis,Unbekannt"</formula1>
    </dataValidation>
    <dataValidation sqref="C1096" showDropDown="0" showInputMessage="0" showErrorMessage="0" allowBlank="0" type="list">
      <formula1>"Pauschale,Nachweis,Unbekannt"</formula1>
    </dataValidation>
    <dataValidation sqref="C1097" showDropDown="0" showInputMessage="0" showErrorMessage="0" allowBlank="0" type="list">
      <formula1>"Pauschale,Nachweis,Unbekannt"</formula1>
    </dataValidation>
    <dataValidation sqref="C1098" showDropDown="0" showInputMessage="0" showErrorMessage="0" allowBlank="0" type="list">
      <formula1>"Pauschale,Nachweis,Unbekannt"</formula1>
    </dataValidation>
    <dataValidation sqref="C1099" showDropDown="0" showInputMessage="0" showErrorMessage="0" allowBlank="0" type="list">
      <formula1>"Pauschale,Nachweis,Unbekannt"</formula1>
    </dataValidation>
    <dataValidation sqref="C1100" showDropDown="0" showInputMessage="0" showErrorMessage="0" allowBlank="0" type="list">
      <formula1>"Pauschale,Nachweis,Unbekannt"</formula1>
    </dataValidation>
    <dataValidation sqref="C1101" showDropDown="0" showInputMessage="0" showErrorMessage="0" allowBlank="0" type="list">
      <formula1>"Pauschale,Nachweis,Unbekannt"</formula1>
    </dataValidation>
    <dataValidation sqref="C1102" showDropDown="0" showInputMessage="0" showErrorMessage="0" allowBlank="0" type="list">
      <formula1>"Pauschale,Nachweis,Unbekannt"</formula1>
    </dataValidation>
    <dataValidation sqref="C1103" showDropDown="0" showInputMessage="0" showErrorMessage="0" allowBlank="0" type="list">
      <formula1>"Pauschale,Nachweis,Unbekannt"</formula1>
    </dataValidation>
    <dataValidation sqref="C1104" showDropDown="0" showInputMessage="0" showErrorMessage="0" allowBlank="0" type="list">
      <formula1>"Pauschale,Nachweis,Unbekannt"</formula1>
    </dataValidation>
    <dataValidation sqref="C1105" showDropDown="0" showInputMessage="0" showErrorMessage="0" allowBlank="0" type="list">
      <formula1>"Pauschale,Nachweis,Unbekannt"</formula1>
    </dataValidation>
    <dataValidation sqref="C1106" showDropDown="0" showInputMessage="0" showErrorMessage="0" allowBlank="0" type="list">
      <formula1>"Pauschale,Nachweis,Unbekannt"</formula1>
    </dataValidation>
    <dataValidation sqref="C1107" showDropDown="0" showInputMessage="0" showErrorMessage="0" allowBlank="0" type="list">
      <formula1>"Pauschale,Nachweis,Unbekannt"</formula1>
    </dataValidation>
    <dataValidation sqref="C1108" showDropDown="0" showInputMessage="0" showErrorMessage="0" allowBlank="0" type="list">
      <formula1>"Pauschale,Nachweis,Unbekannt"</formula1>
    </dataValidation>
    <dataValidation sqref="C1109" showDropDown="0" showInputMessage="0" showErrorMessage="0" allowBlank="0" type="list">
      <formula1>"Pauschale,Nachweis,Unbekannt"</formula1>
    </dataValidation>
    <dataValidation sqref="C1110" showDropDown="0" showInputMessage="0" showErrorMessage="0" allowBlank="0" type="list">
      <formula1>"Pauschale,Nachweis,Unbekannt"</formula1>
    </dataValidation>
    <dataValidation sqref="C1111" showDropDown="0" showInputMessage="0" showErrorMessage="0" allowBlank="0" type="list">
      <formula1>"Pauschale,Nachweis,Unbekannt"</formula1>
    </dataValidation>
    <dataValidation sqref="C1112" showDropDown="0" showInputMessage="0" showErrorMessage="0" allowBlank="0" type="list">
      <formula1>"Pauschale,Nachweis,Unbekannt"</formula1>
    </dataValidation>
    <dataValidation sqref="C1113" showDropDown="0" showInputMessage="0" showErrorMessage="0" allowBlank="0" type="list">
      <formula1>"Pauschale,Nachweis,Unbekannt"</formula1>
    </dataValidation>
    <dataValidation sqref="C1114" showDropDown="0" showInputMessage="0" showErrorMessage="0" allowBlank="0" type="list">
      <formula1>"Pauschale,Nachweis,Unbekannt"</formula1>
    </dataValidation>
    <dataValidation sqref="C1115" showDropDown="0" showInputMessage="0" showErrorMessage="0" allowBlank="0" type="list">
      <formula1>"Pauschale,Nachweis,Unbekannt"</formula1>
    </dataValidation>
    <dataValidation sqref="C1116" showDropDown="0" showInputMessage="0" showErrorMessage="0" allowBlank="0" type="list">
      <formula1>"Pauschale,Nachweis,Unbekannt"</formula1>
    </dataValidation>
    <dataValidation sqref="C1117" showDropDown="0" showInputMessage="0" showErrorMessage="0" allowBlank="0" type="list">
      <formula1>"Pauschale,Nachweis,Unbekannt"</formula1>
    </dataValidation>
    <dataValidation sqref="C1118" showDropDown="0" showInputMessage="0" showErrorMessage="0" allowBlank="0" type="list">
      <formula1>"Pauschale,Nachweis,Unbekannt"</formula1>
    </dataValidation>
    <dataValidation sqref="C1119" showDropDown="0" showInputMessage="0" showErrorMessage="0" allowBlank="0" type="list">
      <formula1>"Pauschale,Nachweis,Unbekannt"</formula1>
    </dataValidation>
    <dataValidation sqref="C1120" showDropDown="0" showInputMessage="0" showErrorMessage="0" allowBlank="0" type="list">
      <formula1>"Pauschale,Nachweis,Unbekannt"</formula1>
    </dataValidation>
    <dataValidation sqref="C1121" showDropDown="0" showInputMessage="0" showErrorMessage="0" allowBlank="0" type="list">
      <formula1>"Pauschale,Nachweis,Unbekannt"</formula1>
    </dataValidation>
    <dataValidation sqref="C1122" showDropDown="0" showInputMessage="0" showErrorMessage="0" allowBlank="0" type="list">
      <formula1>"Pauschale,Nachweis,Unbekannt"</formula1>
    </dataValidation>
    <dataValidation sqref="C1123" showDropDown="0" showInputMessage="0" showErrorMessage="0" allowBlank="0" type="list">
      <formula1>"Pauschale,Nachweis,Unbekannt"</formula1>
    </dataValidation>
    <dataValidation sqref="C1124" showDropDown="0" showInputMessage="0" showErrorMessage="0" allowBlank="0" type="list">
      <formula1>"Pauschale,Nachweis,Unbekannt"</formula1>
    </dataValidation>
    <dataValidation sqref="C1125" showDropDown="0" showInputMessage="0" showErrorMessage="0" allowBlank="0" type="list">
      <formula1>"Pauschale,Nachweis,Unbekannt"</formula1>
    </dataValidation>
    <dataValidation sqref="C1126" showDropDown="0" showInputMessage="0" showErrorMessage="0" allowBlank="0" type="list">
      <formula1>"Pauschale,Nachweis,Unbekannt"</formula1>
    </dataValidation>
    <dataValidation sqref="C1127" showDropDown="0" showInputMessage="0" showErrorMessage="0" allowBlank="0" type="list">
      <formula1>"Pauschale,Nachweis,Unbekannt"</formula1>
    </dataValidation>
    <dataValidation sqref="C1128" showDropDown="0" showInputMessage="0" showErrorMessage="0" allowBlank="0" type="list">
      <formula1>"Pauschale,Nachweis,Unbekannt"</formula1>
    </dataValidation>
    <dataValidation sqref="C1129" showDropDown="0" showInputMessage="0" showErrorMessage="0" allowBlank="0" type="list">
      <formula1>"Pauschale,Nachweis,Unbekannt"</formula1>
    </dataValidation>
    <dataValidation sqref="C1130" showDropDown="0" showInputMessage="0" showErrorMessage="0" allowBlank="0" type="list">
      <formula1>"Pauschale,Nachweis,Unbekannt"</formula1>
    </dataValidation>
    <dataValidation sqref="C1131" showDropDown="0" showInputMessage="0" showErrorMessage="0" allowBlank="0" type="list">
      <formula1>"Pauschale,Nachweis,Unbekannt"</formula1>
    </dataValidation>
    <dataValidation sqref="C1132" showDropDown="0" showInputMessage="0" showErrorMessage="0" allowBlank="0" type="list">
      <formula1>"Pauschale,Nachweis,Unbekannt"</formula1>
    </dataValidation>
    <dataValidation sqref="C1133" showDropDown="0" showInputMessage="0" showErrorMessage="0" allowBlank="0" type="list">
      <formula1>"Pauschale,Nachweis,Unbekannt"</formula1>
    </dataValidation>
    <dataValidation sqref="C1134" showDropDown="0" showInputMessage="0" showErrorMessage="0" allowBlank="0" type="list">
      <formula1>"Pauschale,Nachweis,Unbekannt"</formula1>
    </dataValidation>
    <dataValidation sqref="C1135" showDropDown="0" showInputMessage="0" showErrorMessage="0" allowBlank="0" type="list">
      <formula1>"Pauschale,Nachweis,Unbekannt"</formula1>
    </dataValidation>
    <dataValidation sqref="C1136" showDropDown="0" showInputMessage="0" showErrorMessage="0" allowBlank="0" type="list">
      <formula1>"Pauschale,Nachweis,Unbekannt"</formula1>
    </dataValidation>
    <dataValidation sqref="C1137" showDropDown="0" showInputMessage="0" showErrorMessage="0" allowBlank="0" type="list">
      <formula1>"Pauschale,Nachweis,Unbekannt"</formula1>
    </dataValidation>
    <dataValidation sqref="C1138" showDropDown="0" showInputMessage="0" showErrorMessage="0" allowBlank="0" type="list">
      <formula1>"Pauschale,Nachweis,Unbekannt"</formula1>
    </dataValidation>
    <dataValidation sqref="C1139" showDropDown="0" showInputMessage="0" showErrorMessage="0" allowBlank="0" type="list">
      <formula1>"Pauschale,Nachweis,Unbekannt"</formula1>
    </dataValidation>
    <dataValidation sqref="C1140" showDropDown="0" showInputMessage="0" showErrorMessage="0" allowBlank="0" type="list">
      <formula1>"Pauschale,Nachweis,Unbekannt"</formula1>
    </dataValidation>
    <dataValidation sqref="C1141" showDropDown="0" showInputMessage="0" showErrorMessage="0" allowBlank="0" type="list">
      <formula1>"Pauschale,Nachweis,Unbekannt"</formula1>
    </dataValidation>
    <dataValidation sqref="C1142" showDropDown="0" showInputMessage="0" showErrorMessage="0" allowBlank="0" type="list">
      <formula1>"Pauschale,Nachweis,Unbekannt"</formula1>
    </dataValidation>
    <dataValidation sqref="C1143" showDropDown="0" showInputMessage="0" showErrorMessage="0" allowBlank="0" type="list">
      <formula1>"Pauschale,Nachweis,Unbekannt"</formula1>
    </dataValidation>
    <dataValidation sqref="C1144" showDropDown="0" showInputMessage="0" showErrorMessage="0" allowBlank="0" type="list">
      <formula1>"Pauschale,Nachweis,Unbekannt"</formula1>
    </dataValidation>
    <dataValidation sqref="C1145" showDropDown="0" showInputMessage="0" showErrorMessage="0" allowBlank="0" type="list">
      <formula1>"Pauschale,Nachweis,Unbekannt"</formula1>
    </dataValidation>
    <dataValidation sqref="C1146" showDropDown="0" showInputMessage="0" showErrorMessage="0" allowBlank="0" type="list">
      <formula1>"Pauschale,Nachweis,Unbekannt"</formula1>
    </dataValidation>
    <dataValidation sqref="C1147" showDropDown="0" showInputMessage="0" showErrorMessage="0" allowBlank="0" type="list">
      <formula1>"Pauschale,Nachweis,Unbekannt"</formula1>
    </dataValidation>
    <dataValidation sqref="C1148" showDropDown="0" showInputMessage="0" showErrorMessage="0" allowBlank="0" type="list">
      <formula1>"Pauschale,Nachweis,Unbekannt"</formula1>
    </dataValidation>
    <dataValidation sqref="C1149" showDropDown="0" showInputMessage="0" showErrorMessage="0" allowBlank="0" type="list">
      <formula1>"Pauschale,Nachweis,Unbekannt"</formula1>
    </dataValidation>
    <dataValidation sqref="C1150" showDropDown="0" showInputMessage="0" showErrorMessage="0" allowBlank="0" type="list">
      <formula1>"Pauschale,Nachweis,Unbekannt"</formula1>
    </dataValidation>
    <dataValidation sqref="C1151" showDropDown="0" showInputMessage="0" showErrorMessage="0" allowBlank="0" type="list">
      <formula1>"Pauschale,Nachweis,Unbekannt"</formula1>
    </dataValidation>
    <dataValidation sqref="C1152" showDropDown="0" showInputMessage="0" showErrorMessage="0" allowBlank="0" type="list">
      <formula1>"Pauschale,Nachweis,Unbekannt"</formula1>
    </dataValidation>
    <dataValidation sqref="C1153" showDropDown="0" showInputMessage="0" showErrorMessage="0" allowBlank="0" type="list">
      <formula1>"Pauschale,Nachweis,Unbekannt"</formula1>
    </dataValidation>
    <dataValidation sqref="C1154" showDropDown="0" showInputMessage="0" showErrorMessage="0" allowBlank="0" type="list">
      <formula1>"Pauschale,Nachweis,Unbekannt"</formula1>
    </dataValidation>
    <dataValidation sqref="C1155" showDropDown="0" showInputMessage="0" showErrorMessage="0" allowBlank="0" type="list">
      <formula1>"Pauschale,Nachweis,Unbekannt"</formula1>
    </dataValidation>
    <dataValidation sqref="C1156" showDropDown="0" showInputMessage="0" showErrorMessage="0" allowBlank="0" type="list">
      <formula1>"Pauschale,Nachweis,Unbekannt"</formula1>
    </dataValidation>
    <dataValidation sqref="C1157" showDropDown="0" showInputMessage="0" showErrorMessage="0" allowBlank="0" type="list">
      <formula1>"Pauschale,Nachweis,Unbekannt"</formula1>
    </dataValidation>
    <dataValidation sqref="C1158" showDropDown="0" showInputMessage="0" showErrorMessage="0" allowBlank="0" type="list">
      <formula1>"Pauschale,Nachweis,Unbekannt"</formula1>
    </dataValidation>
    <dataValidation sqref="C1159" showDropDown="0" showInputMessage="0" showErrorMessage="0" allowBlank="0" type="list">
      <formula1>"Pauschale,Nachweis,Unbekannt"</formula1>
    </dataValidation>
    <dataValidation sqref="C1160" showDropDown="0" showInputMessage="0" showErrorMessage="0" allowBlank="0" type="list">
      <formula1>"Pauschale,Nachweis,Unbekannt"</formula1>
    </dataValidation>
    <dataValidation sqref="C1161" showDropDown="0" showInputMessage="0" showErrorMessage="0" allowBlank="0" type="list">
      <formula1>"Pauschale,Nachweis,Unbekannt"</formula1>
    </dataValidation>
    <dataValidation sqref="C1162" showDropDown="0" showInputMessage="0" showErrorMessage="0" allowBlank="0" type="list">
      <formula1>"Pauschale,Nachweis,Unbekannt"</formula1>
    </dataValidation>
    <dataValidation sqref="C1163" showDropDown="0" showInputMessage="0" showErrorMessage="0" allowBlank="0" type="list">
      <formula1>"Pauschale,Nachweis,Unbekannt"</formula1>
    </dataValidation>
    <dataValidation sqref="C1164" showDropDown="0" showInputMessage="0" showErrorMessage="0" allowBlank="0" type="list">
      <formula1>"Pauschale,Nachweis,Unbekannt"</formula1>
    </dataValidation>
    <dataValidation sqref="C1165" showDropDown="0" showInputMessage="0" showErrorMessage="0" allowBlank="0" type="list">
      <formula1>"Pauschale,Nachweis,Unbekannt"</formula1>
    </dataValidation>
    <dataValidation sqref="C1166" showDropDown="0" showInputMessage="0" showErrorMessage="0" allowBlank="0" type="list">
      <formula1>"Pauschale,Nachweis,Unbekannt"</formula1>
    </dataValidation>
    <dataValidation sqref="C1167" showDropDown="0" showInputMessage="0" showErrorMessage="0" allowBlank="0" type="list">
      <formula1>"Pauschale,Nachweis,Unbekannt"</formula1>
    </dataValidation>
    <dataValidation sqref="C1168" showDropDown="0" showInputMessage="0" showErrorMessage="0" allowBlank="0" type="list">
      <formula1>"Pauschale,Nachweis,Unbekannt"</formula1>
    </dataValidation>
    <dataValidation sqref="C1169" showDropDown="0" showInputMessage="0" showErrorMessage="0" allowBlank="0" type="list">
      <formula1>"Pauschale,Nachweis,Unbekannt"</formula1>
    </dataValidation>
    <dataValidation sqref="C1170" showDropDown="0" showInputMessage="0" showErrorMessage="0" allowBlank="0" type="list">
      <formula1>"Pauschale,Nachweis,Unbekannt"</formula1>
    </dataValidation>
    <dataValidation sqref="C1171" showDropDown="0" showInputMessage="0" showErrorMessage="0" allowBlank="0" type="list">
      <formula1>"Pauschale,Nachweis,Unbekannt"</formula1>
    </dataValidation>
    <dataValidation sqref="C1172" showDropDown="0" showInputMessage="0" showErrorMessage="0" allowBlank="0" type="list">
      <formula1>"Pauschale,Nachweis,Unbekannt"</formula1>
    </dataValidation>
    <dataValidation sqref="C1173" showDropDown="0" showInputMessage="0" showErrorMessage="0" allowBlank="0" type="list">
      <formula1>"Pauschale,Nachweis,Unbekannt"</formula1>
    </dataValidation>
    <dataValidation sqref="C1174" showDropDown="0" showInputMessage="0" showErrorMessage="0" allowBlank="0" type="list">
      <formula1>"Pauschale,Nachweis,Unbekannt"</formula1>
    </dataValidation>
    <dataValidation sqref="C1175" showDropDown="0" showInputMessage="0" showErrorMessage="0" allowBlank="0" type="list">
      <formula1>"Pauschale,Nachweis,Unbekannt"</formula1>
    </dataValidation>
    <dataValidation sqref="C1176" showDropDown="0" showInputMessage="0" showErrorMessage="0" allowBlank="0" type="list">
      <formula1>"Pauschale,Nachweis,Unbekannt"</formula1>
    </dataValidation>
    <dataValidation sqref="C1177" showDropDown="0" showInputMessage="0" showErrorMessage="0" allowBlank="0" type="list">
      <formula1>"Pauschale,Nachweis,Unbekannt"</formula1>
    </dataValidation>
    <dataValidation sqref="C1178" showDropDown="0" showInputMessage="0" showErrorMessage="0" allowBlank="0" type="list">
      <formula1>"Pauschale,Nachweis,Unbekannt"</formula1>
    </dataValidation>
    <dataValidation sqref="C1179" showDropDown="0" showInputMessage="0" showErrorMessage="0" allowBlank="0" type="list">
      <formula1>"Pauschale,Nachweis,Unbekannt"</formula1>
    </dataValidation>
    <dataValidation sqref="C1180" showDropDown="0" showInputMessage="0" showErrorMessage="0" allowBlank="0" type="list">
      <formula1>"Pauschale,Nachweis,Unbekannt"</formula1>
    </dataValidation>
    <dataValidation sqref="C1181" showDropDown="0" showInputMessage="0" showErrorMessage="0" allowBlank="0" type="list">
      <formula1>"Pauschale,Nachweis,Unbekannt"</formula1>
    </dataValidation>
    <dataValidation sqref="C1182" showDropDown="0" showInputMessage="0" showErrorMessage="0" allowBlank="0" type="list">
      <formula1>"Pauschale,Nachweis,Unbekannt"</formula1>
    </dataValidation>
    <dataValidation sqref="C1183" showDropDown="0" showInputMessage="0" showErrorMessage="0" allowBlank="0" type="list">
      <formula1>"Pauschale,Nachweis,Unbekannt"</formula1>
    </dataValidation>
    <dataValidation sqref="C1184" showDropDown="0" showInputMessage="0" showErrorMessage="0" allowBlank="0" type="list">
      <formula1>"Pauschale,Nachweis,Unbekannt"</formula1>
    </dataValidation>
    <dataValidation sqref="C1185" showDropDown="0" showInputMessage="0" showErrorMessage="0" allowBlank="0" type="list">
      <formula1>"Pauschale,Nachweis,Unbekannt"</formula1>
    </dataValidation>
    <dataValidation sqref="C1186" showDropDown="0" showInputMessage="0" showErrorMessage="0" allowBlank="0" type="list">
      <formula1>"Pauschale,Nachweis,Unbekannt"</formula1>
    </dataValidation>
    <dataValidation sqref="C1187" showDropDown="0" showInputMessage="0" showErrorMessage="0" allowBlank="0" type="list">
      <formula1>"Pauschale,Nachweis,Unbekannt"</formula1>
    </dataValidation>
    <dataValidation sqref="C1188" showDropDown="0" showInputMessage="0" showErrorMessage="0" allowBlank="0" type="list">
      <formula1>"Pauschale,Nachweis,Unbekannt"</formula1>
    </dataValidation>
    <dataValidation sqref="C1189" showDropDown="0" showInputMessage="0" showErrorMessage="0" allowBlank="0" type="list">
      <formula1>"Pauschale,Nachweis,Unbekannt"</formula1>
    </dataValidation>
    <dataValidation sqref="C1190" showDropDown="0" showInputMessage="0" showErrorMessage="0" allowBlank="0" type="list">
      <formula1>"Pauschale,Nachweis,Unbekannt"</formula1>
    </dataValidation>
    <dataValidation sqref="C1191" showDropDown="0" showInputMessage="0" showErrorMessage="0" allowBlank="0" type="list">
      <formula1>"Pauschale,Nachweis,Unbekannt"</formula1>
    </dataValidation>
    <dataValidation sqref="C1192" showDropDown="0" showInputMessage="0" showErrorMessage="0" allowBlank="0" type="list">
      <formula1>"Pauschale,Nachweis,Unbekannt"</formula1>
    </dataValidation>
    <dataValidation sqref="C1193" showDropDown="0" showInputMessage="0" showErrorMessage="0" allowBlank="0" type="list">
      <formula1>"Pauschale,Nachweis,Unbekannt"</formula1>
    </dataValidation>
    <dataValidation sqref="C1194" showDropDown="0" showInputMessage="0" showErrorMessage="0" allowBlank="0" type="list">
      <formula1>"Pauschale,Nachweis,Unbekannt"</formula1>
    </dataValidation>
    <dataValidation sqref="C1195" showDropDown="0" showInputMessage="0" showErrorMessage="0" allowBlank="0" type="list">
      <formula1>"Pauschale,Nachweis,Unbekannt"</formula1>
    </dataValidation>
    <dataValidation sqref="C1196" showDropDown="0" showInputMessage="0" showErrorMessage="0" allowBlank="0" type="list">
      <formula1>"Pauschale,Nachweis,Unbekannt"</formula1>
    </dataValidation>
    <dataValidation sqref="C1197" showDropDown="0" showInputMessage="0" showErrorMessage="0" allowBlank="0" type="list">
      <formula1>"Pauschale,Nachweis,Unbekannt"</formula1>
    </dataValidation>
    <dataValidation sqref="C1198" showDropDown="0" showInputMessage="0" showErrorMessage="0" allowBlank="0" type="list">
      <formula1>"Pauschale,Nachweis,Unbekannt"</formula1>
    </dataValidation>
    <dataValidation sqref="C1199" showDropDown="0" showInputMessage="0" showErrorMessage="0" allowBlank="0" type="list">
      <formula1>"Pauschale,Nachweis,Unbekannt"</formula1>
    </dataValidation>
    <dataValidation sqref="C1200" showDropDown="0" showInputMessage="0" showErrorMessage="0" allowBlank="0" type="list">
      <formula1>"Pauschale,Nachweis,Unbekannt"</formula1>
    </dataValidation>
    <dataValidation sqref="C1201" showDropDown="0" showInputMessage="0" showErrorMessage="0" allowBlank="0" type="list">
      <formula1>"Pauschale,Nachweis,Unbekannt"</formula1>
    </dataValidation>
    <dataValidation sqref="C1202" showDropDown="0" showInputMessage="0" showErrorMessage="0" allowBlank="0" type="list">
      <formula1>"Pauschale,Nachweis,Unbekannt"</formula1>
    </dataValidation>
    <dataValidation sqref="C1203" showDropDown="0" showInputMessage="0" showErrorMessage="0" allowBlank="0" type="list">
      <formula1>"Pauschale,Nachweis,Unbekannt"</formula1>
    </dataValidation>
    <dataValidation sqref="C1204" showDropDown="0" showInputMessage="0" showErrorMessage="0" allowBlank="0" type="list">
      <formula1>"Pauschale,Nachweis,Unbekannt"</formula1>
    </dataValidation>
    <dataValidation sqref="C1205" showDropDown="0" showInputMessage="0" showErrorMessage="0" allowBlank="0" type="list">
      <formula1>"Pauschale,Nachweis,Unbekannt"</formula1>
    </dataValidation>
    <dataValidation sqref="C1206" showDropDown="0" showInputMessage="0" showErrorMessage="0" allowBlank="0" type="list">
      <formula1>"Pauschale,Nachweis,Unbekannt"</formula1>
    </dataValidation>
    <dataValidation sqref="C1207" showDropDown="0" showInputMessage="0" showErrorMessage="0" allowBlank="0" type="list">
      <formula1>"Pauschale,Nachweis,Unbekannt"</formula1>
    </dataValidation>
    <dataValidation sqref="C1208" showDropDown="0" showInputMessage="0" showErrorMessage="0" allowBlank="0" type="list">
      <formula1>"Pauschale,Nachweis,Unbekannt"</formula1>
    </dataValidation>
    <dataValidation sqref="C1209" showDropDown="0" showInputMessage="0" showErrorMessage="0" allowBlank="0" type="list">
      <formula1>"Pauschale,Nachweis,Unbekannt"</formula1>
    </dataValidation>
    <dataValidation sqref="C1210" showDropDown="0" showInputMessage="0" showErrorMessage="0" allowBlank="0" type="list">
      <formula1>"Pauschale,Nachweis,Unbekannt"</formula1>
    </dataValidation>
    <dataValidation sqref="C1211" showDropDown="0" showInputMessage="0" showErrorMessage="0" allowBlank="0" type="list">
      <formula1>"Pauschale,Nachweis,Unbekannt"</formula1>
    </dataValidation>
    <dataValidation sqref="C1212" showDropDown="0" showInputMessage="0" showErrorMessage="0" allowBlank="0" type="list">
      <formula1>"Pauschale,Nachweis,Unbekannt"</formula1>
    </dataValidation>
    <dataValidation sqref="C1213" showDropDown="0" showInputMessage="0" showErrorMessage="0" allowBlank="0" type="list">
      <formula1>"Pauschale,Nachweis,Unbekannt"</formula1>
    </dataValidation>
    <dataValidation sqref="C1214" showDropDown="0" showInputMessage="0" showErrorMessage="0" allowBlank="0" type="list">
      <formula1>"Pauschale,Nachweis,Unbekannt"</formula1>
    </dataValidation>
    <dataValidation sqref="C1215" showDropDown="0" showInputMessage="0" showErrorMessage="0" allowBlank="0" type="list">
      <formula1>"Pauschale,Nachweis,Unbekannt"</formula1>
    </dataValidation>
    <dataValidation sqref="C1216" showDropDown="0" showInputMessage="0" showErrorMessage="0" allowBlank="0" type="list">
      <formula1>"Pauschale,Nachweis,Unbekannt"</formula1>
    </dataValidation>
    <dataValidation sqref="C1217" showDropDown="0" showInputMessage="0" showErrorMessage="0" allowBlank="0" type="list">
      <formula1>"Pauschale,Nachweis,Unbekannt"</formula1>
    </dataValidation>
    <dataValidation sqref="C1218" showDropDown="0" showInputMessage="0" showErrorMessage="0" allowBlank="0" type="list">
      <formula1>"Pauschale,Nachweis,Unbekannt"</formula1>
    </dataValidation>
    <dataValidation sqref="C1219" showDropDown="0" showInputMessage="0" showErrorMessage="0" allowBlank="0" type="list">
      <formula1>"Pauschale,Nachweis,Unbekannt"</formula1>
    </dataValidation>
    <dataValidation sqref="C1220" showDropDown="0" showInputMessage="0" showErrorMessage="0" allowBlank="0" type="list">
      <formula1>"Pauschale,Nachweis,Unbekannt"</formula1>
    </dataValidation>
    <dataValidation sqref="C1221" showDropDown="0" showInputMessage="0" showErrorMessage="0" allowBlank="0" type="list">
      <formula1>"Pauschale,Nachweis,Unbekannt"</formula1>
    </dataValidation>
    <dataValidation sqref="C1222" showDropDown="0" showInputMessage="0" showErrorMessage="0" allowBlank="0" type="list">
      <formula1>"Pauschale,Nachweis,Unbekannt"</formula1>
    </dataValidation>
    <dataValidation sqref="C1223" showDropDown="0" showInputMessage="0" showErrorMessage="0" allowBlank="0" type="list">
      <formula1>"Pauschale,Nachweis,Unbekannt"</formula1>
    </dataValidation>
    <dataValidation sqref="C1224" showDropDown="0" showInputMessage="0" showErrorMessage="0" allowBlank="0" type="list">
      <formula1>"Pauschale,Nachweis,Unbekannt"</formula1>
    </dataValidation>
    <dataValidation sqref="C1225" showDropDown="0" showInputMessage="0" showErrorMessage="0" allowBlank="0" type="list">
      <formula1>"Pauschale,Nachweis,Unbekannt"</formula1>
    </dataValidation>
    <dataValidation sqref="C1226" showDropDown="0" showInputMessage="0" showErrorMessage="0" allowBlank="0" type="list">
      <formula1>"Pauschale,Nachweis,Unbekannt"</formula1>
    </dataValidation>
    <dataValidation sqref="C1227" showDropDown="0" showInputMessage="0" showErrorMessage="0" allowBlank="0" type="list">
      <formula1>"Pauschale,Nachweis,Unbekannt"</formula1>
    </dataValidation>
    <dataValidation sqref="C1228" showDropDown="0" showInputMessage="0" showErrorMessage="0" allowBlank="0" type="list">
      <formula1>"Pauschale,Nachweis,Unbekannt"</formula1>
    </dataValidation>
    <dataValidation sqref="C1229" showDropDown="0" showInputMessage="0" showErrorMessage="0" allowBlank="0" type="list">
      <formula1>"Pauschale,Nachweis,Unbekannt"</formula1>
    </dataValidation>
    <dataValidation sqref="C1230" showDropDown="0" showInputMessage="0" showErrorMessage="0" allowBlank="0" type="list">
      <formula1>"Pauschale,Nachweis,Unbekannt"</formula1>
    </dataValidation>
    <dataValidation sqref="C1231" showDropDown="0" showInputMessage="0" showErrorMessage="0" allowBlank="0" type="list">
      <formula1>"Pauschale,Nachweis,Unbekannt"</formula1>
    </dataValidation>
    <dataValidation sqref="C1232" showDropDown="0" showInputMessage="0" showErrorMessage="0" allowBlank="0" type="list">
      <formula1>"Pauschale,Nachweis,Unbekannt"</formula1>
    </dataValidation>
    <dataValidation sqref="C1233" showDropDown="0" showInputMessage="0" showErrorMessage="0" allowBlank="0" type="list">
      <formula1>"Pauschale,Nachweis,Unbekannt"</formula1>
    </dataValidation>
    <dataValidation sqref="C1234" showDropDown="0" showInputMessage="0" showErrorMessage="0" allowBlank="0" type="list">
      <formula1>"Pauschale,Nachweis,Unbekannt"</formula1>
    </dataValidation>
    <dataValidation sqref="C1235" showDropDown="0" showInputMessage="0" showErrorMessage="0" allowBlank="0" type="list">
      <formula1>"Pauschale,Nachweis,Unbekannt"</formula1>
    </dataValidation>
    <dataValidation sqref="C1236" showDropDown="0" showInputMessage="0" showErrorMessage="0" allowBlank="0" type="list">
      <formula1>"Pauschale,Nachweis,Unbekannt"</formula1>
    </dataValidation>
    <dataValidation sqref="C1237" showDropDown="0" showInputMessage="0" showErrorMessage="0" allowBlank="0" type="list">
      <formula1>"Pauschale,Nachweis,Unbekannt"</formula1>
    </dataValidation>
    <dataValidation sqref="C1238" showDropDown="0" showInputMessage="0" showErrorMessage="0" allowBlank="0" type="list">
      <formula1>"Pauschale,Nachweis,Unbekannt"</formula1>
    </dataValidation>
    <dataValidation sqref="C1239" showDropDown="0" showInputMessage="0" showErrorMessage="0" allowBlank="0" type="list">
      <formula1>"Pauschale,Nachweis,Unbekannt"</formula1>
    </dataValidation>
    <dataValidation sqref="C1240" showDropDown="0" showInputMessage="0" showErrorMessage="0" allowBlank="0" type="list">
      <formula1>"Pauschale,Nachweis,Unbekannt"</formula1>
    </dataValidation>
    <dataValidation sqref="C1241" showDropDown="0" showInputMessage="0" showErrorMessage="0" allowBlank="0" type="list">
      <formula1>"Pauschale,Nachweis,Unbekannt"</formula1>
    </dataValidation>
    <dataValidation sqref="C1242" showDropDown="0" showInputMessage="0" showErrorMessage="0" allowBlank="0" type="list">
      <formula1>"Pauschale,Nachweis,Unbekannt"</formula1>
    </dataValidation>
    <dataValidation sqref="C1243" showDropDown="0" showInputMessage="0" showErrorMessage="0" allowBlank="0" type="list">
      <formula1>"Pauschale,Nachweis,Unbekannt"</formula1>
    </dataValidation>
    <dataValidation sqref="C1244" showDropDown="0" showInputMessage="0" showErrorMessage="0" allowBlank="0" type="list">
      <formula1>"Pauschale,Nachweis,Unbekannt"</formula1>
    </dataValidation>
    <dataValidation sqref="C1245" showDropDown="0" showInputMessage="0" showErrorMessage="0" allowBlank="0" type="list">
      <formula1>"Pauschale,Nachweis,Unbekannt"</formula1>
    </dataValidation>
    <dataValidation sqref="C1246" showDropDown="0" showInputMessage="0" showErrorMessage="0" allowBlank="0" type="list">
      <formula1>"Pauschale,Nachweis,Unbekannt"</formula1>
    </dataValidation>
    <dataValidation sqref="C1247" showDropDown="0" showInputMessage="0" showErrorMessage="0" allowBlank="0" type="list">
      <formula1>"Pauschale,Nachweis,Unbekannt"</formula1>
    </dataValidation>
    <dataValidation sqref="C1248" showDropDown="0" showInputMessage="0" showErrorMessage="0" allowBlank="0" type="list">
      <formula1>"Pauschale,Nachweis,Unbekannt"</formula1>
    </dataValidation>
    <dataValidation sqref="C1249" showDropDown="0" showInputMessage="0" showErrorMessage="0" allowBlank="0" type="list">
      <formula1>"Pauschale,Nachweis,Unbekannt"</formula1>
    </dataValidation>
    <dataValidation sqref="C1250" showDropDown="0" showInputMessage="0" showErrorMessage="0" allowBlank="0" type="list">
      <formula1>"Pauschale,Nachweis,Unbekannt"</formula1>
    </dataValidation>
    <dataValidation sqref="C1251" showDropDown="0" showInputMessage="0" showErrorMessage="0" allowBlank="0" type="list">
      <formula1>"Pauschale,Nachweis,Unbekannt"</formula1>
    </dataValidation>
    <dataValidation sqref="C1252" showDropDown="0" showInputMessage="0" showErrorMessage="0" allowBlank="0" type="list">
      <formula1>"Pauschale,Nachweis,Unbekannt"</formula1>
    </dataValidation>
    <dataValidation sqref="C1253" showDropDown="0" showInputMessage="0" showErrorMessage="0" allowBlank="0" type="list">
      <formula1>"Pauschale,Nachweis,Unbekannt"</formula1>
    </dataValidation>
    <dataValidation sqref="C1254" showDropDown="0" showInputMessage="0" showErrorMessage="0" allowBlank="0" type="list">
      <formula1>"Pauschale,Nachweis,Unbekannt"</formula1>
    </dataValidation>
    <dataValidation sqref="C1255" showDropDown="0" showInputMessage="0" showErrorMessage="0" allowBlank="0" type="list">
      <formula1>"Pauschale,Nachweis,Unbekannt"</formula1>
    </dataValidation>
    <dataValidation sqref="C1256" showDropDown="0" showInputMessage="0" showErrorMessage="0" allowBlank="0" type="list">
      <formula1>"Pauschale,Nachweis,Unbekannt"</formula1>
    </dataValidation>
    <dataValidation sqref="C1257" showDropDown="0" showInputMessage="0" showErrorMessage="0" allowBlank="0" type="list">
      <formula1>"Pauschale,Nachweis,Unbekannt"</formula1>
    </dataValidation>
    <dataValidation sqref="C1258" showDropDown="0" showInputMessage="0" showErrorMessage="0" allowBlank="0" type="list">
      <formula1>"Pauschale,Nachweis,Unbekannt"</formula1>
    </dataValidation>
    <dataValidation sqref="C1259" showDropDown="0" showInputMessage="0" showErrorMessage="0" allowBlank="0" type="list">
      <formula1>"Pauschale,Nachweis,Unbekannt"</formula1>
    </dataValidation>
    <dataValidation sqref="C1260" showDropDown="0" showInputMessage="0" showErrorMessage="0" allowBlank="0" type="list">
      <formula1>"Pauschale,Nachweis,Unbekannt"</formula1>
    </dataValidation>
    <dataValidation sqref="C1261" showDropDown="0" showInputMessage="0" showErrorMessage="0" allowBlank="0" type="list">
      <formula1>"Pauschale,Nachweis,Unbekannt"</formula1>
    </dataValidation>
    <dataValidation sqref="C1262" showDropDown="0" showInputMessage="0" showErrorMessage="0" allowBlank="0" type="list">
      <formula1>"Pauschale,Nachweis,Unbekannt"</formula1>
    </dataValidation>
    <dataValidation sqref="C1263" showDropDown="0" showInputMessage="0" showErrorMessage="0" allowBlank="0" type="list">
      <formula1>"Pauschale,Nachweis,Unbekannt"</formula1>
    </dataValidation>
    <dataValidation sqref="C1264" showDropDown="0" showInputMessage="0" showErrorMessage="0" allowBlank="0" type="list">
      <formula1>"Pauschale,Nachweis,Unbekannt"</formula1>
    </dataValidation>
    <dataValidation sqref="C1265" showDropDown="0" showInputMessage="0" showErrorMessage="0" allowBlank="0" type="list">
      <formula1>"Pauschale,Nachweis,Unbekannt"</formula1>
    </dataValidation>
    <dataValidation sqref="C1266" showDropDown="0" showInputMessage="0" showErrorMessage="0" allowBlank="0" type="list">
      <formula1>"Pauschale,Nachweis,Unbekannt"</formula1>
    </dataValidation>
    <dataValidation sqref="C1267" showDropDown="0" showInputMessage="0" showErrorMessage="0" allowBlank="0" type="list">
      <formula1>"Pauschale,Nachweis,Unbekannt"</formula1>
    </dataValidation>
    <dataValidation sqref="C1268" showDropDown="0" showInputMessage="0" showErrorMessage="0" allowBlank="0" type="list">
      <formula1>"Pauschale,Nachweis,Unbekannt"</formula1>
    </dataValidation>
    <dataValidation sqref="C1269" showDropDown="0" showInputMessage="0" showErrorMessage="0" allowBlank="0" type="list">
      <formula1>"Pauschale,Nachweis,Unbekannt"</formula1>
    </dataValidation>
    <dataValidation sqref="C1270" showDropDown="0" showInputMessage="0" showErrorMessage="0" allowBlank="0" type="list">
      <formula1>"Pauschale,Nachweis,Unbekannt"</formula1>
    </dataValidation>
    <dataValidation sqref="C1271" showDropDown="0" showInputMessage="0" showErrorMessage="0" allowBlank="0" type="list">
      <formula1>"Pauschale,Nachweis,Unbekannt"</formula1>
    </dataValidation>
    <dataValidation sqref="C1272" showDropDown="0" showInputMessage="0" showErrorMessage="0" allowBlank="0" type="list">
      <formula1>"Pauschale,Nachweis,Unbekannt"</formula1>
    </dataValidation>
    <dataValidation sqref="C1273" showDropDown="0" showInputMessage="0" showErrorMessage="0" allowBlank="0" type="list">
      <formula1>"Pauschale,Nachweis,Unbekannt"</formula1>
    </dataValidation>
    <dataValidation sqref="C1274" showDropDown="0" showInputMessage="0" showErrorMessage="0" allowBlank="0" type="list">
      <formula1>"Pauschale,Nachweis,Unbekannt"</formula1>
    </dataValidation>
    <dataValidation sqref="C1275" showDropDown="0" showInputMessage="0" showErrorMessage="0" allowBlank="0" type="list">
      <formula1>"Pauschale,Nachweis,Unbekannt"</formula1>
    </dataValidation>
    <dataValidation sqref="C1276" showDropDown="0" showInputMessage="0" showErrorMessage="0" allowBlank="0" type="list">
      <formula1>"Pauschale,Nachweis,Unbekannt"</formula1>
    </dataValidation>
    <dataValidation sqref="C1277" showDropDown="0" showInputMessage="0" showErrorMessage="0" allowBlank="0" type="list">
      <formula1>"Pauschale,Nachweis,Unbekannt"</formula1>
    </dataValidation>
    <dataValidation sqref="C1278" showDropDown="0" showInputMessage="0" showErrorMessage="0" allowBlank="0" type="list">
      <formula1>"Pauschale,Nachweis,Unbekannt"</formula1>
    </dataValidation>
    <dataValidation sqref="C1279" showDropDown="0" showInputMessage="0" showErrorMessage="0" allowBlank="0" type="list">
      <formula1>"Pauschale,Nachweis,Unbekannt"</formula1>
    </dataValidation>
    <dataValidation sqref="C1280" showDropDown="0" showInputMessage="0" showErrorMessage="0" allowBlank="0" type="list">
      <formula1>"Pauschale,Nachweis,Unbekannt"</formula1>
    </dataValidation>
    <dataValidation sqref="C1281" showDropDown="0" showInputMessage="0" showErrorMessage="0" allowBlank="0" type="list">
      <formula1>"Pauschale,Nachweis,Unbekannt"</formula1>
    </dataValidation>
    <dataValidation sqref="C1282" showDropDown="0" showInputMessage="0" showErrorMessage="0" allowBlank="0" type="list">
      <formula1>"Pauschale,Nachweis,Unbekannt"</formula1>
    </dataValidation>
    <dataValidation sqref="C1283" showDropDown="0" showInputMessage="0" showErrorMessage="0" allowBlank="0" type="list">
      <formula1>"Pauschale,Nachweis,Unbekannt"</formula1>
    </dataValidation>
    <dataValidation sqref="C1284" showDropDown="0" showInputMessage="0" showErrorMessage="0" allowBlank="0" type="list">
      <formula1>"Pauschale,Nachweis,Unbekannt"</formula1>
    </dataValidation>
    <dataValidation sqref="C1285" showDropDown="0" showInputMessage="0" showErrorMessage="0" allowBlank="0" type="list">
      <formula1>"Pauschale,Nachweis,Unbekannt"</formula1>
    </dataValidation>
    <dataValidation sqref="C1286" showDropDown="0" showInputMessage="0" showErrorMessage="0" allowBlank="0" type="list">
      <formula1>"Pauschale,Nachweis,Unbekannt"</formula1>
    </dataValidation>
    <dataValidation sqref="C1287" showDropDown="0" showInputMessage="0" showErrorMessage="0" allowBlank="0" type="list">
      <formula1>"Pauschale,Nachweis,Unbekannt"</formula1>
    </dataValidation>
    <dataValidation sqref="C1288" showDropDown="0" showInputMessage="0" showErrorMessage="0" allowBlank="0" type="list">
      <formula1>"Pauschale,Nachweis,Unbekannt"</formula1>
    </dataValidation>
    <dataValidation sqref="C1289" showDropDown="0" showInputMessage="0" showErrorMessage="0" allowBlank="0" type="list">
      <formula1>"Pauschale,Nachweis,Unbekannt"</formula1>
    </dataValidation>
    <dataValidation sqref="C1290" showDropDown="0" showInputMessage="0" showErrorMessage="0" allowBlank="0" type="list">
      <formula1>"Pauschale,Nachweis,Unbekannt"</formula1>
    </dataValidation>
    <dataValidation sqref="C1291" showDropDown="0" showInputMessage="0" showErrorMessage="0" allowBlank="0" type="list">
      <formula1>"Pauschale,Nachweis,Unbekannt"</formula1>
    </dataValidation>
    <dataValidation sqref="C1292" showDropDown="0" showInputMessage="0" showErrorMessage="0" allowBlank="0" type="list">
      <formula1>"Pauschale,Nachweis,Unbekannt"</formula1>
    </dataValidation>
    <dataValidation sqref="C1293" showDropDown="0" showInputMessage="0" showErrorMessage="0" allowBlank="0" type="list">
      <formula1>"Pauschale,Nachweis,Unbekannt"</formula1>
    </dataValidation>
    <dataValidation sqref="C1294" showDropDown="0" showInputMessage="0" showErrorMessage="0" allowBlank="0" type="list">
      <formula1>"Pauschale,Nachweis,Unbekannt"</formula1>
    </dataValidation>
    <dataValidation sqref="C1295" showDropDown="0" showInputMessage="0" showErrorMessage="0" allowBlank="0" type="list">
      <formula1>"Pauschale,Nachweis,Unbekannt"</formula1>
    </dataValidation>
    <dataValidation sqref="C1296" showDropDown="0" showInputMessage="0" showErrorMessage="0" allowBlank="0" type="list">
      <formula1>"Pauschale,Nachweis,Unbekannt"</formula1>
    </dataValidation>
    <dataValidation sqref="C1297" showDropDown="0" showInputMessage="0" showErrorMessage="0" allowBlank="0" type="list">
      <formula1>"Pauschale,Nachweis,Unbekannt"</formula1>
    </dataValidation>
    <dataValidation sqref="C1298" showDropDown="0" showInputMessage="0" showErrorMessage="0" allowBlank="0" type="list">
      <formula1>"Pauschale,Nachweis,Unbekannt"</formula1>
    </dataValidation>
    <dataValidation sqref="C1299" showDropDown="0" showInputMessage="0" showErrorMessage="0" allowBlank="0" type="list">
      <formula1>"Pauschale,Nachweis,Unbekannt"</formula1>
    </dataValidation>
    <dataValidation sqref="C1300" showDropDown="0" showInputMessage="0" showErrorMessage="0" allowBlank="0" type="list">
      <formula1>"Pauschale,Nachweis,Unbekannt"</formula1>
    </dataValidation>
    <dataValidation sqref="C1301" showDropDown="0" showInputMessage="0" showErrorMessage="0" allowBlank="0" type="list">
      <formula1>"Pauschale,Nachweis,Unbekannt"</formula1>
    </dataValidation>
    <dataValidation sqref="C1302" showDropDown="0" showInputMessage="0" showErrorMessage="0" allowBlank="0" type="list">
      <formula1>"Pauschale,Nachweis,Unbekannt"</formula1>
    </dataValidation>
    <dataValidation sqref="C1303" showDropDown="0" showInputMessage="0" showErrorMessage="0" allowBlank="0" type="list">
      <formula1>"Pauschale,Nachweis,Unbekannt"</formula1>
    </dataValidation>
    <dataValidation sqref="C1304" showDropDown="0" showInputMessage="0" showErrorMessage="0" allowBlank="0" type="list">
      <formula1>"Pauschale,Nachweis,Unbekannt"</formula1>
    </dataValidation>
    <dataValidation sqref="C1305" showDropDown="0" showInputMessage="0" showErrorMessage="0" allowBlank="0" type="list">
      <formula1>"Pauschale,Nachweis,Unbekannt"</formula1>
    </dataValidation>
    <dataValidation sqref="C1306" showDropDown="0" showInputMessage="0" showErrorMessage="0" allowBlank="0" type="list">
      <formula1>"Pauschale,Nachweis,Unbekannt"</formula1>
    </dataValidation>
    <dataValidation sqref="C1307" showDropDown="0" showInputMessage="0" showErrorMessage="0" allowBlank="0" type="list">
      <formula1>"Pauschale,Nachweis,Unbekannt"</formula1>
    </dataValidation>
    <dataValidation sqref="C1308" showDropDown="0" showInputMessage="0" showErrorMessage="0" allowBlank="0" type="list">
      <formula1>"Pauschale,Nachweis,Unbekannt"</formula1>
    </dataValidation>
    <dataValidation sqref="C1309" showDropDown="0" showInputMessage="0" showErrorMessage="0" allowBlank="0" type="list">
      <formula1>"Pauschale,Nachweis,Unbekannt"</formula1>
    </dataValidation>
    <dataValidation sqref="C1310" showDropDown="0" showInputMessage="0" showErrorMessage="0" allowBlank="0" type="list">
      <formula1>"Pauschale,Nachweis,Unbekannt"</formula1>
    </dataValidation>
    <dataValidation sqref="C1311" showDropDown="0" showInputMessage="0" showErrorMessage="0" allowBlank="0" type="list">
      <formula1>"Pauschale,Nachweis,Unbekannt"</formula1>
    </dataValidation>
    <dataValidation sqref="C1312" showDropDown="0" showInputMessage="0" showErrorMessage="0" allowBlank="0" type="list">
      <formula1>"Pauschale,Nachweis,Unbekannt"</formula1>
    </dataValidation>
    <dataValidation sqref="C1313" showDropDown="0" showInputMessage="0" showErrorMessage="0" allowBlank="0" type="list">
      <formula1>"Pauschale,Nachweis,Unbekannt"</formula1>
    </dataValidation>
    <dataValidation sqref="C1314" showDropDown="0" showInputMessage="0" showErrorMessage="0" allowBlank="0" type="list">
      <formula1>"Pauschale,Nachweis,Unbekannt"</formula1>
    </dataValidation>
    <dataValidation sqref="C1315" showDropDown="0" showInputMessage="0" showErrorMessage="0" allowBlank="0" type="list">
      <formula1>"Pauschale,Nachweis,Unbekannt"</formula1>
    </dataValidation>
    <dataValidation sqref="C1316" showDropDown="0" showInputMessage="0" showErrorMessage="0" allowBlank="0" type="list">
      <formula1>"Pauschale,Nachweis,Unbekannt"</formula1>
    </dataValidation>
    <dataValidation sqref="C1317" showDropDown="0" showInputMessage="0" showErrorMessage="0" allowBlank="0" type="list">
      <formula1>"Pauschale,Nachweis,Unbekannt"</formula1>
    </dataValidation>
    <dataValidation sqref="C1318" showDropDown="0" showInputMessage="0" showErrorMessage="0" allowBlank="0" type="list">
      <formula1>"Pauschale,Nachweis,Unbekannt"</formula1>
    </dataValidation>
    <dataValidation sqref="C1319" showDropDown="0" showInputMessage="0" showErrorMessage="0" allowBlank="0" type="list">
      <formula1>"Pauschale,Nachweis,Unbekannt"</formula1>
    </dataValidation>
    <dataValidation sqref="C1320" showDropDown="0" showInputMessage="0" showErrorMessage="0" allowBlank="0" type="list">
      <formula1>"Pauschale,Nachweis,Unbekannt"</formula1>
    </dataValidation>
    <dataValidation sqref="C1321" showDropDown="0" showInputMessage="0" showErrorMessage="0" allowBlank="0" type="list">
      <formula1>"Pauschale,Nachweis,Unbekannt"</formula1>
    </dataValidation>
    <dataValidation sqref="C1322" showDropDown="0" showInputMessage="0" showErrorMessage="0" allowBlank="0" type="list">
      <formula1>"Pauschale,Nachweis,Unbekannt"</formula1>
    </dataValidation>
    <dataValidation sqref="C1323" showDropDown="0" showInputMessage="0" showErrorMessage="0" allowBlank="0" type="list">
      <formula1>"Pauschale,Nachweis,Unbekannt"</formula1>
    </dataValidation>
    <dataValidation sqref="C1324" showDropDown="0" showInputMessage="0" showErrorMessage="0" allowBlank="0" type="list">
      <formula1>"Pauschale,Nachweis,Unbekannt"</formula1>
    </dataValidation>
    <dataValidation sqref="C1325" showDropDown="0" showInputMessage="0" showErrorMessage="0" allowBlank="0" type="list">
      <formula1>"Pauschale,Nachweis,Unbekannt"</formula1>
    </dataValidation>
    <dataValidation sqref="C1326" showDropDown="0" showInputMessage="0" showErrorMessage="0" allowBlank="0" type="list">
      <formula1>"Pauschale,Nachweis,Unbekannt"</formula1>
    </dataValidation>
    <dataValidation sqref="C1327" showDropDown="0" showInputMessage="0" showErrorMessage="0" allowBlank="0" type="list">
      <formula1>"Pauschale,Nachweis,Unbekannt"</formula1>
    </dataValidation>
    <dataValidation sqref="C1328" showDropDown="0" showInputMessage="0" showErrorMessage="0" allowBlank="0" type="list">
      <formula1>"Pauschale,Nachweis,Unbekannt"</formula1>
    </dataValidation>
    <dataValidation sqref="C1329" showDropDown="0" showInputMessage="0" showErrorMessage="0" allowBlank="0" type="list">
      <formula1>"Pauschale,Nachweis,Unbekannt"</formula1>
    </dataValidation>
    <dataValidation sqref="C1330" showDropDown="0" showInputMessage="0" showErrorMessage="0" allowBlank="0" type="list">
      <formula1>"Pauschale,Nachweis,Unbekannt"</formula1>
    </dataValidation>
    <dataValidation sqref="C1331" showDropDown="0" showInputMessage="0" showErrorMessage="0" allowBlank="0" type="list">
      <formula1>"Pauschale,Nachweis,Unbekannt"</formula1>
    </dataValidation>
    <dataValidation sqref="C1332" showDropDown="0" showInputMessage="0" showErrorMessage="0" allowBlank="0" type="list">
      <formula1>"Pauschale,Nachweis,Unbekannt"</formula1>
    </dataValidation>
    <dataValidation sqref="C1333" showDropDown="0" showInputMessage="0" showErrorMessage="0" allowBlank="0" type="list">
      <formula1>"Pauschale,Nachweis,Unbekannt"</formula1>
    </dataValidation>
    <dataValidation sqref="C1334" showDropDown="0" showInputMessage="0" showErrorMessage="0" allowBlank="0" type="list">
      <formula1>"Pauschale,Nachweis,Unbekannt"</formula1>
    </dataValidation>
    <dataValidation sqref="C1335" showDropDown="0" showInputMessage="0" showErrorMessage="0" allowBlank="0" type="list">
      <formula1>"Pauschale,Nachweis,Unbekannt"</formula1>
    </dataValidation>
    <dataValidation sqref="C1336" showDropDown="0" showInputMessage="0" showErrorMessage="0" allowBlank="0" type="list">
      <formula1>"Pauschale,Nachweis,Unbekannt"</formula1>
    </dataValidation>
    <dataValidation sqref="C1337" showDropDown="0" showInputMessage="0" showErrorMessage="0" allowBlank="0" type="list">
      <formula1>"Pauschale,Nachweis,Unbekannt"</formula1>
    </dataValidation>
    <dataValidation sqref="C1338" showDropDown="0" showInputMessage="0" showErrorMessage="0" allowBlank="0" type="list">
      <formula1>"Pauschale,Nachweis,Unbekannt"</formula1>
    </dataValidation>
    <dataValidation sqref="C1339" showDropDown="0" showInputMessage="0" showErrorMessage="0" allowBlank="0" type="list">
      <formula1>"Pauschale,Nachweis,Unbekannt"</formula1>
    </dataValidation>
    <dataValidation sqref="C1340" showDropDown="0" showInputMessage="0" showErrorMessage="0" allowBlank="0" type="list">
      <formula1>"Pauschale,Nachweis,Unbekannt"</formula1>
    </dataValidation>
    <dataValidation sqref="C1341" showDropDown="0" showInputMessage="0" showErrorMessage="0" allowBlank="0" type="list">
      <formula1>"Pauschale,Nachweis,Unbekannt"</formula1>
    </dataValidation>
    <dataValidation sqref="C1342" showDropDown="0" showInputMessage="0" showErrorMessage="0" allowBlank="0" type="list">
      <formula1>"Pauschale,Nachweis,Unbekannt"</formula1>
    </dataValidation>
    <dataValidation sqref="C1343" showDropDown="0" showInputMessage="0" showErrorMessage="0" allowBlank="0" type="list">
      <formula1>"Pauschale,Nachweis,Unbekannt"</formula1>
    </dataValidation>
    <dataValidation sqref="C1344" showDropDown="0" showInputMessage="0" showErrorMessage="0" allowBlank="0" type="list">
      <formula1>"Pauschale,Nachweis,Unbekannt"</formula1>
    </dataValidation>
    <dataValidation sqref="C1345" showDropDown="0" showInputMessage="0" showErrorMessage="0" allowBlank="0" type="list">
      <formula1>"Pauschale,Nachweis,Unbekannt"</formula1>
    </dataValidation>
    <dataValidation sqref="C1346" showDropDown="0" showInputMessage="0" showErrorMessage="0" allowBlank="0" type="list">
      <formula1>"Pauschale,Nachweis,Unbekannt"</formula1>
    </dataValidation>
    <dataValidation sqref="C1347" showDropDown="0" showInputMessage="0" showErrorMessage="0" allowBlank="0" type="list">
      <formula1>"Pauschale,Nachweis,Unbekannt"</formula1>
    </dataValidation>
    <dataValidation sqref="C1348" showDropDown="0" showInputMessage="0" showErrorMessage="0" allowBlank="0" type="list">
      <formula1>"Pauschale,Nachweis,Unbekannt"</formula1>
    </dataValidation>
    <dataValidation sqref="C1349" showDropDown="0" showInputMessage="0" showErrorMessage="0" allowBlank="0" type="list">
      <formula1>"Pauschale,Nachweis,Unbekannt"</formula1>
    </dataValidation>
    <dataValidation sqref="C1350" showDropDown="0" showInputMessage="0" showErrorMessage="0" allowBlank="0" type="list">
      <formula1>"Pauschale,Nachweis,Unbekannt"</formula1>
    </dataValidation>
    <dataValidation sqref="C1351" showDropDown="0" showInputMessage="0" showErrorMessage="0" allowBlank="0" type="list">
      <formula1>"Pauschale,Nachweis,Unbekannt"</formula1>
    </dataValidation>
    <dataValidation sqref="C1352" showDropDown="0" showInputMessage="0" showErrorMessage="0" allowBlank="0" type="list">
      <formula1>"Pauschale,Nachweis,Unbekannt"</formula1>
    </dataValidation>
    <dataValidation sqref="C1353" showDropDown="0" showInputMessage="0" showErrorMessage="0" allowBlank="0" type="list">
      <formula1>"Pauschale,Nachweis,Unbekannt"</formula1>
    </dataValidation>
    <dataValidation sqref="C1354" showDropDown="0" showInputMessage="0" showErrorMessage="0" allowBlank="0" type="list">
      <formula1>"Pauschale,Nachweis,Unbekannt"</formula1>
    </dataValidation>
    <dataValidation sqref="C1355" showDropDown="0" showInputMessage="0" showErrorMessage="0" allowBlank="0" type="list">
      <formula1>"Pauschale,Nachweis,Unbekannt"</formula1>
    </dataValidation>
    <dataValidation sqref="C1356" showDropDown="0" showInputMessage="0" showErrorMessage="0" allowBlank="0" type="list">
      <formula1>"Pauschale,Nachweis,Unbekannt"</formula1>
    </dataValidation>
    <dataValidation sqref="C1357" showDropDown="0" showInputMessage="0" showErrorMessage="0" allowBlank="0" type="list">
      <formula1>"Pauschale,Nachweis,Unbekannt"</formula1>
    </dataValidation>
    <dataValidation sqref="C1358" showDropDown="0" showInputMessage="0" showErrorMessage="0" allowBlank="0" type="list">
      <formula1>"Pauschale,Nachweis,Unbekannt"</formula1>
    </dataValidation>
    <dataValidation sqref="C1359" showDropDown="0" showInputMessage="0" showErrorMessage="0" allowBlank="0" type="list">
      <formula1>"Pauschale,Nachweis,Unbekannt"</formula1>
    </dataValidation>
    <dataValidation sqref="C1360" showDropDown="0" showInputMessage="0" showErrorMessage="0" allowBlank="0" type="list">
      <formula1>"Pauschale,Nachweis,Unbekannt"</formula1>
    </dataValidation>
    <dataValidation sqref="C1361" showDropDown="0" showInputMessage="0" showErrorMessage="0" allowBlank="0" type="list">
      <formula1>"Pauschale,Nachweis,Unbekannt"</formula1>
    </dataValidation>
    <dataValidation sqref="C1362" showDropDown="0" showInputMessage="0" showErrorMessage="0" allowBlank="0" type="list">
      <formula1>"Pauschale,Nachweis,Unbekannt"</formula1>
    </dataValidation>
    <dataValidation sqref="C1363" showDropDown="0" showInputMessage="0" showErrorMessage="0" allowBlank="0" type="list">
      <formula1>"Pauschale,Nachweis,Unbekannt"</formula1>
    </dataValidation>
    <dataValidation sqref="C1364" showDropDown="0" showInputMessage="0" showErrorMessage="0" allowBlank="0" type="list">
      <formula1>"Pauschale,Nachweis,Unbekannt"</formula1>
    </dataValidation>
    <dataValidation sqref="C1365" showDropDown="0" showInputMessage="0" showErrorMessage="0" allowBlank="0" type="list">
      <formula1>"Pauschale,Nachweis,Unbekannt"</formula1>
    </dataValidation>
    <dataValidation sqref="C1366" showDropDown="0" showInputMessage="0" showErrorMessage="0" allowBlank="0" type="list">
      <formula1>"Pauschale,Nachweis,Unbekannt"</formula1>
    </dataValidation>
    <dataValidation sqref="C1367" showDropDown="0" showInputMessage="0" showErrorMessage="0" allowBlank="0" type="list">
      <formula1>"Pauschale,Nachweis,Unbekannt"</formula1>
    </dataValidation>
    <dataValidation sqref="C1368" showDropDown="0" showInputMessage="0" showErrorMessage="0" allowBlank="0" type="list">
      <formula1>"Pauschale,Nachweis,Unbekannt"</formula1>
    </dataValidation>
    <dataValidation sqref="C1369" showDropDown="0" showInputMessage="0" showErrorMessage="0" allowBlank="0" type="list">
      <formula1>"Pauschale,Nachweis,Unbekannt"</formula1>
    </dataValidation>
    <dataValidation sqref="C1370" showDropDown="0" showInputMessage="0" showErrorMessage="0" allowBlank="0" type="list">
      <formula1>"Pauschale,Nachweis,Unbekannt"</formula1>
    </dataValidation>
    <dataValidation sqref="C1371" showDropDown="0" showInputMessage="0" showErrorMessage="0" allowBlank="0" type="list">
      <formula1>"Pauschale,Nachweis,Unbekannt"</formula1>
    </dataValidation>
    <dataValidation sqref="C1372" showDropDown="0" showInputMessage="0" showErrorMessage="0" allowBlank="0" type="list">
      <formula1>"Pauschale,Nachweis,Unbekannt"</formula1>
    </dataValidation>
    <dataValidation sqref="C1373" showDropDown="0" showInputMessage="0" showErrorMessage="0" allowBlank="0" type="list">
      <formula1>"Pauschale,Nachweis,Unbekannt"</formula1>
    </dataValidation>
    <dataValidation sqref="C1374" showDropDown="0" showInputMessage="0" showErrorMessage="0" allowBlank="0" type="list">
      <formula1>"Pauschale,Nachweis,Unbekannt"</formula1>
    </dataValidation>
    <dataValidation sqref="C1375" showDropDown="0" showInputMessage="0" showErrorMessage="0" allowBlank="0" type="list">
      <formula1>"Pauschale,Nachweis,Unbekannt"</formula1>
    </dataValidation>
    <dataValidation sqref="C1376" showDropDown="0" showInputMessage="0" showErrorMessage="0" allowBlank="0" type="list">
      <formula1>"Pauschale,Nachweis,Unbekannt"</formula1>
    </dataValidation>
    <dataValidation sqref="C1377" showDropDown="0" showInputMessage="0" showErrorMessage="0" allowBlank="0" type="list">
      <formula1>"Pauschale,Nachweis,Unbekannt"</formula1>
    </dataValidation>
    <dataValidation sqref="C1378" showDropDown="0" showInputMessage="0" showErrorMessage="0" allowBlank="0" type="list">
      <formula1>"Pauschale,Nachweis,Unbekannt"</formula1>
    </dataValidation>
    <dataValidation sqref="C1379" showDropDown="0" showInputMessage="0" showErrorMessage="0" allowBlank="0" type="list">
      <formula1>"Pauschale,Nachweis,Unbekannt"</formula1>
    </dataValidation>
    <dataValidation sqref="C1380" showDropDown="0" showInputMessage="0" showErrorMessage="0" allowBlank="0" type="list">
      <formula1>"Pauschale,Nachweis,Unbekannt"</formula1>
    </dataValidation>
    <dataValidation sqref="C1381" showDropDown="0" showInputMessage="0" showErrorMessage="0" allowBlank="0" type="list">
      <formula1>"Pauschale,Nachweis,Unbekannt"</formula1>
    </dataValidation>
    <dataValidation sqref="C1382" showDropDown="0" showInputMessage="0" showErrorMessage="0" allowBlank="0" type="list">
      <formula1>"Pauschale,Nachweis,Unbekannt"</formula1>
    </dataValidation>
    <dataValidation sqref="C1383" showDropDown="0" showInputMessage="0" showErrorMessage="0" allowBlank="0" type="list">
      <formula1>"Pauschale,Nachweis,Unbekannt"</formula1>
    </dataValidation>
    <dataValidation sqref="C1384" showDropDown="0" showInputMessage="0" showErrorMessage="0" allowBlank="0" type="list">
      <formula1>"Pauschale,Nachweis,Unbekannt"</formula1>
    </dataValidation>
    <dataValidation sqref="C1385" showDropDown="0" showInputMessage="0" showErrorMessage="0" allowBlank="0" type="list">
      <formula1>"Pauschale,Nachweis,Unbekannt"</formula1>
    </dataValidation>
    <dataValidation sqref="C1386" showDropDown="0" showInputMessage="0" showErrorMessage="0" allowBlank="0" type="list">
      <formula1>"Pauschale,Nachweis,Unbekannt"</formula1>
    </dataValidation>
    <dataValidation sqref="C1387" showDropDown="0" showInputMessage="0" showErrorMessage="0" allowBlank="0" type="list">
      <formula1>"Pauschale,Nachweis,Unbekannt"</formula1>
    </dataValidation>
    <dataValidation sqref="C1388" showDropDown="0" showInputMessage="0" showErrorMessage="0" allowBlank="0" type="list">
      <formula1>"Pauschale,Nachweis,Unbekannt"</formula1>
    </dataValidation>
    <dataValidation sqref="C1389" showDropDown="0" showInputMessage="0" showErrorMessage="0" allowBlank="0" type="list">
      <formula1>"Pauschale,Nachweis,Unbekannt"</formula1>
    </dataValidation>
    <dataValidation sqref="C1390" showDropDown="0" showInputMessage="0" showErrorMessage="0" allowBlank="0" type="list">
      <formula1>"Pauschale,Nachweis,Unbekannt"</formula1>
    </dataValidation>
    <dataValidation sqref="C1391" showDropDown="0" showInputMessage="0" showErrorMessage="0" allowBlank="0" type="list">
      <formula1>"Pauschale,Nachweis,Unbekannt"</formula1>
    </dataValidation>
    <dataValidation sqref="C1392" showDropDown="0" showInputMessage="0" showErrorMessage="0" allowBlank="0" type="list">
      <formula1>"Pauschale,Nachweis,Unbekannt"</formula1>
    </dataValidation>
    <dataValidation sqref="C1393" showDropDown="0" showInputMessage="0" showErrorMessage="0" allowBlank="0" type="list">
      <formula1>"Pauschale,Nachweis,Unbekannt"</formula1>
    </dataValidation>
    <dataValidation sqref="C1394" showDropDown="0" showInputMessage="0" showErrorMessage="0" allowBlank="0" type="list">
      <formula1>"Pauschale,Nachweis,Unbekannt"</formula1>
    </dataValidation>
    <dataValidation sqref="C1395" showDropDown="0" showInputMessage="0" showErrorMessage="0" allowBlank="0" type="list">
      <formula1>"Pauschale,Nachweis,Unbekannt"</formula1>
    </dataValidation>
    <dataValidation sqref="C1396" showDropDown="0" showInputMessage="0" showErrorMessage="0" allowBlank="0" type="list">
      <formula1>"Pauschale,Nachweis,Unbekannt"</formula1>
    </dataValidation>
    <dataValidation sqref="C1397" showDropDown="0" showInputMessage="0" showErrorMessage="0" allowBlank="0" type="list">
      <formula1>"Pauschale,Nachweis,Unbekannt"</formula1>
    </dataValidation>
    <dataValidation sqref="C1398" showDropDown="0" showInputMessage="0" showErrorMessage="0" allowBlank="0" type="list">
      <formula1>"Pauschale,Nachweis,Unbekannt"</formula1>
    </dataValidation>
    <dataValidation sqref="C1399" showDropDown="0" showInputMessage="0" showErrorMessage="0" allowBlank="0" type="list">
      <formula1>"Pauschale,Nachweis,Unbekannt"</formula1>
    </dataValidation>
    <dataValidation sqref="C1400" showDropDown="0" showInputMessage="0" showErrorMessage="0" allowBlank="0" type="list">
      <formula1>"Pauschale,Nachweis,Unbekannt"</formula1>
    </dataValidation>
    <dataValidation sqref="C1401" showDropDown="0" showInputMessage="0" showErrorMessage="0" allowBlank="0" type="list">
      <formula1>"Pauschale,Nachweis,Unbekannt"</formula1>
    </dataValidation>
    <dataValidation sqref="C1402" showDropDown="0" showInputMessage="0" showErrorMessage="0" allowBlank="0" type="list">
      <formula1>"Pauschale,Nachweis,Unbekannt"</formula1>
    </dataValidation>
    <dataValidation sqref="C1403" showDropDown="0" showInputMessage="0" showErrorMessage="0" allowBlank="0" type="list">
      <formula1>"Pauschale,Nachweis,Unbekannt"</formula1>
    </dataValidation>
    <dataValidation sqref="C1404" showDropDown="0" showInputMessage="0" showErrorMessage="0" allowBlank="0" type="list">
      <formula1>"Pauschale,Nachweis,Unbekannt"</formula1>
    </dataValidation>
    <dataValidation sqref="C1405" showDropDown="0" showInputMessage="0" showErrorMessage="0" allowBlank="0" type="list">
      <formula1>"Pauschale,Nachweis,Unbekannt"</formula1>
    </dataValidation>
    <dataValidation sqref="C1406" showDropDown="0" showInputMessage="0" showErrorMessage="0" allowBlank="0" type="list">
      <formula1>"Pauschale,Nachweis,Unbekannt"</formula1>
    </dataValidation>
    <dataValidation sqref="C1407" showDropDown="0" showInputMessage="0" showErrorMessage="0" allowBlank="0" type="list">
      <formula1>"Pauschale,Nachweis,Unbekannt"</formula1>
    </dataValidation>
    <dataValidation sqref="C1408" showDropDown="0" showInputMessage="0" showErrorMessage="0" allowBlank="0" type="list">
      <formula1>"Pauschale,Nachweis,Unbekannt"</formula1>
    </dataValidation>
    <dataValidation sqref="C1409" showDropDown="0" showInputMessage="0" showErrorMessage="0" allowBlank="0" type="list">
      <formula1>"Pauschale,Nachweis,Unbekannt"</formula1>
    </dataValidation>
    <dataValidation sqref="C1410" showDropDown="0" showInputMessage="0" showErrorMessage="0" allowBlank="0" type="list">
      <formula1>"Pauschale,Nachweis,Unbekannt"</formula1>
    </dataValidation>
    <dataValidation sqref="C1411" showDropDown="0" showInputMessage="0" showErrorMessage="0" allowBlank="0" type="list">
      <formula1>"Pauschale,Nachweis,Unbekannt"</formula1>
    </dataValidation>
    <dataValidation sqref="C1412" showDropDown="0" showInputMessage="0" showErrorMessage="0" allowBlank="0" type="list">
      <formula1>"Pauschale,Nachweis,Unbekannt"</formula1>
    </dataValidation>
    <dataValidation sqref="C1413" showDropDown="0" showInputMessage="0" showErrorMessage="0" allowBlank="0" type="list">
      <formula1>"Pauschale,Nachweis,Unbekannt"</formula1>
    </dataValidation>
    <dataValidation sqref="C1414" showDropDown="0" showInputMessage="0" showErrorMessage="0" allowBlank="0" type="list">
      <formula1>"Pauschale,Nachweis,Unbekannt"</formula1>
    </dataValidation>
    <dataValidation sqref="C1415" showDropDown="0" showInputMessage="0" showErrorMessage="0" allowBlank="0" type="list">
      <formula1>"Pauschale,Nachweis,Unbekannt"</formula1>
    </dataValidation>
    <dataValidation sqref="C1416" showDropDown="0" showInputMessage="0" showErrorMessage="0" allowBlank="0" type="list">
      <formula1>"Pauschale,Nachweis,Unbekannt"</formula1>
    </dataValidation>
    <dataValidation sqref="C1417" showDropDown="0" showInputMessage="0" showErrorMessage="0" allowBlank="0" type="list">
      <formula1>"Pauschale,Nachweis,Unbekannt"</formula1>
    </dataValidation>
    <dataValidation sqref="C1418" showDropDown="0" showInputMessage="0" showErrorMessage="0" allowBlank="0" type="list">
      <formula1>"Pauschale,Nachweis,Unbekannt"</formula1>
    </dataValidation>
    <dataValidation sqref="C1419" showDropDown="0" showInputMessage="0" showErrorMessage="0" allowBlank="0" type="list">
      <formula1>"Pauschale,Nachweis,Unbekannt"</formula1>
    </dataValidation>
    <dataValidation sqref="C1420" showDropDown="0" showInputMessage="0" showErrorMessage="0" allowBlank="0" type="list">
      <formula1>"Pauschale,Nachweis,Unbekannt"</formula1>
    </dataValidation>
    <dataValidation sqref="C1421" showDropDown="0" showInputMessage="0" showErrorMessage="0" allowBlank="0" type="list">
      <formula1>"Pauschale,Nachweis,Unbekannt"</formula1>
    </dataValidation>
    <dataValidation sqref="C1422" showDropDown="0" showInputMessage="0" showErrorMessage="0" allowBlank="0" type="list">
      <formula1>"Pauschale,Nachweis,Unbekannt"</formula1>
    </dataValidation>
    <dataValidation sqref="C1423" showDropDown="0" showInputMessage="0" showErrorMessage="0" allowBlank="0" type="list">
      <formula1>"Pauschale,Nachweis,Unbekannt"</formula1>
    </dataValidation>
    <dataValidation sqref="C1424" showDropDown="0" showInputMessage="0" showErrorMessage="0" allowBlank="0" type="list">
      <formula1>"Pauschale,Nachweis,Unbekannt"</formula1>
    </dataValidation>
    <dataValidation sqref="C1425" showDropDown="0" showInputMessage="0" showErrorMessage="0" allowBlank="0" type="list">
      <formula1>"Pauschale,Nachweis,Unbekannt"</formula1>
    </dataValidation>
    <dataValidation sqref="C1426" showDropDown="0" showInputMessage="0" showErrorMessage="0" allowBlank="0" type="list">
      <formula1>"Pauschale,Nachweis,Unbekannt"</formula1>
    </dataValidation>
    <dataValidation sqref="C1427" showDropDown="0" showInputMessage="0" showErrorMessage="0" allowBlank="0" type="list">
      <formula1>"Pauschale,Nachweis,Unbekannt"</formula1>
    </dataValidation>
    <dataValidation sqref="C1428" showDropDown="0" showInputMessage="0" showErrorMessage="0" allowBlank="0" type="list">
      <formula1>"Pauschale,Nachweis,Unbekannt"</formula1>
    </dataValidation>
    <dataValidation sqref="C1429" showDropDown="0" showInputMessage="0" showErrorMessage="0" allowBlank="0" type="list">
      <formula1>"Pauschale,Nachweis,Unbekannt"</formula1>
    </dataValidation>
    <dataValidation sqref="C1430" showDropDown="0" showInputMessage="0" showErrorMessage="0" allowBlank="0" type="list">
      <formula1>"Pauschale,Nachweis,Unbekannt"</formula1>
    </dataValidation>
    <dataValidation sqref="C1431" showDropDown="0" showInputMessage="0" showErrorMessage="0" allowBlank="0" type="list">
      <formula1>"Pauschale,Nachweis,Unbekannt"</formula1>
    </dataValidation>
    <dataValidation sqref="C1432" showDropDown="0" showInputMessage="0" showErrorMessage="0" allowBlank="0" type="list">
      <formula1>"Pauschale,Nachweis,Unbekannt"</formula1>
    </dataValidation>
    <dataValidation sqref="C1433" showDropDown="0" showInputMessage="0" showErrorMessage="0" allowBlank="0" type="list">
      <formula1>"Pauschale,Nachweis,Unbekannt"</formula1>
    </dataValidation>
    <dataValidation sqref="C1434" showDropDown="0" showInputMessage="0" showErrorMessage="0" allowBlank="0" type="list">
      <formula1>"Pauschale,Nachweis,Unbekannt"</formula1>
    </dataValidation>
    <dataValidation sqref="C1435" showDropDown="0" showInputMessage="0" showErrorMessage="0" allowBlank="0" type="list">
      <formula1>"Pauschale,Nachweis,Unbekannt"</formula1>
    </dataValidation>
    <dataValidation sqref="C1436" showDropDown="0" showInputMessage="0" showErrorMessage="0" allowBlank="0" type="list">
      <formula1>"Pauschale,Nachweis,Unbekannt"</formula1>
    </dataValidation>
    <dataValidation sqref="C1437" showDropDown="0" showInputMessage="0" showErrorMessage="0" allowBlank="0" type="list">
      <formula1>"Pauschale,Nachweis,Unbekannt"</formula1>
    </dataValidation>
    <dataValidation sqref="C1438" showDropDown="0" showInputMessage="0" showErrorMessage="0" allowBlank="0" type="list">
      <formula1>"Pauschale,Nachweis,Unbekannt"</formula1>
    </dataValidation>
    <dataValidation sqref="C1439" showDropDown="0" showInputMessage="0" showErrorMessage="0" allowBlank="0" type="list">
      <formula1>"Pauschale,Nachweis,Unbekannt"</formula1>
    </dataValidation>
    <dataValidation sqref="C1440" showDropDown="0" showInputMessage="0" showErrorMessage="0" allowBlank="0" type="list">
      <formula1>"Pauschale,Nachweis,Unbekannt"</formula1>
    </dataValidation>
    <dataValidation sqref="C1441" showDropDown="0" showInputMessage="0" showErrorMessage="0" allowBlank="0" type="list">
      <formula1>"Pauschale,Nachweis,Unbekannt"</formula1>
    </dataValidation>
    <dataValidation sqref="C1442" showDropDown="0" showInputMessage="0" showErrorMessage="0" allowBlank="0" type="list">
      <formula1>"Pauschale,Nachweis,Unbekannt"</formula1>
    </dataValidation>
    <dataValidation sqref="C1443" showDropDown="0" showInputMessage="0" showErrorMessage="0" allowBlank="0" type="list">
      <formula1>"Pauschale,Nachweis,Unbekannt"</formula1>
    </dataValidation>
    <dataValidation sqref="C1444" showDropDown="0" showInputMessage="0" showErrorMessage="0" allowBlank="0" type="list">
      <formula1>"Pauschale,Nachweis,Unbekannt"</formula1>
    </dataValidation>
    <dataValidation sqref="C1445" showDropDown="0" showInputMessage="0" showErrorMessage="0" allowBlank="0" type="list">
      <formula1>"Pauschale,Nachweis,Unbekannt"</formula1>
    </dataValidation>
    <dataValidation sqref="C1446" showDropDown="0" showInputMessage="0" showErrorMessage="0" allowBlank="0" type="list">
      <formula1>"Pauschale,Nachweis,Unbekannt"</formula1>
    </dataValidation>
    <dataValidation sqref="C1447" showDropDown="0" showInputMessage="0" showErrorMessage="0" allowBlank="0" type="list">
      <formula1>"Pauschale,Nachweis,Unbekannt"</formula1>
    </dataValidation>
    <dataValidation sqref="C1448" showDropDown="0" showInputMessage="0" showErrorMessage="0" allowBlank="0" type="list">
      <formula1>"Pauschale,Nachweis,Unbekannt"</formula1>
    </dataValidation>
    <dataValidation sqref="C1449" showDropDown="0" showInputMessage="0" showErrorMessage="0" allowBlank="0" type="list">
      <formula1>"Pauschale,Nachweis,Unbekannt"</formula1>
    </dataValidation>
    <dataValidation sqref="C1450" showDropDown="0" showInputMessage="0" showErrorMessage="0" allowBlank="0" type="list">
      <formula1>"Pauschale,Nachweis,Unbekannt"</formula1>
    </dataValidation>
    <dataValidation sqref="C1451" showDropDown="0" showInputMessage="0" showErrorMessage="0" allowBlank="0" type="list">
      <formula1>"Pauschale,Nachweis,Unbekannt"</formula1>
    </dataValidation>
    <dataValidation sqref="C1452" showDropDown="0" showInputMessage="0" showErrorMessage="0" allowBlank="0" type="list">
      <formula1>"Pauschale,Nachweis,Unbekannt"</formula1>
    </dataValidation>
    <dataValidation sqref="C1453" showDropDown="0" showInputMessage="0" showErrorMessage="0" allowBlank="0" type="list">
      <formula1>"Pauschale,Nachweis,Unbekannt"</formula1>
    </dataValidation>
    <dataValidation sqref="C1454" showDropDown="0" showInputMessage="0" showErrorMessage="0" allowBlank="0" type="list">
      <formula1>"Pauschale,Nachweis,Unbekannt"</formula1>
    </dataValidation>
    <dataValidation sqref="C1455" showDropDown="0" showInputMessage="0" showErrorMessage="0" allowBlank="0" type="list">
      <formula1>"Pauschale,Nachweis,Unbekannt"</formula1>
    </dataValidation>
    <dataValidation sqref="C1456" showDropDown="0" showInputMessage="0" showErrorMessage="0" allowBlank="0" type="list">
      <formula1>"Pauschale,Nachweis,Unbekannt"</formula1>
    </dataValidation>
    <dataValidation sqref="C1457" showDropDown="0" showInputMessage="0" showErrorMessage="0" allowBlank="0" type="list">
      <formula1>"Pauschale,Nachweis,Unbekannt"</formula1>
    </dataValidation>
    <dataValidation sqref="C1458" showDropDown="0" showInputMessage="0" showErrorMessage="0" allowBlank="0" type="list">
      <formula1>"Pauschale,Nachweis,Unbekannt"</formula1>
    </dataValidation>
    <dataValidation sqref="C1459" showDropDown="0" showInputMessage="0" showErrorMessage="0" allowBlank="0" type="list">
      <formula1>"Pauschale,Nachweis,Unbekannt"</formula1>
    </dataValidation>
    <dataValidation sqref="C1460" showDropDown="0" showInputMessage="0" showErrorMessage="0" allowBlank="0" type="list">
      <formula1>"Pauschale,Nachweis,Unbekannt"</formula1>
    </dataValidation>
    <dataValidation sqref="C1461" showDropDown="0" showInputMessage="0" showErrorMessage="0" allowBlank="0" type="list">
      <formula1>"Pauschale,Nachweis,Unbekannt"</formula1>
    </dataValidation>
    <dataValidation sqref="C1462" showDropDown="0" showInputMessage="0" showErrorMessage="0" allowBlank="0" type="list">
      <formula1>"Pauschale,Nachweis,Unbekannt"</formula1>
    </dataValidation>
    <dataValidation sqref="C1463" showDropDown="0" showInputMessage="0" showErrorMessage="0" allowBlank="0" type="list">
      <formula1>"Pauschale,Nachweis,Unbekannt"</formula1>
    </dataValidation>
    <dataValidation sqref="C1464" showDropDown="0" showInputMessage="0" showErrorMessage="0" allowBlank="0" type="list">
      <formula1>"Pauschale,Nachweis,Unbekannt"</formula1>
    </dataValidation>
    <dataValidation sqref="C1465" showDropDown="0" showInputMessage="0" showErrorMessage="0" allowBlank="0" type="list">
      <formula1>"Pauschale,Nachweis,Unbekannt"</formula1>
    </dataValidation>
    <dataValidation sqref="C1466" showDropDown="0" showInputMessage="0" showErrorMessage="0" allowBlank="0" type="list">
      <formula1>"Pauschale,Nachweis,Unbekannt"</formula1>
    </dataValidation>
    <dataValidation sqref="C1467" showDropDown="0" showInputMessage="0" showErrorMessage="0" allowBlank="0" type="list">
      <formula1>"Pauschale,Nachweis,Unbekannt"</formula1>
    </dataValidation>
    <dataValidation sqref="C1468" showDropDown="0" showInputMessage="0" showErrorMessage="0" allowBlank="0" type="list">
      <formula1>"Pauschale,Nachweis,Unbekannt"</formula1>
    </dataValidation>
    <dataValidation sqref="C1469" showDropDown="0" showInputMessage="0" showErrorMessage="0" allowBlank="0" type="list">
      <formula1>"Pauschale,Nachweis,Unbekannt"</formula1>
    </dataValidation>
    <dataValidation sqref="C1470" showDropDown="0" showInputMessage="0" showErrorMessage="0" allowBlank="0" type="list">
      <formula1>"Pauschale,Nachweis,Unbekannt"</formula1>
    </dataValidation>
    <dataValidation sqref="C1471" showDropDown="0" showInputMessage="0" showErrorMessage="0" allowBlank="0" type="list">
      <formula1>"Pauschale,Nachweis,Unbekannt"</formula1>
    </dataValidation>
    <dataValidation sqref="C1472" showDropDown="0" showInputMessage="0" showErrorMessage="0" allowBlank="0" type="list">
      <formula1>"Pauschale,Nachweis,Unbekannt"</formula1>
    </dataValidation>
    <dataValidation sqref="C1473" showDropDown="0" showInputMessage="0" showErrorMessage="0" allowBlank="0" type="list">
      <formula1>"Pauschale,Nachweis,Unbekannt"</formula1>
    </dataValidation>
    <dataValidation sqref="C1474" showDropDown="0" showInputMessage="0" showErrorMessage="0" allowBlank="0" type="list">
      <formula1>"Pauschale,Nachweis,Unbekannt"</formula1>
    </dataValidation>
    <dataValidation sqref="C1475" showDropDown="0" showInputMessage="0" showErrorMessage="0" allowBlank="0" type="list">
      <formula1>"Pauschale,Nachweis,Unbekannt"</formula1>
    </dataValidation>
    <dataValidation sqref="C1476" showDropDown="0" showInputMessage="0" showErrorMessage="0" allowBlank="0" type="list">
      <formula1>"Pauschale,Nachweis,Unbekannt"</formula1>
    </dataValidation>
    <dataValidation sqref="C1477" showDropDown="0" showInputMessage="0" showErrorMessage="0" allowBlank="0" type="list">
      <formula1>"Pauschale,Nachweis,Unbekannt"</formula1>
    </dataValidation>
    <dataValidation sqref="C1478" showDropDown="0" showInputMessage="0" showErrorMessage="0" allowBlank="0" type="list">
      <formula1>"Pauschale,Nachweis,Unbekannt"</formula1>
    </dataValidation>
    <dataValidation sqref="C1479" showDropDown="0" showInputMessage="0" showErrorMessage="0" allowBlank="0" type="list">
      <formula1>"Pauschale,Nachweis,Unbekannt"</formula1>
    </dataValidation>
    <dataValidation sqref="C1480" showDropDown="0" showInputMessage="0" showErrorMessage="0" allowBlank="0" type="list">
      <formula1>"Pauschale,Nachweis,Unbekannt"</formula1>
    </dataValidation>
    <dataValidation sqref="C1481" showDropDown="0" showInputMessage="0" showErrorMessage="0" allowBlank="0" type="list">
      <formula1>"Pauschale,Nachweis,Unbekannt"</formula1>
    </dataValidation>
    <dataValidation sqref="C1482" showDropDown="0" showInputMessage="0" showErrorMessage="0" allowBlank="0" type="list">
      <formula1>"Pauschale,Nachweis,Unbekannt"</formula1>
    </dataValidation>
    <dataValidation sqref="C1483" showDropDown="0" showInputMessage="0" showErrorMessage="0" allowBlank="0" type="list">
      <formula1>"Pauschale,Nachweis,Unbekannt"</formula1>
    </dataValidation>
    <dataValidation sqref="C1484" showDropDown="0" showInputMessage="0" showErrorMessage="0" allowBlank="0" type="list">
      <formula1>"Pauschale,Nachweis,Unbekannt"</formula1>
    </dataValidation>
    <dataValidation sqref="C1485" showDropDown="0" showInputMessage="0" showErrorMessage="0" allowBlank="0" type="list">
      <formula1>"Pauschale,Nachweis,Unbekannt"</formula1>
    </dataValidation>
    <dataValidation sqref="C1486" showDropDown="0" showInputMessage="0" showErrorMessage="0" allowBlank="0" type="list">
      <formula1>"Pauschale,Nachweis,Unbekannt"</formula1>
    </dataValidation>
    <dataValidation sqref="C1487" showDropDown="0" showInputMessage="0" showErrorMessage="0" allowBlank="0" type="list">
      <formula1>"Pauschale,Nachweis,Unbekannt"</formula1>
    </dataValidation>
    <dataValidation sqref="C1488" showDropDown="0" showInputMessage="0" showErrorMessage="0" allowBlank="0" type="list">
      <formula1>"Pauschale,Nachweis,Unbekannt"</formula1>
    </dataValidation>
    <dataValidation sqref="C1489" showDropDown="0" showInputMessage="0" showErrorMessage="0" allowBlank="0" type="list">
      <formula1>"Pauschale,Nachweis,Unbekannt"</formula1>
    </dataValidation>
    <dataValidation sqref="C1490" showDropDown="0" showInputMessage="0" showErrorMessage="0" allowBlank="0" type="list">
      <formula1>"Pauschale,Nachweis,Unbekannt"</formula1>
    </dataValidation>
    <dataValidation sqref="C1491" showDropDown="0" showInputMessage="0" showErrorMessage="0" allowBlank="0" type="list">
      <formula1>"Pauschale,Nachweis,Unbekannt"</formula1>
    </dataValidation>
    <dataValidation sqref="C1492" showDropDown="0" showInputMessage="0" showErrorMessage="0" allowBlank="0" type="list">
      <formula1>"Pauschale,Nachweis,Unbekannt"</formula1>
    </dataValidation>
    <dataValidation sqref="C1493" showDropDown="0" showInputMessage="0" showErrorMessage="0" allowBlank="0" type="list">
      <formula1>"Pauschale,Nachweis,Unbekannt"</formula1>
    </dataValidation>
    <dataValidation sqref="C1494" showDropDown="0" showInputMessage="0" showErrorMessage="0" allowBlank="0" type="list">
      <formula1>"Pauschale,Nachweis,Unbekannt"</formula1>
    </dataValidation>
    <dataValidation sqref="C1495" showDropDown="0" showInputMessage="0" showErrorMessage="0" allowBlank="0" type="list">
      <formula1>"Pauschale,Nachweis,Unbekannt"</formula1>
    </dataValidation>
    <dataValidation sqref="C1496" showDropDown="0" showInputMessage="0" showErrorMessage="0" allowBlank="0" type="list">
      <formula1>"Pauschale,Nachweis,Unbekannt"</formula1>
    </dataValidation>
    <dataValidation sqref="C1497" showDropDown="0" showInputMessage="0" showErrorMessage="0" allowBlank="0" type="list">
      <formula1>"Pauschale,Nachweis,Unbekannt"</formula1>
    </dataValidation>
    <dataValidation sqref="C1498" showDropDown="0" showInputMessage="0" showErrorMessage="0" allowBlank="0" type="list">
      <formula1>"Pauschale,Nachweis,Unbekannt"</formula1>
    </dataValidation>
    <dataValidation sqref="C1499" showDropDown="0" showInputMessage="0" showErrorMessage="0" allowBlank="0" type="list">
      <formula1>"Pauschale,Nachweis,Unbekannt"</formula1>
    </dataValidation>
    <dataValidation sqref="C1500" showDropDown="0" showInputMessage="0" showErrorMessage="0" allowBlank="0" type="list">
      <formula1>"Pauschale,Nachweis,Unbekannt"</formula1>
    </dataValidation>
    <dataValidation sqref="C1501" showDropDown="0" showInputMessage="0" showErrorMessage="0" allowBlank="0" type="list">
      <formula1>"Pauschale,Nachweis,Unbekannt"</formula1>
    </dataValidation>
    <dataValidation sqref="C1502" showDropDown="0" showInputMessage="0" showErrorMessage="0" allowBlank="0" type="list">
      <formula1>"Pauschale,Nachweis,Unbekannt"</formula1>
    </dataValidation>
    <dataValidation sqref="C1503" showDropDown="0" showInputMessage="0" showErrorMessage="0" allowBlank="0" type="list">
      <formula1>"Pauschale,Nachweis,Unbekannt"</formula1>
    </dataValidation>
    <dataValidation sqref="C1504" showDropDown="0" showInputMessage="0" showErrorMessage="0" allowBlank="0" type="list">
      <formula1>"Pauschale,Nachweis,Unbekannt"</formula1>
    </dataValidation>
    <dataValidation sqref="C1505" showDropDown="0" showInputMessage="0" showErrorMessage="0" allowBlank="0" type="list">
      <formula1>"Pauschale,Nachweis,Unbekannt"</formula1>
    </dataValidation>
    <dataValidation sqref="C1506" showDropDown="0" showInputMessage="0" showErrorMessage="0" allowBlank="0" type="list">
      <formula1>"Pauschale,Nachweis,Unbekannt"</formula1>
    </dataValidation>
    <dataValidation sqref="C1507" showDropDown="0" showInputMessage="0" showErrorMessage="0" allowBlank="0" type="list">
      <formula1>"Pauschale,Nachweis,Unbekannt"</formula1>
    </dataValidation>
    <dataValidation sqref="C1508" showDropDown="0" showInputMessage="0" showErrorMessage="0" allowBlank="0" type="list">
      <formula1>"Pauschale,Nachweis,Unbekannt"</formula1>
    </dataValidation>
    <dataValidation sqref="C1509" showDropDown="0" showInputMessage="0" showErrorMessage="0" allowBlank="0" type="list">
      <formula1>"Pauschale,Nachweis,Unbekannt"</formula1>
    </dataValidation>
    <dataValidation sqref="C1510" showDropDown="0" showInputMessage="0" showErrorMessage="0" allowBlank="0" type="list">
      <formula1>"Pauschale,Nachweis,Unbekannt"</formula1>
    </dataValidation>
    <dataValidation sqref="C1511" showDropDown="0" showInputMessage="0" showErrorMessage="0" allowBlank="0" type="list">
      <formula1>"Pauschale,Nachweis,Unbekannt"</formula1>
    </dataValidation>
    <dataValidation sqref="C1512" showDropDown="0" showInputMessage="0" showErrorMessage="0" allowBlank="0" type="list">
      <formula1>"Pauschale,Nachweis,Unbekannt"</formula1>
    </dataValidation>
    <dataValidation sqref="C1513" showDropDown="0" showInputMessage="0" showErrorMessage="0" allowBlank="0" type="list">
      <formula1>"Pauschale,Nachweis,Unbekannt"</formula1>
    </dataValidation>
    <dataValidation sqref="C1514" showDropDown="0" showInputMessage="0" showErrorMessage="0" allowBlank="0" type="list">
      <formula1>"Pauschale,Nachweis,Unbekannt"</formula1>
    </dataValidation>
    <dataValidation sqref="C1515" showDropDown="0" showInputMessage="0" showErrorMessage="0" allowBlank="0" type="list">
      <formula1>"Pauschale,Nachweis,Unbekannt"</formula1>
    </dataValidation>
    <dataValidation sqref="C1516" showDropDown="0" showInputMessage="0" showErrorMessage="0" allowBlank="0" type="list">
      <formula1>"Pauschale,Nachweis,Unbekannt"</formula1>
    </dataValidation>
    <dataValidation sqref="C1517" showDropDown="0" showInputMessage="0" showErrorMessage="0" allowBlank="0" type="list">
      <formula1>"Pauschale,Nachweis,Unbekannt"</formula1>
    </dataValidation>
    <dataValidation sqref="C1518" showDropDown="0" showInputMessage="0" showErrorMessage="0" allowBlank="0" type="list">
      <formula1>"Pauschale,Nachweis,Unbekannt"</formula1>
    </dataValidation>
    <dataValidation sqref="C1519" showDropDown="0" showInputMessage="0" showErrorMessage="0" allowBlank="0" type="list">
      <formula1>"Pauschale,Nachweis,Unbekannt"</formula1>
    </dataValidation>
    <dataValidation sqref="C1520" showDropDown="0" showInputMessage="0" showErrorMessage="0" allowBlank="0" type="list">
      <formula1>"Pauschale,Nachweis,Unbekannt"</formula1>
    </dataValidation>
    <dataValidation sqref="C1521" showDropDown="0" showInputMessage="0" showErrorMessage="0" allowBlank="0" type="list">
      <formula1>"Pauschale,Nachweis,Unbekannt"</formula1>
    </dataValidation>
    <dataValidation sqref="C1522" showDropDown="0" showInputMessage="0" showErrorMessage="0" allowBlank="0" type="list">
      <formula1>"Pauschale,Nachweis,Unbekannt"</formula1>
    </dataValidation>
    <dataValidation sqref="C1523" showDropDown="0" showInputMessage="0" showErrorMessage="0" allowBlank="0" type="list">
      <formula1>"Pauschale,Nachweis,Unbekannt"</formula1>
    </dataValidation>
    <dataValidation sqref="C1524" showDropDown="0" showInputMessage="0" showErrorMessage="0" allowBlank="0" type="list">
      <formula1>"Pauschale,Nachweis,Unbekannt"</formula1>
    </dataValidation>
    <dataValidation sqref="C1525" showDropDown="0" showInputMessage="0" showErrorMessage="0" allowBlank="0" type="list">
      <formula1>"Pauschale,Nachweis,Unbekannt"</formula1>
    </dataValidation>
    <dataValidation sqref="C1526" showDropDown="0" showInputMessage="0" showErrorMessage="0" allowBlank="0" type="list">
      <formula1>"Pauschale,Nachweis,Unbekannt"</formula1>
    </dataValidation>
    <dataValidation sqref="C1527" showDropDown="0" showInputMessage="0" showErrorMessage="0" allowBlank="0" type="list">
      <formula1>"Pauschale,Nachweis,Unbekannt"</formula1>
    </dataValidation>
    <dataValidation sqref="C1528" showDropDown="0" showInputMessage="0" showErrorMessage="0" allowBlank="0" type="list">
      <formula1>"Pauschale,Nachweis,Unbekannt"</formula1>
    </dataValidation>
    <dataValidation sqref="C1529" showDropDown="0" showInputMessage="0" showErrorMessage="0" allowBlank="0" type="list">
      <formula1>"Pauschale,Nachweis,Unbekannt"</formula1>
    </dataValidation>
    <dataValidation sqref="C1530" showDropDown="0" showInputMessage="0" showErrorMessage="0" allowBlank="0" type="list">
      <formula1>"Pauschale,Nachweis,Unbekannt"</formula1>
    </dataValidation>
    <dataValidation sqref="C1531" showDropDown="0" showInputMessage="0" showErrorMessage="0" allowBlank="0" type="list">
      <formula1>"Pauschale,Nachweis,Unbekannt"</formula1>
    </dataValidation>
    <dataValidation sqref="C1532" showDropDown="0" showInputMessage="0" showErrorMessage="0" allowBlank="0" type="list">
      <formula1>"Pauschale,Nachweis,Unbekannt"</formula1>
    </dataValidation>
    <dataValidation sqref="C1533" showDropDown="0" showInputMessage="0" showErrorMessage="0" allowBlank="0" type="list">
      <formula1>"Pauschale,Nachweis,Unbekannt"</formula1>
    </dataValidation>
    <dataValidation sqref="C1534" showDropDown="0" showInputMessage="0" showErrorMessage="0" allowBlank="0" type="list">
      <formula1>"Pauschale,Nachweis,Unbekannt"</formula1>
    </dataValidation>
    <dataValidation sqref="C1535" showDropDown="0" showInputMessage="0" showErrorMessage="0" allowBlank="0" type="list">
      <formula1>"Pauschale,Nachweis,Unbekannt"</formula1>
    </dataValidation>
    <dataValidation sqref="C1536" showDropDown="0" showInputMessage="0" showErrorMessage="0" allowBlank="0" type="list">
      <formula1>"Pauschale,Nachweis,Unbekannt"</formula1>
    </dataValidation>
    <dataValidation sqref="C1537" showDropDown="0" showInputMessage="0" showErrorMessage="0" allowBlank="0" type="list">
      <formula1>"Pauschale,Nachweis,Unbekannt"</formula1>
    </dataValidation>
    <dataValidation sqref="C1538" showDropDown="0" showInputMessage="0" showErrorMessage="0" allowBlank="0" type="list">
      <formula1>"Pauschale,Nachweis,Unbekannt"</formula1>
    </dataValidation>
    <dataValidation sqref="C1539" showDropDown="0" showInputMessage="0" showErrorMessage="0" allowBlank="0" type="list">
      <formula1>"Pauschale,Nachweis,Unbekannt"</formula1>
    </dataValidation>
    <dataValidation sqref="C1540" showDropDown="0" showInputMessage="0" showErrorMessage="0" allowBlank="0" type="list">
      <formula1>"Pauschale,Nachweis,Unbekannt"</formula1>
    </dataValidation>
    <dataValidation sqref="C1541" showDropDown="0" showInputMessage="0" showErrorMessage="0" allowBlank="0" type="list">
      <formula1>"Pauschale,Nachweis,Unbekannt"</formula1>
    </dataValidation>
    <dataValidation sqref="C1542" showDropDown="0" showInputMessage="0" showErrorMessage="0" allowBlank="0" type="list">
      <formula1>"Pauschale,Nachweis,Unbekannt"</formula1>
    </dataValidation>
    <dataValidation sqref="C1543" showDropDown="0" showInputMessage="0" showErrorMessage="0" allowBlank="0" type="list">
      <formula1>"Pauschale,Nachweis,Unbekannt"</formula1>
    </dataValidation>
    <dataValidation sqref="C1544" showDropDown="0" showInputMessage="0" showErrorMessage="0" allowBlank="0" type="list">
      <formula1>"Pauschale,Nachweis,Unbekannt"</formula1>
    </dataValidation>
    <dataValidation sqref="C1545" showDropDown="0" showInputMessage="0" showErrorMessage="0" allowBlank="0" type="list">
      <formula1>"Pauschale,Nachweis,Unbekannt"</formula1>
    </dataValidation>
    <dataValidation sqref="C1546" showDropDown="0" showInputMessage="0" showErrorMessage="0" allowBlank="0" type="list">
      <formula1>"Pauschale,Nachweis,Unbekannt"</formula1>
    </dataValidation>
    <dataValidation sqref="C1547" showDropDown="0" showInputMessage="0" showErrorMessage="0" allowBlank="0" type="list">
      <formula1>"Pauschale,Nachweis,Unbekannt"</formula1>
    </dataValidation>
    <dataValidation sqref="C1548" showDropDown="0" showInputMessage="0" showErrorMessage="0" allowBlank="0" type="list">
      <formula1>"Pauschale,Nachweis,Unbekannt"</formula1>
    </dataValidation>
    <dataValidation sqref="C1549" showDropDown="0" showInputMessage="0" showErrorMessage="0" allowBlank="0" type="list">
      <formula1>"Pauschale,Nachweis,Unbekannt"</formula1>
    </dataValidation>
    <dataValidation sqref="C1550" showDropDown="0" showInputMessage="0" showErrorMessage="0" allowBlank="0" type="list">
      <formula1>"Pauschale,Nachweis,Unbekannt"</formula1>
    </dataValidation>
    <dataValidation sqref="C1551" showDropDown="0" showInputMessage="0" showErrorMessage="0" allowBlank="0" type="list">
      <formula1>"Pauschale,Nachweis,Unbekannt"</formula1>
    </dataValidation>
    <dataValidation sqref="C1552" showDropDown="0" showInputMessage="0" showErrorMessage="0" allowBlank="0" type="list">
      <formula1>"Pauschale,Nachweis,Unbekannt"</formula1>
    </dataValidation>
    <dataValidation sqref="C1553" showDropDown="0" showInputMessage="0" showErrorMessage="0" allowBlank="0" type="list">
      <formula1>"Pauschale,Nachweis,Unbekannt"</formula1>
    </dataValidation>
    <dataValidation sqref="C1554" showDropDown="0" showInputMessage="0" showErrorMessage="0" allowBlank="0" type="list">
      <formula1>"Pauschale,Nachweis,Unbekannt"</formula1>
    </dataValidation>
    <dataValidation sqref="C1555" showDropDown="0" showInputMessage="0" showErrorMessage="0" allowBlank="0" type="list">
      <formula1>"Pauschale,Nachweis,Unbekannt"</formula1>
    </dataValidation>
    <dataValidation sqref="C1556" showDropDown="0" showInputMessage="0" showErrorMessage="0" allowBlank="0" type="list">
      <formula1>"Pauschale,Nachweis,Unbekannt"</formula1>
    </dataValidation>
    <dataValidation sqref="C1557" showDropDown="0" showInputMessage="0" showErrorMessage="0" allowBlank="0" type="list">
      <formula1>"Pauschale,Nachweis,Unbekannt"</formula1>
    </dataValidation>
    <dataValidation sqref="C1558" showDropDown="0" showInputMessage="0" showErrorMessage="0" allowBlank="0" type="list">
      <formula1>"Pauschale,Nachweis,Unbekannt"</formula1>
    </dataValidation>
    <dataValidation sqref="C1559" showDropDown="0" showInputMessage="0" showErrorMessage="0" allowBlank="0" type="list">
      <formula1>"Pauschale,Nachweis,Unbekannt"</formula1>
    </dataValidation>
    <dataValidation sqref="C1560" showDropDown="0" showInputMessage="0" showErrorMessage="0" allowBlank="0" type="list">
      <formula1>"Pauschale,Nachweis,Unbekannt"</formula1>
    </dataValidation>
    <dataValidation sqref="C1561" showDropDown="0" showInputMessage="0" showErrorMessage="0" allowBlank="0" type="list">
      <formula1>"Pauschale,Nachweis,Unbekannt"</formula1>
    </dataValidation>
    <dataValidation sqref="C1562" showDropDown="0" showInputMessage="0" showErrorMessage="0" allowBlank="0" type="list">
      <formula1>"Pauschale,Nachweis,Unbekannt"</formula1>
    </dataValidation>
    <dataValidation sqref="C1563" showDropDown="0" showInputMessage="0" showErrorMessage="0" allowBlank="0" type="list">
      <formula1>"Pauschale,Nachweis,Unbekannt"</formula1>
    </dataValidation>
    <dataValidation sqref="C1564" showDropDown="0" showInputMessage="0" showErrorMessage="0" allowBlank="0" type="list">
      <formula1>"Pauschale,Nachweis,Unbekannt"</formula1>
    </dataValidation>
    <dataValidation sqref="C1565" showDropDown="0" showInputMessage="0" showErrorMessage="0" allowBlank="0" type="list">
      <formula1>"Pauschale,Nachweis,Unbekannt"</formula1>
    </dataValidation>
    <dataValidation sqref="C1566" showDropDown="0" showInputMessage="0" showErrorMessage="0" allowBlank="0" type="list">
      <formula1>"Pauschale,Nachweis,Unbekannt"</formula1>
    </dataValidation>
    <dataValidation sqref="C1567" showDropDown="0" showInputMessage="0" showErrorMessage="0" allowBlank="0" type="list">
      <formula1>"Pauschale,Nachweis,Unbekannt"</formula1>
    </dataValidation>
    <dataValidation sqref="C1568" showDropDown="0" showInputMessage="0" showErrorMessage="0" allowBlank="0" type="list">
      <formula1>"Pauschale,Nachweis,Unbekannt"</formula1>
    </dataValidation>
    <dataValidation sqref="C1569" showDropDown="0" showInputMessage="0" showErrorMessage="0" allowBlank="0" type="list">
      <formula1>"Pauschale,Nachweis,Unbekannt"</formula1>
    </dataValidation>
    <dataValidation sqref="C1570" showDropDown="0" showInputMessage="0" showErrorMessage="0" allowBlank="0" type="list">
      <formula1>"Pauschale,Nachweis,Unbekannt"</formula1>
    </dataValidation>
    <dataValidation sqref="C1571" showDropDown="0" showInputMessage="0" showErrorMessage="0" allowBlank="0" type="list">
      <formula1>"Pauschale,Nachweis,Unbekannt"</formula1>
    </dataValidation>
    <dataValidation sqref="C1572" showDropDown="0" showInputMessage="0" showErrorMessage="0" allowBlank="0" type="list">
      <formula1>"Pauschale,Nachweis,Unbekannt"</formula1>
    </dataValidation>
    <dataValidation sqref="C1573" showDropDown="0" showInputMessage="0" showErrorMessage="0" allowBlank="0" type="list">
      <formula1>"Pauschale,Nachweis,Unbekannt"</formula1>
    </dataValidation>
    <dataValidation sqref="C1574" showDropDown="0" showInputMessage="0" showErrorMessage="0" allowBlank="0" type="list">
      <formula1>"Pauschale,Nachweis,Unbekannt"</formula1>
    </dataValidation>
    <dataValidation sqref="C1575" showDropDown="0" showInputMessage="0" showErrorMessage="0" allowBlank="0" type="list">
      <formula1>"Pauschale,Nachweis,Unbekannt"</formula1>
    </dataValidation>
    <dataValidation sqref="C1576" showDropDown="0" showInputMessage="0" showErrorMessage="0" allowBlank="0" type="list">
      <formula1>"Pauschale,Nachweis,Unbekannt"</formula1>
    </dataValidation>
    <dataValidation sqref="C1577" showDropDown="0" showInputMessage="0" showErrorMessage="0" allowBlank="0" type="list">
      <formula1>"Pauschale,Nachweis,Unbekannt"</formula1>
    </dataValidation>
    <dataValidation sqref="C1578" showDropDown="0" showInputMessage="0" showErrorMessage="0" allowBlank="0" type="list">
      <formula1>"Pauschale,Nachweis,Unbekannt"</formula1>
    </dataValidation>
    <dataValidation sqref="C1579" showDropDown="0" showInputMessage="0" showErrorMessage="0" allowBlank="0" type="list">
      <formula1>"Pauschale,Nachweis,Unbekannt"</formula1>
    </dataValidation>
    <dataValidation sqref="C1580" showDropDown="0" showInputMessage="0" showErrorMessage="0" allowBlank="0" type="list">
      <formula1>"Pauschale,Nachweis,Unbekannt"</formula1>
    </dataValidation>
    <dataValidation sqref="C1581" showDropDown="0" showInputMessage="0" showErrorMessage="0" allowBlank="0" type="list">
      <formula1>"Pauschale,Nachweis,Unbekannt"</formula1>
    </dataValidation>
    <dataValidation sqref="C1582" showDropDown="0" showInputMessage="0" showErrorMessage="0" allowBlank="0" type="list">
      <formula1>"Pauschale,Nachweis,Unbekannt"</formula1>
    </dataValidation>
    <dataValidation sqref="C1583" showDropDown="0" showInputMessage="0" showErrorMessage="0" allowBlank="0" type="list">
      <formula1>"Pauschale,Nachweis,Unbekannt"</formula1>
    </dataValidation>
    <dataValidation sqref="C1584" showDropDown="0" showInputMessage="0" showErrorMessage="0" allowBlank="0" type="list">
      <formula1>"Pauschale,Nachweis,Unbekannt"</formula1>
    </dataValidation>
    <dataValidation sqref="C1585" showDropDown="0" showInputMessage="0" showErrorMessage="0" allowBlank="0" type="list">
      <formula1>"Pauschale,Nachweis,Unbekannt"</formula1>
    </dataValidation>
    <dataValidation sqref="C1586" showDropDown="0" showInputMessage="0" showErrorMessage="0" allowBlank="0" type="list">
      <formula1>"Pauschale,Nachweis,Unbekannt"</formula1>
    </dataValidation>
    <dataValidation sqref="C1587" showDropDown="0" showInputMessage="0" showErrorMessage="0" allowBlank="0" type="list">
      <formula1>"Pauschale,Nachweis,Unbekannt"</formula1>
    </dataValidation>
    <dataValidation sqref="C1588" showDropDown="0" showInputMessage="0" showErrorMessage="0" allowBlank="0" type="list">
      <formula1>"Pauschale,Nachweis,Unbekannt"</formula1>
    </dataValidation>
    <dataValidation sqref="C1589" showDropDown="0" showInputMessage="0" showErrorMessage="0" allowBlank="0" type="list">
      <formula1>"Pauschale,Nachweis,Unbekannt"</formula1>
    </dataValidation>
    <dataValidation sqref="C1590" showDropDown="0" showInputMessage="0" showErrorMessage="0" allowBlank="0" type="list">
      <formula1>"Pauschale,Nachweis,Unbekannt"</formula1>
    </dataValidation>
    <dataValidation sqref="C1591" showDropDown="0" showInputMessage="0" showErrorMessage="0" allowBlank="0" type="list">
      <formula1>"Pauschale,Nachweis,Unbekannt"</formula1>
    </dataValidation>
    <dataValidation sqref="C1592" showDropDown="0" showInputMessage="0" showErrorMessage="0" allowBlank="0" type="list">
      <formula1>"Pauschale,Nachweis,Unbekannt"</formula1>
    </dataValidation>
    <dataValidation sqref="C1593" showDropDown="0" showInputMessage="0" showErrorMessage="0" allowBlank="0" type="list">
      <formula1>"Pauschale,Nachweis,Unbekannt"</formula1>
    </dataValidation>
    <dataValidation sqref="C1594" showDropDown="0" showInputMessage="0" showErrorMessage="0" allowBlank="0" type="list">
      <formula1>"Pauschale,Nachweis,Unbekannt"</formula1>
    </dataValidation>
    <dataValidation sqref="C1595" showDropDown="0" showInputMessage="0" showErrorMessage="0" allowBlank="0" type="list">
      <formula1>"Pauschale,Nachweis,Unbekannt"</formula1>
    </dataValidation>
    <dataValidation sqref="C1596" showDropDown="0" showInputMessage="0" showErrorMessage="0" allowBlank="0" type="list">
      <formula1>"Pauschale,Nachweis,Unbekannt"</formula1>
    </dataValidation>
    <dataValidation sqref="C1597" showDropDown="0" showInputMessage="0" showErrorMessage="0" allowBlank="0" type="list">
      <formula1>"Pauschale,Nachweis,Unbekannt"</formula1>
    </dataValidation>
    <dataValidation sqref="C1598" showDropDown="0" showInputMessage="0" showErrorMessage="0" allowBlank="0" type="list">
      <formula1>"Pauschale,Nachweis,Unbekannt"</formula1>
    </dataValidation>
    <dataValidation sqref="C1599" showDropDown="0" showInputMessage="0" showErrorMessage="0" allowBlank="0" type="list">
      <formula1>"Pauschale,Nachweis,Unbekannt"</formula1>
    </dataValidation>
    <dataValidation sqref="C1600" showDropDown="0" showInputMessage="0" showErrorMessage="0" allowBlank="0" type="list">
      <formula1>"Pauschale,Nachweis,Unbekannt"</formula1>
    </dataValidation>
    <dataValidation sqref="C1601" showDropDown="0" showInputMessage="0" showErrorMessage="0" allowBlank="0" type="list">
      <formula1>"Pauschale,Nachweis,Unbekannt"</formula1>
    </dataValidation>
    <dataValidation sqref="C1602" showDropDown="0" showInputMessage="0" showErrorMessage="0" allowBlank="0" type="list">
      <formula1>"Pauschale,Nachweis,Unbekannt"</formula1>
    </dataValidation>
    <dataValidation sqref="C1603" showDropDown="0" showInputMessage="0" showErrorMessage="0" allowBlank="0" type="list">
      <formula1>"Pauschale,Nachweis,Unbekannt"</formula1>
    </dataValidation>
    <dataValidation sqref="C1604" showDropDown="0" showInputMessage="0" showErrorMessage="0" allowBlank="0" type="list">
      <formula1>"Pauschale,Nachweis,Unbekannt"</formula1>
    </dataValidation>
    <dataValidation sqref="C1605" showDropDown="0" showInputMessage="0" showErrorMessage="0" allowBlank="0" type="list">
      <formula1>"Pauschale,Nachweis,Unbekannt"</formula1>
    </dataValidation>
    <dataValidation sqref="C1606" showDropDown="0" showInputMessage="0" showErrorMessage="0" allowBlank="0" type="list">
      <formula1>"Pauschale,Nachweis,Unbekannt"</formula1>
    </dataValidation>
    <dataValidation sqref="C1607" showDropDown="0" showInputMessage="0" showErrorMessage="0" allowBlank="0" type="list">
      <formula1>"Pauschale,Nachweis,Unbekannt"</formula1>
    </dataValidation>
    <dataValidation sqref="C1608" showDropDown="0" showInputMessage="0" showErrorMessage="0" allowBlank="0" type="list">
      <formula1>"Pauschale,Nachweis,Unbekannt"</formula1>
    </dataValidation>
    <dataValidation sqref="C1609" showDropDown="0" showInputMessage="0" showErrorMessage="0" allowBlank="0" type="list">
      <formula1>"Pauschale,Nachweis,Unbekannt"</formula1>
    </dataValidation>
    <dataValidation sqref="C1610" showDropDown="0" showInputMessage="0" showErrorMessage="0" allowBlank="0" type="list">
      <formula1>"Pauschale,Nachweis,Unbekannt"</formula1>
    </dataValidation>
    <dataValidation sqref="C1611" showDropDown="0" showInputMessage="0" showErrorMessage="0" allowBlank="0" type="list">
      <formula1>"Pauschale,Nachweis,Unbekannt"</formula1>
    </dataValidation>
    <dataValidation sqref="C1612" showDropDown="0" showInputMessage="0" showErrorMessage="0" allowBlank="0" type="list">
      <formula1>"Pauschale,Nachweis,Unbekannt"</formula1>
    </dataValidation>
    <dataValidation sqref="C1613" showDropDown="0" showInputMessage="0" showErrorMessage="0" allowBlank="0" type="list">
      <formula1>"Pauschale,Nachweis,Unbekannt"</formula1>
    </dataValidation>
    <dataValidation sqref="C1614" showDropDown="0" showInputMessage="0" showErrorMessage="0" allowBlank="0" type="list">
      <formula1>"Pauschale,Nachweis,Unbekannt"</formula1>
    </dataValidation>
    <dataValidation sqref="C1615" showDropDown="0" showInputMessage="0" showErrorMessage="0" allowBlank="0" type="list">
      <formula1>"Pauschale,Nachweis,Unbekannt"</formula1>
    </dataValidation>
    <dataValidation sqref="C1616" showDropDown="0" showInputMessage="0" showErrorMessage="0" allowBlank="0" type="list">
      <formula1>"Pauschale,Nachweis,Unbekannt"</formula1>
    </dataValidation>
    <dataValidation sqref="C1617" showDropDown="0" showInputMessage="0" showErrorMessage="0" allowBlank="0" type="list">
      <formula1>"Pauschale,Nachweis,Unbekannt"</formula1>
    </dataValidation>
    <dataValidation sqref="C1618" showDropDown="0" showInputMessage="0" showErrorMessage="0" allowBlank="0" type="list">
      <formula1>"Pauschale,Nachweis,Unbekannt"</formula1>
    </dataValidation>
    <dataValidation sqref="C1619" showDropDown="0" showInputMessage="0" showErrorMessage="0" allowBlank="0" type="list">
      <formula1>"Pauschale,Nachweis,Unbekannt"</formula1>
    </dataValidation>
    <dataValidation sqref="C1620" showDropDown="0" showInputMessage="0" showErrorMessage="0" allowBlank="0" type="list">
      <formula1>"Pauschale,Nachweis,Unbekannt"</formula1>
    </dataValidation>
    <dataValidation sqref="C1621" showDropDown="0" showInputMessage="0" showErrorMessage="0" allowBlank="0" type="list">
      <formula1>"Pauschale,Nachweis,Unbekannt"</formula1>
    </dataValidation>
    <dataValidation sqref="C1622" showDropDown="0" showInputMessage="0" showErrorMessage="0" allowBlank="0" type="list">
      <formula1>"Pauschale,Nachweis,Unbekannt"</formula1>
    </dataValidation>
    <dataValidation sqref="C1623" showDropDown="0" showInputMessage="0" showErrorMessage="0" allowBlank="0" type="list">
      <formula1>"Pauschale,Nachweis,Unbekannt"</formula1>
    </dataValidation>
    <dataValidation sqref="C1624" showDropDown="0" showInputMessage="0" showErrorMessage="0" allowBlank="0" type="list">
      <formula1>"Pauschale,Nachweis,Unbekannt"</formula1>
    </dataValidation>
    <dataValidation sqref="C1625" showDropDown="0" showInputMessage="0" showErrorMessage="0" allowBlank="0" type="list">
      <formula1>"Pauschale,Nachweis,Unbekannt"</formula1>
    </dataValidation>
    <dataValidation sqref="C1626" showDropDown="0" showInputMessage="0" showErrorMessage="0" allowBlank="0" type="list">
      <formula1>"Pauschale,Nachweis,Unbekannt"</formula1>
    </dataValidation>
    <dataValidation sqref="C1627" showDropDown="0" showInputMessage="0" showErrorMessage="0" allowBlank="0" type="list">
      <formula1>"Pauschale,Nachweis,Unbekannt"</formula1>
    </dataValidation>
    <dataValidation sqref="C1628" showDropDown="0" showInputMessage="0" showErrorMessage="0" allowBlank="0" type="list">
      <formula1>"Pauschale,Nachweis,Unbekannt"</formula1>
    </dataValidation>
    <dataValidation sqref="C1629" showDropDown="0" showInputMessage="0" showErrorMessage="0" allowBlank="0" type="list">
      <formula1>"Pauschale,Nachweis,Unbekannt"</formula1>
    </dataValidation>
    <dataValidation sqref="C1630" showDropDown="0" showInputMessage="0" showErrorMessage="0" allowBlank="0" type="list">
      <formula1>"Pauschale,Nachweis,Unbekannt"</formula1>
    </dataValidation>
    <dataValidation sqref="C1631" showDropDown="0" showInputMessage="0" showErrorMessage="0" allowBlank="0" type="list">
      <formula1>"Pauschale,Nachweis,Unbekannt"</formula1>
    </dataValidation>
    <dataValidation sqref="C1632" showDropDown="0" showInputMessage="0" showErrorMessage="0" allowBlank="0" type="list">
      <formula1>"Pauschale,Nachweis,Unbekannt"</formula1>
    </dataValidation>
    <dataValidation sqref="C1633" showDropDown="0" showInputMessage="0" showErrorMessage="0" allowBlank="0" type="list">
      <formula1>"Pauschale,Nachweis,Unbekannt"</formula1>
    </dataValidation>
    <dataValidation sqref="C1634" showDropDown="0" showInputMessage="0" showErrorMessage="0" allowBlank="0" type="list">
      <formula1>"Pauschale,Nachweis,Unbekannt"</formula1>
    </dataValidation>
    <dataValidation sqref="C1635" showDropDown="0" showInputMessage="0" showErrorMessage="0" allowBlank="0" type="list">
      <formula1>"Pauschale,Nachweis,Unbekannt"</formula1>
    </dataValidation>
    <dataValidation sqref="C1636" showDropDown="0" showInputMessage="0" showErrorMessage="0" allowBlank="0" type="list">
      <formula1>"Pauschale,Nachweis,Unbekannt"</formula1>
    </dataValidation>
    <dataValidation sqref="C1637" showDropDown="0" showInputMessage="0" showErrorMessage="0" allowBlank="0" type="list">
      <formula1>"Pauschale,Nachweis,Unbekannt"</formula1>
    </dataValidation>
    <dataValidation sqref="C1638" showDropDown="0" showInputMessage="0" showErrorMessage="0" allowBlank="0" type="list">
      <formula1>"Pauschale,Nachweis,Unbekannt"</formula1>
    </dataValidation>
    <dataValidation sqref="C1639" showDropDown="0" showInputMessage="0" showErrorMessage="0" allowBlank="0" type="list">
      <formula1>"Pauschale,Nachweis,Unbekannt"</formula1>
    </dataValidation>
    <dataValidation sqref="C1640" showDropDown="0" showInputMessage="0" showErrorMessage="0" allowBlank="0" type="list">
      <formula1>"Pauschale,Nachweis,Unbekannt"</formula1>
    </dataValidation>
    <dataValidation sqref="C1641" showDropDown="0" showInputMessage="0" showErrorMessage="0" allowBlank="0" type="list">
      <formula1>"Pauschale,Nachweis,Unbekannt"</formula1>
    </dataValidation>
    <dataValidation sqref="C1642" showDropDown="0" showInputMessage="0" showErrorMessage="0" allowBlank="0" type="list">
      <formula1>"Pauschale,Nachweis,Unbekannt"</formula1>
    </dataValidation>
    <dataValidation sqref="C1643" showDropDown="0" showInputMessage="0" showErrorMessage="0" allowBlank="0" type="list">
      <formula1>"Pauschale,Nachweis,Unbekannt"</formula1>
    </dataValidation>
    <dataValidation sqref="C1644" showDropDown="0" showInputMessage="0" showErrorMessage="0" allowBlank="0" type="list">
      <formula1>"Pauschale,Nachweis,Unbekannt"</formula1>
    </dataValidation>
    <dataValidation sqref="C1645" showDropDown="0" showInputMessage="0" showErrorMessage="0" allowBlank="0" type="list">
      <formula1>"Pauschale,Nachweis,Unbekannt"</formula1>
    </dataValidation>
    <dataValidation sqref="C1646" showDropDown="0" showInputMessage="0" showErrorMessage="0" allowBlank="0" type="list">
      <formula1>"Pauschale,Nachweis,Unbekannt"</formula1>
    </dataValidation>
    <dataValidation sqref="C1647" showDropDown="0" showInputMessage="0" showErrorMessage="0" allowBlank="0" type="list">
      <formula1>"Pauschale,Nachweis,Unbekannt"</formula1>
    </dataValidation>
    <dataValidation sqref="C1648" showDropDown="0" showInputMessage="0" showErrorMessage="0" allowBlank="0" type="list">
      <formula1>"Pauschale,Nachweis,Unbekannt"</formula1>
    </dataValidation>
    <dataValidation sqref="C1649" showDropDown="0" showInputMessage="0" showErrorMessage="0" allowBlank="0" type="list">
      <formula1>"Pauschale,Nachweis,Unbekannt"</formula1>
    </dataValidation>
    <dataValidation sqref="C1650" showDropDown="0" showInputMessage="0" showErrorMessage="0" allowBlank="0" type="list">
      <formula1>"Pauschale,Nachweis,Unbekannt"</formula1>
    </dataValidation>
    <dataValidation sqref="C1651" showDropDown="0" showInputMessage="0" showErrorMessage="0" allowBlank="0" type="list">
      <formula1>"Pauschale,Nachweis,Unbekannt"</formula1>
    </dataValidation>
    <dataValidation sqref="C1652" showDropDown="0" showInputMessage="0" showErrorMessage="0" allowBlank="0" type="list">
      <formula1>"Pauschale,Nachweis,Unbekannt"</formula1>
    </dataValidation>
    <dataValidation sqref="C1653" showDropDown="0" showInputMessage="0" showErrorMessage="0" allowBlank="0" type="list">
      <formula1>"Pauschale,Nachweis,Unbekannt"</formula1>
    </dataValidation>
    <dataValidation sqref="C1654" showDropDown="0" showInputMessage="0" showErrorMessage="0" allowBlank="0" type="list">
      <formula1>"Pauschale,Nachweis,Unbekannt"</formula1>
    </dataValidation>
    <dataValidation sqref="C1655" showDropDown="0" showInputMessage="0" showErrorMessage="0" allowBlank="0" type="list">
      <formula1>"Pauschale,Nachweis,Unbekannt"</formula1>
    </dataValidation>
    <dataValidation sqref="C1656" showDropDown="0" showInputMessage="0" showErrorMessage="0" allowBlank="0" type="list">
      <formula1>"Pauschale,Nachweis,Unbekannt"</formula1>
    </dataValidation>
    <dataValidation sqref="C1657" showDropDown="0" showInputMessage="0" showErrorMessage="0" allowBlank="0" type="list">
      <formula1>"Pauschale,Nachweis,Unbekannt"</formula1>
    </dataValidation>
    <dataValidation sqref="C1658" showDropDown="0" showInputMessage="0" showErrorMessage="0" allowBlank="0" type="list">
      <formula1>"Pauschale,Nachweis,Unbekannt"</formula1>
    </dataValidation>
    <dataValidation sqref="C1659" showDropDown="0" showInputMessage="0" showErrorMessage="0" allowBlank="0" type="list">
      <formula1>"Pauschale,Nachweis,Unbekannt"</formula1>
    </dataValidation>
    <dataValidation sqref="C1660" showDropDown="0" showInputMessage="0" showErrorMessage="0" allowBlank="0" type="list">
      <formula1>"Pauschale,Nachweis,Unbekannt"</formula1>
    </dataValidation>
    <dataValidation sqref="C1661" showDropDown="0" showInputMessage="0" showErrorMessage="0" allowBlank="0" type="list">
      <formula1>"Pauschale,Nachweis,Unbekannt"</formula1>
    </dataValidation>
    <dataValidation sqref="C1662" showDropDown="0" showInputMessage="0" showErrorMessage="0" allowBlank="0" type="list">
      <formula1>"Pauschale,Nachweis,Unbekannt"</formula1>
    </dataValidation>
    <dataValidation sqref="C1663" showDropDown="0" showInputMessage="0" showErrorMessage="0" allowBlank="0" type="list">
      <formula1>"Pauschale,Nachweis,Unbekannt"</formula1>
    </dataValidation>
    <dataValidation sqref="C1664" showDropDown="0" showInputMessage="0" showErrorMessage="0" allowBlank="0" type="list">
      <formula1>"Pauschale,Nachweis,Unbekannt"</formula1>
    </dataValidation>
    <dataValidation sqref="C1665" showDropDown="0" showInputMessage="0" showErrorMessage="0" allowBlank="0" type="list">
      <formula1>"Pauschale,Nachweis,Unbekannt"</formula1>
    </dataValidation>
    <dataValidation sqref="C1666" showDropDown="0" showInputMessage="0" showErrorMessage="0" allowBlank="0" type="list">
      <formula1>"Pauschale,Nachweis,Unbekannt"</formula1>
    </dataValidation>
    <dataValidation sqref="C1667" showDropDown="0" showInputMessage="0" showErrorMessage="0" allowBlank="0" type="list">
      <formula1>"Pauschale,Nachweis,Unbekannt"</formula1>
    </dataValidation>
    <dataValidation sqref="C1668" showDropDown="0" showInputMessage="0" showErrorMessage="0" allowBlank="0" type="list">
      <formula1>"Pauschale,Nachweis,Unbekannt"</formula1>
    </dataValidation>
    <dataValidation sqref="C1669" showDropDown="0" showInputMessage="0" showErrorMessage="0" allowBlank="0" type="list">
      <formula1>"Pauschale,Nachweis,Unbekannt"</formula1>
    </dataValidation>
    <dataValidation sqref="C1670" showDropDown="0" showInputMessage="0" showErrorMessage="0" allowBlank="0" type="list">
      <formula1>"Pauschale,Nachweis,Unbekannt"</formula1>
    </dataValidation>
    <dataValidation sqref="C1671" showDropDown="0" showInputMessage="0" showErrorMessage="0" allowBlank="0" type="list">
      <formula1>"Pauschale,Nachweis,Unbekannt"</formula1>
    </dataValidation>
    <dataValidation sqref="C1672" showDropDown="0" showInputMessage="0" showErrorMessage="0" allowBlank="0" type="list">
      <formula1>"Pauschale,Nachweis,Unbekannt"</formula1>
    </dataValidation>
    <dataValidation sqref="C1673" showDropDown="0" showInputMessage="0" showErrorMessage="0" allowBlank="0" type="list">
      <formula1>"Pauschale,Nachweis,Unbekannt"</formula1>
    </dataValidation>
    <dataValidation sqref="C1674" showDropDown="0" showInputMessage="0" showErrorMessage="0" allowBlank="0" type="list">
      <formula1>"Pauschale,Nachweis,Unbekannt"</formula1>
    </dataValidation>
    <dataValidation sqref="C1675" showDropDown="0" showInputMessage="0" showErrorMessage="0" allowBlank="0" type="list">
      <formula1>"Pauschale,Nachweis,Unbekannt"</formula1>
    </dataValidation>
    <dataValidation sqref="C1676" showDropDown="0" showInputMessage="0" showErrorMessage="0" allowBlank="0" type="list">
      <formula1>"Pauschale,Nachweis,Unbekannt"</formula1>
    </dataValidation>
    <dataValidation sqref="C1677" showDropDown="0" showInputMessage="0" showErrorMessage="0" allowBlank="0" type="list">
      <formula1>"Pauschale,Nachweis,Unbekannt"</formula1>
    </dataValidation>
    <dataValidation sqref="C1678" showDropDown="0" showInputMessage="0" showErrorMessage="0" allowBlank="0" type="list">
      <formula1>"Pauschale,Nachweis,Unbekannt"</formula1>
    </dataValidation>
    <dataValidation sqref="C1679" showDropDown="0" showInputMessage="0" showErrorMessage="0" allowBlank="0" type="list">
      <formula1>"Pauschale,Nachweis,Unbekannt"</formula1>
    </dataValidation>
    <dataValidation sqref="C1680" showDropDown="0" showInputMessage="0" showErrorMessage="0" allowBlank="0" type="list">
      <formula1>"Pauschale,Nachweis,Unbekannt"</formula1>
    </dataValidation>
    <dataValidation sqref="C1681" showDropDown="0" showInputMessage="0" showErrorMessage="0" allowBlank="0" type="list">
      <formula1>"Pauschale,Nachweis,Unbekannt"</formula1>
    </dataValidation>
    <dataValidation sqref="C1682" showDropDown="0" showInputMessage="0" showErrorMessage="0" allowBlank="0" type="list">
      <formula1>"Pauschale,Nachweis,Unbekannt"</formula1>
    </dataValidation>
    <dataValidation sqref="C1683" showDropDown="0" showInputMessage="0" showErrorMessage="0" allowBlank="0" type="list">
      <formula1>"Pauschale,Nachweis,Unbekannt"</formula1>
    </dataValidation>
    <dataValidation sqref="C1684" showDropDown="0" showInputMessage="0" showErrorMessage="0" allowBlank="0" type="list">
      <formula1>"Pauschale,Nachweis,Unbekannt"</formula1>
    </dataValidation>
    <dataValidation sqref="C1685" showDropDown="0" showInputMessage="0" showErrorMessage="0" allowBlank="0" type="list">
      <formula1>"Pauschale,Nachweis,Unbekannt"</formula1>
    </dataValidation>
    <dataValidation sqref="C1686" showDropDown="0" showInputMessage="0" showErrorMessage="0" allowBlank="0" type="list">
      <formula1>"Pauschale,Nachweis,Unbekannt"</formula1>
    </dataValidation>
    <dataValidation sqref="C1687" showDropDown="0" showInputMessage="0" showErrorMessage="0" allowBlank="0" type="list">
      <formula1>"Pauschale,Nachweis,Unbekannt"</formula1>
    </dataValidation>
    <dataValidation sqref="C1688" showDropDown="0" showInputMessage="0" showErrorMessage="0" allowBlank="0" type="list">
      <formula1>"Pauschale,Nachweis,Unbekannt"</formula1>
    </dataValidation>
    <dataValidation sqref="C1689" showDropDown="0" showInputMessage="0" showErrorMessage="0" allowBlank="0" type="list">
      <formula1>"Pauschale,Nachweis,Unbekannt"</formula1>
    </dataValidation>
    <dataValidation sqref="C1690" showDropDown="0" showInputMessage="0" showErrorMessage="0" allowBlank="0" type="list">
      <formula1>"Pauschale,Nachweis,Unbekannt"</formula1>
    </dataValidation>
    <dataValidation sqref="C1691" showDropDown="0" showInputMessage="0" showErrorMessage="0" allowBlank="0" type="list">
      <formula1>"Pauschale,Nachweis,Unbekannt"</formula1>
    </dataValidation>
    <dataValidation sqref="C1692" showDropDown="0" showInputMessage="0" showErrorMessage="0" allowBlank="0" type="list">
      <formula1>"Pauschale,Nachweis,Unbekannt"</formula1>
    </dataValidation>
    <dataValidation sqref="C1693" showDropDown="0" showInputMessage="0" showErrorMessage="0" allowBlank="0" type="list">
      <formula1>"Pauschale,Nachweis,Unbekannt"</formula1>
    </dataValidation>
    <dataValidation sqref="C1694" showDropDown="0" showInputMessage="0" showErrorMessage="0" allowBlank="0" type="list">
      <formula1>"Pauschale,Nachweis,Unbekannt"</formula1>
    </dataValidation>
    <dataValidation sqref="C1695" showDropDown="0" showInputMessage="0" showErrorMessage="0" allowBlank="0" type="list">
      <formula1>"Pauschale,Nachweis,Unbekannt"</formula1>
    </dataValidation>
    <dataValidation sqref="C1696" showDropDown="0" showInputMessage="0" showErrorMessage="0" allowBlank="0" type="list">
      <formula1>"Pauschale,Nachweis,Unbekannt"</formula1>
    </dataValidation>
    <dataValidation sqref="C1697" showDropDown="0" showInputMessage="0" showErrorMessage="0" allowBlank="0" type="list">
      <formula1>"Pauschale,Nachweis,Unbekannt"</formula1>
    </dataValidation>
    <dataValidation sqref="C1698" showDropDown="0" showInputMessage="0" showErrorMessage="0" allowBlank="0" type="list">
      <formula1>"Pauschale,Nachweis,Unbekannt"</formula1>
    </dataValidation>
    <dataValidation sqref="C1699" showDropDown="0" showInputMessage="0" showErrorMessage="0" allowBlank="0" type="list">
      <formula1>"Pauschale,Nachweis,Unbekannt"</formula1>
    </dataValidation>
    <dataValidation sqref="C1700" showDropDown="0" showInputMessage="0" showErrorMessage="0" allowBlank="0" type="list">
      <formula1>"Pauschale,Nachweis,Unbekannt"</formula1>
    </dataValidation>
    <dataValidation sqref="C1701" showDropDown="0" showInputMessage="0" showErrorMessage="0" allowBlank="0" type="list">
      <formula1>"Pauschale,Nachweis,Unbekannt"</formula1>
    </dataValidation>
    <dataValidation sqref="C1702" showDropDown="0" showInputMessage="0" showErrorMessage="0" allowBlank="0" type="list">
      <formula1>"Pauschale,Nachweis,Unbekannt"</formula1>
    </dataValidation>
    <dataValidation sqref="C1703" showDropDown="0" showInputMessage="0" showErrorMessage="0" allowBlank="0" type="list">
      <formula1>"Pauschale,Nachweis,Unbekannt"</formula1>
    </dataValidation>
    <dataValidation sqref="C1704" showDropDown="0" showInputMessage="0" showErrorMessage="0" allowBlank="0" type="list">
      <formula1>"Pauschale,Nachweis,Unbekannt"</formula1>
    </dataValidation>
    <dataValidation sqref="C1705" showDropDown="0" showInputMessage="0" showErrorMessage="0" allowBlank="0" type="list">
      <formula1>"Pauschale,Nachweis,Unbekannt"</formula1>
    </dataValidation>
    <dataValidation sqref="C1706" showDropDown="0" showInputMessage="0" showErrorMessage="0" allowBlank="0" type="list">
      <formula1>"Pauschale,Nachweis,Unbekannt"</formula1>
    </dataValidation>
    <dataValidation sqref="C1707" showDropDown="0" showInputMessage="0" showErrorMessage="0" allowBlank="0" type="list">
      <formula1>"Pauschale,Nachweis,Unbekannt"</formula1>
    </dataValidation>
    <dataValidation sqref="C1708" showDropDown="0" showInputMessage="0" showErrorMessage="0" allowBlank="0" type="list">
      <formula1>"Pauschale,Nachweis,Unbekannt"</formula1>
    </dataValidation>
    <dataValidation sqref="C1709" showDropDown="0" showInputMessage="0" showErrorMessage="0" allowBlank="0" type="list">
      <formula1>"Pauschale,Nachweis,Unbekannt"</formula1>
    </dataValidation>
    <dataValidation sqref="C1710" showDropDown="0" showInputMessage="0" showErrorMessage="0" allowBlank="0" type="list">
      <formula1>"Pauschale,Nachweis,Unbekannt"</formula1>
    </dataValidation>
    <dataValidation sqref="C1711" showDropDown="0" showInputMessage="0" showErrorMessage="0" allowBlank="0" type="list">
      <formula1>"Pauschale,Nachweis,Unbekannt"</formula1>
    </dataValidation>
    <dataValidation sqref="C1712" showDropDown="0" showInputMessage="0" showErrorMessage="0" allowBlank="0" type="list">
      <formula1>"Pauschale,Nachweis,Unbekannt"</formula1>
    </dataValidation>
    <dataValidation sqref="C1713" showDropDown="0" showInputMessage="0" showErrorMessage="0" allowBlank="0" type="list">
      <formula1>"Pauschale,Nachweis,Unbekannt"</formula1>
    </dataValidation>
    <dataValidation sqref="C1714" showDropDown="0" showInputMessage="0" showErrorMessage="0" allowBlank="0" type="list">
      <formula1>"Pauschale,Nachweis,Unbekannt"</formula1>
    </dataValidation>
    <dataValidation sqref="C1715" showDropDown="0" showInputMessage="0" showErrorMessage="0" allowBlank="0" type="list">
      <formula1>"Pauschale,Nachweis,Unbekannt"</formula1>
    </dataValidation>
    <dataValidation sqref="C1716" showDropDown="0" showInputMessage="0" showErrorMessage="0" allowBlank="0" type="list">
      <formula1>"Pauschale,Nachweis,Unbekannt"</formula1>
    </dataValidation>
    <dataValidation sqref="C1717" showDropDown="0" showInputMessage="0" showErrorMessage="0" allowBlank="0" type="list">
      <formula1>"Pauschale,Nachweis,Unbekannt"</formula1>
    </dataValidation>
    <dataValidation sqref="C1718" showDropDown="0" showInputMessage="0" showErrorMessage="0" allowBlank="0" type="list">
      <formula1>"Pauschale,Nachweis,Unbekannt"</formula1>
    </dataValidation>
    <dataValidation sqref="C1719" showDropDown="0" showInputMessage="0" showErrorMessage="0" allowBlank="0" type="list">
      <formula1>"Pauschale,Nachweis,Unbekannt"</formula1>
    </dataValidation>
    <dataValidation sqref="C1720" showDropDown="0" showInputMessage="0" showErrorMessage="0" allowBlank="0" type="list">
      <formula1>"Pauschale,Nachweis,Unbekannt"</formula1>
    </dataValidation>
    <dataValidation sqref="C1721" showDropDown="0" showInputMessage="0" showErrorMessage="0" allowBlank="0" type="list">
      <formula1>"Pauschale,Nachweis,Unbekannt"</formula1>
    </dataValidation>
    <dataValidation sqref="C1722" showDropDown="0" showInputMessage="0" showErrorMessage="0" allowBlank="0" type="list">
      <formula1>"Pauschale,Nachweis,Unbekannt"</formula1>
    </dataValidation>
    <dataValidation sqref="C1723" showDropDown="0" showInputMessage="0" showErrorMessage="0" allowBlank="0" type="list">
      <formula1>"Pauschale,Nachweis,Unbekannt"</formula1>
    </dataValidation>
    <dataValidation sqref="C1724" showDropDown="0" showInputMessage="0" showErrorMessage="0" allowBlank="0" type="list">
      <formula1>"Pauschale,Nachweis,Unbekannt"</formula1>
    </dataValidation>
    <dataValidation sqref="C1725" showDropDown="0" showInputMessage="0" showErrorMessage="0" allowBlank="0" type="list">
      <formula1>"Pauschale,Nachweis,Unbekannt"</formula1>
    </dataValidation>
    <dataValidation sqref="C1726" showDropDown="0" showInputMessage="0" showErrorMessage="0" allowBlank="0" type="list">
      <formula1>"Pauschale,Nachweis,Unbekannt"</formula1>
    </dataValidation>
    <dataValidation sqref="C1727" showDropDown="0" showInputMessage="0" showErrorMessage="0" allowBlank="0" type="list">
      <formula1>"Pauschale,Nachweis,Unbekannt"</formula1>
    </dataValidation>
    <dataValidation sqref="C1728" showDropDown="0" showInputMessage="0" showErrorMessage="0" allowBlank="0" type="list">
      <formula1>"Pauschale,Nachweis,Unbekannt"</formula1>
    </dataValidation>
    <dataValidation sqref="C1729" showDropDown="0" showInputMessage="0" showErrorMessage="0" allowBlank="0" type="list">
      <formula1>"Pauschale,Nachweis,Unbekannt"</formula1>
    </dataValidation>
    <dataValidation sqref="C1730" showDropDown="0" showInputMessage="0" showErrorMessage="0" allowBlank="0" type="list">
      <formula1>"Pauschale,Nachweis,Unbekannt"</formula1>
    </dataValidation>
    <dataValidation sqref="C1731" showDropDown="0" showInputMessage="0" showErrorMessage="0" allowBlank="0" type="list">
      <formula1>"Pauschale,Nachweis,Unbekannt"</formula1>
    </dataValidation>
    <dataValidation sqref="C1732" showDropDown="0" showInputMessage="0" showErrorMessage="0" allowBlank="0" type="list">
      <formula1>"Pauschale,Nachweis,Unbekannt"</formula1>
    </dataValidation>
    <dataValidation sqref="C1733" showDropDown="0" showInputMessage="0" showErrorMessage="0" allowBlank="0" type="list">
      <formula1>"Pauschale,Nachweis,Unbekannt"</formula1>
    </dataValidation>
    <dataValidation sqref="C1734" showDropDown="0" showInputMessage="0" showErrorMessage="0" allowBlank="0" type="list">
      <formula1>"Pauschale,Nachweis,Unbekannt"</formula1>
    </dataValidation>
    <dataValidation sqref="C1735" showDropDown="0" showInputMessage="0" showErrorMessage="0" allowBlank="0" type="list">
      <formula1>"Pauschale,Nachweis,Unbekannt"</formula1>
    </dataValidation>
    <dataValidation sqref="C1736" showDropDown="0" showInputMessage="0" showErrorMessage="0" allowBlank="0" type="list">
      <formula1>"Pauschale,Nachweis,Unbekannt"</formula1>
    </dataValidation>
    <dataValidation sqref="C1737" showDropDown="0" showInputMessage="0" showErrorMessage="0" allowBlank="0" type="list">
      <formula1>"Pauschale,Nachweis,Unbekannt"</formula1>
    </dataValidation>
    <dataValidation sqref="C1738" showDropDown="0" showInputMessage="0" showErrorMessage="0" allowBlank="0" type="list">
      <formula1>"Pauschale,Nachweis,Unbekannt"</formula1>
    </dataValidation>
    <dataValidation sqref="C1739" showDropDown="0" showInputMessage="0" showErrorMessage="0" allowBlank="0" type="list">
      <formula1>"Pauschale,Nachweis,Unbekannt"</formula1>
    </dataValidation>
    <dataValidation sqref="C1740" showDropDown="0" showInputMessage="0" showErrorMessage="0" allowBlank="0" type="list">
      <formula1>"Pauschale,Nachweis,Unbekannt"</formula1>
    </dataValidation>
    <dataValidation sqref="C1741" showDropDown="0" showInputMessage="0" showErrorMessage="0" allowBlank="0" type="list">
      <formula1>"Pauschale,Nachweis,Unbekannt"</formula1>
    </dataValidation>
    <dataValidation sqref="C1742" showDropDown="0" showInputMessage="0" showErrorMessage="0" allowBlank="0" type="list">
      <formula1>"Pauschale,Nachweis,Unbekannt"</formula1>
    </dataValidation>
    <dataValidation sqref="C1743" showDropDown="0" showInputMessage="0" showErrorMessage="0" allowBlank="0" type="list">
      <formula1>"Pauschale,Nachweis,Unbekannt"</formula1>
    </dataValidation>
    <dataValidation sqref="C1744" showDropDown="0" showInputMessage="0" showErrorMessage="0" allowBlank="0" type="list">
      <formula1>"Pauschale,Nachweis,Unbekannt"</formula1>
    </dataValidation>
    <dataValidation sqref="C1745" showDropDown="0" showInputMessage="0" showErrorMessage="0" allowBlank="0" type="list">
      <formula1>"Pauschale,Nachweis,Unbekannt"</formula1>
    </dataValidation>
    <dataValidation sqref="C1746" showDropDown="0" showInputMessage="0" showErrorMessage="0" allowBlank="0" type="list">
      <formula1>"Pauschale,Nachweis,Unbekannt"</formula1>
    </dataValidation>
    <dataValidation sqref="C1747" showDropDown="0" showInputMessage="0" showErrorMessage="0" allowBlank="0" type="list">
      <formula1>"Pauschale,Nachweis,Unbekannt"</formula1>
    </dataValidation>
    <dataValidation sqref="C1748" showDropDown="0" showInputMessage="0" showErrorMessage="0" allowBlank="0" type="list">
      <formula1>"Pauschale,Nachweis,Unbekannt"</formula1>
    </dataValidation>
    <dataValidation sqref="C1749" showDropDown="0" showInputMessage="0" showErrorMessage="0" allowBlank="0" type="list">
      <formula1>"Pauschale,Nachweis,Unbekannt"</formula1>
    </dataValidation>
    <dataValidation sqref="C1750" showDropDown="0" showInputMessage="0" showErrorMessage="0" allowBlank="0" type="list">
      <formula1>"Pauschale,Nachweis,Unbekannt"</formula1>
    </dataValidation>
    <dataValidation sqref="C1751" showDropDown="0" showInputMessage="0" showErrorMessage="0" allowBlank="0" type="list">
      <formula1>"Pauschale,Nachweis,Unbekannt"</formula1>
    </dataValidation>
    <dataValidation sqref="C1752" showDropDown="0" showInputMessage="0" showErrorMessage="0" allowBlank="0" type="list">
      <formula1>"Pauschale,Nachweis,Unbekannt"</formula1>
    </dataValidation>
    <dataValidation sqref="C1753" showDropDown="0" showInputMessage="0" showErrorMessage="0" allowBlank="0" type="list">
      <formula1>"Pauschale,Nachweis,Unbekannt"</formula1>
    </dataValidation>
    <dataValidation sqref="C1754" showDropDown="0" showInputMessage="0" showErrorMessage="0" allowBlank="0" type="list">
      <formula1>"Pauschale,Nachweis,Unbekannt"</formula1>
    </dataValidation>
    <dataValidation sqref="C1755" showDropDown="0" showInputMessage="0" showErrorMessage="0" allowBlank="0" type="list">
      <formula1>"Pauschale,Nachweis,Unbekannt"</formula1>
    </dataValidation>
    <dataValidation sqref="C1756" showDropDown="0" showInputMessage="0" showErrorMessage="0" allowBlank="0" type="list">
      <formula1>"Pauschale,Nachweis,Unbekannt"</formula1>
    </dataValidation>
    <dataValidation sqref="C1757" showDropDown="0" showInputMessage="0" showErrorMessage="0" allowBlank="0" type="list">
      <formula1>"Pauschale,Nachweis,Unbekannt"</formula1>
    </dataValidation>
    <dataValidation sqref="C1758" showDropDown="0" showInputMessage="0" showErrorMessage="0" allowBlank="0" type="list">
      <formula1>"Pauschale,Nachweis,Unbekannt"</formula1>
    </dataValidation>
    <dataValidation sqref="C1759" showDropDown="0" showInputMessage="0" showErrorMessage="0" allowBlank="0" type="list">
      <formula1>"Pauschale,Nachweis,Unbekannt"</formula1>
    </dataValidation>
    <dataValidation sqref="C1760" showDropDown="0" showInputMessage="0" showErrorMessage="0" allowBlank="0" type="list">
      <formula1>"Pauschale,Nachweis,Unbekannt"</formula1>
    </dataValidation>
    <dataValidation sqref="C1761" showDropDown="0" showInputMessage="0" showErrorMessage="0" allowBlank="0" type="list">
      <formula1>"Pauschale,Nachweis,Unbekannt"</formula1>
    </dataValidation>
    <dataValidation sqref="C1762" showDropDown="0" showInputMessage="0" showErrorMessage="0" allowBlank="0" type="list">
      <formula1>"Pauschale,Nachweis,Unbekannt"</formula1>
    </dataValidation>
    <dataValidation sqref="C1763" showDropDown="0" showInputMessage="0" showErrorMessage="0" allowBlank="0" type="list">
      <formula1>"Pauschale,Nachweis,Unbekannt"</formula1>
    </dataValidation>
    <dataValidation sqref="C1764" showDropDown="0" showInputMessage="0" showErrorMessage="0" allowBlank="0" type="list">
      <formula1>"Pauschale,Nachweis,Unbekannt"</formula1>
    </dataValidation>
    <dataValidation sqref="C1765" showDropDown="0" showInputMessage="0" showErrorMessage="0" allowBlank="0" type="list">
      <formula1>"Pauschale,Nachweis,Unbekannt"</formula1>
    </dataValidation>
    <dataValidation sqref="C1766" showDropDown="0" showInputMessage="0" showErrorMessage="0" allowBlank="0" type="list">
      <formula1>"Pauschale,Nachweis,Unbekannt"</formula1>
    </dataValidation>
    <dataValidation sqref="C1767" showDropDown="0" showInputMessage="0" showErrorMessage="0" allowBlank="0" type="list">
      <formula1>"Pauschale,Nachweis,Unbekannt"</formula1>
    </dataValidation>
    <dataValidation sqref="C1768" showDropDown="0" showInputMessage="0" showErrorMessage="0" allowBlank="0" type="list">
      <formula1>"Pauschale,Nachweis,Unbekannt"</formula1>
    </dataValidation>
    <dataValidation sqref="C1769" showDropDown="0" showInputMessage="0" showErrorMessage="0" allowBlank="0" type="list">
      <formula1>"Pauschale,Nachweis,Unbekannt"</formula1>
    </dataValidation>
    <dataValidation sqref="C1770" showDropDown="0" showInputMessage="0" showErrorMessage="0" allowBlank="0" type="list">
      <formula1>"Pauschale,Nachweis,Unbekannt"</formula1>
    </dataValidation>
    <dataValidation sqref="C1771" showDropDown="0" showInputMessage="0" showErrorMessage="0" allowBlank="0" type="list">
      <formula1>"Pauschale,Nachweis,Unbekannt"</formula1>
    </dataValidation>
    <dataValidation sqref="C1772" showDropDown="0" showInputMessage="0" showErrorMessage="0" allowBlank="0" type="list">
      <formula1>"Pauschale,Nachweis,Unbekannt"</formula1>
    </dataValidation>
    <dataValidation sqref="C1773" showDropDown="0" showInputMessage="0" showErrorMessage="0" allowBlank="0" type="list">
      <formula1>"Pauschale,Nachweis,Unbekannt"</formula1>
    </dataValidation>
    <dataValidation sqref="C1774" showDropDown="0" showInputMessage="0" showErrorMessage="0" allowBlank="0" type="list">
      <formula1>"Pauschale,Nachweis,Unbekannt"</formula1>
    </dataValidation>
    <dataValidation sqref="C1775" showDropDown="0" showInputMessage="0" showErrorMessage="0" allowBlank="0" type="list">
      <formula1>"Pauschale,Nachweis,Unbekannt"</formula1>
    </dataValidation>
    <dataValidation sqref="C1776" showDropDown="0" showInputMessage="0" showErrorMessage="0" allowBlank="0" type="list">
      <formula1>"Pauschale,Nachweis,Unbekannt"</formula1>
    </dataValidation>
    <dataValidation sqref="C1777" showDropDown="0" showInputMessage="0" showErrorMessage="0" allowBlank="0" type="list">
      <formula1>"Pauschale,Nachweis,Unbekannt"</formula1>
    </dataValidation>
    <dataValidation sqref="C1778" showDropDown="0" showInputMessage="0" showErrorMessage="0" allowBlank="0" type="list">
      <formula1>"Pauschale,Nachweis,Unbekannt"</formula1>
    </dataValidation>
    <dataValidation sqref="C1779" showDropDown="0" showInputMessage="0" showErrorMessage="0" allowBlank="0" type="list">
      <formula1>"Pauschale,Nachweis,Unbekannt"</formula1>
    </dataValidation>
    <dataValidation sqref="C1780" showDropDown="0" showInputMessage="0" showErrorMessage="0" allowBlank="0" type="list">
      <formula1>"Pauschale,Nachweis,Unbekannt"</formula1>
    </dataValidation>
    <dataValidation sqref="C1781" showDropDown="0" showInputMessage="0" showErrorMessage="0" allowBlank="0" type="list">
      <formula1>"Pauschale,Nachweis,Unbekannt"</formula1>
    </dataValidation>
    <dataValidation sqref="C1782" showDropDown="0" showInputMessage="0" showErrorMessage="0" allowBlank="0" type="list">
      <formula1>"Pauschale,Nachweis,Unbekannt"</formula1>
    </dataValidation>
    <dataValidation sqref="C1783" showDropDown="0" showInputMessage="0" showErrorMessage="0" allowBlank="0" type="list">
      <formula1>"Pauschale,Nachweis,Unbekannt"</formula1>
    </dataValidation>
    <dataValidation sqref="C1784" showDropDown="0" showInputMessage="0" showErrorMessage="0" allowBlank="0" type="list">
      <formula1>"Pauschale,Nachweis,Unbekannt"</formula1>
    </dataValidation>
    <dataValidation sqref="C1785" showDropDown="0" showInputMessage="0" showErrorMessage="0" allowBlank="0" type="list">
      <formula1>"Pauschale,Nachweis,Unbekannt"</formula1>
    </dataValidation>
    <dataValidation sqref="C1786" showDropDown="0" showInputMessage="0" showErrorMessage="0" allowBlank="0" type="list">
      <formula1>"Pauschale,Nachweis,Unbekannt"</formula1>
    </dataValidation>
    <dataValidation sqref="C1787" showDropDown="0" showInputMessage="0" showErrorMessage="0" allowBlank="0" type="list">
      <formula1>"Pauschale,Nachweis,Unbekannt"</formula1>
    </dataValidation>
    <dataValidation sqref="C1788" showDropDown="0" showInputMessage="0" showErrorMessage="0" allowBlank="0" type="list">
      <formula1>"Pauschale,Nachweis,Unbekannt"</formula1>
    </dataValidation>
    <dataValidation sqref="C1789" showDropDown="0" showInputMessage="0" showErrorMessage="0" allowBlank="0" type="list">
      <formula1>"Pauschale,Nachweis,Unbekannt"</formula1>
    </dataValidation>
    <dataValidation sqref="C1790" showDropDown="0" showInputMessage="0" showErrorMessage="0" allowBlank="0" type="list">
      <formula1>"Pauschale,Nachweis,Unbekannt"</formula1>
    </dataValidation>
    <dataValidation sqref="C1791" showDropDown="0" showInputMessage="0" showErrorMessage="0" allowBlank="0" type="list">
      <formula1>"Pauschale,Nachweis,Unbekannt"</formula1>
    </dataValidation>
    <dataValidation sqref="C1792" showDropDown="0" showInputMessage="0" showErrorMessage="0" allowBlank="0" type="list">
      <formula1>"Pauschale,Nachweis,Unbekannt"</formula1>
    </dataValidation>
    <dataValidation sqref="C1793" showDropDown="0" showInputMessage="0" showErrorMessage="0" allowBlank="0" type="list">
      <formula1>"Pauschale,Nachweis,Unbekannt"</formula1>
    </dataValidation>
    <dataValidation sqref="C1794" showDropDown="0" showInputMessage="0" showErrorMessage="0" allowBlank="0" type="list">
      <formula1>"Pauschale,Nachweis,Unbekannt"</formula1>
    </dataValidation>
    <dataValidation sqref="C1795" showDropDown="0" showInputMessage="0" showErrorMessage="0" allowBlank="0" type="list">
      <formula1>"Pauschale,Nachweis,Unbekannt"</formula1>
    </dataValidation>
    <dataValidation sqref="C1796" showDropDown="0" showInputMessage="0" showErrorMessage="0" allowBlank="0" type="list">
      <formula1>"Pauschale,Nachweis,Unbekannt"</formula1>
    </dataValidation>
    <dataValidation sqref="C1797" showDropDown="0" showInputMessage="0" showErrorMessage="0" allowBlank="0" type="list">
      <formula1>"Pauschale,Nachweis,Unbekannt"</formula1>
    </dataValidation>
    <dataValidation sqref="C1798" showDropDown="0" showInputMessage="0" showErrorMessage="0" allowBlank="0" type="list">
      <formula1>"Pauschale,Nachweis,Unbekannt"</formula1>
    </dataValidation>
    <dataValidation sqref="C1799" showDropDown="0" showInputMessage="0" showErrorMessage="0" allowBlank="0" type="list">
      <formula1>"Pauschale,Nachweis,Unbekannt"</formula1>
    </dataValidation>
    <dataValidation sqref="C1800" showDropDown="0" showInputMessage="0" showErrorMessage="0" allowBlank="0" type="list">
      <formula1>"Pauschale,Nachweis,Unbekannt"</formula1>
    </dataValidation>
    <dataValidation sqref="C1801" showDropDown="0" showInputMessage="0" showErrorMessage="0" allowBlank="0" type="list">
      <formula1>"Pauschale,Nachweis,Unbekannt"</formula1>
    </dataValidation>
    <dataValidation sqref="C1802" showDropDown="0" showInputMessage="0" showErrorMessage="0" allowBlank="0" type="list">
      <formula1>"Pauschale,Nachweis,Unbekannt"</formula1>
    </dataValidation>
    <dataValidation sqref="C1803" showDropDown="0" showInputMessage="0" showErrorMessage="0" allowBlank="0" type="list">
      <formula1>"Pauschale,Nachweis,Unbekannt"</formula1>
    </dataValidation>
    <dataValidation sqref="C1804" showDropDown="0" showInputMessage="0" showErrorMessage="0" allowBlank="0" type="list">
      <formula1>"Pauschale,Nachweis,Unbekannt"</formula1>
    </dataValidation>
    <dataValidation sqref="C1805" showDropDown="0" showInputMessage="0" showErrorMessage="0" allowBlank="0" type="list">
      <formula1>"Pauschale,Nachweis,Unbekannt"</formula1>
    </dataValidation>
    <dataValidation sqref="C1806" showDropDown="0" showInputMessage="0" showErrorMessage="0" allowBlank="0" type="list">
      <formula1>"Pauschale,Nachweis,Unbekannt"</formula1>
    </dataValidation>
    <dataValidation sqref="C1807" showDropDown="0" showInputMessage="0" showErrorMessage="0" allowBlank="0" type="list">
      <formula1>"Pauschale,Nachweis,Unbekannt"</formula1>
    </dataValidation>
    <dataValidation sqref="C1808" showDropDown="0" showInputMessage="0" showErrorMessage="0" allowBlank="0" type="list">
      <formula1>"Pauschale,Nachweis,Unbekannt"</formula1>
    </dataValidation>
    <dataValidation sqref="C1809" showDropDown="0" showInputMessage="0" showErrorMessage="0" allowBlank="0" type="list">
      <formula1>"Pauschale,Nachweis,Unbekannt"</formula1>
    </dataValidation>
    <dataValidation sqref="C1810" showDropDown="0" showInputMessage="0" showErrorMessage="0" allowBlank="0" type="list">
      <formula1>"Pauschale,Nachweis,Unbekannt"</formula1>
    </dataValidation>
    <dataValidation sqref="C1811" showDropDown="0" showInputMessage="0" showErrorMessage="0" allowBlank="0" type="list">
      <formula1>"Pauschale,Nachweis,Unbekannt"</formula1>
    </dataValidation>
    <dataValidation sqref="C1812" showDropDown="0" showInputMessage="0" showErrorMessage="0" allowBlank="0" type="list">
      <formula1>"Pauschale,Nachweis,Unbekannt"</formula1>
    </dataValidation>
    <dataValidation sqref="C1813" showDropDown="0" showInputMessage="0" showErrorMessage="0" allowBlank="0" type="list">
      <formula1>"Pauschale,Nachweis,Unbekannt"</formula1>
    </dataValidation>
    <dataValidation sqref="C1814" showDropDown="0" showInputMessage="0" showErrorMessage="0" allowBlank="0" type="list">
      <formula1>"Pauschale,Nachweis,Unbekannt"</formula1>
    </dataValidation>
    <dataValidation sqref="C1815" showDropDown="0" showInputMessage="0" showErrorMessage="0" allowBlank="0" type="list">
      <formula1>"Pauschale,Nachweis,Unbekannt"</formula1>
    </dataValidation>
    <dataValidation sqref="C1816" showDropDown="0" showInputMessage="0" showErrorMessage="0" allowBlank="0" type="list">
      <formula1>"Pauschale,Nachweis,Unbekannt"</formula1>
    </dataValidation>
    <dataValidation sqref="C1817" showDropDown="0" showInputMessage="0" showErrorMessage="0" allowBlank="0" type="list">
      <formula1>"Pauschale,Nachweis,Unbekannt"</formula1>
    </dataValidation>
    <dataValidation sqref="C1818" showDropDown="0" showInputMessage="0" showErrorMessage="0" allowBlank="0" type="list">
      <formula1>"Pauschale,Nachweis,Unbekannt"</formula1>
    </dataValidation>
    <dataValidation sqref="C1819" showDropDown="0" showInputMessage="0" showErrorMessage="0" allowBlank="0" type="list">
      <formula1>"Pauschale,Nachweis,Unbekannt"</formula1>
    </dataValidation>
    <dataValidation sqref="C1820" showDropDown="0" showInputMessage="0" showErrorMessage="0" allowBlank="0" type="list">
      <formula1>"Pauschale,Nachweis,Unbekannt"</formula1>
    </dataValidation>
    <dataValidation sqref="C1821" showDropDown="0" showInputMessage="0" showErrorMessage="0" allowBlank="0" type="list">
      <formula1>"Pauschale,Nachweis,Unbekannt"</formula1>
    </dataValidation>
    <dataValidation sqref="C1822" showDropDown="0" showInputMessage="0" showErrorMessage="0" allowBlank="0" type="list">
      <formula1>"Pauschale,Nachweis,Unbekannt"</formula1>
    </dataValidation>
    <dataValidation sqref="C1823" showDropDown="0" showInputMessage="0" showErrorMessage="0" allowBlank="0" type="list">
      <formula1>"Pauschale,Nachweis,Unbekannt"</formula1>
    </dataValidation>
    <dataValidation sqref="C1824" showDropDown="0" showInputMessage="0" showErrorMessage="0" allowBlank="0" type="list">
      <formula1>"Pauschale,Nachweis,Unbekannt"</formula1>
    </dataValidation>
    <dataValidation sqref="C1825" showDropDown="0" showInputMessage="0" showErrorMessage="0" allowBlank="0" type="list">
      <formula1>"Pauschale,Nachweis,Unbekannt"</formula1>
    </dataValidation>
    <dataValidation sqref="C1826" showDropDown="0" showInputMessage="0" showErrorMessage="0" allowBlank="0" type="list">
      <formula1>"Pauschale,Nachweis,Unbekannt"</formula1>
    </dataValidation>
    <dataValidation sqref="C1827" showDropDown="0" showInputMessage="0" showErrorMessage="0" allowBlank="0" type="list">
      <formula1>"Pauschale,Nachweis,Unbekannt"</formula1>
    </dataValidation>
    <dataValidation sqref="C1828" showDropDown="0" showInputMessage="0" showErrorMessage="0" allowBlank="0" type="list">
      <formula1>"Pauschale,Nachweis,Unbekannt"</formula1>
    </dataValidation>
    <dataValidation sqref="C1829" showDropDown="0" showInputMessage="0" showErrorMessage="0" allowBlank="0" type="list">
      <formula1>"Pauschale,Nachweis,Unbekannt"</formula1>
    </dataValidation>
    <dataValidation sqref="C1830" showDropDown="0" showInputMessage="0" showErrorMessage="0" allowBlank="0" type="list">
      <formula1>"Pauschale,Nachweis,Unbekannt"</formula1>
    </dataValidation>
    <dataValidation sqref="C1831" showDropDown="0" showInputMessage="0" showErrorMessage="0" allowBlank="0" type="list">
      <formula1>"Pauschale,Nachweis,Unbekannt"</formula1>
    </dataValidation>
    <dataValidation sqref="C1832" showDropDown="0" showInputMessage="0" showErrorMessage="0" allowBlank="0" type="list">
      <formula1>"Pauschale,Nachweis,Unbekannt"</formula1>
    </dataValidation>
    <dataValidation sqref="C1833" showDropDown="0" showInputMessage="0" showErrorMessage="0" allowBlank="0" type="list">
      <formula1>"Pauschale,Nachweis,Unbekannt"</formula1>
    </dataValidation>
    <dataValidation sqref="C1834" showDropDown="0" showInputMessage="0" showErrorMessage="0" allowBlank="0" type="list">
      <formula1>"Pauschale,Nachweis,Unbekannt"</formula1>
    </dataValidation>
    <dataValidation sqref="C1835" showDropDown="0" showInputMessage="0" showErrorMessage="0" allowBlank="0" type="list">
      <formula1>"Pauschale,Nachweis,Unbekannt"</formula1>
    </dataValidation>
    <dataValidation sqref="C1836" showDropDown="0" showInputMessage="0" showErrorMessage="0" allowBlank="0" type="list">
      <formula1>"Pauschale,Nachweis,Unbekannt"</formula1>
    </dataValidation>
    <dataValidation sqref="C1837" showDropDown="0" showInputMessage="0" showErrorMessage="0" allowBlank="0" type="list">
      <formula1>"Pauschale,Nachweis,Unbekannt"</formula1>
    </dataValidation>
    <dataValidation sqref="C1838" showDropDown="0" showInputMessage="0" showErrorMessage="0" allowBlank="0" type="list">
      <formula1>"Pauschale,Nachweis,Unbekannt"</formula1>
    </dataValidation>
    <dataValidation sqref="C1839" showDropDown="0" showInputMessage="0" showErrorMessage="0" allowBlank="0" type="list">
      <formula1>"Pauschale,Nachweis,Unbekannt"</formula1>
    </dataValidation>
    <dataValidation sqref="C1840" showDropDown="0" showInputMessage="0" showErrorMessage="0" allowBlank="0" type="list">
      <formula1>"Pauschale,Nachweis,Unbekannt"</formula1>
    </dataValidation>
    <dataValidation sqref="C1841" showDropDown="0" showInputMessage="0" showErrorMessage="0" allowBlank="0" type="list">
      <formula1>"Pauschale,Nachweis,Unbekannt"</formula1>
    </dataValidation>
    <dataValidation sqref="C1842" showDropDown="0" showInputMessage="0" showErrorMessage="0" allowBlank="0" type="list">
      <formula1>"Pauschale,Nachweis,Unbekannt"</formula1>
    </dataValidation>
    <dataValidation sqref="C1843" showDropDown="0" showInputMessage="0" showErrorMessage="0" allowBlank="0" type="list">
      <formula1>"Pauschale,Nachweis,Unbekannt"</formula1>
    </dataValidation>
    <dataValidation sqref="C1844" showDropDown="0" showInputMessage="0" showErrorMessage="0" allowBlank="0" type="list">
      <formula1>"Pauschale,Nachweis,Unbekannt"</formula1>
    </dataValidation>
    <dataValidation sqref="C1845" showDropDown="0" showInputMessage="0" showErrorMessage="0" allowBlank="0" type="list">
      <formula1>"Pauschale,Nachweis,Unbekannt"</formula1>
    </dataValidation>
    <dataValidation sqref="C1846" showDropDown="0" showInputMessage="0" showErrorMessage="0" allowBlank="0" type="list">
      <formula1>"Pauschale,Nachweis,Unbekannt"</formula1>
    </dataValidation>
    <dataValidation sqref="C1847" showDropDown="0" showInputMessage="0" showErrorMessage="0" allowBlank="0" type="list">
      <formula1>"Pauschale,Nachweis,Unbekannt"</formula1>
    </dataValidation>
    <dataValidation sqref="C1848" showDropDown="0" showInputMessage="0" showErrorMessage="0" allowBlank="0" type="list">
      <formula1>"Pauschale,Nachweis,Unbekannt"</formula1>
    </dataValidation>
    <dataValidation sqref="C1849" showDropDown="0" showInputMessage="0" showErrorMessage="0" allowBlank="0" type="list">
      <formula1>"Pauschale,Nachweis,Unbekannt"</formula1>
    </dataValidation>
    <dataValidation sqref="C1850" showDropDown="0" showInputMessage="0" showErrorMessage="0" allowBlank="0" type="list">
      <formula1>"Pauschale,Nachweis,Unbekannt"</formula1>
    </dataValidation>
    <dataValidation sqref="C1851" showDropDown="0" showInputMessage="0" showErrorMessage="0" allowBlank="0" type="list">
      <formula1>"Pauschale,Nachweis,Unbekannt"</formula1>
    </dataValidation>
    <dataValidation sqref="C1852" showDropDown="0" showInputMessage="0" showErrorMessage="0" allowBlank="0" type="list">
      <formula1>"Pauschale,Nachweis,Unbekannt"</formula1>
    </dataValidation>
    <dataValidation sqref="C1853" showDropDown="0" showInputMessage="0" showErrorMessage="0" allowBlank="0" type="list">
      <formula1>"Pauschale,Nachweis,Unbekannt"</formula1>
    </dataValidation>
    <dataValidation sqref="C1854" showDropDown="0" showInputMessage="0" showErrorMessage="0" allowBlank="0" type="list">
      <formula1>"Pauschale,Nachweis,Unbekannt"</formula1>
    </dataValidation>
    <dataValidation sqref="C1855" showDropDown="0" showInputMessage="0" showErrorMessage="0" allowBlank="0" type="list">
      <formula1>"Pauschale,Nachweis,Unbekannt"</formula1>
    </dataValidation>
    <dataValidation sqref="C1856" showDropDown="0" showInputMessage="0" showErrorMessage="0" allowBlank="0" type="list">
      <formula1>"Pauschale,Nachweis,Unbekannt"</formula1>
    </dataValidation>
    <dataValidation sqref="C1857" showDropDown="0" showInputMessage="0" showErrorMessage="0" allowBlank="0" type="list">
      <formula1>"Pauschale,Nachweis,Unbekannt"</formula1>
    </dataValidation>
    <dataValidation sqref="C1858" showDropDown="0" showInputMessage="0" showErrorMessage="0" allowBlank="0" type="list">
      <formula1>"Pauschale,Nachweis,Unbekannt"</formula1>
    </dataValidation>
    <dataValidation sqref="C1859" showDropDown="0" showInputMessage="0" showErrorMessage="0" allowBlank="0" type="list">
      <formula1>"Pauschale,Nachweis,Unbekannt"</formula1>
    </dataValidation>
    <dataValidation sqref="C1860" showDropDown="0" showInputMessage="0" showErrorMessage="0" allowBlank="0" type="list">
      <formula1>"Pauschale,Nachweis,Unbekannt"</formula1>
    </dataValidation>
    <dataValidation sqref="C1861" showDropDown="0" showInputMessage="0" showErrorMessage="0" allowBlank="0" type="list">
      <formula1>"Pauschale,Nachweis,Unbekannt"</formula1>
    </dataValidation>
    <dataValidation sqref="C1862" showDropDown="0" showInputMessage="0" showErrorMessage="0" allowBlank="0" type="list">
      <formula1>"Pauschale,Nachweis,Unbekannt"</formula1>
    </dataValidation>
    <dataValidation sqref="C1863" showDropDown="0" showInputMessage="0" showErrorMessage="0" allowBlank="0" type="list">
      <formula1>"Pauschale,Nachweis,Unbekannt"</formula1>
    </dataValidation>
    <dataValidation sqref="C1864" showDropDown="0" showInputMessage="0" showErrorMessage="0" allowBlank="0" type="list">
      <formula1>"Pauschale,Nachweis,Unbekannt"</formula1>
    </dataValidation>
    <dataValidation sqref="C1865" showDropDown="0" showInputMessage="0" showErrorMessage="0" allowBlank="0" type="list">
      <formula1>"Pauschale,Nachweis,Unbekannt"</formula1>
    </dataValidation>
    <dataValidation sqref="C1866" showDropDown="0" showInputMessage="0" showErrorMessage="0" allowBlank="0" type="list">
      <formula1>"Pauschale,Nachweis,Unbekannt"</formula1>
    </dataValidation>
    <dataValidation sqref="C1867" showDropDown="0" showInputMessage="0" showErrorMessage="0" allowBlank="0" type="list">
      <formula1>"Pauschale,Nachweis,Unbekannt"</formula1>
    </dataValidation>
    <dataValidation sqref="C1868" showDropDown="0" showInputMessage="0" showErrorMessage="0" allowBlank="0" type="list">
      <formula1>"Pauschale,Nachweis,Unbekannt"</formula1>
    </dataValidation>
    <dataValidation sqref="C1869" showDropDown="0" showInputMessage="0" showErrorMessage="0" allowBlank="0" type="list">
      <formula1>"Pauschale,Nachweis,Unbekannt"</formula1>
    </dataValidation>
    <dataValidation sqref="C1870" showDropDown="0" showInputMessage="0" showErrorMessage="0" allowBlank="0" type="list">
      <formula1>"Pauschale,Nachweis,Unbekannt"</formula1>
    </dataValidation>
    <dataValidation sqref="C1871" showDropDown="0" showInputMessage="0" showErrorMessage="0" allowBlank="0" type="list">
      <formula1>"Pauschale,Nachweis,Unbekannt"</formula1>
    </dataValidation>
    <dataValidation sqref="C1872" showDropDown="0" showInputMessage="0" showErrorMessage="0" allowBlank="0" type="list">
      <formula1>"Pauschale,Nachweis,Unbekannt"</formula1>
    </dataValidation>
    <dataValidation sqref="C1873" showDropDown="0" showInputMessage="0" showErrorMessage="0" allowBlank="0" type="list">
      <formula1>"Pauschale,Nachweis,Unbekannt"</formula1>
    </dataValidation>
    <dataValidation sqref="C1874" showDropDown="0" showInputMessage="0" showErrorMessage="0" allowBlank="0" type="list">
      <formula1>"Pauschale,Nachweis,Unbekannt"</formula1>
    </dataValidation>
    <dataValidation sqref="C1875" showDropDown="0" showInputMessage="0" showErrorMessage="0" allowBlank="0" type="list">
      <formula1>"Pauschale,Nachweis,Unbekannt"</formula1>
    </dataValidation>
    <dataValidation sqref="C1876" showDropDown="0" showInputMessage="0" showErrorMessage="0" allowBlank="0" type="list">
      <formula1>"Pauschale,Nachweis,Unbekannt"</formula1>
    </dataValidation>
    <dataValidation sqref="C1877" showDropDown="0" showInputMessage="0" showErrorMessage="0" allowBlank="0" type="list">
      <formula1>"Pauschale,Nachweis,Unbekannt"</formula1>
    </dataValidation>
    <dataValidation sqref="C1878" showDropDown="0" showInputMessage="0" showErrorMessage="0" allowBlank="0" type="list">
      <formula1>"Pauschale,Nachweis,Unbekannt"</formula1>
    </dataValidation>
    <dataValidation sqref="C1879" showDropDown="0" showInputMessage="0" showErrorMessage="0" allowBlank="0" type="list">
      <formula1>"Pauschale,Nachweis,Unbekannt"</formula1>
    </dataValidation>
    <dataValidation sqref="C1880" showDropDown="0" showInputMessage="0" showErrorMessage="0" allowBlank="0" type="list">
      <formula1>"Pauschale,Nachweis,Unbekannt"</formula1>
    </dataValidation>
    <dataValidation sqref="C1881" showDropDown="0" showInputMessage="0" showErrorMessage="0" allowBlank="0" type="list">
      <formula1>"Pauschale,Nachweis,Unbekannt"</formula1>
    </dataValidation>
    <dataValidation sqref="C1882" showDropDown="0" showInputMessage="0" showErrorMessage="0" allowBlank="0" type="list">
      <formula1>"Pauschale,Nachweis,Unbekannt"</formula1>
    </dataValidation>
    <dataValidation sqref="C1883" showDropDown="0" showInputMessage="0" showErrorMessage="0" allowBlank="0" type="list">
      <formula1>"Pauschale,Nachweis,Unbekannt"</formula1>
    </dataValidation>
    <dataValidation sqref="C1884" showDropDown="0" showInputMessage="0" showErrorMessage="0" allowBlank="0" type="list">
      <formula1>"Pauschale,Nachweis,Unbekannt"</formula1>
    </dataValidation>
    <dataValidation sqref="C1885" showDropDown="0" showInputMessage="0" showErrorMessage="0" allowBlank="0" type="list">
      <formula1>"Pauschale,Nachweis,Unbekannt"</formula1>
    </dataValidation>
    <dataValidation sqref="C1886" showDropDown="0" showInputMessage="0" showErrorMessage="0" allowBlank="0" type="list">
      <formula1>"Pauschale,Nachweis,Unbekannt"</formula1>
    </dataValidation>
    <dataValidation sqref="C1887" showDropDown="0" showInputMessage="0" showErrorMessage="0" allowBlank="0" type="list">
      <formula1>"Pauschale,Nachweis,Unbekannt"</formula1>
    </dataValidation>
    <dataValidation sqref="C1888" showDropDown="0" showInputMessage="0" showErrorMessage="0" allowBlank="0" type="list">
      <formula1>"Pauschale,Nachweis,Unbekannt"</formula1>
    </dataValidation>
    <dataValidation sqref="C1889" showDropDown="0" showInputMessage="0" showErrorMessage="0" allowBlank="0" type="list">
      <formula1>"Pauschale,Nachweis,Unbekannt"</formula1>
    </dataValidation>
    <dataValidation sqref="C1890" showDropDown="0" showInputMessage="0" showErrorMessage="0" allowBlank="0" type="list">
      <formula1>"Pauschale,Nachweis,Unbekannt"</formula1>
    </dataValidation>
    <dataValidation sqref="C1891" showDropDown="0" showInputMessage="0" showErrorMessage="0" allowBlank="0" type="list">
      <formula1>"Pauschale,Nachweis,Unbekannt"</formula1>
    </dataValidation>
    <dataValidation sqref="C1892" showDropDown="0" showInputMessage="0" showErrorMessage="0" allowBlank="0" type="list">
      <formula1>"Pauschale,Nachweis,Unbekannt"</formula1>
    </dataValidation>
    <dataValidation sqref="C1893" showDropDown="0" showInputMessage="0" showErrorMessage="0" allowBlank="0" type="list">
      <formula1>"Pauschale,Nachweis,Unbekannt"</formula1>
    </dataValidation>
    <dataValidation sqref="C1894" showDropDown="0" showInputMessage="0" showErrorMessage="0" allowBlank="0" type="list">
      <formula1>"Pauschale,Nachweis,Unbekannt"</formula1>
    </dataValidation>
    <dataValidation sqref="C1895" showDropDown="0" showInputMessage="0" showErrorMessage="0" allowBlank="0" type="list">
      <formula1>"Pauschale,Nachweis,Unbekannt"</formula1>
    </dataValidation>
    <dataValidation sqref="C1896" showDropDown="0" showInputMessage="0" showErrorMessage="0" allowBlank="0" type="list">
      <formula1>"Pauschale,Nachweis,Unbekannt"</formula1>
    </dataValidation>
    <dataValidation sqref="C1897" showDropDown="0" showInputMessage="0" showErrorMessage="0" allowBlank="0" type="list">
      <formula1>"Pauschale,Nachweis,Unbekannt"</formula1>
    </dataValidation>
    <dataValidation sqref="C1898" showDropDown="0" showInputMessage="0" showErrorMessage="0" allowBlank="0" type="list">
      <formula1>"Pauschale,Nachweis,Unbekannt"</formula1>
    </dataValidation>
    <dataValidation sqref="C1899" showDropDown="0" showInputMessage="0" showErrorMessage="0" allowBlank="0" type="list">
      <formula1>"Pauschale,Nachweis,Unbekannt"</formula1>
    </dataValidation>
    <dataValidation sqref="C1900" showDropDown="0" showInputMessage="0" showErrorMessage="0" allowBlank="0" type="list">
      <formula1>"Pauschale,Nachweis,Unbekannt"</formula1>
    </dataValidation>
    <dataValidation sqref="C1901" showDropDown="0" showInputMessage="0" showErrorMessage="0" allowBlank="0" type="list">
      <formula1>"Pauschale,Nachweis,Unbekannt"</formula1>
    </dataValidation>
    <dataValidation sqref="C1902" showDropDown="0" showInputMessage="0" showErrorMessage="0" allowBlank="0" type="list">
      <formula1>"Pauschale,Nachweis,Unbekannt"</formula1>
    </dataValidation>
    <dataValidation sqref="C1903" showDropDown="0" showInputMessage="0" showErrorMessage="0" allowBlank="0" type="list">
      <formula1>"Pauschale,Nachweis,Unbekannt"</formula1>
    </dataValidation>
    <dataValidation sqref="C1904" showDropDown="0" showInputMessage="0" showErrorMessage="0" allowBlank="0" type="list">
      <formula1>"Pauschale,Nachweis,Unbekannt"</formula1>
    </dataValidation>
    <dataValidation sqref="C1905" showDropDown="0" showInputMessage="0" showErrorMessage="0" allowBlank="0" type="list">
      <formula1>"Pauschale,Nachweis,Unbekannt"</formula1>
    </dataValidation>
    <dataValidation sqref="C1906" showDropDown="0" showInputMessage="0" showErrorMessage="0" allowBlank="0" type="list">
      <formula1>"Pauschale,Nachweis,Unbekannt"</formula1>
    </dataValidation>
    <dataValidation sqref="C1907" showDropDown="0" showInputMessage="0" showErrorMessage="0" allowBlank="0" type="list">
      <formula1>"Pauschale,Nachweis,Unbekannt"</formula1>
    </dataValidation>
    <dataValidation sqref="C1908" showDropDown="0" showInputMessage="0" showErrorMessage="0" allowBlank="0" type="list">
      <formula1>"Pauschale,Nachweis,Unbekannt"</formula1>
    </dataValidation>
    <dataValidation sqref="C1909" showDropDown="0" showInputMessage="0" showErrorMessage="0" allowBlank="0" type="list">
      <formula1>"Pauschale,Nachweis,Unbekannt"</formula1>
    </dataValidation>
    <dataValidation sqref="C1910" showDropDown="0" showInputMessage="0" showErrorMessage="0" allowBlank="0" type="list">
      <formula1>"Pauschale,Nachweis,Unbekannt"</formula1>
    </dataValidation>
    <dataValidation sqref="C1911" showDropDown="0" showInputMessage="0" showErrorMessage="0" allowBlank="0" type="list">
      <formula1>"Pauschale,Nachweis,Unbekannt"</formula1>
    </dataValidation>
    <dataValidation sqref="C1912" showDropDown="0" showInputMessage="0" showErrorMessage="0" allowBlank="0" type="list">
      <formula1>"Pauschale,Nachweis,Unbekannt"</formula1>
    </dataValidation>
    <dataValidation sqref="C1913" showDropDown="0" showInputMessage="0" showErrorMessage="0" allowBlank="0" type="list">
      <formula1>"Pauschale,Nachweis,Unbekannt"</formula1>
    </dataValidation>
    <dataValidation sqref="C1914" showDropDown="0" showInputMessage="0" showErrorMessage="0" allowBlank="0" type="list">
      <formula1>"Pauschale,Nachweis,Unbekannt"</formula1>
    </dataValidation>
    <dataValidation sqref="C1915" showDropDown="0" showInputMessage="0" showErrorMessage="0" allowBlank="0" type="list">
      <formula1>"Pauschale,Nachweis,Unbekannt"</formula1>
    </dataValidation>
    <dataValidation sqref="C1916" showDropDown="0" showInputMessage="0" showErrorMessage="0" allowBlank="0" type="list">
      <formula1>"Pauschale,Nachweis,Unbekannt"</formula1>
    </dataValidation>
    <dataValidation sqref="C1917" showDropDown="0" showInputMessage="0" showErrorMessage="0" allowBlank="0" type="list">
      <formula1>"Pauschale,Nachweis,Unbekannt"</formula1>
    </dataValidation>
    <dataValidation sqref="C1918" showDropDown="0" showInputMessage="0" showErrorMessage="0" allowBlank="0" type="list">
      <formula1>"Pauschale,Nachweis,Unbekannt"</formula1>
    </dataValidation>
    <dataValidation sqref="C1919" showDropDown="0" showInputMessage="0" showErrorMessage="0" allowBlank="0" type="list">
      <formula1>"Pauschale,Nachweis,Unbekannt"</formula1>
    </dataValidation>
    <dataValidation sqref="C1920" showDropDown="0" showInputMessage="0" showErrorMessage="0" allowBlank="0" type="list">
      <formula1>"Pauschale,Nachweis,Unbekannt"</formula1>
    </dataValidation>
    <dataValidation sqref="C1921" showDropDown="0" showInputMessage="0" showErrorMessage="0" allowBlank="0" type="list">
      <formula1>"Pauschale,Nachweis,Unbekannt"</formula1>
    </dataValidation>
    <dataValidation sqref="C1922" showDropDown="0" showInputMessage="0" showErrorMessage="0" allowBlank="0" type="list">
      <formula1>"Pauschale,Nachweis,Unbekannt"</formula1>
    </dataValidation>
    <dataValidation sqref="C1923" showDropDown="0" showInputMessage="0" showErrorMessage="0" allowBlank="0" type="list">
      <formula1>"Pauschale,Nachweis,Unbekannt"</formula1>
    </dataValidation>
    <dataValidation sqref="C1924" showDropDown="0" showInputMessage="0" showErrorMessage="0" allowBlank="0" type="list">
      <formula1>"Pauschale,Nachweis,Unbekannt"</formula1>
    </dataValidation>
    <dataValidation sqref="C1925" showDropDown="0" showInputMessage="0" showErrorMessage="0" allowBlank="0" type="list">
      <formula1>"Pauschale,Nachweis,Unbekannt"</formula1>
    </dataValidation>
    <dataValidation sqref="C1926" showDropDown="0" showInputMessage="0" showErrorMessage="0" allowBlank="0" type="list">
      <formula1>"Pauschale,Nachweis,Unbekannt"</formula1>
    </dataValidation>
    <dataValidation sqref="C1927" showDropDown="0" showInputMessage="0" showErrorMessage="0" allowBlank="0" type="list">
      <formula1>"Pauschale,Nachweis,Unbekannt"</formula1>
    </dataValidation>
    <dataValidation sqref="C1928" showDropDown="0" showInputMessage="0" showErrorMessage="0" allowBlank="0" type="list">
      <formula1>"Pauschale,Nachweis,Unbekannt"</formula1>
    </dataValidation>
    <dataValidation sqref="C1929" showDropDown="0" showInputMessage="0" showErrorMessage="0" allowBlank="0" type="list">
      <formula1>"Pauschale,Nachweis,Unbekannt"</formula1>
    </dataValidation>
    <dataValidation sqref="C1930" showDropDown="0" showInputMessage="0" showErrorMessage="0" allowBlank="0" type="list">
      <formula1>"Pauschale,Nachweis,Unbekannt"</formula1>
    </dataValidation>
    <dataValidation sqref="C1931" showDropDown="0" showInputMessage="0" showErrorMessage="0" allowBlank="0" type="list">
      <formula1>"Pauschale,Nachweis,Unbekannt"</formula1>
    </dataValidation>
    <dataValidation sqref="C1932" showDropDown="0" showInputMessage="0" showErrorMessage="0" allowBlank="0" type="list">
      <formula1>"Pauschale,Nachweis,Unbekannt"</formula1>
    </dataValidation>
    <dataValidation sqref="C1933" showDropDown="0" showInputMessage="0" showErrorMessage="0" allowBlank="0" type="list">
      <formula1>"Pauschale,Nachweis,Unbekannt"</formula1>
    </dataValidation>
    <dataValidation sqref="C1934" showDropDown="0" showInputMessage="0" showErrorMessage="0" allowBlank="0" type="list">
      <formula1>"Pauschale,Nachweis,Unbekannt"</formula1>
    </dataValidation>
    <dataValidation sqref="C1935" showDropDown="0" showInputMessage="0" showErrorMessage="0" allowBlank="0" type="list">
      <formula1>"Pauschale,Nachweis,Unbekannt"</formula1>
    </dataValidation>
    <dataValidation sqref="C1936" showDropDown="0" showInputMessage="0" showErrorMessage="0" allowBlank="0" type="list">
      <formula1>"Pauschale,Nachweis,Unbekannt"</formula1>
    </dataValidation>
    <dataValidation sqref="C1937" showDropDown="0" showInputMessage="0" showErrorMessage="0" allowBlank="0" type="list">
      <formula1>"Pauschale,Nachweis,Unbekannt"</formula1>
    </dataValidation>
    <dataValidation sqref="C1938" showDropDown="0" showInputMessage="0" showErrorMessage="0" allowBlank="0" type="list">
      <formula1>"Pauschale,Nachweis,Unbekannt"</formula1>
    </dataValidation>
    <dataValidation sqref="C1939" showDropDown="0" showInputMessage="0" showErrorMessage="0" allowBlank="0" type="list">
      <formula1>"Pauschale,Nachweis,Unbekannt"</formula1>
    </dataValidation>
    <dataValidation sqref="C1940" showDropDown="0" showInputMessage="0" showErrorMessage="0" allowBlank="0" type="list">
      <formula1>"Pauschale,Nachweis,Unbekannt"</formula1>
    </dataValidation>
    <dataValidation sqref="C1941" showDropDown="0" showInputMessage="0" showErrorMessage="0" allowBlank="0" type="list">
      <formula1>"Pauschale,Nachweis,Unbekannt"</formula1>
    </dataValidation>
    <dataValidation sqref="C1942" showDropDown="0" showInputMessage="0" showErrorMessage="0" allowBlank="0" type="list">
      <formula1>"Pauschale,Nachweis,Unbekannt"</formula1>
    </dataValidation>
    <dataValidation sqref="C1943" showDropDown="0" showInputMessage="0" showErrorMessage="0" allowBlank="0" type="list">
      <formula1>"Pauschale,Nachweis,Unbekannt"</formula1>
    </dataValidation>
    <dataValidation sqref="C1944" showDropDown="0" showInputMessage="0" showErrorMessage="0" allowBlank="0" type="list">
      <formula1>"Pauschale,Nachweis,Unbekannt"</formula1>
    </dataValidation>
    <dataValidation sqref="C1945" showDropDown="0" showInputMessage="0" showErrorMessage="0" allowBlank="0" type="list">
      <formula1>"Pauschale,Nachweis,Unbekannt"</formula1>
    </dataValidation>
    <dataValidation sqref="C1946" showDropDown="0" showInputMessage="0" showErrorMessage="0" allowBlank="0" type="list">
      <formula1>"Pauschale,Nachweis,Unbekannt"</formula1>
    </dataValidation>
    <dataValidation sqref="C1947" showDropDown="0" showInputMessage="0" showErrorMessage="0" allowBlank="0" type="list">
      <formula1>"Pauschale,Nachweis,Unbekannt"</formula1>
    </dataValidation>
    <dataValidation sqref="C1948" showDropDown="0" showInputMessage="0" showErrorMessage="0" allowBlank="0" type="list">
      <formula1>"Pauschale,Nachweis,Unbekannt"</formula1>
    </dataValidation>
    <dataValidation sqref="C1949" showDropDown="0" showInputMessage="0" showErrorMessage="0" allowBlank="0" type="list">
      <formula1>"Pauschale,Nachweis,Unbekannt"</formula1>
    </dataValidation>
    <dataValidation sqref="C1950" showDropDown="0" showInputMessage="0" showErrorMessage="0" allowBlank="0" type="list">
      <formula1>"Pauschale,Nachweis,Unbekannt"</formula1>
    </dataValidation>
    <dataValidation sqref="C1951" showDropDown="0" showInputMessage="0" showErrorMessage="0" allowBlank="0" type="list">
      <formula1>"Pauschale,Nachweis,Unbekannt"</formula1>
    </dataValidation>
    <dataValidation sqref="C1952" showDropDown="0" showInputMessage="0" showErrorMessage="0" allowBlank="0" type="list">
      <formula1>"Pauschale,Nachweis,Unbekannt"</formula1>
    </dataValidation>
    <dataValidation sqref="C1953" showDropDown="0" showInputMessage="0" showErrorMessage="0" allowBlank="0" type="list">
      <formula1>"Pauschale,Nachweis,Unbekannt"</formula1>
    </dataValidation>
    <dataValidation sqref="C1954" showDropDown="0" showInputMessage="0" showErrorMessage="0" allowBlank="0" type="list">
      <formula1>"Pauschale,Nachweis,Unbekannt"</formula1>
    </dataValidation>
    <dataValidation sqref="C1955" showDropDown="0" showInputMessage="0" showErrorMessage="0" allowBlank="0" type="list">
      <formula1>"Pauschale,Nachweis,Unbekannt"</formula1>
    </dataValidation>
    <dataValidation sqref="C1956" showDropDown="0" showInputMessage="0" showErrorMessage="0" allowBlank="0" type="list">
      <formula1>"Pauschale,Nachweis,Unbekannt"</formula1>
    </dataValidation>
    <dataValidation sqref="C1957" showDropDown="0" showInputMessage="0" showErrorMessage="0" allowBlank="0" type="list">
      <formula1>"Pauschale,Nachweis,Unbekannt"</formula1>
    </dataValidation>
    <dataValidation sqref="C1958" showDropDown="0" showInputMessage="0" showErrorMessage="0" allowBlank="0" type="list">
      <formula1>"Pauschale,Nachweis,Unbekannt"</formula1>
    </dataValidation>
    <dataValidation sqref="C1959" showDropDown="0" showInputMessage="0" showErrorMessage="0" allowBlank="0" type="list">
      <formula1>"Pauschale,Nachweis,Unbekannt"</formula1>
    </dataValidation>
    <dataValidation sqref="C1960" showDropDown="0" showInputMessage="0" showErrorMessage="0" allowBlank="0" type="list">
      <formula1>"Pauschale,Nachweis,Unbekannt"</formula1>
    </dataValidation>
    <dataValidation sqref="C1961" showDropDown="0" showInputMessage="0" showErrorMessage="0" allowBlank="0" type="list">
      <formula1>"Pauschale,Nachweis,Unbekannt"</formula1>
    </dataValidation>
    <dataValidation sqref="C1962" showDropDown="0" showInputMessage="0" showErrorMessage="0" allowBlank="0" type="list">
      <formula1>"Pauschale,Nachweis,Unbekannt"</formula1>
    </dataValidation>
    <dataValidation sqref="C1963" showDropDown="0" showInputMessage="0" showErrorMessage="0" allowBlank="0" type="list">
      <formula1>"Pauschale,Nachweis,Unbekannt"</formula1>
    </dataValidation>
    <dataValidation sqref="C1964" showDropDown="0" showInputMessage="0" showErrorMessage="0" allowBlank="0" type="list">
      <formula1>"Pauschale,Nachweis,Unbekannt"</formula1>
    </dataValidation>
    <dataValidation sqref="C1965" showDropDown="0" showInputMessage="0" showErrorMessage="0" allowBlank="0" type="list">
      <formula1>"Pauschale,Nachweis,Unbekannt"</formula1>
    </dataValidation>
    <dataValidation sqref="C1966" showDropDown="0" showInputMessage="0" showErrorMessage="0" allowBlank="0" type="list">
      <formula1>"Pauschale,Nachweis,Unbekannt"</formula1>
    </dataValidation>
    <dataValidation sqref="C1967" showDropDown="0" showInputMessage="0" showErrorMessage="0" allowBlank="0" type="list">
      <formula1>"Pauschale,Nachweis,Unbekannt"</formula1>
    </dataValidation>
    <dataValidation sqref="C1968" showDropDown="0" showInputMessage="0" showErrorMessage="0" allowBlank="0" type="list">
      <formula1>"Pauschale,Nachweis,Unbekannt"</formula1>
    </dataValidation>
    <dataValidation sqref="C1969" showDropDown="0" showInputMessage="0" showErrorMessage="0" allowBlank="0" type="list">
      <formula1>"Pauschale,Nachweis,Unbekannt"</formula1>
    </dataValidation>
    <dataValidation sqref="C1970" showDropDown="0" showInputMessage="0" showErrorMessage="0" allowBlank="0" type="list">
      <formula1>"Pauschale,Nachweis,Unbekannt"</formula1>
    </dataValidation>
    <dataValidation sqref="C1971" showDropDown="0" showInputMessage="0" showErrorMessage="0" allowBlank="0" type="list">
      <formula1>"Pauschale,Nachweis,Unbekannt"</formula1>
    </dataValidation>
    <dataValidation sqref="C1972" showDropDown="0" showInputMessage="0" showErrorMessage="0" allowBlank="0" type="list">
      <formula1>"Pauschale,Nachweis,Unbekannt"</formula1>
    </dataValidation>
    <dataValidation sqref="C1973" showDropDown="0" showInputMessage="0" showErrorMessage="0" allowBlank="0" type="list">
      <formula1>"Pauschale,Nachweis,Unbekannt"</formula1>
    </dataValidation>
    <dataValidation sqref="C1974" showDropDown="0" showInputMessage="0" showErrorMessage="0" allowBlank="0" type="list">
      <formula1>"Pauschale,Nachweis,Unbekannt"</formula1>
    </dataValidation>
    <dataValidation sqref="C1975" showDropDown="0" showInputMessage="0" showErrorMessage="0" allowBlank="0" type="list">
      <formula1>"Pauschale,Nachweis,Unbekannt"</formula1>
    </dataValidation>
    <dataValidation sqref="C1976" showDropDown="0" showInputMessage="0" showErrorMessage="0" allowBlank="0" type="list">
      <formula1>"Pauschale,Nachweis,Unbekannt"</formula1>
    </dataValidation>
    <dataValidation sqref="C1977" showDropDown="0" showInputMessage="0" showErrorMessage="0" allowBlank="0" type="list">
      <formula1>"Pauschale,Nachweis,Unbekannt"</formula1>
    </dataValidation>
    <dataValidation sqref="C1978" showDropDown="0" showInputMessage="0" showErrorMessage="0" allowBlank="0" type="list">
      <formula1>"Pauschale,Nachweis,Unbekannt"</formula1>
    </dataValidation>
    <dataValidation sqref="C1979" showDropDown="0" showInputMessage="0" showErrorMessage="0" allowBlank="0" type="list">
      <formula1>"Pauschale,Nachweis,Unbekannt"</formula1>
    </dataValidation>
    <dataValidation sqref="C1980" showDropDown="0" showInputMessage="0" showErrorMessage="0" allowBlank="0" type="list">
      <formula1>"Pauschale,Nachweis,Unbekannt"</formula1>
    </dataValidation>
    <dataValidation sqref="C1981" showDropDown="0" showInputMessage="0" showErrorMessage="0" allowBlank="0" type="list">
      <formula1>"Pauschale,Nachweis,Unbekannt"</formula1>
    </dataValidation>
    <dataValidation sqref="C1982" showDropDown="0" showInputMessage="0" showErrorMessage="0" allowBlank="0" type="list">
      <formula1>"Pauschale,Nachweis,Unbekannt"</formula1>
    </dataValidation>
    <dataValidation sqref="C1983" showDropDown="0" showInputMessage="0" showErrorMessage="0" allowBlank="0" type="list">
      <formula1>"Pauschale,Nachweis,Unbekannt"</formula1>
    </dataValidation>
    <dataValidation sqref="C1984" showDropDown="0" showInputMessage="0" showErrorMessage="0" allowBlank="0" type="list">
      <formula1>"Pauschale,Nachweis,Unbekannt"</formula1>
    </dataValidation>
    <dataValidation sqref="C1985" showDropDown="0" showInputMessage="0" showErrorMessage="0" allowBlank="0" type="list">
      <formula1>"Pauschale,Nachweis,Unbekannt"</formula1>
    </dataValidation>
    <dataValidation sqref="C1986" showDropDown="0" showInputMessage="0" showErrorMessage="0" allowBlank="0" type="list">
      <formula1>"Pauschale,Nachweis,Unbekannt"</formula1>
    </dataValidation>
    <dataValidation sqref="C1987" showDropDown="0" showInputMessage="0" showErrorMessage="0" allowBlank="0" type="list">
      <formula1>"Pauschale,Nachweis,Unbekannt"</formula1>
    </dataValidation>
    <dataValidation sqref="C1988" showDropDown="0" showInputMessage="0" showErrorMessage="0" allowBlank="0" type="list">
      <formula1>"Pauschale,Nachweis,Unbekannt"</formula1>
    </dataValidation>
    <dataValidation sqref="C1989" showDropDown="0" showInputMessage="0" showErrorMessage="0" allowBlank="0" type="list">
      <formula1>"Pauschale,Nachweis,Unbekannt"</formula1>
    </dataValidation>
    <dataValidation sqref="C1990" showDropDown="0" showInputMessage="0" showErrorMessage="0" allowBlank="0" type="list">
      <formula1>"Pauschale,Nachweis,Unbekannt"</formula1>
    </dataValidation>
    <dataValidation sqref="C1991" showDropDown="0" showInputMessage="0" showErrorMessage="0" allowBlank="0" type="list">
      <formula1>"Pauschale,Nachweis,Unbekannt"</formula1>
    </dataValidation>
    <dataValidation sqref="C1992" showDropDown="0" showInputMessage="0" showErrorMessage="0" allowBlank="0" type="list">
      <formula1>"Pauschale,Nachweis,Unbekannt"</formula1>
    </dataValidation>
    <dataValidation sqref="C1993" showDropDown="0" showInputMessage="0" showErrorMessage="0" allowBlank="0" type="list">
      <formula1>"Pauschale,Nachweis,Unbekannt"</formula1>
    </dataValidation>
    <dataValidation sqref="C1994" showDropDown="0" showInputMessage="0" showErrorMessage="0" allowBlank="0" type="list">
      <formula1>"Pauschale,Nachweis,Unbekannt"</formula1>
    </dataValidation>
    <dataValidation sqref="C1995" showDropDown="0" showInputMessage="0" showErrorMessage="0" allowBlank="0" type="list">
      <formula1>"Pauschale,Nachweis,Unbekannt"</formula1>
    </dataValidation>
    <dataValidation sqref="C1996" showDropDown="0" showInputMessage="0" showErrorMessage="0" allowBlank="0" type="list">
      <formula1>"Pauschale,Nachweis,Unbekannt"</formula1>
    </dataValidation>
    <dataValidation sqref="C1997" showDropDown="0" showInputMessage="0" showErrorMessage="0" allowBlank="0" type="list">
      <formula1>"Pauschale,Nachweis,Unbekannt"</formula1>
    </dataValidation>
    <dataValidation sqref="C1998" showDropDown="0" showInputMessage="0" showErrorMessage="0" allowBlank="0" type="list">
      <formula1>"Pauschale,Nachweis,Unbekannt"</formula1>
    </dataValidation>
    <dataValidation sqref="C1999" showDropDown="0" showInputMessage="0" showErrorMessage="0" allowBlank="0" type="list">
      <formula1>"Pauschale,Nachweis,Unbekannt"</formula1>
    </dataValidation>
    <dataValidation sqref="C2000" showDropDown="0" showInputMessage="0" showErrorMessage="0" allowBlank="0" type="list">
      <formula1>"Pauschale,Nachweis,Unbekannt"</formula1>
    </dataValidation>
    <dataValidation sqref="C2001" showDropDown="0" showInputMessage="0" showErrorMessage="0" allowBlank="0" type="list">
      <formula1>"Pauschale,Nachweis,Unbekannt"</formula1>
    </dataValidation>
    <dataValidation sqref="C2002" showDropDown="0" showInputMessage="0" showErrorMessage="0" allowBlank="0" type="list">
      <formula1>"Pauschale,Nachweis,Unbekannt"</formula1>
    </dataValidation>
    <dataValidation sqref="C2003" showDropDown="0" showInputMessage="0" showErrorMessage="0" allowBlank="0" type="list">
      <formula1>"Pauschale,Nachweis,Unbekannt"</formula1>
    </dataValidation>
    <dataValidation sqref="C2004" showDropDown="0" showInputMessage="0" showErrorMessage="0" allowBlank="0" type="list">
      <formula1>"Pauschale,Nachweis,Unbekannt"</formula1>
    </dataValidation>
    <dataValidation sqref="C2005" showDropDown="0" showInputMessage="0" showErrorMessage="0" allowBlank="0" type="list">
      <formula1>"Pauschale,Nachweis,Unbekannt"</formula1>
    </dataValidation>
    <dataValidation sqref="C2006" showDropDown="0" showInputMessage="0" showErrorMessage="0" allowBlank="0" type="list">
      <formula1>"Pauschale,Nachweis,Unbekannt"</formula1>
    </dataValidation>
    <dataValidation sqref="C2007" showDropDown="0" showInputMessage="0" showErrorMessage="0" allowBlank="0" type="list">
      <formula1>"Pauschale,Nachweis,Unbekannt"</formula1>
    </dataValidation>
    <dataValidation sqref="C2008" showDropDown="0" showInputMessage="0" showErrorMessage="0" allowBlank="0" type="list">
      <formula1>"Pauschale,Nachweis,Unbekannt"</formula1>
    </dataValidation>
    <dataValidation sqref="C2009" showDropDown="0" showInputMessage="0" showErrorMessage="0" allowBlank="0" type="list">
      <formula1>"Pauschale,Nachweis,Unbekannt"</formula1>
    </dataValidation>
    <dataValidation sqref="C2010" showDropDown="0" showInputMessage="0" showErrorMessage="0" allowBlank="0" type="list">
      <formula1>"Pauschale,Nachweis,Unbekannt"</formula1>
    </dataValidation>
    <dataValidation sqref="C2011" showDropDown="0" showInputMessage="0" showErrorMessage="0" allowBlank="0" type="list">
      <formula1>"Pauschale,Nachweis,Unbekannt"</formula1>
    </dataValidation>
    <dataValidation sqref="C2012" showDropDown="0" showInputMessage="0" showErrorMessage="0" allowBlank="0" type="list">
      <formula1>"Pauschale,Nachweis,Unbekannt"</formula1>
    </dataValidation>
    <dataValidation sqref="C2013" showDropDown="0" showInputMessage="0" showErrorMessage="0" allowBlank="0" type="list">
      <formula1>"Pauschale,Nachweis,Unbekannt"</formula1>
    </dataValidation>
    <dataValidation sqref="C2014" showDropDown="0" showInputMessage="0" showErrorMessage="0" allowBlank="0" type="list">
      <formula1>"Pauschale,Nachweis,Unbekannt"</formula1>
    </dataValidation>
    <dataValidation sqref="C2015" showDropDown="0" showInputMessage="0" showErrorMessage="0" allowBlank="0" type="list">
      <formula1>"Pauschale,Nachweis,Unbekannt"</formula1>
    </dataValidation>
    <dataValidation sqref="C2016" showDropDown="0" showInputMessage="0" showErrorMessage="0" allowBlank="0" type="list">
      <formula1>"Pauschale,Nachweis,Unbekannt"</formula1>
    </dataValidation>
    <dataValidation sqref="C2017" showDropDown="0" showInputMessage="0" showErrorMessage="0" allowBlank="0" type="list">
      <formula1>"Pauschale,Nachweis,Unbekannt"</formula1>
    </dataValidation>
    <dataValidation sqref="C2018" showDropDown="0" showInputMessage="0" showErrorMessage="0" allowBlank="0" type="list">
      <formula1>"Pauschale,Nachweis,Unbekannt"</formula1>
    </dataValidation>
    <dataValidation sqref="C2019" showDropDown="0" showInputMessage="0" showErrorMessage="0" allowBlank="0" type="list">
      <formula1>"Pauschale,Nachweis,Unbekannt"</formula1>
    </dataValidation>
    <dataValidation sqref="C2020" showDropDown="0" showInputMessage="0" showErrorMessage="0" allowBlank="0" type="list">
      <formula1>"Pauschale,Nachweis,Unbekannt"</formula1>
    </dataValidation>
    <dataValidation sqref="C2021" showDropDown="0" showInputMessage="0" showErrorMessage="0" allowBlank="0" type="list">
      <formula1>"Pauschale,Nachweis,Unbekannt"</formula1>
    </dataValidation>
    <dataValidation sqref="C2022" showDropDown="0" showInputMessage="0" showErrorMessage="0" allowBlank="0" type="list">
      <formula1>"Pauschale,Nachweis,Unbekannt"</formula1>
    </dataValidation>
    <dataValidation sqref="C2023" showDropDown="0" showInputMessage="0" showErrorMessage="0" allowBlank="0" type="list">
      <formula1>"Pauschale,Nachweis,Unbekannt"</formula1>
    </dataValidation>
    <dataValidation sqref="C2024" showDropDown="0" showInputMessage="0" showErrorMessage="0" allowBlank="0" type="list">
      <formula1>"Pauschale,Nachweis,Unbekannt"</formula1>
    </dataValidation>
    <dataValidation sqref="C2025" showDropDown="0" showInputMessage="0" showErrorMessage="0" allowBlank="0" type="list">
      <formula1>"Pauschale,Nachweis,Unbekannt"</formula1>
    </dataValidation>
    <dataValidation sqref="C2026" showDropDown="0" showInputMessage="0" showErrorMessage="0" allowBlank="0" type="list">
      <formula1>"Pauschale,Nachweis,Unbekannt"</formula1>
    </dataValidation>
    <dataValidation sqref="C2027" showDropDown="0" showInputMessage="0" showErrorMessage="0" allowBlank="0" type="list">
      <formula1>"Pauschale,Nachweis,Unbekannt"</formula1>
    </dataValidation>
    <dataValidation sqref="C2028" showDropDown="0" showInputMessage="0" showErrorMessage="0" allowBlank="0" type="list">
      <formula1>"Pauschale,Nachweis,Unbekannt"</formula1>
    </dataValidation>
    <dataValidation sqref="C2029" showDropDown="0" showInputMessage="0" showErrorMessage="0" allowBlank="0" type="list">
      <formula1>"Pauschale,Nachweis,Unbekannt"</formula1>
    </dataValidation>
    <dataValidation sqref="C2030" showDropDown="0" showInputMessage="0" showErrorMessage="0" allowBlank="0" type="list">
      <formula1>"Pauschale,Nachweis,Unbekannt"</formula1>
    </dataValidation>
    <dataValidation sqref="C2031" showDropDown="0" showInputMessage="0" showErrorMessage="0" allowBlank="0" type="list">
      <formula1>"Pauschale,Nachweis,Unbekannt"</formula1>
    </dataValidation>
    <dataValidation sqref="C2032" showDropDown="0" showInputMessage="0" showErrorMessage="0" allowBlank="0" type="list">
      <formula1>"Pauschale,Nachweis,Unbekannt"</formula1>
    </dataValidation>
    <dataValidation sqref="C2033" showDropDown="0" showInputMessage="0" showErrorMessage="0" allowBlank="0" type="list">
      <formula1>"Pauschale,Nachweis,Unbekannt"</formula1>
    </dataValidation>
    <dataValidation sqref="C2034" showDropDown="0" showInputMessage="0" showErrorMessage="0" allowBlank="0" type="list">
      <formula1>"Pauschale,Nachweis,Unbekannt"</formula1>
    </dataValidation>
    <dataValidation sqref="C2035" showDropDown="0" showInputMessage="0" showErrorMessage="0" allowBlank="0" type="list">
      <formula1>"Pauschale,Nachweis,Unbekannt"</formula1>
    </dataValidation>
    <dataValidation sqref="C2036" showDropDown="0" showInputMessage="0" showErrorMessage="0" allowBlank="0" type="list">
      <formula1>"Pauschale,Nachweis,Unbekannt"</formula1>
    </dataValidation>
    <dataValidation sqref="C2037" showDropDown="0" showInputMessage="0" showErrorMessage="0" allowBlank="0" type="list">
      <formula1>"Pauschale,Nachweis,Unbekannt"</formula1>
    </dataValidation>
    <dataValidation sqref="C2038" showDropDown="0" showInputMessage="0" showErrorMessage="0" allowBlank="0" type="list">
      <formula1>"Pauschale,Nachweis,Unbekannt"</formula1>
    </dataValidation>
    <dataValidation sqref="C2039" showDropDown="0" showInputMessage="0" showErrorMessage="0" allowBlank="0" type="list">
      <formula1>"Pauschale,Nachweis,Unbekannt"</formula1>
    </dataValidation>
    <dataValidation sqref="C2040" showDropDown="0" showInputMessage="0" showErrorMessage="0" allowBlank="0" type="list">
      <formula1>"Pauschale,Nachweis,Unbekannt"</formula1>
    </dataValidation>
    <dataValidation sqref="C2041" showDropDown="0" showInputMessage="0" showErrorMessage="0" allowBlank="0" type="list">
      <formula1>"Pauschale,Nachweis,Unbekannt"</formula1>
    </dataValidation>
    <dataValidation sqref="C2042" showDropDown="0" showInputMessage="0" showErrorMessage="0" allowBlank="0" type="list">
      <formula1>"Pauschale,Nachweis,Unbekannt"</formula1>
    </dataValidation>
    <dataValidation sqref="C2043" showDropDown="0" showInputMessage="0" showErrorMessage="0" allowBlank="0" type="list">
      <formula1>"Pauschale,Nachweis,Unbekannt"</formula1>
    </dataValidation>
    <dataValidation sqref="C2044" showDropDown="0" showInputMessage="0" showErrorMessage="0" allowBlank="0" type="list">
      <formula1>"Pauschale,Nachweis,Unbekannt"</formula1>
    </dataValidation>
    <dataValidation sqref="C2045" showDropDown="0" showInputMessage="0" showErrorMessage="0" allowBlank="0" type="list">
      <formula1>"Pauschale,Nachweis,Unbekannt"</formula1>
    </dataValidation>
    <dataValidation sqref="C2046" showDropDown="0" showInputMessage="0" showErrorMessage="0" allowBlank="0" type="list">
      <formula1>"Pauschale,Nachweis,Unbekannt"</formula1>
    </dataValidation>
    <dataValidation sqref="C2047" showDropDown="0" showInputMessage="0" showErrorMessage="0" allowBlank="0" type="list">
      <formula1>"Pauschale,Nachweis,Unbekannt"</formula1>
    </dataValidation>
    <dataValidation sqref="C2048" showDropDown="0" showInputMessage="0" showErrorMessage="0" allowBlank="0" type="list">
      <formula1>"Pauschale,Nachweis,Unbekannt"</formula1>
    </dataValidation>
    <dataValidation sqref="C2049" showDropDown="0" showInputMessage="0" showErrorMessage="0" allowBlank="0" type="list">
      <formula1>"Pauschale,Nachweis,Unbekannt"</formula1>
    </dataValidation>
    <dataValidation sqref="C2050" showDropDown="0" showInputMessage="0" showErrorMessage="0" allowBlank="0" type="list">
      <formula1>"Pauschale,Nachweis,Unbekannt"</formula1>
    </dataValidation>
    <dataValidation sqref="C2051" showDropDown="0" showInputMessage="0" showErrorMessage="0" allowBlank="0" type="list">
      <formula1>"Pauschale,Nachweis,Unbekannt"</formula1>
    </dataValidation>
    <dataValidation sqref="C2052" showDropDown="0" showInputMessage="0" showErrorMessage="0" allowBlank="0" type="list">
      <formula1>"Pauschale,Nachweis,Unbekannt"</formula1>
    </dataValidation>
    <dataValidation sqref="C2053" showDropDown="0" showInputMessage="0" showErrorMessage="0" allowBlank="0" type="list">
      <formula1>"Pauschale,Nachweis,Unbekannt"</formula1>
    </dataValidation>
    <dataValidation sqref="C2054" showDropDown="0" showInputMessage="0" showErrorMessage="0" allowBlank="0" type="list">
      <formula1>"Pauschale,Nachweis,Unbekannt"</formula1>
    </dataValidation>
    <dataValidation sqref="C2055" showDropDown="0" showInputMessage="0" showErrorMessage="0" allowBlank="0" type="list">
      <formula1>"Pauschale,Nachweis,Unbekannt"</formula1>
    </dataValidation>
    <dataValidation sqref="C2056" showDropDown="0" showInputMessage="0" showErrorMessage="0" allowBlank="0" type="list">
      <formula1>"Pauschale,Nachweis,Unbekannt"</formula1>
    </dataValidation>
    <dataValidation sqref="C2057" showDropDown="0" showInputMessage="0" showErrorMessage="0" allowBlank="0" type="list">
      <formula1>"Pauschale,Nachweis,Unbekannt"</formula1>
    </dataValidation>
    <dataValidation sqref="C2058" showDropDown="0" showInputMessage="0" showErrorMessage="0" allowBlank="0" type="list">
      <formula1>"Pauschale,Nachweis,Unbekannt"</formula1>
    </dataValidation>
    <dataValidation sqref="C2059" showDropDown="0" showInputMessage="0" showErrorMessage="0" allowBlank="0" type="list">
      <formula1>"Pauschale,Nachweis,Unbekannt"</formula1>
    </dataValidation>
    <dataValidation sqref="C2060" showDropDown="0" showInputMessage="0" showErrorMessage="0" allowBlank="0" type="list">
      <formula1>"Pauschale,Nachweis,Unbekannt"</formula1>
    </dataValidation>
    <dataValidation sqref="C2061" showDropDown="0" showInputMessage="0" showErrorMessage="0" allowBlank="0" type="list">
      <formula1>"Pauschale,Nachweis,Unbekannt"</formula1>
    </dataValidation>
    <dataValidation sqref="C2062" showDropDown="0" showInputMessage="0" showErrorMessage="0" allowBlank="0" type="list">
      <formula1>"Pauschale,Nachweis,Unbekannt"</formula1>
    </dataValidation>
    <dataValidation sqref="C2063" showDropDown="0" showInputMessage="0" showErrorMessage="0" allowBlank="0" type="list">
      <formula1>"Pauschale,Nachweis,Unbekannt"</formula1>
    </dataValidation>
    <dataValidation sqref="C2064" showDropDown="0" showInputMessage="0" showErrorMessage="0" allowBlank="0" type="list">
      <formula1>"Pauschale,Nachweis,Unbekannt"</formula1>
    </dataValidation>
    <dataValidation sqref="C2065" showDropDown="0" showInputMessage="0" showErrorMessage="0" allowBlank="0" type="list">
      <formula1>"Pauschale,Nachweis,Unbekannt"</formula1>
    </dataValidation>
    <dataValidation sqref="C2066" showDropDown="0" showInputMessage="0" showErrorMessage="0" allowBlank="0" type="list">
      <formula1>"Pauschale,Nachweis,Unbekannt"</formula1>
    </dataValidation>
    <dataValidation sqref="C2067" showDropDown="0" showInputMessage="0" showErrorMessage="0" allowBlank="0" type="list">
      <formula1>"Pauschale,Nachweis,Unbekannt"</formula1>
    </dataValidation>
    <dataValidation sqref="C2068" showDropDown="0" showInputMessage="0" showErrorMessage="0" allowBlank="0" type="list">
      <formula1>"Pauschale,Nachweis,Unbekannt"</formula1>
    </dataValidation>
    <dataValidation sqref="C2069" showDropDown="0" showInputMessage="0" showErrorMessage="0" allowBlank="0" type="list">
      <formula1>"Pauschale,Nachweis,Unbekannt"</formula1>
    </dataValidation>
    <dataValidation sqref="C2070" showDropDown="0" showInputMessage="0" showErrorMessage="0" allowBlank="0" type="list">
      <formula1>"Pauschale,Nachweis,Unbekannt"</formula1>
    </dataValidation>
    <dataValidation sqref="C2071" showDropDown="0" showInputMessage="0" showErrorMessage="0" allowBlank="0" type="list">
      <formula1>"Pauschale,Nachweis,Unbekannt"</formula1>
    </dataValidation>
    <dataValidation sqref="C2072" showDropDown="0" showInputMessage="0" showErrorMessage="0" allowBlank="0" type="list">
      <formula1>"Pauschale,Nachweis,Unbekannt"</formula1>
    </dataValidation>
    <dataValidation sqref="C2073" showDropDown="0" showInputMessage="0" showErrorMessage="0" allowBlank="0" type="list">
      <formula1>"Pauschale,Nachweis,Unbekannt"</formula1>
    </dataValidation>
    <dataValidation sqref="C2074" showDropDown="0" showInputMessage="0" showErrorMessage="0" allowBlank="0" type="list">
      <formula1>"Pauschale,Nachweis,Unbekannt"</formula1>
    </dataValidation>
    <dataValidation sqref="C2075" showDropDown="0" showInputMessage="0" showErrorMessage="0" allowBlank="0" type="list">
      <formula1>"Pauschale,Nachweis,Unbekannt"</formula1>
    </dataValidation>
    <dataValidation sqref="C2076" showDropDown="0" showInputMessage="0" showErrorMessage="0" allowBlank="0" type="list">
      <formula1>"Pauschale,Nachweis,Unbekannt"</formula1>
    </dataValidation>
    <dataValidation sqref="C2077" showDropDown="0" showInputMessage="0" showErrorMessage="0" allowBlank="0" type="list">
      <formula1>"Pauschale,Nachweis,Unbekannt"</formula1>
    </dataValidation>
    <dataValidation sqref="C2078" showDropDown="0" showInputMessage="0" showErrorMessage="0" allowBlank="0" type="list">
      <formula1>"Pauschale,Nachweis,Unbekannt"</formula1>
    </dataValidation>
    <dataValidation sqref="C2079" showDropDown="0" showInputMessage="0" showErrorMessage="0" allowBlank="0" type="list">
      <formula1>"Pauschale,Nachweis,Unbekannt"</formula1>
    </dataValidation>
    <dataValidation sqref="C2080" showDropDown="0" showInputMessage="0" showErrorMessage="0" allowBlank="0" type="list">
      <formula1>"Pauschale,Nachweis,Unbekannt"</formula1>
    </dataValidation>
    <dataValidation sqref="C2081" showDropDown="0" showInputMessage="0" showErrorMessage="0" allowBlank="0" type="list">
      <formula1>"Pauschale,Nachweis,Unbekannt"</formula1>
    </dataValidation>
    <dataValidation sqref="C2082" showDropDown="0" showInputMessage="0" showErrorMessage="0" allowBlank="0" type="list">
      <formula1>"Pauschale,Nachweis,Unbekannt"</formula1>
    </dataValidation>
    <dataValidation sqref="C2083" showDropDown="0" showInputMessage="0" showErrorMessage="0" allowBlank="0" type="list">
      <formula1>"Pauschale,Nachweis,Unbekannt"</formula1>
    </dataValidation>
    <dataValidation sqref="C2084" showDropDown="0" showInputMessage="0" showErrorMessage="0" allowBlank="0" type="list">
      <formula1>"Pauschale,Nachweis,Unbekannt"</formula1>
    </dataValidation>
    <dataValidation sqref="C2085" showDropDown="0" showInputMessage="0" showErrorMessage="0" allowBlank="0" type="list">
      <formula1>"Pauschale,Nachweis,Unbekannt"</formula1>
    </dataValidation>
    <dataValidation sqref="C2086" showDropDown="0" showInputMessage="0" showErrorMessage="0" allowBlank="0" type="list">
      <formula1>"Pauschale,Nachweis,Unbekannt"</formula1>
    </dataValidation>
    <dataValidation sqref="C2087" showDropDown="0" showInputMessage="0" showErrorMessage="0" allowBlank="0" type="list">
      <formula1>"Pauschale,Nachweis,Unbekannt"</formula1>
    </dataValidation>
    <dataValidation sqref="C2088" showDropDown="0" showInputMessage="0" showErrorMessage="0" allowBlank="0" type="list">
      <formula1>"Pauschale,Nachweis,Unbekannt"</formula1>
    </dataValidation>
    <dataValidation sqref="C2089" showDropDown="0" showInputMessage="0" showErrorMessage="0" allowBlank="0" type="list">
      <formula1>"Pauschale,Nachweis,Unbekannt"</formula1>
    </dataValidation>
    <dataValidation sqref="C2090" showDropDown="0" showInputMessage="0" showErrorMessage="0" allowBlank="0" type="list">
      <formula1>"Pauschale,Nachweis,Unbekannt"</formula1>
    </dataValidation>
    <dataValidation sqref="C2091" showDropDown="0" showInputMessage="0" showErrorMessage="0" allowBlank="0" type="list">
      <formula1>"Pauschale,Nachweis,Unbekannt"</formula1>
    </dataValidation>
    <dataValidation sqref="C2092" showDropDown="0" showInputMessage="0" showErrorMessage="0" allowBlank="0" type="list">
      <formula1>"Pauschale,Nachweis,Unbekannt"</formula1>
    </dataValidation>
    <dataValidation sqref="C2093" showDropDown="0" showInputMessage="0" showErrorMessage="0" allowBlank="0" type="list">
      <formula1>"Pauschale,Nachweis,Unbekannt"</formula1>
    </dataValidation>
    <dataValidation sqref="C2094" showDropDown="0" showInputMessage="0" showErrorMessage="0" allowBlank="0" type="list">
      <formula1>"Pauschale,Nachweis,Unbekannt"</formula1>
    </dataValidation>
    <dataValidation sqref="C2095" showDropDown="0" showInputMessage="0" showErrorMessage="0" allowBlank="0" type="list">
      <formula1>"Pauschale,Nachweis,Unbekannt"</formula1>
    </dataValidation>
    <dataValidation sqref="C2096" showDropDown="0" showInputMessage="0" showErrorMessage="0" allowBlank="0" type="list">
      <formula1>"Pauschale,Nachweis,Unbekannt"</formula1>
    </dataValidation>
    <dataValidation sqref="C2097" showDropDown="0" showInputMessage="0" showErrorMessage="0" allowBlank="0" type="list">
      <formula1>"Pauschale,Nachweis,Unbekannt"</formula1>
    </dataValidation>
    <dataValidation sqref="C2098" showDropDown="0" showInputMessage="0" showErrorMessage="0" allowBlank="0" type="list">
      <formula1>"Pauschale,Nachweis,Unbekannt"</formula1>
    </dataValidation>
    <dataValidation sqref="C2099" showDropDown="0" showInputMessage="0" showErrorMessage="0" allowBlank="0" type="list">
      <formula1>"Pauschale,Nachweis,Unbekannt"</formula1>
    </dataValidation>
    <dataValidation sqref="C2100" showDropDown="0" showInputMessage="0" showErrorMessage="0" allowBlank="0" type="list">
      <formula1>"Pauschale,Nachweis,Unbekannt"</formula1>
    </dataValidation>
    <dataValidation sqref="C2101" showDropDown="0" showInputMessage="0" showErrorMessage="0" allowBlank="0" type="list">
      <formula1>"Pauschale,Nachweis,Unbekannt"</formula1>
    </dataValidation>
    <dataValidation sqref="C2102" showDropDown="0" showInputMessage="0" showErrorMessage="0" allowBlank="0" type="list">
      <formula1>"Pauschale,Nachweis,Unbekannt"</formula1>
    </dataValidation>
    <dataValidation sqref="C2103" showDropDown="0" showInputMessage="0" showErrorMessage="0" allowBlank="0" type="list">
      <formula1>"Pauschale,Nachweis,Unbekannt"</formula1>
    </dataValidation>
    <dataValidation sqref="C2104" showDropDown="0" showInputMessage="0" showErrorMessage="0" allowBlank="0" type="list">
      <formula1>"Pauschale,Nachweis,Unbekannt"</formula1>
    </dataValidation>
    <dataValidation sqref="C2105" showDropDown="0" showInputMessage="0" showErrorMessage="0" allowBlank="0" type="list">
      <formula1>"Pauschale,Nachweis,Unbekannt"</formula1>
    </dataValidation>
    <dataValidation sqref="C2106" showDropDown="0" showInputMessage="0" showErrorMessage="0" allowBlank="0" type="list">
      <formula1>"Pauschale,Nachweis,Unbekannt"</formula1>
    </dataValidation>
    <dataValidation sqref="C2107" showDropDown="0" showInputMessage="0" showErrorMessage="0" allowBlank="0" type="list">
      <formula1>"Pauschale,Nachweis,Unbekannt"</formula1>
    </dataValidation>
    <dataValidation sqref="C2108" showDropDown="0" showInputMessage="0" showErrorMessage="0" allowBlank="0" type="list">
      <formula1>"Pauschale,Nachweis,Unbekannt"</formula1>
    </dataValidation>
    <dataValidation sqref="C2109" showDropDown="0" showInputMessage="0" showErrorMessage="0" allowBlank="0" type="list">
      <formula1>"Pauschale,Nachweis,Unbekannt"</formula1>
    </dataValidation>
    <dataValidation sqref="C2110" showDropDown="0" showInputMessage="0" showErrorMessage="0" allowBlank="0" type="list">
      <formula1>"Pauschale,Nachweis,Unbekannt"</formula1>
    </dataValidation>
    <dataValidation sqref="C2111" showDropDown="0" showInputMessage="0" showErrorMessage="0" allowBlank="0" type="list">
      <formula1>"Pauschale,Nachweis,Unbekannt"</formula1>
    </dataValidation>
    <dataValidation sqref="C2112" showDropDown="0" showInputMessage="0" showErrorMessage="0" allowBlank="0" type="list">
      <formula1>"Pauschale,Nachweis,Unbekannt"</formula1>
    </dataValidation>
    <dataValidation sqref="C2113" showDropDown="0" showInputMessage="0" showErrorMessage="0" allowBlank="0" type="list">
      <formula1>"Pauschale,Nachweis,Unbekannt"</formula1>
    </dataValidation>
    <dataValidation sqref="C2114" showDropDown="0" showInputMessage="0" showErrorMessage="0" allowBlank="0" type="list">
      <formula1>"Pauschale,Nachweis,Unbekannt"</formula1>
    </dataValidation>
    <dataValidation sqref="C2115" showDropDown="0" showInputMessage="0" showErrorMessage="0" allowBlank="0" type="list">
      <formula1>"Pauschale,Nachweis,Unbekannt"</formula1>
    </dataValidation>
    <dataValidation sqref="C2116" showDropDown="0" showInputMessage="0" showErrorMessage="0" allowBlank="0" type="list">
      <formula1>"Pauschale,Nachweis,Unbekannt"</formula1>
    </dataValidation>
    <dataValidation sqref="C2117" showDropDown="0" showInputMessage="0" showErrorMessage="0" allowBlank="0" type="list">
      <formula1>"Pauschale,Nachweis,Unbekannt"</formula1>
    </dataValidation>
    <dataValidation sqref="C2118" showDropDown="0" showInputMessage="0" showErrorMessage="0" allowBlank="0" type="list">
      <formula1>"Pauschale,Nachweis,Unbekannt"</formula1>
    </dataValidation>
    <dataValidation sqref="C2119" showDropDown="0" showInputMessage="0" showErrorMessage="0" allowBlank="0" type="list">
      <formula1>"Pauschale,Nachweis,Unbekannt"</formula1>
    </dataValidation>
    <dataValidation sqref="C2120" showDropDown="0" showInputMessage="0" showErrorMessage="0" allowBlank="0" type="list">
      <formula1>"Pauschale,Nachweis,Unbekannt"</formula1>
    </dataValidation>
    <dataValidation sqref="C2121" showDropDown="0" showInputMessage="0" showErrorMessage="0" allowBlank="0" type="list">
      <formula1>"Pauschale,Nachweis,Unbekannt"</formula1>
    </dataValidation>
    <dataValidation sqref="C2122" showDropDown="0" showInputMessage="0" showErrorMessage="0" allowBlank="0" type="list">
      <formula1>"Pauschale,Nachweis,Unbekannt"</formula1>
    </dataValidation>
    <dataValidation sqref="C2123" showDropDown="0" showInputMessage="0" showErrorMessage="0" allowBlank="0" type="list">
      <formula1>"Pauschale,Nachweis,Unbekannt"</formula1>
    </dataValidation>
    <dataValidation sqref="C2124" showDropDown="0" showInputMessage="0" showErrorMessage="0" allowBlank="0" type="list">
      <formula1>"Pauschale,Nachweis,Unbekannt"</formula1>
    </dataValidation>
    <dataValidation sqref="C2125" showDropDown="0" showInputMessage="0" showErrorMessage="0" allowBlank="0" type="list">
      <formula1>"Pauschale,Nachweis,Unbekannt"</formula1>
    </dataValidation>
    <dataValidation sqref="C2126" showDropDown="0" showInputMessage="0" showErrorMessage="0" allowBlank="0" type="list">
      <formula1>"Pauschale,Nachweis,Unbekannt"</formula1>
    </dataValidation>
    <dataValidation sqref="C2127" showDropDown="0" showInputMessage="0" showErrorMessage="0" allowBlank="0" type="list">
      <formula1>"Pauschale,Nachweis,Unbekannt"</formula1>
    </dataValidation>
    <dataValidation sqref="C2128" showDropDown="0" showInputMessage="0" showErrorMessage="0" allowBlank="0" type="list">
      <formula1>"Pauschale,Nachweis,Unbekannt"</formula1>
    </dataValidation>
    <dataValidation sqref="C2129" showDropDown="0" showInputMessage="0" showErrorMessage="0" allowBlank="0" type="list">
      <formula1>"Pauschale,Nachweis,Unbekannt"</formula1>
    </dataValidation>
    <dataValidation sqref="C2130" showDropDown="0" showInputMessage="0" showErrorMessage="0" allowBlank="0" type="list">
      <formula1>"Pauschale,Nachweis,Unbekannt"</formula1>
    </dataValidation>
    <dataValidation sqref="C2131" showDropDown="0" showInputMessage="0" showErrorMessage="0" allowBlank="0" type="list">
      <formula1>"Pauschale,Nachweis,Unbekannt"</formula1>
    </dataValidation>
    <dataValidation sqref="C2132" showDropDown="0" showInputMessage="0" showErrorMessage="0" allowBlank="0" type="list">
      <formula1>"Pauschale,Nachweis,Unbekannt"</formula1>
    </dataValidation>
    <dataValidation sqref="C2133" showDropDown="0" showInputMessage="0" showErrorMessage="0" allowBlank="0" type="list">
      <formula1>"Pauschale,Nachweis,Unbekannt"</formula1>
    </dataValidation>
    <dataValidation sqref="C2134" showDropDown="0" showInputMessage="0" showErrorMessage="0" allowBlank="0" type="list">
      <formula1>"Pauschale,Nachweis,Unbekannt"</formula1>
    </dataValidation>
    <dataValidation sqref="C2135" showDropDown="0" showInputMessage="0" showErrorMessage="0" allowBlank="0" type="list">
      <formula1>"Pauschale,Nachweis,Unbekannt"</formula1>
    </dataValidation>
    <dataValidation sqref="C2136" showDropDown="0" showInputMessage="0" showErrorMessage="0" allowBlank="0" type="list">
      <formula1>"Pauschale,Nachweis,Unbekannt"</formula1>
    </dataValidation>
    <dataValidation sqref="C2137" showDropDown="0" showInputMessage="0" showErrorMessage="0" allowBlank="0" type="list">
      <formula1>"Pauschale,Nachweis,Unbekannt"</formula1>
    </dataValidation>
    <dataValidation sqref="C2138" showDropDown="0" showInputMessage="0" showErrorMessage="0" allowBlank="0" type="list">
      <formula1>"Pauschale,Nachweis,Unbekannt"</formula1>
    </dataValidation>
    <dataValidation sqref="C2139" showDropDown="0" showInputMessage="0" showErrorMessage="0" allowBlank="0" type="list">
      <formula1>"Pauschale,Nachweis,Unbekannt"</formula1>
    </dataValidation>
    <dataValidation sqref="C2140" showDropDown="0" showInputMessage="0" showErrorMessage="0" allowBlank="0" type="list">
      <formula1>"Pauschale,Nachweis,Unbekannt"</formula1>
    </dataValidation>
    <dataValidation sqref="C2141" showDropDown="0" showInputMessage="0" showErrorMessage="0" allowBlank="0" type="list">
      <formula1>"Pauschale,Nachweis,Unbekannt"</formula1>
    </dataValidation>
    <dataValidation sqref="C2142" showDropDown="0" showInputMessage="0" showErrorMessage="0" allowBlank="0" type="list">
      <formula1>"Pauschale,Nachweis,Unbekannt"</formula1>
    </dataValidation>
    <dataValidation sqref="C2143" showDropDown="0" showInputMessage="0" showErrorMessage="0" allowBlank="0" type="list">
      <formula1>"Pauschale,Nachweis,Unbekannt"</formula1>
    </dataValidation>
    <dataValidation sqref="C2144" showDropDown="0" showInputMessage="0" showErrorMessage="0" allowBlank="0" type="list">
      <formula1>"Pauschale,Nachweis,Unbekannt"</formula1>
    </dataValidation>
    <dataValidation sqref="C2145" showDropDown="0" showInputMessage="0" showErrorMessage="0" allowBlank="0" type="list">
      <formula1>"Pauschale,Nachweis,Unbekannt"</formula1>
    </dataValidation>
    <dataValidation sqref="C2146" showDropDown="0" showInputMessage="0" showErrorMessage="0" allowBlank="0" type="list">
      <formula1>"Pauschale,Nachweis,Unbekannt"</formula1>
    </dataValidation>
    <dataValidation sqref="C2147" showDropDown="0" showInputMessage="0" showErrorMessage="0" allowBlank="0" type="list">
      <formula1>"Pauschale,Nachweis,Unbekannt"</formula1>
    </dataValidation>
    <dataValidation sqref="C2148" showDropDown="0" showInputMessage="0" showErrorMessage="0" allowBlank="0" type="list">
      <formula1>"Pauschale,Nachweis,Unbekannt"</formula1>
    </dataValidation>
    <dataValidation sqref="C2149" showDropDown="0" showInputMessage="0" showErrorMessage="0" allowBlank="0" type="list">
      <formula1>"Pauschale,Nachweis,Unbekannt"</formula1>
    </dataValidation>
    <dataValidation sqref="C2150" showDropDown="0" showInputMessage="0" showErrorMessage="0" allowBlank="0" type="list">
      <formula1>"Pauschale,Nachweis,Unbekannt"</formula1>
    </dataValidation>
    <dataValidation sqref="C2151" showDropDown="0" showInputMessage="0" showErrorMessage="0" allowBlank="0" type="list">
      <formula1>"Pauschale,Nachweis,Unbekannt"</formula1>
    </dataValidation>
    <dataValidation sqref="C2152" showDropDown="0" showInputMessage="0" showErrorMessage="0" allowBlank="0" type="list">
      <formula1>"Pauschale,Nachweis,Unbekannt"</formula1>
    </dataValidation>
    <dataValidation sqref="C2153" showDropDown="0" showInputMessage="0" showErrorMessage="0" allowBlank="0" type="list">
      <formula1>"Pauschale,Nachweis,Unbekannt"</formula1>
    </dataValidation>
    <dataValidation sqref="C2154" showDropDown="0" showInputMessage="0" showErrorMessage="0" allowBlank="0" type="list">
      <formula1>"Pauschale,Nachweis,Unbekannt"</formula1>
    </dataValidation>
    <dataValidation sqref="C2155" showDropDown="0" showInputMessage="0" showErrorMessage="0" allowBlank="0" type="list">
      <formula1>"Pauschale,Nachweis,Unbekannt"</formula1>
    </dataValidation>
    <dataValidation sqref="C2156" showDropDown="0" showInputMessage="0" showErrorMessage="0" allowBlank="0" type="list">
      <formula1>"Pauschale,Nachweis,Unbekannt"</formula1>
    </dataValidation>
    <dataValidation sqref="C2157" showDropDown="0" showInputMessage="0" showErrorMessage="0" allowBlank="0" type="list">
      <formula1>"Pauschale,Nachweis,Unbekannt"</formula1>
    </dataValidation>
    <dataValidation sqref="C2158" showDropDown="0" showInputMessage="0" showErrorMessage="0" allowBlank="0" type="list">
      <formula1>"Pauschale,Nachweis,Unbekannt"</formula1>
    </dataValidation>
    <dataValidation sqref="C2159" showDropDown="0" showInputMessage="0" showErrorMessage="0" allowBlank="0" type="list">
      <formula1>"Pauschale,Nachweis,Unbekannt"</formula1>
    </dataValidation>
    <dataValidation sqref="C2160" showDropDown="0" showInputMessage="0" showErrorMessage="0" allowBlank="0" type="list">
      <formula1>"Pauschale,Nachweis,Unbekannt"</formula1>
    </dataValidation>
    <dataValidation sqref="C2161" showDropDown="0" showInputMessage="0" showErrorMessage="0" allowBlank="0" type="list">
      <formula1>"Pauschale,Nachweis,Unbekannt"</formula1>
    </dataValidation>
    <dataValidation sqref="C2162" showDropDown="0" showInputMessage="0" showErrorMessage="0" allowBlank="0" type="list">
      <formula1>"Pauschale,Nachweis,Unbekannt"</formula1>
    </dataValidation>
    <dataValidation sqref="C2163" showDropDown="0" showInputMessage="0" showErrorMessage="0" allowBlank="0" type="list">
      <formula1>"Pauschale,Nachweis,Unbekannt"</formula1>
    </dataValidation>
    <dataValidation sqref="C2164" showDropDown="0" showInputMessage="0" showErrorMessage="0" allowBlank="0" type="list">
      <formula1>"Pauschale,Nachweis,Unbekannt"</formula1>
    </dataValidation>
    <dataValidation sqref="C2165" showDropDown="0" showInputMessage="0" showErrorMessage="0" allowBlank="0" type="list">
      <formula1>"Pauschale,Nachweis,Unbekannt"</formula1>
    </dataValidation>
    <dataValidation sqref="C2166" showDropDown="0" showInputMessage="0" showErrorMessage="0" allowBlank="0" type="list">
      <formula1>"Pauschale,Nachweis,Unbekannt"</formula1>
    </dataValidation>
    <dataValidation sqref="C2167" showDropDown="0" showInputMessage="0" showErrorMessage="0" allowBlank="0" type="list">
      <formula1>"Pauschale,Nachweis,Unbekannt"</formula1>
    </dataValidation>
    <dataValidation sqref="C2168" showDropDown="0" showInputMessage="0" showErrorMessage="0" allowBlank="0" type="list">
      <formula1>"Pauschale,Nachweis,Unbekannt"</formula1>
    </dataValidation>
    <dataValidation sqref="C2169" showDropDown="0" showInputMessage="0" showErrorMessage="0" allowBlank="0" type="list">
      <formula1>"Pauschale,Nachweis,Unbekannt"</formula1>
    </dataValidation>
    <dataValidation sqref="C2170" showDropDown="0" showInputMessage="0" showErrorMessage="0" allowBlank="0" type="list">
      <formula1>"Pauschale,Nachweis,Unbekannt"</formula1>
    </dataValidation>
    <dataValidation sqref="C2171" showDropDown="0" showInputMessage="0" showErrorMessage="0" allowBlank="0" type="list">
      <formula1>"Pauschale,Nachweis,Unbekannt"</formula1>
    </dataValidation>
    <dataValidation sqref="C2172" showDropDown="0" showInputMessage="0" showErrorMessage="0" allowBlank="0" type="list">
      <formula1>"Pauschale,Nachweis,Unbekannt"</formula1>
    </dataValidation>
    <dataValidation sqref="C2173" showDropDown="0" showInputMessage="0" showErrorMessage="0" allowBlank="0" type="list">
      <formula1>"Pauschale,Nachweis,Unbekannt"</formula1>
    </dataValidation>
    <dataValidation sqref="C2174" showDropDown="0" showInputMessage="0" showErrorMessage="0" allowBlank="0" type="list">
      <formula1>"Pauschale,Nachweis,Unbekannt"</formula1>
    </dataValidation>
    <dataValidation sqref="C2175" showDropDown="0" showInputMessage="0" showErrorMessage="0" allowBlank="0" type="list">
      <formula1>"Pauschale,Nachweis,Unbekannt"</formula1>
    </dataValidation>
    <dataValidation sqref="C2176" showDropDown="0" showInputMessage="0" showErrorMessage="0" allowBlank="0" type="list">
      <formula1>"Pauschale,Nachweis,Unbekannt"</formula1>
    </dataValidation>
    <dataValidation sqref="C2177" showDropDown="0" showInputMessage="0" showErrorMessage="0" allowBlank="0" type="list">
      <formula1>"Pauschale,Nachweis,Unbekannt"</formula1>
    </dataValidation>
    <dataValidation sqref="C2178" showDropDown="0" showInputMessage="0" showErrorMessage="0" allowBlank="0" type="list">
      <formula1>"Pauschale,Nachweis,Unbekannt"</formula1>
    </dataValidation>
    <dataValidation sqref="C2179" showDropDown="0" showInputMessage="0" showErrorMessage="0" allowBlank="0" type="list">
      <formula1>"Pauschale,Nachweis,Unbekannt"</formula1>
    </dataValidation>
    <dataValidation sqref="C2180" showDropDown="0" showInputMessage="0" showErrorMessage="0" allowBlank="0" type="list">
      <formula1>"Pauschale,Nachweis,Unbekannt"</formula1>
    </dataValidation>
    <dataValidation sqref="C2181" showDropDown="0" showInputMessage="0" showErrorMessage="0" allowBlank="0" type="list">
      <formula1>"Pauschale,Nachweis,Unbekannt"</formula1>
    </dataValidation>
    <dataValidation sqref="C2182" showDropDown="0" showInputMessage="0" showErrorMessage="0" allowBlank="0" type="list">
      <formula1>"Pauschale,Nachweis,Unbekannt"</formula1>
    </dataValidation>
    <dataValidation sqref="C2183" showDropDown="0" showInputMessage="0" showErrorMessage="0" allowBlank="0" type="list">
      <formula1>"Pauschale,Nachweis,Unbekannt"</formula1>
    </dataValidation>
    <dataValidation sqref="C2184" showDropDown="0" showInputMessage="0" showErrorMessage="0" allowBlank="0" type="list">
      <formula1>"Pauschale,Nachweis,Unbekannt"</formula1>
    </dataValidation>
    <dataValidation sqref="C2185" showDropDown="0" showInputMessage="0" showErrorMessage="0" allowBlank="0" type="list">
      <formula1>"Pauschale,Nachweis,Unbekannt"</formula1>
    </dataValidation>
    <dataValidation sqref="C2186" showDropDown="0" showInputMessage="0" showErrorMessage="0" allowBlank="0" type="list">
      <formula1>"Pauschale,Nachweis,Unbekannt"</formula1>
    </dataValidation>
    <dataValidation sqref="C2187" showDropDown="0" showInputMessage="0" showErrorMessage="0" allowBlank="0" type="list">
      <formula1>"Pauschale,Nachweis,Unbekannt"</formula1>
    </dataValidation>
    <dataValidation sqref="C2188" showDropDown="0" showInputMessage="0" showErrorMessage="0" allowBlank="0" type="list">
      <formula1>"Pauschale,Nachweis,Unbekannt"</formula1>
    </dataValidation>
    <dataValidation sqref="C2189" showDropDown="0" showInputMessage="0" showErrorMessage="0" allowBlank="0" type="list">
      <formula1>"Pauschale,Nachweis,Unbekannt"</formula1>
    </dataValidation>
    <dataValidation sqref="C2190" showDropDown="0" showInputMessage="0" showErrorMessage="0" allowBlank="0" type="list">
      <formula1>"Pauschale,Nachweis,Unbekannt"</formula1>
    </dataValidation>
    <dataValidation sqref="C2191" showDropDown="0" showInputMessage="0" showErrorMessage="0" allowBlank="0" type="list">
      <formula1>"Pauschale,Nachweis,Unbekannt"</formula1>
    </dataValidation>
    <dataValidation sqref="C2192" showDropDown="0" showInputMessage="0" showErrorMessage="0" allowBlank="0" type="list">
      <formula1>"Pauschale,Nachweis,Unbekannt"</formula1>
    </dataValidation>
    <dataValidation sqref="C2193" showDropDown="0" showInputMessage="0" showErrorMessage="0" allowBlank="0" type="list">
      <formula1>"Pauschale,Nachweis,Unbekannt"</formula1>
    </dataValidation>
    <dataValidation sqref="C2194" showDropDown="0" showInputMessage="0" showErrorMessage="0" allowBlank="0" type="list">
      <formula1>"Pauschale,Nachweis,Unbekannt"</formula1>
    </dataValidation>
    <dataValidation sqref="C2195" showDropDown="0" showInputMessage="0" showErrorMessage="0" allowBlank="0" type="list">
      <formula1>"Pauschale,Nachweis,Unbekannt"</formula1>
    </dataValidation>
    <dataValidation sqref="C2196" showDropDown="0" showInputMessage="0" showErrorMessage="0" allowBlank="0" type="list">
      <formula1>"Pauschale,Nachweis,Unbekannt"</formula1>
    </dataValidation>
    <dataValidation sqref="C2197" showDropDown="0" showInputMessage="0" showErrorMessage="0" allowBlank="0" type="list">
      <formula1>"Pauschale,Nachweis,Unbekannt"</formula1>
    </dataValidation>
    <dataValidation sqref="C2198" showDropDown="0" showInputMessage="0" showErrorMessage="0" allowBlank="0" type="list">
      <formula1>"Pauschale,Nachweis,Unbekannt"</formula1>
    </dataValidation>
    <dataValidation sqref="C2199" showDropDown="0" showInputMessage="0" showErrorMessage="0" allowBlank="0" type="list">
      <formula1>"Pauschale,Nachweis,Unbekannt"</formula1>
    </dataValidation>
    <dataValidation sqref="C2200" showDropDown="0" showInputMessage="0" showErrorMessage="0" allowBlank="0" type="list">
      <formula1>"Pauschale,Nachweis,Unbekannt"</formula1>
    </dataValidation>
    <dataValidation sqref="C2201" showDropDown="0" showInputMessage="0" showErrorMessage="0" allowBlank="0" type="list">
      <formula1>"Pauschale,Nachweis,Unbekannt"</formula1>
    </dataValidation>
    <dataValidation sqref="C2202" showDropDown="0" showInputMessage="0" showErrorMessage="0" allowBlank="0" type="list">
      <formula1>"Pauschale,Nachweis,Unbekannt"</formula1>
    </dataValidation>
    <dataValidation sqref="C2203" showDropDown="0" showInputMessage="0" showErrorMessage="0" allowBlank="0" type="list">
      <formula1>"Pauschale,Nachweis,Unbekannt"</formula1>
    </dataValidation>
    <dataValidation sqref="C2204" showDropDown="0" showInputMessage="0" showErrorMessage="0" allowBlank="0" type="list">
      <formula1>"Pauschale,Nachweis,Unbekannt"</formula1>
    </dataValidation>
    <dataValidation sqref="C2205" showDropDown="0" showInputMessage="0" showErrorMessage="0" allowBlank="0" type="list">
      <formula1>"Pauschale,Nachweis,Unbekannt"</formula1>
    </dataValidation>
    <dataValidation sqref="C2206" showDropDown="0" showInputMessage="0" showErrorMessage="0" allowBlank="0" type="list">
      <formula1>"Pauschale,Nachweis,Unbekannt"</formula1>
    </dataValidation>
    <dataValidation sqref="C2207" showDropDown="0" showInputMessage="0" showErrorMessage="0" allowBlank="0" type="list">
      <formula1>"Pauschale,Nachweis,Unbekannt"</formula1>
    </dataValidation>
    <dataValidation sqref="C2208" showDropDown="0" showInputMessage="0" showErrorMessage="0" allowBlank="0" type="list">
      <formula1>"Pauschale,Nachweis,Unbekannt"</formula1>
    </dataValidation>
    <dataValidation sqref="C2209" showDropDown="0" showInputMessage="0" showErrorMessage="0" allowBlank="0" type="list">
      <formula1>"Pauschale,Nachweis,Unbekannt"</formula1>
    </dataValidation>
    <dataValidation sqref="C2210" showDropDown="0" showInputMessage="0" showErrorMessage="0" allowBlank="0" type="list">
      <formula1>"Pauschale,Nachweis,Unbekannt"</formula1>
    </dataValidation>
    <dataValidation sqref="C2211" showDropDown="0" showInputMessage="0" showErrorMessage="0" allowBlank="0" type="list">
      <formula1>"Pauschale,Nachweis,Unbekannt"</formula1>
    </dataValidation>
    <dataValidation sqref="C2212" showDropDown="0" showInputMessage="0" showErrorMessage="0" allowBlank="0" type="list">
      <formula1>"Pauschale,Nachweis,Unbekannt"</formula1>
    </dataValidation>
    <dataValidation sqref="C2213" showDropDown="0" showInputMessage="0" showErrorMessage="0" allowBlank="0" type="list">
      <formula1>"Pauschale,Nachweis,Unbekannt"</formula1>
    </dataValidation>
    <dataValidation sqref="C2214" showDropDown="0" showInputMessage="0" showErrorMessage="0" allowBlank="0" type="list">
      <formula1>"Pauschale,Nachweis,Unbekannt"</formula1>
    </dataValidation>
    <dataValidation sqref="C2215" showDropDown="0" showInputMessage="0" showErrorMessage="0" allowBlank="0" type="list">
      <formula1>"Pauschale,Nachweis,Unbekannt"</formula1>
    </dataValidation>
    <dataValidation sqref="C2216" showDropDown="0" showInputMessage="0" showErrorMessage="0" allowBlank="0" type="list">
      <formula1>"Pauschale,Nachweis,Unbekannt"</formula1>
    </dataValidation>
    <dataValidation sqref="C2217" showDropDown="0" showInputMessage="0" showErrorMessage="0" allowBlank="0" type="list">
      <formula1>"Pauschale,Nachweis,Unbekannt"</formula1>
    </dataValidation>
    <dataValidation sqref="C2218" showDropDown="0" showInputMessage="0" showErrorMessage="0" allowBlank="0" type="list">
      <formula1>"Pauschale,Nachweis,Unbekannt"</formula1>
    </dataValidation>
    <dataValidation sqref="C2219" showDropDown="0" showInputMessage="0" showErrorMessage="0" allowBlank="0" type="list">
      <formula1>"Pauschale,Nachweis,Unbekannt"</formula1>
    </dataValidation>
    <dataValidation sqref="C2220" showDropDown="0" showInputMessage="0" showErrorMessage="0" allowBlank="0" type="list">
      <formula1>"Pauschale,Nachweis,Unbekannt"</formula1>
    </dataValidation>
    <dataValidation sqref="C2221" showDropDown="0" showInputMessage="0" showErrorMessage="0" allowBlank="0" type="list">
      <formula1>"Pauschale,Nachweis,Unbekannt"</formula1>
    </dataValidation>
    <dataValidation sqref="C2222" showDropDown="0" showInputMessage="0" showErrorMessage="0" allowBlank="0" type="list">
      <formula1>"Pauschale,Nachweis,Unbekannt"</formula1>
    </dataValidation>
    <dataValidation sqref="C2223" showDropDown="0" showInputMessage="0" showErrorMessage="0" allowBlank="0" type="list">
      <formula1>"Pauschale,Nachweis,Unbekannt"</formula1>
    </dataValidation>
    <dataValidation sqref="C2224" showDropDown="0" showInputMessage="0" showErrorMessage="0" allowBlank="0" type="list">
      <formula1>"Pauschale,Nachweis,Unbekannt"</formula1>
    </dataValidation>
    <dataValidation sqref="C2225" showDropDown="0" showInputMessage="0" showErrorMessage="0" allowBlank="0" type="list">
      <formula1>"Pauschale,Nachweis,Unbekannt"</formula1>
    </dataValidation>
    <dataValidation sqref="C2226" showDropDown="0" showInputMessage="0" showErrorMessage="0" allowBlank="0" type="list">
      <formula1>"Pauschale,Nachweis,Unbekannt"</formula1>
    </dataValidation>
    <dataValidation sqref="C2227" showDropDown="0" showInputMessage="0" showErrorMessage="0" allowBlank="0" type="list">
      <formula1>"Pauschale,Nachweis,Unbekannt"</formula1>
    </dataValidation>
    <dataValidation sqref="C2228" showDropDown="0" showInputMessage="0" showErrorMessage="0" allowBlank="0" type="list">
      <formula1>"Pauschale,Nachweis,Unbekannt"</formula1>
    </dataValidation>
    <dataValidation sqref="C2229" showDropDown="0" showInputMessage="0" showErrorMessage="0" allowBlank="0" type="list">
      <formula1>"Pauschale,Nachweis,Unbekannt"</formula1>
    </dataValidation>
    <dataValidation sqref="C2230" showDropDown="0" showInputMessage="0" showErrorMessage="0" allowBlank="0" type="list">
      <formula1>"Pauschale,Nachweis,Unbekannt"</formula1>
    </dataValidation>
    <dataValidation sqref="C2231" showDropDown="0" showInputMessage="0" showErrorMessage="0" allowBlank="0" type="list">
      <formula1>"Pauschale,Nachweis,Unbekannt"</formula1>
    </dataValidation>
    <dataValidation sqref="C2232" showDropDown="0" showInputMessage="0" showErrorMessage="0" allowBlank="0" type="list">
      <formula1>"Pauschale,Nachweis,Unbekannt"</formula1>
    </dataValidation>
    <dataValidation sqref="C2233" showDropDown="0" showInputMessage="0" showErrorMessage="0" allowBlank="0" type="list">
      <formula1>"Pauschale,Nachweis,Unbekannt"</formula1>
    </dataValidation>
    <dataValidation sqref="C2234" showDropDown="0" showInputMessage="0" showErrorMessage="0" allowBlank="0" type="list">
      <formula1>"Pauschale,Nachweis,Unbekannt"</formula1>
    </dataValidation>
    <dataValidation sqref="C2235" showDropDown="0" showInputMessage="0" showErrorMessage="0" allowBlank="0" type="list">
      <formula1>"Pauschale,Nachweis,Unbekannt"</formula1>
    </dataValidation>
    <dataValidation sqref="C2236" showDropDown="0" showInputMessage="0" showErrorMessage="0" allowBlank="0" type="list">
      <formula1>"Pauschale,Nachweis,Unbekannt"</formula1>
    </dataValidation>
    <dataValidation sqref="C2237" showDropDown="0" showInputMessage="0" showErrorMessage="0" allowBlank="0" type="list">
      <formula1>"Pauschale,Nachweis,Unbekannt"</formula1>
    </dataValidation>
    <dataValidation sqref="C2238" showDropDown="0" showInputMessage="0" showErrorMessage="0" allowBlank="0" type="list">
      <formula1>"Pauschale,Nachweis,Unbekannt"</formula1>
    </dataValidation>
    <dataValidation sqref="C2239" showDropDown="0" showInputMessage="0" showErrorMessage="0" allowBlank="0" type="list">
      <formula1>"Pauschale,Nachweis,Unbekannt"</formula1>
    </dataValidation>
    <dataValidation sqref="C2240" showDropDown="0" showInputMessage="0" showErrorMessage="0" allowBlank="0" type="list">
      <formula1>"Pauschale,Nachweis,Unbekannt"</formula1>
    </dataValidation>
    <dataValidation sqref="C2241" showDropDown="0" showInputMessage="0" showErrorMessage="0" allowBlank="0" type="list">
      <formula1>"Pauschale,Nachweis,Unbekannt"</formula1>
    </dataValidation>
    <dataValidation sqref="C2242" showDropDown="0" showInputMessage="0" showErrorMessage="0" allowBlank="0" type="list">
      <formula1>"Pauschale,Nachweis,Unbekannt"</formula1>
    </dataValidation>
    <dataValidation sqref="C2243" showDropDown="0" showInputMessage="0" showErrorMessage="0" allowBlank="0" type="list">
      <formula1>"Pauschale,Nachweis,Unbekannt"</formula1>
    </dataValidation>
    <dataValidation sqref="C2244" showDropDown="0" showInputMessage="0" showErrorMessage="0" allowBlank="0" type="list">
      <formula1>"Pauschale,Nachweis,Unbekannt"</formula1>
    </dataValidation>
    <dataValidation sqref="C2245" showDropDown="0" showInputMessage="0" showErrorMessage="0" allowBlank="0" type="list">
      <formula1>"Pauschale,Nachweis,Unbekannt"</formula1>
    </dataValidation>
    <dataValidation sqref="C2246" showDropDown="0" showInputMessage="0" showErrorMessage="0" allowBlank="0" type="list">
      <formula1>"Pauschale,Nachweis,Unbekannt"</formula1>
    </dataValidation>
    <dataValidation sqref="C2247" showDropDown="0" showInputMessage="0" showErrorMessage="0" allowBlank="0" type="list">
      <formula1>"Pauschale,Nachweis,Unbekannt"</formula1>
    </dataValidation>
    <dataValidation sqref="C2248" showDropDown="0" showInputMessage="0" showErrorMessage="0" allowBlank="0" type="list">
      <formula1>"Pauschale,Nachweis,Unbekannt"</formula1>
    </dataValidation>
    <dataValidation sqref="C2249" showDropDown="0" showInputMessage="0" showErrorMessage="0" allowBlank="0" type="list">
      <formula1>"Pauschale,Nachweis,Unbekannt"</formula1>
    </dataValidation>
    <dataValidation sqref="C2250" showDropDown="0" showInputMessage="0" showErrorMessage="0" allowBlank="0" type="list">
      <formula1>"Pauschale,Nachweis,Unbekannt"</formula1>
    </dataValidation>
    <dataValidation sqref="C2251" showDropDown="0" showInputMessage="0" showErrorMessage="0" allowBlank="0" type="list">
      <formula1>"Pauschale,Nachweis,Unbekannt"</formula1>
    </dataValidation>
    <dataValidation sqref="C2252" showDropDown="0" showInputMessage="0" showErrorMessage="0" allowBlank="0" type="list">
      <formula1>"Pauschale,Nachweis,Unbekannt"</formula1>
    </dataValidation>
    <dataValidation sqref="C2253" showDropDown="0" showInputMessage="0" showErrorMessage="0" allowBlank="0" type="list">
      <formula1>"Pauschale,Nachweis,Unbekannt"</formula1>
    </dataValidation>
    <dataValidation sqref="C2254" showDropDown="0" showInputMessage="0" showErrorMessage="0" allowBlank="0" type="list">
      <formula1>"Pauschale,Nachweis,Unbekannt"</formula1>
    </dataValidation>
    <dataValidation sqref="C2255" showDropDown="0" showInputMessage="0" showErrorMessage="0" allowBlank="0" type="list">
      <formula1>"Pauschale,Nachweis,Unbekannt"</formula1>
    </dataValidation>
    <dataValidation sqref="C2256" showDropDown="0" showInputMessage="0" showErrorMessage="0" allowBlank="0" type="list">
      <formula1>"Pauschale,Nachweis,Unbekannt"</formula1>
    </dataValidation>
    <dataValidation sqref="C2257" showDropDown="0" showInputMessage="0" showErrorMessage="0" allowBlank="0" type="list">
      <formula1>"Pauschale,Nachweis,Unbekannt"</formula1>
    </dataValidation>
    <dataValidation sqref="C2258" showDropDown="0" showInputMessage="0" showErrorMessage="0" allowBlank="0" type="list">
      <formula1>"Pauschale,Nachweis,Unbekannt"</formula1>
    </dataValidation>
    <dataValidation sqref="C2259" showDropDown="0" showInputMessage="0" showErrorMessage="0" allowBlank="0" type="list">
      <formula1>"Pauschale,Nachweis,Unbekannt"</formula1>
    </dataValidation>
    <dataValidation sqref="C2260" showDropDown="0" showInputMessage="0" showErrorMessage="0" allowBlank="0" type="list">
      <formula1>"Pauschale,Nachweis,Unbekannt"</formula1>
    </dataValidation>
    <dataValidation sqref="C2261" showDropDown="0" showInputMessage="0" showErrorMessage="0" allowBlank="0" type="list">
      <formula1>"Pauschale,Nachweis,Unbekannt"</formula1>
    </dataValidation>
    <dataValidation sqref="C2262" showDropDown="0" showInputMessage="0" showErrorMessage="0" allowBlank="0" type="list">
      <formula1>"Pauschale,Nachweis,Unbekannt"</formula1>
    </dataValidation>
    <dataValidation sqref="C2263" showDropDown="0" showInputMessage="0" showErrorMessage="0" allowBlank="0" type="list">
      <formula1>"Pauschale,Nachweis,Unbekannt"</formula1>
    </dataValidation>
    <dataValidation sqref="C2264" showDropDown="0" showInputMessage="0" showErrorMessage="0" allowBlank="0" type="list">
      <formula1>"Pauschale,Nachweis,Unbekannt"</formula1>
    </dataValidation>
    <dataValidation sqref="C2265" showDropDown="0" showInputMessage="0" showErrorMessage="0" allowBlank="0" type="list">
      <formula1>"Pauschale,Nachweis,Unbekannt"</formula1>
    </dataValidation>
    <dataValidation sqref="C2266" showDropDown="0" showInputMessage="0" showErrorMessage="0" allowBlank="0" type="list">
      <formula1>"Pauschale,Nachweis,Unbekannt"</formula1>
    </dataValidation>
    <dataValidation sqref="C2267" showDropDown="0" showInputMessage="0" showErrorMessage="0" allowBlank="0" type="list">
      <formula1>"Pauschale,Nachweis,Unbekannt"</formula1>
    </dataValidation>
    <dataValidation sqref="C2268" showDropDown="0" showInputMessage="0" showErrorMessage="0" allowBlank="0" type="list">
      <formula1>"Pauschale,Nachweis,Unbekannt"</formula1>
    </dataValidation>
    <dataValidation sqref="C2269" showDropDown="0" showInputMessage="0" showErrorMessage="0" allowBlank="0" type="list">
      <formula1>"Pauschale,Nachweis,Unbekannt"</formula1>
    </dataValidation>
    <dataValidation sqref="C2270" showDropDown="0" showInputMessage="0" showErrorMessage="0" allowBlank="0" type="list">
      <formula1>"Pauschale,Nachweis,Unbekannt"</formula1>
    </dataValidation>
    <dataValidation sqref="C2271" showDropDown="0" showInputMessage="0" showErrorMessage="0" allowBlank="0" type="list">
      <formula1>"Pauschale,Nachweis,Unbekannt"</formula1>
    </dataValidation>
    <dataValidation sqref="C2272" showDropDown="0" showInputMessage="0" showErrorMessage="0" allowBlank="0" type="list">
      <formula1>"Pauschale,Nachweis,Unbekannt"</formula1>
    </dataValidation>
    <dataValidation sqref="C2273" showDropDown="0" showInputMessage="0" showErrorMessage="0" allowBlank="0" type="list">
      <formula1>"Pauschale,Nachweis,Unbekannt"</formula1>
    </dataValidation>
    <dataValidation sqref="C2274" showDropDown="0" showInputMessage="0" showErrorMessage="0" allowBlank="0" type="list">
      <formula1>"Pauschale,Nachweis,Unbekannt"</formula1>
    </dataValidation>
    <dataValidation sqref="C2275" showDropDown="0" showInputMessage="0" showErrorMessage="0" allowBlank="0" type="list">
      <formula1>"Pauschale,Nachweis,Unbekannt"</formula1>
    </dataValidation>
    <dataValidation sqref="C2276" showDropDown="0" showInputMessage="0" showErrorMessage="0" allowBlank="0" type="list">
      <formula1>"Pauschale,Nachweis,Unbekannt"</formula1>
    </dataValidation>
    <dataValidation sqref="C2277" showDropDown="0" showInputMessage="0" showErrorMessage="0" allowBlank="0" type="list">
      <formula1>"Pauschale,Nachweis,Unbekannt"</formula1>
    </dataValidation>
    <dataValidation sqref="C2278" showDropDown="0" showInputMessage="0" showErrorMessage="0" allowBlank="0" type="list">
      <formula1>"Pauschale,Nachweis,Unbekannt"</formula1>
    </dataValidation>
    <dataValidation sqref="C2279" showDropDown="0" showInputMessage="0" showErrorMessage="0" allowBlank="0" type="list">
      <formula1>"Pauschale,Nachweis,Unbekannt"</formula1>
    </dataValidation>
    <dataValidation sqref="C2280" showDropDown="0" showInputMessage="0" showErrorMessage="0" allowBlank="0" type="list">
      <formula1>"Pauschale,Nachweis,Unbekannt"</formula1>
    </dataValidation>
    <dataValidation sqref="C2281" showDropDown="0" showInputMessage="0" showErrorMessage="0" allowBlank="0" type="list">
      <formula1>"Pauschale,Nachweis,Unbekannt"</formula1>
    </dataValidation>
    <dataValidation sqref="C2282" showDropDown="0" showInputMessage="0" showErrorMessage="0" allowBlank="0" type="list">
      <formula1>"Pauschale,Nachweis,Unbekannt"</formula1>
    </dataValidation>
    <dataValidation sqref="C2283" showDropDown="0" showInputMessage="0" showErrorMessage="0" allowBlank="0" type="list">
      <formula1>"Pauschale,Nachweis,Unbekannt"</formula1>
    </dataValidation>
    <dataValidation sqref="C2284" showDropDown="0" showInputMessage="0" showErrorMessage="0" allowBlank="0" type="list">
      <formula1>"Pauschale,Nachweis,Unbekannt"</formula1>
    </dataValidation>
    <dataValidation sqref="C2285" showDropDown="0" showInputMessage="0" showErrorMessage="0" allowBlank="0" type="list">
      <formula1>"Pauschale,Nachweis,Unbekannt"</formula1>
    </dataValidation>
    <dataValidation sqref="C2286" showDropDown="0" showInputMessage="0" showErrorMessage="0" allowBlank="0" type="list">
      <formula1>"Pauschale,Nachweis,Unbekannt"</formula1>
    </dataValidation>
    <dataValidation sqref="C2287" showDropDown="0" showInputMessage="0" showErrorMessage="0" allowBlank="0" type="list">
      <formula1>"Pauschale,Nachweis,Unbekannt"</formula1>
    </dataValidation>
    <dataValidation sqref="C2288" showDropDown="0" showInputMessage="0" showErrorMessage="0" allowBlank="0" type="list">
      <formula1>"Pauschale,Nachweis,Unbekannt"</formula1>
    </dataValidation>
    <dataValidation sqref="C2289" showDropDown="0" showInputMessage="0" showErrorMessage="0" allowBlank="0" type="list">
      <formula1>"Pauschale,Nachweis,Unbekannt"</formula1>
    </dataValidation>
    <dataValidation sqref="C2290" showDropDown="0" showInputMessage="0" showErrorMessage="0" allowBlank="0" type="list">
      <formula1>"Pauschale,Nachweis,Unbekannt"</formula1>
    </dataValidation>
    <dataValidation sqref="C2291" showDropDown="0" showInputMessage="0" showErrorMessage="0" allowBlank="0" type="list">
      <formula1>"Pauschale,Nachweis,Unbekannt"</formula1>
    </dataValidation>
    <dataValidation sqref="C2292" showDropDown="0" showInputMessage="0" showErrorMessage="0" allowBlank="0" type="list">
      <formula1>"Pauschale,Nachweis,Unbekannt"</formula1>
    </dataValidation>
    <dataValidation sqref="C2293" showDropDown="0" showInputMessage="0" showErrorMessage="0" allowBlank="0" type="list">
      <formula1>"Pauschale,Nachweis,Unbekannt"</formula1>
    </dataValidation>
    <dataValidation sqref="C2294" showDropDown="0" showInputMessage="0" showErrorMessage="0" allowBlank="0" type="list">
      <formula1>"Pauschale,Nachweis,Unbekannt"</formula1>
    </dataValidation>
    <dataValidation sqref="C2295" showDropDown="0" showInputMessage="0" showErrorMessage="0" allowBlank="0" type="list">
      <formula1>"Pauschale,Nachweis,Unbekannt"</formula1>
    </dataValidation>
    <dataValidation sqref="C2296" showDropDown="0" showInputMessage="0" showErrorMessage="0" allowBlank="0" type="list">
      <formula1>"Pauschale,Nachweis,Unbekannt"</formula1>
    </dataValidation>
    <dataValidation sqref="C2297" showDropDown="0" showInputMessage="0" showErrorMessage="0" allowBlank="0" type="list">
      <formula1>"Pauschale,Nachweis,Unbekannt"</formula1>
    </dataValidation>
    <dataValidation sqref="C2298" showDropDown="0" showInputMessage="0" showErrorMessage="0" allowBlank="0" type="list">
      <formula1>"Pauschale,Nachweis,Unbekannt"</formula1>
    </dataValidation>
    <dataValidation sqref="C2299" showDropDown="0" showInputMessage="0" showErrorMessage="0" allowBlank="0" type="list">
      <formula1>"Pauschale,Nachweis,Unbekannt"</formula1>
    </dataValidation>
    <dataValidation sqref="C2300" showDropDown="0" showInputMessage="0" showErrorMessage="0" allowBlank="0" type="list">
      <formula1>"Pauschale,Nachweis,Unbekannt"</formula1>
    </dataValidation>
    <dataValidation sqref="C2301" showDropDown="0" showInputMessage="0" showErrorMessage="0" allowBlank="0" type="list">
      <formula1>"Pauschale,Nachweis,Unbekannt"</formula1>
    </dataValidation>
    <dataValidation sqref="C2302" showDropDown="0" showInputMessage="0" showErrorMessage="0" allowBlank="0" type="list">
      <formula1>"Pauschale,Nachweis,Unbekannt"</formula1>
    </dataValidation>
    <dataValidation sqref="C2303" showDropDown="0" showInputMessage="0" showErrorMessage="0" allowBlank="0" type="list">
      <formula1>"Pauschale,Nachweis,Unbekannt"</formula1>
    </dataValidation>
    <dataValidation sqref="C2304" showDropDown="0" showInputMessage="0" showErrorMessage="0" allowBlank="0" type="list">
      <formula1>"Pauschale,Nachweis,Unbekannt"</formula1>
    </dataValidation>
    <dataValidation sqref="C2305" showDropDown="0" showInputMessage="0" showErrorMessage="0" allowBlank="0" type="list">
      <formula1>"Pauschale,Nachweis,Unbekannt"</formula1>
    </dataValidation>
    <dataValidation sqref="C2306" showDropDown="0" showInputMessage="0" showErrorMessage="0" allowBlank="0" type="list">
      <formula1>"Pauschale,Nachweis,Unbekannt"</formula1>
    </dataValidation>
    <dataValidation sqref="C2307" showDropDown="0" showInputMessage="0" showErrorMessage="0" allowBlank="0" type="list">
      <formula1>"Pauschale,Nachweis,Unbekannt"</formula1>
    </dataValidation>
    <dataValidation sqref="C2308" showDropDown="0" showInputMessage="0" showErrorMessage="0" allowBlank="0" type="list">
      <formula1>"Pauschale,Nachweis,Unbekannt"</formula1>
    </dataValidation>
    <dataValidation sqref="C2309" showDropDown="0" showInputMessage="0" showErrorMessage="0" allowBlank="0" type="list">
      <formula1>"Pauschale,Nachweis,Unbekannt"</formula1>
    </dataValidation>
    <dataValidation sqref="C2310" showDropDown="0" showInputMessage="0" showErrorMessage="0" allowBlank="0" type="list">
      <formula1>"Pauschale,Nachweis,Unbekannt"</formula1>
    </dataValidation>
    <dataValidation sqref="C2311" showDropDown="0" showInputMessage="0" showErrorMessage="0" allowBlank="0" type="list">
      <formula1>"Pauschale,Nachweis,Unbekannt"</formula1>
    </dataValidation>
    <dataValidation sqref="C2312" showDropDown="0" showInputMessage="0" showErrorMessage="0" allowBlank="0" type="list">
      <formula1>"Pauschale,Nachweis,Unbekannt"</formula1>
    </dataValidation>
    <dataValidation sqref="C2313" showDropDown="0" showInputMessage="0" showErrorMessage="0" allowBlank="0" type="list">
      <formula1>"Pauschale,Nachweis,Unbekannt"</formula1>
    </dataValidation>
    <dataValidation sqref="C2314" showDropDown="0" showInputMessage="0" showErrorMessage="0" allowBlank="0" type="list">
      <formula1>"Pauschale,Nachweis,Unbekannt"</formula1>
    </dataValidation>
    <dataValidation sqref="C2315" showDropDown="0" showInputMessage="0" showErrorMessage="0" allowBlank="0" type="list">
      <formula1>"Pauschale,Nachweis,Unbekannt"</formula1>
    </dataValidation>
    <dataValidation sqref="C2316" showDropDown="0" showInputMessage="0" showErrorMessage="0" allowBlank="0" type="list">
      <formula1>"Pauschale,Nachweis,Unbekannt"</formula1>
    </dataValidation>
    <dataValidation sqref="C2317" showDropDown="0" showInputMessage="0" showErrorMessage="0" allowBlank="0" type="list">
      <formula1>"Pauschale,Nachweis,Unbekannt"</formula1>
    </dataValidation>
    <dataValidation sqref="C2318" showDropDown="0" showInputMessage="0" showErrorMessage="0" allowBlank="0" type="list">
      <formula1>"Pauschale,Nachweis,Unbekannt"</formula1>
    </dataValidation>
    <dataValidation sqref="C2319" showDropDown="0" showInputMessage="0" showErrorMessage="0" allowBlank="0" type="list">
      <formula1>"Pauschale,Nachweis,Unbekannt"</formula1>
    </dataValidation>
    <dataValidation sqref="C2320" showDropDown="0" showInputMessage="0" showErrorMessage="0" allowBlank="0" type="list">
      <formula1>"Pauschale,Nachweis,Unbekannt"</formula1>
    </dataValidation>
    <dataValidation sqref="C2321" showDropDown="0" showInputMessage="0" showErrorMessage="0" allowBlank="0" type="list">
      <formula1>"Pauschale,Nachweis,Unbekannt"</formula1>
    </dataValidation>
    <dataValidation sqref="C2322" showDropDown="0" showInputMessage="0" showErrorMessage="0" allowBlank="0" type="list">
      <formula1>"Pauschale,Nachweis,Unbekannt"</formula1>
    </dataValidation>
    <dataValidation sqref="C2323" showDropDown="0" showInputMessage="0" showErrorMessage="0" allowBlank="0" type="list">
      <formula1>"Pauschale,Nachweis,Unbekannt"</formula1>
    </dataValidation>
    <dataValidation sqref="C2324" showDropDown="0" showInputMessage="0" showErrorMessage="0" allowBlank="0" type="list">
      <formula1>"Pauschale,Nachweis,Unbekannt"</formula1>
    </dataValidation>
    <dataValidation sqref="C2325" showDropDown="0" showInputMessage="0" showErrorMessage="0" allowBlank="0" type="list">
      <formula1>"Pauschale,Nachweis,Unbekannt"</formula1>
    </dataValidation>
    <dataValidation sqref="C2326" showDropDown="0" showInputMessage="0" showErrorMessage="0" allowBlank="0" type="list">
      <formula1>"Pauschale,Nachweis,Unbekannt"</formula1>
    </dataValidation>
    <dataValidation sqref="C2327" showDropDown="0" showInputMessage="0" showErrorMessage="0" allowBlank="0" type="list">
      <formula1>"Pauschale,Nachweis,Unbekannt"</formula1>
    </dataValidation>
    <dataValidation sqref="C2328" showDropDown="0" showInputMessage="0" showErrorMessage="0" allowBlank="0" type="list">
      <formula1>"Pauschale,Nachweis,Unbekannt"</formula1>
    </dataValidation>
    <dataValidation sqref="C2329" showDropDown="0" showInputMessage="0" showErrorMessage="0" allowBlank="0" type="list">
      <formula1>"Pauschale,Nachweis,Unbekannt"</formula1>
    </dataValidation>
    <dataValidation sqref="C2330" showDropDown="0" showInputMessage="0" showErrorMessage="0" allowBlank="0" type="list">
      <formula1>"Pauschale,Nachweis,Unbekannt"</formula1>
    </dataValidation>
    <dataValidation sqref="C2331" showDropDown="0" showInputMessage="0" showErrorMessage="0" allowBlank="0" type="list">
      <formula1>"Pauschale,Nachweis,Unbekannt"</formula1>
    </dataValidation>
    <dataValidation sqref="C2332" showDropDown="0" showInputMessage="0" showErrorMessage="0" allowBlank="0" type="list">
      <formula1>"Pauschale,Nachweis,Unbekannt"</formula1>
    </dataValidation>
    <dataValidation sqref="C2333" showDropDown="0" showInputMessage="0" showErrorMessage="0" allowBlank="0" type="list">
      <formula1>"Pauschale,Nachweis,Unbekannt"</formula1>
    </dataValidation>
    <dataValidation sqref="C2334" showDropDown="0" showInputMessage="0" showErrorMessage="0" allowBlank="0" type="list">
      <formula1>"Pauschale,Nachweis,Unbekannt"</formula1>
    </dataValidation>
    <dataValidation sqref="C2335" showDropDown="0" showInputMessage="0" showErrorMessage="0" allowBlank="0" type="list">
      <formula1>"Pauschale,Nachweis,Unbekannt"</formula1>
    </dataValidation>
    <dataValidation sqref="C2336" showDropDown="0" showInputMessage="0" showErrorMessage="0" allowBlank="0" type="list">
      <formula1>"Pauschale,Nachweis,Unbekannt"</formula1>
    </dataValidation>
    <dataValidation sqref="C2337" showDropDown="0" showInputMessage="0" showErrorMessage="0" allowBlank="0" type="list">
      <formula1>"Pauschale,Nachweis,Unbekannt"</formula1>
    </dataValidation>
    <dataValidation sqref="C2338" showDropDown="0" showInputMessage="0" showErrorMessage="0" allowBlank="0" type="list">
      <formula1>"Pauschale,Nachweis,Unbekannt"</formula1>
    </dataValidation>
    <dataValidation sqref="C2339" showDropDown="0" showInputMessage="0" showErrorMessage="0" allowBlank="0" type="list">
      <formula1>"Pauschale,Nachweis,Unbekannt"</formula1>
    </dataValidation>
    <dataValidation sqref="C2340" showDropDown="0" showInputMessage="0" showErrorMessage="0" allowBlank="0" type="list">
      <formula1>"Pauschale,Nachweis,Unbekannt"</formula1>
    </dataValidation>
    <dataValidation sqref="C2341" showDropDown="0" showInputMessage="0" showErrorMessage="0" allowBlank="0" type="list">
      <formula1>"Pauschale,Nachweis,Unbekannt"</formula1>
    </dataValidation>
    <dataValidation sqref="C2342" showDropDown="0" showInputMessage="0" showErrorMessage="0" allowBlank="0" type="list">
      <formula1>"Pauschale,Nachweis,Unbekannt"</formula1>
    </dataValidation>
    <dataValidation sqref="C2343" showDropDown="0" showInputMessage="0" showErrorMessage="0" allowBlank="0" type="list">
      <formula1>"Pauschale,Nachweis,Unbekannt"</formula1>
    </dataValidation>
    <dataValidation sqref="C2344" showDropDown="0" showInputMessage="0" showErrorMessage="0" allowBlank="0" type="list">
      <formula1>"Pauschale,Nachweis,Unbekannt"</formula1>
    </dataValidation>
    <dataValidation sqref="C2345" showDropDown="0" showInputMessage="0" showErrorMessage="0" allowBlank="0" type="list">
      <formula1>"Pauschale,Nachweis,Unbekannt"</formula1>
    </dataValidation>
    <dataValidation sqref="C2346" showDropDown="0" showInputMessage="0" showErrorMessage="0" allowBlank="0" type="list">
      <formula1>"Pauschale,Nachweis,Unbekannt"</formula1>
    </dataValidation>
    <dataValidation sqref="C2347" showDropDown="0" showInputMessage="0" showErrorMessage="0" allowBlank="0" type="list">
      <formula1>"Pauschale,Nachweis,Unbekannt"</formula1>
    </dataValidation>
    <dataValidation sqref="C2348" showDropDown="0" showInputMessage="0" showErrorMessage="0" allowBlank="0" type="list">
      <formula1>"Pauschale,Nachweis,Unbekannt"</formula1>
    </dataValidation>
    <dataValidation sqref="C2349" showDropDown="0" showInputMessage="0" showErrorMessage="0" allowBlank="0" type="list">
      <formula1>"Pauschale,Nachweis,Unbekannt"</formula1>
    </dataValidation>
    <dataValidation sqref="C2350" showDropDown="0" showInputMessage="0" showErrorMessage="0" allowBlank="0" type="list">
      <formula1>"Pauschale,Nachweis,Unbekannt"</formula1>
    </dataValidation>
    <dataValidation sqref="C2351" showDropDown="0" showInputMessage="0" showErrorMessage="0" allowBlank="0" type="list">
      <formula1>"Pauschale,Nachweis,Unbekannt"</formula1>
    </dataValidation>
    <dataValidation sqref="C2352" showDropDown="0" showInputMessage="0" showErrorMessage="0" allowBlank="0" type="list">
      <formula1>"Pauschale,Nachweis,Unbekannt"</formula1>
    </dataValidation>
    <dataValidation sqref="C2353" showDropDown="0" showInputMessage="0" showErrorMessage="0" allowBlank="0" type="list">
      <formula1>"Pauschale,Nachweis,Unbekannt"</formula1>
    </dataValidation>
    <dataValidation sqref="C2354" showDropDown="0" showInputMessage="0" showErrorMessage="0" allowBlank="0" type="list">
      <formula1>"Pauschale,Nachweis,Unbekannt"</formula1>
    </dataValidation>
    <dataValidation sqref="C2355" showDropDown="0" showInputMessage="0" showErrorMessage="0" allowBlank="0" type="list">
      <formula1>"Pauschale,Nachweis,Unbekannt"</formula1>
    </dataValidation>
    <dataValidation sqref="C2356" showDropDown="0" showInputMessage="0" showErrorMessage="0" allowBlank="0" type="list">
      <formula1>"Pauschale,Nachweis,Unbekannt"</formula1>
    </dataValidation>
    <dataValidation sqref="C2357" showDropDown="0" showInputMessage="0" showErrorMessage="0" allowBlank="0" type="list">
      <formula1>"Pauschale,Nachweis,Unbekannt"</formula1>
    </dataValidation>
    <dataValidation sqref="C2358" showDropDown="0" showInputMessage="0" showErrorMessage="0" allowBlank="0" type="list">
      <formula1>"Pauschale,Nachweis,Unbekannt"</formula1>
    </dataValidation>
    <dataValidation sqref="C2359" showDropDown="0" showInputMessage="0" showErrorMessage="0" allowBlank="0" type="list">
      <formula1>"Pauschale,Nachweis,Unbekannt"</formula1>
    </dataValidation>
    <dataValidation sqref="C2360" showDropDown="0" showInputMessage="0" showErrorMessage="0" allowBlank="0" type="list">
      <formula1>"Pauschale,Nachweis,Unbekannt"</formula1>
    </dataValidation>
    <dataValidation sqref="C2361" showDropDown="0" showInputMessage="0" showErrorMessage="0" allowBlank="0" type="list">
      <formula1>"Pauschale,Nachweis,Unbekannt"</formula1>
    </dataValidation>
    <dataValidation sqref="C2362" showDropDown="0" showInputMessage="0" showErrorMessage="0" allowBlank="0" type="list">
      <formula1>"Pauschale,Nachweis,Unbekannt"</formula1>
    </dataValidation>
    <dataValidation sqref="C2363" showDropDown="0" showInputMessage="0" showErrorMessage="0" allowBlank="0" type="list">
      <formula1>"Pauschale,Nachweis,Unbekannt"</formula1>
    </dataValidation>
    <dataValidation sqref="C2364" showDropDown="0" showInputMessage="0" showErrorMessage="0" allowBlank="0" type="list">
      <formula1>"Pauschale,Nachweis,Unbekannt"</formula1>
    </dataValidation>
    <dataValidation sqref="C2365" showDropDown="0" showInputMessage="0" showErrorMessage="0" allowBlank="0" type="list">
      <formula1>"Pauschale,Nachweis,Unbekannt"</formula1>
    </dataValidation>
    <dataValidation sqref="C2366" showDropDown="0" showInputMessage="0" showErrorMessage="0" allowBlank="0" type="list">
      <formula1>"Pauschale,Nachweis,Unbekannt"</formula1>
    </dataValidation>
    <dataValidation sqref="C2367" showDropDown="0" showInputMessage="0" showErrorMessage="0" allowBlank="0" type="list">
      <formula1>"Pauschale,Nachweis,Unbekannt"</formula1>
    </dataValidation>
    <dataValidation sqref="C2368" showDropDown="0" showInputMessage="0" showErrorMessage="0" allowBlank="0" type="list">
      <formula1>"Pauschale,Nachweis,Unbekannt"</formula1>
    </dataValidation>
    <dataValidation sqref="C2369" showDropDown="0" showInputMessage="0" showErrorMessage="0" allowBlank="0" type="list">
      <formula1>"Pauschale,Nachweis,Unbekannt"</formula1>
    </dataValidation>
    <dataValidation sqref="C2370" showDropDown="0" showInputMessage="0" showErrorMessage="0" allowBlank="0" type="list">
      <formula1>"Pauschale,Nachweis,Unbekannt"</formula1>
    </dataValidation>
    <dataValidation sqref="C2371" showDropDown="0" showInputMessage="0" showErrorMessage="0" allowBlank="0" type="list">
      <formula1>"Pauschale,Nachweis,Unbekannt"</formula1>
    </dataValidation>
    <dataValidation sqref="C2372" showDropDown="0" showInputMessage="0" showErrorMessage="0" allowBlank="0" type="list">
      <formula1>"Pauschale,Nachweis,Unbekannt"</formula1>
    </dataValidation>
    <dataValidation sqref="C2373" showDropDown="0" showInputMessage="0" showErrorMessage="0" allowBlank="0" type="list">
      <formula1>"Pauschale,Nachweis,Unbekannt"</formula1>
    </dataValidation>
    <dataValidation sqref="C2374" showDropDown="0" showInputMessage="0" showErrorMessage="0" allowBlank="0" type="list">
      <formula1>"Pauschale,Nachweis,Unbekannt"</formula1>
    </dataValidation>
    <dataValidation sqref="C2375" showDropDown="0" showInputMessage="0" showErrorMessage="0" allowBlank="0" type="list">
      <formula1>"Pauschale,Nachweis,Unbekannt"</formula1>
    </dataValidation>
    <dataValidation sqref="C2376" showDropDown="0" showInputMessage="0" showErrorMessage="0" allowBlank="0" type="list">
      <formula1>"Pauschale,Nachweis,Unbekannt"</formula1>
    </dataValidation>
    <dataValidation sqref="C2377" showDropDown="0" showInputMessage="0" showErrorMessage="0" allowBlank="0" type="list">
      <formula1>"Pauschale,Nachweis,Unbekannt"</formula1>
    </dataValidation>
    <dataValidation sqref="C2378" showDropDown="0" showInputMessage="0" showErrorMessage="0" allowBlank="0" type="list">
      <formula1>"Pauschale,Nachweis,Unbekannt"</formula1>
    </dataValidation>
    <dataValidation sqref="C2379" showDropDown="0" showInputMessage="0" showErrorMessage="0" allowBlank="0" type="list">
      <formula1>"Pauschale,Nachweis,Unbekannt"</formula1>
    </dataValidation>
    <dataValidation sqref="C2380" showDropDown="0" showInputMessage="0" showErrorMessage="0" allowBlank="0" type="list">
      <formula1>"Pauschale,Nachweis,Unbekannt"</formula1>
    </dataValidation>
    <dataValidation sqref="C2381" showDropDown="0" showInputMessage="0" showErrorMessage="0" allowBlank="0" type="list">
      <formula1>"Pauschale,Nachweis,Unbekannt"</formula1>
    </dataValidation>
    <dataValidation sqref="C2382" showDropDown="0" showInputMessage="0" showErrorMessage="0" allowBlank="0" type="list">
      <formula1>"Pauschale,Nachweis,Unbekannt"</formula1>
    </dataValidation>
    <dataValidation sqref="C2383" showDropDown="0" showInputMessage="0" showErrorMessage="0" allowBlank="0" type="list">
      <formula1>"Pauschale,Nachweis,Unbekannt"</formula1>
    </dataValidation>
    <dataValidation sqref="C2384" showDropDown="0" showInputMessage="0" showErrorMessage="0" allowBlank="0" type="list">
      <formula1>"Pauschale,Nachweis,Unbekannt"</formula1>
    </dataValidation>
    <dataValidation sqref="C2385" showDropDown="0" showInputMessage="0" showErrorMessage="0" allowBlank="0" type="list">
      <formula1>"Pauschale,Nachweis,Unbekannt"</formula1>
    </dataValidation>
    <dataValidation sqref="C2386" showDropDown="0" showInputMessage="0" showErrorMessage="0" allowBlank="0" type="list">
      <formula1>"Pauschale,Nachweis,Unbekannt"</formula1>
    </dataValidation>
    <dataValidation sqref="C2387" showDropDown="0" showInputMessage="0" showErrorMessage="0" allowBlank="0" type="list">
      <formula1>"Pauschale,Nachweis,Unbekannt"</formula1>
    </dataValidation>
    <dataValidation sqref="C2388" showDropDown="0" showInputMessage="0" showErrorMessage="0" allowBlank="0" type="list">
      <formula1>"Pauschale,Nachweis,Unbekannt"</formula1>
    </dataValidation>
    <dataValidation sqref="C2389" showDropDown="0" showInputMessage="0" showErrorMessage="0" allowBlank="0" type="list">
      <formula1>"Pauschale,Nachweis,Unbekannt"</formula1>
    </dataValidation>
    <dataValidation sqref="C2390" showDropDown="0" showInputMessage="0" showErrorMessage="0" allowBlank="0" type="list">
      <formula1>"Pauschale,Nachweis,Unbekannt"</formula1>
    </dataValidation>
    <dataValidation sqref="C2391" showDropDown="0" showInputMessage="0" showErrorMessage="0" allowBlank="0" type="list">
      <formula1>"Pauschale,Nachweis,Unbekannt"</formula1>
    </dataValidation>
    <dataValidation sqref="C2392" showDropDown="0" showInputMessage="0" showErrorMessage="0" allowBlank="0" type="list">
      <formula1>"Pauschale,Nachweis,Unbekannt"</formula1>
    </dataValidation>
    <dataValidation sqref="C2393" showDropDown="0" showInputMessage="0" showErrorMessage="0" allowBlank="0" type="list">
      <formula1>"Pauschale,Nachweis,Unbekannt"</formula1>
    </dataValidation>
    <dataValidation sqref="C2394" showDropDown="0" showInputMessage="0" showErrorMessage="0" allowBlank="0" type="list">
      <formula1>"Pauschale,Nachweis,Unbekannt"</formula1>
    </dataValidation>
    <dataValidation sqref="C2395" showDropDown="0" showInputMessage="0" showErrorMessage="0" allowBlank="0" type="list">
      <formula1>"Pauschale,Nachweis,Unbekannt"</formula1>
    </dataValidation>
    <dataValidation sqref="C2396" showDropDown="0" showInputMessage="0" showErrorMessage="0" allowBlank="0" type="list">
      <formula1>"Pauschale,Nachweis,Unbekannt"</formula1>
    </dataValidation>
    <dataValidation sqref="C2397" showDropDown="0" showInputMessage="0" showErrorMessage="0" allowBlank="0" type="list">
      <formula1>"Pauschale,Nachweis,Unbekannt"</formula1>
    </dataValidation>
    <dataValidation sqref="C2398" showDropDown="0" showInputMessage="0" showErrorMessage="0" allowBlank="0" type="list">
      <formula1>"Pauschale,Nachweis,Unbekannt"</formula1>
    </dataValidation>
    <dataValidation sqref="C2399" showDropDown="0" showInputMessage="0" showErrorMessage="0" allowBlank="0" type="list">
      <formula1>"Pauschale,Nachweis,Unbekannt"</formula1>
    </dataValidation>
    <dataValidation sqref="C2400" showDropDown="0" showInputMessage="0" showErrorMessage="0" allowBlank="0" type="list">
      <formula1>"Pauschale,Nachweis,Unbekannt"</formula1>
    </dataValidation>
    <dataValidation sqref="C2401" showDropDown="0" showInputMessage="0" showErrorMessage="0" allowBlank="0" type="list">
      <formula1>"Pauschale,Nachweis,Unbekannt"</formula1>
    </dataValidation>
    <dataValidation sqref="C2402" showDropDown="0" showInputMessage="0" showErrorMessage="0" allowBlank="0" type="list">
      <formula1>"Pauschale,Nachweis,Unbekannt"</formula1>
    </dataValidation>
    <dataValidation sqref="C2403" showDropDown="0" showInputMessage="0" showErrorMessage="0" allowBlank="0" type="list">
      <formula1>"Pauschale,Nachweis,Unbekannt"</formula1>
    </dataValidation>
    <dataValidation sqref="C2404" showDropDown="0" showInputMessage="0" showErrorMessage="0" allowBlank="0" type="list">
      <formula1>"Pauschale,Nachweis,Unbekannt"</formula1>
    </dataValidation>
    <dataValidation sqref="C2405" showDropDown="0" showInputMessage="0" showErrorMessage="0" allowBlank="0" type="list">
      <formula1>"Pauschale,Nachweis,Unbekannt"</formula1>
    </dataValidation>
    <dataValidation sqref="C2406" showDropDown="0" showInputMessage="0" showErrorMessage="0" allowBlank="0" type="list">
      <formula1>"Pauschale,Nachweis,Unbekannt"</formula1>
    </dataValidation>
    <dataValidation sqref="C2407" showDropDown="0" showInputMessage="0" showErrorMessage="0" allowBlank="0" type="list">
      <formula1>"Pauschale,Nachweis,Unbekannt"</formula1>
    </dataValidation>
    <dataValidation sqref="C2408" showDropDown="0" showInputMessage="0" showErrorMessage="0" allowBlank="0" type="list">
      <formula1>"Pauschale,Nachweis,Unbekannt"</formula1>
    </dataValidation>
    <dataValidation sqref="C2409" showDropDown="0" showInputMessage="0" showErrorMessage="0" allowBlank="0" type="list">
      <formula1>"Pauschale,Nachweis,Unbekannt"</formula1>
    </dataValidation>
    <dataValidation sqref="C2410" showDropDown="0" showInputMessage="0" showErrorMessage="0" allowBlank="0" type="list">
      <formula1>"Pauschale,Nachweis,Unbekannt"</formula1>
    </dataValidation>
    <dataValidation sqref="C2411" showDropDown="0" showInputMessage="0" showErrorMessage="0" allowBlank="0" type="list">
      <formula1>"Pauschale,Nachweis,Unbekannt"</formula1>
    </dataValidation>
    <dataValidation sqref="C2412" showDropDown="0" showInputMessage="0" showErrorMessage="0" allowBlank="0" type="list">
      <formula1>"Pauschale,Nachweis,Unbekannt"</formula1>
    </dataValidation>
    <dataValidation sqref="C2413" showDropDown="0" showInputMessage="0" showErrorMessage="0" allowBlank="0" type="list">
      <formula1>"Pauschale,Nachweis,Unbekannt"</formula1>
    </dataValidation>
    <dataValidation sqref="C2414" showDropDown="0" showInputMessage="0" showErrorMessage="0" allowBlank="0" type="list">
      <formula1>"Pauschale,Nachweis,Unbekannt"</formula1>
    </dataValidation>
    <dataValidation sqref="C2415" showDropDown="0" showInputMessage="0" showErrorMessage="0" allowBlank="0" type="list">
      <formula1>"Pauschale,Nachweis,Unbekannt"</formula1>
    </dataValidation>
    <dataValidation sqref="C2416" showDropDown="0" showInputMessage="0" showErrorMessage="0" allowBlank="0" type="list">
      <formula1>"Pauschale,Nachweis,Unbekannt"</formula1>
    </dataValidation>
    <dataValidation sqref="C2417" showDropDown="0" showInputMessage="0" showErrorMessage="0" allowBlank="0" type="list">
      <formula1>"Pauschale,Nachweis,Unbekannt"</formula1>
    </dataValidation>
    <dataValidation sqref="C2418" showDropDown="0" showInputMessage="0" showErrorMessage="0" allowBlank="0" type="list">
      <formula1>"Pauschale,Nachweis,Unbekannt"</formula1>
    </dataValidation>
    <dataValidation sqref="C2419" showDropDown="0" showInputMessage="0" showErrorMessage="0" allowBlank="0" type="list">
      <formula1>"Pauschale,Nachweis,Unbekannt"</formula1>
    </dataValidation>
    <dataValidation sqref="C2420" showDropDown="0" showInputMessage="0" showErrorMessage="0" allowBlank="0" type="list">
      <formula1>"Pauschale,Nachweis,Unbekannt"</formula1>
    </dataValidation>
    <dataValidation sqref="C2421" showDropDown="0" showInputMessage="0" showErrorMessage="0" allowBlank="0" type="list">
      <formula1>"Pauschale,Nachweis,Unbekannt"</formula1>
    </dataValidation>
    <dataValidation sqref="C2422" showDropDown="0" showInputMessage="0" showErrorMessage="0" allowBlank="0" type="list">
      <formula1>"Pauschale,Nachweis,Unbekannt"</formula1>
    </dataValidation>
    <dataValidation sqref="C2423" showDropDown="0" showInputMessage="0" showErrorMessage="0" allowBlank="0" type="list">
      <formula1>"Pauschale,Nachweis,Unbekannt"</formula1>
    </dataValidation>
    <dataValidation sqref="C2424" showDropDown="0" showInputMessage="0" showErrorMessage="0" allowBlank="0" type="list">
      <formula1>"Pauschale,Nachweis,Unbekannt"</formula1>
    </dataValidation>
    <dataValidation sqref="C2425" showDropDown="0" showInputMessage="0" showErrorMessage="0" allowBlank="0" type="list">
      <formula1>"Pauschale,Nachweis,Unbekannt"</formula1>
    </dataValidation>
    <dataValidation sqref="C2426" showDropDown="0" showInputMessage="0" showErrorMessage="0" allowBlank="0" type="list">
      <formula1>"Pauschale,Nachweis,Unbekannt"</formula1>
    </dataValidation>
    <dataValidation sqref="C2427" showDropDown="0" showInputMessage="0" showErrorMessage="0" allowBlank="0" type="list">
      <formula1>"Pauschale,Nachweis,Unbekannt"</formula1>
    </dataValidation>
    <dataValidation sqref="C2428" showDropDown="0" showInputMessage="0" showErrorMessage="0" allowBlank="0" type="list">
      <formula1>"Pauschale,Nachweis,Unbekannt"</formula1>
    </dataValidation>
    <dataValidation sqref="C2429" showDropDown="0" showInputMessage="0" showErrorMessage="0" allowBlank="0" type="list">
      <formula1>"Pauschale,Nachweis,Unbekannt"</formula1>
    </dataValidation>
    <dataValidation sqref="C2430" showDropDown="0" showInputMessage="0" showErrorMessage="0" allowBlank="0" type="list">
      <formula1>"Pauschale,Nachweis,Unbekannt"</formula1>
    </dataValidation>
    <dataValidation sqref="C2431" showDropDown="0" showInputMessage="0" showErrorMessage="0" allowBlank="0" type="list">
      <formula1>"Pauschale,Nachweis,Unbekannt"</formula1>
    </dataValidation>
    <dataValidation sqref="C2432" showDropDown="0" showInputMessage="0" showErrorMessage="0" allowBlank="0" type="list">
      <formula1>"Pauschale,Nachweis,Unbekannt"</formula1>
    </dataValidation>
    <dataValidation sqref="C2433" showDropDown="0" showInputMessage="0" showErrorMessage="0" allowBlank="0" type="list">
      <formula1>"Pauschale,Nachweis,Unbekannt"</formula1>
    </dataValidation>
    <dataValidation sqref="C2434" showDropDown="0" showInputMessage="0" showErrorMessage="0" allowBlank="0" type="list">
      <formula1>"Pauschale,Nachweis,Unbekannt"</formula1>
    </dataValidation>
    <dataValidation sqref="C2435" showDropDown="0" showInputMessage="0" showErrorMessage="0" allowBlank="0" type="list">
      <formula1>"Pauschale,Nachweis,Unbekannt"</formula1>
    </dataValidation>
    <dataValidation sqref="C2436" showDropDown="0" showInputMessage="0" showErrorMessage="0" allowBlank="0" type="list">
      <formula1>"Pauschale,Nachweis,Unbekannt"</formula1>
    </dataValidation>
    <dataValidation sqref="C2437" showDropDown="0" showInputMessage="0" showErrorMessage="0" allowBlank="0" type="list">
      <formula1>"Pauschale,Nachweis,Unbekannt"</formula1>
    </dataValidation>
    <dataValidation sqref="C2438" showDropDown="0" showInputMessage="0" showErrorMessage="0" allowBlank="0" type="list">
      <formula1>"Pauschale,Nachweis,Unbekannt"</formula1>
    </dataValidation>
    <dataValidation sqref="C2439" showDropDown="0" showInputMessage="0" showErrorMessage="0" allowBlank="0" type="list">
      <formula1>"Pauschale,Nachweis,Unbekannt"</formula1>
    </dataValidation>
    <dataValidation sqref="C2440" showDropDown="0" showInputMessage="0" showErrorMessage="0" allowBlank="0" type="list">
      <formula1>"Pauschale,Nachweis,Unbekannt"</formula1>
    </dataValidation>
    <dataValidation sqref="C2441" showDropDown="0" showInputMessage="0" showErrorMessage="0" allowBlank="0" type="list">
      <formula1>"Pauschale,Nachweis,Unbekannt"</formula1>
    </dataValidation>
    <dataValidation sqref="C2442" showDropDown="0" showInputMessage="0" showErrorMessage="0" allowBlank="0" type="list">
      <formula1>"Pauschale,Nachweis,Unbekannt"</formula1>
    </dataValidation>
    <dataValidation sqref="C2443" showDropDown="0" showInputMessage="0" showErrorMessage="0" allowBlank="0" type="list">
      <formula1>"Pauschale,Nachweis,Unbekannt"</formula1>
    </dataValidation>
    <dataValidation sqref="C2444" showDropDown="0" showInputMessage="0" showErrorMessage="0" allowBlank="0" type="list">
      <formula1>"Pauschale,Nachweis,Unbekannt"</formula1>
    </dataValidation>
    <dataValidation sqref="C2445" showDropDown="0" showInputMessage="0" showErrorMessage="0" allowBlank="0" type="list">
      <formula1>"Pauschale,Nachweis,Unbekannt"</formula1>
    </dataValidation>
    <dataValidation sqref="C2446" showDropDown="0" showInputMessage="0" showErrorMessage="0" allowBlank="0" type="list">
      <formula1>"Pauschale,Nachweis,Unbekannt"</formula1>
    </dataValidation>
    <dataValidation sqref="C2447" showDropDown="0" showInputMessage="0" showErrorMessage="0" allowBlank="0" type="list">
      <formula1>"Pauschale,Nachweis,Unbekannt"</formula1>
    </dataValidation>
    <dataValidation sqref="C2448" showDropDown="0" showInputMessage="0" showErrorMessage="0" allowBlank="0" type="list">
      <formula1>"Pauschale,Nachweis,Unbekannt"</formula1>
    </dataValidation>
    <dataValidation sqref="C2449" showDropDown="0" showInputMessage="0" showErrorMessage="0" allowBlank="0" type="list">
      <formula1>"Pauschale,Nachweis,Unbekannt"</formula1>
    </dataValidation>
    <dataValidation sqref="C2450" showDropDown="0" showInputMessage="0" showErrorMessage="0" allowBlank="0" type="list">
      <formula1>"Pauschale,Nachweis,Unbekannt"</formula1>
    </dataValidation>
    <dataValidation sqref="C2451" showDropDown="0" showInputMessage="0" showErrorMessage="0" allowBlank="0" type="list">
      <formula1>"Pauschale,Nachweis,Unbekannt"</formula1>
    </dataValidation>
    <dataValidation sqref="C2452" showDropDown="0" showInputMessage="0" showErrorMessage="0" allowBlank="0" type="list">
      <formula1>"Pauschale,Nachweis,Unbekannt"</formula1>
    </dataValidation>
    <dataValidation sqref="C2453" showDropDown="0" showInputMessage="0" showErrorMessage="0" allowBlank="0" type="list">
      <formula1>"Pauschale,Nachweis,Unbekannt"</formula1>
    </dataValidation>
    <dataValidation sqref="C2454" showDropDown="0" showInputMessage="0" showErrorMessage="0" allowBlank="0" type="list">
      <formula1>"Pauschale,Nachweis,Unbekannt"</formula1>
    </dataValidation>
    <dataValidation sqref="C2455" showDropDown="0" showInputMessage="0" showErrorMessage="0" allowBlank="0" type="list">
      <formula1>"Pauschale,Nachweis,Unbekannt"</formula1>
    </dataValidation>
    <dataValidation sqref="C2456" showDropDown="0" showInputMessage="0" showErrorMessage="0" allowBlank="0" type="list">
      <formula1>"Pauschale,Nachweis,Unbekannt"</formula1>
    </dataValidation>
    <dataValidation sqref="C2457" showDropDown="0" showInputMessage="0" showErrorMessage="0" allowBlank="0" type="list">
      <formula1>"Pauschale,Nachweis,Unbekannt"</formula1>
    </dataValidation>
    <dataValidation sqref="C2458" showDropDown="0" showInputMessage="0" showErrorMessage="0" allowBlank="0" type="list">
      <formula1>"Pauschale,Nachweis,Unbekannt"</formula1>
    </dataValidation>
    <dataValidation sqref="C2459" showDropDown="0" showInputMessage="0" showErrorMessage="0" allowBlank="0" type="list">
      <formula1>"Pauschale,Nachweis,Unbekannt"</formula1>
    </dataValidation>
    <dataValidation sqref="C2460" showDropDown="0" showInputMessage="0" showErrorMessage="0" allowBlank="0" type="list">
      <formula1>"Pauschale,Nachweis,Unbekannt"</formula1>
    </dataValidation>
    <dataValidation sqref="C2461" showDropDown="0" showInputMessage="0" showErrorMessage="0" allowBlank="0" type="list">
      <formula1>"Pauschale,Nachweis,Unbekannt"</formula1>
    </dataValidation>
    <dataValidation sqref="C2462" showDropDown="0" showInputMessage="0" showErrorMessage="0" allowBlank="0" type="list">
      <formula1>"Pauschale,Nachweis,Unbekannt"</formula1>
    </dataValidation>
    <dataValidation sqref="C2463" showDropDown="0" showInputMessage="0" showErrorMessage="0" allowBlank="0" type="list">
      <formula1>"Pauschale,Nachweis,Unbekannt"</formula1>
    </dataValidation>
    <dataValidation sqref="C2464" showDropDown="0" showInputMessage="0" showErrorMessage="0" allowBlank="0" type="list">
      <formula1>"Pauschale,Nachweis,Unbekannt"</formula1>
    </dataValidation>
    <dataValidation sqref="C2465" showDropDown="0" showInputMessage="0" showErrorMessage="0" allowBlank="0" type="list">
      <formula1>"Pauschale,Nachweis,Unbekannt"</formula1>
    </dataValidation>
    <dataValidation sqref="C2466" showDropDown="0" showInputMessage="0" showErrorMessage="0" allowBlank="0" type="list">
      <formula1>"Pauschale,Nachweis,Unbekannt"</formula1>
    </dataValidation>
    <dataValidation sqref="C2467" showDropDown="0" showInputMessage="0" showErrorMessage="0" allowBlank="0" type="list">
      <formula1>"Pauschale,Nachweis,Unbekannt"</formula1>
    </dataValidation>
    <dataValidation sqref="C2468" showDropDown="0" showInputMessage="0" showErrorMessage="0" allowBlank="0" type="list">
      <formula1>"Pauschale,Nachweis,Unbekannt"</formula1>
    </dataValidation>
    <dataValidation sqref="C2469" showDropDown="0" showInputMessage="0" showErrorMessage="0" allowBlank="0" type="list">
      <formula1>"Pauschale,Nachweis,Unbekannt"</formula1>
    </dataValidation>
    <dataValidation sqref="C2470" showDropDown="0" showInputMessage="0" showErrorMessage="0" allowBlank="0" type="list">
      <formula1>"Pauschale,Nachweis,Unbekannt"</formula1>
    </dataValidation>
    <dataValidation sqref="C2471" showDropDown="0" showInputMessage="0" showErrorMessage="0" allowBlank="0" type="list">
      <formula1>"Pauschale,Nachweis,Unbekannt"</formula1>
    </dataValidation>
    <dataValidation sqref="C2472" showDropDown="0" showInputMessage="0" showErrorMessage="0" allowBlank="0" type="list">
      <formula1>"Pauschale,Nachweis,Unbekannt"</formula1>
    </dataValidation>
    <dataValidation sqref="C2473" showDropDown="0" showInputMessage="0" showErrorMessage="0" allowBlank="0" type="list">
      <formula1>"Pauschale,Nachweis,Unbekannt"</formula1>
    </dataValidation>
    <dataValidation sqref="C2474" showDropDown="0" showInputMessage="0" showErrorMessage="0" allowBlank="0" type="list">
      <formula1>"Pauschale,Nachweis,Unbekannt"</formula1>
    </dataValidation>
    <dataValidation sqref="C2475" showDropDown="0" showInputMessage="0" showErrorMessage="0" allowBlank="0" type="list">
      <formula1>"Pauschale,Nachweis,Unbekannt"</formula1>
    </dataValidation>
    <dataValidation sqref="C2476" showDropDown="0" showInputMessage="0" showErrorMessage="0" allowBlank="0" type="list">
      <formula1>"Pauschale,Nachweis,Unbekannt"</formula1>
    </dataValidation>
    <dataValidation sqref="C2477" showDropDown="0" showInputMessage="0" showErrorMessage="0" allowBlank="0" type="list">
      <formula1>"Pauschale,Nachweis,Unbekannt"</formula1>
    </dataValidation>
    <dataValidation sqref="C2478" showDropDown="0" showInputMessage="0" showErrorMessage="0" allowBlank="0" type="list">
      <formula1>"Pauschale,Nachweis,Unbekannt"</formula1>
    </dataValidation>
    <dataValidation sqref="C2479" showDropDown="0" showInputMessage="0" showErrorMessage="0" allowBlank="0" type="list">
      <formula1>"Pauschale,Nachweis,Unbekannt"</formula1>
    </dataValidation>
    <dataValidation sqref="C2480" showDropDown="0" showInputMessage="0" showErrorMessage="0" allowBlank="0" type="list">
      <formula1>"Pauschale,Nachweis,Unbekannt"</formula1>
    </dataValidation>
    <dataValidation sqref="C2481" showDropDown="0" showInputMessage="0" showErrorMessage="0" allowBlank="0" type="list">
      <formula1>"Pauschale,Nachweis,Unbekannt"</formula1>
    </dataValidation>
    <dataValidation sqref="C2482" showDropDown="0" showInputMessage="0" showErrorMessage="0" allowBlank="0" type="list">
      <formula1>"Pauschale,Nachweis,Unbekannt"</formula1>
    </dataValidation>
    <dataValidation sqref="C2483" showDropDown="0" showInputMessage="0" showErrorMessage="0" allowBlank="0" type="list">
      <formula1>"Pauschale,Nachweis,Unbekannt"</formula1>
    </dataValidation>
    <dataValidation sqref="C2484" showDropDown="0" showInputMessage="0" showErrorMessage="0" allowBlank="0" type="list">
      <formula1>"Pauschale,Nachweis,Unbekannt"</formula1>
    </dataValidation>
    <dataValidation sqref="C2485" showDropDown="0" showInputMessage="0" showErrorMessage="0" allowBlank="0" type="list">
      <formula1>"Pauschale,Nachweis,Unbekannt"</formula1>
    </dataValidation>
    <dataValidation sqref="C2486" showDropDown="0" showInputMessage="0" showErrorMessage="0" allowBlank="0" type="list">
      <formula1>"Pauschale,Nachweis,Unbekannt"</formula1>
    </dataValidation>
    <dataValidation sqref="C2487" showDropDown="0" showInputMessage="0" showErrorMessage="0" allowBlank="0" type="list">
      <formula1>"Pauschale,Nachweis,Unbekannt"</formula1>
    </dataValidation>
    <dataValidation sqref="C2488" showDropDown="0" showInputMessage="0" showErrorMessage="0" allowBlank="0" type="list">
      <formula1>"Pauschale,Nachweis,Unbekannt"</formula1>
    </dataValidation>
    <dataValidation sqref="C2489" showDropDown="0" showInputMessage="0" showErrorMessage="0" allowBlank="0" type="list">
      <formula1>"Pauschale,Nachweis,Unbekannt"</formula1>
    </dataValidation>
    <dataValidation sqref="C2490" showDropDown="0" showInputMessage="0" showErrorMessage="0" allowBlank="0" type="list">
      <formula1>"Pauschale,Nachweis,Unbekannt"</formula1>
    </dataValidation>
    <dataValidation sqref="C2491" showDropDown="0" showInputMessage="0" showErrorMessage="0" allowBlank="0" type="list">
      <formula1>"Pauschale,Nachweis,Unbekannt"</formula1>
    </dataValidation>
    <dataValidation sqref="C2492" showDropDown="0" showInputMessage="0" showErrorMessage="0" allowBlank="0" type="list">
      <formula1>"Pauschale,Nachweis,Unbekannt"</formula1>
    </dataValidation>
    <dataValidation sqref="C2493" showDropDown="0" showInputMessage="0" showErrorMessage="0" allowBlank="0" type="list">
      <formula1>"Pauschale,Nachweis,Unbekannt"</formula1>
    </dataValidation>
    <dataValidation sqref="C2494" showDropDown="0" showInputMessage="0" showErrorMessage="0" allowBlank="0" type="list">
      <formula1>"Pauschale,Nachweis,Unbekannt"</formula1>
    </dataValidation>
    <dataValidation sqref="C2495" showDropDown="0" showInputMessage="0" showErrorMessage="0" allowBlank="0" type="list">
      <formula1>"Pauschale,Nachweis,Unbekannt"</formula1>
    </dataValidation>
    <dataValidation sqref="C2496" showDropDown="0" showInputMessage="0" showErrorMessage="0" allowBlank="0" type="list">
      <formula1>"Pauschale,Nachweis,Unbekannt"</formula1>
    </dataValidation>
    <dataValidation sqref="C2497" showDropDown="0" showInputMessage="0" showErrorMessage="0" allowBlank="0" type="list">
      <formula1>"Pauschale,Nachweis,Unbekannt"</formula1>
    </dataValidation>
    <dataValidation sqref="C2498" showDropDown="0" showInputMessage="0" showErrorMessage="0" allowBlank="0" type="list">
      <formula1>"Pauschale,Nachweis,Unbekannt"</formula1>
    </dataValidation>
    <dataValidation sqref="C2499" showDropDown="0" showInputMessage="0" showErrorMessage="0" allowBlank="0" type="list">
      <formula1>"Pauschale,Nachweis,Unbekannt"</formula1>
    </dataValidation>
    <dataValidation sqref="C2500" showDropDown="0" showInputMessage="0" showErrorMessage="0" allowBlank="0" type="list">
      <formula1>"Pauschale,Nachweis,Unbekannt"</formula1>
    </dataValidation>
    <dataValidation sqref="C2501" showDropDown="0" showInputMessage="0" showErrorMessage="0" allowBlank="0" type="list">
      <formula1>"Pauschale,Nachweis,Unbekannt"</formula1>
    </dataValidation>
    <dataValidation sqref="C2502" showDropDown="0" showInputMessage="0" showErrorMessage="0" allowBlank="0" type="list">
      <formula1>"Pauschale,Nachweis,Unbekannt"</formula1>
    </dataValidation>
    <dataValidation sqref="C2503" showDropDown="0" showInputMessage="0" showErrorMessage="0" allowBlank="0" type="list">
      <formula1>"Pauschale,Nachweis,Unbekannt"</formula1>
    </dataValidation>
    <dataValidation sqref="C2504" showDropDown="0" showInputMessage="0" showErrorMessage="0" allowBlank="0" type="list">
      <formula1>"Pauschale,Nachweis,Unbekannt"</formula1>
    </dataValidation>
    <dataValidation sqref="C2505" showDropDown="0" showInputMessage="0" showErrorMessage="0" allowBlank="0" type="list">
      <formula1>"Pauschale,Nachweis,Unbekannt"</formula1>
    </dataValidation>
    <dataValidation sqref="C2506" showDropDown="0" showInputMessage="0" showErrorMessage="0" allowBlank="0" type="list">
      <formula1>"Pauschale,Nachweis,Unbekannt"</formula1>
    </dataValidation>
    <dataValidation sqref="C2507" showDropDown="0" showInputMessage="0" showErrorMessage="0" allowBlank="0" type="list">
      <formula1>"Pauschale,Nachweis,Unbekannt"</formula1>
    </dataValidation>
    <dataValidation sqref="C2508" showDropDown="0" showInputMessage="0" showErrorMessage="0" allowBlank="0" type="list">
      <formula1>"Pauschale,Nachweis,Unbekannt"</formula1>
    </dataValidation>
    <dataValidation sqref="C2509" showDropDown="0" showInputMessage="0" showErrorMessage="0" allowBlank="0" type="list">
      <formula1>"Pauschale,Nachweis,Unbekannt"</formula1>
    </dataValidation>
    <dataValidation sqref="C2510" showDropDown="0" showInputMessage="0" showErrorMessage="0" allowBlank="0" type="list">
      <formula1>"Pauschale,Nachweis,Unbekannt"</formula1>
    </dataValidation>
    <dataValidation sqref="C2511" showDropDown="0" showInputMessage="0" showErrorMessage="0" allowBlank="0" type="list">
      <formula1>"Pauschale,Nachweis,Unbekannt"</formula1>
    </dataValidation>
    <dataValidation sqref="C2512" showDropDown="0" showInputMessage="0" showErrorMessage="0" allowBlank="0" type="list">
      <formula1>"Pauschale,Nachweis,Unbekannt"</formula1>
    </dataValidation>
    <dataValidation sqref="C2513" showDropDown="0" showInputMessage="0" showErrorMessage="0" allowBlank="0" type="list">
      <formula1>"Pauschale,Nachweis,Unbekannt"</formula1>
    </dataValidation>
    <dataValidation sqref="C2514" showDropDown="0" showInputMessage="0" showErrorMessage="0" allowBlank="0" type="list">
      <formula1>"Pauschale,Nachweis,Unbekannt"</formula1>
    </dataValidation>
    <dataValidation sqref="C2515" showDropDown="0" showInputMessage="0" showErrorMessage="0" allowBlank="0" type="list">
      <formula1>"Pauschale,Nachweis,Unbekannt"</formula1>
    </dataValidation>
    <dataValidation sqref="C2516" showDropDown="0" showInputMessage="0" showErrorMessage="0" allowBlank="0" type="list">
      <formula1>"Pauschale,Nachweis,Unbekannt"</formula1>
    </dataValidation>
    <dataValidation sqref="C2517" showDropDown="0" showInputMessage="0" showErrorMessage="0" allowBlank="0" type="list">
      <formula1>"Pauschale,Nachweis,Unbekannt"</formula1>
    </dataValidation>
    <dataValidation sqref="C2518" showDropDown="0" showInputMessage="0" showErrorMessage="0" allowBlank="0" type="list">
      <formula1>"Pauschale,Nachweis,Unbekannt"</formula1>
    </dataValidation>
    <dataValidation sqref="C2519" showDropDown="0" showInputMessage="0" showErrorMessage="0" allowBlank="0" type="list">
      <formula1>"Pauschale,Nachweis,Unbekannt"</formula1>
    </dataValidation>
    <dataValidation sqref="C2520" showDropDown="0" showInputMessage="0" showErrorMessage="0" allowBlank="0" type="list">
      <formula1>"Pauschale,Nachweis,Unbekannt"</formula1>
    </dataValidation>
    <dataValidation sqref="C2521" showDropDown="0" showInputMessage="0" showErrorMessage="0" allowBlank="0" type="list">
      <formula1>"Pauschale,Nachweis,Unbekannt"</formula1>
    </dataValidation>
    <dataValidation sqref="C2522" showDropDown="0" showInputMessage="0" showErrorMessage="0" allowBlank="0" type="list">
      <formula1>"Pauschale,Nachweis,Unbekannt"</formula1>
    </dataValidation>
    <dataValidation sqref="C2523" showDropDown="0" showInputMessage="0" showErrorMessage="0" allowBlank="0" type="list">
      <formula1>"Pauschale,Nachweis,Unbekannt"</formula1>
    </dataValidation>
    <dataValidation sqref="C2524" showDropDown="0" showInputMessage="0" showErrorMessage="0" allowBlank="0" type="list">
      <formula1>"Pauschale,Nachweis,Unbekannt"</formula1>
    </dataValidation>
    <dataValidation sqref="C2525" showDropDown="0" showInputMessage="0" showErrorMessage="0" allowBlank="0" type="list">
      <formula1>"Pauschale,Nachweis,Unbekannt"</formula1>
    </dataValidation>
    <dataValidation sqref="C2526" showDropDown="0" showInputMessage="0" showErrorMessage="0" allowBlank="0" type="list">
      <formula1>"Pauschale,Nachweis,Unbekannt"</formula1>
    </dataValidation>
    <dataValidation sqref="C2527" showDropDown="0" showInputMessage="0" showErrorMessage="0" allowBlank="0" type="list">
      <formula1>"Pauschale,Nachweis,Unbekannt"</formula1>
    </dataValidation>
    <dataValidation sqref="C2528" showDropDown="0" showInputMessage="0" showErrorMessage="0" allowBlank="0" type="list">
      <formula1>"Pauschale,Nachweis,Unbekannt"</formula1>
    </dataValidation>
    <dataValidation sqref="C2529" showDropDown="0" showInputMessage="0" showErrorMessage="0" allowBlank="0" type="list">
      <formula1>"Pauschale,Nachweis,Unbekannt"</formula1>
    </dataValidation>
    <dataValidation sqref="C2530" showDropDown="0" showInputMessage="0" showErrorMessage="0" allowBlank="0" type="list">
      <formula1>"Pauschale,Nachweis,Unbekannt"</formula1>
    </dataValidation>
    <dataValidation sqref="C2531" showDropDown="0" showInputMessage="0" showErrorMessage="0" allowBlank="0" type="list">
      <formula1>"Pauschale,Nachweis,Unbekannt"</formula1>
    </dataValidation>
    <dataValidation sqref="C2532" showDropDown="0" showInputMessage="0" showErrorMessage="0" allowBlank="0" type="list">
      <formula1>"Pauschale,Nachweis,Unbekannt"</formula1>
    </dataValidation>
    <dataValidation sqref="C2533" showDropDown="0" showInputMessage="0" showErrorMessage="0" allowBlank="0" type="list">
      <formula1>"Pauschale,Nachweis,Unbekannt"</formula1>
    </dataValidation>
    <dataValidation sqref="C2534" showDropDown="0" showInputMessage="0" showErrorMessage="0" allowBlank="0" type="list">
      <formula1>"Pauschale,Nachweis,Unbekannt"</formula1>
    </dataValidation>
    <dataValidation sqref="C2535" showDropDown="0" showInputMessage="0" showErrorMessage="0" allowBlank="0" type="list">
      <formula1>"Pauschale,Nachweis,Unbekannt"</formula1>
    </dataValidation>
    <dataValidation sqref="C2536" showDropDown="0" showInputMessage="0" showErrorMessage="0" allowBlank="0" type="list">
      <formula1>"Pauschale,Nachweis,Unbekannt"</formula1>
    </dataValidation>
    <dataValidation sqref="C2537" showDropDown="0" showInputMessage="0" showErrorMessage="0" allowBlank="0" type="list">
      <formula1>"Pauschale,Nachweis,Unbekannt"</formula1>
    </dataValidation>
    <dataValidation sqref="C2538" showDropDown="0" showInputMessage="0" showErrorMessage="0" allowBlank="0" type="list">
      <formula1>"Pauschale,Nachweis,Unbekannt"</formula1>
    </dataValidation>
    <dataValidation sqref="C2539" showDropDown="0" showInputMessage="0" showErrorMessage="0" allowBlank="0" type="list">
      <formula1>"Pauschale,Nachweis,Unbekannt"</formula1>
    </dataValidation>
    <dataValidation sqref="C2540" showDropDown="0" showInputMessage="0" showErrorMessage="0" allowBlank="0" type="list">
      <formula1>"Pauschale,Nachweis,Unbekannt"</formula1>
    </dataValidation>
    <dataValidation sqref="C2541" showDropDown="0" showInputMessage="0" showErrorMessage="0" allowBlank="0" type="list">
      <formula1>"Pauschale,Nachweis,Unbekannt"</formula1>
    </dataValidation>
    <dataValidation sqref="C2542" showDropDown="0" showInputMessage="0" showErrorMessage="0" allowBlank="0" type="list">
      <formula1>"Pauschale,Nachweis,Unbekannt"</formula1>
    </dataValidation>
    <dataValidation sqref="C2543" showDropDown="0" showInputMessage="0" showErrorMessage="0" allowBlank="0" type="list">
      <formula1>"Pauschale,Nachweis,Unbekannt"</formula1>
    </dataValidation>
    <dataValidation sqref="C2544" showDropDown="0" showInputMessage="0" showErrorMessage="0" allowBlank="0" type="list">
      <formula1>"Pauschale,Nachweis,Unbekannt"</formula1>
    </dataValidation>
    <dataValidation sqref="C2545" showDropDown="0" showInputMessage="0" showErrorMessage="0" allowBlank="0" type="list">
      <formula1>"Pauschale,Nachweis,Unbekannt"</formula1>
    </dataValidation>
    <dataValidation sqref="C2546" showDropDown="0" showInputMessage="0" showErrorMessage="0" allowBlank="0" type="list">
      <formula1>"Pauschale,Nachweis,Unbekannt"</formula1>
    </dataValidation>
    <dataValidation sqref="C2547" showDropDown="0" showInputMessage="0" showErrorMessage="0" allowBlank="0" type="list">
      <formula1>"Pauschale,Nachweis,Unbekannt"</formula1>
    </dataValidation>
    <dataValidation sqref="C2548" showDropDown="0" showInputMessage="0" showErrorMessage="0" allowBlank="0" type="list">
      <formula1>"Pauschale,Nachweis,Unbekannt"</formula1>
    </dataValidation>
    <dataValidation sqref="C2549" showDropDown="0" showInputMessage="0" showErrorMessage="0" allowBlank="0" type="list">
      <formula1>"Pauschale,Nachweis,Unbekannt"</formula1>
    </dataValidation>
    <dataValidation sqref="C2550" showDropDown="0" showInputMessage="0" showErrorMessage="0" allowBlank="0" type="list">
      <formula1>"Pauschale,Nachweis,Unbekannt"</formula1>
    </dataValidation>
    <dataValidation sqref="C2551" showDropDown="0" showInputMessage="0" showErrorMessage="0" allowBlank="0" type="list">
      <formula1>"Pauschale,Nachweis,Unbekannt"</formula1>
    </dataValidation>
    <dataValidation sqref="C2552" showDropDown="0" showInputMessage="0" showErrorMessage="0" allowBlank="0" type="list">
      <formula1>"Pauschale,Nachweis,Unbekannt"</formula1>
    </dataValidation>
    <dataValidation sqref="C2553" showDropDown="0" showInputMessage="0" showErrorMessage="0" allowBlank="0" type="list">
      <formula1>"Pauschale,Nachweis,Unbekannt"</formula1>
    </dataValidation>
    <dataValidation sqref="C2554" showDropDown="0" showInputMessage="0" showErrorMessage="0" allowBlank="0" type="list">
      <formula1>"Pauschale,Nachweis,Unbekannt"</formula1>
    </dataValidation>
    <dataValidation sqref="C2555" showDropDown="0" showInputMessage="0" showErrorMessage="0" allowBlank="0" type="list">
      <formula1>"Pauschale,Nachweis,Unbekannt"</formula1>
    </dataValidation>
    <dataValidation sqref="C2556" showDropDown="0" showInputMessage="0" showErrorMessage="0" allowBlank="0" type="list">
      <formula1>"Pauschale,Nachweis,Unbekannt"</formula1>
    </dataValidation>
    <dataValidation sqref="C2557" showDropDown="0" showInputMessage="0" showErrorMessage="0" allowBlank="0" type="list">
      <formula1>"Pauschale,Nachweis,Unbekannt"</formula1>
    </dataValidation>
    <dataValidation sqref="C2558" showDropDown="0" showInputMessage="0" showErrorMessage="0" allowBlank="0" type="list">
      <formula1>"Pauschale,Nachweis,Unbekannt"</formula1>
    </dataValidation>
    <dataValidation sqref="C2559" showDropDown="0" showInputMessage="0" showErrorMessage="0" allowBlank="0" type="list">
      <formula1>"Pauschale,Nachweis,Unbekannt"</formula1>
    </dataValidation>
    <dataValidation sqref="C2560" showDropDown="0" showInputMessage="0" showErrorMessage="0" allowBlank="0" type="list">
      <formula1>"Pauschale,Nachweis,Unbekannt"</formula1>
    </dataValidation>
    <dataValidation sqref="C2561" showDropDown="0" showInputMessage="0" showErrorMessage="0" allowBlank="0" type="list">
      <formula1>"Pauschale,Nachweis,Unbekannt"</formula1>
    </dataValidation>
    <dataValidation sqref="C2562" showDropDown="0" showInputMessage="0" showErrorMessage="0" allowBlank="0" type="list">
      <formula1>"Pauschale,Nachweis,Unbekannt"</formula1>
    </dataValidation>
    <dataValidation sqref="C2563" showDropDown="0" showInputMessage="0" showErrorMessage="0" allowBlank="0" type="list">
      <formula1>"Pauschale,Nachweis,Unbekannt"</formula1>
    </dataValidation>
    <dataValidation sqref="C2564" showDropDown="0" showInputMessage="0" showErrorMessage="0" allowBlank="0" type="list">
      <formula1>"Pauschale,Nachweis,Unbekannt"</formula1>
    </dataValidation>
    <dataValidation sqref="C2565" showDropDown="0" showInputMessage="0" showErrorMessage="0" allowBlank="0" type="list">
      <formula1>"Pauschale,Nachweis,Unbekannt"</formula1>
    </dataValidation>
    <dataValidation sqref="C2566" showDropDown="0" showInputMessage="0" showErrorMessage="0" allowBlank="0" type="list">
      <formula1>"Pauschale,Nachweis,Unbekannt"</formula1>
    </dataValidation>
    <dataValidation sqref="C2567" showDropDown="0" showInputMessage="0" showErrorMessage="0" allowBlank="0" type="list">
      <formula1>"Pauschale,Nachweis,Unbekannt"</formula1>
    </dataValidation>
    <dataValidation sqref="C2568" showDropDown="0" showInputMessage="0" showErrorMessage="0" allowBlank="0" type="list">
      <formula1>"Pauschale,Nachweis,Unbekannt"</formula1>
    </dataValidation>
    <dataValidation sqref="C2569" showDropDown="0" showInputMessage="0" showErrorMessage="0" allowBlank="0" type="list">
      <formula1>"Pauschale,Nachweis,Unbekannt"</formula1>
    </dataValidation>
    <dataValidation sqref="C2570" showDropDown="0" showInputMessage="0" showErrorMessage="0" allowBlank="0" type="list">
      <formula1>"Pauschale,Nachweis,Unbekannt"</formula1>
    </dataValidation>
    <dataValidation sqref="C2571" showDropDown="0" showInputMessage="0" showErrorMessage="0" allowBlank="0" type="list">
      <formula1>"Pauschale,Nachweis,Unbekannt"</formula1>
    </dataValidation>
    <dataValidation sqref="C2572" showDropDown="0" showInputMessage="0" showErrorMessage="0" allowBlank="0" type="list">
      <formula1>"Pauschale,Nachweis,Unbekannt"</formula1>
    </dataValidation>
    <dataValidation sqref="C2573" showDropDown="0" showInputMessage="0" showErrorMessage="0" allowBlank="0" type="list">
      <formula1>"Pauschale,Nachweis,Unbekannt"</formula1>
    </dataValidation>
    <dataValidation sqref="C2574" showDropDown="0" showInputMessage="0" showErrorMessage="0" allowBlank="0" type="list">
      <formula1>"Pauschale,Nachweis,Unbekannt"</formula1>
    </dataValidation>
    <dataValidation sqref="C2575" showDropDown="0" showInputMessage="0" showErrorMessage="0" allowBlank="0" type="list">
      <formula1>"Pauschale,Nachweis,Unbekannt"</formula1>
    </dataValidation>
    <dataValidation sqref="C2576" showDropDown="0" showInputMessage="0" showErrorMessage="0" allowBlank="0" type="list">
      <formula1>"Pauschale,Nachweis,Unbekannt"</formula1>
    </dataValidation>
    <dataValidation sqref="C2577" showDropDown="0" showInputMessage="0" showErrorMessage="0" allowBlank="0" type="list">
      <formula1>"Pauschale,Nachweis,Unbekannt"</formula1>
    </dataValidation>
    <dataValidation sqref="C2578" showDropDown="0" showInputMessage="0" showErrorMessage="0" allowBlank="0" type="list">
      <formula1>"Pauschale,Nachweis,Unbekannt"</formula1>
    </dataValidation>
    <dataValidation sqref="C2579" showDropDown="0" showInputMessage="0" showErrorMessage="0" allowBlank="0" type="list">
      <formula1>"Pauschale,Nachweis,Unbekannt"</formula1>
    </dataValidation>
    <dataValidation sqref="C2580" showDropDown="0" showInputMessage="0" showErrorMessage="0" allowBlank="0" type="list">
      <formula1>"Pauschale,Nachweis,Unbekannt"</formula1>
    </dataValidation>
    <dataValidation sqref="C2581" showDropDown="0" showInputMessage="0" showErrorMessage="0" allowBlank="0" type="list">
      <formula1>"Pauschale,Nachweis,Unbekannt"</formula1>
    </dataValidation>
    <dataValidation sqref="C2582" showDropDown="0" showInputMessage="0" showErrorMessage="0" allowBlank="0" type="list">
      <formula1>"Pauschale,Nachweis,Unbekannt"</formula1>
    </dataValidation>
    <dataValidation sqref="C2583" showDropDown="0" showInputMessage="0" showErrorMessage="0" allowBlank="0" type="list">
      <formula1>"Pauschale,Nachweis,Unbekannt"</formula1>
    </dataValidation>
    <dataValidation sqref="C2584" showDropDown="0" showInputMessage="0" showErrorMessage="0" allowBlank="0" type="list">
      <formula1>"Pauschale,Nachweis,Unbekannt"</formula1>
    </dataValidation>
    <dataValidation sqref="C2585" showDropDown="0" showInputMessage="0" showErrorMessage="0" allowBlank="0" type="list">
      <formula1>"Pauschale,Nachweis,Unbekannt"</formula1>
    </dataValidation>
    <dataValidation sqref="C2586" showDropDown="0" showInputMessage="0" showErrorMessage="0" allowBlank="0" type="list">
      <formula1>"Pauschale,Nachweis,Unbekannt"</formula1>
    </dataValidation>
    <dataValidation sqref="C2587" showDropDown="0" showInputMessage="0" showErrorMessage="0" allowBlank="0" type="list">
      <formula1>"Pauschale,Nachweis,Unbekannt"</formula1>
    </dataValidation>
    <dataValidation sqref="C2588" showDropDown="0" showInputMessage="0" showErrorMessage="0" allowBlank="0" type="list">
      <formula1>"Pauschale,Nachweis,Unbekannt"</formula1>
    </dataValidation>
    <dataValidation sqref="C2589" showDropDown="0" showInputMessage="0" showErrorMessage="0" allowBlank="0" type="list">
      <formula1>"Pauschale,Nachweis,Unbekannt"</formula1>
    </dataValidation>
    <dataValidation sqref="C2590" showDropDown="0" showInputMessage="0" showErrorMessage="0" allowBlank="0" type="list">
      <formula1>"Pauschale,Nachweis,Unbekannt"</formula1>
    </dataValidation>
    <dataValidation sqref="C2591" showDropDown="0" showInputMessage="0" showErrorMessage="0" allowBlank="0" type="list">
      <formula1>"Pauschale,Nachweis,Unbekannt"</formula1>
    </dataValidation>
    <dataValidation sqref="C2592" showDropDown="0" showInputMessage="0" showErrorMessage="0" allowBlank="0" type="list">
      <formula1>"Pauschale,Nachweis,Unbekannt"</formula1>
    </dataValidation>
    <dataValidation sqref="C2593" showDropDown="0" showInputMessage="0" showErrorMessage="0" allowBlank="0" type="list">
      <formula1>"Pauschale,Nachweis,Unbekannt"</formula1>
    </dataValidation>
    <dataValidation sqref="C2594" showDropDown="0" showInputMessage="0" showErrorMessage="0" allowBlank="0" type="list">
      <formula1>"Pauschale,Nachweis,Unbekannt"</formula1>
    </dataValidation>
    <dataValidation sqref="C2595" showDropDown="0" showInputMessage="0" showErrorMessage="0" allowBlank="0" type="list">
      <formula1>"Pauschale,Nachweis,Unbekannt"</formula1>
    </dataValidation>
    <dataValidation sqref="C2596" showDropDown="0" showInputMessage="0" showErrorMessage="0" allowBlank="0" type="list">
      <formula1>"Pauschale,Nachweis,Unbekannt"</formula1>
    </dataValidation>
    <dataValidation sqref="C2597" showDropDown="0" showInputMessage="0" showErrorMessage="0" allowBlank="0" type="list">
      <formula1>"Pauschale,Nachweis,Unbekannt"</formula1>
    </dataValidation>
    <dataValidation sqref="C2598" showDropDown="0" showInputMessage="0" showErrorMessage="0" allowBlank="0" type="list">
      <formula1>"Pauschale,Nachweis,Unbekannt"</formula1>
    </dataValidation>
    <dataValidation sqref="C2599" showDropDown="0" showInputMessage="0" showErrorMessage="0" allowBlank="0" type="list">
      <formula1>"Pauschale,Nachweis,Unbekannt"</formula1>
    </dataValidation>
    <dataValidation sqref="C2600" showDropDown="0" showInputMessage="0" showErrorMessage="0" allowBlank="0" type="list">
      <formula1>"Pauschale,Nachweis,Unbekannt"</formula1>
    </dataValidation>
    <dataValidation sqref="C2601" showDropDown="0" showInputMessage="0" showErrorMessage="0" allowBlank="0" type="list">
      <formula1>"Pauschale,Nachweis,Unbekannt"</formula1>
    </dataValidation>
    <dataValidation sqref="C2602" showDropDown="0" showInputMessage="0" showErrorMessage="0" allowBlank="0" type="list">
      <formula1>"Pauschale,Nachweis,Unbekannt"</formula1>
    </dataValidation>
    <dataValidation sqref="C2603" showDropDown="0" showInputMessage="0" showErrorMessage="0" allowBlank="0" type="list">
      <formula1>"Pauschale,Nachweis,Unbekannt"</formula1>
    </dataValidation>
    <dataValidation sqref="C2604" showDropDown="0" showInputMessage="0" showErrorMessage="0" allowBlank="0" type="list">
      <formula1>"Pauschale,Nachweis,Unbekannt"</formula1>
    </dataValidation>
    <dataValidation sqref="C2605" showDropDown="0" showInputMessage="0" showErrorMessage="0" allowBlank="0" type="list">
      <formula1>"Pauschale,Nachweis,Unbekannt"</formula1>
    </dataValidation>
    <dataValidation sqref="C2606" showDropDown="0" showInputMessage="0" showErrorMessage="0" allowBlank="0" type="list">
      <formula1>"Pauschale,Nachweis,Unbekannt"</formula1>
    </dataValidation>
    <dataValidation sqref="C2607" showDropDown="0" showInputMessage="0" showErrorMessage="0" allowBlank="0" type="list">
      <formula1>"Pauschale,Nachweis,Unbekannt"</formula1>
    </dataValidation>
    <dataValidation sqref="C2608" showDropDown="0" showInputMessage="0" showErrorMessage="0" allowBlank="0" type="list">
      <formula1>"Pauschale,Nachweis,Unbekannt"</formula1>
    </dataValidation>
    <dataValidation sqref="C2609" showDropDown="0" showInputMessage="0" showErrorMessage="0" allowBlank="0" type="list">
      <formula1>"Pauschale,Nachweis,Unbekannt"</formula1>
    </dataValidation>
    <dataValidation sqref="C2610" showDropDown="0" showInputMessage="0" showErrorMessage="0" allowBlank="0" type="list">
      <formula1>"Pauschale,Nachweis,Unbekannt"</formula1>
    </dataValidation>
    <dataValidation sqref="C2611" showDropDown="0" showInputMessage="0" showErrorMessage="0" allowBlank="0" type="list">
      <formula1>"Pauschale,Nachweis,Unbekannt"</formula1>
    </dataValidation>
    <dataValidation sqref="C2612" showDropDown="0" showInputMessage="0" showErrorMessage="0" allowBlank="0" type="list">
      <formula1>"Pauschale,Nachweis,Unbekannt"</formula1>
    </dataValidation>
    <dataValidation sqref="C2613" showDropDown="0" showInputMessage="0" showErrorMessage="0" allowBlank="0" type="list">
      <formula1>"Pauschale,Nachweis,Unbekannt"</formula1>
    </dataValidation>
    <dataValidation sqref="C2614" showDropDown="0" showInputMessage="0" showErrorMessage="0" allowBlank="0" type="list">
      <formula1>"Pauschale,Nachweis,Unbekannt"</formula1>
    </dataValidation>
    <dataValidation sqref="C2615" showDropDown="0" showInputMessage="0" showErrorMessage="0" allowBlank="0" type="list">
      <formula1>"Pauschale,Nachweis,Unbekannt"</formula1>
    </dataValidation>
    <dataValidation sqref="C2616" showDropDown="0" showInputMessage="0" showErrorMessage="0" allowBlank="0" type="list">
      <formula1>"Pauschale,Nachweis,Unbekannt"</formula1>
    </dataValidation>
    <dataValidation sqref="C2617" showDropDown="0" showInputMessage="0" showErrorMessage="0" allowBlank="0" type="list">
      <formula1>"Pauschale,Nachweis,Unbekannt"</formula1>
    </dataValidation>
    <dataValidation sqref="C2618" showDropDown="0" showInputMessage="0" showErrorMessage="0" allowBlank="0" type="list">
      <formula1>"Pauschale,Nachweis,Unbekannt"</formula1>
    </dataValidation>
    <dataValidation sqref="C2619" showDropDown="0" showInputMessage="0" showErrorMessage="0" allowBlank="0" type="list">
      <formula1>"Pauschale,Nachweis,Unbekannt"</formula1>
    </dataValidation>
    <dataValidation sqref="C2620" showDropDown="0" showInputMessage="0" showErrorMessage="0" allowBlank="0" type="list">
      <formula1>"Pauschale,Nachweis,Unbekannt"</formula1>
    </dataValidation>
    <dataValidation sqref="C2621" showDropDown="0" showInputMessage="0" showErrorMessage="0" allowBlank="0" type="list">
      <formula1>"Pauschale,Nachweis,Unbekannt"</formula1>
    </dataValidation>
    <dataValidation sqref="C2622" showDropDown="0" showInputMessage="0" showErrorMessage="0" allowBlank="0" type="list">
      <formula1>"Pauschale,Nachweis,Unbekannt"</formula1>
    </dataValidation>
    <dataValidation sqref="C2623" showDropDown="0" showInputMessage="0" showErrorMessage="0" allowBlank="0" type="list">
      <formula1>"Pauschale,Nachweis,Unbekannt"</formula1>
    </dataValidation>
    <dataValidation sqref="C2624" showDropDown="0" showInputMessage="0" showErrorMessage="0" allowBlank="0" type="list">
      <formula1>"Pauschale,Nachweis,Unbekannt"</formula1>
    </dataValidation>
    <dataValidation sqref="C2625" showDropDown="0" showInputMessage="0" showErrorMessage="0" allowBlank="0" type="list">
      <formula1>"Pauschale,Nachweis,Unbekannt"</formula1>
    </dataValidation>
    <dataValidation sqref="C2626" showDropDown="0" showInputMessage="0" showErrorMessage="0" allowBlank="0" type="list">
      <formula1>"Pauschale,Nachweis,Unbekannt"</formula1>
    </dataValidation>
    <dataValidation sqref="C2627" showDropDown="0" showInputMessage="0" showErrorMessage="0" allowBlank="0" type="list">
      <formula1>"Pauschale,Nachweis,Unbekannt"</formula1>
    </dataValidation>
    <dataValidation sqref="C2628" showDropDown="0" showInputMessage="0" showErrorMessage="0" allowBlank="0" type="list">
      <formula1>"Pauschale,Nachweis,Unbekannt"</formula1>
    </dataValidation>
    <dataValidation sqref="C2629" showDropDown="0" showInputMessage="0" showErrorMessage="0" allowBlank="0" type="list">
      <formula1>"Pauschale,Nachweis,Unbekannt"</formula1>
    </dataValidation>
    <dataValidation sqref="C2630" showDropDown="0" showInputMessage="0" showErrorMessage="0" allowBlank="0" type="list">
      <formula1>"Pauschale,Nachweis,Unbekannt"</formula1>
    </dataValidation>
    <dataValidation sqref="C2631" showDropDown="0" showInputMessage="0" showErrorMessage="0" allowBlank="0" type="list">
      <formula1>"Pauschale,Nachweis,Unbekannt"</formula1>
    </dataValidation>
    <dataValidation sqref="C2632" showDropDown="0" showInputMessage="0" showErrorMessage="0" allowBlank="0" type="list">
      <formula1>"Pauschale,Nachweis,Unbekannt"</formula1>
    </dataValidation>
    <dataValidation sqref="C2633" showDropDown="0" showInputMessage="0" showErrorMessage="0" allowBlank="0" type="list">
      <formula1>"Pauschale,Nachweis,Unbekannt"</formula1>
    </dataValidation>
    <dataValidation sqref="C2634" showDropDown="0" showInputMessage="0" showErrorMessage="0" allowBlank="0" type="list">
      <formula1>"Pauschale,Nachweis,Unbekannt"</formula1>
    </dataValidation>
    <dataValidation sqref="C2635" showDropDown="0" showInputMessage="0" showErrorMessage="0" allowBlank="0" type="list">
      <formula1>"Pauschale,Nachweis,Unbekannt"</formula1>
    </dataValidation>
    <dataValidation sqref="C2636" showDropDown="0" showInputMessage="0" showErrorMessage="0" allowBlank="0" type="list">
      <formula1>"Pauschale,Nachweis,Unbekannt"</formula1>
    </dataValidation>
    <dataValidation sqref="C2637" showDropDown="0" showInputMessage="0" showErrorMessage="0" allowBlank="0" type="list">
      <formula1>"Pauschale,Nachweis,Unbekannt"</formula1>
    </dataValidation>
    <dataValidation sqref="C2638" showDropDown="0" showInputMessage="0" showErrorMessage="0" allowBlank="0" type="list">
      <formula1>"Pauschale,Nachweis,Unbekannt"</formula1>
    </dataValidation>
    <dataValidation sqref="C2639" showDropDown="0" showInputMessage="0" showErrorMessage="0" allowBlank="0" type="list">
      <formula1>"Pauschale,Nachweis,Unbekannt"</formula1>
    </dataValidation>
    <dataValidation sqref="C2640" showDropDown="0" showInputMessage="0" showErrorMessage="0" allowBlank="0" type="list">
      <formula1>"Pauschale,Nachweis,Unbekannt"</formula1>
    </dataValidation>
    <dataValidation sqref="C2641" showDropDown="0" showInputMessage="0" showErrorMessage="0" allowBlank="0" type="list">
      <formula1>"Pauschale,Nachweis,Unbekannt"</formula1>
    </dataValidation>
    <dataValidation sqref="C2642" showDropDown="0" showInputMessage="0" showErrorMessage="0" allowBlank="0" type="list">
      <formula1>"Pauschale,Nachweis,Unbekannt"</formula1>
    </dataValidation>
    <dataValidation sqref="C2643" showDropDown="0" showInputMessage="0" showErrorMessage="0" allowBlank="0" type="list">
      <formula1>"Pauschale,Nachweis,Unbekannt"</formula1>
    </dataValidation>
    <dataValidation sqref="C2644" showDropDown="0" showInputMessage="0" showErrorMessage="0" allowBlank="0" type="list">
      <formula1>"Pauschale,Nachweis,Unbekannt"</formula1>
    </dataValidation>
    <dataValidation sqref="C2645" showDropDown="0" showInputMessage="0" showErrorMessage="0" allowBlank="0" type="list">
      <formula1>"Pauschale,Nachweis,Unbekannt"</formula1>
    </dataValidation>
    <dataValidation sqref="C2646" showDropDown="0" showInputMessage="0" showErrorMessage="0" allowBlank="0" type="list">
      <formula1>"Pauschale,Nachweis,Unbekannt"</formula1>
    </dataValidation>
    <dataValidation sqref="C2647" showDropDown="0" showInputMessage="0" showErrorMessage="0" allowBlank="0" type="list">
      <formula1>"Pauschale,Nachweis,Unbekannt"</formula1>
    </dataValidation>
    <dataValidation sqref="C2648" showDropDown="0" showInputMessage="0" showErrorMessage="0" allowBlank="0" type="list">
      <formula1>"Pauschale,Nachweis,Unbekannt"</formula1>
    </dataValidation>
    <dataValidation sqref="C2649" showDropDown="0" showInputMessage="0" showErrorMessage="0" allowBlank="0" type="list">
      <formula1>"Pauschale,Nachweis,Unbekannt"</formula1>
    </dataValidation>
    <dataValidation sqref="C2650" showDropDown="0" showInputMessage="0" showErrorMessage="0" allowBlank="0" type="list">
      <formula1>"Pauschale,Nachweis,Unbekannt"</formula1>
    </dataValidation>
    <dataValidation sqref="C2651" showDropDown="0" showInputMessage="0" showErrorMessage="0" allowBlank="0" type="list">
      <formula1>"Pauschale,Nachweis,Unbekannt"</formula1>
    </dataValidation>
    <dataValidation sqref="C2652" showDropDown="0" showInputMessage="0" showErrorMessage="0" allowBlank="0" type="list">
      <formula1>"Pauschale,Nachweis,Unbekannt"</formula1>
    </dataValidation>
    <dataValidation sqref="C2653" showDropDown="0" showInputMessage="0" showErrorMessage="0" allowBlank="0" type="list">
      <formula1>"Pauschale,Nachweis,Unbekannt"</formula1>
    </dataValidation>
    <dataValidation sqref="C2654" showDropDown="0" showInputMessage="0" showErrorMessage="0" allowBlank="0" type="list">
      <formula1>"Pauschale,Nachweis,Unbekannt"</formula1>
    </dataValidation>
    <dataValidation sqref="C2655" showDropDown="0" showInputMessage="0" showErrorMessage="0" allowBlank="0" type="list">
      <formula1>"Pauschale,Nachweis,Unbekannt"</formula1>
    </dataValidation>
    <dataValidation sqref="C2656" showDropDown="0" showInputMessage="0" showErrorMessage="0" allowBlank="0" type="list">
      <formula1>"Pauschale,Nachweis,Unbekannt"</formula1>
    </dataValidation>
    <dataValidation sqref="C2657" showDropDown="0" showInputMessage="0" showErrorMessage="0" allowBlank="0" type="list">
      <formula1>"Pauschale,Nachweis,Unbekannt"</formula1>
    </dataValidation>
    <dataValidation sqref="C2658" showDropDown="0" showInputMessage="0" showErrorMessage="0" allowBlank="0" type="list">
      <formula1>"Pauschale,Nachweis,Unbekannt"</formula1>
    </dataValidation>
    <dataValidation sqref="C2659" showDropDown="0" showInputMessage="0" showErrorMessage="0" allowBlank="0" type="list">
      <formula1>"Pauschale,Nachweis,Unbekannt"</formula1>
    </dataValidation>
    <dataValidation sqref="C2660" showDropDown="0" showInputMessage="0" showErrorMessage="0" allowBlank="0" type="list">
      <formula1>"Pauschale,Nachweis,Unbekannt"</formula1>
    </dataValidation>
    <dataValidation sqref="C2661" showDropDown="0" showInputMessage="0" showErrorMessage="0" allowBlank="0" type="list">
      <formula1>"Pauschale,Nachweis,Unbekannt"</formula1>
    </dataValidation>
    <dataValidation sqref="C2662" showDropDown="0" showInputMessage="0" showErrorMessage="0" allowBlank="0" type="list">
      <formula1>"Pauschale,Nachweis,Unbekannt"</formula1>
    </dataValidation>
    <dataValidation sqref="C2663" showDropDown="0" showInputMessage="0" showErrorMessage="0" allowBlank="0" type="list">
      <formula1>"Pauschale,Nachweis,Unbekannt"</formula1>
    </dataValidation>
    <dataValidation sqref="C2664" showDropDown="0" showInputMessage="0" showErrorMessage="0" allowBlank="0" type="list">
      <formula1>"Pauschale,Nachweis,Unbekannt"</formula1>
    </dataValidation>
    <dataValidation sqref="C2665" showDropDown="0" showInputMessage="0" showErrorMessage="0" allowBlank="0" type="list">
      <formula1>"Pauschale,Nachweis,Unbekannt"</formula1>
    </dataValidation>
    <dataValidation sqref="C2666" showDropDown="0" showInputMessage="0" showErrorMessage="0" allowBlank="0" type="list">
      <formula1>"Pauschale,Nachweis,Unbekannt"</formula1>
    </dataValidation>
    <dataValidation sqref="C2667" showDropDown="0" showInputMessage="0" showErrorMessage="0" allowBlank="0" type="list">
      <formula1>"Pauschale,Nachweis,Unbekannt"</formula1>
    </dataValidation>
    <dataValidation sqref="C2668" showDropDown="0" showInputMessage="0" showErrorMessage="0" allowBlank="0" type="list">
      <formula1>"Pauschale,Nachweis,Unbekannt"</formula1>
    </dataValidation>
    <dataValidation sqref="C2669" showDropDown="0" showInputMessage="0" showErrorMessage="0" allowBlank="0" type="list">
      <formula1>"Pauschale,Nachweis,Unbekannt"</formula1>
    </dataValidation>
    <dataValidation sqref="C2670" showDropDown="0" showInputMessage="0" showErrorMessage="0" allowBlank="0" type="list">
      <formula1>"Pauschale,Nachweis,Unbekannt"</formula1>
    </dataValidation>
    <dataValidation sqref="C2671" showDropDown="0" showInputMessage="0" showErrorMessage="0" allowBlank="0" type="list">
      <formula1>"Pauschale,Nachweis,Unbekannt"</formula1>
    </dataValidation>
    <dataValidation sqref="C2672" showDropDown="0" showInputMessage="0" showErrorMessage="0" allowBlank="0" type="list">
      <formula1>"Pauschale,Nachweis,Unbekannt"</formula1>
    </dataValidation>
    <dataValidation sqref="C2673" showDropDown="0" showInputMessage="0" showErrorMessage="0" allowBlank="0" type="list">
      <formula1>"Pauschale,Nachweis,Unbekannt"</formula1>
    </dataValidation>
    <dataValidation sqref="C2674" showDropDown="0" showInputMessage="0" showErrorMessage="0" allowBlank="0" type="list">
      <formula1>"Pauschale,Nachweis,Unbekannt"</formula1>
    </dataValidation>
    <dataValidation sqref="C2675" showDropDown="0" showInputMessage="0" showErrorMessage="0" allowBlank="0" type="list">
      <formula1>"Pauschale,Nachweis,Unbekannt"</formula1>
    </dataValidation>
    <dataValidation sqref="C2676" showDropDown="0" showInputMessage="0" showErrorMessage="0" allowBlank="0" type="list">
      <formula1>"Pauschale,Nachweis,Unbekannt"</formula1>
    </dataValidation>
    <dataValidation sqref="C2677" showDropDown="0" showInputMessage="0" showErrorMessage="0" allowBlank="0" type="list">
      <formula1>"Pauschale,Nachweis,Unbekannt"</formula1>
    </dataValidation>
    <dataValidation sqref="C2678" showDropDown="0" showInputMessage="0" showErrorMessage="0" allowBlank="0" type="list">
      <formula1>"Pauschale,Nachweis,Unbekannt"</formula1>
    </dataValidation>
    <dataValidation sqref="C2679" showDropDown="0" showInputMessage="0" showErrorMessage="0" allowBlank="0" type="list">
      <formula1>"Pauschale,Nachweis,Unbekannt"</formula1>
    </dataValidation>
    <dataValidation sqref="C2680" showDropDown="0" showInputMessage="0" showErrorMessage="0" allowBlank="0" type="list">
      <formula1>"Pauschale,Nachweis,Unbekannt"</formula1>
    </dataValidation>
    <dataValidation sqref="C2681" showDropDown="0" showInputMessage="0" showErrorMessage="0" allowBlank="0" type="list">
      <formula1>"Pauschale,Nachweis,Unbekannt"</formula1>
    </dataValidation>
    <dataValidation sqref="C2682" showDropDown="0" showInputMessage="0" showErrorMessage="0" allowBlank="0" type="list">
      <formula1>"Pauschale,Nachweis,Unbekannt"</formula1>
    </dataValidation>
    <dataValidation sqref="C2683" showDropDown="0" showInputMessage="0" showErrorMessage="0" allowBlank="0" type="list">
      <formula1>"Pauschale,Nachweis,Unbekannt"</formula1>
    </dataValidation>
    <dataValidation sqref="C2684" showDropDown="0" showInputMessage="0" showErrorMessage="0" allowBlank="0" type="list">
      <formula1>"Pauschale,Nachweis,Unbekannt"</formula1>
    </dataValidation>
    <dataValidation sqref="C2685" showDropDown="0" showInputMessage="0" showErrorMessage="0" allowBlank="0" type="list">
      <formula1>"Pauschale,Nachweis,Unbekannt"</formula1>
    </dataValidation>
    <dataValidation sqref="C2686" showDropDown="0" showInputMessage="0" showErrorMessage="0" allowBlank="0" type="list">
      <formula1>"Pauschale,Nachweis,Unbekannt"</formula1>
    </dataValidation>
    <dataValidation sqref="C2687" showDropDown="0" showInputMessage="0" showErrorMessage="0" allowBlank="0" type="list">
      <formula1>"Pauschale,Nachweis,Unbekannt"</formula1>
    </dataValidation>
    <dataValidation sqref="C2688" showDropDown="0" showInputMessage="0" showErrorMessage="0" allowBlank="0" type="list">
      <formula1>"Pauschale,Nachweis,Unbekannt"</formula1>
    </dataValidation>
    <dataValidation sqref="C2689" showDropDown="0" showInputMessage="0" showErrorMessage="0" allowBlank="0" type="list">
      <formula1>"Pauschale,Nachweis,Unbekannt"</formula1>
    </dataValidation>
    <dataValidation sqref="C2690" showDropDown="0" showInputMessage="0" showErrorMessage="0" allowBlank="0" type="list">
      <formula1>"Pauschale,Nachweis,Unbekannt"</formula1>
    </dataValidation>
    <dataValidation sqref="C2691" showDropDown="0" showInputMessage="0" showErrorMessage="0" allowBlank="0" type="list">
      <formula1>"Pauschale,Nachweis,Unbekannt"</formula1>
    </dataValidation>
    <dataValidation sqref="C2692" showDropDown="0" showInputMessage="0" showErrorMessage="0" allowBlank="0" type="list">
      <formula1>"Pauschale,Nachweis,Unbekannt"</formula1>
    </dataValidation>
    <dataValidation sqref="C2693" showDropDown="0" showInputMessage="0" showErrorMessage="0" allowBlank="0" type="list">
      <formula1>"Pauschale,Nachweis,Unbekannt"</formula1>
    </dataValidation>
    <dataValidation sqref="C2694" showDropDown="0" showInputMessage="0" showErrorMessage="0" allowBlank="0" type="list">
      <formula1>"Pauschale,Nachweis,Unbekannt"</formula1>
    </dataValidation>
    <dataValidation sqref="C2695" showDropDown="0" showInputMessage="0" showErrorMessage="0" allowBlank="0" type="list">
      <formula1>"Pauschale,Nachweis,Unbekannt"</formula1>
    </dataValidation>
    <dataValidation sqref="C2696" showDropDown="0" showInputMessage="0" showErrorMessage="0" allowBlank="0" type="list">
      <formula1>"Pauschale,Nachweis,Unbekannt"</formula1>
    </dataValidation>
    <dataValidation sqref="C2697" showDropDown="0" showInputMessage="0" showErrorMessage="0" allowBlank="0" type="list">
      <formula1>"Pauschale,Nachweis,Unbekannt"</formula1>
    </dataValidation>
    <dataValidation sqref="C2698" showDropDown="0" showInputMessage="0" showErrorMessage="0" allowBlank="0" type="list">
      <formula1>"Pauschale,Nachweis,Unbekannt"</formula1>
    </dataValidation>
    <dataValidation sqref="C2699" showDropDown="0" showInputMessage="0" showErrorMessage="0" allowBlank="0" type="list">
      <formula1>"Pauschale,Nachweis,Unbekannt"</formula1>
    </dataValidation>
    <dataValidation sqref="C2700" showDropDown="0" showInputMessage="0" showErrorMessage="0" allowBlank="0" type="list">
      <formula1>"Pauschale,Nachweis,Unbekannt"</formula1>
    </dataValidation>
    <dataValidation sqref="C2701" showDropDown="0" showInputMessage="0" showErrorMessage="0" allowBlank="0" type="list">
      <formula1>"Pauschale,Nachweis,Unbekannt"</formula1>
    </dataValidation>
    <dataValidation sqref="C2702" showDropDown="0" showInputMessage="0" showErrorMessage="0" allowBlank="0" type="list">
      <formula1>"Pauschale,Nachweis,Unbekannt"</formula1>
    </dataValidation>
    <dataValidation sqref="C2703" showDropDown="0" showInputMessage="0" showErrorMessage="0" allowBlank="0" type="list">
      <formula1>"Pauschale,Nachweis,Unbekannt"</formula1>
    </dataValidation>
    <dataValidation sqref="C2704" showDropDown="0" showInputMessage="0" showErrorMessage="0" allowBlank="0" type="list">
      <formula1>"Pauschale,Nachweis,Unbekannt"</formula1>
    </dataValidation>
    <dataValidation sqref="C2705" showDropDown="0" showInputMessage="0" showErrorMessage="0" allowBlank="0" type="list">
      <formula1>"Pauschale,Nachweis,Unbekannt"</formula1>
    </dataValidation>
    <dataValidation sqref="C2706" showDropDown="0" showInputMessage="0" showErrorMessage="0" allowBlank="0" type="list">
      <formula1>"Pauschale,Nachweis,Unbekannt"</formula1>
    </dataValidation>
    <dataValidation sqref="C2707" showDropDown="0" showInputMessage="0" showErrorMessage="0" allowBlank="0" type="list">
      <formula1>"Pauschale,Nachweis,Unbekannt"</formula1>
    </dataValidation>
    <dataValidation sqref="C2708" showDropDown="0" showInputMessage="0" showErrorMessage="0" allowBlank="0" type="list">
      <formula1>"Pauschale,Nachweis,Unbekannt"</formula1>
    </dataValidation>
    <dataValidation sqref="C2709" showDropDown="0" showInputMessage="0" showErrorMessage="0" allowBlank="0" type="list">
      <formula1>"Pauschale,Nachweis,Unbekannt"</formula1>
    </dataValidation>
    <dataValidation sqref="C2710" showDropDown="0" showInputMessage="0" showErrorMessage="0" allowBlank="0" type="list">
      <formula1>"Pauschale,Nachweis,Unbekannt"</formula1>
    </dataValidation>
    <dataValidation sqref="C2711" showDropDown="0" showInputMessage="0" showErrorMessage="0" allowBlank="0" type="list">
      <formula1>"Pauschale,Nachweis,Unbekannt"</formula1>
    </dataValidation>
    <dataValidation sqref="C2712" showDropDown="0" showInputMessage="0" showErrorMessage="0" allowBlank="0" type="list">
      <formula1>"Pauschale,Nachweis,Unbekannt"</formula1>
    </dataValidation>
    <dataValidation sqref="C2713" showDropDown="0" showInputMessage="0" showErrorMessage="0" allowBlank="0" type="list">
      <formula1>"Pauschale,Nachweis,Unbekannt"</formula1>
    </dataValidation>
    <dataValidation sqref="C2714" showDropDown="0" showInputMessage="0" showErrorMessage="0" allowBlank="0" type="list">
      <formula1>"Pauschale,Nachweis,Unbekannt"</formula1>
    </dataValidation>
    <dataValidation sqref="C2715" showDropDown="0" showInputMessage="0" showErrorMessage="0" allowBlank="0" type="list">
      <formula1>"Pauschale,Nachweis,Unbekannt"</formula1>
    </dataValidation>
    <dataValidation sqref="C2716" showDropDown="0" showInputMessage="0" showErrorMessage="0" allowBlank="0" type="list">
      <formula1>"Pauschale,Nachweis,Unbekannt"</formula1>
    </dataValidation>
    <dataValidation sqref="C2717" showDropDown="0" showInputMessage="0" showErrorMessage="0" allowBlank="0" type="list">
      <formula1>"Pauschale,Nachweis,Unbekannt"</formula1>
    </dataValidation>
    <dataValidation sqref="C2718" showDropDown="0" showInputMessage="0" showErrorMessage="0" allowBlank="0" type="list">
      <formula1>"Pauschale,Nachweis,Unbekannt"</formula1>
    </dataValidation>
    <dataValidation sqref="C2719" showDropDown="0" showInputMessage="0" showErrorMessage="0" allowBlank="0" type="list">
      <formula1>"Pauschale,Nachweis,Unbekannt"</formula1>
    </dataValidation>
    <dataValidation sqref="C2720" showDropDown="0" showInputMessage="0" showErrorMessage="0" allowBlank="0" type="list">
      <formula1>"Pauschale,Nachweis,Unbekannt"</formula1>
    </dataValidation>
    <dataValidation sqref="C2721" showDropDown="0" showInputMessage="0" showErrorMessage="0" allowBlank="0" type="list">
      <formula1>"Pauschale,Nachweis,Unbekannt"</formula1>
    </dataValidation>
    <dataValidation sqref="C2722" showDropDown="0" showInputMessage="0" showErrorMessage="0" allowBlank="0" type="list">
      <formula1>"Pauschale,Nachweis,Unbekannt"</formula1>
    </dataValidation>
    <dataValidation sqref="C2723" showDropDown="0" showInputMessage="0" showErrorMessage="0" allowBlank="0" type="list">
      <formula1>"Pauschale,Nachweis,Unbekannt"</formula1>
    </dataValidation>
    <dataValidation sqref="C2724" showDropDown="0" showInputMessage="0" showErrorMessage="0" allowBlank="0" type="list">
      <formula1>"Pauschale,Nachweis,Unbekannt"</formula1>
    </dataValidation>
    <dataValidation sqref="C2725" showDropDown="0" showInputMessage="0" showErrorMessage="0" allowBlank="0" type="list">
      <formula1>"Pauschale,Nachweis,Unbekannt"</formula1>
    </dataValidation>
    <dataValidation sqref="C2726" showDropDown="0" showInputMessage="0" showErrorMessage="0" allowBlank="0" type="list">
      <formula1>"Pauschale,Nachweis,Unbekannt"</formula1>
    </dataValidation>
    <dataValidation sqref="C2727" showDropDown="0" showInputMessage="0" showErrorMessage="0" allowBlank="0" type="list">
      <formula1>"Pauschale,Nachweis,Unbekannt"</formula1>
    </dataValidation>
    <dataValidation sqref="C2728" showDropDown="0" showInputMessage="0" showErrorMessage="0" allowBlank="0" type="list">
      <formula1>"Pauschale,Nachweis,Unbekannt"</formula1>
    </dataValidation>
    <dataValidation sqref="C2729" showDropDown="0" showInputMessage="0" showErrorMessage="0" allowBlank="0" type="list">
      <formula1>"Pauschale,Nachweis,Unbekannt"</formula1>
    </dataValidation>
    <dataValidation sqref="C2730" showDropDown="0" showInputMessage="0" showErrorMessage="0" allowBlank="0" type="list">
      <formula1>"Pauschale,Nachweis,Unbekannt"</formula1>
    </dataValidation>
    <dataValidation sqref="C2731" showDropDown="0" showInputMessage="0" showErrorMessage="0" allowBlank="0" type="list">
      <formula1>"Pauschale,Nachweis,Unbekannt"</formula1>
    </dataValidation>
    <dataValidation sqref="C2732" showDropDown="0" showInputMessage="0" showErrorMessage="0" allowBlank="0" type="list">
      <formula1>"Pauschale,Nachweis,Unbekannt"</formula1>
    </dataValidation>
    <dataValidation sqref="C2733" showDropDown="0" showInputMessage="0" showErrorMessage="0" allowBlank="0" type="list">
      <formula1>"Pauschale,Nachweis,Unbekannt"</formula1>
    </dataValidation>
    <dataValidation sqref="C2734" showDropDown="0" showInputMessage="0" showErrorMessage="0" allowBlank="0" type="list">
      <formula1>"Pauschale,Nachweis,Unbekannt"</formula1>
    </dataValidation>
    <dataValidation sqref="C2735" showDropDown="0" showInputMessage="0" showErrorMessage="0" allowBlank="0" type="list">
      <formula1>"Pauschale,Nachweis,Unbekannt"</formula1>
    </dataValidation>
    <dataValidation sqref="C2736" showDropDown="0" showInputMessage="0" showErrorMessage="0" allowBlank="0" type="list">
      <formula1>"Pauschale,Nachweis,Unbekannt"</formula1>
    </dataValidation>
    <dataValidation sqref="C2737" showDropDown="0" showInputMessage="0" showErrorMessage="0" allowBlank="0" type="list">
      <formula1>"Pauschale,Nachweis,Unbekannt"</formula1>
    </dataValidation>
    <dataValidation sqref="C2738" showDropDown="0" showInputMessage="0" showErrorMessage="0" allowBlank="0" type="list">
      <formula1>"Pauschale,Nachweis,Unbekannt"</formula1>
    </dataValidation>
    <dataValidation sqref="C2739" showDropDown="0" showInputMessage="0" showErrorMessage="0" allowBlank="0" type="list">
      <formula1>"Pauschale,Nachweis,Unbekannt"</formula1>
    </dataValidation>
    <dataValidation sqref="C2740" showDropDown="0" showInputMessage="0" showErrorMessage="0" allowBlank="0" type="list">
      <formula1>"Pauschale,Nachweis,Unbekannt"</formula1>
    </dataValidation>
    <dataValidation sqref="C2741" showDropDown="0" showInputMessage="0" showErrorMessage="0" allowBlank="0" type="list">
      <formula1>"Pauschale,Nachweis,Unbekannt"</formula1>
    </dataValidation>
    <dataValidation sqref="C2742" showDropDown="0" showInputMessage="0" showErrorMessage="0" allowBlank="0" type="list">
      <formula1>"Pauschale,Nachweis,Unbekannt"</formula1>
    </dataValidation>
    <dataValidation sqref="C2743" showDropDown="0" showInputMessage="0" showErrorMessage="0" allowBlank="0" type="list">
      <formula1>"Pauschale,Nachweis,Unbekannt"</formula1>
    </dataValidation>
    <dataValidation sqref="C2744" showDropDown="0" showInputMessage="0" showErrorMessage="0" allowBlank="0" type="list">
      <formula1>"Pauschale,Nachweis,Unbekannt"</formula1>
    </dataValidation>
    <dataValidation sqref="C2745" showDropDown="0" showInputMessage="0" showErrorMessage="0" allowBlank="0" type="list">
      <formula1>"Pauschale,Nachweis,Unbekannt"</formula1>
    </dataValidation>
    <dataValidation sqref="C2746" showDropDown="0" showInputMessage="0" showErrorMessage="0" allowBlank="0" type="list">
      <formula1>"Pauschale,Nachweis,Unbekannt"</formula1>
    </dataValidation>
    <dataValidation sqref="C2747" showDropDown="0" showInputMessage="0" showErrorMessage="0" allowBlank="0" type="list">
      <formula1>"Pauschale,Nachweis,Unbekannt"</formula1>
    </dataValidation>
    <dataValidation sqref="C2748" showDropDown="0" showInputMessage="0" showErrorMessage="0" allowBlank="0" type="list">
      <formula1>"Pauschale,Nachweis,Unbekannt"</formula1>
    </dataValidation>
    <dataValidation sqref="C2749" showDropDown="0" showInputMessage="0" showErrorMessage="0" allowBlank="0" type="list">
      <formula1>"Pauschale,Nachweis,Unbekannt"</formula1>
    </dataValidation>
    <dataValidation sqref="C2750" showDropDown="0" showInputMessage="0" showErrorMessage="0" allowBlank="0" type="list">
      <formula1>"Pauschale,Nachweis,Unbekannt"</formula1>
    </dataValidation>
    <dataValidation sqref="C2751" showDropDown="0" showInputMessage="0" showErrorMessage="0" allowBlank="0" type="list">
      <formula1>"Pauschale,Nachweis,Unbekannt"</formula1>
    </dataValidation>
    <dataValidation sqref="C2752" showDropDown="0" showInputMessage="0" showErrorMessage="0" allowBlank="0" type="list">
      <formula1>"Pauschale,Nachweis,Unbekannt"</formula1>
    </dataValidation>
    <dataValidation sqref="C2753" showDropDown="0" showInputMessage="0" showErrorMessage="0" allowBlank="0" type="list">
      <formula1>"Pauschale,Nachweis,Unbekannt"</formula1>
    </dataValidation>
    <dataValidation sqref="C2754" showDropDown="0" showInputMessage="0" showErrorMessage="0" allowBlank="0" type="list">
      <formula1>"Pauschale,Nachweis,Unbekannt"</formula1>
    </dataValidation>
    <dataValidation sqref="C2755" showDropDown="0" showInputMessage="0" showErrorMessage="0" allowBlank="0" type="list">
      <formula1>"Pauschale,Nachweis,Unbekannt"</formula1>
    </dataValidation>
    <dataValidation sqref="C2756" showDropDown="0" showInputMessage="0" showErrorMessage="0" allowBlank="0" type="list">
      <formula1>"Pauschale,Nachweis,Unbekannt"</formula1>
    </dataValidation>
    <dataValidation sqref="C2757" showDropDown="0" showInputMessage="0" showErrorMessage="0" allowBlank="0" type="list">
      <formula1>"Pauschale,Nachweis,Unbekannt"</formula1>
    </dataValidation>
    <dataValidation sqref="C2758" showDropDown="0" showInputMessage="0" showErrorMessage="0" allowBlank="0" type="list">
      <formula1>"Pauschale,Nachweis,Unbekannt"</formula1>
    </dataValidation>
    <dataValidation sqref="C2759" showDropDown="0" showInputMessage="0" showErrorMessage="0" allowBlank="0" type="list">
      <formula1>"Pauschale,Nachweis,Unbekannt"</formula1>
    </dataValidation>
    <dataValidation sqref="C2760" showDropDown="0" showInputMessage="0" showErrorMessage="0" allowBlank="0" type="list">
      <formula1>"Pauschale,Nachweis,Unbekannt"</formula1>
    </dataValidation>
    <dataValidation sqref="C2761" showDropDown="0" showInputMessage="0" showErrorMessage="0" allowBlank="0" type="list">
      <formula1>"Pauschale,Nachweis,Unbekannt"</formula1>
    </dataValidation>
    <dataValidation sqref="C2762" showDropDown="0" showInputMessage="0" showErrorMessage="0" allowBlank="0" type="list">
      <formula1>"Pauschale,Nachweis,Unbekannt"</formula1>
    </dataValidation>
    <dataValidation sqref="C2763" showDropDown="0" showInputMessage="0" showErrorMessage="0" allowBlank="0" type="list">
      <formula1>"Pauschale,Nachweis,Unbekannt"</formula1>
    </dataValidation>
    <dataValidation sqref="C2764" showDropDown="0" showInputMessage="0" showErrorMessage="0" allowBlank="0" type="list">
      <formula1>"Pauschale,Nachweis,Unbekannt"</formula1>
    </dataValidation>
    <dataValidation sqref="C2765" showDropDown="0" showInputMessage="0" showErrorMessage="0" allowBlank="0" type="list">
      <formula1>"Pauschale,Nachweis,Unbekannt"</formula1>
    </dataValidation>
    <dataValidation sqref="C2766" showDropDown="0" showInputMessage="0" showErrorMessage="0" allowBlank="0" type="list">
      <formula1>"Pauschale,Nachweis,Unbekannt"</formula1>
    </dataValidation>
    <dataValidation sqref="C2767" showDropDown="0" showInputMessage="0" showErrorMessage="0" allowBlank="0" type="list">
      <formula1>"Pauschale,Nachweis,Unbekannt"</formula1>
    </dataValidation>
    <dataValidation sqref="C2768" showDropDown="0" showInputMessage="0" showErrorMessage="0" allowBlank="0" type="list">
      <formula1>"Pauschale,Nachweis,Unbekannt"</formula1>
    </dataValidation>
    <dataValidation sqref="C2769" showDropDown="0" showInputMessage="0" showErrorMessage="0" allowBlank="0" type="list">
      <formula1>"Pauschale,Nachweis,Unbekannt"</formula1>
    </dataValidation>
    <dataValidation sqref="C2770" showDropDown="0" showInputMessage="0" showErrorMessage="0" allowBlank="0" type="list">
      <formula1>"Pauschale,Nachweis,Unbekannt"</formula1>
    </dataValidation>
    <dataValidation sqref="C2771" showDropDown="0" showInputMessage="0" showErrorMessage="0" allowBlank="0" type="list">
      <formula1>"Pauschale,Nachweis,Unbekannt"</formula1>
    </dataValidation>
    <dataValidation sqref="C2772" showDropDown="0" showInputMessage="0" showErrorMessage="0" allowBlank="0" type="list">
      <formula1>"Pauschale,Nachweis,Unbekannt"</formula1>
    </dataValidation>
    <dataValidation sqref="C2773" showDropDown="0" showInputMessage="0" showErrorMessage="0" allowBlank="0" type="list">
      <formula1>"Pauschale,Nachweis,Unbekannt"</formula1>
    </dataValidation>
    <dataValidation sqref="C2774" showDropDown="0" showInputMessage="0" showErrorMessage="0" allowBlank="0" type="list">
      <formula1>"Pauschale,Nachweis,Unbekannt"</formula1>
    </dataValidation>
    <dataValidation sqref="C2775" showDropDown="0" showInputMessage="0" showErrorMessage="0" allowBlank="0" type="list">
      <formula1>"Pauschale,Nachweis,Unbekannt"</formula1>
    </dataValidation>
    <dataValidation sqref="C2776" showDropDown="0" showInputMessage="0" showErrorMessage="0" allowBlank="0" type="list">
      <formula1>"Pauschale,Nachweis,Unbekannt"</formula1>
    </dataValidation>
    <dataValidation sqref="C2777" showDropDown="0" showInputMessage="0" showErrorMessage="0" allowBlank="0" type="list">
      <formula1>"Pauschale,Nachweis,Unbekannt"</formula1>
    </dataValidation>
    <dataValidation sqref="C2778" showDropDown="0" showInputMessage="0" showErrorMessage="0" allowBlank="0" type="list">
      <formula1>"Pauschale,Nachweis,Unbekannt"</formula1>
    </dataValidation>
    <dataValidation sqref="C2779" showDropDown="0" showInputMessage="0" showErrorMessage="0" allowBlank="0" type="list">
      <formula1>"Pauschale,Nachweis,Unbekannt"</formula1>
    </dataValidation>
    <dataValidation sqref="C2780" showDropDown="0" showInputMessage="0" showErrorMessage="0" allowBlank="0" type="list">
      <formula1>"Pauschale,Nachweis,Unbekannt"</formula1>
    </dataValidation>
    <dataValidation sqref="C2781" showDropDown="0" showInputMessage="0" showErrorMessage="0" allowBlank="0" type="list">
      <formula1>"Pauschale,Nachweis,Unbekannt"</formula1>
    </dataValidation>
    <dataValidation sqref="C2782" showDropDown="0" showInputMessage="0" showErrorMessage="0" allowBlank="0" type="list">
      <formula1>"Pauschale,Nachweis,Unbekannt"</formula1>
    </dataValidation>
    <dataValidation sqref="C2783" showDropDown="0" showInputMessage="0" showErrorMessage="0" allowBlank="0" type="list">
      <formula1>"Pauschale,Nachweis,Unbekannt"</formula1>
    </dataValidation>
    <dataValidation sqref="C2784" showDropDown="0" showInputMessage="0" showErrorMessage="0" allowBlank="0" type="list">
      <formula1>"Pauschale,Nachweis,Unbekannt"</formula1>
    </dataValidation>
    <dataValidation sqref="C2785" showDropDown="0" showInputMessage="0" showErrorMessage="0" allowBlank="0" type="list">
      <formula1>"Pauschale,Nachweis,Unbekannt"</formula1>
    </dataValidation>
    <dataValidation sqref="C2786" showDropDown="0" showInputMessage="0" showErrorMessage="0" allowBlank="0" type="list">
      <formula1>"Pauschale,Nachweis,Unbekannt"</formula1>
    </dataValidation>
    <dataValidation sqref="C2787" showDropDown="0" showInputMessage="0" showErrorMessage="0" allowBlank="0" type="list">
      <formula1>"Pauschale,Nachweis,Unbekannt"</formula1>
    </dataValidation>
    <dataValidation sqref="C2788" showDropDown="0" showInputMessage="0" showErrorMessage="0" allowBlank="0" type="list">
      <formula1>"Pauschale,Nachweis,Unbekannt"</formula1>
    </dataValidation>
    <dataValidation sqref="C2789" showDropDown="0" showInputMessage="0" showErrorMessage="0" allowBlank="0" type="list">
      <formula1>"Pauschale,Nachweis,Unbekannt"</formula1>
    </dataValidation>
    <dataValidation sqref="C2790" showDropDown="0" showInputMessage="0" showErrorMessage="0" allowBlank="0" type="list">
      <formula1>"Pauschale,Nachweis,Unbekannt"</formula1>
    </dataValidation>
    <dataValidation sqref="C2791" showDropDown="0" showInputMessage="0" showErrorMessage="0" allowBlank="0" type="list">
      <formula1>"Pauschale,Nachweis,Unbekannt"</formula1>
    </dataValidation>
    <dataValidation sqref="C2792" showDropDown="0" showInputMessage="0" showErrorMessage="0" allowBlank="0" type="list">
      <formula1>"Pauschale,Nachweis,Unbekannt"</formula1>
    </dataValidation>
    <dataValidation sqref="C2793" showDropDown="0" showInputMessage="0" showErrorMessage="0" allowBlank="0" type="list">
      <formula1>"Pauschale,Nachweis,Unbekannt"</formula1>
    </dataValidation>
    <dataValidation sqref="C2794" showDropDown="0" showInputMessage="0" showErrorMessage="0" allowBlank="0" type="list">
      <formula1>"Pauschale,Nachweis,Unbekannt"</formula1>
    </dataValidation>
    <dataValidation sqref="C2795" showDropDown="0" showInputMessage="0" showErrorMessage="0" allowBlank="0" type="list">
      <formula1>"Pauschale,Nachweis,Unbekannt"</formula1>
    </dataValidation>
    <dataValidation sqref="C2796" showDropDown="0" showInputMessage="0" showErrorMessage="0" allowBlank="0" type="list">
      <formula1>"Pauschale,Nachweis,Unbekannt"</formula1>
    </dataValidation>
    <dataValidation sqref="C2797" showDropDown="0" showInputMessage="0" showErrorMessage="0" allowBlank="0" type="list">
      <formula1>"Pauschale,Nachweis,Unbekannt"</formula1>
    </dataValidation>
    <dataValidation sqref="C2798" showDropDown="0" showInputMessage="0" showErrorMessage="0" allowBlank="0" type="list">
      <formula1>"Pauschale,Nachweis,Unbekannt"</formula1>
    </dataValidation>
    <dataValidation sqref="C2799" showDropDown="0" showInputMessage="0" showErrorMessage="0" allowBlank="0" type="list">
      <formula1>"Pauschale,Nachweis,Unbekannt"</formula1>
    </dataValidation>
    <dataValidation sqref="C2800" showDropDown="0" showInputMessage="0" showErrorMessage="0" allowBlank="0" type="list">
      <formula1>"Pauschale,Nachweis,Unbekannt"</formula1>
    </dataValidation>
    <dataValidation sqref="C2801" showDropDown="0" showInputMessage="0" showErrorMessage="0" allowBlank="0" type="list">
      <formula1>"Pauschale,Nachweis,Unbekannt"</formula1>
    </dataValidation>
    <dataValidation sqref="C2802" showDropDown="0" showInputMessage="0" showErrorMessage="0" allowBlank="0" type="list">
      <formula1>"Pauschale,Nachweis,Unbekannt"</formula1>
    </dataValidation>
    <dataValidation sqref="C2803" showDropDown="0" showInputMessage="0" showErrorMessage="0" allowBlank="0" type="list">
      <formula1>"Pauschale,Nachweis,Unbekannt"</formula1>
    </dataValidation>
    <dataValidation sqref="C2804" showDropDown="0" showInputMessage="0" showErrorMessage="0" allowBlank="0" type="list">
      <formula1>"Pauschale,Nachweis,Unbekannt"</formula1>
    </dataValidation>
    <dataValidation sqref="C2805" showDropDown="0" showInputMessage="0" showErrorMessage="0" allowBlank="0" type="list">
      <formula1>"Pauschale,Nachweis,Unbekannt"</formula1>
    </dataValidation>
    <dataValidation sqref="C2806" showDropDown="0" showInputMessage="0" showErrorMessage="0" allowBlank="0" type="list">
      <formula1>"Pauschale,Nachweis,Unbekannt"</formula1>
    </dataValidation>
    <dataValidation sqref="C2807" showDropDown="0" showInputMessage="0" showErrorMessage="0" allowBlank="0" type="list">
      <formula1>"Pauschale,Nachweis,Unbekannt"</formula1>
    </dataValidation>
    <dataValidation sqref="C2808" showDropDown="0" showInputMessage="0" showErrorMessage="0" allowBlank="0" type="list">
      <formula1>"Pauschale,Nachweis,Unbekannt"</formula1>
    </dataValidation>
    <dataValidation sqref="C2809" showDropDown="0" showInputMessage="0" showErrorMessage="0" allowBlank="0" type="list">
      <formula1>"Pauschale,Nachweis,Unbekannt"</formula1>
    </dataValidation>
    <dataValidation sqref="C2810" showDropDown="0" showInputMessage="0" showErrorMessage="0" allowBlank="0" type="list">
      <formula1>"Pauschale,Nachweis,Unbekannt"</formula1>
    </dataValidation>
    <dataValidation sqref="C2811" showDropDown="0" showInputMessage="0" showErrorMessage="0" allowBlank="0" type="list">
      <formula1>"Pauschale,Nachweis,Unbekannt"</formula1>
    </dataValidation>
    <dataValidation sqref="C2812" showDropDown="0" showInputMessage="0" showErrorMessage="0" allowBlank="0" type="list">
      <formula1>"Pauschale,Nachweis,Unbekannt"</formula1>
    </dataValidation>
    <dataValidation sqref="C2813" showDropDown="0" showInputMessage="0" showErrorMessage="0" allowBlank="0" type="list">
      <formula1>"Pauschale,Nachweis,Unbekannt"</formula1>
    </dataValidation>
    <dataValidation sqref="C2814" showDropDown="0" showInputMessage="0" showErrorMessage="0" allowBlank="0" type="list">
      <formula1>"Pauschale,Nachweis,Unbekannt"</formula1>
    </dataValidation>
    <dataValidation sqref="C2815" showDropDown="0" showInputMessage="0" showErrorMessage="0" allowBlank="0" type="list">
      <formula1>"Pauschale,Nachweis,Unbekannt"</formula1>
    </dataValidation>
    <dataValidation sqref="C2816" showDropDown="0" showInputMessage="0" showErrorMessage="0" allowBlank="0" type="list">
      <formula1>"Pauschale,Nachweis,Unbekannt"</formula1>
    </dataValidation>
    <dataValidation sqref="C2817" showDropDown="0" showInputMessage="0" showErrorMessage="0" allowBlank="0" type="list">
      <formula1>"Pauschale,Nachweis,Unbekannt"</formula1>
    </dataValidation>
    <dataValidation sqref="C2818" showDropDown="0" showInputMessage="0" showErrorMessage="0" allowBlank="0" type="list">
      <formula1>"Pauschale,Nachweis,Unbekannt"</formula1>
    </dataValidation>
    <dataValidation sqref="C2819" showDropDown="0" showInputMessage="0" showErrorMessage="0" allowBlank="0" type="list">
      <formula1>"Pauschale,Nachweis,Unbekannt"</formula1>
    </dataValidation>
    <dataValidation sqref="C2820" showDropDown="0" showInputMessage="0" showErrorMessage="0" allowBlank="0" type="list">
      <formula1>"Pauschale,Nachweis,Unbekannt"</formula1>
    </dataValidation>
    <dataValidation sqref="C2821" showDropDown="0" showInputMessage="0" showErrorMessage="0" allowBlank="0" type="list">
      <formula1>"Pauschale,Nachweis,Unbekannt"</formula1>
    </dataValidation>
    <dataValidation sqref="C2822" showDropDown="0" showInputMessage="0" showErrorMessage="0" allowBlank="0" type="list">
      <formula1>"Pauschale,Nachweis,Unbekannt"</formula1>
    </dataValidation>
    <dataValidation sqref="C2823" showDropDown="0" showInputMessage="0" showErrorMessage="0" allowBlank="0" type="list">
      <formula1>"Pauschale,Nachweis,Unbekannt"</formula1>
    </dataValidation>
    <dataValidation sqref="C2824" showDropDown="0" showInputMessage="0" showErrorMessage="0" allowBlank="0" type="list">
      <formula1>"Pauschale,Nachweis,Unbekannt"</formula1>
    </dataValidation>
    <dataValidation sqref="C2825" showDropDown="0" showInputMessage="0" showErrorMessage="0" allowBlank="0" type="list">
      <formula1>"Pauschale,Nachweis,Unbekannt"</formula1>
    </dataValidation>
    <dataValidation sqref="C2826" showDropDown="0" showInputMessage="0" showErrorMessage="0" allowBlank="0" type="list">
      <formula1>"Pauschale,Nachweis,Unbekannt"</formula1>
    </dataValidation>
    <dataValidation sqref="C2827" showDropDown="0" showInputMessage="0" showErrorMessage="0" allowBlank="0" type="list">
      <formula1>"Pauschale,Nachweis,Unbekannt"</formula1>
    </dataValidation>
    <dataValidation sqref="C2828" showDropDown="0" showInputMessage="0" showErrorMessage="0" allowBlank="0" type="list">
      <formula1>"Pauschale,Nachweis,Unbekannt"</formula1>
    </dataValidation>
    <dataValidation sqref="C2829" showDropDown="0" showInputMessage="0" showErrorMessage="0" allowBlank="0" type="list">
      <formula1>"Pauschale,Nachweis,Unbekannt"</formula1>
    </dataValidation>
    <dataValidation sqref="C2830" showDropDown="0" showInputMessage="0" showErrorMessage="0" allowBlank="0" type="list">
      <formula1>"Pauschale,Nachweis,Unbekannt"</formula1>
    </dataValidation>
    <dataValidation sqref="C2831" showDropDown="0" showInputMessage="0" showErrorMessage="0" allowBlank="0" type="list">
      <formula1>"Pauschale,Nachweis,Unbekannt"</formula1>
    </dataValidation>
    <dataValidation sqref="C2832" showDropDown="0" showInputMessage="0" showErrorMessage="0" allowBlank="0" type="list">
      <formula1>"Pauschale,Nachweis,Unbekannt"</formula1>
    </dataValidation>
    <dataValidation sqref="C2833" showDropDown="0" showInputMessage="0" showErrorMessage="0" allowBlank="0" type="list">
      <formula1>"Pauschale,Nachweis,Unbekannt"</formula1>
    </dataValidation>
    <dataValidation sqref="C2834" showDropDown="0" showInputMessage="0" showErrorMessage="0" allowBlank="0" type="list">
      <formula1>"Pauschale,Nachweis,Unbekannt"</formula1>
    </dataValidation>
    <dataValidation sqref="C2835" showDropDown="0" showInputMessage="0" showErrorMessage="0" allowBlank="0" type="list">
      <formula1>"Pauschale,Nachweis,Unbekannt"</formula1>
    </dataValidation>
    <dataValidation sqref="C2836" showDropDown="0" showInputMessage="0" showErrorMessage="0" allowBlank="0" type="list">
      <formula1>"Pauschale,Nachweis,Unbekannt"</formula1>
    </dataValidation>
    <dataValidation sqref="C2837" showDropDown="0" showInputMessage="0" showErrorMessage="0" allowBlank="0" type="list">
      <formula1>"Pauschale,Nachweis,Unbekannt"</formula1>
    </dataValidation>
    <dataValidation sqref="C2838" showDropDown="0" showInputMessage="0" showErrorMessage="0" allowBlank="0" type="list">
      <formula1>"Pauschale,Nachweis,Unbekannt"</formula1>
    </dataValidation>
    <dataValidation sqref="C2839" showDropDown="0" showInputMessage="0" showErrorMessage="0" allowBlank="0" type="list">
      <formula1>"Pauschale,Nachweis,Unbekannt"</formula1>
    </dataValidation>
    <dataValidation sqref="C2840" showDropDown="0" showInputMessage="0" showErrorMessage="0" allowBlank="0" type="list">
      <formula1>"Pauschale,Nachweis,Unbekannt"</formula1>
    </dataValidation>
    <dataValidation sqref="C2841" showDropDown="0" showInputMessage="0" showErrorMessage="0" allowBlank="0" type="list">
      <formula1>"Pauschale,Nachweis,Unbekannt"</formula1>
    </dataValidation>
    <dataValidation sqref="C2842" showDropDown="0" showInputMessage="0" showErrorMessage="0" allowBlank="0" type="list">
      <formula1>"Pauschale,Nachweis,Unbekannt"</formula1>
    </dataValidation>
    <dataValidation sqref="C2843" showDropDown="0" showInputMessage="0" showErrorMessage="0" allowBlank="0" type="list">
      <formula1>"Pauschale,Nachweis,Unbekannt"</formula1>
    </dataValidation>
    <dataValidation sqref="C2844" showDropDown="0" showInputMessage="0" showErrorMessage="0" allowBlank="0" type="list">
      <formula1>"Pauschale,Nachweis,Unbekannt"</formula1>
    </dataValidation>
    <dataValidation sqref="C2845" showDropDown="0" showInputMessage="0" showErrorMessage="0" allowBlank="0" type="list">
      <formula1>"Pauschale,Nachweis,Unbekannt"</formula1>
    </dataValidation>
    <dataValidation sqref="C2846" showDropDown="0" showInputMessage="0" showErrorMessage="0" allowBlank="0" type="list">
      <formula1>"Pauschale,Nachweis,Unbekannt"</formula1>
    </dataValidation>
    <dataValidation sqref="C2847" showDropDown="0" showInputMessage="0" showErrorMessage="0" allowBlank="0" type="list">
      <formula1>"Pauschale,Nachweis,Unbekannt"</formula1>
    </dataValidation>
    <dataValidation sqref="C2848" showDropDown="0" showInputMessage="0" showErrorMessage="0" allowBlank="0" type="list">
      <formula1>"Pauschale,Nachweis,Unbekannt"</formula1>
    </dataValidation>
    <dataValidation sqref="C2849" showDropDown="0" showInputMessage="0" showErrorMessage="0" allowBlank="0" type="list">
      <formula1>"Pauschale,Nachweis,Unbekannt"</formula1>
    </dataValidation>
    <dataValidation sqref="C2850" showDropDown="0" showInputMessage="0" showErrorMessage="0" allowBlank="0" type="list">
      <formula1>"Pauschale,Nachweis,Unbekannt"</formula1>
    </dataValidation>
    <dataValidation sqref="C2851" showDropDown="0" showInputMessage="0" showErrorMessage="0" allowBlank="0" type="list">
      <formula1>"Pauschale,Nachweis,Unbekannt"</formula1>
    </dataValidation>
    <dataValidation sqref="C2852" showDropDown="0" showInputMessage="0" showErrorMessage="0" allowBlank="0" type="list">
      <formula1>"Pauschale,Nachweis,Unbekannt"</formula1>
    </dataValidation>
    <dataValidation sqref="C2853" showDropDown="0" showInputMessage="0" showErrorMessage="0" allowBlank="0" type="list">
      <formula1>"Pauschale,Nachweis,Unbekannt"</formula1>
    </dataValidation>
    <dataValidation sqref="C2854" showDropDown="0" showInputMessage="0" showErrorMessage="0" allowBlank="0" type="list">
      <formula1>"Pauschale,Nachweis,Unbekannt"</formula1>
    </dataValidation>
    <dataValidation sqref="C2855" showDropDown="0" showInputMessage="0" showErrorMessage="0" allowBlank="0" type="list">
      <formula1>"Pauschale,Nachweis,Unbekannt"</formula1>
    </dataValidation>
    <dataValidation sqref="C2856" showDropDown="0" showInputMessage="0" showErrorMessage="0" allowBlank="0" type="list">
      <formula1>"Pauschale,Nachweis,Unbekannt"</formula1>
    </dataValidation>
    <dataValidation sqref="C2857" showDropDown="0" showInputMessage="0" showErrorMessage="0" allowBlank="0" type="list">
      <formula1>"Pauschale,Nachweis,Unbekannt"</formula1>
    </dataValidation>
    <dataValidation sqref="C2858" showDropDown="0" showInputMessage="0" showErrorMessage="0" allowBlank="0" type="list">
      <formula1>"Pauschale,Nachweis,Unbekannt"</formula1>
    </dataValidation>
    <dataValidation sqref="C2859" showDropDown="0" showInputMessage="0" showErrorMessage="0" allowBlank="0" type="list">
      <formula1>"Pauschale,Nachweis,Unbekannt"</formula1>
    </dataValidation>
    <dataValidation sqref="C2860" showDropDown="0" showInputMessage="0" showErrorMessage="0" allowBlank="0" type="list">
      <formula1>"Pauschale,Nachweis,Unbekannt"</formula1>
    </dataValidation>
    <dataValidation sqref="C2861" showDropDown="0" showInputMessage="0" showErrorMessage="0" allowBlank="0" type="list">
      <formula1>"Pauschale,Nachweis,Unbekannt"</formula1>
    </dataValidation>
    <dataValidation sqref="C2862" showDropDown="0" showInputMessage="0" showErrorMessage="0" allowBlank="0" type="list">
      <formula1>"Pauschale,Nachweis,Unbekannt"</formula1>
    </dataValidation>
    <dataValidation sqref="C2863" showDropDown="0" showInputMessage="0" showErrorMessage="0" allowBlank="0" type="list">
      <formula1>"Pauschale,Nachweis,Unbekannt"</formula1>
    </dataValidation>
    <dataValidation sqref="C2864" showDropDown="0" showInputMessage="0" showErrorMessage="0" allowBlank="0" type="list">
      <formula1>"Pauschale,Nachweis,Unbekannt"</formula1>
    </dataValidation>
    <dataValidation sqref="C2865" showDropDown="0" showInputMessage="0" showErrorMessage="0" allowBlank="0" type="list">
      <formula1>"Pauschale,Nachweis,Unbekannt"</formula1>
    </dataValidation>
    <dataValidation sqref="C2866" showDropDown="0" showInputMessage="0" showErrorMessage="0" allowBlank="0" type="list">
      <formula1>"Pauschale,Nachweis,Unbekannt"</formula1>
    </dataValidation>
    <dataValidation sqref="C2867" showDropDown="0" showInputMessage="0" showErrorMessage="0" allowBlank="0" type="list">
      <formula1>"Pauschale,Nachweis,Unbekannt"</formula1>
    </dataValidation>
    <dataValidation sqref="C2868" showDropDown="0" showInputMessage="0" showErrorMessage="0" allowBlank="0" type="list">
      <formula1>"Pauschale,Nachweis,Unbekannt"</formula1>
    </dataValidation>
    <dataValidation sqref="C2869" showDropDown="0" showInputMessage="0" showErrorMessage="0" allowBlank="0" type="list">
      <formula1>"Pauschale,Nachweis,Unbekannt"</formula1>
    </dataValidation>
    <dataValidation sqref="C2870" showDropDown="0" showInputMessage="0" showErrorMessage="0" allowBlank="0" type="list">
      <formula1>"Pauschale,Nachweis,Unbekannt"</formula1>
    </dataValidation>
    <dataValidation sqref="C2871" showDropDown="0" showInputMessage="0" showErrorMessage="0" allowBlank="0" type="list">
      <formula1>"Pauschale,Nachweis,Unbekannt"</formula1>
    </dataValidation>
    <dataValidation sqref="C2872" showDropDown="0" showInputMessage="0" showErrorMessage="0" allowBlank="0" type="list">
      <formula1>"Pauschale,Nachweis,Unbekannt"</formula1>
    </dataValidation>
    <dataValidation sqref="C2873" showDropDown="0" showInputMessage="0" showErrorMessage="0" allowBlank="0" type="list">
      <formula1>"Pauschale,Nachweis,Unbekannt"</formula1>
    </dataValidation>
    <dataValidation sqref="C2874" showDropDown="0" showInputMessage="0" showErrorMessage="0" allowBlank="0" type="list">
      <formula1>"Pauschale,Nachweis,Unbekannt"</formula1>
    </dataValidation>
    <dataValidation sqref="C2875" showDropDown="0" showInputMessage="0" showErrorMessage="0" allowBlank="0" type="list">
      <formula1>"Pauschale,Nachweis,Unbekannt"</formula1>
    </dataValidation>
    <dataValidation sqref="C2876" showDropDown="0" showInputMessage="0" showErrorMessage="0" allowBlank="0" type="list">
      <formula1>"Pauschale,Nachweis,Unbekannt"</formula1>
    </dataValidation>
    <dataValidation sqref="C2877" showDropDown="0" showInputMessage="0" showErrorMessage="0" allowBlank="0" type="list">
      <formula1>"Pauschale,Nachweis,Unbekannt"</formula1>
    </dataValidation>
    <dataValidation sqref="C2878" showDropDown="0" showInputMessage="0" showErrorMessage="0" allowBlank="0" type="list">
      <formula1>"Pauschale,Nachweis,Unbekannt"</formula1>
    </dataValidation>
    <dataValidation sqref="C2879" showDropDown="0" showInputMessage="0" showErrorMessage="0" allowBlank="0" type="list">
      <formula1>"Pauschale,Nachweis,Unbekannt"</formula1>
    </dataValidation>
    <dataValidation sqref="C2880" showDropDown="0" showInputMessage="0" showErrorMessage="0" allowBlank="0" type="list">
      <formula1>"Pauschale,Nachweis,Unbekannt"</formula1>
    </dataValidation>
    <dataValidation sqref="C2881" showDropDown="0" showInputMessage="0" showErrorMessage="0" allowBlank="0" type="list">
      <formula1>"Pauschale,Nachweis,Unbekannt"</formula1>
    </dataValidation>
    <dataValidation sqref="C2882" showDropDown="0" showInputMessage="0" showErrorMessage="0" allowBlank="0" type="list">
      <formula1>"Pauschale,Nachweis,Unbekannt"</formula1>
    </dataValidation>
    <dataValidation sqref="C2883" showDropDown="0" showInputMessage="0" showErrorMessage="0" allowBlank="0" type="list">
      <formula1>"Pauschale,Nachweis,Unbekannt"</formula1>
    </dataValidation>
    <dataValidation sqref="C2884" showDropDown="0" showInputMessage="0" showErrorMessage="0" allowBlank="0" type="list">
      <formula1>"Pauschale,Nachweis,Unbekannt"</formula1>
    </dataValidation>
    <dataValidation sqref="C2885" showDropDown="0" showInputMessage="0" showErrorMessage="0" allowBlank="0" type="list">
      <formula1>"Pauschale,Nachweis,Unbekannt"</formula1>
    </dataValidation>
    <dataValidation sqref="C2886" showDropDown="0" showInputMessage="0" showErrorMessage="0" allowBlank="0" type="list">
      <formula1>"Pauschale,Nachweis,Unbekannt"</formula1>
    </dataValidation>
    <dataValidation sqref="C2887" showDropDown="0" showInputMessage="0" showErrorMessage="0" allowBlank="0" type="list">
      <formula1>"Pauschale,Nachweis,Unbekannt"</formula1>
    </dataValidation>
    <dataValidation sqref="C2888" showDropDown="0" showInputMessage="0" showErrorMessage="0" allowBlank="0" type="list">
      <formula1>"Pauschale,Nachweis,Unbekannt"</formula1>
    </dataValidation>
    <dataValidation sqref="C2889" showDropDown="0" showInputMessage="0" showErrorMessage="0" allowBlank="0" type="list">
      <formula1>"Pauschale,Nachweis,Unbekannt"</formula1>
    </dataValidation>
    <dataValidation sqref="C2890" showDropDown="0" showInputMessage="0" showErrorMessage="0" allowBlank="0" type="list">
      <formula1>"Pauschale,Nachweis,Unbekannt"</formula1>
    </dataValidation>
    <dataValidation sqref="C2891" showDropDown="0" showInputMessage="0" showErrorMessage="0" allowBlank="0" type="list">
      <formula1>"Pauschale,Nachweis,Unbekannt"</formula1>
    </dataValidation>
    <dataValidation sqref="C2892" showDropDown="0" showInputMessage="0" showErrorMessage="0" allowBlank="0" type="list">
      <formula1>"Pauschale,Nachweis,Unbekannt"</formula1>
    </dataValidation>
    <dataValidation sqref="C2893" showDropDown="0" showInputMessage="0" showErrorMessage="0" allowBlank="0" type="list">
      <formula1>"Pauschale,Nachweis,Unbekannt"</formula1>
    </dataValidation>
    <dataValidation sqref="C2894" showDropDown="0" showInputMessage="0" showErrorMessage="0" allowBlank="0" type="list">
      <formula1>"Pauschale,Nachweis,Unbekannt"</formula1>
    </dataValidation>
    <dataValidation sqref="C2895" showDropDown="0" showInputMessage="0" showErrorMessage="0" allowBlank="0" type="list">
      <formula1>"Pauschale,Nachweis,Unbekannt"</formula1>
    </dataValidation>
    <dataValidation sqref="C2896" showDropDown="0" showInputMessage="0" showErrorMessage="0" allowBlank="0" type="list">
      <formula1>"Pauschale,Nachweis,Unbekannt"</formula1>
    </dataValidation>
    <dataValidation sqref="C2897" showDropDown="0" showInputMessage="0" showErrorMessage="0" allowBlank="0" type="list">
      <formula1>"Pauschale,Nachweis,Unbekannt"</formula1>
    </dataValidation>
    <dataValidation sqref="C2898" showDropDown="0" showInputMessage="0" showErrorMessage="0" allowBlank="0" type="list">
      <formula1>"Pauschale,Nachweis,Unbekannt"</formula1>
    </dataValidation>
    <dataValidation sqref="C2899" showDropDown="0" showInputMessage="0" showErrorMessage="0" allowBlank="0" type="list">
      <formula1>"Pauschale,Nachweis,Unbekannt"</formula1>
    </dataValidation>
    <dataValidation sqref="C2900" showDropDown="0" showInputMessage="0" showErrorMessage="0" allowBlank="0" type="list">
      <formula1>"Pauschale,Nachweis,Unbekannt"</formula1>
    </dataValidation>
    <dataValidation sqref="C2901" showDropDown="0" showInputMessage="0" showErrorMessage="0" allowBlank="0" type="list">
      <formula1>"Pauschale,Nachweis,Unbekannt"</formula1>
    </dataValidation>
    <dataValidation sqref="C2902" showDropDown="0" showInputMessage="0" showErrorMessage="0" allowBlank="0" type="list">
      <formula1>"Pauschale,Nachweis,Unbekannt"</formula1>
    </dataValidation>
    <dataValidation sqref="C2903" showDropDown="0" showInputMessage="0" showErrorMessage="0" allowBlank="0" type="list">
      <formula1>"Pauschale,Nachweis,Unbekannt"</formula1>
    </dataValidation>
    <dataValidation sqref="C2904" showDropDown="0" showInputMessage="0" showErrorMessage="0" allowBlank="0" type="list">
      <formula1>"Pauschale,Nachweis,Unbekannt"</formula1>
    </dataValidation>
    <dataValidation sqref="C2905" showDropDown="0" showInputMessage="0" showErrorMessage="0" allowBlank="0" type="list">
      <formula1>"Pauschale,Nachweis,Unbekannt"</formula1>
    </dataValidation>
    <dataValidation sqref="C2906" showDropDown="0" showInputMessage="0" showErrorMessage="0" allowBlank="0" type="list">
      <formula1>"Pauschale,Nachweis,Unbekannt"</formula1>
    </dataValidation>
    <dataValidation sqref="C2907" showDropDown="0" showInputMessage="0" showErrorMessage="0" allowBlank="0" type="list">
      <formula1>"Pauschale,Nachweis,Unbekannt"</formula1>
    </dataValidation>
    <dataValidation sqref="C2908" showDropDown="0" showInputMessage="0" showErrorMessage="0" allowBlank="0" type="list">
      <formula1>"Pauschale,Nachweis,Unbekannt"</formula1>
    </dataValidation>
    <dataValidation sqref="C2909" showDropDown="0" showInputMessage="0" showErrorMessage="0" allowBlank="0" type="list">
      <formula1>"Pauschale,Nachweis,Unbekannt"</formula1>
    </dataValidation>
    <dataValidation sqref="C2910" showDropDown="0" showInputMessage="0" showErrorMessage="0" allowBlank="0" type="list">
      <formula1>"Pauschale,Nachweis,Unbekannt"</formula1>
    </dataValidation>
    <dataValidation sqref="C2911" showDropDown="0" showInputMessage="0" showErrorMessage="0" allowBlank="0" type="list">
      <formula1>"Pauschale,Nachweis,Unbekannt"</formula1>
    </dataValidation>
    <dataValidation sqref="C2912" showDropDown="0" showInputMessage="0" showErrorMessage="0" allowBlank="0" type="list">
      <formula1>"Pauschale,Nachweis,Unbekannt"</formula1>
    </dataValidation>
    <dataValidation sqref="C2913" showDropDown="0" showInputMessage="0" showErrorMessage="0" allowBlank="0" type="list">
      <formula1>"Pauschale,Nachweis,Unbekannt"</formula1>
    </dataValidation>
    <dataValidation sqref="C2914" showDropDown="0" showInputMessage="0" showErrorMessage="0" allowBlank="0" type="list">
      <formula1>"Pauschale,Nachweis,Unbekannt"</formula1>
    </dataValidation>
    <dataValidation sqref="C2915" showDropDown="0" showInputMessage="0" showErrorMessage="0" allowBlank="0" type="list">
      <formula1>"Pauschale,Nachweis,Unbekannt"</formula1>
    </dataValidation>
    <dataValidation sqref="C2916" showDropDown="0" showInputMessage="0" showErrorMessage="0" allowBlank="0" type="list">
      <formula1>"Pauschale,Nachweis,Unbekannt"</formula1>
    </dataValidation>
    <dataValidation sqref="C2917" showDropDown="0" showInputMessage="0" showErrorMessage="0" allowBlank="0" type="list">
      <formula1>"Pauschale,Nachweis,Unbekannt"</formula1>
    </dataValidation>
    <dataValidation sqref="C2918" showDropDown="0" showInputMessage="0" showErrorMessage="0" allowBlank="0" type="list">
      <formula1>"Pauschale,Nachweis,Unbekannt"</formula1>
    </dataValidation>
    <dataValidation sqref="C2919" showDropDown="0" showInputMessage="0" showErrorMessage="0" allowBlank="0" type="list">
      <formula1>"Pauschale,Nachweis,Unbekannt"</formula1>
    </dataValidation>
    <dataValidation sqref="C2920" showDropDown="0" showInputMessage="0" showErrorMessage="0" allowBlank="0" type="list">
      <formula1>"Pauschale,Nachweis,Unbekannt"</formula1>
    </dataValidation>
    <dataValidation sqref="C2921" showDropDown="0" showInputMessage="0" showErrorMessage="0" allowBlank="0" type="list">
      <formula1>"Pauschale,Nachweis,Unbekannt"</formula1>
    </dataValidation>
    <dataValidation sqref="C2922" showDropDown="0" showInputMessage="0" showErrorMessage="0" allowBlank="0" type="list">
      <formula1>"Pauschale,Nachweis,Unbekannt"</formula1>
    </dataValidation>
    <dataValidation sqref="C2923" showDropDown="0" showInputMessage="0" showErrorMessage="0" allowBlank="0" type="list">
      <formula1>"Pauschale,Nachweis,Unbekannt"</formula1>
    </dataValidation>
    <dataValidation sqref="C2924" showDropDown="0" showInputMessage="0" showErrorMessage="0" allowBlank="0" type="list">
      <formula1>"Pauschale,Nachweis,Unbekannt"</formula1>
    </dataValidation>
    <dataValidation sqref="C2925" showDropDown="0" showInputMessage="0" showErrorMessage="0" allowBlank="0" type="list">
      <formula1>"Pauschale,Nachweis,Unbekannt"</formula1>
    </dataValidation>
    <dataValidation sqref="C2926" showDropDown="0" showInputMessage="0" showErrorMessage="0" allowBlank="0" type="list">
      <formula1>"Pauschale,Nachweis,Unbekannt"</formula1>
    </dataValidation>
    <dataValidation sqref="C2927" showDropDown="0" showInputMessage="0" showErrorMessage="0" allowBlank="0" type="list">
      <formula1>"Pauschale,Nachweis,Unbekannt"</formula1>
    </dataValidation>
    <dataValidation sqref="C2928" showDropDown="0" showInputMessage="0" showErrorMessage="0" allowBlank="0" type="list">
      <formula1>"Pauschale,Nachweis,Unbekannt"</formula1>
    </dataValidation>
    <dataValidation sqref="C2929" showDropDown="0" showInputMessage="0" showErrorMessage="0" allowBlank="0" type="list">
      <formula1>"Pauschale,Nachweis,Unbekannt"</formula1>
    </dataValidation>
    <dataValidation sqref="C2930" showDropDown="0" showInputMessage="0" showErrorMessage="0" allowBlank="0" type="list">
      <formula1>"Pauschale,Nachweis,Unbekannt"</formula1>
    </dataValidation>
    <dataValidation sqref="C2931" showDropDown="0" showInputMessage="0" showErrorMessage="0" allowBlank="0" type="list">
      <formula1>"Pauschale,Nachweis,Unbekannt"</formula1>
    </dataValidation>
    <dataValidation sqref="C2932" showDropDown="0" showInputMessage="0" showErrorMessage="0" allowBlank="0" type="list">
      <formula1>"Pauschale,Nachweis,Unbekannt"</formula1>
    </dataValidation>
    <dataValidation sqref="C2933" showDropDown="0" showInputMessage="0" showErrorMessage="0" allowBlank="0" type="list">
      <formula1>"Pauschale,Nachweis,Unbekannt"</formula1>
    </dataValidation>
    <dataValidation sqref="C2934" showDropDown="0" showInputMessage="0" showErrorMessage="0" allowBlank="0" type="list">
      <formula1>"Pauschale,Nachweis,Unbekannt"</formula1>
    </dataValidation>
    <dataValidation sqref="C2935" showDropDown="0" showInputMessage="0" showErrorMessage="0" allowBlank="0" type="list">
      <formula1>"Pauschale,Nachweis,Unbekannt"</formula1>
    </dataValidation>
    <dataValidation sqref="C2936" showDropDown="0" showInputMessage="0" showErrorMessage="0" allowBlank="0" type="list">
      <formula1>"Pauschale,Nachweis,Unbekannt"</formula1>
    </dataValidation>
    <dataValidation sqref="C2937" showDropDown="0" showInputMessage="0" showErrorMessage="0" allowBlank="0" type="list">
      <formula1>"Pauschale,Nachweis,Unbekannt"</formula1>
    </dataValidation>
    <dataValidation sqref="C2938" showDropDown="0" showInputMessage="0" showErrorMessage="0" allowBlank="0" type="list">
      <formula1>"Pauschale,Nachweis,Unbekannt"</formula1>
    </dataValidation>
    <dataValidation sqref="C2939" showDropDown="0" showInputMessage="0" showErrorMessage="0" allowBlank="0" type="list">
      <formula1>"Pauschale,Nachweis,Unbekannt"</formula1>
    </dataValidation>
    <dataValidation sqref="C2940" showDropDown="0" showInputMessage="0" showErrorMessage="0" allowBlank="0" type="list">
      <formula1>"Pauschale,Nachweis,Unbekannt"</formula1>
    </dataValidation>
    <dataValidation sqref="C2941" showDropDown="0" showInputMessage="0" showErrorMessage="0" allowBlank="0" type="list">
      <formula1>"Pauschale,Nachweis,Unbekannt"</formula1>
    </dataValidation>
    <dataValidation sqref="C2942" showDropDown="0" showInputMessage="0" showErrorMessage="0" allowBlank="0" type="list">
      <formula1>"Pauschale,Nachweis,Unbekannt"</formula1>
    </dataValidation>
    <dataValidation sqref="C2943" showDropDown="0" showInputMessage="0" showErrorMessage="0" allowBlank="0" type="list">
      <formula1>"Pauschale,Nachweis,Unbekannt"</formula1>
    </dataValidation>
    <dataValidation sqref="C2944" showDropDown="0" showInputMessage="0" showErrorMessage="0" allowBlank="0" type="list">
      <formula1>"Pauschale,Nachweis,Unbekannt"</formula1>
    </dataValidation>
    <dataValidation sqref="C2945" showDropDown="0" showInputMessage="0" showErrorMessage="0" allowBlank="0" type="list">
      <formula1>"Pauschale,Nachweis,Unbekannt"</formula1>
    </dataValidation>
    <dataValidation sqref="C2946" showDropDown="0" showInputMessage="0" showErrorMessage="0" allowBlank="0" type="list">
      <formula1>"Pauschale,Nachweis,Unbekannt"</formula1>
    </dataValidation>
    <dataValidation sqref="C2947" showDropDown="0" showInputMessage="0" showErrorMessage="0" allowBlank="0" type="list">
      <formula1>"Pauschale,Nachweis,Unbekannt"</formula1>
    </dataValidation>
    <dataValidation sqref="C2948" showDropDown="0" showInputMessage="0" showErrorMessage="0" allowBlank="0" type="list">
      <formula1>"Pauschale,Nachweis,Unbekannt"</formula1>
    </dataValidation>
    <dataValidation sqref="C2949" showDropDown="0" showInputMessage="0" showErrorMessage="0" allowBlank="0" type="list">
      <formula1>"Pauschale,Nachweis,Unbekannt"</formula1>
    </dataValidation>
    <dataValidation sqref="C2950" showDropDown="0" showInputMessage="0" showErrorMessage="0" allowBlank="0" type="list">
      <formula1>"Pauschale,Nachweis,Unbekannt"</formula1>
    </dataValidation>
    <dataValidation sqref="C2951" showDropDown="0" showInputMessage="0" showErrorMessage="0" allowBlank="0" type="list">
      <formula1>"Pauschale,Nachweis,Unbekannt"</formula1>
    </dataValidation>
    <dataValidation sqref="C2952" showDropDown="0" showInputMessage="0" showErrorMessage="0" allowBlank="0" type="list">
      <formula1>"Pauschale,Nachweis,Unbekannt"</formula1>
    </dataValidation>
    <dataValidation sqref="C2953" showDropDown="0" showInputMessage="0" showErrorMessage="0" allowBlank="0" type="list">
      <formula1>"Pauschale,Nachweis,Unbekannt"</formula1>
    </dataValidation>
    <dataValidation sqref="C2954" showDropDown="0" showInputMessage="0" showErrorMessage="0" allowBlank="0" type="list">
      <formula1>"Pauschale,Nachweis,Unbekannt"</formula1>
    </dataValidation>
    <dataValidation sqref="C2955" showDropDown="0" showInputMessage="0" showErrorMessage="0" allowBlank="0" type="list">
      <formula1>"Pauschale,Nachweis,Unbekannt"</formula1>
    </dataValidation>
    <dataValidation sqref="C2956" showDropDown="0" showInputMessage="0" showErrorMessage="0" allowBlank="0" type="list">
      <formula1>"Pauschale,Nachweis,Unbekannt"</formula1>
    </dataValidation>
    <dataValidation sqref="C2957" showDropDown="0" showInputMessage="0" showErrorMessage="0" allowBlank="0" type="list">
      <formula1>"Pauschale,Nachweis,Unbekannt"</formula1>
    </dataValidation>
    <dataValidation sqref="C2958" showDropDown="0" showInputMessage="0" showErrorMessage="0" allowBlank="0" type="list">
      <formula1>"Pauschale,Nachweis,Unbekannt"</formula1>
    </dataValidation>
    <dataValidation sqref="C2959" showDropDown="0" showInputMessage="0" showErrorMessage="0" allowBlank="0" type="list">
      <formula1>"Pauschale,Nachweis,Unbekannt"</formula1>
    </dataValidation>
    <dataValidation sqref="C2960" showDropDown="0" showInputMessage="0" showErrorMessage="0" allowBlank="0" type="list">
      <formula1>"Pauschale,Nachweis,Unbekannt"</formula1>
    </dataValidation>
    <dataValidation sqref="C2961" showDropDown="0" showInputMessage="0" showErrorMessage="0" allowBlank="0" type="list">
      <formula1>"Pauschale,Nachweis,Unbekannt"</formula1>
    </dataValidation>
    <dataValidation sqref="C2962" showDropDown="0" showInputMessage="0" showErrorMessage="0" allowBlank="0" type="list">
      <formula1>"Pauschale,Nachweis,Unbekannt"</formula1>
    </dataValidation>
    <dataValidation sqref="C2963" showDropDown="0" showInputMessage="0" showErrorMessage="0" allowBlank="0" type="list">
      <formula1>"Pauschale,Nachweis,Unbekannt"</formula1>
    </dataValidation>
    <dataValidation sqref="C2964" showDropDown="0" showInputMessage="0" showErrorMessage="0" allowBlank="0" type="list">
      <formula1>"Pauschale,Nachweis,Unbekannt"</formula1>
    </dataValidation>
    <dataValidation sqref="C2965" showDropDown="0" showInputMessage="0" showErrorMessage="0" allowBlank="0" type="list">
      <formula1>"Pauschale,Nachweis,Unbekannt"</formula1>
    </dataValidation>
    <dataValidation sqref="C2966" showDropDown="0" showInputMessage="0" showErrorMessage="0" allowBlank="0" type="list">
      <formula1>"Pauschale,Nachweis,Unbekannt"</formula1>
    </dataValidation>
    <dataValidation sqref="C2967" showDropDown="0" showInputMessage="0" showErrorMessage="0" allowBlank="0" type="list">
      <formula1>"Pauschale,Nachweis,Unbekannt"</formula1>
    </dataValidation>
    <dataValidation sqref="C2968" showDropDown="0" showInputMessage="0" showErrorMessage="0" allowBlank="0" type="list">
      <formula1>"Pauschale,Nachweis,Unbekannt"</formula1>
    </dataValidation>
    <dataValidation sqref="C2969" showDropDown="0" showInputMessage="0" showErrorMessage="0" allowBlank="0" type="list">
      <formula1>"Pauschale,Nachweis,Unbekannt"</formula1>
    </dataValidation>
    <dataValidation sqref="C2970" showDropDown="0" showInputMessage="0" showErrorMessage="0" allowBlank="0" type="list">
      <formula1>"Pauschale,Nachweis,Unbekannt"</formula1>
    </dataValidation>
    <dataValidation sqref="C2971" showDropDown="0" showInputMessage="0" showErrorMessage="0" allowBlank="0" type="list">
      <formula1>"Pauschale,Nachweis,Unbekannt"</formula1>
    </dataValidation>
    <dataValidation sqref="C2972" showDropDown="0" showInputMessage="0" showErrorMessage="0" allowBlank="0" type="list">
      <formula1>"Pauschale,Nachweis,Unbekannt"</formula1>
    </dataValidation>
    <dataValidation sqref="C2973" showDropDown="0" showInputMessage="0" showErrorMessage="0" allowBlank="0" type="list">
      <formula1>"Pauschale,Nachweis,Unbekannt"</formula1>
    </dataValidation>
    <dataValidation sqref="C2974" showDropDown="0" showInputMessage="0" showErrorMessage="0" allowBlank="0" type="list">
      <formula1>"Pauschale,Nachweis,Unbekannt"</formula1>
    </dataValidation>
    <dataValidation sqref="C2975" showDropDown="0" showInputMessage="0" showErrorMessage="0" allowBlank="0" type="list">
      <formula1>"Pauschale,Nachweis,Unbekannt"</formula1>
    </dataValidation>
    <dataValidation sqref="C2976" showDropDown="0" showInputMessage="0" showErrorMessage="0" allowBlank="0" type="list">
      <formula1>"Pauschale,Nachweis,Unbekannt"</formula1>
    </dataValidation>
    <dataValidation sqref="C2977" showDropDown="0" showInputMessage="0" showErrorMessage="0" allowBlank="0" type="list">
      <formula1>"Pauschale,Nachweis,Unbekannt"</formula1>
    </dataValidation>
    <dataValidation sqref="C2978" showDropDown="0" showInputMessage="0" showErrorMessage="0" allowBlank="0" type="list">
      <formula1>"Pauschale,Nachweis,Unbekannt"</formula1>
    </dataValidation>
    <dataValidation sqref="C2979" showDropDown="0" showInputMessage="0" showErrorMessage="0" allowBlank="0" type="list">
      <formula1>"Pauschale,Nachweis,Unbekannt"</formula1>
    </dataValidation>
    <dataValidation sqref="C2980" showDropDown="0" showInputMessage="0" showErrorMessage="0" allowBlank="0" type="list">
      <formula1>"Pauschale,Nachweis,Unbekannt"</formula1>
    </dataValidation>
    <dataValidation sqref="C2981" showDropDown="0" showInputMessage="0" showErrorMessage="0" allowBlank="0" type="list">
      <formula1>"Pauschale,Nachweis,Unbekannt"</formula1>
    </dataValidation>
    <dataValidation sqref="C2982" showDropDown="0" showInputMessage="0" showErrorMessage="0" allowBlank="0" type="list">
      <formula1>"Pauschale,Nachweis,Unbekannt"</formula1>
    </dataValidation>
    <dataValidation sqref="C2983" showDropDown="0" showInputMessage="0" showErrorMessage="0" allowBlank="0" type="list">
      <formula1>"Pauschale,Nachweis,Unbekannt"</formula1>
    </dataValidation>
    <dataValidation sqref="C2984" showDropDown="0" showInputMessage="0" showErrorMessage="0" allowBlank="0" type="list">
      <formula1>"Pauschale,Nachweis,Unbekannt"</formula1>
    </dataValidation>
    <dataValidation sqref="C2985" showDropDown="0" showInputMessage="0" showErrorMessage="0" allowBlank="0" type="list">
      <formula1>"Pauschale,Nachweis,Unbekannt"</formula1>
    </dataValidation>
    <dataValidation sqref="C2986" showDropDown="0" showInputMessage="0" showErrorMessage="0" allowBlank="0" type="list">
      <formula1>"Pauschale,Nachweis,Unbekannt"</formula1>
    </dataValidation>
    <dataValidation sqref="C2987" showDropDown="0" showInputMessage="0" showErrorMessage="0" allowBlank="0" type="list">
      <formula1>"Pauschale,Nachweis,Unbekannt"</formula1>
    </dataValidation>
    <dataValidation sqref="C2988" showDropDown="0" showInputMessage="0" showErrorMessage="0" allowBlank="0" type="list">
      <formula1>"Pauschale,Nachweis,Unbekannt"</formula1>
    </dataValidation>
    <dataValidation sqref="C2989" showDropDown="0" showInputMessage="0" showErrorMessage="0" allowBlank="0" type="list">
      <formula1>"Pauschale,Nachweis,Unbekannt"</formula1>
    </dataValidation>
    <dataValidation sqref="C2990" showDropDown="0" showInputMessage="0" showErrorMessage="0" allowBlank="0" type="list">
      <formula1>"Pauschale,Nachweis,Unbekannt"</formula1>
    </dataValidation>
    <dataValidation sqref="C2991" showDropDown="0" showInputMessage="0" showErrorMessage="0" allowBlank="0" type="list">
      <formula1>"Pauschale,Nachweis,Unbekannt"</formula1>
    </dataValidation>
    <dataValidation sqref="C2992" showDropDown="0" showInputMessage="0" showErrorMessage="0" allowBlank="0" type="list">
      <formula1>"Pauschale,Nachweis,Unbekannt"</formula1>
    </dataValidation>
    <dataValidation sqref="C2993" showDropDown="0" showInputMessage="0" showErrorMessage="0" allowBlank="0" type="list">
      <formula1>"Pauschale,Nachweis,Unbekannt"</formula1>
    </dataValidation>
    <dataValidation sqref="C2994" showDropDown="0" showInputMessage="0" showErrorMessage="0" allowBlank="0" type="list">
      <formula1>"Pauschale,Nachweis,Unbekannt"</formula1>
    </dataValidation>
    <dataValidation sqref="C2995" showDropDown="0" showInputMessage="0" showErrorMessage="0" allowBlank="0" type="list">
      <formula1>"Pauschale,Nachweis,Unbekannt"</formula1>
    </dataValidation>
    <dataValidation sqref="C2996" showDropDown="0" showInputMessage="0" showErrorMessage="0" allowBlank="0" type="list">
      <formula1>"Pauschale,Nachweis,Unbekannt"</formula1>
    </dataValidation>
    <dataValidation sqref="C2997" showDropDown="0" showInputMessage="0" showErrorMessage="0" allowBlank="0" type="list">
      <formula1>"Pauschale,Nachweis,Unbekannt"</formula1>
    </dataValidation>
    <dataValidation sqref="C2998" showDropDown="0" showInputMessage="0" showErrorMessage="0" allowBlank="0" type="list">
      <formula1>"Pauschale,Nachweis,Unbekannt"</formula1>
    </dataValidation>
    <dataValidation sqref="C2999" showDropDown="0" showInputMessage="0" showErrorMessage="0" allowBlank="0" type="list">
      <formula1>"Pauschale,Nachweis,Unbekannt"</formula1>
    </dataValidation>
    <dataValidation sqref="C3000" showDropDown="0" showInputMessage="0" showErrorMessage="0" allowBlank="0" type="list">
      <formula1>"Pauschale,Nachweis,Unbekannt"</formula1>
    </dataValidation>
    <dataValidation sqref="C3001" showDropDown="0" showInputMessage="0" showErrorMessage="0" allowBlank="0" type="list">
      <formula1>"Pauschale,Nachweis,Unbekannt"</formula1>
    </dataValidation>
    <dataValidation sqref="C3002" showDropDown="0" showInputMessage="0" showErrorMessage="0" allowBlank="0" type="list">
      <formula1>"Pauschale,Nachweis,Unbekannt"</formula1>
    </dataValidation>
    <dataValidation sqref="C3003" showDropDown="0" showInputMessage="0" showErrorMessage="0" allowBlank="0" type="list">
      <formula1>"Pauschale,Nachweis,Unbekannt"</formula1>
    </dataValidation>
    <dataValidation sqref="C3004" showDropDown="0" showInputMessage="0" showErrorMessage="0" allowBlank="0" type="list">
      <formula1>"Pauschale,Nachweis,Unbekannt"</formula1>
    </dataValidation>
    <dataValidation sqref="C3005" showDropDown="0" showInputMessage="0" showErrorMessage="0" allowBlank="0" type="list">
      <formula1>"Pauschale,Nachweis,Unbekannt"</formula1>
    </dataValidation>
    <dataValidation sqref="C3006" showDropDown="0" showInputMessage="0" showErrorMessage="0" allowBlank="0" type="list">
      <formula1>"Pauschale,Nachweis,Unbekannt"</formula1>
    </dataValidation>
    <dataValidation sqref="C3007" showDropDown="0" showInputMessage="0" showErrorMessage="0" allowBlank="0" type="list">
      <formula1>"Pauschale,Nachweis,Unbekannt"</formula1>
    </dataValidation>
    <dataValidation sqref="C3008" showDropDown="0" showInputMessage="0" showErrorMessage="0" allowBlank="0" type="list">
      <formula1>"Pauschale,Nachweis,Unbekannt"</formula1>
    </dataValidation>
    <dataValidation sqref="C3009" showDropDown="0" showInputMessage="0" showErrorMessage="0" allowBlank="0" type="list">
      <formula1>"Pauschale,Nachweis,Unbekannt"</formula1>
    </dataValidation>
    <dataValidation sqref="C3010" showDropDown="0" showInputMessage="0" showErrorMessage="0" allowBlank="0" type="list">
      <formula1>"Pauschale,Nachweis,Unbekannt"</formula1>
    </dataValidation>
    <dataValidation sqref="C3011" showDropDown="0" showInputMessage="0" showErrorMessage="0" allowBlank="0" type="list">
      <formula1>"Pauschale,Nachweis,Unbekannt"</formula1>
    </dataValidation>
    <dataValidation sqref="C3012" showDropDown="0" showInputMessage="0" showErrorMessage="0" allowBlank="0" type="list">
      <formula1>"Pauschale,Nachweis,Unbekannt"</formula1>
    </dataValidation>
    <dataValidation sqref="C3013" showDropDown="0" showInputMessage="0" showErrorMessage="0" allowBlank="0" type="list">
      <formula1>"Pauschale,Nachweis,Unbekannt"</formula1>
    </dataValidation>
    <dataValidation sqref="C3014" showDropDown="0" showInputMessage="0" showErrorMessage="0" allowBlank="0" type="list">
      <formula1>"Pauschale,Nachweis,Unbekannt"</formula1>
    </dataValidation>
    <dataValidation sqref="C3015" showDropDown="0" showInputMessage="0" showErrorMessage="0" allowBlank="0" type="list">
      <formula1>"Pauschale,Nachweis,Unbekannt"</formula1>
    </dataValidation>
    <dataValidation sqref="C3016" showDropDown="0" showInputMessage="0" showErrorMessage="0" allowBlank="0" type="list">
      <formula1>"Pauschale,Nachweis,Unbekannt"</formula1>
    </dataValidation>
    <dataValidation sqref="C3017" showDropDown="0" showInputMessage="0" showErrorMessage="0" allowBlank="0" type="list">
      <formula1>"Pauschale,Nachweis,Unbekannt"</formula1>
    </dataValidation>
    <dataValidation sqref="C3018" showDropDown="0" showInputMessage="0" showErrorMessage="0" allowBlank="0" type="list">
      <formula1>"Pauschale,Nachweis,Unbekannt"</formula1>
    </dataValidation>
    <dataValidation sqref="C3019" showDropDown="0" showInputMessage="0" showErrorMessage="0" allowBlank="0" type="list">
      <formula1>"Pauschale,Nachweis,Unbekannt"</formula1>
    </dataValidation>
    <dataValidation sqref="C3020" showDropDown="0" showInputMessage="0" showErrorMessage="0" allowBlank="0" type="list">
      <formula1>"Pauschale,Nachweis,Unbekannt"</formula1>
    </dataValidation>
    <dataValidation sqref="C3021" showDropDown="0" showInputMessage="0" showErrorMessage="0" allowBlank="0" type="list">
      <formula1>"Pauschale,Nachweis,Unbekannt"</formula1>
    </dataValidation>
    <dataValidation sqref="C3022" showDropDown="0" showInputMessage="0" showErrorMessage="0" allowBlank="0" type="list">
      <formula1>"Pauschale,Nachweis,Unbekannt"</formula1>
    </dataValidation>
    <dataValidation sqref="C3023" showDropDown="0" showInputMessage="0" showErrorMessage="0" allowBlank="0" type="list">
      <formula1>"Pauschale,Nachweis,Unbekannt"</formula1>
    </dataValidation>
    <dataValidation sqref="C3024" showDropDown="0" showInputMessage="0" showErrorMessage="0" allowBlank="0" type="list">
      <formula1>"Pauschale,Nachweis,Unbekannt"</formula1>
    </dataValidation>
    <dataValidation sqref="C3025" showDropDown="0" showInputMessage="0" showErrorMessage="0" allowBlank="0" type="list">
      <formula1>"Pauschale,Nachweis,Unbekannt"</formula1>
    </dataValidation>
    <dataValidation sqref="C3026" showDropDown="0" showInputMessage="0" showErrorMessage="0" allowBlank="0" type="list">
      <formula1>"Pauschale,Nachweis,Unbekannt"</formula1>
    </dataValidation>
    <dataValidation sqref="C3027" showDropDown="0" showInputMessage="0" showErrorMessage="0" allowBlank="0" type="list">
      <formula1>"Pauschale,Nachweis,Unbekannt"</formula1>
    </dataValidation>
    <dataValidation sqref="C3028" showDropDown="0" showInputMessage="0" showErrorMessage="0" allowBlank="0" type="list">
      <formula1>"Pauschale,Nachweis,Unbekannt"</formula1>
    </dataValidation>
    <dataValidation sqref="C3029" showDropDown="0" showInputMessage="0" showErrorMessage="0" allowBlank="0" type="list">
      <formula1>"Pauschale,Nachweis,Unbekannt"</formula1>
    </dataValidation>
    <dataValidation sqref="C3030" showDropDown="0" showInputMessage="0" showErrorMessage="0" allowBlank="0" type="list">
      <formula1>"Pauschale,Nachweis,Unbekannt"</formula1>
    </dataValidation>
    <dataValidation sqref="C3031" showDropDown="0" showInputMessage="0" showErrorMessage="0" allowBlank="0" type="list">
      <formula1>"Pauschale,Nachweis,Unbekannt"</formula1>
    </dataValidation>
    <dataValidation sqref="C3032" showDropDown="0" showInputMessage="0" showErrorMessage="0" allowBlank="0" type="list">
      <formula1>"Pauschale,Nachweis,Unbekannt"</formula1>
    </dataValidation>
    <dataValidation sqref="C3033" showDropDown="0" showInputMessage="0" showErrorMessage="0" allowBlank="0" type="list">
      <formula1>"Pauschale,Nachweis,Unbekannt"</formula1>
    </dataValidation>
    <dataValidation sqref="C3034" showDropDown="0" showInputMessage="0" showErrorMessage="0" allowBlank="0" type="list">
      <formula1>"Pauschale,Nachweis,Unbekannt"</formula1>
    </dataValidation>
    <dataValidation sqref="C3035" showDropDown="0" showInputMessage="0" showErrorMessage="0" allowBlank="0" type="list">
      <formula1>"Pauschale,Nachweis,Unbekannt"</formula1>
    </dataValidation>
    <dataValidation sqref="C3036" showDropDown="0" showInputMessage="0" showErrorMessage="0" allowBlank="0" type="list">
      <formula1>"Pauschale,Nachweis,Unbekannt"</formula1>
    </dataValidation>
    <dataValidation sqref="C3037" showDropDown="0" showInputMessage="0" showErrorMessage="0" allowBlank="0" type="list">
      <formula1>"Pauschale,Nachweis,Unbekannt"</formula1>
    </dataValidation>
    <dataValidation sqref="C3038" showDropDown="0" showInputMessage="0" showErrorMessage="0" allowBlank="0" type="list">
      <formula1>"Pauschale,Nachweis,Unbekannt"</formula1>
    </dataValidation>
    <dataValidation sqref="C3039" showDropDown="0" showInputMessage="0" showErrorMessage="0" allowBlank="0" type="list">
      <formula1>"Pauschale,Nachweis,Unbekannt"</formula1>
    </dataValidation>
    <dataValidation sqref="C3040" showDropDown="0" showInputMessage="0" showErrorMessage="0" allowBlank="0" type="list">
      <formula1>"Pauschale,Nachweis,Unbekannt"</formula1>
    </dataValidation>
    <dataValidation sqref="C3041" showDropDown="0" showInputMessage="0" showErrorMessage="0" allowBlank="0" type="list">
      <formula1>"Pauschale,Nachweis,Unbekannt"</formula1>
    </dataValidation>
    <dataValidation sqref="C3042" showDropDown="0" showInputMessage="0" showErrorMessage="0" allowBlank="0" type="list">
      <formula1>"Pauschale,Nachweis,Unbekannt"</formula1>
    </dataValidation>
    <dataValidation sqref="C3043" showDropDown="0" showInputMessage="0" showErrorMessage="0" allowBlank="0" type="list">
      <formula1>"Pauschale,Nachweis,Unbekannt"</formula1>
    </dataValidation>
    <dataValidation sqref="C3044" showDropDown="0" showInputMessage="0" showErrorMessage="0" allowBlank="0" type="list">
      <formula1>"Pauschale,Nachweis,Unbekannt"</formula1>
    </dataValidation>
    <dataValidation sqref="C3045" showDropDown="0" showInputMessage="0" showErrorMessage="0" allowBlank="0" type="list">
      <formula1>"Pauschale,Nachweis,Unbekannt"</formula1>
    </dataValidation>
    <dataValidation sqref="C3046" showDropDown="0" showInputMessage="0" showErrorMessage="0" allowBlank="0" type="list">
      <formula1>"Pauschale,Nachweis,Unbekannt"</formula1>
    </dataValidation>
    <dataValidation sqref="C3047" showDropDown="0" showInputMessage="0" showErrorMessage="0" allowBlank="0" type="list">
      <formula1>"Pauschale,Nachweis,Unbekannt"</formula1>
    </dataValidation>
    <dataValidation sqref="C3048" showDropDown="0" showInputMessage="0" showErrorMessage="0" allowBlank="0" type="list">
      <formula1>"Pauschale,Nachweis,Unbekannt"</formula1>
    </dataValidation>
    <dataValidation sqref="C3049" showDropDown="0" showInputMessage="0" showErrorMessage="0" allowBlank="0" type="list">
      <formula1>"Pauschale,Nachweis,Unbekannt"</formula1>
    </dataValidation>
    <dataValidation sqref="C3050" showDropDown="0" showInputMessage="0" showErrorMessage="0" allowBlank="0" type="list">
      <formula1>"Pauschale,Nachweis,Unbekannt"</formula1>
    </dataValidation>
    <dataValidation sqref="C3051" showDropDown="0" showInputMessage="0" showErrorMessage="0" allowBlank="0" type="list">
      <formula1>"Pauschale,Nachweis,Unbekannt"</formula1>
    </dataValidation>
    <dataValidation sqref="C3052" showDropDown="0" showInputMessage="0" showErrorMessage="0" allowBlank="0" type="list">
      <formula1>"Pauschale,Nachweis,Unbekannt"</formula1>
    </dataValidation>
    <dataValidation sqref="C3053" showDropDown="0" showInputMessage="0" showErrorMessage="0" allowBlank="0" type="list">
      <formula1>"Pauschale,Nachweis,Unbekannt"</formula1>
    </dataValidation>
    <dataValidation sqref="C3054" showDropDown="0" showInputMessage="0" showErrorMessage="0" allowBlank="0" type="list">
      <formula1>"Pauschale,Nachweis,Unbekannt"</formula1>
    </dataValidation>
    <dataValidation sqref="C3055" showDropDown="0" showInputMessage="0" showErrorMessage="0" allowBlank="0" type="list">
      <formula1>"Pauschale,Nachweis,Unbekannt"</formula1>
    </dataValidation>
    <dataValidation sqref="C3056" showDropDown="0" showInputMessage="0" showErrorMessage="0" allowBlank="0" type="list">
      <formula1>"Pauschale,Nachweis,Unbekannt"</formula1>
    </dataValidation>
    <dataValidation sqref="C3057" showDropDown="0" showInputMessage="0" showErrorMessage="0" allowBlank="0" type="list">
      <formula1>"Pauschale,Nachweis,Unbekannt"</formula1>
    </dataValidation>
    <dataValidation sqref="C3058" showDropDown="0" showInputMessage="0" showErrorMessage="0" allowBlank="0" type="list">
      <formula1>"Pauschale,Nachweis,Unbekannt"</formula1>
    </dataValidation>
    <dataValidation sqref="C3059" showDropDown="0" showInputMessage="0" showErrorMessage="0" allowBlank="0" type="list">
      <formula1>"Pauschale,Nachweis,Unbekannt"</formula1>
    </dataValidation>
    <dataValidation sqref="C3060" showDropDown="0" showInputMessage="0" showErrorMessage="0" allowBlank="0" type="list">
      <formula1>"Pauschale,Nachweis,Unbekannt"</formula1>
    </dataValidation>
    <dataValidation sqref="C3061" showDropDown="0" showInputMessage="0" showErrorMessage="0" allowBlank="0" type="list">
      <formula1>"Pauschale,Nachweis,Unbekannt"</formula1>
    </dataValidation>
    <dataValidation sqref="C3062" showDropDown="0" showInputMessage="0" showErrorMessage="0" allowBlank="0" type="list">
      <formula1>"Pauschale,Nachweis,Unbekannt"</formula1>
    </dataValidation>
    <dataValidation sqref="C3063" showDropDown="0" showInputMessage="0" showErrorMessage="0" allowBlank="0" type="list">
      <formula1>"Pauschale,Nachweis,Unbekannt"</formula1>
    </dataValidation>
    <dataValidation sqref="C3064" showDropDown="0" showInputMessage="0" showErrorMessage="0" allowBlank="0" type="list">
      <formula1>"Pauschale,Nachweis,Unbekannt"</formula1>
    </dataValidation>
    <dataValidation sqref="C3065" showDropDown="0" showInputMessage="0" showErrorMessage="0" allowBlank="0" type="list">
      <formula1>"Pauschale,Nachweis,Unbekannt"</formula1>
    </dataValidation>
    <dataValidation sqref="C3066" showDropDown="0" showInputMessage="0" showErrorMessage="0" allowBlank="0" type="list">
      <formula1>"Pauschale,Nachweis,Unbekannt"</formula1>
    </dataValidation>
    <dataValidation sqref="C3067" showDropDown="0" showInputMessage="0" showErrorMessage="0" allowBlank="0" type="list">
      <formula1>"Pauschale,Nachweis,Unbekannt"</formula1>
    </dataValidation>
    <dataValidation sqref="C3068" showDropDown="0" showInputMessage="0" showErrorMessage="0" allowBlank="0" type="list">
      <formula1>"Pauschale,Nachweis,Unbekannt"</formula1>
    </dataValidation>
    <dataValidation sqref="C3069" showDropDown="0" showInputMessage="0" showErrorMessage="0" allowBlank="0" type="list">
      <formula1>"Pauschale,Nachweis,Unbekannt"</formula1>
    </dataValidation>
    <dataValidation sqref="C3070" showDropDown="0" showInputMessage="0" showErrorMessage="0" allowBlank="0" type="list">
      <formula1>"Pauschale,Nachweis,Unbekannt"</formula1>
    </dataValidation>
    <dataValidation sqref="C3071" showDropDown="0" showInputMessage="0" showErrorMessage="0" allowBlank="0" type="list">
      <formula1>"Pauschale,Nachweis,Unbekannt"</formula1>
    </dataValidation>
    <dataValidation sqref="C3072" showDropDown="0" showInputMessage="0" showErrorMessage="0" allowBlank="0" type="list">
      <formula1>"Pauschale,Nachweis,Unbekannt"</formula1>
    </dataValidation>
    <dataValidation sqref="C3073" showDropDown="0" showInputMessage="0" showErrorMessage="0" allowBlank="0" type="list">
      <formula1>"Pauschale,Nachweis,Unbekannt"</formula1>
    </dataValidation>
    <dataValidation sqref="C3074" showDropDown="0" showInputMessage="0" showErrorMessage="0" allowBlank="0" type="list">
      <formula1>"Pauschale,Nachweis,Unbekannt"</formula1>
    </dataValidation>
    <dataValidation sqref="C3075" showDropDown="0" showInputMessage="0" showErrorMessage="0" allowBlank="0" type="list">
      <formula1>"Pauschale,Nachweis,Unbekannt"</formula1>
    </dataValidation>
    <dataValidation sqref="C3076" showDropDown="0" showInputMessage="0" showErrorMessage="0" allowBlank="0" type="list">
      <formula1>"Pauschale,Nachweis,Unbekannt"</formula1>
    </dataValidation>
    <dataValidation sqref="C3077" showDropDown="0" showInputMessage="0" showErrorMessage="0" allowBlank="0" type="list">
      <formula1>"Pauschale,Nachweis,Unbekannt"</formula1>
    </dataValidation>
    <dataValidation sqref="C3078" showDropDown="0" showInputMessage="0" showErrorMessage="0" allowBlank="0" type="list">
      <formula1>"Pauschale,Nachweis,Unbekannt"</formula1>
    </dataValidation>
    <dataValidation sqref="C3079" showDropDown="0" showInputMessage="0" showErrorMessage="0" allowBlank="0" type="list">
      <formula1>"Pauschale,Nachweis,Unbekannt"</formula1>
    </dataValidation>
    <dataValidation sqref="C3080" showDropDown="0" showInputMessage="0" showErrorMessage="0" allowBlank="0" type="list">
      <formula1>"Pauschale,Nachweis,Unbekannt"</formula1>
    </dataValidation>
    <dataValidation sqref="C3081" showDropDown="0" showInputMessage="0" showErrorMessage="0" allowBlank="0" type="list">
      <formula1>"Pauschale,Nachweis,Unbekannt"</formula1>
    </dataValidation>
    <dataValidation sqref="C3082" showDropDown="0" showInputMessage="0" showErrorMessage="0" allowBlank="0" type="list">
      <formula1>"Pauschale,Nachweis,Unbekannt"</formula1>
    </dataValidation>
    <dataValidation sqref="C3083" showDropDown="0" showInputMessage="0" showErrorMessage="0" allowBlank="0" type="list">
      <formula1>"Pauschale,Nachweis,Unbekannt"</formula1>
    </dataValidation>
    <dataValidation sqref="C3084" showDropDown="0" showInputMessage="0" showErrorMessage="0" allowBlank="0" type="list">
      <formula1>"Pauschale,Nachweis,Unbekannt"</formula1>
    </dataValidation>
    <dataValidation sqref="C3085" showDropDown="0" showInputMessage="0" showErrorMessage="0" allowBlank="0" type="list">
      <formula1>"Pauschale,Nachweis,Unbekannt"</formula1>
    </dataValidation>
    <dataValidation sqref="C3086" showDropDown="0" showInputMessage="0" showErrorMessage="0" allowBlank="0" type="list">
      <formula1>"Pauschale,Nachweis,Unbekannt"</formula1>
    </dataValidation>
    <dataValidation sqref="C3087" showDropDown="0" showInputMessage="0" showErrorMessage="0" allowBlank="0" type="list">
      <formula1>"Pauschale,Nachweis,Unbekannt"</formula1>
    </dataValidation>
    <dataValidation sqref="C3088" showDropDown="0" showInputMessage="0" showErrorMessage="0" allowBlank="0" type="list">
      <formula1>"Pauschale,Nachweis,Unbekannt"</formula1>
    </dataValidation>
    <dataValidation sqref="C3089" showDropDown="0" showInputMessage="0" showErrorMessage="0" allowBlank="0" type="list">
      <formula1>"Pauschale,Nachweis,Unbekannt"</formula1>
    </dataValidation>
    <dataValidation sqref="C3090" showDropDown="0" showInputMessage="0" showErrorMessage="0" allowBlank="0" type="list">
      <formula1>"Pauschale,Nachweis,Unbekannt"</formula1>
    </dataValidation>
    <dataValidation sqref="C3091" showDropDown="0" showInputMessage="0" showErrorMessage="0" allowBlank="0" type="list">
      <formula1>"Pauschale,Nachweis,Unbekannt"</formula1>
    </dataValidation>
    <dataValidation sqref="C3092" showDropDown="0" showInputMessage="0" showErrorMessage="0" allowBlank="0" type="list">
      <formula1>"Pauschale,Nachweis,Unbekannt"</formula1>
    </dataValidation>
    <dataValidation sqref="C3093" showDropDown="0" showInputMessage="0" showErrorMessage="0" allowBlank="0" type="list">
      <formula1>"Pauschale,Nachweis,Unbekannt"</formula1>
    </dataValidation>
    <dataValidation sqref="C3094" showDropDown="0" showInputMessage="0" showErrorMessage="0" allowBlank="0" type="list">
      <formula1>"Pauschale,Nachweis,Unbekannt"</formula1>
    </dataValidation>
    <dataValidation sqref="C3095" showDropDown="0" showInputMessage="0" showErrorMessage="0" allowBlank="0" type="list">
      <formula1>"Pauschale,Nachweis,Unbekannt"</formula1>
    </dataValidation>
    <dataValidation sqref="C3096" showDropDown="0" showInputMessage="0" showErrorMessage="0" allowBlank="0" type="list">
      <formula1>"Pauschale,Nachweis,Unbekannt"</formula1>
    </dataValidation>
    <dataValidation sqref="C3097" showDropDown="0" showInputMessage="0" showErrorMessage="0" allowBlank="0" type="list">
      <formula1>"Pauschale,Nachweis,Unbekannt"</formula1>
    </dataValidation>
    <dataValidation sqref="C3098" showDropDown="0" showInputMessage="0" showErrorMessage="0" allowBlank="0" type="list">
      <formula1>"Pauschale,Nachweis,Unbekannt"</formula1>
    </dataValidation>
    <dataValidation sqref="C3099" showDropDown="0" showInputMessage="0" showErrorMessage="0" allowBlank="0" type="list">
      <formula1>"Pauschale,Nachweis,Unbekannt"</formula1>
    </dataValidation>
    <dataValidation sqref="C3100" showDropDown="0" showInputMessage="0" showErrorMessage="0" allowBlank="0" type="list">
      <formula1>"Pauschale,Nachweis,Unbekannt"</formula1>
    </dataValidation>
    <dataValidation sqref="C3101" showDropDown="0" showInputMessage="0" showErrorMessage="0" allowBlank="0" type="list">
      <formula1>"Pauschale,Nachweis,Unbekannt"</formula1>
    </dataValidation>
    <dataValidation sqref="C3102" showDropDown="0" showInputMessage="0" showErrorMessage="0" allowBlank="0" type="list">
      <formula1>"Pauschale,Nachweis,Unbekannt"</formula1>
    </dataValidation>
    <dataValidation sqref="C3103" showDropDown="0" showInputMessage="0" showErrorMessage="0" allowBlank="0" type="list">
      <formula1>"Pauschale,Nachweis,Unbekannt"</formula1>
    </dataValidation>
    <dataValidation sqref="C3104" showDropDown="0" showInputMessage="0" showErrorMessage="0" allowBlank="0" type="list">
      <formula1>"Pauschale,Nachweis,Unbekannt"</formula1>
    </dataValidation>
    <dataValidation sqref="C3105" showDropDown="0" showInputMessage="0" showErrorMessage="0" allowBlank="0" type="list">
      <formula1>"Pauschale,Nachweis,Unbekannt"</formula1>
    </dataValidation>
    <dataValidation sqref="C3106" showDropDown="0" showInputMessage="0" showErrorMessage="0" allowBlank="0" type="list">
      <formula1>"Pauschale,Nachweis,Unbekannt"</formula1>
    </dataValidation>
    <dataValidation sqref="C3107" showDropDown="0" showInputMessage="0" showErrorMessage="0" allowBlank="0" type="list">
      <formula1>"Pauschale,Nachweis,Unbekannt"</formula1>
    </dataValidation>
    <dataValidation sqref="C3108" showDropDown="0" showInputMessage="0" showErrorMessage="0" allowBlank="0" type="list">
      <formula1>"Pauschale,Nachweis,Unbekannt"</formula1>
    </dataValidation>
    <dataValidation sqref="C3109" showDropDown="0" showInputMessage="0" showErrorMessage="0" allowBlank="0" type="list">
      <formula1>"Pauschale,Nachweis,Unbekannt"</formula1>
    </dataValidation>
    <dataValidation sqref="C3110" showDropDown="0" showInputMessage="0" showErrorMessage="0" allowBlank="0" type="list">
      <formula1>"Pauschale,Nachweis,Unbekannt"</formula1>
    </dataValidation>
    <dataValidation sqref="C3111" showDropDown="0" showInputMessage="0" showErrorMessage="0" allowBlank="0" type="list">
      <formula1>"Pauschale,Nachweis,Unbekannt"</formula1>
    </dataValidation>
    <dataValidation sqref="C3112" showDropDown="0" showInputMessage="0" showErrorMessage="0" allowBlank="0" type="list">
      <formula1>"Pauschale,Nachweis,Unbekannt"</formula1>
    </dataValidation>
    <dataValidation sqref="C3113" showDropDown="0" showInputMessage="0" showErrorMessage="0" allowBlank="0" type="list">
      <formula1>"Pauschale,Nachweis,Unbekannt"</formula1>
    </dataValidation>
    <dataValidation sqref="C3114" showDropDown="0" showInputMessage="0" showErrorMessage="0" allowBlank="0" type="list">
      <formula1>"Pauschale,Nachweis,Unbekannt"</formula1>
    </dataValidation>
    <dataValidation sqref="C3115" showDropDown="0" showInputMessage="0" showErrorMessage="0" allowBlank="0" type="list">
      <formula1>"Pauschale,Nachweis,Unbekannt"</formula1>
    </dataValidation>
    <dataValidation sqref="C3116" showDropDown="0" showInputMessage="0" showErrorMessage="0" allowBlank="0" type="list">
      <formula1>"Pauschale,Nachweis,Unbekannt"</formula1>
    </dataValidation>
    <dataValidation sqref="C3117" showDropDown="0" showInputMessage="0" showErrorMessage="0" allowBlank="0" type="list">
      <formula1>"Pauschale,Nachweis,Unbekannt"</formula1>
    </dataValidation>
    <dataValidation sqref="C3118" showDropDown="0" showInputMessage="0" showErrorMessage="0" allowBlank="0" type="list">
      <formula1>"Pauschale,Nachweis,Unbekannt"</formula1>
    </dataValidation>
    <dataValidation sqref="C3119" showDropDown="0" showInputMessage="0" showErrorMessage="0" allowBlank="0" type="list">
      <formula1>"Pauschale,Nachweis,Unbekannt"</formula1>
    </dataValidation>
    <dataValidation sqref="C3120" showDropDown="0" showInputMessage="0" showErrorMessage="0" allowBlank="0" type="list">
      <formula1>"Pauschale,Nachweis,Unbekannt"</formula1>
    </dataValidation>
    <dataValidation sqref="C3121" showDropDown="0" showInputMessage="0" showErrorMessage="0" allowBlank="0" type="list">
      <formula1>"Pauschale,Nachweis,Unbekannt"</formula1>
    </dataValidation>
    <dataValidation sqref="C3122" showDropDown="0" showInputMessage="0" showErrorMessage="0" allowBlank="0" type="list">
      <formula1>"Pauschale,Nachweis,Unbekannt"</formula1>
    </dataValidation>
    <dataValidation sqref="C3123" showDropDown="0" showInputMessage="0" showErrorMessage="0" allowBlank="0" type="list">
      <formula1>"Pauschale,Nachweis,Unbekannt"</formula1>
    </dataValidation>
    <dataValidation sqref="C3124" showDropDown="0" showInputMessage="0" showErrorMessage="0" allowBlank="0" type="list">
      <formula1>"Pauschale,Nachweis,Unbekannt"</formula1>
    </dataValidation>
    <dataValidation sqref="C3125" showDropDown="0" showInputMessage="0" showErrorMessage="0" allowBlank="0" type="list">
      <formula1>"Pauschale,Nachweis,Unbekannt"</formula1>
    </dataValidation>
    <dataValidation sqref="C3126" showDropDown="0" showInputMessage="0" showErrorMessage="0" allowBlank="0" type="list">
      <formula1>"Pauschale,Nachweis,Unbekannt"</formula1>
    </dataValidation>
    <dataValidation sqref="C3127" showDropDown="0" showInputMessage="0" showErrorMessage="0" allowBlank="0" type="list">
      <formula1>"Pauschale,Nachweis,Unbekannt"</formula1>
    </dataValidation>
    <dataValidation sqref="C3128" showDropDown="0" showInputMessage="0" showErrorMessage="0" allowBlank="0" type="list">
      <formula1>"Pauschale,Nachweis,Unbekannt"</formula1>
    </dataValidation>
    <dataValidation sqref="C3129" showDropDown="0" showInputMessage="0" showErrorMessage="0" allowBlank="0" type="list">
      <formula1>"Pauschale,Nachweis,Unbekannt"</formula1>
    </dataValidation>
    <dataValidation sqref="C3130" showDropDown="0" showInputMessage="0" showErrorMessage="0" allowBlank="0" type="list">
      <formula1>"Pauschale,Nachweis,Unbekannt"</formula1>
    </dataValidation>
    <dataValidation sqref="C3131" showDropDown="0" showInputMessage="0" showErrorMessage="0" allowBlank="0" type="list">
      <formula1>"Pauschale,Nachweis,Unbekannt"</formula1>
    </dataValidation>
    <dataValidation sqref="C3132" showDropDown="0" showInputMessage="0" showErrorMessage="0" allowBlank="0" type="list">
      <formula1>"Pauschale,Nachweis,Unbekannt"</formula1>
    </dataValidation>
    <dataValidation sqref="C3133" showDropDown="0" showInputMessage="0" showErrorMessage="0" allowBlank="0" type="list">
      <formula1>"Pauschale,Nachweis,Unbekannt"</formula1>
    </dataValidation>
    <dataValidation sqref="C3134" showDropDown="0" showInputMessage="0" showErrorMessage="0" allowBlank="0" type="list">
      <formula1>"Pauschale,Nachweis,Unbekannt"</formula1>
    </dataValidation>
    <dataValidation sqref="C3135" showDropDown="0" showInputMessage="0" showErrorMessage="0" allowBlank="0" type="list">
      <formula1>"Pauschale,Nachweis,Unbekannt"</formula1>
    </dataValidation>
    <dataValidation sqref="C3136" showDropDown="0" showInputMessage="0" showErrorMessage="0" allowBlank="0" type="list">
      <formula1>"Pauschale,Nachweis,Unbekannt"</formula1>
    </dataValidation>
    <dataValidation sqref="C3137" showDropDown="0" showInputMessage="0" showErrorMessage="0" allowBlank="0" type="list">
      <formula1>"Pauschale,Nachweis,Unbekannt"</formula1>
    </dataValidation>
    <dataValidation sqref="C3138" showDropDown="0" showInputMessage="0" showErrorMessage="0" allowBlank="0" type="list">
      <formula1>"Pauschale,Nachweis,Unbekannt"</formula1>
    </dataValidation>
    <dataValidation sqref="C3139" showDropDown="0" showInputMessage="0" showErrorMessage="0" allowBlank="0" type="list">
      <formula1>"Pauschale,Nachweis,Unbekannt"</formula1>
    </dataValidation>
    <dataValidation sqref="C3140" showDropDown="0" showInputMessage="0" showErrorMessage="0" allowBlank="0" type="list">
      <formula1>"Pauschale,Nachweis,Unbekannt"</formula1>
    </dataValidation>
    <dataValidation sqref="C3141" showDropDown="0" showInputMessage="0" showErrorMessage="0" allowBlank="0" type="list">
      <formula1>"Pauschale,Nachweis,Unbekannt"</formula1>
    </dataValidation>
    <dataValidation sqref="C3142" showDropDown="0" showInputMessage="0" showErrorMessage="0" allowBlank="0" type="list">
      <formula1>"Pauschale,Nachweis,Unbekannt"</formula1>
    </dataValidation>
    <dataValidation sqref="C3143" showDropDown="0" showInputMessage="0" showErrorMessage="0" allowBlank="0" type="list">
      <formula1>"Pauschale,Nachweis,Unbekannt"</formula1>
    </dataValidation>
    <dataValidation sqref="C3144" showDropDown="0" showInputMessage="0" showErrorMessage="0" allowBlank="0" type="list">
      <formula1>"Pauschale,Nachweis,Unbekannt"</formula1>
    </dataValidation>
    <dataValidation sqref="C3145" showDropDown="0" showInputMessage="0" showErrorMessage="0" allowBlank="0" type="list">
      <formula1>"Pauschale,Nachweis,Unbekannt"</formula1>
    </dataValidation>
    <dataValidation sqref="C3146" showDropDown="0" showInputMessage="0" showErrorMessage="0" allowBlank="0" type="list">
      <formula1>"Pauschale,Nachweis,Unbekannt"</formula1>
    </dataValidation>
    <dataValidation sqref="C3147" showDropDown="0" showInputMessage="0" showErrorMessage="0" allowBlank="0" type="list">
      <formula1>"Pauschale,Nachweis,Unbekannt"</formula1>
    </dataValidation>
    <dataValidation sqref="C3148" showDropDown="0" showInputMessage="0" showErrorMessage="0" allowBlank="0" type="list">
      <formula1>"Pauschale,Nachweis,Unbekannt"</formula1>
    </dataValidation>
    <dataValidation sqref="C3149" showDropDown="0" showInputMessage="0" showErrorMessage="0" allowBlank="0" type="list">
      <formula1>"Pauschale,Nachweis,Unbekannt"</formula1>
    </dataValidation>
    <dataValidation sqref="C3150" showDropDown="0" showInputMessage="0" showErrorMessage="0" allowBlank="0" type="list">
      <formula1>"Pauschale,Nachweis,Unbekannt"</formula1>
    </dataValidation>
    <dataValidation sqref="C3151" showDropDown="0" showInputMessage="0" showErrorMessage="0" allowBlank="0" type="list">
      <formula1>"Pauschale,Nachweis,Unbekannt"</formula1>
    </dataValidation>
    <dataValidation sqref="C3152" showDropDown="0" showInputMessage="0" showErrorMessage="0" allowBlank="0" type="list">
      <formula1>"Pauschale,Nachweis,Unbekannt"</formula1>
    </dataValidation>
    <dataValidation sqref="C3153" showDropDown="0" showInputMessage="0" showErrorMessage="0" allowBlank="0" type="list">
      <formula1>"Pauschale,Nachweis,Unbekannt"</formula1>
    </dataValidation>
    <dataValidation sqref="C3154" showDropDown="0" showInputMessage="0" showErrorMessage="0" allowBlank="0" type="list">
      <formula1>"Pauschale,Nachweis,Unbekannt"</formula1>
    </dataValidation>
    <dataValidation sqref="C3155" showDropDown="0" showInputMessage="0" showErrorMessage="0" allowBlank="0" type="list">
      <formula1>"Pauschale,Nachweis,Unbekannt"</formula1>
    </dataValidation>
    <dataValidation sqref="C3156" showDropDown="0" showInputMessage="0" showErrorMessage="0" allowBlank="0" type="list">
      <formula1>"Pauschale,Nachweis,Unbekannt"</formula1>
    </dataValidation>
    <dataValidation sqref="C3157" showDropDown="0" showInputMessage="0" showErrorMessage="0" allowBlank="0" type="list">
      <formula1>"Pauschale,Nachweis,Unbekannt"</formula1>
    </dataValidation>
    <dataValidation sqref="C3158" showDropDown="0" showInputMessage="0" showErrorMessage="0" allowBlank="0" type="list">
      <formula1>"Pauschale,Nachweis,Unbekannt"</formula1>
    </dataValidation>
    <dataValidation sqref="C3159" showDropDown="0" showInputMessage="0" showErrorMessage="0" allowBlank="0" type="list">
      <formula1>"Pauschale,Nachweis,Unbekannt"</formula1>
    </dataValidation>
    <dataValidation sqref="C3160" showDropDown="0" showInputMessage="0" showErrorMessage="0" allowBlank="0" type="list">
      <formula1>"Pauschale,Nachweis,Unbekannt"</formula1>
    </dataValidation>
    <dataValidation sqref="C3161" showDropDown="0" showInputMessage="0" showErrorMessage="0" allowBlank="0" type="list">
      <formula1>"Pauschale,Nachweis,Unbekannt"</formula1>
    </dataValidation>
    <dataValidation sqref="C3162" showDropDown="0" showInputMessage="0" showErrorMessage="0" allowBlank="0" type="list">
      <formula1>"Pauschale,Nachweis,Unbekannt"</formula1>
    </dataValidation>
    <dataValidation sqref="C3163" showDropDown="0" showInputMessage="0" showErrorMessage="0" allowBlank="0" type="list">
      <formula1>"Pauschale,Nachweis,Unbekannt"</formula1>
    </dataValidation>
    <dataValidation sqref="C3164" showDropDown="0" showInputMessage="0" showErrorMessage="0" allowBlank="0" type="list">
      <formula1>"Pauschale,Nachweis,Unbekannt"</formula1>
    </dataValidation>
    <dataValidation sqref="C3165" showDropDown="0" showInputMessage="0" showErrorMessage="0" allowBlank="0" type="list">
      <formula1>"Pauschale,Nachweis,Unbekannt"</formula1>
    </dataValidation>
    <dataValidation sqref="C3166" showDropDown="0" showInputMessage="0" showErrorMessage="0" allowBlank="0" type="list">
      <formula1>"Pauschale,Nachweis,Unbekannt"</formula1>
    </dataValidation>
    <dataValidation sqref="C3167" showDropDown="0" showInputMessage="0" showErrorMessage="0" allowBlank="0" type="list">
      <formula1>"Pauschale,Nachweis,Unbekannt"</formula1>
    </dataValidation>
    <dataValidation sqref="C3168" showDropDown="0" showInputMessage="0" showErrorMessage="0" allowBlank="0" type="list">
      <formula1>"Pauschale,Nachweis,Unbekannt"</formula1>
    </dataValidation>
    <dataValidation sqref="C3169" showDropDown="0" showInputMessage="0" showErrorMessage="0" allowBlank="0" type="list">
      <formula1>"Pauschale,Nachweis,Unbekannt"</formula1>
    </dataValidation>
    <dataValidation sqref="C3170" showDropDown="0" showInputMessage="0" showErrorMessage="0" allowBlank="0" type="list">
      <formula1>"Pauschale,Nachweis,Unbekannt"</formula1>
    </dataValidation>
    <dataValidation sqref="C3171" showDropDown="0" showInputMessage="0" showErrorMessage="0" allowBlank="0" type="list">
      <formula1>"Pauschale,Nachweis,Unbekannt"</formula1>
    </dataValidation>
    <dataValidation sqref="C3172" showDropDown="0" showInputMessage="0" showErrorMessage="0" allowBlank="0" type="list">
      <formula1>"Pauschale,Nachweis,Unbekannt"</formula1>
    </dataValidation>
    <dataValidation sqref="C3173" showDropDown="0" showInputMessage="0" showErrorMessage="0" allowBlank="0" type="list">
      <formula1>"Pauschale,Nachweis,Unbekannt"</formula1>
    </dataValidation>
    <dataValidation sqref="C3174" showDropDown="0" showInputMessage="0" showErrorMessage="0" allowBlank="0" type="list">
      <formula1>"Pauschale,Nachweis,Unbekannt"</formula1>
    </dataValidation>
    <dataValidation sqref="C3175" showDropDown="0" showInputMessage="0" showErrorMessage="0" allowBlank="0" type="list">
      <formula1>"Pauschale,Nachweis,Unbekannt"</formula1>
    </dataValidation>
    <dataValidation sqref="C3176" showDropDown="0" showInputMessage="0" showErrorMessage="0" allowBlank="0" type="list">
      <formula1>"Pauschale,Nachweis,Unbekannt"</formula1>
    </dataValidation>
    <dataValidation sqref="C3177" showDropDown="0" showInputMessage="0" showErrorMessage="0" allowBlank="0" type="list">
      <formula1>"Pauschale,Nachweis,Unbekannt"</formula1>
    </dataValidation>
    <dataValidation sqref="C3178" showDropDown="0" showInputMessage="0" showErrorMessage="0" allowBlank="0" type="list">
      <formula1>"Pauschale,Nachweis,Unbekannt"</formula1>
    </dataValidation>
    <dataValidation sqref="C3179" showDropDown="0" showInputMessage="0" showErrorMessage="0" allowBlank="0" type="list">
      <formula1>"Pauschale,Nachweis,Unbekannt"</formula1>
    </dataValidation>
    <dataValidation sqref="C3180" showDropDown="0" showInputMessage="0" showErrorMessage="0" allowBlank="0" type="list">
      <formula1>"Pauschale,Nachweis,Unbekannt"</formula1>
    </dataValidation>
    <dataValidation sqref="C3181" showDropDown="0" showInputMessage="0" showErrorMessage="0" allowBlank="0" type="list">
      <formula1>"Pauschale,Nachweis,Unbekannt"</formula1>
    </dataValidation>
    <dataValidation sqref="C3182" showDropDown="0" showInputMessage="0" showErrorMessage="0" allowBlank="0" type="list">
      <formula1>"Pauschale,Nachweis,Unbekannt"</formula1>
    </dataValidation>
    <dataValidation sqref="C3183" showDropDown="0" showInputMessage="0" showErrorMessage="0" allowBlank="0" type="list">
      <formula1>"Pauschale,Nachweis,Unbekannt"</formula1>
    </dataValidation>
    <dataValidation sqref="C3184" showDropDown="0" showInputMessage="0" showErrorMessage="0" allowBlank="0" type="list">
      <formula1>"Pauschale,Nachweis,Unbekannt"</formula1>
    </dataValidation>
    <dataValidation sqref="C3185" showDropDown="0" showInputMessage="0" showErrorMessage="0" allowBlank="0" type="list">
      <formula1>"Pauschale,Nachweis,Unbekannt"</formula1>
    </dataValidation>
    <dataValidation sqref="C3186" showDropDown="0" showInputMessage="0" showErrorMessage="0" allowBlank="0" type="list">
      <formula1>"Pauschale,Nachweis,Unbekannt"</formula1>
    </dataValidation>
    <dataValidation sqref="C3187" showDropDown="0" showInputMessage="0" showErrorMessage="0" allowBlank="0" type="list">
      <formula1>"Pauschale,Nachweis,Unbekannt"</formula1>
    </dataValidation>
    <dataValidation sqref="C3188" showDropDown="0" showInputMessage="0" showErrorMessage="0" allowBlank="0" type="list">
      <formula1>"Pauschale,Nachweis,Unbekannt"</formula1>
    </dataValidation>
    <dataValidation sqref="C3189" showDropDown="0" showInputMessage="0" showErrorMessage="0" allowBlank="0" type="list">
      <formula1>"Pauschale,Nachweis,Unbekannt"</formula1>
    </dataValidation>
    <dataValidation sqref="C3190" showDropDown="0" showInputMessage="0" showErrorMessage="0" allowBlank="0" type="list">
      <formula1>"Pauschale,Nachweis,Unbekannt"</formula1>
    </dataValidation>
    <dataValidation sqref="C3191" showDropDown="0" showInputMessage="0" showErrorMessage="0" allowBlank="0" type="list">
      <formula1>"Pauschale,Nachweis,Unbekannt"</formula1>
    </dataValidation>
    <dataValidation sqref="C3192" showDropDown="0" showInputMessage="0" showErrorMessage="0" allowBlank="0" type="list">
      <formula1>"Pauschale,Nachweis,Unbekannt"</formula1>
    </dataValidation>
    <dataValidation sqref="C3193" showDropDown="0" showInputMessage="0" showErrorMessage="0" allowBlank="0" type="list">
      <formula1>"Pauschale,Nachweis,Unbekannt"</formula1>
    </dataValidation>
    <dataValidation sqref="C3194" showDropDown="0" showInputMessage="0" showErrorMessage="0" allowBlank="0" type="list">
      <formula1>"Pauschale,Nachweis,Unbekannt"</formula1>
    </dataValidation>
    <dataValidation sqref="C3195" showDropDown="0" showInputMessage="0" showErrorMessage="0" allowBlank="0" type="list">
      <formula1>"Pauschale,Nachweis,Unbekannt"</formula1>
    </dataValidation>
    <dataValidation sqref="C3196" showDropDown="0" showInputMessage="0" showErrorMessage="0" allowBlank="0" type="list">
      <formula1>"Pauschale,Nachweis,Unbekannt"</formula1>
    </dataValidation>
    <dataValidation sqref="C3197" showDropDown="0" showInputMessage="0" showErrorMessage="0" allowBlank="0" type="list">
      <formula1>"Pauschale,Nachweis,Unbekannt"</formula1>
    </dataValidation>
    <dataValidation sqref="C3198" showDropDown="0" showInputMessage="0" showErrorMessage="0" allowBlank="0" type="list">
      <formula1>"Pauschale,Nachweis,Unbekannt"</formula1>
    </dataValidation>
    <dataValidation sqref="C3199" showDropDown="0" showInputMessage="0" showErrorMessage="0" allowBlank="0" type="list">
      <formula1>"Pauschale,Nachweis,Unbekannt"</formula1>
    </dataValidation>
    <dataValidation sqref="C3200" showDropDown="0" showInputMessage="0" showErrorMessage="0" allowBlank="0" type="list">
      <formula1>"Pauschale,Nachweis,Unbekannt"</formula1>
    </dataValidation>
    <dataValidation sqref="C3201" showDropDown="0" showInputMessage="0" showErrorMessage="0" allowBlank="0" type="list">
      <formula1>"Pauschale,Nachweis,Unbekannt"</formula1>
    </dataValidation>
    <dataValidation sqref="C3202" showDropDown="0" showInputMessage="0" showErrorMessage="0" allowBlank="0" type="list">
      <formula1>"Pauschale,Nachweis,Unbekannt"</formula1>
    </dataValidation>
    <dataValidation sqref="C3203" showDropDown="0" showInputMessage="0" showErrorMessage="0" allowBlank="0" type="list">
      <formula1>"Pauschale,Nachweis,Unbekannt"</formula1>
    </dataValidation>
    <dataValidation sqref="C3204" showDropDown="0" showInputMessage="0" showErrorMessage="0" allowBlank="0" type="list">
      <formula1>"Pauschale,Nachweis,Unbekannt"</formula1>
    </dataValidation>
    <dataValidation sqref="C3205" showDropDown="0" showInputMessage="0" showErrorMessage="0" allowBlank="0" type="list">
      <formula1>"Pauschale,Nachweis,Unbekannt"</formula1>
    </dataValidation>
    <dataValidation sqref="C3206" showDropDown="0" showInputMessage="0" showErrorMessage="0" allowBlank="0" type="list">
      <formula1>"Pauschale,Nachweis,Unbekannt"</formula1>
    </dataValidation>
    <dataValidation sqref="C3207" showDropDown="0" showInputMessage="0" showErrorMessage="0" allowBlank="0" type="list">
      <formula1>"Pauschale,Nachweis,Unbekannt"</formula1>
    </dataValidation>
    <dataValidation sqref="C3208" showDropDown="0" showInputMessage="0" showErrorMessage="0" allowBlank="0" type="list">
      <formula1>"Pauschale,Nachweis,Unbekannt"</formula1>
    </dataValidation>
    <dataValidation sqref="C3209" showDropDown="0" showInputMessage="0" showErrorMessage="0" allowBlank="0" type="list">
      <formula1>"Pauschale,Nachweis,Unbekannt"</formula1>
    </dataValidation>
    <dataValidation sqref="C3210" showDropDown="0" showInputMessage="0" showErrorMessage="0" allowBlank="0" type="list">
      <formula1>"Pauschale,Nachweis,Unbekannt"</formula1>
    </dataValidation>
    <dataValidation sqref="C3211" showDropDown="0" showInputMessage="0" showErrorMessage="0" allowBlank="0" type="list">
      <formula1>"Pauschale,Nachweis,Unbekannt"</formula1>
    </dataValidation>
    <dataValidation sqref="C3212" showDropDown="0" showInputMessage="0" showErrorMessage="0" allowBlank="0" type="list">
      <formula1>"Pauschale,Nachweis,Unbekannt"</formula1>
    </dataValidation>
    <dataValidation sqref="C3213" showDropDown="0" showInputMessage="0" showErrorMessage="0" allowBlank="0" type="list">
      <formula1>"Pauschale,Nachweis,Unbekannt"</formula1>
    </dataValidation>
    <dataValidation sqref="C3214" showDropDown="0" showInputMessage="0" showErrorMessage="0" allowBlank="0" type="list">
      <formula1>"Pauschale,Nachweis,Unbekannt"</formula1>
    </dataValidation>
    <dataValidation sqref="C3215" showDropDown="0" showInputMessage="0" showErrorMessage="0" allowBlank="0" type="list">
      <formula1>"Pauschale,Nachweis,Unbekannt"</formula1>
    </dataValidation>
    <dataValidation sqref="C3216" showDropDown="0" showInputMessage="0" showErrorMessage="0" allowBlank="0" type="list">
      <formula1>"Pauschale,Nachweis,Unbekannt"</formula1>
    </dataValidation>
    <dataValidation sqref="C3217" showDropDown="0" showInputMessage="0" showErrorMessage="0" allowBlank="0" type="list">
      <formula1>"Pauschale,Nachweis,Unbekannt"</formula1>
    </dataValidation>
    <dataValidation sqref="C3218" showDropDown="0" showInputMessage="0" showErrorMessage="0" allowBlank="0" type="list">
      <formula1>"Pauschale,Nachweis,Unbekannt"</formula1>
    </dataValidation>
    <dataValidation sqref="C3219" showDropDown="0" showInputMessage="0" showErrorMessage="0" allowBlank="0" type="list">
      <formula1>"Pauschale,Nachweis,Unbekannt"</formula1>
    </dataValidation>
    <dataValidation sqref="C3220" showDropDown="0" showInputMessage="0" showErrorMessage="0" allowBlank="0" type="list">
      <formula1>"Pauschale,Nachweis,Unbekannt"</formula1>
    </dataValidation>
    <dataValidation sqref="C3221" showDropDown="0" showInputMessage="0" showErrorMessage="0" allowBlank="0" type="list">
      <formula1>"Pauschale,Nachweis,Unbekannt"</formula1>
    </dataValidation>
    <dataValidation sqref="C3222" showDropDown="0" showInputMessage="0" showErrorMessage="0" allowBlank="0" type="list">
      <formula1>"Pauschale,Nachweis,Unbekannt"</formula1>
    </dataValidation>
    <dataValidation sqref="C3223" showDropDown="0" showInputMessage="0" showErrorMessage="0" allowBlank="0" type="list">
      <formula1>"Pauschale,Nachweis,Unbekannt"</formula1>
    </dataValidation>
    <dataValidation sqref="C3224" showDropDown="0" showInputMessage="0" showErrorMessage="0" allowBlank="0" type="list">
      <formula1>"Pauschale,Nachweis,Unbekannt"</formula1>
    </dataValidation>
    <dataValidation sqref="C3225" showDropDown="0" showInputMessage="0" showErrorMessage="0" allowBlank="0" type="list">
      <formula1>"Pauschale,Nachweis,Unbekannt"</formula1>
    </dataValidation>
    <dataValidation sqref="C3226" showDropDown="0" showInputMessage="0" showErrorMessage="0" allowBlank="0" type="list">
      <formula1>"Pauschale,Nachweis,Unbekannt"</formula1>
    </dataValidation>
    <dataValidation sqref="C3227" showDropDown="0" showInputMessage="0" showErrorMessage="0" allowBlank="0" type="list">
      <formula1>"Pauschale,Nachweis,Unbekannt"</formula1>
    </dataValidation>
    <dataValidation sqref="C3228" showDropDown="0" showInputMessage="0" showErrorMessage="0" allowBlank="0" type="list">
      <formula1>"Pauschale,Nachweis,Unbekannt"</formula1>
    </dataValidation>
    <dataValidation sqref="C3229" showDropDown="0" showInputMessage="0" showErrorMessage="0" allowBlank="0" type="list">
      <formula1>"Pauschale,Nachweis,Unbekannt"</formula1>
    </dataValidation>
    <dataValidation sqref="C3230" showDropDown="0" showInputMessage="0" showErrorMessage="0" allowBlank="0" type="list">
      <formula1>"Pauschale,Nachweis,Unbekannt"</formula1>
    </dataValidation>
    <dataValidation sqref="C3231" showDropDown="0" showInputMessage="0" showErrorMessage="0" allowBlank="0" type="list">
      <formula1>"Pauschale,Nachweis,Unbekannt"</formula1>
    </dataValidation>
    <dataValidation sqref="C3232" showDropDown="0" showInputMessage="0" showErrorMessage="0" allowBlank="0" type="list">
      <formula1>"Pauschale,Nachweis,Unbekannt"</formula1>
    </dataValidation>
    <dataValidation sqref="C3233" showDropDown="0" showInputMessage="0" showErrorMessage="0" allowBlank="0" type="list">
      <formula1>"Pauschale,Nachweis,Unbekannt"</formula1>
    </dataValidation>
    <dataValidation sqref="C3234" showDropDown="0" showInputMessage="0" showErrorMessage="0" allowBlank="0" type="list">
      <formula1>"Pauschale,Nachweis,Unbekannt"</formula1>
    </dataValidation>
    <dataValidation sqref="C3235" showDropDown="0" showInputMessage="0" showErrorMessage="0" allowBlank="0" type="list">
      <formula1>"Pauschale,Nachweis,Unbekannt"</formula1>
    </dataValidation>
    <dataValidation sqref="C3236" showDropDown="0" showInputMessage="0" showErrorMessage="0" allowBlank="0" type="list">
      <formula1>"Pauschale,Nachweis,Unbekannt"</formula1>
    </dataValidation>
    <dataValidation sqref="C3237" showDropDown="0" showInputMessage="0" showErrorMessage="0" allowBlank="0" type="list">
      <formula1>"Pauschale,Nachweis,Unbekannt"</formula1>
    </dataValidation>
    <dataValidation sqref="C3238" showDropDown="0" showInputMessage="0" showErrorMessage="0" allowBlank="0" type="list">
      <formula1>"Pauschale,Nachweis,Unbekannt"</formula1>
    </dataValidation>
    <dataValidation sqref="C3239" showDropDown="0" showInputMessage="0" showErrorMessage="0" allowBlank="0" type="list">
      <formula1>"Pauschale,Nachweis,Unbekannt"</formula1>
    </dataValidation>
    <dataValidation sqref="C3240" showDropDown="0" showInputMessage="0" showErrorMessage="0" allowBlank="0" type="list">
      <formula1>"Pauschale,Nachweis,Unbekannt"</formula1>
    </dataValidation>
    <dataValidation sqref="C3241" showDropDown="0" showInputMessage="0" showErrorMessage="0" allowBlank="0" type="list">
      <formula1>"Pauschale,Nachweis,Unbekannt"</formula1>
    </dataValidation>
    <dataValidation sqref="C3242" showDropDown="0" showInputMessage="0" showErrorMessage="0" allowBlank="0" type="list">
      <formula1>"Pauschale,Nachweis,Unbekannt"</formula1>
    </dataValidation>
    <dataValidation sqref="C3243" showDropDown="0" showInputMessage="0" showErrorMessage="0" allowBlank="0" type="list">
      <formula1>"Pauschale,Nachweis,Unbekannt"</formula1>
    </dataValidation>
    <dataValidation sqref="C3244" showDropDown="0" showInputMessage="0" showErrorMessage="0" allowBlank="0" type="list">
      <formula1>"Pauschale,Nachweis,Unbekannt"</formula1>
    </dataValidation>
    <dataValidation sqref="C3245" showDropDown="0" showInputMessage="0" showErrorMessage="0" allowBlank="0" type="list">
      <formula1>"Pauschale,Nachweis,Unbekannt"</formula1>
    </dataValidation>
    <dataValidation sqref="C3246" showDropDown="0" showInputMessage="0" showErrorMessage="0" allowBlank="0" type="list">
      <formula1>"Pauschale,Nachweis,Unbekannt"</formula1>
    </dataValidation>
    <dataValidation sqref="C3247" showDropDown="0" showInputMessage="0" showErrorMessage="0" allowBlank="0" type="list">
      <formula1>"Pauschale,Nachweis,Unbekannt"</formula1>
    </dataValidation>
    <dataValidation sqref="C3248" showDropDown="0" showInputMessage="0" showErrorMessage="0" allowBlank="0" type="list">
      <formula1>"Pauschale,Nachweis,Unbekannt"</formula1>
    </dataValidation>
    <dataValidation sqref="C3249" showDropDown="0" showInputMessage="0" showErrorMessage="0" allowBlank="0" type="list">
      <formula1>"Pauschale,Nachweis,Unbekannt"</formula1>
    </dataValidation>
    <dataValidation sqref="C3250" showDropDown="0" showInputMessage="0" showErrorMessage="0" allowBlank="0" type="list">
      <formula1>"Pauschale,Nachweis,Unbekannt"</formula1>
    </dataValidation>
    <dataValidation sqref="C3251" showDropDown="0" showInputMessage="0" showErrorMessage="0" allowBlank="0" type="list">
      <formula1>"Pauschale,Nachweis,Unbekannt"</formula1>
    </dataValidation>
    <dataValidation sqref="C3252" showDropDown="0" showInputMessage="0" showErrorMessage="0" allowBlank="0" type="list">
      <formula1>"Pauschale,Nachweis,Unbekannt"</formula1>
    </dataValidation>
    <dataValidation sqref="C3253" showDropDown="0" showInputMessage="0" showErrorMessage="0" allowBlank="0" type="list">
      <formula1>"Pauschale,Nachweis,Unbekannt"</formula1>
    </dataValidation>
    <dataValidation sqref="C3254" showDropDown="0" showInputMessage="0" showErrorMessage="0" allowBlank="0" type="list">
      <formula1>"Pauschale,Nachweis,Unbekannt"</formula1>
    </dataValidation>
    <dataValidation sqref="C3255" showDropDown="0" showInputMessage="0" showErrorMessage="0" allowBlank="0" type="list">
      <formula1>"Pauschale,Nachweis,Unbekannt"</formula1>
    </dataValidation>
    <dataValidation sqref="C3256" showDropDown="0" showInputMessage="0" showErrorMessage="0" allowBlank="0" type="list">
      <formula1>"Pauschale,Nachweis,Unbekannt"</formula1>
    </dataValidation>
    <dataValidation sqref="C3257" showDropDown="0" showInputMessage="0" showErrorMessage="0" allowBlank="0" type="list">
      <formula1>"Pauschale,Nachweis,Unbekannt"</formula1>
    </dataValidation>
    <dataValidation sqref="C3258" showDropDown="0" showInputMessage="0" showErrorMessage="0" allowBlank="0" type="list">
      <formula1>"Pauschale,Nachweis,Unbekannt"</formula1>
    </dataValidation>
    <dataValidation sqref="C3259" showDropDown="0" showInputMessage="0" showErrorMessage="0" allowBlank="0" type="list">
      <formula1>"Pauschale,Nachweis,Unbekannt"</formula1>
    </dataValidation>
    <dataValidation sqref="C3260" showDropDown="0" showInputMessage="0" showErrorMessage="0" allowBlank="0" type="list">
      <formula1>"Pauschale,Nachweis,Unbekannt"</formula1>
    </dataValidation>
    <dataValidation sqref="C3261" showDropDown="0" showInputMessage="0" showErrorMessage="0" allowBlank="0" type="list">
      <formula1>"Pauschale,Nachweis,Unbekannt"</formula1>
    </dataValidation>
    <dataValidation sqref="C3262" showDropDown="0" showInputMessage="0" showErrorMessage="0" allowBlank="0" type="list">
      <formula1>"Pauschale,Nachweis,Unbekannt"</formula1>
    </dataValidation>
    <dataValidation sqref="C3263" showDropDown="0" showInputMessage="0" showErrorMessage="0" allowBlank="0" type="list">
      <formula1>"Pauschale,Nachweis,Unbekannt"</formula1>
    </dataValidation>
    <dataValidation sqref="C3264" showDropDown="0" showInputMessage="0" showErrorMessage="0" allowBlank="0" type="list">
      <formula1>"Pauschale,Nachweis,Unbekannt"</formula1>
    </dataValidation>
    <dataValidation sqref="C3265" showDropDown="0" showInputMessage="0" showErrorMessage="0" allowBlank="0" type="list">
      <formula1>"Pauschale,Nachweis,Unbekannt"</formula1>
    </dataValidation>
    <dataValidation sqref="C3266" showDropDown="0" showInputMessage="0" showErrorMessage="0" allowBlank="0" type="list">
      <formula1>"Pauschale,Nachweis,Unbekannt"</formula1>
    </dataValidation>
    <dataValidation sqref="C3267" showDropDown="0" showInputMessage="0" showErrorMessage="0" allowBlank="0" type="list">
      <formula1>"Pauschale,Nachweis,Unbekannt"</formula1>
    </dataValidation>
    <dataValidation sqref="C3268" showDropDown="0" showInputMessage="0" showErrorMessage="0" allowBlank="0" type="list">
      <formula1>"Pauschale,Nachweis,Unbekannt"</formula1>
    </dataValidation>
    <dataValidation sqref="C3269" showDropDown="0" showInputMessage="0" showErrorMessage="0" allowBlank="0" type="list">
      <formula1>"Pauschale,Nachweis,Unbekannt"</formula1>
    </dataValidation>
    <dataValidation sqref="C3270" showDropDown="0" showInputMessage="0" showErrorMessage="0" allowBlank="0" type="list">
      <formula1>"Pauschale,Nachweis,Unbekannt"</formula1>
    </dataValidation>
    <dataValidation sqref="C3271" showDropDown="0" showInputMessage="0" showErrorMessage="0" allowBlank="0" type="list">
      <formula1>"Pauschale,Nachweis,Unbekannt"</formula1>
    </dataValidation>
    <dataValidation sqref="C3272" showDropDown="0" showInputMessage="0" showErrorMessage="0" allowBlank="0" type="list">
      <formula1>"Pauschale,Nachweis,Unbekannt"</formula1>
    </dataValidation>
    <dataValidation sqref="C3273" showDropDown="0" showInputMessage="0" showErrorMessage="0" allowBlank="0" type="list">
      <formula1>"Pauschale,Nachweis,Unbekannt"</formula1>
    </dataValidation>
    <dataValidation sqref="C3274" showDropDown="0" showInputMessage="0" showErrorMessage="0" allowBlank="0" type="list">
      <formula1>"Pauschale,Nachweis,Unbekannt"</formula1>
    </dataValidation>
    <dataValidation sqref="C3275" showDropDown="0" showInputMessage="0" showErrorMessage="0" allowBlank="0" type="list">
      <formula1>"Pauschale,Nachweis,Unbekannt"</formula1>
    </dataValidation>
    <dataValidation sqref="C3276" showDropDown="0" showInputMessage="0" showErrorMessage="0" allowBlank="0" type="list">
      <formula1>"Pauschale,Nachweis,Unbekannt"</formula1>
    </dataValidation>
    <dataValidation sqref="C3277" showDropDown="0" showInputMessage="0" showErrorMessage="0" allowBlank="0" type="list">
      <formula1>"Pauschale,Nachweis,Unbekannt"</formula1>
    </dataValidation>
    <dataValidation sqref="C3278" showDropDown="0" showInputMessage="0" showErrorMessage="0" allowBlank="0" type="list">
      <formula1>"Pauschale,Nachweis,Unbekannt"</formula1>
    </dataValidation>
    <dataValidation sqref="C3279" showDropDown="0" showInputMessage="0" showErrorMessage="0" allowBlank="0" type="list">
      <formula1>"Pauschale,Nachweis,Unbekannt"</formula1>
    </dataValidation>
    <dataValidation sqref="C3280" showDropDown="0" showInputMessage="0" showErrorMessage="0" allowBlank="0" type="list">
      <formula1>"Pauschale,Nachweis,Unbekannt"</formula1>
    </dataValidation>
    <dataValidation sqref="C3281" showDropDown="0" showInputMessage="0" showErrorMessage="0" allowBlank="0" type="list">
      <formula1>"Pauschale,Nachweis,Unbekannt"</formula1>
    </dataValidation>
    <dataValidation sqref="C3282" showDropDown="0" showInputMessage="0" showErrorMessage="0" allowBlank="0" type="list">
      <formula1>"Pauschale,Nachweis,Unbekannt"</formula1>
    </dataValidation>
    <dataValidation sqref="C3283" showDropDown="0" showInputMessage="0" showErrorMessage="0" allowBlank="0" type="list">
      <formula1>"Pauschale,Nachweis,Unbekannt"</formula1>
    </dataValidation>
    <dataValidation sqref="C3284" showDropDown="0" showInputMessage="0" showErrorMessage="0" allowBlank="0" type="list">
      <formula1>"Pauschale,Nachweis,Unbekannt"</formula1>
    </dataValidation>
    <dataValidation sqref="C3285" showDropDown="0" showInputMessage="0" showErrorMessage="0" allowBlank="0" type="list">
      <formula1>"Pauschale,Nachweis,Unbekannt"</formula1>
    </dataValidation>
    <dataValidation sqref="C3286" showDropDown="0" showInputMessage="0" showErrorMessage="0" allowBlank="0" type="list">
      <formula1>"Pauschale,Nachweis,Unbekannt"</formula1>
    </dataValidation>
    <dataValidation sqref="C3287" showDropDown="0" showInputMessage="0" showErrorMessage="0" allowBlank="0" type="list">
      <formula1>"Pauschale,Nachweis,Unbekannt"</formula1>
    </dataValidation>
    <dataValidation sqref="C3288" showDropDown="0" showInputMessage="0" showErrorMessage="0" allowBlank="0" type="list">
      <formula1>"Pauschale,Nachweis,Unbekannt"</formula1>
    </dataValidation>
    <dataValidation sqref="C3289" showDropDown="0" showInputMessage="0" showErrorMessage="0" allowBlank="0" type="list">
      <formula1>"Pauschale,Nachweis,Unbekannt"</formula1>
    </dataValidation>
    <dataValidation sqref="C3290" showDropDown="0" showInputMessage="0" showErrorMessage="0" allowBlank="0" type="list">
      <formula1>"Pauschale,Nachweis,Unbekannt"</formula1>
    </dataValidation>
    <dataValidation sqref="C3291" showDropDown="0" showInputMessage="0" showErrorMessage="0" allowBlank="0" type="list">
      <formula1>"Pauschale,Nachweis,Unbekannt"</formula1>
    </dataValidation>
    <dataValidation sqref="C3292" showDropDown="0" showInputMessage="0" showErrorMessage="0" allowBlank="0" type="list">
      <formula1>"Pauschale,Nachweis,Unbekannt"</formula1>
    </dataValidation>
    <dataValidation sqref="C3293" showDropDown="0" showInputMessage="0" showErrorMessage="0" allowBlank="0" type="list">
      <formula1>"Pauschale,Nachweis,Unbekannt"</formula1>
    </dataValidation>
    <dataValidation sqref="C3294" showDropDown="0" showInputMessage="0" showErrorMessage="0" allowBlank="0" type="list">
      <formula1>"Pauschale,Nachweis,Unbekannt"</formula1>
    </dataValidation>
    <dataValidation sqref="C3295" showDropDown="0" showInputMessage="0" showErrorMessage="0" allowBlank="0" type="list">
      <formula1>"Pauschale,Nachweis,Unbekannt"</formula1>
    </dataValidation>
    <dataValidation sqref="C3296" showDropDown="0" showInputMessage="0" showErrorMessage="0" allowBlank="0" type="list">
      <formula1>"Pauschale,Nachweis,Unbekannt"</formula1>
    </dataValidation>
    <dataValidation sqref="C3297" showDropDown="0" showInputMessage="0" showErrorMessage="0" allowBlank="0" type="list">
      <formula1>"Pauschale,Nachweis,Unbekannt"</formula1>
    </dataValidation>
    <dataValidation sqref="C3298" showDropDown="0" showInputMessage="0" showErrorMessage="0" allowBlank="0" type="list">
      <formula1>"Pauschale,Nachweis,Unbekannt"</formula1>
    </dataValidation>
    <dataValidation sqref="C3299" showDropDown="0" showInputMessage="0" showErrorMessage="0" allowBlank="0" type="list">
      <formula1>"Pauschale,Nachweis,Unbekannt"</formula1>
    </dataValidation>
    <dataValidation sqref="C3300" showDropDown="0" showInputMessage="0" showErrorMessage="0" allowBlank="0" type="list">
      <formula1>"Pauschale,Nachweis,Unbekannt"</formula1>
    </dataValidation>
    <dataValidation sqref="C3301" showDropDown="0" showInputMessage="0" showErrorMessage="0" allowBlank="0" type="list">
      <formula1>"Pauschale,Nachweis,Unbekannt"</formula1>
    </dataValidation>
    <dataValidation sqref="C3302" showDropDown="0" showInputMessage="0" showErrorMessage="0" allowBlank="0" type="list">
      <formula1>"Pauschale,Nachweis,Unbekannt"</formula1>
    </dataValidation>
    <dataValidation sqref="C3303" showDropDown="0" showInputMessage="0" showErrorMessage="0" allowBlank="0" type="list">
      <formula1>"Pauschale,Nachweis,Unbekannt"</formula1>
    </dataValidation>
    <dataValidation sqref="C3304" showDropDown="0" showInputMessage="0" showErrorMessage="0" allowBlank="0" type="list">
      <formula1>"Pauschale,Nachweis,Unbekannt"</formula1>
    </dataValidation>
    <dataValidation sqref="C3305" showDropDown="0" showInputMessage="0" showErrorMessage="0" allowBlank="0" type="list">
      <formula1>"Pauschale,Nachweis,Unbekannt"</formula1>
    </dataValidation>
    <dataValidation sqref="C3306" showDropDown="0" showInputMessage="0" showErrorMessage="0" allowBlank="0" type="list">
      <formula1>"Pauschale,Nachweis,Unbekannt"</formula1>
    </dataValidation>
    <dataValidation sqref="C3307" showDropDown="0" showInputMessage="0" showErrorMessage="0" allowBlank="0" type="list">
      <formula1>"Pauschale,Nachweis,Unbekannt"</formula1>
    </dataValidation>
    <dataValidation sqref="C3308" showDropDown="0" showInputMessage="0" showErrorMessage="0" allowBlank="0" type="list">
      <formula1>"Pauschale,Nachweis,Unbekannt"</formula1>
    </dataValidation>
    <dataValidation sqref="C3309" showDropDown="0" showInputMessage="0" showErrorMessage="0" allowBlank="0" type="list">
      <formula1>"Pauschale,Nachweis,Unbekannt"</formula1>
    </dataValidation>
    <dataValidation sqref="C3310" showDropDown="0" showInputMessage="0" showErrorMessage="0" allowBlank="0" type="list">
      <formula1>"Pauschale,Nachweis,Unbekannt"</formula1>
    </dataValidation>
    <dataValidation sqref="C3311" showDropDown="0" showInputMessage="0" showErrorMessage="0" allowBlank="0" type="list">
      <formula1>"Pauschale,Nachweis,Unbekannt"</formula1>
    </dataValidation>
    <dataValidation sqref="C3312" showDropDown="0" showInputMessage="0" showErrorMessage="0" allowBlank="0" type="list">
      <formula1>"Pauschale,Nachweis,Unbekannt"</formula1>
    </dataValidation>
    <dataValidation sqref="C3313" showDropDown="0" showInputMessage="0" showErrorMessage="0" allowBlank="0" type="list">
      <formula1>"Pauschale,Nachweis,Unbekannt"</formula1>
    </dataValidation>
    <dataValidation sqref="C3314" showDropDown="0" showInputMessage="0" showErrorMessage="0" allowBlank="0" type="list">
      <formula1>"Pauschale,Nachweis,Unbekannt"</formula1>
    </dataValidation>
    <dataValidation sqref="C3315" showDropDown="0" showInputMessage="0" showErrorMessage="0" allowBlank="0" type="list">
      <formula1>"Pauschale,Nachweis,Unbekannt"</formula1>
    </dataValidation>
    <dataValidation sqref="C3316" showDropDown="0" showInputMessage="0" showErrorMessage="0" allowBlank="0" type="list">
      <formula1>"Pauschale,Nachweis,Unbekannt"</formula1>
    </dataValidation>
    <dataValidation sqref="C3317" showDropDown="0" showInputMessage="0" showErrorMessage="0" allowBlank="0" type="list">
      <formula1>"Pauschale,Nachweis,Unbekannt"</formula1>
    </dataValidation>
    <dataValidation sqref="C3318" showDropDown="0" showInputMessage="0" showErrorMessage="0" allowBlank="0" type="list">
      <formula1>"Pauschale,Nachweis,Unbekannt"</formula1>
    </dataValidation>
    <dataValidation sqref="C3319" showDropDown="0" showInputMessage="0" showErrorMessage="0" allowBlank="0" type="list">
      <formula1>"Pauschale,Nachweis,Unbekannt"</formula1>
    </dataValidation>
    <dataValidation sqref="C3320" showDropDown="0" showInputMessage="0" showErrorMessage="0" allowBlank="0" type="list">
      <formula1>"Pauschale,Nachweis,Unbekannt"</formula1>
    </dataValidation>
    <dataValidation sqref="C3321" showDropDown="0" showInputMessage="0" showErrorMessage="0" allowBlank="0" type="list">
      <formula1>"Pauschale,Nachweis,Unbekannt"</formula1>
    </dataValidation>
    <dataValidation sqref="C3322" showDropDown="0" showInputMessage="0" showErrorMessage="0" allowBlank="0" type="list">
      <formula1>"Pauschale,Nachweis,Unbekannt"</formula1>
    </dataValidation>
    <dataValidation sqref="C3323" showDropDown="0" showInputMessage="0" showErrorMessage="0" allowBlank="0" type="list">
      <formula1>"Pauschale,Nachweis,Unbekannt"</formula1>
    </dataValidation>
    <dataValidation sqref="C3324" showDropDown="0" showInputMessage="0" showErrorMessage="0" allowBlank="0" type="list">
      <formula1>"Pauschale,Nachweis,Unbekannt"</formula1>
    </dataValidation>
    <dataValidation sqref="C3325" showDropDown="0" showInputMessage="0" showErrorMessage="0" allowBlank="0" type="list">
      <formula1>"Pauschale,Nachweis,Unbekannt"</formula1>
    </dataValidation>
    <dataValidation sqref="C3326" showDropDown="0" showInputMessage="0" showErrorMessage="0" allowBlank="0" type="list">
      <formula1>"Pauschale,Nachweis,Unbekannt"</formula1>
    </dataValidation>
    <dataValidation sqref="C3327" showDropDown="0" showInputMessage="0" showErrorMessage="0" allowBlank="0" type="list">
      <formula1>"Pauschale,Nachweis,Unbekannt"</formula1>
    </dataValidation>
    <dataValidation sqref="C3328" showDropDown="0" showInputMessage="0" showErrorMessage="0" allowBlank="0" type="list">
      <formula1>"Pauschale,Nachweis,Unbekannt"</formula1>
    </dataValidation>
    <dataValidation sqref="C3329" showDropDown="0" showInputMessage="0" showErrorMessage="0" allowBlank="0" type="list">
      <formula1>"Pauschale,Nachweis,Unbekannt"</formula1>
    </dataValidation>
    <dataValidation sqref="C3330" showDropDown="0" showInputMessage="0" showErrorMessage="0" allowBlank="0" type="list">
      <formula1>"Pauschale,Nachweis,Unbekannt"</formula1>
    </dataValidation>
    <dataValidation sqref="C3331" showDropDown="0" showInputMessage="0" showErrorMessage="0" allowBlank="0" type="list">
      <formula1>"Pauschale,Nachweis,Unbekannt"</formula1>
    </dataValidation>
    <dataValidation sqref="C3332" showDropDown="0" showInputMessage="0" showErrorMessage="0" allowBlank="0" type="list">
      <formula1>"Pauschale,Nachweis,Unbekannt"</formula1>
    </dataValidation>
    <dataValidation sqref="C3333" showDropDown="0" showInputMessage="0" showErrorMessage="0" allowBlank="0" type="list">
      <formula1>"Pauschale,Nachweis,Unbekannt"</formula1>
    </dataValidation>
    <dataValidation sqref="C3334" showDropDown="0" showInputMessage="0" showErrorMessage="0" allowBlank="0" type="list">
      <formula1>"Pauschale,Nachweis,Unbekannt"</formula1>
    </dataValidation>
    <dataValidation sqref="C3335" showDropDown="0" showInputMessage="0" showErrorMessage="0" allowBlank="0" type="list">
      <formula1>"Pauschale,Nachweis,Unbekannt"</formula1>
    </dataValidation>
    <dataValidation sqref="C3336" showDropDown="0" showInputMessage="0" showErrorMessage="0" allowBlank="0" type="list">
      <formula1>"Pauschale,Nachweis,Unbekannt"</formula1>
    </dataValidation>
    <dataValidation sqref="C3337" showDropDown="0" showInputMessage="0" showErrorMessage="0" allowBlank="0" type="list">
      <formula1>"Pauschale,Nachweis,Unbekannt"</formula1>
    </dataValidation>
    <dataValidation sqref="C3338" showDropDown="0" showInputMessage="0" showErrorMessage="0" allowBlank="0" type="list">
      <formula1>"Pauschale,Nachweis,Unbekannt"</formula1>
    </dataValidation>
    <dataValidation sqref="C3339" showDropDown="0" showInputMessage="0" showErrorMessage="0" allowBlank="0" type="list">
      <formula1>"Pauschale,Nachweis,Unbekannt"</formula1>
    </dataValidation>
    <dataValidation sqref="C3340" showDropDown="0" showInputMessage="0" showErrorMessage="0" allowBlank="0" type="list">
      <formula1>"Pauschale,Nachweis,Unbekannt"</formula1>
    </dataValidation>
    <dataValidation sqref="C3341" showDropDown="0" showInputMessage="0" showErrorMessage="0" allowBlank="0" type="list">
      <formula1>"Pauschale,Nachweis,Unbekannt"</formula1>
    </dataValidation>
    <dataValidation sqref="C3342" showDropDown="0" showInputMessage="0" showErrorMessage="0" allowBlank="0" type="list">
      <formula1>"Pauschale,Nachweis,Unbekannt"</formula1>
    </dataValidation>
    <dataValidation sqref="C3343" showDropDown="0" showInputMessage="0" showErrorMessage="0" allowBlank="0" type="list">
      <formula1>"Pauschale,Nachweis,Unbekannt"</formula1>
    </dataValidation>
    <dataValidation sqref="C3344" showDropDown="0" showInputMessage="0" showErrorMessage="0" allowBlank="0" type="list">
      <formula1>"Pauschale,Nachweis,Unbekannt"</formula1>
    </dataValidation>
    <dataValidation sqref="C3345" showDropDown="0" showInputMessage="0" showErrorMessage="0" allowBlank="0" type="list">
      <formula1>"Pauschale,Nachweis,Unbekannt"</formula1>
    </dataValidation>
    <dataValidation sqref="C3346" showDropDown="0" showInputMessage="0" showErrorMessage="0" allowBlank="0" type="list">
      <formula1>"Pauschale,Nachweis,Unbekannt"</formula1>
    </dataValidation>
    <dataValidation sqref="C3347" showDropDown="0" showInputMessage="0" showErrorMessage="0" allowBlank="0" type="list">
      <formula1>"Pauschale,Nachweis,Unbekannt"</formula1>
    </dataValidation>
    <dataValidation sqref="C3348" showDropDown="0" showInputMessage="0" showErrorMessage="0" allowBlank="0" type="list">
      <formula1>"Pauschale,Nachweis,Unbekannt"</formula1>
    </dataValidation>
    <dataValidation sqref="C3349" showDropDown="0" showInputMessage="0" showErrorMessage="0" allowBlank="0" type="list">
      <formula1>"Pauschale,Nachweis,Unbekannt"</formula1>
    </dataValidation>
    <dataValidation sqref="C3350" showDropDown="0" showInputMessage="0" showErrorMessage="0" allowBlank="0" type="list">
      <formula1>"Pauschale,Nachweis,Unbekannt"</formula1>
    </dataValidation>
    <dataValidation sqref="C3351" showDropDown="0" showInputMessage="0" showErrorMessage="0" allowBlank="0" type="list">
      <formula1>"Pauschale,Nachweis,Unbekannt"</formula1>
    </dataValidation>
    <dataValidation sqref="C3352" showDropDown="0" showInputMessage="0" showErrorMessage="0" allowBlank="0" type="list">
      <formula1>"Pauschale,Nachweis,Unbekannt"</formula1>
    </dataValidation>
    <dataValidation sqref="C3353" showDropDown="0" showInputMessage="0" showErrorMessage="0" allowBlank="0" type="list">
      <formula1>"Pauschale,Nachweis,Unbekannt"</formula1>
    </dataValidation>
    <dataValidation sqref="C3354" showDropDown="0" showInputMessage="0" showErrorMessage="0" allowBlank="0" type="list">
      <formula1>"Pauschale,Nachweis,Unbekannt"</formula1>
    </dataValidation>
    <dataValidation sqref="C3355" showDropDown="0" showInputMessage="0" showErrorMessage="0" allowBlank="0" type="list">
      <formula1>"Pauschale,Nachweis,Unbekannt"</formula1>
    </dataValidation>
    <dataValidation sqref="C3356" showDropDown="0" showInputMessage="0" showErrorMessage="0" allowBlank="0" type="list">
      <formula1>"Pauschale,Nachweis,Unbekannt"</formula1>
    </dataValidation>
    <dataValidation sqref="C3357" showDropDown="0" showInputMessage="0" showErrorMessage="0" allowBlank="0" type="list">
      <formula1>"Pauschale,Nachweis,Unbekannt"</formula1>
    </dataValidation>
    <dataValidation sqref="C3358" showDropDown="0" showInputMessage="0" showErrorMessage="0" allowBlank="0" type="list">
      <formula1>"Pauschale,Nachweis,Unbekannt"</formula1>
    </dataValidation>
    <dataValidation sqref="C3359" showDropDown="0" showInputMessage="0" showErrorMessage="0" allowBlank="0" type="list">
      <formula1>"Pauschale,Nachweis,Unbekannt"</formula1>
    </dataValidation>
    <dataValidation sqref="C3360" showDropDown="0" showInputMessage="0" showErrorMessage="0" allowBlank="0" type="list">
      <formula1>"Pauschale,Nachweis,Unbekannt"</formula1>
    </dataValidation>
    <dataValidation sqref="C3361" showDropDown="0" showInputMessage="0" showErrorMessage="0" allowBlank="0" type="list">
      <formula1>"Pauschale,Nachweis,Unbekannt"</formula1>
    </dataValidation>
    <dataValidation sqref="C3362" showDropDown="0" showInputMessage="0" showErrorMessage="0" allowBlank="0" type="list">
      <formula1>"Pauschale,Nachweis,Unbekannt"</formula1>
    </dataValidation>
    <dataValidation sqref="C3363" showDropDown="0" showInputMessage="0" showErrorMessage="0" allowBlank="0" type="list">
      <formula1>"Pauschale,Nachweis,Unbekannt"</formula1>
    </dataValidation>
    <dataValidation sqref="C3364" showDropDown="0" showInputMessage="0" showErrorMessage="0" allowBlank="0" type="list">
      <formula1>"Pauschale,Nachweis,Unbekannt"</formula1>
    </dataValidation>
    <dataValidation sqref="C3365" showDropDown="0" showInputMessage="0" showErrorMessage="0" allowBlank="0" type="list">
      <formula1>"Pauschale,Nachweis,Unbekannt"</formula1>
    </dataValidation>
    <dataValidation sqref="C3366" showDropDown="0" showInputMessage="0" showErrorMessage="0" allowBlank="0" type="list">
      <formula1>"Pauschale,Nachweis,Unbekannt"</formula1>
    </dataValidation>
    <dataValidation sqref="C3367" showDropDown="0" showInputMessage="0" showErrorMessage="0" allowBlank="0" type="list">
      <formula1>"Pauschale,Nachweis,Unbekannt"</formula1>
    </dataValidation>
    <dataValidation sqref="C3368" showDropDown="0" showInputMessage="0" showErrorMessage="0" allowBlank="0" type="list">
      <formula1>"Pauschale,Nachweis,Unbekannt"</formula1>
    </dataValidation>
    <dataValidation sqref="C3369" showDropDown="0" showInputMessage="0" showErrorMessage="0" allowBlank="0" type="list">
      <formula1>"Pauschale,Nachweis,Unbekannt"</formula1>
    </dataValidation>
    <dataValidation sqref="C3370" showDropDown="0" showInputMessage="0" showErrorMessage="0" allowBlank="0" type="list">
      <formula1>"Pauschale,Nachweis,Unbekannt"</formula1>
    </dataValidation>
    <dataValidation sqref="C3371" showDropDown="0" showInputMessage="0" showErrorMessage="0" allowBlank="0" type="list">
      <formula1>"Pauschale,Nachweis,Unbekannt"</formula1>
    </dataValidation>
    <dataValidation sqref="C3372" showDropDown="0" showInputMessage="0" showErrorMessage="0" allowBlank="0" type="list">
      <formula1>"Pauschale,Nachweis,Unbekannt"</formula1>
    </dataValidation>
    <dataValidation sqref="C3373" showDropDown="0" showInputMessage="0" showErrorMessage="0" allowBlank="0" type="list">
      <formula1>"Pauschale,Nachweis,Unbekannt"</formula1>
    </dataValidation>
    <dataValidation sqref="C3374" showDropDown="0" showInputMessage="0" showErrorMessage="0" allowBlank="0" type="list">
      <formula1>"Pauschale,Nachweis,Unbekannt"</formula1>
    </dataValidation>
    <dataValidation sqref="C3375" showDropDown="0" showInputMessage="0" showErrorMessage="0" allowBlank="0" type="list">
      <formula1>"Pauschale,Nachweis,Unbekannt"</formula1>
    </dataValidation>
    <dataValidation sqref="C3376" showDropDown="0" showInputMessage="0" showErrorMessage="0" allowBlank="0" type="list">
      <formula1>"Pauschale,Nachweis,Unbekannt"</formula1>
    </dataValidation>
    <dataValidation sqref="C3377" showDropDown="0" showInputMessage="0" showErrorMessage="0" allowBlank="0" type="list">
      <formula1>"Pauschale,Nachweis,Unbekannt"</formula1>
    </dataValidation>
    <dataValidation sqref="C3378" showDropDown="0" showInputMessage="0" showErrorMessage="0" allowBlank="0" type="list">
      <formula1>"Pauschale,Nachweis,Unbekannt"</formula1>
    </dataValidation>
    <dataValidation sqref="C3379" showDropDown="0" showInputMessage="0" showErrorMessage="0" allowBlank="0" type="list">
      <formula1>"Pauschale,Nachweis,Unbekannt"</formula1>
    </dataValidation>
    <dataValidation sqref="C3380" showDropDown="0" showInputMessage="0" showErrorMessage="0" allowBlank="0" type="list">
      <formula1>"Pauschale,Nachweis,Unbekannt"</formula1>
    </dataValidation>
    <dataValidation sqref="C3381" showDropDown="0" showInputMessage="0" showErrorMessage="0" allowBlank="0" type="list">
      <formula1>"Pauschale,Nachweis,Unbekannt"</formula1>
    </dataValidation>
    <dataValidation sqref="C3382" showDropDown="0" showInputMessage="0" showErrorMessage="0" allowBlank="0" type="list">
      <formula1>"Pauschale,Nachweis,Unbekannt"</formula1>
    </dataValidation>
    <dataValidation sqref="C3383" showDropDown="0" showInputMessage="0" showErrorMessage="0" allowBlank="0" type="list">
      <formula1>"Pauschale,Nachweis,Unbekannt"</formula1>
    </dataValidation>
    <dataValidation sqref="C3384" showDropDown="0" showInputMessage="0" showErrorMessage="0" allowBlank="0" type="list">
      <formula1>"Pauschale,Nachweis,Unbekannt"</formula1>
    </dataValidation>
    <dataValidation sqref="C3385" showDropDown="0" showInputMessage="0" showErrorMessage="0" allowBlank="0" type="list">
      <formula1>"Pauschale,Nachweis,Unbekannt"</formula1>
    </dataValidation>
    <dataValidation sqref="C3386" showDropDown="0" showInputMessage="0" showErrorMessage="0" allowBlank="0" type="list">
      <formula1>"Pauschale,Nachweis,Unbekannt"</formula1>
    </dataValidation>
    <dataValidation sqref="C3387" showDropDown="0" showInputMessage="0" showErrorMessage="0" allowBlank="0" type="list">
      <formula1>"Pauschale,Nachweis,Unbekannt"</formula1>
    </dataValidation>
    <dataValidation sqref="C3388" showDropDown="0" showInputMessage="0" showErrorMessage="0" allowBlank="0" type="list">
      <formula1>"Pauschale,Nachweis,Unbekannt"</formula1>
    </dataValidation>
    <dataValidation sqref="C3389" showDropDown="0" showInputMessage="0" showErrorMessage="0" allowBlank="0" type="list">
      <formula1>"Pauschale,Nachweis,Unbekannt"</formula1>
    </dataValidation>
    <dataValidation sqref="C3390" showDropDown="0" showInputMessage="0" showErrorMessage="0" allowBlank="0" type="list">
      <formula1>"Pauschale,Nachweis,Unbekannt"</formula1>
    </dataValidation>
    <dataValidation sqref="C3391" showDropDown="0" showInputMessage="0" showErrorMessage="0" allowBlank="0" type="list">
      <formula1>"Pauschale,Nachweis,Unbekannt"</formula1>
    </dataValidation>
    <dataValidation sqref="C3392" showDropDown="0" showInputMessage="0" showErrorMessage="0" allowBlank="0" type="list">
      <formula1>"Pauschale,Nachweis,Unbekannt"</formula1>
    </dataValidation>
    <dataValidation sqref="C3393" showDropDown="0" showInputMessage="0" showErrorMessage="0" allowBlank="0" type="list">
      <formula1>"Pauschale,Nachweis,Unbekannt"</formula1>
    </dataValidation>
    <dataValidation sqref="C3394" showDropDown="0" showInputMessage="0" showErrorMessage="0" allowBlank="0" type="list">
      <formula1>"Pauschale,Nachweis,Unbekannt"</formula1>
    </dataValidation>
    <dataValidation sqref="C3395" showDropDown="0" showInputMessage="0" showErrorMessage="0" allowBlank="0" type="list">
      <formula1>"Pauschale,Nachweis,Unbekannt"</formula1>
    </dataValidation>
    <dataValidation sqref="C3396" showDropDown="0" showInputMessage="0" showErrorMessage="0" allowBlank="0" type="list">
      <formula1>"Pauschale,Nachweis,Unbekannt"</formula1>
    </dataValidation>
    <dataValidation sqref="C3397" showDropDown="0" showInputMessage="0" showErrorMessage="0" allowBlank="0" type="list">
      <formula1>"Pauschale,Nachweis,Unbekannt"</formula1>
    </dataValidation>
    <dataValidation sqref="C3398" showDropDown="0" showInputMessage="0" showErrorMessage="0" allowBlank="0" type="list">
      <formula1>"Pauschale,Nachweis,Unbekannt"</formula1>
    </dataValidation>
    <dataValidation sqref="C3399" showDropDown="0" showInputMessage="0" showErrorMessage="0" allowBlank="0" type="list">
      <formula1>"Pauschale,Nachweis,Unbekannt"</formula1>
    </dataValidation>
    <dataValidation sqref="C3400" showDropDown="0" showInputMessage="0" showErrorMessage="0" allowBlank="0" type="list">
      <formula1>"Pauschale,Nachweis,Unbekannt"</formula1>
    </dataValidation>
    <dataValidation sqref="C3401" showDropDown="0" showInputMessage="0" showErrorMessage="0" allowBlank="0" type="list">
      <formula1>"Pauschale,Nachweis,Unbekannt"</formula1>
    </dataValidation>
    <dataValidation sqref="C3402" showDropDown="0" showInputMessage="0" showErrorMessage="0" allowBlank="0" type="list">
      <formula1>"Pauschale,Nachweis,Unbekannt"</formula1>
    </dataValidation>
    <dataValidation sqref="C3403" showDropDown="0" showInputMessage="0" showErrorMessage="0" allowBlank="0" type="list">
      <formula1>"Pauschale,Nachweis,Unbekannt"</formula1>
    </dataValidation>
    <dataValidation sqref="C3404" showDropDown="0" showInputMessage="0" showErrorMessage="0" allowBlank="0" type="list">
      <formula1>"Pauschale,Nachweis,Unbekannt"</formula1>
    </dataValidation>
    <dataValidation sqref="C3405" showDropDown="0" showInputMessage="0" showErrorMessage="0" allowBlank="0" type="list">
      <formula1>"Pauschale,Nachweis,Unbekannt"</formula1>
    </dataValidation>
    <dataValidation sqref="C3406" showDropDown="0" showInputMessage="0" showErrorMessage="0" allowBlank="0" type="list">
      <formula1>"Pauschale,Nachweis,Unbekannt"</formula1>
    </dataValidation>
    <dataValidation sqref="C3407" showDropDown="0" showInputMessage="0" showErrorMessage="0" allowBlank="0" type="list">
      <formula1>"Pauschale,Nachweis,Unbekannt"</formula1>
    </dataValidation>
    <dataValidation sqref="C3408" showDropDown="0" showInputMessage="0" showErrorMessage="0" allowBlank="0" type="list">
      <formula1>"Pauschale,Nachweis,Unbekannt"</formula1>
    </dataValidation>
    <dataValidation sqref="C3409" showDropDown="0" showInputMessage="0" showErrorMessage="0" allowBlank="0" type="list">
      <formula1>"Pauschale,Nachweis,Unbekannt"</formula1>
    </dataValidation>
    <dataValidation sqref="C3410" showDropDown="0" showInputMessage="0" showErrorMessage="0" allowBlank="0" type="list">
      <formula1>"Pauschale,Nachweis,Unbekannt"</formula1>
    </dataValidation>
    <dataValidation sqref="C3411" showDropDown="0" showInputMessage="0" showErrorMessage="0" allowBlank="0" type="list">
      <formula1>"Pauschale,Nachweis,Unbekannt"</formula1>
    </dataValidation>
    <dataValidation sqref="C3412" showDropDown="0" showInputMessage="0" showErrorMessage="0" allowBlank="0" type="list">
      <formula1>"Pauschale,Nachweis,Unbekannt"</formula1>
    </dataValidation>
    <dataValidation sqref="C3413" showDropDown="0" showInputMessage="0" showErrorMessage="0" allowBlank="0" type="list">
      <formula1>"Pauschale,Nachweis,Unbekannt"</formula1>
    </dataValidation>
    <dataValidation sqref="C3414" showDropDown="0" showInputMessage="0" showErrorMessage="0" allowBlank="0" type="list">
      <formula1>"Pauschale,Nachweis,Unbekannt"</formula1>
    </dataValidation>
    <dataValidation sqref="C3415" showDropDown="0" showInputMessage="0" showErrorMessage="0" allowBlank="0" type="list">
      <formula1>"Pauschale,Nachweis,Unbekannt"</formula1>
    </dataValidation>
    <dataValidation sqref="C3416" showDropDown="0" showInputMessage="0" showErrorMessage="0" allowBlank="0" type="list">
      <formula1>"Pauschale,Nachweis,Unbekannt"</formula1>
    </dataValidation>
    <dataValidation sqref="C3417" showDropDown="0" showInputMessage="0" showErrorMessage="0" allowBlank="0" type="list">
      <formula1>"Pauschale,Nachweis,Unbekannt"</formula1>
    </dataValidation>
    <dataValidation sqref="C3418" showDropDown="0" showInputMessage="0" showErrorMessage="0" allowBlank="0" type="list">
      <formula1>"Pauschale,Nachweis,Unbekannt"</formula1>
    </dataValidation>
    <dataValidation sqref="C3419" showDropDown="0" showInputMessage="0" showErrorMessage="0" allowBlank="0" type="list">
      <formula1>"Pauschale,Nachweis,Unbekannt"</formula1>
    </dataValidation>
    <dataValidation sqref="C3420" showDropDown="0" showInputMessage="0" showErrorMessage="0" allowBlank="0" type="list">
      <formula1>"Pauschale,Nachweis,Unbekannt"</formula1>
    </dataValidation>
    <dataValidation sqref="C3421" showDropDown="0" showInputMessage="0" showErrorMessage="0" allowBlank="0" type="list">
      <formula1>"Pauschale,Nachweis,Unbekannt"</formula1>
    </dataValidation>
    <dataValidation sqref="C3422" showDropDown="0" showInputMessage="0" showErrorMessage="0" allowBlank="0" type="list">
      <formula1>"Pauschale,Nachweis,Unbekannt"</formula1>
    </dataValidation>
    <dataValidation sqref="C3423" showDropDown="0" showInputMessage="0" showErrorMessage="0" allowBlank="0" type="list">
      <formula1>"Pauschale,Nachweis,Unbekannt"</formula1>
    </dataValidation>
    <dataValidation sqref="C3424" showDropDown="0" showInputMessage="0" showErrorMessage="0" allowBlank="0" type="list">
      <formula1>"Pauschale,Nachweis,Unbekannt"</formula1>
    </dataValidation>
    <dataValidation sqref="C3425" showDropDown="0" showInputMessage="0" showErrorMessage="0" allowBlank="0" type="list">
      <formula1>"Pauschale,Nachweis,Unbekannt"</formula1>
    </dataValidation>
    <dataValidation sqref="C3426" showDropDown="0" showInputMessage="0" showErrorMessage="0" allowBlank="0" type="list">
      <formula1>"Pauschale,Nachweis,Unbekannt"</formula1>
    </dataValidation>
    <dataValidation sqref="C3427" showDropDown="0" showInputMessage="0" showErrorMessage="0" allowBlank="0" type="list">
      <formula1>"Pauschale,Nachweis,Unbekannt"</formula1>
    </dataValidation>
    <dataValidation sqref="C3428" showDropDown="0" showInputMessage="0" showErrorMessage="0" allowBlank="0" type="list">
      <formula1>"Pauschale,Nachweis,Unbekannt"</formula1>
    </dataValidation>
    <dataValidation sqref="C3429" showDropDown="0" showInputMessage="0" showErrorMessage="0" allowBlank="0" type="list">
      <formula1>"Pauschale,Nachweis,Unbekannt"</formula1>
    </dataValidation>
    <dataValidation sqref="C3430" showDropDown="0" showInputMessage="0" showErrorMessage="0" allowBlank="0" type="list">
      <formula1>"Pauschale,Nachweis,Unbekannt"</formula1>
    </dataValidation>
    <dataValidation sqref="C3431" showDropDown="0" showInputMessage="0" showErrorMessage="0" allowBlank="0" type="list">
      <formula1>"Pauschale,Nachweis,Unbekannt"</formula1>
    </dataValidation>
    <dataValidation sqref="C3432" showDropDown="0" showInputMessage="0" showErrorMessage="0" allowBlank="0" type="list">
      <formula1>"Pauschale,Nachweis,Unbekannt"</formula1>
    </dataValidation>
    <dataValidation sqref="C3433" showDropDown="0" showInputMessage="0" showErrorMessage="0" allowBlank="0" type="list">
      <formula1>"Pauschale,Nachweis,Unbekannt"</formula1>
    </dataValidation>
    <dataValidation sqref="C3434" showDropDown="0" showInputMessage="0" showErrorMessage="0" allowBlank="0" type="list">
      <formula1>"Pauschale,Nachweis,Unbekannt"</formula1>
    </dataValidation>
    <dataValidation sqref="C3435" showDropDown="0" showInputMessage="0" showErrorMessage="0" allowBlank="0" type="list">
      <formula1>"Pauschale,Nachweis,Unbekannt"</formula1>
    </dataValidation>
    <dataValidation sqref="C3436" showDropDown="0" showInputMessage="0" showErrorMessage="0" allowBlank="0" type="list">
      <formula1>"Pauschale,Nachweis,Unbekannt"</formula1>
    </dataValidation>
    <dataValidation sqref="C3437" showDropDown="0" showInputMessage="0" showErrorMessage="0" allowBlank="0" type="list">
      <formula1>"Pauschale,Nachweis,Unbekannt"</formula1>
    </dataValidation>
    <dataValidation sqref="C3438" showDropDown="0" showInputMessage="0" showErrorMessage="0" allowBlank="0" type="list">
      <formula1>"Pauschale,Nachweis,Unbekannt"</formula1>
    </dataValidation>
    <dataValidation sqref="C3439" showDropDown="0" showInputMessage="0" showErrorMessage="0" allowBlank="0" type="list">
      <formula1>"Pauschale,Nachweis,Unbekannt"</formula1>
    </dataValidation>
    <dataValidation sqref="C3440" showDropDown="0" showInputMessage="0" showErrorMessage="0" allowBlank="0" type="list">
      <formula1>"Pauschale,Nachweis,Unbekannt"</formula1>
    </dataValidation>
    <dataValidation sqref="C3441" showDropDown="0" showInputMessage="0" showErrorMessage="0" allowBlank="0" type="list">
      <formula1>"Pauschale,Nachweis,Unbekannt"</formula1>
    </dataValidation>
    <dataValidation sqref="C3442" showDropDown="0" showInputMessage="0" showErrorMessage="0" allowBlank="0" type="list">
      <formula1>"Pauschale,Nachweis,Unbekannt"</formula1>
    </dataValidation>
    <dataValidation sqref="C3443" showDropDown="0" showInputMessage="0" showErrorMessage="0" allowBlank="0" type="list">
      <formula1>"Pauschale,Nachweis,Unbekannt"</formula1>
    </dataValidation>
    <dataValidation sqref="C3444" showDropDown="0" showInputMessage="0" showErrorMessage="0" allowBlank="0" type="list">
      <formula1>"Pauschale,Nachweis,Unbekannt"</formula1>
    </dataValidation>
    <dataValidation sqref="C3445" showDropDown="0" showInputMessage="0" showErrorMessage="0" allowBlank="0" type="list">
      <formula1>"Pauschale,Nachweis,Unbekannt"</formula1>
    </dataValidation>
    <dataValidation sqref="C3446" showDropDown="0" showInputMessage="0" showErrorMessage="0" allowBlank="0" type="list">
      <formula1>"Pauschale,Nachweis,Unbekannt"</formula1>
    </dataValidation>
    <dataValidation sqref="C3447" showDropDown="0" showInputMessage="0" showErrorMessage="0" allowBlank="0" type="list">
      <formula1>"Pauschale,Nachweis,Unbekannt"</formula1>
    </dataValidation>
    <dataValidation sqref="C3448" showDropDown="0" showInputMessage="0" showErrorMessage="0" allowBlank="0" type="list">
      <formula1>"Pauschale,Nachweis,Unbekannt"</formula1>
    </dataValidation>
    <dataValidation sqref="C3449" showDropDown="0" showInputMessage="0" showErrorMessage="0" allowBlank="0" type="list">
      <formula1>"Pauschale,Nachweis,Unbekannt"</formula1>
    </dataValidation>
    <dataValidation sqref="C3450" showDropDown="0" showInputMessage="0" showErrorMessage="0" allowBlank="0" type="list">
      <formula1>"Pauschale,Nachweis,Unbekannt"</formula1>
    </dataValidation>
    <dataValidation sqref="C3451" showDropDown="0" showInputMessage="0" showErrorMessage="0" allowBlank="0" type="list">
      <formula1>"Pauschale,Nachweis,Unbekannt"</formula1>
    </dataValidation>
    <dataValidation sqref="C3452" showDropDown="0" showInputMessage="0" showErrorMessage="0" allowBlank="0" type="list">
      <formula1>"Pauschale,Nachweis,Unbekannt"</formula1>
    </dataValidation>
    <dataValidation sqref="C3453" showDropDown="0" showInputMessage="0" showErrorMessage="0" allowBlank="0" type="list">
      <formula1>"Pauschale,Nachweis,Unbekannt"</formula1>
    </dataValidation>
    <dataValidation sqref="C3454" showDropDown="0" showInputMessage="0" showErrorMessage="0" allowBlank="0" type="list">
      <formula1>"Pauschale,Nachweis,Unbekannt"</formula1>
    </dataValidation>
    <dataValidation sqref="C3455" showDropDown="0" showInputMessage="0" showErrorMessage="0" allowBlank="0" type="list">
      <formula1>"Pauschale,Nachweis,Unbekannt"</formula1>
    </dataValidation>
    <dataValidation sqref="C3456" showDropDown="0" showInputMessage="0" showErrorMessage="0" allowBlank="0" type="list">
      <formula1>"Pauschale,Nachweis,Unbekannt"</formula1>
    </dataValidation>
    <dataValidation sqref="C3457" showDropDown="0" showInputMessage="0" showErrorMessage="0" allowBlank="0" type="list">
      <formula1>"Pauschale,Nachweis,Unbekannt"</formula1>
    </dataValidation>
    <dataValidation sqref="C3458" showDropDown="0" showInputMessage="0" showErrorMessage="0" allowBlank="0" type="list">
      <formula1>"Pauschale,Nachweis,Unbekannt"</formula1>
    </dataValidation>
    <dataValidation sqref="C3459" showDropDown="0" showInputMessage="0" showErrorMessage="0" allowBlank="0" type="list">
      <formula1>"Pauschale,Nachweis,Unbekannt"</formula1>
    </dataValidation>
    <dataValidation sqref="C3460" showDropDown="0" showInputMessage="0" showErrorMessage="0" allowBlank="0" type="list">
      <formula1>"Pauschale,Nachweis,Unbekannt"</formula1>
    </dataValidation>
    <dataValidation sqref="C3461" showDropDown="0" showInputMessage="0" showErrorMessage="0" allowBlank="0" type="list">
      <formula1>"Pauschale,Nachweis,Unbekannt"</formula1>
    </dataValidation>
    <dataValidation sqref="C3462" showDropDown="0" showInputMessage="0" showErrorMessage="0" allowBlank="0" type="list">
      <formula1>"Pauschale,Nachweis,Unbekannt"</formula1>
    </dataValidation>
    <dataValidation sqref="C3463" showDropDown="0" showInputMessage="0" showErrorMessage="0" allowBlank="0" type="list">
      <formula1>"Pauschale,Nachweis,Unbekannt"</formula1>
    </dataValidation>
    <dataValidation sqref="C3464" showDropDown="0" showInputMessage="0" showErrorMessage="0" allowBlank="0" type="list">
      <formula1>"Pauschale,Nachweis,Unbekannt"</formula1>
    </dataValidation>
    <dataValidation sqref="C3465" showDropDown="0" showInputMessage="0" showErrorMessage="0" allowBlank="0" type="list">
      <formula1>"Pauschale,Nachweis,Unbekannt"</formula1>
    </dataValidation>
    <dataValidation sqref="C3466" showDropDown="0" showInputMessage="0" showErrorMessage="0" allowBlank="0" type="list">
      <formula1>"Pauschale,Nachweis,Unbekannt"</formula1>
    </dataValidation>
    <dataValidation sqref="C3467" showDropDown="0" showInputMessage="0" showErrorMessage="0" allowBlank="0" type="list">
      <formula1>"Pauschale,Nachweis,Unbekannt"</formula1>
    </dataValidation>
    <dataValidation sqref="C3468" showDropDown="0" showInputMessage="0" showErrorMessage="0" allowBlank="0" type="list">
      <formula1>"Pauschale,Nachweis,Unbekannt"</formula1>
    </dataValidation>
    <dataValidation sqref="C3469" showDropDown="0" showInputMessage="0" showErrorMessage="0" allowBlank="0" type="list">
      <formula1>"Pauschale,Nachweis,Unbekannt"</formula1>
    </dataValidation>
    <dataValidation sqref="C3470" showDropDown="0" showInputMessage="0" showErrorMessage="0" allowBlank="0" type="list">
      <formula1>"Pauschale,Nachweis,Unbekannt"</formula1>
    </dataValidation>
    <dataValidation sqref="C3471" showDropDown="0" showInputMessage="0" showErrorMessage="0" allowBlank="0" type="list">
      <formula1>"Pauschale,Nachweis,Unbekannt"</formula1>
    </dataValidation>
    <dataValidation sqref="C3472" showDropDown="0" showInputMessage="0" showErrorMessage="0" allowBlank="0" type="list">
      <formula1>"Pauschale,Nachweis,Unbekannt"</formula1>
    </dataValidation>
    <dataValidation sqref="C3473" showDropDown="0" showInputMessage="0" showErrorMessage="0" allowBlank="0" type="list">
      <formula1>"Pauschale,Nachweis,Unbekannt"</formula1>
    </dataValidation>
    <dataValidation sqref="C3474" showDropDown="0" showInputMessage="0" showErrorMessage="0" allowBlank="0" type="list">
      <formula1>"Pauschale,Nachweis,Unbekannt"</formula1>
    </dataValidation>
    <dataValidation sqref="C3475" showDropDown="0" showInputMessage="0" showErrorMessage="0" allowBlank="0" type="list">
      <formula1>"Pauschale,Nachweis,Unbekannt"</formula1>
    </dataValidation>
    <dataValidation sqref="C3476" showDropDown="0" showInputMessage="0" showErrorMessage="0" allowBlank="0" type="list">
      <formula1>"Pauschale,Nachweis,Unbekannt"</formula1>
    </dataValidation>
    <dataValidation sqref="C3477" showDropDown="0" showInputMessage="0" showErrorMessage="0" allowBlank="0" type="list">
      <formula1>"Pauschale,Nachweis,Unbekannt"</formula1>
    </dataValidation>
    <dataValidation sqref="C3478" showDropDown="0" showInputMessage="0" showErrorMessage="0" allowBlank="0" type="list">
      <formula1>"Pauschale,Nachweis,Unbekannt"</formula1>
    </dataValidation>
    <dataValidation sqref="C3479" showDropDown="0" showInputMessage="0" showErrorMessage="0" allowBlank="0" type="list">
      <formula1>"Pauschale,Nachweis,Unbekannt"</formula1>
    </dataValidation>
    <dataValidation sqref="C3480" showDropDown="0" showInputMessage="0" showErrorMessage="0" allowBlank="0" type="list">
      <formula1>"Pauschale,Nachweis,Unbekannt"</formula1>
    </dataValidation>
    <dataValidation sqref="C3481" showDropDown="0" showInputMessage="0" showErrorMessage="0" allowBlank="0" type="list">
      <formula1>"Pauschale,Nachweis,Unbekannt"</formula1>
    </dataValidation>
    <dataValidation sqref="C3482" showDropDown="0" showInputMessage="0" showErrorMessage="0" allowBlank="0" type="list">
      <formula1>"Pauschale,Nachweis,Unbekannt"</formula1>
    </dataValidation>
    <dataValidation sqref="C3483" showDropDown="0" showInputMessage="0" showErrorMessage="0" allowBlank="0" type="list">
      <formula1>"Pauschale,Nachweis,Unbekannt"</formula1>
    </dataValidation>
    <dataValidation sqref="C3484" showDropDown="0" showInputMessage="0" showErrorMessage="0" allowBlank="0" type="list">
      <formula1>"Pauschale,Nachweis,Unbekannt"</formula1>
    </dataValidation>
    <dataValidation sqref="C3485" showDropDown="0" showInputMessage="0" showErrorMessage="0" allowBlank="0" type="list">
      <formula1>"Pauschale,Nachweis,Unbekannt"</formula1>
    </dataValidation>
    <dataValidation sqref="C3486" showDropDown="0" showInputMessage="0" showErrorMessage="0" allowBlank="0" type="list">
      <formula1>"Pauschale,Nachweis,Unbekannt"</formula1>
    </dataValidation>
    <dataValidation sqref="C3487" showDropDown="0" showInputMessage="0" showErrorMessage="0" allowBlank="0" type="list">
      <formula1>"Pauschale,Nachweis,Unbekannt"</formula1>
    </dataValidation>
    <dataValidation sqref="C3488" showDropDown="0" showInputMessage="0" showErrorMessage="0" allowBlank="0" type="list">
      <formula1>"Pauschale,Nachweis,Unbekannt"</formula1>
    </dataValidation>
    <dataValidation sqref="C3489" showDropDown="0" showInputMessage="0" showErrorMessage="0" allowBlank="0" type="list">
      <formula1>"Pauschale,Nachweis,Unbekannt"</formula1>
    </dataValidation>
    <dataValidation sqref="C3490" showDropDown="0" showInputMessage="0" showErrorMessage="0" allowBlank="0" type="list">
      <formula1>"Pauschale,Nachweis,Unbekannt"</formula1>
    </dataValidation>
    <dataValidation sqref="C3491" showDropDown="0" showInputMessage="0" showErrorMessage="0" allowBlank="0" type="list">
      <formula1>"Pauschale,Nachweis,Unbekannt"</formula1>
    </dataValidation>
    <dataValidation sqref="C3492" showDropDown="0" showInputMessage="0" showErrorMessage="0" allowBlank="0" type="list">
      <formula1>"Pauschale,Nachweis,Unbekannt"</formula1>
    </dataValidation>
    <dataValidation sqref="C3493" showDropDown="0" showInputMessage="0" showErrorMessage="0" allowBlank="0" type="list">
      <formula1>"Pauschale,Nachweis,Unbekannt"</formula1>
    </dataValidation>
    <dataValidation sqref="C3494" showDropDown="0" showInputMessage="0" showErrorMessage="0" allowBlank="0" type="list">
      <formula1>"Pauschale,Nachweis,Unbekannt"</formula1>
    </dataValidation>
    <dataValidation sqref="C3495" showDropDown="0" showInputMessage="0" showErrorMessage="0" allowBlank="0" type="list">
      <formula1>"Pauschale,Nachweis,Unbekannt"</formula1>
    </dataValidation>
    <dataValidation sqref="C3496" showDropDown="0" showInputMessage="0" showErrorMessage="0" allowBlank="0" type="list">
      <formula1>"Pauschale,Nachweis,Unbekannt"</formula1>
    </dataValidation>
    <dataValidation sqref="C3497" showDropDown="0" showInputMessage="0" showErrorMessage="0" allowBlank="0" type="list">
      <formula1>"Pauschale,Nachweis,Unbekannt"</formula1>
    </dataValidation>
    <dataValidation sqref="C3498" showDropDown="0" showInputMessage="0" showErrorMessage="0" allowBlank="0" type="list">
      <formula1>"Pauschale,Nachweis,Unbekannt"</formula1>
    </dataValidation>
    <dataValidation sqref="C3499" showDropDown="0" showInputMessage="0" showErrorMessage="0" allowBlank="0" type="list">
      <formula1>"Pauschale,Nachweis,Unbekannt"</formula1>
    </dataValidation>
    <dataValidation sqref="C3500" showDropDown="0" showInputMessage="0" showErrorMessage="0" allowBlank="0" type="list">
      <formula1>"Pauschale,Nachweis,Unbekannt"</formula1>
    </dataValidation>
    <dataValidation sqref="C3501" showDropDown="0" showInputMessage="0" showErrorMessage="0" allowBlank="0" type="list">
      <formula1>"Pauschale,Nachweis,Unbekannt"</formula1>
    </dataValidation>
    <dataValidation sqref="C3502" showDropDown="0" showInputMessage="0" showErrorMessage="0" allowBlank="0" type="list">
      <formula1>"Pauschale,Nachweis,Unbekannt"</formula1>
    </dataValidation>
    <dataValidation sqref="C3503" showDropDown="0" showInputMessage="0" showErrorMessage="0" allowBlank="0" type="list">
      <formula1>"Pauschale,Nachweis,Unbekannt"</formula1>
    </dataValidation>
    <dataValidation sqref="C3504" showDropDown="0" showInputMessage="0" showErrorMessage="0" allowBlank="0" type="list">
      <formula1>"Pauschale,Nachweis,Unbekannt"</formula1>
    </dataValidation>
    <dataValidation sqref="C3505" showDropDown="0" showInputMessage="0" showErrorMessage="0" allowBlank="0" type="list">
      <formula1>"Pauschale,Nachweis,Unbekannt"</formula1>
    </dataValidation>
    <dataValidation sqref="C3506" showDropDown="0" showInputMessage="0" showErrorMessage="0" allowBlank="0" type="list">
      <formula1>"Pauschale,Nachweis,Unbekannt"</formula1>
    </dataValidation>
    <dataValidation sqref="C3507" showDropDown="0" showInputMessage="0" showErrorMessage="0" allowBlank="0" type="list">
      <formula1>"Pauschale,Nachweis,Unbekannt"</formula1>
    </dataValidation>
    <dataValidation sqref="C3508" showDropDown="0" showInputMessage="0" showErrorMessage="0" allowBlank="0" type="list">
      <formula1>"Pauschale,Nachweis,Unbekannt"</formula1>
    </dataValidation>
    <dataValidation sqref="C3509" showDropDown="0" showInputMessage="0" showErrorMessage="0" allowBlank="0" type="list">
      <formula1>"Pauschale,Nachweis,Unbekannt"</formula1>
    </dataValidation>
    <dataValidation sqref="C3510" showDropDown="0" showInputMessage="0" showErrorMessage="0" allowBlank="0" type="list">
      <formula1>"Pauschale,Nachweis,Unbekannt"</formula1>
    </dataValidation>
    <dataValidation sqref="C3511" showDropDown="0" showInputMessage="0" showErrorMessage="0" allowBlank="0" type="list">
      <formula1>"Pauschale,Nachweis,Unbekannt"</formula1>
    </dataValidation>
    <dataValidation sqref="C3512" showDropDown="0" showInputMessage="0" showErrorMessage="0" allowBlank="0" type="list">
      <formula1>"Pauschale,Nachweis,Unbekannt"</formula1>
    </dataValidation>
    <dataValidation sqref="C3513" showDropDown="0" showInputMessage="0" showErrorMessage="0" allowBlank="0" type="list">
      <formula1>"Pauschale,Nachweis,Unbekannt"</formula1>
    </dataValidation>
    <dataValidation sqref="C3514" showDropDown="0" showInputMessage="0" showErrorMessage="0" allowBlank="0" type="list">
      <formula1>"Pauschale,Nachweis,Unbekannt"</formula1>
    </dataValidation>
    <dataValidation sqref="C3515" showDropDown="0" showInputMessage="0" showErrorMessage="0" allowBlank="0" type="list">
      <formula1>"Pauschale,Nachweis,Unbekannt"</formula1>
    </dataValidation>
    <dataValidation sqref="C3516" showDropDown="0" showInputMessage="0" showErrorMessage="0" allowBlank="0" type="list">
      <formula1>"Pauschale,Nachweis,Unbekannt"</formula1>
    </dataValidation>
    <dataValidation sqref="C3517" showDropDown="0" showInputMessage="0" showErrorMessage="0" allowBlank="0" type="list">
      <formula1>"Pauschale,Nachweis,Unbekannt"</formula1>
    </dataValidation>
    <dataValidation sqref="C3518" showDropDown="0" showInputMessage="0" showErrorMessage="0" allowBlank="0" type="list">
      <formula1>"Pauschale,Nachweis,Unbekannt"</formula1>
    </dataValidation>
    <dataValidation sqref="C3519" showDropDown="0" showInputMessage="0" showErrorMessage="0" allowBlank="0" type="list">
      <formula1>"Pauschale,Nachweis,Unbekannt"</formula1>
    </dataValidation>
    <dataValidation sqref="C3520" showDropDown="0" showInputMessage="0" showErrorMessage="0" allowBlank="0" type="list">
      <formula1>"Pauschale,Nachweis,Unbekannt"</formula1>
    </dataValidation>
    <dataValidation sqref="C3521" showDropDown="0" showInputMessage="0" showErrorMessage="0" allowBlank="0" type="list">
      <formula1>"Pauschale,Nachweis,Unbekannt"</formula1>
    </dataValidation>
    <dataValidation sqref="C3522" showDropDown="0" showInputMessage="0" showErrorMessage="0" allowBlank="0" type="list">
      <formula1>"Pauschale,Nachweis,Unbekannt"</formula1>
    </dataValidation>
    <dataValidation sqref="C3523" showDropDown="0" showInputMessage="0" showErrorMessage="0" allowBlank="0" type="list">
      <formula1>"Pauschale,Nachweis,Unbekannt"</formula1>
    </dataValidation>
    <dataValidation sqref="C3524" showDropDown="0" showInputMessage="0" showErrorMessage="0" allowBlank="0" type="list">
      <formula1>"Pauschale,Nachweis,Unbekannt"</formula1>
    </dataValidation>
    <dataValidation sqref="C3525" showDropDown="0" showInputMessage="0" showErrorMessage="0" allowBlank="0" type="list">
      <formula1>"Pauschale,Nachweis,Unbekannt"</formula1>
    </dataValidation>
    <dataValidation sqref="C3526" showDropDown="0" showInputMessage="0" showErrorMessage="0" allowBlank="0" type="list">
      <formula1>"Pauschale,Nachweis,Unbekannt"</formula1>
    </dataValidation>
    <dataValidation sqref="C3527" showDropDown="0" showInputMessage="0" showErrorMessage="0" allowBlank="0" type="list">
      <formula1>"Pauschale,Nachweis,Unbekannt"</formula1>
    </dataValidation>
    <dataValidation sqref="C3528" showDropDown="0" showInputMessage="0" showErrorMessage="0" allowBlank="0" type="list">
      <formula1>"Pauschale,Nachweis,Unbekannt"</formula1>
    </dataValidation>
    <dataValidation sqref="C3529" showDropDown="0" showInputMessage="0" showErrorMessage="0" allowBlank="0" type="list">
      <formula1>"Pauschale,Nachweis,Unbekannt"</formula1>
    </dataValidation>
    <dataValidation sqref="C3530" showDropDown="0" showInputMessage="0" showErrorMessage="0" allowBlank="0" type="list">
      <formula1>"Pauschale,Nachweis,Unbekannt"</formula1>
    </dataValidation>
    <dataValidation sqref="C3531" showDropDown="0" showInputMessage="0" showErrorMessage="0" allowBlank="0" type="list">
      <formula1>"Pauschale,Nachweis,Unbekannt"</formula1>
    </dataValidation>
    <dataValidation sqref="C3532" showDropDown="0" showInputMessage="0" showErrorMessage="0" allowBlank="0" type="list">
      <formula1>"Pauschale,Nachweis,Unbekannt"</formula1>
    </dataValidation>
    <dataValidation sqref="C3533" showDropDown="0" showInputMessage="0" showErrorMessage="0" allowBlank="0" type="list">
      <formula1>"Pauschale,Nachweis,Unbekannt"</formula1>
    </dataValidation>
    <dataValidation sqref="C3534" showDropDown="0" showInputMessage="0" showErrorMessage="0" allowBlank="0" type="list">
      <formula1>"Pauschale,Nachweis,Unbekannt"</formula1>
    </dataValidation>
    <dataValidation sqref="C3535" showDropDown="0" showInputMessage="0" showErrorMessage="0" allowBlank="0" type="list">
      <formula1>"Pauschale,Nachweis,Unbekannt"</formula1>
    </dataValidation>
    <dataValidation sqref="C3536" showDropDown="0" showInputMessage="0" showErrorMessage="0" allowBlank="0" type="list">
      <formula1>"Pauschale,Nachweis,Unbekannt"</formula1>
    </dataValidation>
    <dataValidation sqref="C3537" showDropDown="0" showInputMessage="0" showErrorMessage="0" allowBlank="0" type="list">
      <formula1>"Pauschale,Nachweis,Unbekannt"</formula1>
    </dataValidation>
    <dataValidation sqref="C3538" showDropDown="0" showInputMessage="0" showErrorMessage="0" allowBlank="0" type="list">
      <formula1>"Pauschale,Nachweis,Unbekannt"</formula1>
    </dataValidation>
    <dataValidation sqref="C3539" showDropDown="0" showInputMessage="0" showErrorMessage="0" allowBlank="0" type="list">
      <formula1>"Pauschale,Nachweis,Unbekannt"</formula1>
    </dataValidation>
    <dataValidation sqref="C3540" showDropDown="0" showInputMessage="0" showErrorMessage="0" allowBlank="0" type="list">
      <formula1>"Pauschale,Nachweis,Unbekannt"</formula1>
    </dataValidation>
    <dataValidation sqref="C3541" showDropDown="0" showInputMessage="0" showErrorMessage="0" allowBlank="0" type="list">
      <formula1>"Pauschale,Nachweis,Unbekannt"</formula1>
    </dataValidation>
    <dataValidation sqref="C3542" showDropDown="0" showInputMessage="0" showErrorMessage="0" allowBlank="0" type="list">
      <formula1>"Pauschale,Nachweis,Unbekannt"</formula1>
    </dataValidation>
    <dataValidation sqref="C3543" showDropDown="0" showInputMessage="0" showErrorMessage="0" allowBlank="0" type="list">
      <formula1>"Pauschale,Nachweis,Unbekannt"</formula1>
    </dataValidation>
    <dataValidation sqref="C3544" showDropDown="0" showInputMessage="0" showErrorMessage="0" allowBlank="0" type="list">
      <formula1>"Pauschale,Nachweis,Unbekannt"</formula1>
    </dataValidation>
    <dataValidation sqref="C3545" showDropDown="0" showInputMessage="0" showErrorMessage="0" allowBlank="0" type="list">
      <formula1>"Pauschale,Nachweis,Unbekannt"</formula1>
    </dataValidation>
    <dataValidation sqref="C3546" showDropDown="0" showInputMessage="0" showErrorMessage="0" allowBlank="0" type="list">
      <formula1>"Pauschale,Nachweis,Unbekannt"</formula1>
    </dataValidation>
    <dataValidation sqref="C3547" showDropDown="0" showInputMessage="0" showErrorMessage="0" allowBlank="0" type="list">
      <formula1>"Pauschale,Nachweis,Unbekannt"</formula1>
    </dataValidation>
    <dataValidation sqref="C3548" showDropDown="0" showInputMessage="0" showErrorMessage="0" allowBlank="0" type="list">
      <formula1>"Pauschale,Nachweis,Unbekannt"</formula1>
    </dataValidation>
    <dataValidation sqref="C3549" showDropDown="0" showInputMessage="0" showErrorMessage="0" allowBlank="0" type="list">
      <formula1>"Pauschale,Nachweis,Unbekannt"</formula1>
    </dataValidation>
    <dataValidation sqref="C3550" showDropDown="0" showInputMessage="0" showErrorMessage="0" allowBlank="0" type="list">
      <formula1>"Pauschale,Nachweis,Unbekannt"</formula1>
    </dataValidation>
    <dataValidation sqref="C3551" showDropDown="0" showInputMessage="0" showErrorMessage="0" allowBlank="0" type="list">
      <formula1>"Pauschale,Nachweis,Unbekannt"</formula1>
    </dataValidation>
    <dataValidation sqref="C3552" showDropDown="0" showInputMessage="0" showErrorMessage="0" allowBlank="0" type="list">
      <formula1>"Pauschale,Nachweis,Unbekannt"</formula1>
    </dataValidation>
    <dataValidation sqref="C3553" showDropDown="0" showInputMessage="0" showErrorMessage="0" allowBlank="0" type="list">
      <formula1>"Pauschale,Nachweis,Unbekannt"</formula1>
    </dataValidation>
    <dataValidation sqref="C3554" showDropDown="0" showInputMessage="0" showErrorMessage="0" allowBlank="0" type="list">
      <formula1>"Pauschale,Nachweis,Unbekannt"</formula1>
    </dataValidation>
    <dataValidation sqref="C3555" showDropDown="0" showInputMessage="0" showErrorMessage="0" allowBlank="0" type="list">
      <formula1>"Pauschale,Nachweis,Unbekannt"</formula1>
    </dataValidation>
    <dataValidation sqref="C3556" showDropDown="0" showInputMessage="0" showErrorMessage="0" allowBlank="0" type="list">
      <formula1>"Pauschale,Nachweis,Unbekannt"</formula1>
    </dataValidation>
    <dataValidation sqref="C3557" showDropDown="0" showInputMessage="0" showErrorMessage="0" allowBlank="0" type="list">
      <formula1>"Pauschale,Nachweis,Unbekannt"</formula1>
    </dataValidation>
    <dataValidation sqref="C3558" showDropDown="0" showInputMessage="0" showErrorMessage="0" allowBlank="0" type="list">
      <formula1>"Pauschale,Nachweis,Unbekannt"</formula1>
    </dataValidation>
    <dataValidation sqref="C3559" showDropDown="0" showInputMessage="0" showErrorMessage="0" allowBlank="0" type="list">
      <formula1>"Pauschale,Nachweis,Unbekannt"</formula1>
    </dataValidation>
    <dataValidation sqref="C3560" showDropDown="0" showInputMessage="0" showErrorMessage="0" allowBlank="0" type="list">
      <formula1>"Pauschale,Nachweis,Unbekannt"</formula1>
    </dataValidation>
    <dataValidation sqref="C3561" showDropDown="0" showInputMessage="0" showErrorMessage="0" allowBlank="0" type="list">
      <formula1>"Pauschale,Nachweis,Unbekannt"</formula1>
    </dataValidation>
    <dataValidation sqref="C3562" showDropDown="0" showInputMessage="0" showErrorMessage="0" allowBlank="0" type="list">
      <formula1>"Pauschale,Nachweis,Unbekannt"</formula1>
    </dataValidation>
    <dataValidation sqref="C3563" showDropDown="0" showInputMessage="0" showErrorMessage="0" allowBlank="0" type="list">
      <formula1>"Pauschale,Nachweis,Unbekannt"</formula1>
    </dataValidation>
    <dataValidation sqref="C3564" showDropDown="0" showInputMessage="0" showErrorMessage="0" allowBlank="0" type="list">
      <formula1>"Pauschale,Nachweis,Unbekannt"</formula1>
    </dataValidation>
    <dataValidation sqref="C3565" showDropDown="0" showInputMessage="0" showErrorMessage="0" allowBlank="0" type="list">
      <formula1>"Pauschale,Nachweis,Unbekannt"</formula1>
    </dataValidation>
    <dataValidation sqref="C3566" showDropDown="0" showInputMessage="0" showErrorMessage="0" allowBlank="0" type="list">
      <formula1>"Pauschale,Nachweis,Unbekannt"</formula1>
    </dataValidation>
    <dataValidation sqref="C3567" showDropDown="0" showInputMessage="0" showErrorMessage="0" allowBlank="0" type="list">
      <formula1>"Pauschale,Nachweis,Unbekannt"</formula1>
    </dataValidation>
    <dataValidation sqref="C3568" showDropDown="0" showInputMessage="0" showErrorMessage="0" allowBlank="0" type="list">
      <formula1>"Pauschale,Nachweis,Unbekannt"</formula1>
    </dataValidation>
    <dataValidation sqref="C3569" showDropDown="0" showInputMessage="0" showErrorMessage="0" allowBlank="0" type="list">
      <formula1>"Pauschale,Nachweis,Unbekannt"</formula1>
    </dataValidation>
    <dataValidation sqref="C3570" showDropDown="0" showInputMessage="0" showErrorMessage="0" allowBlank="0" type="list">
      <formula1>"Pauschale,Nachweis,Unbekannt"</formula1>
    </dataValidation>
    <dataValidation sqref="C3571" showDropDown="0" showInputMessage="0" showErrorMessage="0" allowBlank="0" type="list">
      <formula1>"Pauschale,Nachweis,Unbekannt"</formula1>
    </dataValidation>
    <dataValidation sqref="C3572" showDropDown="0" showInputMessage="0" showErrorMessage="0" allowBlank="0" type="list">
      <formula1>"Pauschale,Nachweis,Unbekannt"</formula1>
    </dataValidation>
    <dataValidation sqref="C3573" showDropDown="0" showInputMessage="0" showErrorMessage="0" allowBlank="0" type="list">
      <formula1>"Pauschale,Nachweis,Unbekannt"</formula1>
    </dataValidation>
    <dataValidation sqref="C3574" showDropDown="0" showInputMessage="0" showErrorMessage="0" allowBlank="0" type="list">
      <formula1>"Pauschale,Nachweis,Unbekannt"</formula1>
    </dataValidation>
    <dataValidation sqref="C3575" showDropDown="0" showInputMessage="0" showErrorMessage="0" allowBlank="0" type="list">
      <formula1>"Pauschale,Nachweis,Unbekannt"</formula1>
    </dataValidation>
    <dataValidation sqref="C3576" showDropDown="0" showInputMessage="0" showErrorMessage="0" allowBlank="0" type="list">
      <formula1>"Pauschale,Nachweis,Unbekannt"</formula1>
    </dataValidation>
    <dataValidation sqref="C3577" showDropDown="0" showInputMessage="0" showErrorMessage="0" allowBlank="0" type="list">
      <formula1>"Pauschale,Nachweis,Unbekannt"</formula1>
    </dataValidation>
    <dataValidation sqref="C3578" showDropDown="0" showInputMessage="0" showErrorMessage="0" allowBlank="0" type="list">
      <formula1>"Pauschale,Nachweis,Unbekannt"</formula1>
    </dataValidation>
    <dataValidation sqref="C3579" showDropDown="0" showInputMessage="0" showErrorMessage="0" allowBlank="0" type="list">
      <formula1>"Pauschale,Nachweis,Unbekannt"</formula1>
    </dataValidation>
    <dataValidation sqref="C3580" showDropDown="0" showInputMessage="0" showErrorMessage="0" allowBlank="0" type="list">
      <formula1>"Pauschale,Nachweis,Unbekannt"</formula1>
    </dataValidation>
    <dataValidation sqref="C3581" showDropDown="0" showInputMessage="0" showErrorMessage="0" allowBlank="0" type="list">
      <formula1>"Pauschale,Nachweis,Unbekannt"</formula1>
    </dataValidation>
    <dataValidation sqref="C3582" showDropDown="0" showInputMessage="0" showErrorMessage="0" allowBlank="0" type="list">
      <formula1>"Pauschale,Nachweis,Unbekannt"</formula1>
    </dataValidation>
    <dataValidation sqref="C3583" showDropDown="0" showInputMessage="0" showErrorMessage="0" allowBlank="0" type="list">
      <formula1>"Pauschale,Nachweis,Unbekannt"</formula1>
    </dataValidation>
    <dataValidation sqref="C3584" showDropDown="0" showInputMessage="0" showErrorMessage="0" allowBlank="0" type="list">
      <formula1>"Pauschale,Nachweis,Unbekannt"</formula1>
    </dataValidation>
    <dataValidation sqref="C3585" showDropDown="0" showInputMessage="0" showErrorMessage="0" allowBlank="0" type="list">
      <formula1>"Pauschale,Nachweis,Unbekannt"</formula1>
    </dataValidation>
    <dataValidation sqref="C3586" showDropDown="0" showInputMessage="0" showErrorMessage="0" allowBlank="0" type="list">
      <formula1>"Pauschale,Nachweis,Unbekannt"</formula1>
    </dataValidation>
    <dataValidation sqref="C3587" showDropDown="0" showInputMessage="0" showErrorMessage="0" allowBlank="0" type="list">
      <formula1>"Pauschale,Nachweis,Unbekannt"</formula1>
    </dataValidation>
    <dataValidation sqref="C3588" showDropDown="0" showInputMessage="0" showErrorMessage="0" allowBlank="0" type="list">
      <formula1>"Pauschale,Nachweis,Unbekannt"</formula1>
    </dataValidation>
    <dataValidation sqref="C3589" showDropDown="0" showInputMessage="0" showErrorMessage="0" allowBlank="0" type="list">
      <formula1>"Pauschale,Nachweis,Unbekannt"</formula1>
    </dataValidation>
    <dataValidation sqref="C3590" showDropDown="0" showInputMessage="0" showErrorMessage="0" allowBlank="0" type="list">
      <formula1>"Pauschale,Nachweis,Unbekannt"</formula1>
    </dataValidation>
    <dataValidation sqref="C3591" showDropDown="0" showInputMessage="0" showErrorMessage="0" allowBlank="0" type="list">
      <formula1>"Pauschale,Nachweis,Unbekannt"</formula1>
    </dataValidation>
    <dataValidation sqref="C3592" showDropDown="0" showInputMessage="0" showErrorMessage="0" allowBlank="0" type="list">
      <formula1>"Pauschale,Nachweis,Unbekannt"</formula1>
    </dataValidation>
    <dataValidation sqref="C3593" showDropDown="0" showInputMessage="0" showErrorMessage="0" allowBlank="0" type="list">
      <formula1>"Pauschale,Nachweis,Unbekannt"</formula1>
    </dataValidation>
    <dataValidation sqref="C3594" showDropDown="0" showInputMessage="0" showErrorMessage="0" allowBlank="0" type="list">
      <formula1>"Pauschale,Nachweis,Unbekannt"</formula1>
    </dataValidation>
    <dataValidation sqref="C3595" showDropDown="0" showInputMessage="0" showErrorMessage="0" allowBlank="0" type="list">
      <formula1>"Pauschale,Nachweis,Unbekannt"</formula1>
    </dataValidation>
    <dataValidation sqref="C3596" showDropDown="0" showInputMessage="0" showErrorMessage="0" allowBlank="0" type="list">
      <formula1>"Pauschale,Nachweis,Unbekannt"</formula1>
    </dataValidation>
    <dataValidation sqref="C3597" showDropDown="0" showInputMessage="0" showErrorMessage="0" allowBlank="0" type="list">
      <formula1>"Pauschale,Nachweis,Unbekannt"</formula1>
    </dataValidation>
    <dataValidation sqref="C3598" showDropDown="0" showInputMessage="0" showErrorMessage="0" allowBlank="0" type="list">
      <formula1>"Pauschale,Nachweis,Unbekannt"</formula1>
    </dataValidation>
    <dataValidation sqref="C3599" showDropDown="0" showInputMessage="0" showErrorMessage="0" allowBlank="0" type="list">
      <formula1>"Pauschale,Nachweis,Unbekannt"</formula1>
    </dataValidation>
    <dataValidation sqref="C3600" showDropDown="0" showInputMessage="0" showErrorMessage="0" allowBlank="0" type="list">
      <formula1>"Pauschale,Nachweis,Unbekannt"</formula1>
    </dataValidation>
    <dataValidation sqref="C3601" showDropDown="0" showInputMessage="0" showErrorMessage="0" allowBlank="0" type="list">
      <formula1>"Pauschale,Nachweis,Unbekannt"</formula1>
    </dataValidation>
    <dataValidation sqref="C3602" showDropDown="0" showInputMessage="0" showErrorMessage="0" allowBlank="0" type="list">
      <formula1>"Pauschale,Nachweis,Unbekannt"</formula1>
    </dataValidation>
    <dataValidation sqref="C3603" showDropDown="0" showInputMessage="0" showErrorMessage="0" allowBlank="0" type="list">
      <formula1>"Pauschale,Nachweis,Unbekannt"</formula1>
    </dataValidation>
    <dataValidation sqref="C3604" showDropDown="0" showInputMessage="0" showErrorMessage="0" allowBlank="0" type="list">
      <formula1>"Pauschale,Nachweis,Unbekannt"</formula1>
    </dataValidation>
    <dataValidation sqref="C3605" showDropDown="0" showInputMessage="0" showErrorMessage="0" allowBlank="0" type="list">
      <formula1>"Pauschale,Nachweis,Unbekannt"</formula1>
    </dataValidation>
    <dataValidation sqref="C3606" showDropDown="0" showInputMessage="0" showErrorMessage="0" allowBlank="0" type="list">
      <formula1>"Pauschale,Nachweis,Unbekannt"</formula1>
    </dataValidation>
    <dataValidation sqref="C3607" showDropDown="0" showInputMessage="0" showErrorMessage="0" allowBlank="0" type="list">
      <formula1>"Pauschale,Nachweis,Unbekannt"</formula1>
    </dataValidation>
    <dataValidation sqref="C3608" showDropDown="0" showInputMessage="0" showErrorMessage="0" allowBlank="0" type="list">
      <formula1>"Pauschale,Nachweis,Unbekannt"</formula1>
    </dataValidation>
    <dataValidation sqref="C3609" showDropDown="0" showInputMessage="0" showErrorMessage="0" allowBlank="0" type="list">
      <formula1>"Pauschale,Nachweis,Unbekannt"</formula1>
    </dataValidation>
    <dataValidation sqref="C3610" showDropDown="0" showInputMessage="0" showErrorMessage="0" allowBlank="0" type="list">
      <formula1>"Pauschale,Nachweis,Unbekannt"</formula1>
    </dataValidation>
    <dataValidation sqref="C3611" showDropDown="0" showInputMessage="0" showErrorMessage="0" allowBlank="0" type="list">
      <formula1>"Pauschale,Nachweis,Unbekannt"</formula1>
    </dataValidation>
    <dataValidation sqref="C3612" showDropDown="0" showInputMessage="0" showErrorMessage="0" allowBlank="0" type="list">
      <formula1>"Pauschale,Nachweis,Unbekannt"</formula1>
    </dataValidation>
    <dataValidation sqref="C3613" showDropDown="0" showInputMessage="0" showErrorMessage="0" allowBlank="0" type="list">
      <formula1>"Pauschale,Nachweis,Unbekannt"</formula1>
    </dataValidation>
    <dataValidation sqref="C3614" showDropDown="0" showInputMessage="0" showErrorMessage="0" allowBlank="0" type="list">
      <formula1>"Pauschale,Nachweis,Unbekannt"</formula1>
    </dataValidation>
    <dataValidation sqref="C3615" showDropDown="0" showInputMessage="0" showErrorMessage="0" allowBlank="0" type="list">
      <formula1>"Pauschale,Nachweis,Unbekannt"</formula1>
    </dataValidation>
    <dataValidation sqref="C3616" showDropDown="0" showInputMessage="0" showErrorMessage="0" allowBlank="0" type="list">
      <formula1>"Pauschale,Nachweis,Unbekannt"</formula1>
    </dataValidation>
    <dataValidation sqref="C3617" showDropDown="0" showInputMessage="0" showErrorMessage="0" allowBlank="0" type="list">
      <formula1>"Pauschale,Nachweis,Unbekannt"</formula1>
    </dataValidation>
    <dataValidation sqref="C3618" showDropDown="0" showInputMessage="0" showErrorMessage="0" allowBlank="0" type="list">
      <formula1>"Pauschale,Nachweis,Unbekannt"</formula1>
    </dataValidation>
    <dataValidation sqref="C3619" showDropDown="0" showInputMessage="0" showErrorMessage="0" allowBlank="0" type="list">
      <formula1>"Pauschale,Nachweis,Unbekannt"</formula1>
    </dataValidation>
    <dataValidation sqref="C3620" showDropDown="0" showInputMessage="0" showErrorMessage="0" allowBlank="0" type="list">
      <formula1>"Pauschale,Nachweis,Unbekannt"</formula1>
    </dataValidation>
    <dataValidation sqref="C3621" showDropDown="0" showInputMessage="0" showErrorMessage="0" allowBlank="0" type="list">
      <formula1>"Pauschale,Nachweis,Unbekannt"</formula1>
    </dataValidation>
    <dataValidation sqref="C3622" showDropDown="0" showInputMessage="0" showErrorMessage="0" allowBlank="0" type="list">
      <formula1>"Pauschale,Nachweis,Unbekannt"</formula1>
    </dataValidation>
    <dataValidation sqref="C3623" showDropDown="0" showInputMessage="0" showErrorMessage="0" allowBlank="0" type="list">
      <formula1>"Pauschale,Nachweis,Unbekannt"</formula1>
    </dataValidation>
    <dataValidation sqref="C3624" showDropDown="0" showInputMessage="0" showErrorMessage="0" allowBlank="0" type="list">
      <formula1>"Pauschale,Nachweis,Unbekannt"</formula1>
    </dataValidation>
    <dataValidation sqref="C3625" showDropDown="0" showInputMessage="0" showErrorMessage="0" allowBlank="0" type="list">
      <formula1>"Pauschale,Nachweis,Unbekannt"</formula1>
    </dataValidation>
    <dataValidation sqref="C3626" showDropDown="0" showInputMessage="0" showErrorMessage="0" allowBlank="0" type="list">
      <formula1>"Pauschale,Nachweis,Unbekannt"</formula1>
    </dataValidation>
    <dataValidation sqref="C3627" showDropDown="0" showInputMessage="0" showErrorMessage="0" allowBlank="0" type="list">
      <formula1>"Pauschale,Nachweis,Unbekannt"</formula1>
    </dataValidation>
    <dataValidation sqref="C3628" showDropDown="0" showInputMessage="0" showErrorMessage="0" allowBlank="0" type="list">
      <formula1>"Pauschale,Nachweis,Unbekannt"</formula1>
    </dataValidation>
    <dataValidation sqref="C3629" showDropDown="0" showInputMessage="0" showErrorMessage="0" allowBlank="0" type="list">
      <formula1>"Pauschale,Nachweis,Unbekannt"</formula1>
    </dataValidation>
    <dataValidation sqref="C3630" showDropDown="0" showInputMessage="0" showErrorMessage="0" allowBlank="0" type="list">
      <formula1>"Pauschale,Nachweis,Unbekannt"</formula1>
    </dataValidation>
    <dataValidation sqref="C3631" showDropDown="0" showInputMessage="0" showErrorMessage="0" allowBlank="0" type="list">
      <formula1>"Pauschale,Nachweis,Unbekannt"</formula1>
    </dataValidation>
    <dataValidation sqref="C3632" showDropDown="0" showInputMessage="0" showErrorMessage="0" allowBlank="0" type="list">
      <formula1>"Pauschale,Nachweis,Unbekannt"</formula1>
    </dataValidation>
    <dataValidation sqref="C3633" showDropDown="0" showInputMessage="0" showErrorMessage="0" allowBlank="0" type="list">
      <formula1>"Pauschale,Nachweis,Unbekannt"</formula1>
    </dataValidation>
    <dataValidation sqref="C3634" showDropDown="0" showInputMessage="0" showErrorMessage="0" allowBlank="0" type="list">
      <formula1>"Pauschale,Nachweis,Unbekannt"</formula1>
    </dataValidation>
    <dataValidation sqref="C3635" showDropDown="0" showInputMessage="0" showErrorMessage="0" allowBlank="0" type="list">
      <formula1>"Pauschale,Nachweis,Unbekannt"</formula1>
    </dataValidation>
    <dataValidation sqref="C3636" showDropDown="0" showInputMessage="0" showErrorMessage="0" allowBlank="0" type="list">
      <formula1>"Pauschale,Nachweis,Unbekannt"</formula1>
    </dataValidation>
    <dataValidation sqref="C3637" showDropDown="0" showInputMessage="0" showErrorMessage="0" allowBlank="0" type="list">
      <formula1>"Pauschale,Nachweis,Unbekannt"</formula1>
    </dataValidation>
    <dataValidation sqref="C3638" showDropDown="0" showInputMessage="0" showErrorMessage="0" allowBlank="0" type="list">
      <formula1>"Pauschale,Nachweis,Unbekannt"</formula1>
    </dataValidation>
    <dataValidation sqref="C3639" showDropDown="0" showInputMessage="0" showErrorMessage="0" allowBlank="0" type="list">
      <formula1>"Pauschale,Nachweis,Unbekannt"</formula1>
    </dataValidation>
    <dataValidation sqref="C3640" showDropDown="0" showInputMessage="0" showErrorMessage="0" allowBlank="0" type="list">
      <formula1>"Pauschale,Nachweis,Unbekannt"</formula1>
    </dataValidation>
    <dataValidation sqref="C3641" showDropDown="0" showInputMessage="0" showErrorMessage="0" allowBlank="0" type="list">
      <formula1>"Pauschale,Nachweis,Unbekannt"</formula1>
    </dataValidation>
    <dataValidation sqref="C3642" showDropDown="0" showInputMessage="0" showErrorMessage="0" allowBlank="0" type="list">
      <formula1>"Pauschale,Nachweis,Unbekannt"</formula1>
    </dataValidation>
    <dataValidation sqref="C3643" showDropDown="0" showInputMessage="0" showErrorMessage="0" allowBlank="0" type="list">
      <formula1>"Pauschale,Nachweis,Unbekannt"</formula1>
    </dataValidation>
    <dataValidation sqref="C3644" showDropDown="0" showInputMessage="0" showErrorMessage="0" allowBlank="0" type="list">
      <formula1>"Pauschale,Nachweis,Unbekannt"</formula1>
    </dataValidation>
    <dataValidation sqref="C3645" showDropDown="0" showInputMessage="0" showErrorMessage="0" allowBlank="0" type="list">
      <formula1>"Pauschale,Nachweis,Unbekannt"</formula1>
    </dataValidation>
    <dataValidation sqref="C3646" showDropDown="0" showInputMessage="0" showErrorMessage="0" allowBlank="0" type="list">
      <formula1>"Pauschale,Nachweis,Unbekannt"</formula1>
    </dataValidation>
    <dataValidation sqref="C3647" showDropDown="0" showInputMessage="0" showErrorMessage="0" allowBlank="0" type="list">
      <formula1>"Pauschale,Nachweis,Unbekannt"</formula1>
    </dataValidation>
    <dataValidation sqref="C3648" showDropDown="0" showInputMessage="0" showErrorMessage="0" allowBlank="0" type="list">
      <formula1>"Pauschale,Nachweis,Unbekannt"</formula1>
    </dataValidation>
    <dataValidation sqref="C3649" showDropDown="0" showInputMessage="0" showErrorMessage="0" allowBlank="0" type="list">
      <formula1>"Pauschale,Nachweis,Unbekannt"</formula1>
    </dataValidation>
    <dataValidation sqref="C3650" showDropDown="0" showInputMessage="0" showErrorMessage="0" allowBlank="0" type="list">
      <formula1>"Pauschale,Nachweis,Unbekannt"</formula1>
    </dataValidation>
    <dataValidation sqref="C3651" showDropDown="0" showInputMessage="0" showErrorMessage="0" allowBlank="0" type="list">
      <formula1>"Pauschale,Nachweis,Unbekannt"</formula1>
    </dataValidation>
    <dataValidation sqref="C3652" showDropDown="0" showInputMessage="0" showErrorMessage="0" allowBlank="0" type="list">
      <formula1>"Pauschale,Nachweis,Unbekannt"</formula1>
    </dataValidation>
    <dataValidation sqref="C3653" showDropDown="0" showInputMessage="0" showErrorMessage="0" allowBlank="0" type="list">
      <formula1>"Pauschale,Nachweis,Unbekannt"</formula1>
    </dataValidation>
    <dataValidation sqref="C3654" showDropDown="0" showInputMessage="0" showErrorMessage="0" allowBlank="0" type="list">
      <formula1>"Pauschale,Nachweis,Unbekannt"</formula1>
    </dataValidation>
    <dataValidation sqref="C3655" showDropDown="0" showInputMessage="0" showErrorMessage="0" allowBlank="0" type="list">
      <formula1>"Pauschale,Nachweis,Unbekannt"</formula1>
    </dataValidation>
    <dataValidation sqref="C3656" showDropDown="0" showInputMessage="0" showErrorMessage="0" allowBlank="0" type="list">
      <formula1>"Pauschale,Nachweis,Unbekannt"</formula1>
    </dataValidation>
    <dataValidation sqref="C3657" showDropDown="0" showInputMessage="0" showErrorMessage="0" allowBlank="0" type="list">
      <formula1>"Pauschale,Nachweis,Unbekannt"</formula1>
    </dataValidation>
    <dataValidation sqref="C3658" showDropDown="0" showInputMessage="0" showErrorMessage="0" allowBlank="0" type="list">
      <formula1>"Pauschale,Nachweis,Unbekannt"</formula1>
    </dataValidation>
    <dataValidation sqref="C3659" showDropDown="0" showInputMessage="0" showErrorMessage="0" allowBlank="0" type="list">
      <formula1>"Pauschale,Nachweis,Unbekannt"</formula1>
    </dataValidation>
    <dataValidation sqref="C3660" showDropDown="0" showInputMessage="0" showErrorMessage="0" allowBlank="0" type="list">
      <formula1>"Pauschale,Nachweis,Unbekannt"</formula1>
    </dataValidation>
    <dataValidation sqref="C3661" showDropDown="0" showInputMessage="0" showErrorMessage="0" allowBlank="0" type="list">
      <formula1>"Pauschale,Nachweis,Unbekannt"</formula1>
    </dataValidation>
    <dataValidation sqref="C3662" showDropDown="0" showInputMessage="0" showErrorMessage="0" allowBlank="0" type="list">
      <formula1>"Pauschale,Nachweis,Unbekannt"</formula1>
    </dataValidation>
    <dataValidation sqref="C3663" showDropDown="0" showInputMessage="0" showErrorMessage="0" allowBlank="0" type="list">
      <formula1>"Pauschale,Nachweis,Unbekannt"</formula1>
    </dataValidation>
    <dataValidation sqref="C3664" showDropDown="0" showInputMessage="0" showErrorMessage="0" allowBlank="0" type="list">
      <formula1>"Pauschale,Nachweis,Unbekannt"</formula1>
    </dataValidation>
    <dataValidation sqref="C3665" showDropDown="0" showInputMessage="0" showErrorMessage="0" allowBlank="0" type="list">
      <formula1>"Pauschale,Nachweis,Unbekannt"</formula1>
    </dataValidation>
    <dataValidation sqref="C3666" showDropDown="0" showInputMessage="0" showErrorMessage="0" allowBlank="0" type="list">
      <formula1>"Pauschale,Nachweis,Unbekannt"</formula1>
    </dataValidation>
    <dataValidation sqref="C3667" showDropDown="0" showInputMessage="0" showErrorMessage="0" allowBlank="0" type="list">
      <formula1>"Pauschale,Nachweis,Unbekannt"</formula1>
    </dataValidation>
    <dataValidation sqref="C3668" showDropDown="0" showInputMessage="0" showErrorMessage="0" allowBlank="0" type="list">
      <formula1>"Pauschale,Nachweis,Unbekannt"</formula1>
    </dataValidation>
    <dataValidation sqref="C3669" showDropDown="0" showInputMessage="0" showErrorMessage="0" allowBlank="0" type="list">
      <formula1>"Pauschale,Nachweis,Unbekannt"</formula1>
    </dataValidation>
    <dataValidation sqref="C3670" showDropDown="0" showInputMessage="0" showErrorMessage="0" allowBlank="0" type="list">
      <formula1>"Pauschale,Nachweis,Unbekannt"</formula1>
    </dataValidation>
    <dataValidation sqref="C3671" showDropDown="0" showInputMessage="0" showErrorMessage="0" allowBlank="0" type="list">
      <formula1>"Pauschale,Nachweis,Unbekannt"</formula1>
    </dataValidation>
    <dataValidation sqref="C3672" showDropDown="0" showInputMessage="0" showErrorMessage="0" allowBlank="0" type="list">
      <formula1>"Pauschale,Nachweis,Unbekannt"</formula1>
    </dataValidation>
    <dataValidation sqref="C3673" showDropDown="0" showInputMessage="0" showErrorMessage="0" allowBlank="0" type="list">
      <formula1>"Pauschale,Nachweis,Unbekannt"</formula1>
    </dataValidation>
    <dataValidation sqref="C3674" showDropDown="0" showInputMessage="0" showErrorMessage="0" allowBlank="0" type="list">
      <formula1>"Pauschale,Nachweis,Unbekannt"</formula1>
    </dataValidation>
    <dataValidation sqref="C3675" showDropDown="0" showInputMessage="0" showErrorMessage="0" allowBlank="0" type="list">
      <formula1>"Pauschale,Nachweis,Unbekannt"</formula1>
    </dataValidation>
    <dataValidation sqref="C3676" showDropDown="0" showInputMessage="0" showErrorMessage="0" allowBlank="0" type="list">
      <formula1>"Pauschale,Nachweis,Unbekannt"</formula1>
    </dataValidation>
    <dataValidation sqref="C3677" showDropDown="0" showInputMessage="0" showErrorMessage="0" allowBlank="0" type="list">
      <formula1>"Pauschale,Nachweis,Unbekannt"</formula1>
    </dataValidation>
    <dataValidation sqref="C3678" showDropDown="0" showInputMessage="0" showErrorMessage="0" allowBlank="0" type="list">
      <formula1>"Pauschale,Nachweis,Unbekannt"</formula1>
    </dataValidation>
    <dataValidation sqref="C3679" showDropDown="0" showInputMessage="0" showErrorMessage="0" allowBlank="0" type="list">
      <formula1>"Pauschale,Nachweis,Unbekannt"</formula1>
    </dataValidation>
    <dataValidation sqref="C3680" showDropDown="0" showInputMessage="0" showErrorMessage="0" allowBlank="0" type="list">
      <formula1>"Pauschale,Nachweis,Unbekannt"</formula1>
    </dataValidation>
    <dataValidation sqref="C3681" showDropDown="0" showInputMessage="0" showErrorMessage="0" allowBlank="0" type="list">
      <formula1>"Pauschale,Nachweis,Unbekannt"</formula1>
    </dataValidation>
    <dataValidation sqref="C3682" showDropDown="0" showInputMessage="0" showErrorMessage="0" allowBlank="0" type="list">
      <formula1>"Pauschale,Nachweis,Unbekannt"</formula1>
    </dataValidation>
    <dataValidation sqref="C3683" showDropDown="0" showInputMessage="0" showErrorMessage="0" allowBlank="0" type="list">
      <formula1>"Pauschale,Nachweis,Unbekannt"</formula1>
    </dataValidation>
    <dataValidation sqref="C3684" showDropDown="0" showInputMessage="0" showErrorMessage="0" allowBlank="0" type="list">
      <formula1>"Pauschale,Nachweis,Unbekannt"</formula1>
    </dataValidation>
    <dataValidation sqref="C3685" showDropDown="0" showInputMessage="0" showErrorMessage="0" allowBlank="0" type="list">
      <formula1>"Pauschale,Nachweis,Unbekannt"</formula1>
    </dataValidation>
    <dataValidation sqref="C3686" showDropDown="0" showInputMessage="0" showErrorMessage="0" allowBlank="0" type="list">
      <formula1>"Pauschale,Nachweis,Unbekannt"</formula1>
    </dataValidation>
    <dataValidation sqref="C3687" showDropDown="0" showInputMessage="0" showErrorMessage="0" allowBlank="0" type="list">
      <formula1>"Pauschale,Nachweis,Unbekannt"</formula1>
    </dataValidation>
    <dataValidation sqref="C3688" showDropDown="0" showInputMessage="0" showErrorMessage="0" allowBlank="0" type="list">
      <formula1>"Pauschale,Nachweis,Unbekannt"</formula1>
    </dataValidation>
    <dataValidation sqref="C3689" showDropDown="0" showInputMessage="0" showErrorMessage="0" allowBlank="0" type="list">
      <formula1>"Pauschale,Nachweis,Unbekannt"</formula1>
    </dataValidation>
    <dataValidation sqref="C3690" showDropDown="0" showInputMessage="0" showErrorMessage="0" allowBlank="0" type="list">
      <formula1>"Pauschale,Nachweis,Unbekannt"</formula1>
    </dataValidation>
    <dataValidation sqref="C3691" showDropDown="0" showInputMessage="0" showErrorMessage="0" allowBlank="0" type="list">
      <formula1>"Pauschale,Nachweis,Unbekannt"</formula1>
    </dataValidation>
    <dataValidation sqref="C3692" showDropDown="0" showInputMessage="0" showErrorMessage="0" allowBlank="0" type="list">
      <formula1>"Pauschale,Nachweis,Unbekannt"</formula1>
    </dataValidation>
    <dataValidation sqref="C3693" showDropDown="0" showInputMessage="0" showErrorMessage="0" allowBlank="0" type="list">
      <formula1>"Pauschale,Nachweis,Unbekannt"</formula1>
    </dataValidation>
    <dataValidation sqref="C3694" showDropDown="0" showInputMessage="0" showErrorMessage="0" allowBlank="0" type="list">
      <formula1>"Pauschale,Nachweis,Unbekannt"</formula1>
    </dataValidation>
    <dataValidation sqref="C3695" showDropDown="0" showInputMessage="0" showErrorMessage="0" allowBlank="0" type="list">
      <formula1>"Pauschale,Nachweis,Unbekannt"</formula1>
    </dataValidation>
    <dataValidation sqref="C3696" showDropDown="0" showInputMessage="0" showErrorMessage="0" allowBlank="0" type="list">
      <formula1>"Pauschale,Nachweis,Unbekannt"</formula1>
    </dataValidation>
    <dataValidation sqref="C3697" showDropDown="0" showInputMessage="0" showErrorMessage="0" allowBlank="0" type="list">
      <formula1>"Pauschale,Nachweis,Unbekannt"</formula1>
    </dataValidation>
    <dataValidation sqref="C3698" showDropDown="0" showInputMessage="0" showErrorMessage="0" allowBlank="0" type="list">
      <formula1>"Pauschale,Nachweis,Unbekannt"</formula1>
    </dataValidation>
    <dataValidation sqref="C3699" showDropDown="0" showInputMessage="0" showErrorMessage="0" allowBlank="0" type="list">
      <formula1>"Pauschale,Nachweis,Unbekannt"</formula1>
    </dataValidation>
    <dataValidation sqref="C3700" showDropDown="0" showInputMessage="0" showErrorMessage="0" allowBlank="0" type="list">
      <formula1>"Pauschale,Nachweis,Unbekannt"</formula1>
    </dataValidation>
    <dataValidation sqref="C3701" showDropDown="0" showInputMessage="0" showErrorMessage="0" allowBlank="0" type="list">
      <formula1>"Pauschale,Nachweis,Unbekannt"</formula1>
    </dataValidation>
    <dataValidation sqref="C3702" showDropDown="0" showInputMessage="0" showErrorMessage="0" allowBlank="0" type="list">
      <formula1>"Pauschale,Nachweis,Unbekannt"</formula1>
    </dataValidation>
    <dataValidation sqref="C3703" showDropDown="0" showInputMessage="0" showErrorMessage="0" allowBlank="0" type="list">
      <formula1>"Pauschale,Nachweis,Unbekannt"</formula1>
    </dataValidation>
    <dataValidation sqref="C3704" showDropDown="0" showInputMessage="0" showErrorMessage="0" allowBlank="0" type="list">
      <formula1>"Pauschale,Nachweis,Unbekannt"</formula1>
    </dataValidation>
    <dataValidation sqref="C3705" showDropDown="0" showInputMessage="0" showErrorMessage="0" allowBlank="0" type="list">
      <formula1>"Pauschale,Nachweis,Unbekannt"</formula1>
    </dataValidation>
    <dataValidation sqref="C3706" showDropDown="0" showInputMessage="0" showErrorMessage="0" allowBlank="0" type="list">
      <formula1>"Pauschale,Nachweis,Unbekannt"</formula1>
    </dataValidation>
    <dataValidation sqref="C3707" showDropDown="0" showInputMessage="0" showErrorMessage="0" allowBlank="0" type="list">
      <formula1>"Pauschale,Nachweis,Unbekannt"</formula1>
    </dataValidation>
    <dataValidation sqref="C3708" showDropDown="0" showInputMessage="0" showErrorMessage="0" allowBlank="0" type="list">
      <formula1>"Pauschale,Nachweis,Unbekannt"</formula1>
    </dataValidation>
    <dataValidation sqref="C3709" showDropDown="0" showInputMessage="0" showErrorMessage="0" allowBlank="0" type="list">
      <formula1>"Pauschale,Nachweis,Unbekannt"</formula1>
    </dataValidation>
    <dataValidation sqref="C3710" showDropDown="0" showInputMessage="0" showErrorMessage="0" allowBlank="0" type="list">
      <formula1>"Pauschale,Nachweis,Unbekannt"</formula1>
    </dataValidation>
    <dataValidation sqref="C3711" showDropDown="0" showInputMessage="0" showErrorMessage="0" allowBlank="0" type="list">
      <formula1>"Pauschale,Nachweis,Unbekannt"</formula1>
    </dataValidation>
    <dataValidation sqref="C3712" showDropDown="0" showInputMessage="0" showErrorMessage="0" allowBlank="0" type="list">
      <formula1>"Pauschale,Nachweis,Unbekannt"</formula1>
    </dataValidation>
    <dataValidation sqref="C3713" showDropDown="0" showInputMessage="0" showErrorMessage="0" allowBlank="0" type="list">
      <formula1>"Pauschale,Nachweis,Unbekannt"</formula1>
    </dataValidation>
    <dataValidation sqref="C3714" showDropDown="0" showInputMessage="0" showErrorMessage="0" allowBlank="0" type="list">
      <formula1>"Pauschale,Nachweis,Unbekannt"</formula1>
    </dataValidation>
    <dataValidation sqref="C3715" showDropDown="0" showInputMessage="0" showErrorMessage="0" allowBlank="0" type="list">
      <formula1>"Pauschale,Nachweis,Unbekannt"</formula1>
    </dataValidation>
    <dataValidation sqref="C3716" showDropDown="0" showInputMessage="0" showErrorMessage="0" allowBlank="0" type="list">
      <formula1>"Pauschale,Nachweis,Unbekannt"</formula1>
    </dataValidation>
    <dataValidation sqref="C3717" showDropDown="0" showInputMessage="0" showErrorMessage="0" allowBlank="0" type="list">
      <formula1>"Pauschale,Nachweis,Unbekannt"</formula1>
    </dataValidation>
    <dataValidation sqref="C3718" showDropDown="0" showInputMessage="0" showErrorMessage="0" allowBlank="0" type="list">
      <formula1>"Pauschale,Nachweis,Unbekannt"</formula1>
    </dataValidation>
    <dataValidation sqref="C3719" showDropDown="0" showInputMessage="0" showErrorMessage="0" allowBlank="0" type="list">
      <formula1>"Pauschale,Nachweis,Unbekannt"</formula1>
    </dataValidation>
    <dataValidation sqref="C3720" showDropDown="0" showInputMessage="0" showErrorMessage="0" allowBlank="0" type="list">
      <formula1>"Pauschale,Nachweis,Unbekannt"</formula1>
    </dataValidation>
    <dataValidation sqref="C3721" showDropDown="0" showInputMessage="0" showErrorMessage="0" allowBlank="0" type="list">
      <formula1>"Pauschale,Nachweis,Unbekannt"</formula1>
    </dataValidation>
    <dataValidation sqref="C3722" showDropDown="0" showInputMessage="0" showErrorMessage="0" allowBlank="0" type="list">
      <formula1>"Pauschale,Nachweis,Unbekannt"</formula1>
    </dataValidation>
    <dataValidation sqref="C3723" showDropDown="0" showInputMessage="0" showErrorMessage="0" allowBlank="0" type="list">
      <formula1>"Pauschale,Nachweis,Unbekannt"</formula1>
    </dataValidation>
    <dataValidation sqref="C3724" showDropDown="0" showInputMessage="0" showErrorMessage="0" allowBlank="0" type="list">
      <formula1>"Pauschale,Nachweis,Unbekannt"</formula1>
    </dataValidation>
    <dataValidation sqref="C3725" showDropDown="0" showInputMessage="0" showErrorMessage="0" allowBlank="0" type="list">
      <formula1>"Pauschale,Nachweis,Unbekannt"</formula1>
    </dataValidation>
    <dataValidation sqref="C3726" showDropDown="0" showInputMessage="0" showErrorMessage="0" allowBlank="0" type="list">
      <formula1>"Pauschale,Nachweis,Unbekannt"</formula1>
    </dataValidation>
    <dataValidation sqref="C3727" showDropDown="0" showInputMessage="0" showErrorMessage="0" allowBlank="0" type="list">
      <formula1>"Pauschale,Nachweis,Unbekannt"</formula1>
    </dataValidation>
    <dataValidation sqref="C3728" showDropDown="0" showInputMessage="0" showErrorMessage="0" allowBlank="0" type="list">
      <formula1>"Pauschale,Nachweis,Unbekannt"</formula1>
    </dataValidation>
    <dataValidation sqref="C3729" showDropDown="0" showInputMessage="0" showErrorMessage="0" allowBlank="0" type="list">
      <formula1>"Pauschale,Nachweis,Unbekannt"</formula1>
    </dataValidation>
    <dataValidation sqref="C3730" showDropDown="0" showInputMessage="0" showErrorMessage="0" allowBlank="0" type="list">
      <formula1>"Pauschale,Nachweis,Unbekannt"</formula1>
    </dataValidation>
    <dataValidation sqref="C3731" showDropDown="0" showInputMessage="0" showErrorMessage="0" allowBlank="0" type="list">
      <formula1>"Pauschale,Nachweis,Unbekannt"</formula1>
    </dataValidation>
    <dataValidation sqref="C3732" showDropDown="0" showInputMessage="0" showErrorMessage="0" allowBlank="0" type="list">
      <formula1>"Pauschale,Nachweis,Unbekannt"</formula1>
    </dataValidation>
    <dataValidation sqref="C3733" showDropDown="0" showInputMessage="0" showErrorMessage="0" allowBlank="0" type="list">
      <formula1>"Pauschale,Nachweis,Unbekannt"</formula1>
    </dataValidation>
    <dataValidation sqref="C3734" showDropDown="0" showInputMessage="0" showErrorMessage="0" allowBlank="0" type="list">
      <formula1>"Pauschale,Nachweis,Unbekannt"</formula1>
    </dataValidation>
    <dataValidation sqref="C3735" showDropDown="0" showInputMessage="0" showErrorMessage="0" allowBlank="0" type="list">
      <formula1>"Pauschale,Nachweis,Unbekannt"</formula1>
    </dataValidation>
    <dataValidation sqref="C3736" showDropDown="0" showInputMessage="0" showErrorMessage="0" allowBlank="0" type="list">
      <formula1>"Pauschale,Nachweis,Unbekannt"</formula1>
    </dataValidation>
    <dataValidation sqref="C3737" showDropDown="0" showInputMessage="0" showErrorMessage="0" allowBlank="0" type="list">
      <formula1>"Pauschale,Nachweis,Unbekannt"</formula1>
    </dataValidation>
    <dataValidation sqref="C3738" showDropDown="0" showInputMessage="0" showErrorMessage="0" allowBlank="0" type="list">
      <formula1>"Pauschale,Nachweis,Unbekannt"</formula1>
    </dataValidation>
    <dataValidation sqref="C3739" showDropDown="0" showInputMessage="0" showErrorMessage="0" allowBlank="0" type="list">
      <formula1>"Pauschale,Nachweis,Unbekannt"</formula1>
    </dataValidation>
    <dataValidation sqref="C3740" showDropDown="0" showInputMessage="0" showErrorMessage="0" allowBlank="0" type="list">
      <formula1>"Pauschale,Nachweis,Unbekannt"</formula1>
    </dataValidation>
    <dataValidation sqref="C3741" showDropDown="0" showInputMessage="0" showErrorMessage="0" allowBlank="0" type="list">
      <formula1>"Pauschale,Nachweis,Unbekannt"</formula1>
    </dataValidation>
    <dataValidation sqref="C3742" showDropDown="0" showInputMessage="0" showErrorMessage="0" allowBlank="0" type="list">
      <formula1>"Pauschale,Nachweis,Unbekannt"</formula1>
    </dataValidation>
    <dataValidation sqref="C3743" showDropDown="0" showInputMessage="0" showErrorMessage="0" allowBlank="0" type="list">
      <formula1>"Pauschale,Nachweis,Unbekannt"</formula1>
    </dataValidation>
    <dataValidation sqref="C3744" showDropDown="0" showInputMessage="0" showErrorMessage="0" allowBlank="0" type="list">
      <formula1>"Pauschale,Nachweis,Unbekannt"</formula1>
    </dataValidation>
    <dataValidation sqref="C3745" showDropDown="0" showInputMessage="0" showErrorMessage="0" allowBlank="0" type="list">
      <formula1>"Pauschale,Nachweis,Unbekannt"</formula1>
    </dataValidation>
    <dataValidation sqref="C3746" showDropDown="0" showInputMessage="0" showErrorMessage="0" allowBlank="0" type="list">
      <formula1>"Pauschale,Nachweis,Unbekannt"</formula1>
    </dataValidation>
    <dataValidation sqref="C3747" showDropDown="0" showInputMessage="0" showErrorMessage="0" allowBlank="0" type="list">
      <formula1>"Pauschale,Nachweis,Unbekannt"</formula1>
    </dataValidation>
    <dataValidation sqref="C3748" showDropDown="0" showInputMessage="0" showErrorMessage="0" allowBlank="0" type="list">
      <formula1>"Pauschale,Nachweis,Unbekannt"</formula1>
    </dataValidation>
    <dataValidation sqref="C3749" showDropDown="0" showInputMessage="0" showErrorMessage="0" allowBlank="0" type="list">
      <formula1>"Pauschale,Nachweis,Unbekannt"</formula1>
    </dataValidation>
    <dataValidation sqref="C3750" showDropDown="0" showInputMessage="0" showErrorMessage="0" allowBlank="0" type="list">
      <formula1>"Pauschale,Nachweis,Unbekannt"</formula1>
    </dataValidation>
    <dataValidation sqref="C3751" showDropDown="0" showInputMessage="0" showErrorMessage="0" allowBlank="0" type="list">
      <formula1>"Pauschale,Nachweis,Unbekannt"</formula1>
    </dataValidation>
    <dataValidation sqref="C3752" showDropDown="0" showInputMessage="0" showErrorMessage="0" allowBlank="0" type="list">
      <formula1>"Pauschale,Nachweis,Unbekannt"</formula1>
    </dataValidation>
    <dataValidation sqref="C3753" showDropDown="0" showInputMessage="0" showErrorMessage="0" allowBlank="0" type="list">
      <formula1>"Pauschale,Nachweis,Unbekannt"</formula1>
    </dataValidation>
    <dataValidation sqref="C3754" showDropDown="0" showInputMessage="0" showErrorMessage="0" allowBlank="0" type="list">
      <formula1>"Pauschale,Nachweis,Unbekannt"</formula1>
    </dataValidation>
    <dataValidation sqref="C3755" showDropDown="0" showInputMessage="0" showErrorMessage="0" allowBlank="0" type="list">
      <formula1>"Pauschale,Nachweis,Unbekannt"</formula1>
    </dataValidation>
    <dataValidation sqref="C3756" showDropDown="0" showInputMessage="0" showErrorMessage="0" allowBlank="0" type="list">
      <formula1>"Pauschale,Nachweis,Unbekannt"</formula1>
    </dataValidation>
    <dataValidation sqref="C3757" showDropDown="0" showInputMessage="0" showErrorMessage="0" allowBlank="0" type="list">
      <formula1>"Pauschale,Nachweis,Unbekannt"</formula1>
    </dataValidation>
    <dataValidation sqref="C3758" showDropDown="0" showInputMessage="0" showErrorMessage="0" allowBlank="0" type="list">
      <formula1>"Pauschale,Nachweis,Unbekannt"</formula1>
    </dataValidation>
    <dataValidation sqref="C3759" showDropDown="0" showInputMessage="0" showErrorMessage="0" allowBlank="0" type="list">
      <formula1>"Pauschale,Nachweis,Unbekannt"</formula1>
    </dataValidation>
    <dataValidation sqref="C3760" showDropDown="0" showInputMessage="0" showErrorMessage="0" allowBlank="0" type="list">
      <formula1>"Pauschale,Nachweis,Unbekannt"</formula1>
    </dataValidation>
    <dataValidation sqref="C3761" showDropDown="0" showInputMessage="0" showErrorMessage="0" allowBlank="0" type="list">
      <formula1>"Pauschale,Nachweis,Unbekannt"</formula1>
    </dataValidation>
    <dataValidation sqref="C3762" showDropDown="0" showInputMessage="0" showErrorMessage="0" allowBlank="0" type="list">
      <formula1>"Pauschale,Nachweis,Unbekannt"</formula1>
    </dataValidation>
    <dataValidation sqref="C3763" showDropDown="0" showInputMessage="0" showErrorMessage="0" allowBlank="0" type="list">
      <formula1>"Pauschale,Nachweis,Unbekannt"</formula1>
    </dataValidation>
    <dataValidation sqref="C3764" showDropDown="0" showInputMessage="0" showErrorMessage="0" allowBlank="0" type="list">
      <formula1>"Pauschale,Nachweis,Unbekannt"</formula1>
    </dataValidation>
    <dataValidation sqref="C3765" showDropDown="0" showInputMessage="0" showErrorMessage="0" allowBlank="0" type="list">
      <formula1>"Pauschale,Nachweis,Unbekannt"</formula1>
    </dataValidation>
    <dataValidation sqref="C3766" showDropDown="0" showInputMessage="0" showErrorMessage="0" allowBlank="0" type="list">
      <formula1>"Pauschale,Nachweis,Unbekannt"</formula1>
    </dataValidation>
    <dataValidation sqref="C3767" showDropDown="0" showInputMessage="0" showErrorMessage="0" allowBlank="0" type="list">
      <formula1>"Pauschale,Nachweis,Unbekannt"</formula1>
    </dataValidation>
    <dataValidation sqref="C3768" showDropDown="0" showInputMessage="0" showErrorMessage="0" allowBlank="0" type="list">
      <formula1>"Pauschale,Nachweis,Unbekannt"</formula1>
    </dataValidation>
    <dataValidation sqref="C3769" showDropDown="0" showInputMessage="0" showErrorMessage="0" allowBlank="0" type="list">
      <formula1>"Pauschale,Nachweis,Unbekannt"</formula1>
    </dataValidation>
    <dataValidation sqref="C3770" showDropDown="0" showInputMessage="0" showErrorMessage="0" allowBlank="0" type="list">
      <formula1>"Pauschale,Nachweis,Unbekannt"</formula1>
    </dataValidation>
    <dataValidation sqref="C3771" showDropDown="0" showInputMessage="0" showErrorMessage="0" allowBlank="0" type="list">
      <formula1>"Pauschale,Nachweis,Unbekannt"</formula1>
    </dataValidation>
    <dataValidation sqref="C3772" showDropDown="0" showInputMessage="0" showErrorMessage="0" allowBlank="0" type="list">
      <formula1>"Pauschale,Nachweis,Unbekannt"</formula1>
    </dataValidation>
    <dataValidation sqref="C3773" showDropDown="0" showInputMessage="0" showErrorMessage="0" allowBlank="0" type="list">
      <formula1>"Pauschale,Nachweis,Unbekannt"</formula1>
    </dataValidation>
    <dataValidation sqref="C3774" showDropDown="0" showInputMessage="0" showErrorMessage="0" allowBlank="0" type="list">
      <formula1>"Pauschale,Nachweis,Unbekannt"</formula1>
    </dataValidation>
    <dataValidation sqref="C3775" showDropDown="0" showInputMessage="0" showErrorMessage="0" allowBlank="0" type="list">
      <formula1>"Pauschale,Nachweis,Unbekannt"</formula1>
    </dataValidation>
    <dataValidation sqref="C3776" showDropDown="0" showInputMessage="0" showErrorMessage="0" allowBlank="0" type="list">
      <formula1>"Pauschale,Nachweis,Unbekannt"</formula1>
    </dataValidation>
    <dataValidation sqref="C3777" showDropDown="0" showInputMessage="0" showErrorMessage="0" allowBlank="0" type="list">
      <formula1>"Pauschale,Nachweis,Unbekannt"</formula1>
    </dataValidation>
    <dataValidation sqref="C3778" showDropDown="0" showInputMessage="0" showErrorMessage="0" allowBlank="0" type="list">
      <formula1>"Pauschale,Nachweis,Unbekannt"</formula1>
    </dataValidation>
    <dataValidation sqref="C3779" showDropDown="0" showInputMessage="0" showErrorMessage="0" allowBlank="0" type="list">
      <formula1>"Pauschale,Nachweis,Unbekannt"</formula1>
    </dataValidation>
    <dataValidation sqref="C3780" showDropDown="0" showInputMessage="0" showErrorMessage="0" allowBlank="0" type="list">
      <formula1>"Pauschale,Nachweis,Unbekannt"</formula1>
    </dataValidation>
    <dataValidation sqref="C3781" showDropDown="0" showInputMessage="0" showErrorMessage="0" allowBlank="0" type="list">
      <formula1>"Pauschale,Nachweis,Unbekannt"</formula1>
    </dataValidation>
    <dataValidation sqref="C3782" showDropDown="0" showInputMessage="0" showErrorMessage="0" allowBlank="0" type="list">
      <formula1>"Pauschale,Nachweis,Unbekannt"</formula1>
    </dataValidation>
    <dataValidation sqref="C3783" showDropDown="0" showInputMessage="0" showErrorMessage="0" allowBlank="0" type="list">
      <formula1>"Pauschale,Nachweis,Unbekannt"</formula1>
    </dataValidation>
    <dataValidation sqref="C3784" showDropDown="0" showInputMessage="0" showErrorMessage="0" allowBlank="0" type="list">
      <formula1>"Pauschale,Nachweis,Unbekannt"</formula1>
    </dataValidation>
    <dataValidation sqref="C3785" showDropDown="0" showInputMessage="0" showErrorMessage="0" allowBlank="0" type="list">
      <formula1>"Pauschale,Nachweis,Unbekannt"</formula1>
    </dataValidation>
    <dataValidation sqref="C3786" showDropDown="0" showInputMessage="0" showErrorMessage="0" allowBlank="0" type="list">
      <formula1>"Pauschale,Nachweis,Unbekannt"</formula1>
    </dataValidation>
    <dataValidation sqref="C3787" showDropDown="0" showInputMessage="0" showErrorMessage="0" allowBlank="0" type="list">
      <formula1>"Pauschale,Nachweis,Unbekannt"</formula1>
    </dataValidation>
    <dataValidation sqref="C3788" showDropDown="0" showInputMessage="0" showErrorMessage="0" allowBlank="0" type="list">
      <formula1>"Pauschale,Nachweis,Unbekannt"</formula1>
    </dataValidation>
    <dataValidation sqref="C3789" showDropDown="0" showInputMessage="0" showErrorMessage="0" allowBlank="0" type="list">
      <formula1>"Pauschale,Nachweis,Unbekannt"</formula1>
    </dataValidation>
    <dataValidation sqref="C3790" showDropDown="0" showInputMessage="0" showErrorMessage="0" allowBlank="0" type="list">
      <formula1>"Pauschale,Nachweis,Unbekannt"</formula1>
    </dataValidation>
    <dataValidation sqref="C3791" showDropDown="0" showInputMessage="0" showErrorMessage="0" allowBlank="0" type="list">
      <formula1>"Pauschale,Nachweis,Unbekannt"</formula1>
    </dataValidation>
    <dataValidation sqref="C3792" showDropDown="0" showInputMessage="0" showErrorMessage="0" allowBlank="0" type="list">
      <formula1>"Pauschale,Nachweis,Unbekannt"</formula1>
    </dataValidation>
    <dataValidation sqref="C3793" showDropDown="0" showInputMessage="0" showErrorMessage="0" allowBlank="0" type="list">
      <formula1>"Pauschale,Nachweis,Unbekannt"</formula1>
    </dataValidation>
    <dataValidation sqref="C3794" showDropDown="0" showInputMessage="0" showErrorMessage="0" allowBlank="0" type="list">
      <formula1>"Pauschale,Nachweis,Unbekannt"</formula1>
    </dataValidation>
    <dataValidation sqref="C3795" showDropDown="0" showInputMessage="0" showErrorMessage="0" allowBlank="0" type="list">
      <formula1>"Pauschale,Nachweis,Unbekannt"</formula1>
    </dataValidation>
    <dataValidation sqref="C3796" showDropDown="0" showInputMessage="0" showErrorMessage="0" allowBlank="0" type="list">
      <formula1>"Pauschale,Nachweis,Unbekannt"</formula1>
    </dataValidation>
    <dataValidation sqref="C3797" showDropDown="0" showInputMessage="0" showErrorMessage="0" allowBlank="0" type="list">
      <formula1>"Pauschale,Nachweis,Unbekannt"</formula1>
    </dataValidation>
    <dataValidation sqref="C3798" showDropDown="0" showInputMessage="0" showErrorMessage="0" allowBlank="0" type="list">
      <formula1>"Pauschale,Nachweis,Unbekannt"</formula1>
    </dataValidation>
    <dataValidation sqref="C3799" showDropDown="0" showInputMessage="0" showErrorMessage="0" allowBlank="0" type="list">
      <formula1>"Pauschale,Nachweis,Unbekannt"</formula1>
    </dataValidation>
    <dataValidation sqref="C3800" showDropDown="0" showInputMessage="0" showErrorMessage="0" allowBlank="0" type="list">
      <formula1>"Pauschale,Nachweis,Unbekannt"</formula1>
    </dataValidation>
    <dataValidation sqref="C3801" showDropDown="0" showInputMessage="0" showErrorMessage="0" allowBlank="0" type="list">
      <formula1>"Pauschale,Nachweis,Unbekannt"</formula1>
    </dataValidation>
    <dataValidation sqref="C3802" showDropDown="0" showInputMessage="0" showErrorMessage="0" allowBlank="0" type="list">
      <formula1>"Pauschale,Nachweis,Unbekannt"</formula1>
    </dataValidation>
    <dataValidation sqref="C3803" showDropDown="0" showInputMessage="0" showErrorMessage="0" allowBlank="0" type="list">
      <formula1>"Pauschale,Nachweis,Unbekannt"</formula1>
    </dataValidation>
    <dataValidation sqref="C3804" showDropDown="0" showInputMessage="0" showErrorMessage="0" allowBlank="0" type="list">
      <formula1>"Pauschale,Nachweis,Unbekannt"</formula1>
    </dataValidation>
    <dataValidation sqref="C3805" showDropDown="0" showInputMessage="0" showErrorMessage="0" allowBlank="0" type="list">
      <formula1>"Pauschale,Nachweis,Unbekannt"</formula1>
    </dataValidation>
    <dataValidation sqref="C3806" showDropDown="0" showInputMessage="0" showErrorMessage="0" allowBlank="0" type="list">
      <formula1>"Pauschale,Nachweis,Unbekannt"</formula1>
    </dataValidation>
    <dataValidation sqref="C3807" showDropDown="0" showInputMessage="0" showErrorMessage="0" allowBlank="0" type="list">
      <formula1>"Pauschale,Nachweis,Unbekannt"</formula1>
    </dataValidation>
    <dataValidation sqref="C3808" showDropDown="0" showInputMessage="0" showErrorMessage="0" allowBlank="0" type="list">
      <formula1>"Pauschale,Nachweis,Unbekannt"</formula1>
    </dataValidation>
    <dataValidation sqref="C3809" showDropDown="0" showInputMessage="0" showErrorMessage="0" allowBlank="0" type="list">
      <formula1>"Pauschale,Nachweis,Unbekannt"</formula1>
    </dataValidation>
    <dataValidation sqref="C3810" showDropDown="0" showInputMessage="0" showErrorMessage="0" allowBlank="0" type="list">
      <formula1>"Pauschale,Nachweis,Unbekannt"</formula1>
    </dataValidation>
    <dataValidation sqref="C3811" showDropDown="0" showInputMessage="0" showErrorMessage="0" allowBlank="0" type="list">
      <formula1>"Pauschale,Nachweis,Unbekannt"</formula1>
    </dataValidation>
    <dataValidation sqref="C3812" showDropDown="0" showInputMessage="0" showErrorMessage="0" allowBlank="0" type="list">
      <formula1>"Pauschale,Nachweis,Unbekannt"</formula1>
    </dataValidation>
    <dataValidation sqref="C3813" showDropDown="0" showInputMessage="0" showErrorMessage="0" allowBlank="0" type="list">
      <formula1>"Pauschale,Nachweis,Unbekannt"</formula1>
    </dataValidation>
    <dataValidation sqref="C3814" showDropDown="0" showInputMessage="0" showErrorMessage="0" allowBlank="0" type="list">
      <formula1>"Pauschale,Nachweis,Unbekannt"</formula1>
    </dataValidation>
    <dataValidation sqref="C3815" showDropDown="0" showInputMessage="0" showErrorMessage="0" allowBlank="0" type="list">
      <formula1>"Pauschale,Nachweis,Unbekannt"</formula1>
    </dataValidation>
    <dataValidation sqref="C3816" showDropDown="0" showInputMessage="0" showErrorMessage="0" allowBlank="0" type="list">
      <formula1>"Pauschale,Nachweis,Unbekannt"</formula1>
    </dataValidation>
    <dataValidation sqref="C3817" showDropDown="0" showInputMessage="0" showErrorMessage="0" allowBlank="0" type="list">
      <formula1>"Pauschale,Nachweis,Unbekannt"</formula1>
    </dataValidation>
    <dataValidation sqref="C3818" showDropDown="0" showInputMessage="0" showErrorMessage="0" allowBlank="0" type="list">
      <formula1>"Pauschale,Nachweis,Unbekannt"</formula1>
    </dataValidation>
    <dataValidation sqref="C3819" showDropDown="0" showInputMessage="0" showErrorMessage="0" allowBlank="0" type="list">
      <formula1>"Pauschale,Nachweis,Unbekannt"</formula1>
    </dataValidation>
    <dataValidation sqref="C3820" showDropDown="0" showInputMessage="0" showErrorMessage="0" allowBlank="0" type="list">
      <formula1>"Pauschale,Nachweis,Unbekannt"</formula1>
    </dataValidation>
    <dataValidation sqref="C3821" showDropDown="0" showInputMessage="0" showErrorMessage="0" allowBlank="0" type="list">
      <formula1>"Pauschale,Nachweis,Unbekannt"</formula1>
    </dataValidation>
    <dataValidation sqref="C3822" showDropDown="0" showInputMessage="0" showErrorMessage="0" allowBlank="0" type="list">
      <formula1>"Pauschale,Nachweis,Unbekannt"</formula1>
    </dataValidation>
    <dataValidation sqref="C3823" showDropDown="0" showInputMessage="0" showErrorMessage="0" allowBlank="0" type="list">
      <formula1>"Pauschale,Nachweis,Unbekannt"</formula1>
    </dataValidation>
    <dataValidation sqref="C3824" showDropDown="0" showInputMessage="0" showErrorMessage="0" allowBlank="0" type="list">
      <formula1>"Pauschale,Nachweis,Unbekannt"</formula1>
    </dataValidation>
    <dataValidation sqref="C3825" showDropDown="0" showInputMessage="0" showErrorMessage="0" allowBlank="0" type="list">
      <formula1>"Pauschale,Nachweis,Unbekannt"</formula1>
    </dataValidation>
    <dataValidation sqref="C3826" showDropDown="0" showInputMessage="0" showErrorMessage="0" allowBlank="0" type="list">
      <formula1>"Pauschale,Nachweis,Unbekannt"</formula1>
    </dataValidation>
    <dataValidation sqref="C3827" showDropDown="0" showInputMessage="0" showErrorMessage="0" allowBlank="0" type="list">
      <formula1>"Pauschale,Nachweis,Unbekannt"</formula1>
    </dataValidation>
    <dataValidation sqref="C3828" showDropDown="0" showInputMessage="0" showErrorMessage="0" allowBlank="0" type="list">
      <formula1>"Pauschale,Nachweis,Unbekannt"</formula1>
    </dataValidation>
    <dataValidation sqref="C3829" showDropDown="0" showInputMessage="0" showErrorMessage="0" allowBlank="0" type="list">
      <formula1>"Pauschale,Nachweis,Unbekannt"</formula1>
    </dataValidation>
    <dataValidation sqref="C3830" showDropDown="0" showInputMessage="0" showErrorMessage="0" allowBlank="0" type="list">
      <formula1>"Pauschale,Nachweis,Unbekannt"</formula1>
    </dataValidation>
    <dataValidation sqref="C3831" showDropDown="0" showInputMessage="0" showErrorMessage="0" allowBlank="0" type="list">
      <formula1>"Pauschale,Nachweis,Unbekannt"</formula1>
    </dataValidation>
    <dataValidation sqref="C3832" showDropDown="0" showInputMessage="0" showErrorMessage="0" allowBlank="0" type="list">
      <formula1>"Pauschale,Nachweis,Unbekannt"</formula1>
    </dataValidation>
    <dataValidation sqref="C3833" showDropDown="0" showInputMessage="0" showErrorMessage="0" allowBlank="0" type="list">
      <formula1>"Pauschale,Nachweis,Unbekannt"</formula1>
    </dataValidation>
    <dataValidation sqref="C3834" showDropDown="0" showInputMessage="0" showErrorMessage="0" allowBlank="0" type="list">
      <formula1>"Pauschale,Nachweis,Unbekannt"</formula1>
    </dataValidation>
    <dataValidation sqref="C3835" showDropDown="0" showInputMessage="0" showErrorMessage="0" allowBlank="0" type="list">
      <formula1>"Pauschale,Nachweis,Unbekannt"</formula1>
    </dataValidation>
    <dataValidation sqref="C3836" showDropDown="0" showInputMessage="0" showErrorMessage="0" allowBlank="0" type="list">
      <formula1>"Pauschale,Nachweis,Unbekannt"</formula1>
    </dataValidation>
    <dataValidation sqref="C3837" showDropDown="0" showInputMessage="0" showErrorMessage="0" allowBlank="0" type="list">
      <formula1>"Pauschale,Nachweis,Unbekannt"</formula1>
    </dataValidation>
    <dataValidation sqref="C3838" showDropDown="0" showInputMessage="0" showErrorMessage="0" allowBlank="0" type="list">
      <formula1>"Pauschale,Nachweis,Unbekannt"</formula1>
    </dataValidation>
    <dataValidation sqref="C3839" showDropDown="0" showInputMessage="0" showErrorMessage="0" allowBlank="0" type="list">
      <formula1>"Pauschale,Nachweis,Unbekannt"</formula1>
    </dataValidation>
    <dataValidation sqref="C3840" showDropDown="0" showInputMessage="0" showErrorMessage="0" allowBlank="0" type="list">
      <formula1>"Pauschale,Nachweis,Unbekannt"</formula1>
    </dataValidation>
    <dataValidation sqref="C3841" showDropDown="0" showInputMessage="0" showErrorMessage="0" allowBlank="0" type="list">
      <formula1>"Pauschale,Nachweis,Unbekannt"</formula1>
    </dataValidation>
    <dataValidation sqref="C3842" showDropDown="0" showInputMessage="0" showErrorMessage="0" allowBlank="0" type="list">
      <formula1>"Pauschale,Nachweis,Unbekannt"</formula1>
    </dataValidation>
    <dataValidation sqref="C3843" showDropDown="0" showInputMessage="0" showErrorMessage="0" allowBlank="0" type="list">
      <formula1>"Pauschale,Nachweis,Unbekannt"</formula1>
    </dataValidation>
    <dataValidation sqref="C3844" showDropDown="0" showInputMessage="0" showErrorMessage="0" allowBlank="0" type="list">
      <formula1>"Pauschale,Nachweis,Unbekannt"</formula1>
    </dataValidation>
    <dataValidation sqref="C3845" showDropDown="0" showInputMessage="0" showErrorMessage="0" allowBlank="0" type="list">
      <formula1>"Pauschale,Nachweis,Unbekannt"</formula1>
    </dataValidation>
    <dataValidation sqref="C3846" showDropDown="0" showInputMessage="0" showErrorMessage="0" allowBlank="0" type="list">
      <formula1>"Pauschale,Nachweis,Unbekannt"</formula1>
    </dataValidation>
    <dataValidation sqref="C3847" showDropDown="0" showInputMessage="0" showErrorMessage="0" allowBlank="0" type="list">
      <formula1>"Pauschale,Nachweis,Unbekannt"</formula1>
    </dataValidation>
    <dataValidation sqref="C3848" showDropDown="0" showInputMessage="0" showErrorMessage="0" allowBlank="0" type="list">
      <formula1>"Pauschale,Nachweis,Unbekannt"</formula1>
    </dataValidation>
    <dataValidation sqref="C3849" showDropDown="0" showInputMessage="0" showErrorMessage="0" allowBlank="0" type="list">
      <formula1>"Pauschale,Nachweis,Unbekannt"</formula1>
    </dataValidation>
    <dataValidation sqref="C3850" showDropDown="0" showInputMessage="0" showErrorMessage="0" allowBlank="0" type="list">
      <formula1>"Pauschale,Nachweis,Unbekannt"</formula1>
    </dataValidation>
    <dataValidation sqref="C3851" showDropDown="0" showInputMessage="0" showErrorMessage="0" allowBlank="0" type="list">
      <formula1>"Pauschale,Nachweis,Unbekannt"</formula1>
    </dataValidation>
    <dataValidation sqref="C3852" showDropDown="0" showInputMessage="0" showErrorMessage="0" allowBlank="0" type="list">
      <formula1>"Pauschale,Nachweis,Unbekannt"</formula1>
    </dataValidation>
    <dataValidation sqref="C3853" showDropDown="0" showInputMessage="0" showErrorMessage="0" allowBlank="0" type="list">
      <formula1>"Pauschale,Nachweis,Unbekannt"</formula1>
    </dataValidation>
    <dataValidation sqref="C3854" showDropDown="0" showInputMessage="0" showErrorMessage="0" allowBlank="0" type="list">
      <formula1>"Pauschale,Nachweis,Unbekannt"</formula1>
    </dataValidation>
    <dataValidation sqref="C3855" showDropDown="0" showInputMessage="0" showErrorMessage="0" allowBlank="0" type="list">
      <formula1>"Pauschale,Nachweis,Unbekannt"</formula1>
    </dataValidation>
    <dataValidation sqref="C3856" showDropDown="0" showInputMessage="0" showErrorMessage="0" allowBlank="0" type="list">
      <formula1>"Pauschale,Nachweis,Unbekannt"</formula1>
    </dataValidation>
    <dataValidation sqref="C3857" showDropDown="0" showInputMessage="0" showErrorMessage="0" allowBlank="0" type="list">
      <formula1>"Pauschale,Nachweis,Unbekannt"</formula1>
    </dataValidation>
    <dataValidation sqref="C3858" showDropDown="0" showInputMessage="0" showErrorMessage="0" allowBlank="0" type="list">
      <formula1>"Pauschale,Nachweis,Unbekannt"</formula1>
    </dataValidation>
    <dataValidation sqref="C3859" showDropDown="0" showInputMessage="0" showErrorMessage="0" allowBlank="0" type="list">
      <formula1>"Pauschale,Nachweis,Unbekannt"</formula1>
    </dataValidation>
    <dataValidation sqref="C3860" showDropDown="0" showInputMessage="0" showErrorMessage="0" allowBlank="0" type="list">
      <formula1>"Pauschale,Nachweis,Unbekannt"</formula1>
    </dataValidation>
    <dataValidation sqref="C3861" showDropDown="0" showInputMessage="0" showErrorMessage="0" allowBlank="0" type="list">
      <formula1>"Pauschale,Nachweis,Unbekannt"</formula1>
    </dataValidation>
    <dataValidation sqref="C3862" showDropDown="0" showInputMessage="0" showErrorMessage="0" allowBlank="0" type="list">
      <formula1>"Pauschale,Nachweis,Unbekannt"</formula1>
    </dataValidation>
    <dataValidation sqref="C3863" showDropDown="0" showInputMessage="0" showErrorMessage="0" allowBlank="0" type="list">
      <formula1>"Pauschale,Nachweis,Unbekannt"</formula1>
    </dataValidation>
    <dataValidation sqref="C3864" showDropDown="0" showInputMessage="0" showErrorMessage="0" allowBlank="0" type="list">
      <formula1>"Pauschale,Nachweis,Unbekannt"</formula1>
    </dataValidation>
    <dataValidation sqref="C3865" showDropDown="0" showInputMessage="0" showErrorMessage="0" allowBlank="0" type="list">
      <formula1>"Pauschale,Nachweis,Unbekannt"</formula1>
    </dataValidation>
    <dataValidation sqref="C3866" showDropDown="0" showInputMessage="0" showErrorMessage="0" allowBlank="0" type="list">
      <formula1>"Pauschale,Nachweis,Unbekannt"</formula1>
    </dataValidation>
    <dataValidation sqref="C3867" showDropDown="0" showInputMessage="0" showErrorMessage="0" allowBlank="0" type="list">
      <formula1>"Pauschale,Nachweis,Unbekannt"</formula1>
    </dataValidation>
    <dataValidation sqref="C3868" showDropDown="0" showInputMessage="0" showErrorMessage="0" allowBlank="0" type="list">
      <formula1>"Pauschale,Nachweis,Unbekannt"</formula1>
    </dataValidation>
    <dataValidation sqref="C3869" showDropDown="0" showInputMessage="0" showErrorMessage="0" allowBlank="0" type="list">
      <formula1>"Pauschale,Nachweis,Unbekannt"</formula1>
    </dataValidation>
    <dataValidation sqref="C3870" showDropDown="0" showInputMessage="0" showErrorMessage="0" allowBlank="0" type="list">
      <formula1>"Pauschale,Nachweis,Unbekannt"</formula1>
    </dataValidation>
    <dataValidation sqref="C3871" showDropDown="0" showInputMessage="0" showErrorMessage="0" allowBlank="0" type="list">
      <formula1>"Pauschale,Nachweis,Unbekannt"</formula1>
    </dataValidation>
    <dataValidation sqref="C3872" showDropDown="0" showInputMessage="0" showErrorMessage="0" allowBlank="0" type="list">
      <formula1>"Pauschale,Nachweis,Unbekannt"</formula1>
    </dataValidation>
    <dataValidation sqref="C3873" showDropDown="0" showInputMessage="0" showErrorMessage="0" allowBlank="0" type="list">
      <formula1>"Pauschale,Nachweis,Unbekannt"</formula1>
    </dataValidation>
    <dataValidation sqref="C3874" showDropDown="0" showInputMessage="0" showErrorMessage="0" allowBlank="0" type="list">
      <formula1>"Pauschale,Nachweis,Unbekannt"</formula1>
    </dataValidation>
    <dataValidation sqref="C3875" showDropDown="0" showInputMessage="0" showErrorMessage="0" allowBlank="0" type="list">
      <formula1>"Pauschale,Nachweis,Unbekannt"</formula1>
    </dataValidation>
    <dataValidation sqref="C3876" showDropDown="0" showInputMessage="0" showErrorMessage="0" allowBlank="0" type="list">
      <formula1>"Pauschale,Nachweis,Unbekannt"</formula1>
    </dataValidation>
    <dataValidation sqref="C3877" showDropDown="0" showInputMessage="0" showErrorMessage="0" allowBlank="0" type="list">
      <formula1>"Pauschale,Nachweis,Unbekannt"</formula1>
    </dataValidation>
    <dataValidation sqref="C3878" showDropDown="0" showInputMessage="0" showErrorMessage="0" allowBlank="0" type="list">
      <formula1>"Pauschale,Nachweis,Unbekannt"</formula1>
    </dataValidation>
    <dataValidation sqref="C3879" showDropDown="0" showInputMessage="0" showErrorMessage="0" allowBlank="0" type="list">
      <formula1>"Pauschale,Nachweis,Unbekannt"</formula1>
    </dataValidation>
    <dataValidation sqref="C3880" showDropDown="0" showInputMessage="0" showErrorMessage="0" allowBlank="0" type="list">
      <formula1>"Pauschale,Nachweis,Unbekannt"</formula1>
    </dataValidation>
    <dataValidation sqref="C3881" showDropDown="0" showInputMessage="0" showErrorMessage="0" allowBlank="0" type="list">
      <formula1>"Pauschale,Nachweis,Unbekannt"</formula1>
    </dataValidation>
    <dataValidation sqref="C3882" showDropDown="0" showInputMessage="0" showErrorMessage="0" allowBlank="0" type="list">
      <formula1>"Pauschale,Nachweis,Unbekannt"</formula1>
    </dataValidation>
    <dataValidation sqref="C3883" showDropDown="0" showInputMessage="0" showErrorMessage="0" allowBlank="0" type="list">
      <formula1>"Pauschale,Nachweis,Unbekannt"</formula1>
    </dataValidation>
    <dataValidation sqref="C3884" showDropDown="0" showInputMessage="0" showErrorMessage="0" allowBlank="0" type="list">
      <formula1>"Pauschale,Nachweis,Unbekannt"</formula1>
    </dataValidation>
    <dataValidation sqref="C3885" showDropDown="0" showInputMessage="0" showErrorMessage="0" allowBlank="0" type="list">
      <formula1>"Pauschale,Nachweis,Unbekannt"</formula1>
    </dataValidation>
    <dataValidation sqref="C3886" showDropDown="0" showInputMessage="0" showErrorMessage="0" allowBlank="0" type="list">
      <formula1>"Pauschale,Nachweis,Unbekannt"</formula1>
    </dataValidation>
    <dataValidation sqref="C3887" showDropDown="0" showInputMessage="0" showErrorMessage="0" allowBlank="0" type="list">
      <formula1>"Pauschale,Nachweis,Unbekannt"</formula1>
    </dataValidation>
    <dataValidation sqref="C3888" showDropDown="0" showInputMessage="0" showErrorMessage="0" allowBlank="0" type="list">
      <formula1>"Pauschale,Nachweis,Unbekannt"</formula1>
    </dataValidation>
    <dataValidation sqref="C3889" showDropDown="0" showInputMessage="0" showErrorMessage="0" allowBlank="0" type="list">
      <formula1>"Pauschale,Nachweis,Unbekannt"</formula1>
    </dataValidation>
    <dataValidation sqref="C3890" showDropDown="0" showInputMessage="0" showErrorMessage="0" allowBlank="0" type="list">
      <formula1>"Pauschale,Nachweis,Unbekannt"</formula1>
    </dataValidation>
    <dataValidation sqref="C3891" showDropDown="0" showInputMessage="0" showErrorMessage="0" allowBlank="0" type="list">
      <formula1>"Pauschale,Nachweis,Unbekannt"</formula1>
    </dataValidation>
    <dataValidation sqref="C3892" showDropDown="0" showInputMessage="0" showErrorMessage="0" allowBlank="0" type="list">
      <formula1>"Pauschale,Nachweis,Unbekannt"</formula1>
    </dataValidation>
    <dataValidation sqref="C3893" showDropDown="0" showInputMessage="0" showErrorMessage="0" allowBlank="0" type="list">
      <formula1>"Pauschale,Nachweis,Unbekannt"</formula1>
    </dataValidation>
    <dataValidation sqref="C3894" showDropDown="0" showInputMessage="0" showErrorMessage="0" allowBlank="0" type="list">
      <formula1>"Pauschale,Nachweis,Unbekannt"</formula1>
    </dataValidation>
    <dataValidation sqref="C3895" showDropDown="0" showInputMessage="0" showErrorMessage="0" allowBlank="0" type="list">
      <formula1>"Pauschale,Nachweis,Unbekannt"</formula1>
    </dataValidation>
    <dataValidation sqref="C3896" showDropDown="0" showInputMessage="0" showErrorMessage="0" allowBlank="0" type="list">
      <formula1>"Pauschale,Nachweis,Unbekannt"</formula1>
    </dataValidation>
    <dataValidation sqref="C3897" showDropDown="0" showInputMessage="0" showErrorMessage="0" allowBlank="0" type="list">
      <formula1>"Pauschale,Nachweis,Unbekannt"</formula1>
    </dataValidation>
    <dataValidation sqref="C3898" showDropDown="0" showInputMessage="0" showErrorMessage="0" allowBlank="0" type="list">
      <formula1>"Pauschale,Nachweis,Unbekannt"</formula1>
    </dataValidation>
    <dataValidation sqref="C3899" showDropDown="0" showInputMessage="0" showErrorMessage="0" allowBlank="0" type="list">
      <formula1>"Pauschale,Nachweis,Unbekannt"</formula1>
    </dataValidation>
    <dataValidation sqref="C3900" showDropDown="0" showInputMessage="0" showErrorMessage="0" allowBlank="0" type="list">
      <formula1>"Pauschale,Nachweis,Unbekannt"</formula1>
    </dataValidation>
    <dataValidation sqref="C3901" showDropDown="0" showInputMessage="0" showErrorMessage="0" allowBlank="0" type="list">
      <formula1>"Pauschale,Nachweis,Unbekannt"</formula1>
    </dataValidation>
    <dataValidation sqref="C3902" showDropDown="0" showInputMessage="0" showErrorMessage="0" allowBlank="0" type="list">
      <formula1>"Pauschale,Nachweis,Unbekannt"</formula1>
    </dataValidation>
    <dataValidation sqref="C3903" showDropDown="0" showInputMessage="0" showErrorMessage="0" allowBlank="0" type="list">
      <formula1>"Pauschale,Nachweis,Unbekannt"</formula1>
    </dataValidation>
    <dataValidation sqref="C3904" showDropDown="0" showInputMessage="0" showErrorMessage="0" allowBlank="0" type="list">
      <formula1>"Pauschale,Nachweis,Unbekannt"</formula1>
    </dataValidation>
    <dataValidation sqref="C3905" showDropDown="0" showInputMessage="0" showErrorMessage="0" allowBlank="0" type="list">
      <formula1>"Pauschale,Nachweis,Unbekannt"</formula1>
    </dataValidation>
    <dataValidation sqref="C3906" showDropDown="0" showInputMessage="0" showErrorMessage="0" allowBlank="0" type="list">
      <formula1>"Pauschale,Nachweis,Unbekannt"</formula1>
    </dataValidation>
    <dataValidation sqref="C3907" showDropDown="0" showInputMessage="0" showErrorMessage="0" allowBlank="0" type="list">
      <formula1>"Pauschale,Nachweis,Unbekannt"</formula1>
    </dataValidation>
    <dataValidation sqref="C3908" showDropDown="0" showInputMessage="0" showErrorMessage="0" allowBlank="0" type="list">
      <formula1>"Pauschale,Nachweis,Unbekannt"</formula1>
    </dataValidation>
    <dataValidation sqref="C3909" showDropDown="0" showInputMessage="0" showErrorMessage="0" allowBlank="0" type="list">
      <formula1>"Pauschale,Nachweis,Unbekannt"</formula1>
    </dataValidation>
    <dataValidation sqref="C3910" showDropDown="0" showInputMessage="0" showErrorMessage="0" allowBlank="0" type="list">
      <formula1>"Pauschale,Nachweis,Unbekannt"</formula1>
    </dataValidation>
    <dataValidation sqref="C3911" showDropDown="0" showInputMessage="0" showErrorMessage="0" allowBlank="0" type="list">
      <formula1>"Pauschale,Nachweis,Unbekannt"</formula1>
    </dataValidation>
    <dataValidation sqref="C3912" showDropDown="0" showInputMessage="0" showErrorMessage="0" allowBlank="0" type="list">
      <formula1>"Pauschale,Nachweis,Unbekannt"</formula1>
    </dataValidation>
    <dataValidation sqref="C3913" showDropDown="0" showInputMessage="0" showErrorMessage="0" allowBlank="0" type="list">
      <formula1>"Pauschale,Nachweis,Unbekannt"</formula1>
    </dataValidation>
    <dataValidation sqref="C3914" showDropDown="0" showInputMessage="0" showErrorMessage="0" allowBlank="0" type="list">
      <formula1>"Pauschale,Nachweis,Unbekannt"</formula1>
    </dataValidation>
    <dataValidation sqref="C3915" showDropDown="0" showInputMessage="0" showErrorMessage="0" allowBlank="0" type="list">
      <formula1>"Pauschale,Nachweis,Unbekannt"</formula1>
    </dataValidation>
    <dataValidation sqref="C3916" showDropDown="0" showInputMessage="0" showErrorMessage="0" allowBlank="0" type="list">
      <formula1>"Pauschale,Nachweis,Unbekannt"</formula1>
    </dataValidation>
    <dataValidation sqref="C3917" showDropDown="0" showInputMessage="0" showErrorMessage="0" allowBlank="0" type="list">
      <formula1>"Pauschale,Nachweis,Unbekannt"</formula1>
    </dataValidation>
    <dataValidation sqref="C3918" showDropDown="0" showInputMessage="0" showErrorMessage="0" allowBlank="0" type="list">
      <formula1>"Pauschale,Nachweis,Unbekannt"</formula1>
    </dataValidation>
    <dataValidation sqref="C3919" showDropDown="0" showInputMessage="0" showErrorMessage="0" allowBlank="0" type="list">
      <formula1>"Pauschale,Nachweis,Unbekannt"</formula1>
    </dataValidation>
    <dataValidation sqref="C3920" showDropDown="0" showInputMessage="0" showErrorMessage="0" allowBlank="0" type="list">
      <formula1>"Pauschale,Nachweis,Unbekannt"</formula1>
    </dataValidation>
    <dataValidation sqref="C3921" showDropDown="0" showInputMessage="0" showErrorMessage="0" allowBlank="0" type="list">
      <formula1>"Pauschale,Nachweis,Unbekannt"</formula1>
    </dataValidation>
    <dataValidation sqref="C3922" showDropDown="0" showInputMessage="0" showErrorMessage="0" allowBlank="0" type="list">
      <formula1>"Pauschale,Nachweis,Unbekannt"</formula1>
    </dataValidation>
    <dataValidation sqref="C3923" showDropDown="0" showInputMessage="0" showErrorMessage="0" allowBlank="0" type="list">
      <formula1>"Pauschale,Nachweis,Unbekannt"</formula1>
    </dataValidation>
    <dataValidation sqref="C3924" showDropDown="0" showInputMessage="0" showErrorMessage="0" allowBlank="0" type="list">
      <formula1>"Pauschale,Nachweis,Unbekannt"</formula1>
    </dataValidation>
    <dataValidation sqref="C3925" showDropDown="0" showInputMessage="0" showErrorMessage="0" allowBlank="0" type="list">
      <formula1>"Pauschale,Nachweis,Unbekannt"</formula1>
    </dataValidation>
    <dataValidation sqref="C3926" showDropDown="0" showInputMessage="0" showErrorMessage="0" allowBlank="0" type="list">
      <formula1>"Pauschale,Nachweis,Unbekannt"</formula1>
    </dataValidation>
    <dataValidation sqref="C3927" showDropDown="0" showInputMessage="0" showErrorMessage="0" allowBlank="0" type="list">
      <formula1>"Pauschale,Nachweis,Unbekannt"</formula1>
    </dataValidation>
    <dataValidation sqref="C3928" showDropDown="0" showInputMessage="0" showErrorMessage="0" allowBlank="0" type="list">
      <formula1>"Pauschale,Nachweis,Unbekannt"</formula1>
    </dataValidation>
    <dataValidation sqref="C3929" showDropDown="0" showInputMessage="0" showErrorMessage="0" allowBlank="0" type="list">
      <formula1>"Pauschale,Nachweis,Unbekannt"</formula1>
    </dataValidation>
    <dataValidation sqref="C3930" showDropDown="0" showInputMessage="0" showErrorMessage="0" allowBlank="0" type="list">
      <formula1>"Pauschale,Nachweis,Unbekannt"</formula1>
    </dataValidation>
    <dataValidation sqref="C3931" showDropDown="0" showInputMessage="0" showErrorMessage="0" allowBlank="0" type="list">
      <formula1>"Pauschale,Nachweis,Unbekannt"</formula1>
    </dataValidation>
    <dataValidation sqref="C3932" showDropDown="0" showInputMessage="0" showErrorMessage="0" allowBlank="0" type="list">
      <formula1>"Pauschale,Nachweis,Unbekannt"</formula1>
    </dataValidation>
    <dataValidation sqref="C3933" showDropDown="0" showInputMessage="0" showErrorMessage="0" allowBlank="0" type="list">
      <formula1>"Pauschale,Nachweis,Unbekannt"</formula1>
    </dataValidation>
    <dataValidation sqref="C3934" showDropDown="0" showInputMessage="0" showErrorMessage="0" allowBlank="0" type="list">
      <formula1>"Pauschale,Nachweis,Unbekannt"</formula1>
    </dataValidation>
    <dataValidation sqref="C3935" showDropDown="0" showInputMessage="0" showErrorMessage="0" allowBlank="0" type="list">
      <formula1>"Pauschale,Nachweis,Unbekannt"</formula1>
    </dataValidation>
    <dataValidation sqref="C3936" showDropDown="0" showInputMessage="0" showErrorMessage="0" allowBlank="0" type="list">
      <formula1>"Pauschale,Nachweis,Unbekannt"</formula1>
    </dataValidation>
    <dataValidation sqref="C3937" showDropDown="0" showInputMessage="0" showErrorMessage="0" allowBlank="0" type="list">
      <formula1>"Pauschale,Nachweis,Unbekannt"</formula1>
    </dataValidation>
    <dataValidation sqref="C3938" showDropDown="0" showInputMessage="0" showErrorMessage="0" allowBlank="0" type="list">
      <formula1>"Pauschale,Nachweis,Unbekannt"</formula1>
    </dataValidation>
    <dataValidation sqref="C3939" showDropDown="0" showInputMessage="0" showErrorMessage="0" allowBlank="0" type="list">
      <formula1>"Pauschale,Nachweis,Unbekannt"</formula1>
    </dataValidation>
    <dataValidation sqref="C3940" showDropDown="0" showInputMessage="0" showErrorMessage="0" allowBlank="0" type="list">
      <formula1>"Pauschale,Nachweis,Unbekannt"</formula1>
    </dataValidation>
    <dataValidation sqref="C3941" showDropDown="0" showInputMessage="0" showErrorMessage="0" allowBlank="0" type="list">
      <formula1>"Pauschale,Nachweis,Unbekannt"</formula1>
    </dataValidation>
    <dataValidation sqref="C3942" showDropDown="0" showInputMessage="0" showErrorMessage="0" allowBlank="0" type="list">
      <formula1>"Pauschale,Nachweis,Unbekannt"</formula1>
    </dataValidation>
    <dataValidation sqref="C3943" showDropDown="0" showInputMessage="0" showErrorMessage="0" allowBlank="0" type="list">
      <formula1>"Pauschale,Nachweis,Unbekannt"</formula1>
    </dataValidation>
    <dataValidation sqref="C3944" showDropDown="0" showInputMessage="0" showErrorMessage="0" allowBlank="0" type="list">
      <formula1>"Pauschale,Nachweis,Unbekannt"</formula1>
    </dataValidation>
    <dataValidation sqref="C3945" showDropDown="0" showInputMessage="0" showErrorMessage="0" allowBlank="0" type="list">
      <formula1>"Pauschale,Nachweis,Unbekannt"</formula1>
    </dataValidation>
    <dataValidation sqref="C3946" showDropDown="0" showInputMessage="0" showErrorMessage="0" allowBlank="0" type="list">
      <formula1>"Pauschale,Nachweis,Unbekannt"</formula1>
    </dataValidation>
    <dataValidation sqref="C3947" showDropDown="0" showInputMessage="0" showErrorMessage="0" allowBlank="0" type="list">
      <formula1>"Pauschale,Nachweis,Unbekannt"</formula1>
    </dataValidation>
    <dataValidation sqref="C3948" showDropDown="0" showInputMessage="0" showErrorMessage="0" allowBlank="0" type="list">
      <formula1>"Pauschale,Nachweis,Unbekannt"</formula1>
    </dataValidation>
    <dataValidation sqref="C3949" showDropDown="0" showInputMessage="0" showErrorMessage="0" allowBlank="0" type="list">
      <formula1>"Pauschale,Nachweis,Unbekannt"</formula1>
    </dataValidation>
    <dataValidation sqref="C3950" showDropDown="0" showInputMessage="0" showErrorMessage="0" allowBlank="0" type="list">
      <formula1>"Pauschale,Nachweis,Unbekannt"</formula1>
    </dataValidation>
    <dataValidation sqref="C3951" showDropDown="0" showInputMessage="0" showErrorMessage="0" allowBlank="0" type="list">
      <formula1>"Pauschale,Nachweis,Unbekannt"</formula1>
    </dataValidation>
    <dataValidation sqref="C3952" showDropDown="0" showInputMessage="0" showErrorMessage="0" allowBlank="0" type="list">
      <formula1>"Pauschale,Nachweis,Unbekannt"</formula1>
    </dataValidation>
    <dataValidation sqref="C3953" showDropDown="0" showInputMessage="0" showErrorMessage="0" allowBlank="0" type="list">
      <formula1>"Pauschale,Nachweis,Unbekannt"</formula1>
    </dataValidation>
    <dataValidation sqref="C3954" showDropDown="0" showInputMessage="0" showErrorMessage="0" allowBlank="0" type="list">
      <formula1>"Pauschale,Nachweis,Unbekannt"</formula1>
    </dataValidation>
    <dataValidation sqref="C3955" showDropDown="0" showInputMessage="0" showErrorMessage="0" allowBlank="0" type="list">
      <formula1>"Pauschale,Nachweis,Unbekannt"</formula1>
    </dataValidation>
    <dataValidation sqref="C3956" showDropDown="0" showInputMessage="0" showErrorMessage="0" allowBlank="0" type="list">
      <formula1>"Pauschale,Nachweis,Unbekannt"</formula1>
    </dataValidation>
    <dataValidation sqref="C3957" showDropDown="0" showInputMessage="0" showErrorMessage="0" allowBlank="0" type="list">
      <formula1>"Pauschale,Nachweis,Unbekannt"</formula1>
    </dataValidation>
    <dataValidation sqref="C3958" showDropDown="0" showInputMessage="0" showErrorMessage="0" allowBlank="0" type="list">
      <formula1>"Pauschale,Nachweis,Unbekannt"</formula1>
    </dataValidation>
    <dataValidation sqref="C3959" showDropDown="0" showInputMessage="0" showErrorMessage="0" allowBlank="0" type="list">
      <formula1>"Pauschale,Nachweis,Unbekannt"</formula1>
    </dataValidation>
    <dataValidation sqref="C3960" showDropDown="0" showInputMessage="0" showErrorMessage="0" allowBlank="0" type="list">
      <formula1>"Pauschale,Nachweis,Unbekannt"</formula1>
    </dataValidation>
    <dataValidation sqref="C3961" showDropDown="0" showInputMessage="0" showErrorMessage="0" allowBlank="0" type="list">
      <formula1>"Pauschale,Nachweis,Unbekannt"</formula1>
    </dataValidation>
    <dataValidation sqref="C3962" showDropDown="0" showInputMessage="0" showErrorMessage="0" allowBlank="0" type="list">
      <formula1>"Pauschale,Nachweis,Unbekannt"</formula1>
    </dataValidation>
    <dataValidation sqref="C3963" showDropDown="0" showInputMessage="0" showErrorMessage="0" allowBlank="0" type="list">
      <formula1>"Pauschale,Nachweis,Unbekannt"</formula1>
    </dataValidation>
    <dataValidation sqref="C3964" showDropDown="0" showInputMessage="0" showErrorMessage="0" allowBlank="0" type="list">
      <formula1>"Pauschale,Nachweis,Unbekannt"</formula1>
    </dataValidation>
    <dataValidation sqref="C3965" showDropDown="0" showInputMessage="0" showErrorMessage="0" allowBlank="0" type="list">
      <formula1>"Pauschale,Nachweis,Unbekannt"</formula1>
    </dataValidation>
    <dataValidation sqref="C3966" showDropDown="0" showInputMessage="0" showErrorMessage="0" allowBlank="0" type="list">
      <formula1>"Pauschale,Nachweis,Unbekannt"</formula1>
    </dataValidation>
    <dataValidation sqref="C3967" showDropDown="0" showInputMessage="0" showErrorMessage="0" allowBlank="0" type="list">
      <formula1>"Pauschale,Nachweis,Unbekannt"</formula1>
    </dataValidation>
    <dataValidation sqref="C3968" showDropDown="0" showInputMessage="0" showErrorMessage="0" allowBlank="0" type="list">
      <formula1>"Pauschale,Nachweis,Unbekannt"</formula1>
    </dataValidation>
    <dataValidation sqref="C3969" showDropDown="0" showInputMessage="0" showErrorMessage="0" allowBlank="0" type="list">
      <formula1>"Pauschale,Nachweis,Unbekannt"</formula1>
    </dataValidation>
    <dataValidation sqref="C3970" showDropDown="0" showInputMessage="0" showErrorMessage="0" allowBlank="0" type="list">
      <formula1>"Pauschale,Nachweis,Unbekannt"</formula1>
    </dataValidation>
    <dataValidation sqref="C3971" showDropDown="0" showInputMessage="0" showErrorMessage="0" allowBlank="0" type="list">
      <formula1>"Pauschale,Nachweis,Unbekannt"</formula1>
    </dataValidation>
    <dataValidation sqref="C3972" showDropDown="0" showInputMessage="0" showErrorMessage="0" allowBlank="0" type="list">
      <formula1>"Pauschale,Nachweis,Unbekannt"</formula1>
    </dataValidation>
    <dataValidation sqref="C3973" showDropDown="0" showInputMessage="0" showErrorMessage="0" allowBlank="0" type="list">
      <formula1>"Pauschale,Nachweis,Unbekannt"</formula1>
    </dataValidation>
    <dataValidation sqref="C3974" showDropDown="0" showInputMessage="0" showErrorMessage="0" allowBlank="0" type="list">
      <formula1>"Pauschale,Nachweis,Unbekannt"</formula1>
    </dataValidation>
    <dataValidation sqref="C3975" showDropDown="0" showInputMessage="0" showErrorMessage="0" allowBlank="0" type="list">
      <formula1>"Pauschale,Nachweis,Unbekannt"</formula1>
    </dataValidation>
    <dataValidation sqref="C3976" showDropDown="0" showInputMessage="0" showErrorMessage="0" allowBlank="0" type="list">
      <formula1>"Pauschale,Nachweis,Unbekannt"</formula1>
    </dataValidation>
    <dataValidation sqref="C3977" showDropDown="0" showInputMessage="0" showErrorMessage="0" allowBlank="0" type="list">
      <formula1>"Pauschale,Nachweis,Unbekannt"</formula1>
    </dataValidation>
    <dataValidation sqref="C3978" showDropDown="0" showInputMessage="0" showErrorMessage="0" allowBlank="0" type="list">
      <formula1>"Pauschale,Nachweis,Unbekannt"</formula1>
    </dataValidation>
    <dataValidation sqref="C3979" showDropDown="0" showInputMessage="0" showErrorMessage="0" allowBlank="0" type="list">
      <formula1>"Pauschale,Nachweis,Unbekannt"</formula1>
    </dataValidation>
    <dataValidation sqref="C3980" showDropDown="0" showInputMessage="0" showErrorMessage="0" allowBlank="0" type="list">
      <formula1>"Pauschale,Nachweis,Unbekannt"</formula1>
    </dataValidation>
    <dataValidation sqref="C3981" showDropDown="0" showInputMessage="0" showErrorMessage="0" allowBlank="0" type="list">
      <formula1>"Pauschale,Nachweis,Unbekannt"</formula1>
    </dataValidation>
    <dataValidation sqref="C3982" showDropDown="0" showInputMessage="0" showErrorMessage="0" allowBlank="0" type="list">
      <formula1>"Pauschale,Nachweis,Unbekannt"</formula1>
    </dataValidation>
    <dataValidation sqref="C3983" showDropDown="0" showInputMessage="0" showErrorMessage="0" allowBlank="0" type="list">
      <formula1>"Pauschale,Nachweis,Unbekannt"</formula1>
    </dataValidation>
    <dataValidation sqref="C3984" showDropDown="0" showInputMessage="0" showErrorMessage="0" allowBlank="0" type="list">
      <formula1>"Pauschale,Nachweis,Unbekannt"</formula1>
    </dataValidation>
    <dataValidation sqref="C3985" showDropDown="0" showInputMessage="0" showErrorMessage="0" allowBlank="0" type="list">
      <formula1>"Pauschale,Nachweis,Unbekannt"</formula1>
    </dataValidation>
    <dataValidation sqref="C3986" showDropDown="0" showInputMessage="0" showErrorMessage="0" allowBlank="0" type="list">
      <formula1>"Pauschale,Nachweis,Unbekannt"</formula1>
    </dataValidation>
    <dataValidation sqref="C3987" showDropDown="0" showInputMessage="0" showErrorMessage="0" allowBlank="0" type="list">
      <formula1>"Pauschale,Nachweis,Unbekannt"</formula1>
    </dataValidation>
    <dataValidation sqref="C3988" showDropDown="0" showInputMessage="0" showErrorMessage="0" allowBlank="0" type="list">
      <formula1>"Pauschale,Nachweis,Unbekannt"</formula1>
    </dataValidation>
    <dataValidation sqref="C3989" showDropDown="0" showInputMessage="0" showErrorMessage="0" allowBlank="0" type="list">
      <formula1>"Pauschale,Nachweis,Unbekannt"</formula1>
    </dataValidation>
    <dataValidation sqref="C3990" showDropDown="0" showInputMessage="0" showErrorMessage="0" allowBlank="0" type="list">
      <formula1>"Pauschale,Nachweis,Unbekannt"</formula1>
    </dataValidation>
    <dataValidation sqref="C3991" showDropDown="0" showInputMessage="0" showErrorMessage="0" allowBlank="0" type="list">
      <formula1>"Pauschale,Nachweis,Unbekannt"</formula1>
    </dataValidation>
    <dataValidation sqref="C3992" showDropDown="0" showInputMessage="0" showErrorMessage="0" allowBlank="0" type="list">
      <formula1>"Pauschale,Nachweis,Unbekannt"</formula1>
    </dataValidation>
    <dataValidation sqref="C3993" showDropDown="0" showInputMessage="0" showErrorMessage="0" allowBlank="0" type="list">
      <formula1>"Pauschale,Nachweis,Unbekannt"</formula1>
    </dataValidation>
    <dataValidation sqref="C3994" showDropDown="0" showInputMessage="0" showErrorMessage="0" allowBlank="0" type="list">
      <formula1>"Pauschale,Nachweis,Unbekannt"</formula1>
    </dataValidation>
    <dataValidation sqref="C3995" showDropDown="0" showInputMessage="0" showErrorMessage="0" allowBlank="0" type="list">
      <formula1>"Pauschale,Nachweis,Unbekannt"</formula1>
    </dataValidation>
    <dataValidation sqref="C3996" showDropDown="0" showInputMessage="0" showErrorMessage="0" allowBlank="0" type="list">
      <formula1>"Pauschale,Nachweis,Unbekannt"</formula1>
    </dataValidation>
    <dataValidation sqref="C3997" showDropDown="0" showInputMessage="0" showErrorMessage="0" allowBlank="0" type="list">
      <formula1>"Pauschale,Nachweis,Unbekannt"</formula1>
    </dataValidation>
    <dataValidation sqref="C3998" showDropDown="0" showInputMessage="0" showErrorMessage="0" allowBlank="0" type="list">
      <formula1>"Pauschale,Nachweis,Unbekannt"</formula1>
    </dataValidation>
    <dataValidation sqref="C3999" showDropDown="0" showInputMessage="0" showErrorMessage="0" allowBlank="0" type="list">
      <formula1>"Pauschale,Nachweis,Unbekannt"</formula1>
    </dataValidation>
    <dataValidation sqref="C4000" showDropDown="0" showInputMessage="0" showErrorMessage="0" allowBlank="0" type="list">
      <formula1>"Pauschale,Nachweis,Unbekannt"</formula1>
    </dataValidation>
    <dataValidation sqref="C4001" showDropDown="0" showInputMessage="0" showErrorMessage="0" allowBlank="0" type="list">
      <formula1>"Pauschale,Nachweis,Unbekannt"</formula1>
    </dataValidation>
    <dataValidation sqref="C4002" showDropDown="0" showInputMessage="0" showErrorMessage="0" allowBlank="0" type="list">
      <formula1>"Pauschale,Nachweis,Unbekannt"</formula1>
    </dataValidation>
    <dataValidation sqref="C4003" showDropDown="0" showInputMessage="0" showErrorMessage="0" allowBlank="0" type="list">
      <formula1>"Pauschale,Nachweis,Unbekannt"</formula1>
    </dataValidation>
    <dataValidation sqref="C4004" showDropDown="0" showInputMessage="0" showErrorMessage="0" allowBlank="0" type="list">
      <formula1>"Pauschale,Nachweis,Unbekannt"</formula1>
    </dataValidation>
    <dataValidation sqref="C4005" showDropDown="0" showInputMessage="0" showErrorMessage="0" allowBlank="0" type="list">
      <formula1>"Pauschale,Nachweis,Unbekannt"</formula1>
    </dataValidation>
    <dataValidation sqref="C4006" showDropDown="0" showInputMessage="0" showErrorMessage="0" allowBlank="0" type="list">
      <formula1>"Pauschale,Nachweis,Unbekannt"</formula1>
    </dataValidation>
    <dataValidation sqref="C4007" showDropDown="0" showInputMessage="0" showErrorMessage="0" allowBlank="0" type="list">
      <formula1>"Pauschale,Nachweis,Unbekannt"</formula1>
    </dataValidation>
    <dataValidation sqref="C4008" showDropDown="0" showInputMessage="0" showErrorMessage="0" allowBlank="0" type="list">
      <formula1>"Pauschale,Nachweis,Unbekannt"</formula1>
    </dataValidation>
    <dataValidation sqref="C4009" showDropDown="0" showInputMessage="0" showErrorMessage="0" allowBlank="0" type="list">
      <formula1>"Pauschale,Nachweis,Unbekannt"</formula1>
    </dataValidation>
    <dataValidation sqref="C4010" showDropDown="0" showInputMessage="0" showErrorMessage="0" allowBlank="0" type="list">
      <formula1>"Pauschale,Nachweis,Unbekannt"</formula1>
    </dataValidation>
    <dataValidation sqref="C4011" showDropDown="0" showInputMessage="0" showErrorMessage="0" allowBlank="0" type="list">
      <formula1>"Pauschale,Nachweis,Unbekannt"</formula1>
    </dataValidation>
    <dataValidation sqref="C4012" showDropDown="0" showInputMessage="0" showErrorMessage="0" allowBlank="0" type="list">
      <formula1>"Pauschale,Nachweis,Unbekannt"</formula1>
    </dataValidation>
    <dataValidation sqref="C4013" showDropDown="0" showInputMessage="0" showErrorMessage="0" allowBlank="0" type="list">
      <formula1>"Pauschale,Nachweis,Unbekannt"</formula1>
    </dataValidation>
    <dataValidation sqref="C4014" showDropDown="0" showInputMessage="0" showErrorMessage="0" allowBlank="0" type="list">
      <formula1>"Pauschale,Nachweis,Unbekannt"</formula1>
    </dataValidation>
    <dataValidation sqref="C4015" showDropDown="0" showInputMessage="0" showErrorMessage="0" allowBlank="0" type="list">
      <formula1>"Pauschale,Nachweis,Unbekannt"</formula1>
    </dataValidation>
    <dataValidation sqref="C4016" showDropDown="0" showInputMessage="0" showErrorMessage="0" allowBlank="0" type="list">
      <formula1>"Pauschale,Nachweis,Unbekannt"</formula1>
    </dataValidation>
    <dataValidation sqref="C4017" showDropDown="0" showInputMessage="0" showErrorMessage="0" allowBlank="0" type="list">
      <formula1>"Pauschale,Nachweis,Unbekannt"</formula1>
    </dataValidation>
    <dataValidation sqref="C4018" showDropDown="0" showInputMessage="0" showErrorMessage="0" allowBlank="0" type="list">
      <formula1>"Pauschale,Nachweis,Unbekannt"</formula1>
    </dataValidation>
    <dataValidation sqref="C4019" showDropDown="0" showInputMessage="0" showErrorMessage="0" allowBlank="0" type="list">
      <formula1>"Pauschale,Nachweis,Unbekannt"</formula1>
    </dataValidation>
    <dataValidation sqref="C4020" showDropDown="0" showInputMessage="0" showErrorMessage="0" allowBlank="0" type="list">
      <formula1>"Pauschale,Nachweis,Unbekannt"</formula1>
    </dataValidation>
    <dataValidation sqref="C4021" showDropDown="0" showInputMessage="0" showErrorMessage="0" allowBlank="0" type="list">
      <formula1>"Pauschale,Nachweis,Unbekannt"</formula1>
    </dataValidation>
    <dataValidation sqref="C4022" showDropDown="0" showInputMessage="0" showErrorMessage="0" allowBlank="0" type="list">
      <formula1>"Pauschale,Nachweis,Unbekannt"</formula1>
    </dataValidation>
    <dataValidation sqref="C4023" showDropDown="0" showInputMessage="0" showErrorMessage="0" allowBlank="0" type="list">
      <formula1>"Pauschale,Nachweis,Unbekannt"</formula1>
    </dataValidation>
    <dataValidation sqref="C4024" showDropDown="0" showInputMessage="0" showErrorMessage="0" allowBlank="0" type="list">
      <formula1>"Pauschale,Nachweis,Unbekannt"</formula1>
    </dataValidation>
    <dataValidation sqref="C4025" showDropDown="0" showInputMessage="0" showErrorMessage="0" allowBlank="0" type="list">
      <formula1>"Pauschale,Nachweis,Unbekannt"</formula1>
    </dataValidation>
    <dataValidation sqref="C4026" showDropDown="0" showInputMessage="0" showErrorMessage="0" allowBlank="0" type="list">
      <formula1>"Pauschale,Nachweis,Unbekannt"</formula1>
    </dataValidation>
    <dataValidation sqref="C4027" showDropDown="0" showInputMessage="0" showErrorMessage="0" allowBlank="0" type="list">
      <formula1>"Pauschale,Nachweis,Unbekannt"</formula1>
    </dataValidation>
    <dataValidation sqref="C4028" showDropDown="0" showInputMessage="0" showErrorMessage="0" allowBlank="0" type="list">
      <formula1>"Pauschale,Nachweis,Unbekannt"</formula1>
    </dataValidation>
    <dataValidation sqref="C4029" showDropDown="0" showInputMessage="0" showErrorMessage="0" allowBlank="0" type="list">
      <formula1>"Pauschale,Nachweis,Unbekannt"</formula1>
    </dataValidation>
    <dataValidation sqref="C4030" showDropDown="0" showInputMessage="0" showErrorMessage="0" allowBlank="0" type="list">
      <formula1>"Pauschale,Nachweis,Unbekannt"</formula1>
    </dataValidation>
    <dataValidation sqref="C4031" showDropDown="0" showInputMessage="0" showErrorMessage="0" allowBlank="0" type="list">
      <formula1>"Pauschale,Nachweis,Unbekannt"</formula1>
    </dataValidation>
    <dataValidation sqref="C4032" showDropDown="0" showInputMessage="0" showErrorMessage="0" allowBlank="0" type="list">
      <formula1>"Pauschale,Nachweis,Unbekannt"</formula1>
    </dataValidation>
    <dataValidation sqref="C4033" showDropDown="0" showInputMessage="0" showErrorMessage="0" allowBlank="0" type="list">
      <formula1>"Pauschale,Nachweis,Unbekannt"</formula1>
    </dataValidation>
    <dataValidation sqref="C4034" showDropDown="0" showInputMessage="0" showErrorMessage="0" allowBlank="0" type="list">
      <formula1>"Pauschale,Nachweis,Unbekannt"</formula1>
    </dataValidation>
    <dataValidation sqref="C4035" showDropDown="0" showInputMessage="0" showErrorMessage="0" allowBlank="0" type="list">
      <formula1>"Pauschale,Nachweis,Unbekannt"</formula1>
    </dataValidation>
    <dataValidation sqref="C4036" showDropDown="0" showInputMessage="0" showErrorMessage="0" allowBlank="0" type="list">
      <formula1>"Pauschale,Nachweis,Unbekannt"</formula1>
    </dataValidation>
    <dataValidation sqref="C4037" showDropDown="0" showInputMessage="0" showErrorMessage="0" allowBlank="0" type="list">
      <formula1>"Pauschale,Nachweis,Unbekannt"</formula1>
    </dataValidation>
    <dataValidation sqref="C4038" showDropDown="0" showInputMessage="0" showErrorMessage="0" allowBlank="0" type="list">
      <formula1>"Pauschale,Nachweis,Unbekannt"</formula1>
    </dataValidation>
    <dataValidation sqref="C4039" showDropDown="0" showInputMessage="0" showErrorMessage="0" allowBlank="0" type="list">
      <formula1>"Pauschale,Nachweis,Unbekannt"</formula1>
    </dataValidation>
    <dataValidation sqref="C4040" showDropDown="0" showInputMessage="0" showErrorMessage="0" allowBlank="0" type="list">
      <formula1>"Pauschale,Nachweis,Unbekannt"</formula1>
    </dataValidation>
    <dataValidation sqref="C4041" showDropDown="0" showInputMessage="0" showErrorMessage="0" allowBlank="0" type="list">
      <formula1>"Pauschale,Nachweis,Unbekannt"</formula1>
    </dataValidation>
    <dataValidation sqref="C4042" showDropDown="0" showInputMessage="0" showErrorMessage="0" allowBlank="0" type="list">
      <formula1>"Pauschale,Nachweis,Unbekannt"</formula1>
    </dataValidation>
    <dataValidation sqref="C4043" showDropDown="0" showInputMessage="0" showErrorMessage="0" allowBlank="0" type="list">
      <formula1>"Pauschale,Nachweis,Unbekannt"</formula1>
    </dataValidation>
    <dataValidation sqref="C4044" showDropDown="0" showInputMessage="0" showErrorMessage="0" allowBlank="0" type="list">
      <formula1>"Pauschale,Nachweis,Unbekannt"</formula1>
    </dataValidation>
    <dataValidation sqref="C4045" showDropDown="0" showInputMessage="0" showErrorMessage="0" allowBlank="0" type="list">
      <formula1>"Pauschale,Nachweis,Unbekannt"</formula1>
    </dataValidation>
    <dataValidation sqref="C4046" showDropDown="0" showInputMessage="0" showErrorMessage="0" allowBlank="0" type="list">
      <formula1>"Pauschale,Nachweis,Unbekannt"</formula1>
    </dataValidation>
    <dataValidation sqref="C4047" showDropDown="0" showInputMessage="0" showErrorMessage="0" allowBlank="0" type="list">
      <formula1>"Pauschale,Nachweis,Unbekannt"</formula1>
    </dataValidation>
    <dataValidation sqref="C4048" showDropDown="0" showInputMessage="0" showErrorMessage="0" allowBlank="0" type="list">
      <formula1>"Pauschale,Nachweis,Unbekannt"</formula1>
    </dataValidation>
    <dataValidation sqref="C4049" showDropDown="0" showInputMessage="0" showErrorMessage="0" allowBlank="0" type="list">
      <formula1>"Pauschale,Nachweis,Unbekannt"</formula1>
    </dataValidation>
    <dataValidation sqref="C4050" showDropDown="0" showInputMessage="0" showErrorMessage="0" allowBlank="0" type="list">
      <formula1>"Pauschale,Nachweis,Unbekannt"</formula1>
    </dataValidation>
    <dataValidation sqref="C4051" showDropDown="0" showInputMessage="0" showErrorMessage="0" allowBlank="0" type="list">
      <formula1>"Pauschale,Nachweis,Unbekannt"</formula1>
    </dataValidation>
    <dataValidation sqref="C4052" showDropDown="0" showInputMessage="0" showErrorMessage="0" allowBlank="0" type="list">
      <formula1>"Pauschale,Nachweis,Unbekannt"</formula1>
    </dataValidation>
    <dataValidation sqref="C4053" showDropDown="0" showInputMessage="0" showErrorMessage="0" allowBlank="0" type="list">
      <formula1>"Pauschale,Nachweis,Unbekannt"</formula1>
    </dataValidation>
    <dataValidation sqref="C4054" showDropDown="0" showInputMessage="0" showErrorMessage="0" allowBlank="0" type="list">
      <formula1>"Pauschale,Nachweis,Unbekannt"</formula1>
    </dataValidation>
    <dataValidation sqref="C4055" showDropDown="0" showInputMessage="0" showErrorMessage="0" allowBlank="0" type="list">
      <formula1>"Pauschale,Nachweis,Unbekannt"</formula1>
    </dataValidation>
    <dataValidation sqref="C4056" showDropDown="0" showInputMessage="0" showErrorMessage="0" allowBlank="0" type="list">
      <formula1>"Pauschale,Nachweis,Unbekannt"</formula1>
    </dataValidation>
    <dataValidation sqref="C4057" showDropDown="0" showInputMessage="0" showErrorMessage="0" allowBlank="0" type="list">
      <formula1>"Pauschale,Nachweis,Unbekannt"</formula1>
    </dataValidation>
    <dataValidation sqref="C4058" showDropDown="0" showInputMessage="0" showErrorMessage="0" allowBlank="0" type="list">
      <formula1>"Pauschale,Nachweis,Unbekannt"</formula1>
    </dataValidation>
    <dataValidation sqref="C4059" showDropDown="0" showInputMessage="0" showErrorMessage="0" allowBlank="0" type="list">
      <formula1>"Pauschale,Nachweis,Unbekannt"</formula1>
    </dataValidation>
    <dataValidation sqref="C4060" showDropDown="0" showInputMessage="0" showErrorMessage="0" allowBlank="0" type="list">
      <formula1>"Pauschale,Nachweis,Unbekannt"</formula1>
    </dataValidation>
    <dataValidation sqref="C4061" showDropDown="0" showInputMessage="0" showErrorMessage="0" allowBlank="0" type="list">
      <formula1>"Pauschale,Nachweis,Unbekannt"</formula1>
    </dataValidation>
    <dataValidation sqref="C4062" showDropDown="0" showInputMessage="0" showErrorMessage="0" allowBlank="0" type="list">
      <formula1>"Pauschale,Nachweis,Unbekannt"</formula1>
    </dataValidation>
    <dataValidation sqref="C4063" showDropDown="0" showInputMessage="0" showErrorMessage="0" allowBlank="0" type="list">
      <formula1>"Pauschale,Nachweis,Unbekannt"</formula1>
    </dataValidation>
    <dataValidation sqref="C4064" showDropDown="0" showInputMessage="0" showErrorMessage="0" allowBlank="0" type="list">
      <formula1>"Pauschale,Nachweis,Unbekannt"</formula1>
    </dataValidation>
    <dataValidation sqref="C4065" showDropDown="0" showInputMessage="0" showErrorMessage="0" allowBlank="0" type="list">
      <formula1>"Pauschale,Nachweis,Unbekannt"</formula1>
    </dataValidation>
    <dataValidation sqref="C4066" showDropDown="0" showInputMessage="0" showErrorMessage="0" allowBlank="0" type="list">
      <formula1>"Pauschale,Nachweis,Unbekannt"</formula1>
    </dataValidation>
    <dataValidation sqref="C4067" showDropDown="0" showInputMessage="0" showErrorMessage="0" allowBlank="0" type="list">
      <formula1>"Pauschale,Nachweis,Unbekannt"</formula1>
    </dataValidation>
    <dataValidation sqref="C4068" showDropDown="0" showInputMessage="0" showErrorMessage="0" allowBlank="0" type="list">
      <formula1>"Pauschale,Nachweis,Unbekannt"</formula1>
    </dataValidation>
    <dataValidation sqref="C4069" showDropDown="0" showInputMessage="0" showErrorMessage="0" allowBlank="0" type="list">
      <formula1>"Pauschale,Nachweis,Unbekannt"</formula1>
    </dataValidation>
    <dataValidation sqref="C4070" showDropDown="0" showInputMessage="0" showErrorMessage="0" allowBlank="0" type="list">
      <formula1>"Pauschale,Nachweis,Unbekannt"</formula1>
    </dataValidation>
    <dataValidation sqref="C4071" showDropDown="0" showInputMessage="0" showErrorMessage="0" allowBlank="0" type="list">
      <formula1>"Pauschale,Nachweis,Unbekannt"</formula1>
    </dataValidation>
    <dataValidation sqref="C4072" showDropDown="0" showInputMessage="0" showErrorMessage="0" allowBlank="0" type="list">
      <formula1>"Pauschale,Nachweis,Unbekannt"</formula1>
    </dataValidation>
    <dataValidation sqref="C4073" showDropDown="0" showInputMessage="0" showErrorMessage="0" allowBlank="0" type="list">
      <formula1>"Pauschale,Nachweis,Unbekannt"</formula1>
    </dataValidation>
    <dataValidation sqref="C4074" showDropDown="0" showInputMessage="0" showErrorMessage="0" allowBlank="0" type="list">
      <formula1>"Pauschale,Nachweis,Unbekannt"</formula1>
    </dataValidation>
    <dataValidation sqref="C4075" showDropDown="0" showInputMessage="0" showErrorMessage="0" allowBlank="0" type="list">
      <formula1>"Pauschale,Nachweis,Unbekannt"</formula1>
    </dataValidation>
    <dataValidation sqref="C4076" showDropDown="0" showInputMessage="0" showErrorMessage="0" allowBlank="0" type="list">
      <formula1>"Pauschale,Nachweis,Unbekannt"</formula1>
    </dataValidation>
    <dataValidation sqref="C4077" showDropDown="0" showInputMessage="0" showErrorMessage="0" allowBlank="0" type="list">
      <formula1>"Pauschale,Nachweis,Unbekannt"</formula1>
    </dataValidation>
    <dataValidation sqref="C4078" showDropDown="0" showInputMessage="0" showErrorMessage="0" allowBlank="0" type="list">
      <formula1>"Pauschale,Nachweis,Unbekannt"</formula1>
    </dataValidation>
    <dataValidation sqref="C4079" showDropDown="0" showInputMessage="0" showErrorMessage="0" allowBlank="0" type="list">
      <formula1>"Pauschale,Nachweis,Unbekannt"</formula1>
    </dataValidation>
    <dataValidation sqref="C4080" showDropDown="0" showInputMessage="0" showErrorMessage="0" allowBlank="0" type="list">
      <formula1>"Pauschale,Nachweis,Unbekannt"</formula1>
    </dataValidation>
    <dataValidation sqref="C4081" showDropDown="0" showInputMessage="0" showErrorMessage="0" allowBlank="0" type="list">
      <formula1>"Pauschale,Nachweis,Unbekannt"</formula1>
    </dataValidation>
    <dataValidation sqref="C4082" showDropDown="0" showInputMessage="0" showErrorMessage="0" allowBlank="0" type="list">
      <formula1>"Pauschale,Nachweis,Unbekannt"</formula1>
    </dataValidation>
    <dataValidation sqref="C4083" showDropDown="0" showInputMessage="0" showErrorMessage="0" allowBlank="0" type="list">
      <formula1>"Pauschale,Nachweis,Unbekannt"</formula1>
    </dataValidation>
    <dataValidation sqref="C4084" showDropDown="0" showInputMessage="0" showErrorMessage="0" allowBlank="0" type="list">
      <formula1>"Pauschale,Nachweis,Unbekannt"</formula1>
    </dataValidation>
    <dataValidation sqref="C4085" showDropDown="0" showInputMessage="0" showErrorMessage="0" allowBlank="0" type="list">
      <formula1>"Pauschale,Nachweis,Unbekannt"</formula1>
    </dataValidation>
    <dataValidation sqref="C4086" showDropDown="0" showInputMessage="0" showErrorMessage="0" allowBlank="0" type="list">
      <formula1>"Pauschale,Nachweis,Unbekannt"</formula1>
    </dataValidation>
    <dataValidation sqref="C4087" showDropDown="0" showInputMessage="0" showErrorMessage="0" allowBlank="0" type="list">
      <formula1>"Pauschale,Nachweis,Unbekannt"</formula1>
    </dataValidation>
    <dataValidation sqref="C4088" showDropDown="0" showInputMessage="0" showErrorMessage="0" allowBlank="0" type="list">
      <formula1>"Pauschale,Nachweis,Unbekannt"</formula1>
    </dataValidation>
    <dataValidation sqref="C4089" showDropDown="0" showInputMessage="0" showErrorMessage="0" allowBlank="0" type="list">
      <formula1>"Pauschale,Nachweis,Unbekannt"</formula1>
    </dataValidation>
    <dataValidation sqref="C4090" showDropDown="0" showInputMessage="0" showErrorMessage="0" allowBlank="0" type="list">
      <formula1>"Pauschale,Nachweis,Unbekannt"</formula1>
    </dataValidation>
    <dataValidation sqref="C4091" showDropDown="0" showInputMessage="0" showErrorMessage="0" allowBlank="0" type="list">
      <formula1>"Pauschale,Nachweis,Unbekannt"</formula1>
    </dataValidation>
    <dataValidation sqref="C4092" showDropDown="0" showInputMessage="0" showErrorMessage="0" allowBlank="0" type="list">
      <formula1>"Pauschale,Nachweis,Unbekannt"</formula1>
    </dataValidation>
    <dataValidation sqref="C4093" showDropDown="0" showInputMessage="0" showErrorMessage="0" allowBlank="0" type="list">
      <formula1>"Pauschale,Nachweis,Unbekannt"</formula1>
    </dataValidation>
    <dataValidation sqref="C4094" showDropDown="0" showInputMessage="0" showErrorMessage="0" allowBlank="0" type="list">
      <formula1>"Pauschale,Nachweis,Unbekannt"</formula1>
    </dataValidation>
    <dataValidation sqref="C4095" showDropDown="0" showInputMessage="0" showErrorMessage="0" allowBlank="0" type="list">
      <formula1>"Pauschale,Nachweis,Unbekannt"</formula1>
    </dataValidation>
    <dataValidation sqref="C4096" showDropDown="0" showInputMessage="0" showErrorMessage="0" allowBlank="0" type="list">
      <formula1>"Pauschale,Nachweis,Unbekannt"</formula1>
    </dataValidation>
    <dataValidation sqref="C4097" showDropDown="0" showInputMessage="0" showErrorMessage="0" allowBlank="0" type="list">
      <formula1>"Pauschale,Nachweis,Unbekannt"</formula1>
    </dataValidation>
    <dataValidation sqref="C4098" showDropDown="0" showInputMessage="0" showErrorMessage="0" allowBlank="0" type="list">
      <formula1>"Pauschale,Nachweis,Unbekannt"</formula1>
    </dataValidation>
    <dataValidation sqref="C4099" showDropDown="0" showInputMessage="0" showErrorMessage="0" allowBlank="0" type="list">
      <formula1>"Pauschale,Nachweis,Unbekannt"</formula1>
    </dataValidation>
    <dataValidation sqref="C4100" showDropDown="0" showInputMessage="0" showErrorMessage="0" allowBlank="0" type="list">
      <formula1>"Pauschale,Nachweis,Unbekannt"</formula1>
    </dataValidation>
    <dataValidation sqref="C4101" showDropDown="0" showInputMessage="0" showErrorMessage="0" allowBlank="0" type="list">
      <formula1>"Pauschale,Nachweis,Unbekannt"</formula1>
    </dataValidation>
    <dataValidation sqref="C4102" showDropDown="0" showInputMessage="0" showErrorMessage="0" allowBlank="0" type="list">
      <formula1>"Pauschale,Nachweis,Unbekannt"</formula1>
    </dataValidation>
    <dataValidation sqref="C4103" showDropDown="0" showInputMessage="0" showErrorMessage="0" allowBlank="0" type="list">
      <formula1>"Pauschale,Nachweis,Unbekannt"</formula1>
    </dataValidation>
    <dataValidation sqref="C4104" showDropDown="0" showInputMessage="0" showErrorMessage="0" allowBlank="0" type="list">
      <formula1>"Pauschale,Nachweis,Unbekannt"</formula1>
    </dataValidation>
    <dataValidation sqref="C4105" showDropDown="0" showInputMessage="0" showErrorMessage="0" allowBlank="0" type="list">
      <formula1>"Pauschale,Nachweis,Unbekannt"</formula1>
    </dataValidation>
    <dataValidation sqref="C4106" showDropDown="0" showInputMessage="0" showErrorMessage="0" allowBlank="0" type="list">
      <formula1>"Pauschale,Nachweis,Unbekannt"</formula1>
    </dataValidation>
    <dataValidation sqref="C4107" showDropDown="0" showInputMessage="0" showErrorMessage="0" allowBlank="0" type="list">
      <formula1>"Pauschale,Nachweis,Unbekannt"</formula1>
    </dataValidation>
    <dataValidation sqref="C4108" showDropDown="0" showInputMessage="0" showErrorMessage="0" allowBlank="0" type="list">
      <formula1>"Pauschale,Nachweis,Unbekannt"</formula1>
    </dataValidation>
    <dataValidation sqref="C4109" showDropDown="0" showInputMessage="0" showErrorMessage="0" allowBlank="0" type="list">
      <formula1>"Pauschale,Nachweis,Unbekannt"</formula1>
    </dataValidation>
    <dataValidation sqref="C4110" showDropDown="0" showInputMessage="0" showErrorMessage="0" allowBlank="0" type="list">
      <formula1>"Pauschale,Nachweis,Unbekannt"</formula1>
    </dataValidation>
    <dataValidation sqref="C4111" showDropDown="0" showInputMessage="0" showErrorMessage="0" allowBlank="0" type="list">
      <formula1>"Pauschale,Nachweis,Unbekannt"</formula1>
    </dataValidation>
    <dataValidation sqref="C4112" showDropDown="0" showInputMessage="0" showErrorMessage="0" allowBlank="0" type="list">
      <formula1>"Pauschale,Nachweis,Unbekannt"</formula1>
    </dataValidation>
    <dataValidation sqref="C4113" showDropDown="0" showInputMessage="0" showErrorMessage="0" allowBlank="0" type="list">
      <formula1>"Pauschale,Nachweis,Unbekannt"</formula1>
    </dataValidation>
    <dataValidation sqref="C4114" showDropDown="0" showInputMessage="0" showErrorMessage="0" allowBlank="0" type="list">
      <formula1>"Pauschale,Nachweis,Unbekannt"</formula1>
    </dataValidation>
    <dataValidation sqref="C4115" showDropDown="0" showInputMessage="0" showErrorMessage="0" allowBlank="0" type="list">
      <formula1>"Pauschale,Nachweis,Unbekannt"</formula1>
    </dataValidation>
    <dataValidation sqref="C4116" showDropDown="0" showInputMessage="0" showErrorMessage="0" allowBlank="0" type="list">
      <formula1>"Pauschale,Nachweis,Unbekannt"</formula1>
    </dataValidation>
    <dataValidation sqref="C4117" showDropDown="0" showInputMessage="0" showErrorMessage="0" allowBlank="0" type="list">
      <formula1>"Pauschale,Nachweis,Unbekannt"</formula1>
    </dataValidation>
    <dataValidation sqref="C4118" showDropDown="0" showInputMessage="0" showErrorMessage="0" allowBlank="0" type="list">
      <formula1>"Pauschale,Nachweis,Unbekannt"</formula1>
    </dataValidation>
    <dataValidation sqref="C4119" showDropDown="0" showInputMessage="0" showErrorMessage="0" allowBlank="0" type="list">
      <formula1>"Pauschale,Nachweis,Unbekannt"</formula1>
    </dataValidation>
    <dataValidation sqref="C4120" showDropDown="0" showInputMessage="0" showErrorMessage="0" allowBlank="0" type="list">
      <formula1>"Pauschale,Nachweis,Unbekannt"</formula1>
    </dataValidation>
    <dataValidation sqref="C4121" showDropDown="0" showInputMessage="0" showErrorMessage="0" allowBlank="0" type="list">
      <formula1>"Pauschale,Nachweis,Unbekannt"</formula1>
    </dataValidation>
    <dataValidation sqref="C4122" showDropDown="0" showInputMessage="0" showErrorMessage="0" allowBlank="0" type="list">
      <formula1>"Pauschale,Nachweis,Unbekannt"</formula1>
    </dataValidation>
    <dataValidation sqref="C4123" showDropDown="0" showInputMessage="0" showErrorMessage="0" allowBlank="0" type="list">
      <formula1>"Pauschale,Nachweis,Unbekannt"</formula1>
    </dataValidation>
    <dataValidation sqref="C4124" showDropDown="0" showInputMessage="0" showErrorMessage="0" allowBlank="0" type="list">
      <formula1>"Pauschale,Nachweis,Unbekannt"</formula1>
    </dataValidation>
    <dataValidation sqref="C4125" showDropDown="0" showInputMessage="0" showErrorMessage="0" allowBlank="0" type="list">
      <formula1>"Pauschale,Nachweis,Unbekannt"</formula1>
    </dataValidation>
    <dataValidation sqref="C4126" showDropDown="0" showInputMessage="0" showErrorMessage="0" allowBlank="0" type="list">
      <formula1>"Pauschale,Nachweis,Unbekannt"</formula1>
    </dataValidation>
    <dataValidation sqref="C4127" showDropDown="0" showInputMessage="0" showErrorMessage="0" allowBlank="0" type="list">
      <formula1>"Pauschale,Nachweis,Unbekannt"</formula1>
    </dataValidation>
    <dataValidation sqref="C4128" showDropDown="0" showInputMessage="0" showErrorMessage="0" allowBlank="0" type="list">
      <formula1>"Pauschale,Nachweis,Unbekannt"</formula1>
    </dataValidation>
    <dataValidation sqref="C4129" showDropDown="0" showInputMessage="0" showErrorMessage="0" allowBlank="0" type="list">
      <formula1>"Pauschale,Nachweis,Unbekannt"</formula1>
    </dataValidation>
    <dataValidation sqref="C4130" showDropDown="0" showInputMessage="0" showErrorMessage="0" allowBlank="0" type="list">
      <formula1>"Pauschale,Nachweis,Unbekannt"</formula1>
    </dataValidation>
    <dataValidation sqref="C4131" showDropDown="0" showInputMessage="0" showErrorMessage="0" allowBlank="0" type="list">
      <formula1>"Pauschale,Nachweis,Unbekannt"</formula1>
    </dataValidation>
    <dataValidation sqref="C4132" showDropDown="0" showInputMessage="0" showErrorMessage="0" allowBlank="0" type="list">
      <formula1>"Pauschale,Nachweis,Unbekannt"</formula1>
    </dataValidation>
    <dataValidation sqref="C4133" showDropDown="0" showInputMessage="0" showErrorMessage="0" allowBlank="0" type="list">
      <formula1>"Pauschale,Nachweis,Unbekannt"</formula1>
    </dataValidation>
    <dataValidation sqref="C4134" showDropDown="0" showInputMessage="0" showErrorMessage="0" allowBlank="0" type="list">
      <formula1>"Pauschale,Nachweis,Unbekannt"</formula1>
    </dataValidation>
    <dataValidation sqref="C4135" showDropDown="0" showInputMessage="0" showErrorMessage="0" allowBlank="0" type="list">
      <formula1>"Pauschale,Nachweis,Unbekannt"</formula1>
    </dataValidation>
    <dataValidation sqref="C4136" showDropDown="0" showInputMessage="0" showErrorMessage="0" allowBlank="0" type="list">
      <formula1>"Pauschale,Nachweis,Unbekannt"</formula1>
    </dataValidation>
    <dataValidation sqref="C4137" showDropDown="0" showInputMessage="0" showErrorMessage="0" allowBlank="0" type="list">
      <formula1>"Pauschale,Nachweis,Unbekannt"</formula1>
    </dataValidation>
    <dataValidation sqref="C4138" showDropDown="0" showInputMessage="0" showErrorMessage="0" allowBlank="0" type="list">
      <formula1>"Pauschale,Nachweis,Unbekannt"</formula1>
    </dataValidation>
    <dataValidation sqref="C4139" showDropDown="0" showInputMessage="0" showErrorMessage="0" allowBlank="0" type="list">
      <formula1>"Pauschale,Nachweis,Unbekannt"</formula1>
    </dataValidation>
    <dataValidation sqref="C4140" showDropDown="0" showInputMessage="0" showErrorMessage="0" allowBlank="0" type="list">
      <formula1>"Pauschale,Nachweis,Unbekannt"</formula1>
    </dataValidation>
    <dataValidation sqref="C4141" showDropDown="0" showInputMessage="0" showErrorMessage="0" allowBlank="0" type="list">
      <formula1>"Pauschale,Nachweis,Unbekannt"</formula1>
    </dataValidation>
    <dataValidation sqref="C4142" showDropDown="0" showInputMessage="0" showErrorMessage="0" allowBlank="0" type="list">
      <formula1>"Pauschale,Nachweis,Unbekannt"</formula1>
    </dataValidation>
    <dataValidation sqref="C4143" showDropDown="0" showInputMessage="0" showErrorMessage="0" allowBlank="0" type="list">
      <formula1>"Pauschale,Nachweis,Unbekannt"</formula1>
    </dataValidation>
    <dataValidation sqref="C4144" showDropDown="0" showInputMessage="0" showErrorMessage="0" allowBlank="0" type="list">
      <formula1>"Pauschale,Nachweis,Unbekannt"</formula1>
    </dataValidation>
    <dataValidation sqref="C4145" showDropDown="0" showInputMessage="0" showErrorMessage="0" allowBlank="0" type="list">
      <formula1>"Pauschale,Nachweis,Unbekannt"</formula1>
    </dataValidation>
    <dataValidation sqref="C4146" showDropDown="0" showInputMessage="0" showErrorMessage="0" allowBlank="0" type="list">
      <formula1>"Pauschale,Nachweis,Unbekannt"</formula1>
    </dataValidation>
    <dataValidation sqref="C4147" showDropDown="0" showInputMessage="0" showErrorMessage="0" allowBlank="0" type="list">
      <formula1>"Pauschale,Nachweis,Unbekannt"</formula1>
    </dataValidation>
    <dataValidation sqref="C4148" showDropDown="0" showInputMessage="0" showErrorMessage="0" allowBlank="0" type="list">
      <formula1>"Pauschale,Nachweis,Unbekannt"</formula1>
    </dataValidation>
    <dataValidation sqref="C4149" showDropDown="0" showInputMessage="0" showErrorMessage="0" allowBlank="0" type="list">
      <formula1>"Pauschale,Nachweis,Unbekannt"</formula1>
    </dataValidation>
    <dataValidation sqref="C4150" showDropDown="0" showInputMessage="0" showErrorMessage="0" allowBlank="0" type="list">
      <formula1>"Pauschale,Nachweis,Unbekannt"</formula1>
    </dataValidation>
    <dataValidation sqref="C4151" showDropDown="0" showInputMessage="0" showErrorMessage="0" allowBlank="0" type="list">
      <formula1>"Pauschale,Nachweis,Unbekannt"</formula1>
    </dataValidation>
    <dataValidation sqref="C4152" showDropDown="0" showInputMessage="0" showErrorMessage="0" allowBlank="0" type="list">
      <formula1>"Pauschale,Nachweis,Unbekannt"</formula1>
    </dataValidation>
    <dataValidation sqref="C4153" showDropDown="0" showInputMessage="0" showErrorMessage="0" allowBlank="0" type="list">
      <formula1>"Pauschale,Nachweis,Unbekannt"</formula1>
    </dataValidation>
    <dataValidation sqref="C4154" showDropDown="0" showInputMessage="0" showErrorMessage="0" allowBlank="0" type="list">
      <formula1>"Pauschale,Nachweis,Unbekannt"</formula1>
    </dataValidation>
    <dataValidation sqref="C4155" showDropDown="0" showInputMessage="0" showErrorMessage="0" allowBlank="0" type="list">
      <formula1>"Pauschale,Nachweis,Unbekannt"</formula1>
    </dataValidation>
    <dataValidation sqref="C4156" showDropDown="0" showInputMessage="0" showErrorMessage="0" allowBlank="0" type="list">
      <formula1>"Pauschale,Nachweis,Unbekannt"</formula1>
    </dataValidation>
    <dataValidation sqref="C4157" showDropDown="0" showInputMessage="0" showErrorMessage="0" allowBlank="0" type="list">
      <formula1>"Pauschale,Nachweis,Unbekannt"</formula1>
    </dataValidation>
    <dataValidation sqref="C4158" showDropDown="0" showInputMessage="0" showErrorMessage="0" allowBlank="0" type="list">
      <formula1>"Pauschale,Nachweis,Unbekannt"</formula1>
    </dataValidation>
    <dataValidation sqref="C4159" showDropDown="0" showInputMessage="0" showErrorMessage="0" allowBlank="0" type="list">
      <formula1>"Pauschale,Nachweis,Unbekannt"</formula1>
    </dataValidation>
    <dataValidation sqref="C4160" showDropDown="0" showInputMessage="0" showErrorMessage="0" allowBlank="0" type="list">
      <formula1>"Pauschale,Nachweis,Unbekannt"</formula1>
    </dataValidation>
    <dataValidation sqref="C4161" showDropDown="0" showInputMessage="0" showErrorMessage="0" allowBlank="0" type="list">
      <formula1>"Pauschale,Nachweis,Unbekannt"</formula1>
    </dataValidation>
    <dataValidation sqref="C4162" showDropDown="0" showInputMessage="0" showErrorMessage="0" allowBlank="0" type="list">
      <formula1>"Pauschale,Nachweis,Unbekannt"</formula1>
    </dataValidation>
    <dataValidation sqref="C4163" showDropDown="0" showInputMessage="0" showErrorMessage="0" allowBlank="0" type="list">
      <formula1>"Pauschale,Nachweis,Unbekannt"</formula1>
    </dataValidation>
    <dataValidation sqref="C4164" showDropDown="0" showInputMessage="0" showErrorMessage="0" allowBlank="0" type="list">
      <formula1>"Pauschale,Nachweis,Unbekannt"</formula1>
    </dataValidation>
    <dataValidation sqref="C4165" showDropDown="0" showInputMessage="0" showErrorMessage="0" allowBlank="0" type="list">
      <formula1>"Pauschale,Nachweis,Unbekannt"</formula1>
    </dataValidation>
    <dataValidation sqref="C4166" showDropDown="0" showInputMessage="0" showErrorMessage="0" allowBlank="0" type="list">
      <formula1>"Pauschale,Nachweis,Unbekannt"</formula1>
    </dataValidation>
    <dataValidation sqref="C4167" showDropDown="0" showInputMessage="0" showErrorMessage="0" allowBlank="0" type="list">
      <formula1>"Pauschale,Nachweis,Unbekannt"</formula1>
    </dataValidation>
    <dataValidation sqref="C4168" showDropDown="0" showInputMessage="0" showErrorMessage="0" allowBlank="0" type="list">
      <formula1>"Pauschale,Nachweis,Unbekannt"</formula1>
    </dataValidation>
    <dataValidation sqref="C4169" showDropDown="0" showInputMessage="0" showErrorMessage="0" allowBlank="0" type="list">
      <formula1>"Pauschale,Nachweis,Unbekannt"</formula1>
    </dataValidation>
    <dataValidation sqref="C4170" showDropDown="0" showInputMessage="0" showErrorMessage="0" allowBlank="0" type="list">
      <formula1>"Pauschale,Nachweis,Unbekannt"</formula1>
    </dataValidation>
    <dataValidation sqref="C4171" showDropDown="0" showInputMessage="0" showErrorMessage="0" allowBlank="0" type="list">
      <formula1>"Pauschale,Nachweis,Unbekannt"</formula1>
    </dataValidation>
    <dataValidation sqref="C4172" showDropDown="0" showInputMessage="0" showErrorMessage="0" allowBlank="0" type="list">
      <formula1>"Pauschale,Nachweis,Unbekannt"</formula1>
    </dataValidation>
    <dataValidation sqref="C4173" showDropDown="0" showInputMessage="0" showErrorMessage="0" allowBlank="0" type="list">
      <formula1>"Pauschale,Nachweis,Unbekannt"</formula1>
    </dataValidation>
    <dataValidation sqref="C4174" showDropDown="0" showInputMessage="0" showErrorMessage="0" allowBlank="0" type="list">
      <formula1>"Pauschale,Nachweis,Unbekannt"</formula1>
    </dataValidation>
    <dataValidation sqref="C4175" showDropDown="0" showInputMessage="0" showErrorMessage="0" allowBlank="0" type="list">
      <formula1>"Pauschale,Nachweis,Unbekannt"</formula1>
    </dataValidation>
    <dataValidation sqref="C4176" showDropDown="0" showInputMessage="0" showErrorMessage="0" allowBlank="0" type="list">
      <formula1>"Pauschale,Nachweis,Unbekannt"</formula1>
    </dataValidation>
    <dataValidation sqref="C4177" showDropDown="0" showInputMessage="0" showErrorMessage="0" allowBlank="0" type="list">
      <formula1>"Pauschale,Nachweis,Unbekannt"</formula1>
    </dataValidation>
    <dataValidation sqref="C4178" showDropDown="0" showInputMessage="0" showErrorMessage="0" allowBlank="0" type="list">
      <formula1>"Pauschale,Nachweis,Unbekannt"</formula1>
    </dataValidation>
    <dataValidation sqref="C4179" showDropDown="0" showInputMessage="0" showErrorMessage="0" allowBlank="0" type="list">
      <formula1>"Pauschale,Nachweis,Unbekannt"</formula1>
    </dataValidation>
    <dataValidation sqref="C4180" showDropDown="0" showInputMessage="0" showErrorMessage="0" allowBlank="0" type="list">
      <formula1>"Pauschale,Nachweis,Unbekannt"</formula1>
    </dataValidation>
    <dataValidation sqref="C4181" showDropDown="0" showInputMessage="0" showErrorMessage="0" allowBlank="0" type="list">
      <formula1>"Pauschale,Nachweis,Unbekannt"</formula1>
    </dataValidation>
    <dataValidation sqref="C4182" showDropDown="0" showInputMessage="0" showErrorMessage="0" allowBlank="0" type="list">
      <formula1>"Pauschale,Nachweis,Unbekannt"</formula1>
    </dataValidation>
    <dataValidation sqref="C4183" showDropDown="0" showInputMessage="0" showErrorMessage="0" allowBlank="0" type="list">
      <formula1>"Pauschale,Nachweis,Unbekannt"</formula1>
    </dataValidation>
    <dataValidation sqref="C4184" showDropDown="0" showInputMessage="0" showErrorMessage="0" allowBlank="0" type="list">
      <formula1>"Pauschale,Nachweis,Unbekannt"</formula1>
    </dataValidation>
    <dataValidation sqref="C4185" showDropDown="0" showInputMessage="0" showErrorMessage="0" allowBlank="0" type="list">
      <formula1>"Pauschale,Nachweis,Unbekannt"</formula1>
    </dataValidation>
    <dataValidation sqref="C4186" showDropDown="0" showInputMessage="0" showErrorMessage="0" allowBlank="0" type="list">
      <formula1>"Pauschale,Nachweis,Unbekannt"</formula1>
    </dataValidation>
    <dataValidation sqref="C4187" showDropDown="0" showInputMessage="0" showErrorMessage="0" allowBlank="0" type="list">
      <formula1>"Pauschale,Nachweis,Unbekannt"</formula1>
    </dataValidation>
    <dataValidation sqref="C4188" showDropDown="0" showInputMessage="0" showErrorMessage="0" allowBlank="0" type="list">
      <formula1>"Pauschale,Nachweis,Unbekannt"</formula1>
    </dataValidation>
    <dataValidation sqref="C4189" showDropDown="0" showInputMessage="0" showErrorMessage="0" allowBlank="0" type="list">
      <formula1>"Pauschale,Nachweis,Unbekannt"</formula1>
    </dataValidation>
    <dataValidation sqref="C4190" showDropDown="0" showInputMessage="0" showErrorMessage="0" allowBlank="0" type="list">
      <formula1>"Pauschale,Nachweis,Unbekannt"</formula1>
    </dataValidation>
    <dataValidation sqref="C4191" showDropDown="0" showInputMessage="0" showErrorMessage="0" allowBlank="0" type="list">
      <formula1>"Pauschale,Nachweis,Unbekannt"</formula1>
    </dataValidation>
    <dataValidation sqref="C4192" showDropDown="0" showInputMessage="0" showErrorMessage="0" allowBlank="0" type="list">
      <formula1>"Pauschale,Nachweis,Unbekannt"</formula1>
    </dataValidation>
    <dataValidation sqref="C4193" showDropDown="0" showInputMessage="0" showErrorMessage="0" allowBlank="0" type="list">
      <formula1>"Pauschale,Nachweis,Unbekannt"</formula1>
    </dataValidation>
    <dataValidation sqref="C4194" showDropDown="0" showInputMessage="0" showErrorMessage="0" allowBlank="0" type="list">
      <formula1>"Pauschale,Nachweis,Unbekannt"</formula1>
    </dataValidation>
    <dataValidation sqref="C4195" showDropDown="0" showInputMessage="0" showErrorMessage="0" allowBlank="0" type="list">
      <formula1>"Pauschale,Nachweis,Unbekannt"</formula1>
    </dataValidation>
    <dataValidation sqref="C4196" showDropDown="0" showInputMessage="0" showErrorMessage="0" allowBlank="0" type="list">
      <formula1>"Pauschale,Nachweis,Unbekannt"</formula1>
    </dataValidation>
    <dataValidation sqref="C4197" showDropDown="0" showInputMessage="0" showErrorMessage="0" allowBlank="0" type="list">
      <formula1>"Pauschale,Nachweis,Unbekannt"</formula1>
    </dataValidation>
    <dataValidation sqref="C4198" showDropDown="0" showInputMessage="0" showErrorMessage="0" allowBlank="0" type="list">
      <formula1>"Pauschale,Nachweis,Unbekannt"</formula1>
    </dataValidation>
    <dataValidation sqref="C4199" showDropDown="0" showInputMessage="0" showErrorMessage="0" allowBlank="0" type="list">
      <formula1>"Pauschale,Nachweis,Unbekannt"</formula1>
    </dataValidation>
    <dataValidation sqref="C4200" showDropDown="0" showInputMessage="0" showErrorMessage="0" allowBlank="0" type="list">
      <formula1>"Pauschale,Nachweis,Unbekannt"</formula1>
    </dataValidation>
    <dataValidation sqref="C4201" showDropDown="0" showInputMessage="0" showErrorMessage="0" allowBlank="0" type="list">
      <formula1>"Pauschale,Nachweis,Unbekannt"</formula1>
    </dataValidation>
    <dataValidation sqref="C4202" showDropDown="0" showInputMessage="0" showErrorMessage="0" allowBlank="0" type="list">
      <formula1>"Pauschale,Nachweis,Unbekannt"</formula1>
    </dataValidation>
    <dataValidation sqref="C4203" showDropDown="0" showInputMessage="0" showErrorMessage="0" allowBlank="0" type="list">
      <formula1>"Pauschale,Nachweis,Unbekannt"</formula1>
    </dataValidation>
    <dataValidation sqref="C4204" showDropDown="0" showInputMessage="0" showErrorMessage="0" allowBlank="0" type="list">
      <formula1>"Pauschale,Nachweis,Unbekannt"</formula1>
    </dataValidation>
    <dataValidation sqref="C4205" showDropDown="0" showInputMessage="0" showErrorMessage="0" allowBlank="0" type="list">
      <formula1>"Pauschale,Nachweis,Unbekannt"</formula1>
    </dataValidation>
    <dataValidation sqref="C4206" showDropDown="0" showInputMessage="0" showErrorMessage="0" allowBlank="0" type="list">
      <formula1>"Pauschale,Nachweis,Unbekannt"</formula1>
    </dataValidation>
    <dataValidation sqref="C4207" showDropDown="0" showInputMessage="0" showErrorMessage="0" allowBlank="0" type="list">
      <formula1>"Pauschale,Nachweis,Unbekannt"</formula1>
    </dataValidation>
    <dataValidation sqref="C4208" showDropDown="0" showInputMessage="0" showErrorMessage="0" allowBlank="0" type="list">
      <formula1>"Pauschale,Nachweis,Unbekannt"</formula1>
    </dataValidation>
    <dataValidation sqref="C4209" showDropDown="0" showInputMessage="0" showErrorMessage="0" allowBlank="0" type="list">
      <formula1>"Pauschale,Nachweis,Unbekannt"</formula1>
    </dataValidation>
    <dataValidation sqref="C4210" showDropDown="0" showInputMessage="0" showErrorMessage="0" allowBlank="0" type="list">
      <formula1>"Pauschale,Nachweis,Unbekannt"</formula1>
    </dataValidation>
    <dataValidation sqref="C4211" showDropDown="0" showInputMessage="0" showErrorMessage="0" allowBlank="0" type="list">
      <formula1>"Pauschale,Nachweis,Unbekannt"</formula1>
    </dataValidation>
    <dataValidation sqref="C4212" showDropDown="0" showInputMessage="0" showErrorMessage="0" allowBlank="0" type="list">
      <formula1>"Pauschale,Nachweis,Unbekannt"</formula1>
    </dataValidation>
    <dataValidation sqref="C4213" showDropDown="0" showInputMessage="0" showErrorMessage="0" allowBlank="0" type="list">
      <formula1>"Pauschale,Nachweis,Unbekannt"</formula1>
    </dataValidation>
    <dataValidation sqref="C4214" showDropDown="0" showInputMessage="0" showErrorMessage="0" allowBlank="0" type="list">
      <formula1>"Pauschale,Nachweis,Unbekannt"</formula1>
    </dataValidation>
    <dataValidation sqref="C4215" showDropDown="0" showInputMessage="0" showErrorMessage="0" allowBlank="0" type="list">
      <formula1>"Pauschale,Nachweis,Unbekannt"</formula1>
    </dataValidation>
    <dataValidation sqref="C4216" showDropDown="0" showInputMessage="0" showErrorMessage="0" allowBlank="0" type="list">
      <formula1>"Pauschale,Nachweis,Unbekannt"</formula1>
    </dataValidation>
    <dataValidation sqref="C4217" showDropDown="0" showInputMessage="0" showErrorMessage="0" allowBlank="0" type="list">
      <formula1>"Pauschale,Nachweis,Unbekannt"</formula1>
    </dataValidation>
    <dataValidation sqref="C4218" showDropDown="0" showInputMessage="0" showErrorMessage="0" allowBlank="0" type="list">
      <formula1>"Pauschale,Nachweis,Unbekannt"</formula1>
    </dataValidation>
    <dataValidation sqref="C4219" showDropDown="0" showInputMessage="0" showErrorMessage="0" allowBlank="0" type="list">
      <formula1>"Pauschale,Nachweis,Unbekannt"</formula1>
    </dataValidation>
    <dataValidation sqref="C4220" showDropDown="0" showInputMessage="0" showErrorMessage="0" allowBlank="0" type="list">
      <formula1>"Pauschale,Nachweis,Unbekannt"</formula1>
    </dataValidation>
    <dataValidation sqref="C4221" showDropDown="0" showInputMessage="0" showErrorMessage="0" allowBlank="0" type="list">
      <formula1>"Pauschale,Nachweis,Unbekannt"</formula1>
    </dataValidation>
    <dataValidation sqref="C4222" showDropDown="0" showInputMessage="0" showErrorMessage="0" allowBlank="0" type="list">
      <formula1>"Pauschale,Nachweis,Unbekannt"</formula1>
    </dataValidation>
    <dataValidation sqref="C4223" showDropDown="0" showInputMessage="0" showErrorMessage="0" allowBlank="0" type="list">
      <formula1>"Pauschale,Nachweis,Unbekannt"</formula1>
    </dataValidation>
    <dataValidation sqref="C4224" showDropDown="0" showInputMessage="0" showErrorMessage="0" allowBlank="0" type="list">
      <formula1>"Pauschale,Nachweis,Unbekannt"</formula1>
    </dataValidation>
    <dataValidation sqref="C4225" showDropDown="0" showInputMessage="0" showErrorMessage="0" allowBlank="0" type="list">
      <formula1>"Pauschale,Nachweis,Unbekannt"</formula1>
    </dataValidation>
    <dataValidation sqref="C4226" showDropDown="0" showInputMessage="0" showErrorMessage="0" allowBlank="0" type="list">
      <formula1>"Pauschale,Nachweis,Unbekannt"</formula1>
    </dataValidation>
    <dataValidation sqref="C4227" showDropDown="0" showInputMessage="0" showErrorMessage="0" allowBlank="0" type="list">
      <formula1>"Pauschale,Nachweis,Unbekannt"</formula1>
    </dataValidation>
    <dataValidation sqref="C4228" showDropDown="0" showInputMessage="0" showErrorMessage="0" allowBlank="0" type="list">
      <formula1>"Pauschale,Nachweis,Unbekannt"</formula1>
    </dataValidation>
    <dataValidation sqref="C4229" showDropDown="0" showInputMessage="0" showErrorMessage="0" allowBlank="0" type="list">
      <formula1>"Pauschale,Nachweis,Unbekannt"</formula1>
    </dataValidation>
    <dataValidation sqref="C4230" showDropDown="0" showInputMessage="0" showErrorMessage="0" allowBlank="0" type="list">
      <formula1>"Pauschale,Nachweis,Unbekannt"</formula1>
    </dataValidation>
    <dataValidation sqref="C4231" showDropDown="0" showInputMessage="0" showErrorMessage="0" allowBlank="0" type="list">
      <formula1>"Pauschale,Nachweis,Unbekannt"</formula1>
    </dataValidation>
    <dataValidation sqref="C4232" showDropDown="0" showInputMessage="0" showErrorMessage="0" allowBlank="0" type="list">
      <formula1>"Pauschale,Nachweis,Unbekannt"</formula1>
    </dataValidation>
    <dataValidation sqref="C4233" showDropDown="0" showInputMessage="0" showErrorMessage="0" allowBlank="0" type="list">
      <formula1>"Pauschale,Nachweis,Unbekannt"</formula1>
    </dataValidation>
    <dataValidation sqref="C4234" showDropDown="0" showInputMessage="0" showErrorMessage="0" allowBlank="0" type="list">
      <formula1>"Pauschale,Nachweis,Unbekannt"</formula1>
    </dataValidation>
    <dataValidation sqref="C4235" showDropDown="0" showInputMessage="0" showErrorMessage="0" allowBlank="0" type="list">
      <formula1>"Pauschale,Nachweis,Unbekannt"</formula1>
    </dataValidation>
    <dataValidation sqref="C4236" showDropDown="0" showInputMessage="0" showErrorMessage="0" allowBlank="0" type="list">
      <formula1>"Pauschale,Nachweis,Unbekannt"</formula1>
    </dataValidation>
    <dataValidation sqref="C4237" showDropDown="0" showInputMessage="0" showErrorMessage="0" allowBlank="0" type="list">
      <formula1>"Pauschale,Nachweis,Unbekannt"</formula1>
    </dataValidation>
    <dataValidation sqref="C4238" showDropDown="0" showInputMessage="0" showErrorMessage="0" allowBlank="0" type="list">
      <formula1>"Pauschale,Nachweis,Unbekannt"</formula1>
    </dataValidation>
    <dataValidation sqref="C4239" showDropDown="0" showInputMessage="0" showErrorMessage="0" allowBlank="0" type="list">
      <formula1>"Pauschale,Nachweis,Unbekannt"</formula1>
    </dataValidation>
    <dataValidation sqref="C4240" showDropDown="0" showInputMessage="0" showErrorMessage="0" allowBlank="0" type="list">
      <formula1>"Pauschale,Nachweis,Unbekannt"</formula1>
    </dataValidation>
    <dataValidation sqref="C4241" showDropDown="0" showInputMessage="0" showErrorMessage="0" allowBlank="0" type="list">
      <formula1>"Pauschale,Nachweis,Unbekannt"</formula1>
    </dataValidation>
    <dataValidation sqref="C4242" showDropDown="0" showInputMessage="0" showErrorMessage="0" allowBlank="0" type="list">
      <formula1>"Pauschale,Nachweis,Unbekannt"</formula1>
    </dataValidation>
    <dataValidation sqref="C4243" showDropDown="0" showInputMessage="0" showErrorMessage="0" allowBlank="0" type="list">
      <formula1>"Pauschale,Nachweis,Unbekannt"</formula1>
    </dataValidation>
    <dataValidation sqref="C4244" showDropDown="0" showInputMessage="0" showErrorMessage="0" allowBlank="0" type="list">
      <formula1>"Pauschale,Nachweis,Unbekannt"</formula1>
    </dataValidation>
    <dataValidation sqref="C4245" showDropDown="0" showInputMessage="0" showErrorMessage="0" allowBlank="0" type="list">
      <formula1>"Pauschale,Nachweis,Unbekannt"</formula1>
    </dataValidation>
    <dataValidation sqref="C4246" showDropDown="0" showInputMessage="0" showErrorMessage="0" allowBlank="0" type="list">
      <formula1>"Pauschale,Nachweis,Unbekannt"</formula1>
    </dataValidation>
    <dataValidation sqref="C4247" showDropDown="0" showInputMessage="0" showErrorMessage="0" allowBlank="0" type="list">
      <formula1>"Pauschale,Nachweis,Unbekannt"</formula1>
    </dataValidation>
    <dataValidation sqref="C4248" showDropDown="0" showInputMessage="0" showErrorMessage="0" allowBlank="0" type="list">
      <formula1>"Pauschale,Nachweis,Unbekannt"</formula1>
    </dataValidation>
    <dataValidation sqref="C4249" showDropDown="0" showInputMessage="0" showErrorMessage="0" allowBlank="0" type="list">
      <formula1>"Pauschale,Nachweis,Unbekannt"</formula1>
    </dataValidation>
    <dataValidation sqref="C4250" showDropDown="0" showInputMessage="0" showErrorMessage="0" allowBlank="0" type="list">
      <formula1>"Pauschale,Nachweis,Unbekannt"</formula1>
    </dataValidation>
    <dataValidation sqref="C4251" showDropDown="0" showInputMessage="0" showErrorMessage="0" allowBlank="0" type="list">
      <formula1>"Pauschale,Nachweis,Unbekannt"</formula1>
    </dataValidation>
    <dataValidation sqref="C4252" showDropDown="0" showInputMessage="0" showErrorMessage="0" allowBlank="0" type="list">
      <formula1>"Pauschale,Nachweis,Unbekannt"</formula1>
    </dataValidation>
    <dataValidation sqref="C4253" showDropDown="0" showInputMessage="0" showErrorMessage="0" allowBlank="0" type="list">
      <formula1>"Pauschale,Nachweis,Unbekannt"</formula1>
    </dataValidation>
    <dataValidation sqref="C4254" showDropDown="0" showInputMessage="0" showErrorMessage="0" allowBlank="0" type="list">
      <formula1>"Pauschale,Nachweis,Unbekannt"</formula1>
    </dataValidation>
    <dataValidation sqref="C4255" showDropDown="0" showInputMessage="0" showErrorMessage="0" allowBlank="0" type="list">
      <formula1>"Pauschale,Nachweis,Unbekannt"</formula1>
    </dataValidation>
    <dataValidation sqref="C4256" showDropDown="0" showInputMessage="0" showErrorMessage="0" allowBlank="0" type="list">
      <formula1>"Pauschale,Nachweis,Unbekannt"</formula1>
    </dataValidation>
    <dataValidation sqref="C4257" showDropDown="0" showInputMessage="0" showErrorMessage="0" allowBlank="0" type="list">
      <formula1>"Pauschale,Nachweis,Unbekannt"</formula1>
    </dataValidation>
    <dataValidation sqref="C4258" showDropDown="0" showInputMessage="0" showErrorMessage="0" allowBlank="0" type="list">
      <formula1>"Pauschale,Nachweis,Unbekannt"</formula1>
    </dataValidation>
    <dataValidation sqref="C4259" showDropDown="0" showInputMessage="0" showErrorMessage="0" allowBlank="0" type="list">
      <formula1>"Pauschale,Nachweis,Unbekannt"</formula1>
    </dataValidation>
    <dataValidation sqref="C4260" showDropDown="0" showInputMessage="0" showErrorMessage="0" allowBlank="0" type="list">
      <formula1>"Pauschale,Nachweis,Unbekannt"</formula1>
    </dataValidation>
    <dataValidation sqref="C4261" showDropDown="0" showInputMessage="0" showErrorMessage="0" allowBlank="0" type="list">
      <formula1>"Pauschale,Nachweis,Unbekannt"</formula1>
    </dataValidation>
    <dataValidation sqref="C4262" showDropDown="0" showInputMessage="0" showErrorMessage="0" allowBlank="0" type="list">
      <formula1>"Pauschale,Nachweis,Unbekannt"</formula1>
    </dataValidation>
    <dataValidation sqref="C4263" showDropDown="0" showInputMessage="0" showErrorMessage="0" allowBlank="0" type="list">
      <formula1>"Pauschale,Nachweis,Unbekannt"</formula1>
    </dataValidation>
    <dataValidation sqref="C4264" showDropDown="0" showInputMessage="0" showErrorMessage="0" allowBlank="0" type="list">
      <formula1>"Pauschale,Nachweis,Unbekannt"</formula1>
    </dataValidation>
    <dataValidation sqref="C4265" showDropDown="0" showInputMessage="0" showErrorMessage="0" allowBlank="0" type="list">
      <formula1>"Pauschale,Nachweis,Unbekannt"</formula1>
    </dataValidation>
    <dataValidation sqref="C4266" showDropDown="0" showInputMessage="0" showErrorMessage="0" allowBlank="0" type="list">
      <formula1>"Pauschale,Nachweis,Unbekannt"</formula1>
    </dataValidation>
    <dataValidation sqref="C4267" showDropDown="0" showInputMessage="0" showErrorMessage="0" allowBlank="0" type="list">
      <formula1>"Pauschale,Nachweis,Unbekannt"</formula1>
    </dataValidation>
    <dataValidation sqref="C4268" showDropDown="0" showInputMessage="0" showErrorMessage="0" allowBlank="0" type="list">
      <formula1>"Pauschale,Nachweis,Unbekannt"</formula1>
    </dataValidation>
    <dataValidation sqref="C4269" showDropDown="0" showInputMessage="0" showErrorMessage="0" allowBlank="0" type="list">
      <formula1>"Pauschale,Nachweis,Unbekannt"</formula1>
    </dataValidation>
    <dataValidation sqref="C4270" showDropDown="0" showInputMessage="0" showErrorMessage="0" allowBlank="0" type="list">
      <formula1>"Pauschale,Nachweis,Unbekannt"</formula1>
    </dataValidation>
    <dataValidation sqref="C4271" showDropDown="0" showInputMessage="0" showErrorMessage="0" allowBlank="0" type="list">
      <formula1>"Pauschale,Nachweis,Unbekannt"</formula1>
    </dataValidation>
    <dataValidation sqref="C4272" showDropDown="0" showInputMessage="0" showErrorMessage="0" allowBlank="0" type="list">
      <formula1>"Pauschale,Nachweis,Unbekannt"</formula1>
    </dataValidation>
    <dataValidation sqref="C4273" showDropDown="0" showInputMessage="0" showErrorMessage="0" allowBlank="0" type="list">
      <formula1>"Pauschale,Nachweis,Unbekannt"</formula1>
    </dataValidation>
    <dataValidation sqref="C4274" showDropDown="0" showInputMessage="0" showErrorMessage="0" allowBlank="0" type="list">
      <formula1>"Pauschale,Nachweis,Unbekannt"</formula1>
    </dataValidation>
    <dataValidation sqref="C4275" showDropDown="0" showInputMessage="0" showErrorMessage="0" allowBlank="0" type="list">
      <formula1>"Pauschale,Nachweis,Unbekannt"</formula1>
    </dataValidation>
    <dataValidation sqref="C4276" showDropDown="0" showInputMessage="0" showErrorMessage="0" allowBlank="0" type="list">
      <formula1>"Pauschale,Nachweis,Unbekannt"</formula1>
    </dataValidation>
    <dataValidation sqref="C4277" showDropDown="0" showInputMessage="0" showErrorMessage="0" allowBlank="0" type="list">
      <formula1>"Pauschale,Nachweis,Unbekannt"</formula1>
    </dataValidation>
    <dataValidation sqref="C4278" showDropDown="0" showInputMessage="0" showErrorMessage="0" allowBlank="0" type="list">
      <formula1>"Pauschale,Nachweis,Unbekannt"</formula1>
    </dataValidation>
    <dataValidation sqref="C4279" showDropDown="0" showInputMessage="0" showErrorMessage="0" allowBlank="0" type="list">
      <formula1>"Pauschale,Nachweis,Unbekannt"</formula1>
    </dataValidation>
    <dataValidation sqref="C4280" showDropDown="0" showInputMessage="0" showErrorMessage="0" allowBlank="0" type="list">
      <formula1>"Pauschale,Nachweis,Unbekannt"</formula1>
    </dataValidation>
    <dataValidation sqref="C4281" showDropDown="0" showInputMessage="0" showErrorMessage="0" allowBlank="0" type="list">
      <formula1>"Pauschale,Nachweis,Unbekannt"</formula1>
    </dataValidation>
    <dataValidation sqref="C4282" showDropDown="0" showInputMessage="0" showErrorMessage="0" allowBlank="0" type="list">
      <formula1>"Pauschale,Nachweis,Unbekannt"</formula1>
    </dataValidation>
    <dataValidation sqref="C4283" showDropDown="0" showInputMessage="0" showErrorMessage="0" allowBlank="0" type="list">
      <formula1>"Pauschale,Nachweis,Unbekannt"</formula1>
    </dataValidation>
    <dataValidation sqref="C4284" showDropDown="0" showInputMessage="0" showErrorMessage="0" allowBlank="0" type="list">
      <formula1>"Pauschale,Nachweis,Unbekannt"</formula1>
    </dataValidation>
    <dataValidation sqref="C4285" showDropDown="0" showInputMessage="0" showErrorMessage="0" allowBlank="0" type="list">
      <formula1>"Pauschale,Nachweis,Unbekannt"</formula1>
    </dataValidation>
    <dataValidation sqref="C4286" showDropDown="0" showInputMessage="0" showErrorMessage="0" allowBlank="0" type="list">
      <formula1>"Pauschale,Nachweis,Unbekannt"</formula1>
    </dataValidation>
    <dataValidation sqref="C4287" showDropDown="0" showInputMessage="0" showErrorMessage="0" allowBlank="0" type="list">
      <formula1>"Pauschale,Nachweis,Unbekannt"</formula1>
    </dataValidation>
    <dataValidation sqref="C4288" showDropDown="0" showInputMessage="0" showErrorMessage="0" allowBlank="0" type="list">
      <formula1>"Pauschale,Nachweis,Unbekannt"</formula1>
    </dataValidation>
    <dataValidation sqref="C4289" showDropDown="0" showInputMessage="0" showErrorMessage="0" allowBlank="0" type="list">
      <formula1>"Pauschale,Nachweis,Unbekannt"</formula1>
    </dataValidation>
    <dataValidation sqref="C4290" showDropDown="0" showInputMessage="0" showErrorMessage="0" allowBlank="0" type="list">
      <formula1>"Pauschale,Nachweis,Unbekannt"</formula1>
    </dataValidation>
    <dataValidation sqref="C4291" showDropDown="0" showInputMessage="0" showErrorMessage="0" allowBlank="0" type="list">
      <formula1>"Pauschale,Nachweis,Unbekannt"</formula1>
    </dataValidation>
    <dataValidation sqref="C4292" showDropDown="0" showInputMessage="0" showErrorMessage="0" allowBlank="0" type="list">
      <formula1>"Pauschale,Nachweis,Unbekannt"</formula1>
    </dataValidation>
    <dataValidation sqref="C4293" showDropDown="0" showInputMessage="0" showErrorMessage="0" allowBlank="0" type="list">
      <formula1>"Pauschale,Nachweis,Unbekannt"</formula1>
    </dataValidation>
    <dataValidation sqref="C4294" showDropDown="0" showInputMessage="0" showErrorMessage="0" allowBlank="0" type="list">
      <formula1>"Pauschale,Nachweis,Unbekannt"</formula1>
    </dataValidation>
    <dataValidation sqref="C4295" showDropDown="0" showInputMessage="0" showErrorMessage="0" allowBlank="0" type="list">
      <formula1>"Pauschale,Nachweis,Unbekannt"</formula1>
    </dataValidation>
    <dataValidation sqref="C4296" showDropDown="0" showInputMessage="0" showErrorMessage="0" allowBlank="0" type="list">
      <formula1>"Pauschale,Nachweis,Unbekannt"</formula1>
    </dataValidation>
    <dataValidation sqref="C4297" showDropDown="0" showInputMessage="0" showErrorMessage="0" allowBlank="0" type="list">
      <formula1>"Pauschale,Nachweis,Unbekannt"</formula1>
    </dataValidation>
    <dataValidation sqref="C4298" showDropDown="0" showInputMessage="0" showErrorMessage="0" allowBlank="0" type="list">
      <formula1>"Pauschale,Nachweis,Unbekannt"</formula1>
    </dataValidation>
    <dataValidation sqref="C4299" showDropDown="0" showInputMessage="0" showErrorMessage="0" allowBlank="0" type="list">
      <formula1>"Pauschale,Nachweis,Unbekannt"</formula1>
    </dataValidation>
    <dataValidation sqref="C4300" showDropDown="0" showInputMessage="0" showErrorMessage="0" allowBlank="0" type="list">
      <formula1>"Pauschale,Nachweis,Unbekannt"</formula1>
    </dataValidation>
    <dataValidation sqref="C4301" showDropDown="0" showInputMessage="0" showErrorMessage="0" allowBlank="0" type="list">
      <formula1>"Pauschale,Nachweis,Unbekannt"</formula1>
    </dataValidation>
    <dataValidation sqref="C4302" showDropDown="0" showInputMessage="0" showErrorMessage="0" allowBlank="0" type="list">
      <formula1>"Pauschale,Nachweis,Unbekannt"</formula1>
    </dataValidation>
    <dataValidation sqref="C4303" showDropDown="0" showInputMessage="0" showErrorMessage="0" allowBlank="0" type="list">
      <formula1>"Pauschale,Nachweis,Unbekannt"</formula1>
    </dataValidation>
    <dataValidation sqref="C4304" showDropDown="0" showInputMessage="0" showErrorMessage="0" allowBlank="0" type="list">
      <formula1>"Pauschale,Nachweis,Unbekannt"</formula1>
    </dataValidation>
    <dataValidation sqref="C4305" showDropDown="0" showInputMessage="0" showErrorMessage="0" allowBlank="0" type="list">
      <formula1>"Pauschale,Nachweis,Unbekannt"</formula1>
    </dataValidation>
    <dataValidation sqref="C4306" showDropDown="0" showInputMessage="0" showErrorMessage="0" allowBlank="0" type="list">
      <formula1>"Pauschale,Nachweis,Unbekannt"</formula1>
    </dataValidation>
    <dataValidation sqref="C4307" showDropDown="0" showInputMessage="0" showErrorMessage="0" allowBlank="0" type="list">
      <formula1>"Pauschale,Nachweis,Unbekannt"</formula1>
    </dataValidation>
    <dataValidation sqref="C4308" showDropDown="0" showInputMessage="0" showErrorMessage="0" allowBlank="0" type="list">
      <formula1>"Pauschale,Nachweis,Unbekannt"</formula1>
    </dataValidation>
    <dataValidation sqref="C4309" showDropDown="0" showInputMessage="0" showErrorMessage="0" allowBlank="0" type="list">
      <formula1>"Pauschale,Nachweis,Unbekannt"</formula1>
    </dataValidation>
    <dataValidation sqref="C4310" showDropDown="0" showInputMessage="0" showErrorMessage="0" allowBlank="0" type="list">
      <formula1>"Pauschale,Nachweis,Unbekannt"</formula1>
    </dataValidation>
    <dataValidation sqref="C4311" showDropDown="0" showInputMessage="0" showErrorMessage="0" allowBlank="0" type="list">
      <formula1>"Pauschale,Nachweis,Unbekannt"</formula1>
    </dataValidation>
    <dataValidation sqref="C4312" showDropDown="0" showInputMessage="0" showErrorMessage="0" allowBlank="0" type="list">
      <formula1>"Pauschale,Nachweis,Unbekannt"</formula1>
    </dataValidation>
    <dataValidation sqref="C4313" showDropDown="0" showInputMessage="0" showErrorMessage="0" allowBlank="0" type="list">
      <formula1>"Pauschale,Nachweis,Unbekannt"</formula1>
    </dataValidation>
    <dataValidation sqref="C4314" showDropDown="0" showInputMessage="0" showErrorMessage="0" allowBlank="0" type="list">
      <formula1>"Pauschale,Nachweis,Unbekannt"</formula1>
    </dataValidation>
    <dataValidation sqref="C4315" showDropDown="0" showInputMessage="0" showErrorMessage="0" allowBlank="0" type="list">
      <formula1>"Pauschale,Nachweis,Unbekannt"</formula1>
    </dataValidation>
    <dataValidation sqref="C4316" showDropDown="0" showInputMessage="0" showErrorMessage="0" allowBlank="0" type="list">
      <formula1>"Pauschale,Nachweis,Unbekannt"</formula1>
    </dataValidation>
    <dataValidation sqref="C4317" showDropDown="0" showInputMessage="0" showErrorMessage="0" allowBlank="0" type="list">
      <formula1>"Pauschale,Nachweis,Unbekannt"</formula1>
    </dataValidation>
    <dataValidation sqref="C4318" showDropDown="0" showInputMessage="0" showErrorMessage="0" allowBlank="0" type="list">
      <formula1>"Pauschale,Nachweis,Unbekannt"</formula1>
    </dataValidation>
    <dataValidation sqref="C4319" showDropDown="0" showInputMessage="0" showErrorMessage="0" allowBlank="0" type="list">
      <formula1>"Pauschale,Nachweis,Unbekannt"</formula1>
    </dataValidation>
    <dataValidation sqref="C4320" showDropDown="0" showInputMessage="0" showErrorMessage="0" allowBlank="0" type="list">
      <formula1>"Pauschale,Nachweis,Unbekannt"</formula1>
    </dataValidation>
    <dataValidation sqref="C4321" showDropDown="0" showInputMessage="0" showErrorMessage="0" allowBlank="0" type="list">
      <formula1>"Pauschale,Nachweis,Unbekannt"</formula1>
    </dataValidation>
    <dataValidation sqref="C4322" showDropDown="0" showInputMessage="0" showErrorMessage="0" allowBlank="0" type="list">
      <formula1>"Pauschale,Nachweis,Unbekannt"</formula1>
    </dataValidation>
    <dataValidation sqref="C4323" showDropDown="0" showInputMessage="0" showErrorMessage="0" allowBlank="0" type="list">
      <formula1>"Pauschale,Nachweis,Unbekannt"</formula1>
    </dataValidation>
    <dataValidation sqref="C4324" showDropDown="0" showInputMessage="0" showErrorMessage="0" allowBlank="0" type="list">
      <formula1>"Pauschale,Nachweis,Unbekannt"</formula1>
    </dataValidation>
    <dataValidation sqref="C4325" showDropDown="0" showInputMessage="0" showErrorMessage="0" allowBlank="0" type="list">
      <formula1>"Pauschale,Nachweis,Unbekannt"</formula1>
    </dataValidation>
    <dataValidation sqref="C4326" showDropDown="0" showInputMessage="0" showErrorMessage="0" allowBlank="0" type="list">
      <formula1>"Pauschale,Nachweis,Unbekannt"</formula1>
    </dataValidation>
    <dataValidation sqref="C4327" showDropDown="0" showInputMessage="0" showErrorMessage="0" allowBlank="0" type="list">
      <formula1>"Pauschale,Nachweis,Unbekannt"</formula1>
    </dataValidation>
    <dataValidation sqref="C4328" showDropDown="0" showInputMessage="0" showErrorMessage="0" allowBlank="0" type="list">
      <formula1>"Pauschale,Nachweis,Unbekannt"</formula1>
    </dataValidation>
    <dataValidation sqref="C4329" showDropDown="0" showInputMessage="0" showErrorMessage="0" allowBlank="0" type="list">
      <formula1>"Pauschale,Nachweis,Unbekannt"</formula1>
    </dataValidation>
    <dataValidation sqref="C4330" showDropDown="0" showInputMessage="0" showErrorMessage="0" allowBlank="0" type="list">
      <formula1>"Pauschale,Nachweis,Unbekannt"</formula1>
    </dataValidation>
    <dataValidation sqref="C4331" showDropDown="0" showInputMessage="0" showErrorMessage="0" allowBlank="0" type="list">
      <formula1>"Pauschale,Nachweis,Unbekannt"</formula1>
    </dataValidation>
    <dataValidation sqref="C4332" showDropDown="0" showInputMessage="0" showErrorMessage="0" allowBlank="0" type="list">
      <formula1>"Pauschale,Nachweis,Unbekannt"</formula1>
    </dataValidation>
    <dataValidation sqref="C4333" showDropDown="0" showInputMessage="0" showErrorMessage="0" allowBlank="0" type="list">
      <formula1>"Pauschale,Nachweis,Unbekannt"</formula1>
    </dataValidation>
    <dataValidation sqref="C4334" showDropDown="0" showInputMessage="0" showErrorMessage="0" allowBlank="0" type="list">
      <formula1>"Pauschale,Nachweis,Unbekannt"</formula1>
    </dataValidation>
    <dataValidation sqref="C4335" showDropDown="0" showInputMessage="0" showErrorMessage="0" allowBlank="0" type="list">
      <formula1>"Pauschale,Nachweis,Unbekannt"</formula1>
    </dataValidation>
    <dataValidation sqref="C4336" showDropDown="0" showInputMessage="0" showErrorMessage="0" allowBlank="0" type="list">
      <formula1>"Pauschale,Nachweis,Unbekannt"</formula1>
    </dataValidation>
    <dataValidation sqref="C4337" showDropDown="0" showInputMessage="0" showErrorMessage="0" allowBlank="0" type="list">
      <formula1>"Pauschale,Nachweis,Unbekannt"</formula1>
    </dataValidation>
    <dataValidation sqref="C4338" showDropDown="0" showInputMessage="0" showErrorMessage="0" allowBlank="0" type="list">
      <formula1>"Pauschale,Nachweis,Unbekannt"</formula1>
    </dataValidation>
    <dataValidation sqref="C4339" showDropDown="0" showInputMessage="0" showErrorMessage="0" allowBlank="0" type="list">
      <formula1>"Pauschale,Nachweis,Unbekannt"</formula1>
    </dataValidation>
    <dataValidation sqref="C4340" showDropDown="0" showInputMessage="0" showErrorMessage="0" allowBlank="0" type="list">
      <formula1>"Pauschale,Nachweis,Unbekannt"</formula1>
    </dataValidation>
    <dataValidation sqref="C4341" showDropDown="0" showInputMessage="0" showErrorMessage="0" allowBlank="0" type="list">
      <formula1>"Pauschale,Nachweis,Unbekannt"</formula1>
    </dataValidation>
    <dataValidation sqref="C4342" showDropDown="0" showInputMessage="0" showErrorMessage="0" allowBlank="0" type="list">
      <formula1>"Pauschale,Nachweis,Unbekannt"</formula1>
    </dataValidation>
    <dataValidation sqref="C4343" showDropDown="0" showInputMessage="0" showErrorMessage="0" allowBlank="0" type="list">
      <formula1>"Pauschale,Nachweis,Unbekannt"</formula1>
    </dataValidation>
    <dataValidation sqref="C4344" showDropDown="0" showInputMessage="0" showErrorMessage="0" allowBlank="0" type="list">
      <formula1>"Pauschale,Nachweis,Unbekannt"</formula1>
    </dataValidation>
    <dataValidation sqref="C4345" showDropDown="0" showInputMessage="0" showErrorMessage="0" allowBlank="0" type="list">
      <formula1>"Pauschale,Nachweis,Unbekannt"</formula1>
    </dataValidation>
    <dataValidation sqref="C4346" showDropDown="0" showInputMessage="0" showErrorMessage="0" allowBlank="0" type="list">
      <formula1>"Pauschale,Nachweis,Unbekannt"</formula1>
    </dataValidation>
    <dataValidation sqref="C4347" showDropDown="0" showInputMessage="0" showErrorMessage="0" allowBlank="0" type="list">
      <formula1>"Pauschale,Nachweis,Unbekannt"</formula1>
    </dataValidation>
    <dataValidation sqref="C4348" showDropDown="0" showInputMessage="0" showErrorMessage="0" allowBlank="0" type="list">
      <formula1>"Pauschale,Nachweis,Unbekannt"</formula1>
    </dataValidation>
    <dataValidation sqref="C4349" showDropDown="0" showInputMessage="0" showErrorMessage="0" allowBlank="0" type="list">
      <formula1>"Pauschale,Nachweis,Unbekannt"</formula1>
    </dataValidation>
    <dataValidation sqref="C4350" showDropDown="0" showInputMessage="0" showErrorMessage="0" allowBlank="0" type="list">
      <formula1>"Pauschale,Nachweis,Unbekannt"</formula1>
    </dataValidation>
    <dataValidation sqref="C4351" showDropDown="0" showInputMessage="0" showErrorMessage="0" allowBlank="0" type="list">
      <formula1>"Pauschale,Nachweis,Unbekannt"</formula1>
    </dataValidation>
    <dataValidation sqref="C4352" showDropDown="0" showInputMessage="0" showErrorMessage="0" allowBlank="0" type="list">
      <formula1>"Pauschale,Nachweis,Unbekannt"</formula1>
    </dataValidation>
    <dataValidation sqref="C4353" showDropDown="0" showInputMessage="0" showErrorMessage="0" allowBlank="0" type="list">
      <formula1>"Pauschale,Nachweis,Unbekannt"</formula1>
    </dataValidation>
    <dataValidation sqref="C4354" showDropDown="0" showInputMessage="0" showErrorMessage="0" allowBlank="0" type="list">
      <formula1>"Pauschale,Nachweis,Unbekannt"</formula1>
    </dataValidation>
    <dataValidation sqref="C4355" showDropDown="0" showInputMessage="0" showErrorMessage="0" allowBlank="0" type="list">
      <formula1>"Pauschale,Nachweis,Unbekannt"</formula1>
    </dataValidation>
    <dataValidation sqref="C4356" showDropDown="0" showInputMessage="0" showErrorMessage="0" allowBlank="0" type="list">
      <formula1>"Pauschale,Nachweis,Unbekannt"</formula1>
    </dataValidation>
    <dataValidation sqref="C4357" showDropDown="0" showInputMessage="0" showErrorMessage="0" allowBlank="0" type="list">
      <formula1>"Pauschale,Nachweis,Unbekannt"</formula1>
    </dataValidation>
    <dataValidation sqref="C4358" showDropDown="0" showInputMessage="0" showErrorMessage="0" allowBlank="0" type="list">
      <formula1>"Pauschale,Nachweis,Unbekannt"</formula1>
    </dataValidation>
    <dataValidation sqref="C4359" showDropDown="0" showInputMessage="0" showErrorMessage="0" allowBlank="0" type="list">
      <formula1>"Pauschale,Nachweis,Unbekannt"</formula1>
    </dataValidation>
    <dataValidation sqref="C4360" showDropDown="0" showInputMessage="0" showErrorMessage="0" allowBlank="0" type="list">
      <formula1>"Pauschale,Nachweis,Unbekannt"</formula1>
    </dataValidation>
    <dataValidation sqref="C4361" showDropDown="0" showInputMessage="0" showErrorMessage="0" allowBlank="0" type="list">
      <formula1>"Pauschale,Nachweis,Unbekannt"</formula1>
    </dataValidation>
    <dataValidation sqref="C4362" showDropDown="0" showInputMessage="0" showErrorMessage="0" allowBlank="0" type="list">
      <formula1>"Pauschale,Nachweis,Unbekannt"</formula1>
    </dataValidation>
    <dataValidation sqref="C4363" showDropDown="0" showInputMessage="0" showErrorMessage="0" allowBlank="0" type="list">
      <formula1>"Pauschale,Nachweis,Unbekannt"</formula1>
    </dataValidation>
    <dataValidation sqref="C4364" showDropDown="0" showInputMessage="0" showErrorMessage="0" allowBlank="0" type="list">
      <formula1>"Pauschale,Nachweis,Unbekannt"</formula1>
    </dataValidation>
    <dataValidation sqref="C4365" showDropDown="0" showInputMessage="0" showErrorMessage="0" allowBlank="0" type="list">
      <formula1>"Pauschale,Nachweis,Unbekannt"</formula1>
    </dataValidation>
    <dataValidation sqref="C4366" showDropDown="0" showInputMessage="0" showErrorMessage="0" allowBlank="0" type="list">
      <formula1>"Pauschale,Nachweis,Unbekannt"</formula1>
    </dataValidation>
    <dataValidation sqref="C4367" showDropDown="0" showInputMessage="0" showErrorMessage="0" allowBlank="0" type="list">
      <formula1>"Pauschale,Nachweis,Unbekannt"</formula1>
    </dataValidation>
    <dataValidation sqref="C4368" showDropDown="0" showInputMessage="0" showErrorMessage="0" allowBlank="0" type="list">
      <formula1>"Pauschale,Nachweis,Unbekannt"</formula1>
    </dataValidation>
    <dataValidation sqref="C4369" showDropDown="0" showInputMessage="0" showErrorMessage="0" allowBlank="0" type="list">
      <formula1>"Pauschale,Nachweis,Unbekannt"</formula1>
    </dataValidation>
    <dataValidation sqref="C4370" showDropDown="0" showInputMessage="0" showErrorMessage="0" allowBlank="0" type="list">
      <formula1>"Pauschale,Nachweis,Unbekannt"</formula1>
    </dataValidation>
    <dataValidation sqref="C4371" showDropDown="0" showInputMessage="0" showErrorMessage="0" allowBlank="0" type="list">
      <formula1>"Pauschale,Nachweis,Unbekannt"</formula1>
    </dataValidation>
    <dataValidation sqref="C4372" showDropDown="0" showInputMessage="0" showErrorMessage="0" allowBlank="0" type="list">
      <formula1>"Pauschale,Nachweis,Unbekannt"</formula1>
    </dataValidation>
    <dataValidation sqref="C4373" showDropDown="0" showInputMessage="0" showErrorMessage="0" allowBlank="0" type="list">
      <formula1>"Pauschale,Nachweis,Unbekannt"</formula1>
    </dataValidation>
    <dataValidation sqref="C4374" showDropDown="0" showInputMessage="0" showErrorMessage="0" allowBlank="0" type="list">
      <formula1>"Pauschale,Nachweis,Unbekannt"</formula1>
    </dataValidation>
    <dataValidation sqref="C4375" showDropDown="0" showInputMessage="0" showErrorMessage="0" allowBlank="0" type="list">
      <formula1>"Pauschale,Nachweis,Unbekannt"</formula1>
    </dataValidation>
    <dataValidation sqref="C4376" showDropDown="0" showInputMessage="0" showErrorMessage="0" allowBlank="0" type="list">
      <formula1>"Pauschale,Nachweis,Unbekannt"</formula1>
    </dataValidation>
    <dataValidation sqref="C4377" showDropDown="0" showInputMessage="0" showErrorMessage="0" allowBlank="0" type="list">
      <formula1>"Pauschale,Nachweis,Unbekannt"</formula1>
    </dataValidation>
    <dataValidation sqref="C4378" showDropDown="0" showInputMessage="0" showErrorMessage="0" allowBlank="0" type="list">
      <formula1>"Pauschale,Nachweis,Unbekannt"</formula1>
    </dataValidation>
    <dataValidation sqref="C4379" showDropDown="0" showInputMessage="0" showErrorMessage="0" allowBlank="0" type="list">
      <formula1>"Pauschale,Nachweis,Unbekannt"</formula1>
    </dataValidation>
    <dataValidation sqref="C4380" showDropDown="0" showInputMessage="0" showErrorMessage="0" allowBlank="0" type="list">
      <formula1>"Pauschale,Nachweis,Unbekannt"</formula1>
    </dataValidation>
    <dataValidation sqref="C4381" showDropDown="0" showInputMessage="0" showErrorMessage="0" allowBlank="0" type="list">
      <formula1>"Pauschale,Nachweis,Unbekannt"</formula1>
    </dataValidation>
    <dataValidation sqref="C4382" showDropDown="0" showInputMessage="0" showErrorMessage="0" allowBlank="0" type="list">
      <formula1>"Pauschale,Nachweis,Unbekannt"</formula1>
    </dataValidation>
    <dataValidation sqref="C4383" showDropDown="0" showInputMessage="0" showErrorMessage="0" allowBlank="0" type="list">
      <formula1>"Pauschale,Nachweis,Unbekannt"</formula1>
    </dataValidation>
    <dataValidation sqref="C4384" showDropDown="0" showInputMessage="0" showErrorMessage="0" allowBlank="0" type="list">
      <formula1>"Pauschale,Nachweis,Unbekannt"</formula1>
    </dataValidation>
    <dataValidation sqref="C4385" showDropDown="0" showInputMessage="0" showErrorMessage="0" allowBlank="0" type="list">
      <formula1>"Pauschale,Nachweis,Unbekannt"</formula1>
    </dataValidation>
    <dataValidation sqref="C4386" showDropDown="0" showInputMessage="0" showErrorMessage="0" allowBlank="0" type="list">
      <formula1>"Pauschale,Nachweis,Unbekannt"</formula1>
    </dataValidation>
    <dataValidation sqref="C4387" showDropDown="0" showInputMessage="0" showErrorMessage="0" allowBlank="0" type="list">
      <formula1>"Pauschale,Nachweis,Unbekannt"</formula1>
    </dataValidation>
    <dataValidation sqref="C4388" showDropDown="0" showInputMessage="0" showErrorMessage="0" allowBlank="0" type="list">
      <formula1>"Pauschale,Nachweis,Unbekannt"</formula1>
    </dataValidation>
    <dataValidation sqref="C4389" showDropDown="0" showInputMessage="0" showErrorMessage="0" allowBlank="0" type="list">
      <formula1>"Pauschale,Nachweis,Unbekannt"</formula1>
    </dataValidation>
    <dataValidation sqref="C4390" showDropDown="0" showInputMessage="0" showErrorMessage="0" allowBlank="0" type="list">
      <formula1>"Pauschale,Nachweis,Unbekannt"</formula1>
    </dataValidation>
    <dataValidation sqref="C4391" showDropDown="0" showInputMessage="0" showErrorMessage="0" allowBlank="0" type="list">
      <formula1>"Pauschale,Nachweis,Unbekannt"</formula1>
    </dataValidation>
    <dataValidation sqref="C4392" showDropDown="0" showInputMessage="0" showErrorMessage="0" allowBlank="0" type="list">
      <formula1>"Pauschale,Nachweis,Unbekannt"</formula1>
    </dataValidation>
    <dataValidation sqref="C4393" showDropDown="0" showInputMessage="0" showErrorMessage="0" allowBlank="0" type="list">
      <formula1>"Pauschale,Nachweis,Unbekannt"</formula1>
    </dataValidation>
    <dataValidation sqref="C4394" showDropDown="0" showInputMessage="0" showErrorMessage="0" allowBlank="0" type="list">
      <formula1>"Pauschale,Nachweis,Unbekannt"</formula1>
    </dataValidation>
    <dataValidation sqref="C4395" showDropDown="0" showInputMessage="0" showErrorMessage="0" allowBlank="0" type="list">
      <formula1>"Pauschale,Nachweis,Unbekannt"</formula1>
    </dataValidation>
    <dataValidation sqref="C4396" showDropDown="0" showInputMessage="0" showErrorMessage="0" allowBlank="0" type="list">
      <formula1>"Pauschale,Nachweis,Unbekannt"</formula1>
    </dataValidation>
    <dataValidation sqref="C4397" showDropDown="0" showInputMessage="0" showErrorMessage="0" allowBlank="0" type="list">
      <formula1>"Pauschale,Nachweis,Unbekannt"</formula1>
    </dataValidation>
    <dataValidation sqref="C4398" showDropDown="0" showInputMessage="0" showErrorMessage="0" allowBlank="0" type="list">
      <formula1>"Pauschale,Nachweis,Unbekannt"</formula1>
    </dataValidation>
    <dataValidation sqref="C4399" showDropDown="0" showInputMessage="0" showErrorMessage="0" allowBlank="0" type="list">
      <formula1>"Pauschale,Nachweis,Unbekannt"</formula1>
    </dataValidation>
    <dataValidation sqref="C4400" showDropDown="0" showInputMessage="0" showErrorMessage="0" allowBlank="0" type="list">
      <formula1>"Pauschale,Nachweis,Unbekannt"</formula1>
    </dataValidation>
    <dataValidation sqref="C4401" showDropDown="0" showInputMessage="0" showErrorMessage="0" allowBlank="0" type="list">
      <formula1>"Pauschale,Nachweis,Unbekannt"</formula1>
    </dataValidation>
    <dataValidation sqref="C4402" showDropDown="0" showInputMessage="0" showErrorMessage="0" allowBlank="0" type="list">
      <formula1>"Pauschale,Nachweis,Unbekannt"</formula1>
    </dataValidation>
    <dataValidation sqref="C4403" showDropDown="0" showInputMessage="0" showErrorMessage="0" allowBlank="0" type="list">
      <formula1>"Pauschale,Nachweis,Unbekannt"</formula1>
    </dataValidation>
    <dataValidation sqref="C4404" showDropDown="0" showInputMessage="0" showErrorMessage="0" allowBlank="0" type="list">
      <formula1>"Pauschale,Nachweis,Unbekannt"</formula1>
    </dataValidation>
    <dataValidation sqref="C4405" showDropDown="0" showInputMessage="0" showErrorMessage="0" allowBlank="0" type="list">
      <formula1>"Pauschale,Nachweis,Unbekannt"</formula1>
    </dataValidation>
    <dataValidation sqref="C4406" showDropDown="0" showInputMessage="0" showErrorMessage="0" allowBlank="0" type="list">
      <formula1>"Pauschale,Nachweis,Unbekannt"</formula1>
    </dataValidation>
    <dataValidation sqref="C4407" showDropDown="0" showInputMessage="0" showErrorMessage="0" allowBlank="0" type="list">
      <formula1>"Pauschale,Nachweis,Unbekannt"</formula1>
    </dataValidation>
    <dataValidation sqref="C4408" showDropDown="0" showInputMessage="0" showErrorMessage="0" allowBlank="0" type="list">
      <formula1>"Pauschale,Nachweis,Unbekannt"</formula1>
    </dataValidation>
    <dataValidation sqref="C4409" showDropDown="0" showInputMessage="0" showErrorMessage="0" allowBlank="0" type="list">
      <formula1>"Pauschale,Nachweis,Unbekannt"</formula1>
    </dataValidation>
    <dataValidation sqref="C4410" showDropDown="0" showInputMessage="0" showErrorMessage="0" allowBlank="0" type="list">
      <formula1>"Pauschale,Nachweis,Unbekannt"</formula1>
    </dataValidation>
    <dataValidation sqref="C4411" showDropDown="0" showInputMessage="0" showErrorMessage="0" allowBlank="0" type="list">
      <formula1>"Pauschale,Nachweis,Unbekannt"</formula1>
    </dataValidation>
    <dataValidation sqref="C4412" showDropDown="0" showInputMessage="0" showErrorMessage="0" allowBlank="0" type="list">
      <formula1>"Pauschale,Nachweis,Unbekannt"</formula1>
    </dataValidation>
    <dataValidation sqref="C4413" showDropDown="0" showInputMessage="0" showErrorMessage="0" allowBlank="0" type="list">
      <formula1>"Pauschale,Nachweis,Unbekannt"</formula1>
    </dataValidation>
    <dataValidation sqref="C4414" showDropDown="0" showInputMessage="0" showErrorMessage="0" allowBlank="0" type="list">
      <formula1>"Pauschale,Nachweis,Unbekannt"</formula1>
    </dataValidation>
    <dataValidation sqref="C4415" showDropDown="0" showInputMessage="0" showErrorMessage="0" allowBlank="0" type="list">
      <formula1>"Pauschale,Nachweis,Unbekannt"</formula1>
    </dataValidation>
    <dataValidation sqref="C4416" showDropDown="0" showInputMessage="0" showErrorMessage="0" allowBlank="0" type="list">
      <formula1>"Pauschale,Nachweis,Unbekannt"</formula1>
    </dataValidation>
    <dataValidation sqref="C4417" showDropDown="0" showInputMessage="0" showErrorMessage="0" allowBlank="0" type="list">
      <formula1>"Pauschale,Nachweis,Unbekannt"</formula1>
    </dataValidation>
    <dataValidation sqref="C4418" showDropDown="0" showInputMessage="0" showErrorMessage="0" allowBlank="0" type="list">
      <formula1>"Pauschale,Nachweis,Unbekannt"</formula1>
    </dataValidation>
    <dataValidation sqref="C4419" showDropDown="0" showInputMessage="0" showErrorMessage="0" allowBlank="0" type="list">
      <formula1>"Pauschale,Nachweis,Unbekannt"</formula1>
    </dataValidation>
    <dataValidation sqref="C4420" showDropDown="0" showInputMessage="0" showErrorMessage="0" allowBlank="0" type="list">
      <formula1>"Pauschale,Nachweis,Unbekannt"</formula1>
    </dataValidation>
    <dataValidation sqref="C4421" showDropDown="0" showInputMessage="0" showErrorMessage="0" allowBlank="0" type="list">
      <formula1>"Pauschale,Nachweis,Unbekannt"</formula1>
    </dataValidation>
    <dataValidation sqref="C4422" showDropDown="0" showInputMessage="0" showErrorMessage="0" allowBlank="0" type="list">
      <formula1>"Pauschale,Nachweis,Unbekannt"</formula1>
    </dataValidation>
    <dataValidation sqref="C4423" showDropDown="0" showInputMessage="0" showErrorMessage="0" allowBlank="0" type="list">
      <formula1>"Pauschale,Nachweis,Unbekannt"</formula1>
    </dataValidation>
    <dataValidation sqref="C4424" showDropDown="0" showInputMessage="0" showErrorMessage="0" allowBlank="0" type="list">
      <formula1>"Pauschale,Nachweis,Unbekannt"</formula1>
    </dataValidation>
    <dataValidation sqref="C4425" showDropDown="0" showInputMessage="0" showErrorMessage="0" allowBlank="0" type="list">
      <formula1>"Pauschale,Nachweis,Unbekannt"</formula1>
    </dataValidation>
    <dataValidation sqref="C4426" showDropDown="0" showInputMessage="0" showErrorMessage="0" allowBlank="0" type="list">
      <formula1>"Pauschale,Nachweis,Unbekannt"</formula1>
    </dataValidation>
    <dataValidation sqref="C4427" showDropDown="0" showInputMessage="0" showErrorMessage="0" allowBlank="0" type="list">
      <formula1>"Pauschale,Nachweis,Unbekannt"</formula1>
    </dataValidation>
    <dataValidation sqref="C4428" showDropDown="0" showInputMessage="0" showErrorMessage="0" allowBlank="0" type="list">
      <formula1>"Pauschale,Nachweis,Unbekannt"</formula1>
    </dataValidation>
    <dataValidation sqref="C4429" showDropDown="0" showInputMessage="0" showErrorMessage="0" allowBlank="0" type="list">
      <formula1>"Pauschale,Nachweis,Unbekannt"</formula1>
    </dataValidation>
    <dataValidation sqref="C4430" showDropDown="0" showInputMessage="0" showErrorMessage="0" allowBlank="0" type="list">
      <formula1>"Pauschale,Nachweis,Unbekannt"</formula1>
    </dataValidation>
    <dataValidation sqref="C4431" showDropDown="0" showInputMessage="0" showErrorMessage="0" allowBlank="0" type="list">
      <formula1>"Pauschale,Nachweis,Unbekannt"</formula1>
    </dataValidation>
    <dataValidation sqref="C4432" showDropDown="0" showInputMessage="0" showErrorMessage="0" allowBlank="0" type="list">
      <formula1>"Pauschale,Nachweis,Unbekannt"</formula1>
    </dataValidation>
    <dataValidation sqref="C4433" showDropDown="0" showInputMessage="0" showErrorMessage="0" allowBlank="0" type="list">
      <formula1>"Pauschale,Nachweis,Unbekannt"</formula1>
    </dataValidation>
    <dataValidation sqref="C4434" showDropDown="0" showInputMessage="0" showErrorMessage="0" allowBlank="0" type="list">
      <formula1>"Pauschale,Nachweis,Unbekannt"</formula1>
    </dataValidation>
    <dataValidation sqref="C4435" showDropDown="0" showInputMessage="0" showErrorMessage="0" allowBlank="0" type="list">
      <formula1>"Pauschale,Nachweis,Unbekannt"</formula1>
    </dataValidation>
    <dataValidation sqref="C4436" showDropDown="0" showInputMessage="0" showErrorMessage="0" allowBlank="0" type="list">
      <formula1>"Pauschale,Nachweis,Unbekannt"</formula1>
    </dataValidation>
    <dataValidation sqref="C4437" showDropDown="0" showInputMessage="0" showErrorMessage="0" allowBlank="0" type="list">
      <formula1>"Pauschale,Nachweis,Unbekannt"</formula1>
    </dataValidation>
    <dataValidation sqref="C4438" showDropDown="0" showInputMessage="0" showErrorMessage="0" allowBlank="0" type="list">
      <formula1>"Pauschale,Nachweis,Unbekannt"</formula1>
    </dataValidation>
    <dataValidation sqref="C4439" showDropDown="0" showInputMessage="0" showErrorMessage="0" allowBlank="0" type="list">
      <formula1>"Pauschale,Nachweis,Unbekannt"</formula1>
    </dataValidation>
    <dataValidation sqref="C4440" showDropDown="0" showInputMessage="0" showErrorMessage="0" allowBlank="0" type="list">
      <formula1>"Pauschale,Nachweis,Unbekannt"</formula1>
    </dataValidation>
    <dataValidation sqref="C4441" showDropDown="0" showInputMessage="0" showErrorMessage="0" allowBlank="0" type="list">
      <formula1>"Pauschale,Nachweis,Unbekannt"</formula1>
    </dataValidation>
    <dataValidation sqref="C4442" showDropDown="0" showInputMessage="0" showErrorMessage="0" allowBlank="0" type="list">
      <formula1>"Pauschale,Nachweis,Unbekannt"</formula1>
    </dataValidation>
    <dataValidation sqref="C4443" showDropDown="0" showInputMessage="0" showErrorMessage="0" allowBlank="0" type="list">
      <formula1>"Pauschale,Nachweis,Unbekannt"</formula1>
    </dataValidation>
    <dataValidation sqref="C4444" showDropDown="0" showInputMessage="0" showErrorMessage="0" allowBlank="0" type="list">
      <formula1>"Pauschale,Nachweis,Unbekannt"</formula1>
    </dataValidation>
    <dataValidation sqref="C4445" showDropDown="0" showInputMessage="0" showErrorMessage="0" allowBlank="0" type="list">
      <formula1>"Pauschale,Nachweis,Unbekannt"</formula1>
    </dataValidation>
    <dataValidation sqref="C4446" showDropDown="0" showInputMessage="0" showErrorMessage="0" allowBlank="0" type="list">
      <formula1>"Pauschale,Nachweis,Unbekannt"</formula1>
    </dataValidation>
    <dataValidation sqref="C4447" showDropDown="0" showInputMessage="0" showErrorMessage="0" allowBlank="0" type="list">
      <formula1>"Pauschale,Nachweis,Unbekannt"</formula1>
    </dataValidation>
    <dataValidation sqref="C4448" showDropDown="0" showInputMessage="0" showErrorMessage="0" allowBlank="0" type="list">
      <formula1>"Pauschale,Nachweis,Unbekannt"</formula1>
    </dataValidation>
    <dataValidation sqref="C4449" showDropDown="0" showInputMessage="0" showErrorMessage="0" allowBlank="0" type="list">
      <formula1>"Pauschale,Nachweis,Unbekannt"</formula1>
    </dataValidation>
    <dataValidation sqref="C4450" showDropDown="0" showInputMessage="0" showErrorMessage="0" allowBlank="0" type="list">
      <formula1>"Pauschale,Nachweis,Unbekannt"</formula1>
    </dataValidation>
    <dataValidation sqref="C4451" showDropDown="0" showInputMessage="0" showErrorMessage="0" allowBlank="0" type="list">
      <formula1>"Pauschale,Nachweis,Unbekannt"</formula1>
    </dataValidation>
    <dataValidation sqref="C4452" showDropDown="0" showInputMessage="0" showErrorMessage="0" allowBlank="0" type="list">
      <formula1>"Pauschale,Nachweis,Unbekannt"</formula1>
    </dataValidation>
    <dataValidation sqref="C4453" showDropDown="0" showInputMessage="0" showErrorMessage="0" allowBlank="0" type="list">
      <formula1>"Pauschale,Nachweis,Unbekannt"</formula1>
    </dataValidation>
    <dataValidation sqref="C4454" showDropDown="0" showInputMessage="0" showErrorMessage="0" allowBlank="0" type="list">
      <formula1>"Pauschale,Nachweis,Unbekannt"</formula1>
    </dataValidation>
    <dataValidation sqref="C4455" showDropDown="0" showInputMessage="0" showErrorMessage="0" allowBlank="0" type="list">
      <formula1>"Pauschale,Nachweis,Unbekannt"</formula1>
    </dataValidation>
    <dataValidation sqref="C4456" showDropDown="0" showInputMessage="0" showErrorMessage="0" allowBlank="0" type="list">
      <formula1>"Pauschale,Nachweis,Unbekannt"</formula1>
    </dataValidation>
    <dataValidation sqref="C4457" showDropDown="0" showInputMessage="0" showErrorMessage="0" allowBlank="0" type="list">
      <formula1>"Pauschale,Nachweis,Unbekannt"</formula1>
    </dataValidation>
    <dataValidation sqref="C4458" showDropDown="0" showInputMessage="0" showErrorMessage="0" allowBlank="0" type="list">
      <formula1>"Pauschale,Nachweis,Unbekannt"</formula1>
    </dataValidation>
    <dataValidation sqref="C4459" showDropDown="0" showInputMessage="0" showErrorMessage="0" allowBlank="0" type="list">
      <formula1>"Pauschale,Nachweis,Unbekannt"</formula1>
    </dataValidation>
    <dataValidation sqref="C4460" showDropDown="0" showInputMessage="0" showErrorMessage="0" allowBlank="0" type="list">
      <formula1>"Pauschale,Nachweis,Unbekannt"</formula1>
    </dataValidation>
    <dataValidation sqref="C4461" showDropDown="0" showInputMessage="0" showErrorMessage="0" allowBlank="0" type="list">
      <formula1>"Pauschale,Nachweis,Unbekannt"</formula1>
    </dataValidation>
    <dataValidation sqref="C4462" showDropDown="0" showInputMessage="0" showErrorMessage="0" allowBlank="0" type="list">
      <formula1>"Pauschale,Nachweis,Unbekannt"</formula1>
    </dataValidation>
    <dataValidation sqref="C4463" showDropDown="0" showInputMessage="0" showErrorMessage="0" allowBlank="0" type="list">
      <formula1>"Pauschale,Nachweis,Unbekannt"</formula1>
    </dataValidation>
    <dataValidation sqref="C4464" showDropDown="0" showInputMessage="0" showErrorMessage="0" allowBlank="0" type="list">
      <formula1>"Pauschale,Nachweis,Unbekannt"</formula1>
    </dataValidation>
    <dataValidation sqref="C4465" showDropDown="0" showInputMessage="0" showErrorMessage="0" allowBlank="0" type="list">
      <formula1>"Pauschale,Nachweis,Unbekannt"</formula1>
    </dataValidation>
    <dataValidation sqref="C4466" showDropDown="0" showInputMessage="0" showErrorMessage="0" allowBlank="0" type="list">
      <formula1>"Pauschale,Nachweis,Unbekannt"</formula1>
    </dataValidation>
    <dataValidation sqref="C4467" showDropDown="0" showInputMessage="0" showErrorMessage="0" allowBlank="0" type="list">
      <formula1>"Pauschale,Nachweis,Unbekannt"</formula1>
    </dataValidation>
    <dataValidation sqref="C4468" showDropDown="0" showInputMessage="0" showErrorMessage="0" allowBlank="0" type="list">
      <formula1>"Pauschale,Nachweis,Unbekannt"</formula1>
    </dataValidation>
    <dataValidation sqref="C4469" showDropDown="0" showInputMessage="0" showErrorMessage="0" allowBlank="0" type="list">
      <formula1>"Pauschale,Nachweis,Unbekannt"</formula1>
    </dataValidation>
    <dataValidation sqref="C4470" showDropDown="0" showInputMessage="0" showErrorMessage="0" allowBlank="0" type="list">
      <formula1>"Pauschale,Nachweis,Unbekannt"</formula1>
    </dataValidation>
    <dataValidation sqref="C4471" showDropDown="0" showInputMessage="0" showErrorMessage="0" allowBlank="0" type="list">
      <formula1>"Pauschale,Nachweis,Unbekannt"</formula1>
    </dataValidation>
    <dataValidation sqref="C4472" showDropDown="0" showInputMessage="0" showErrorMessage="0" allowBlank="0" type="list">
      <formula1>"Pauschale,Nachweis,Unbekannt"</formula1>
    </dataValidation>
    <dataValidation sqref="C4473" showDropDown="0" showInputMessage="0" showErrorMessage="0" allowBlank="0" type="list">
      <formula1>"Pauschale,Nachweis,Unbekannt"</formula1>
    </dataValidation>
    <dataValidation sqref="C4474" showDropDown="0" showInputMessage="0" showErrorMessage="0" allowBlank="0" type="list">
      <formula1>"Pauschale,Nachweis,Unbekannt"</formula1>
    </dataValidation>
    <dataValidation sqref="C4475" showDropDown="0" showInputMessage="0" showErrorMessage="0" allowBlank="0" type="list">
      <formula1>"Pauschale,Nachweis,Unbekannt"</formula1>
    </dataValidation>
    <dataValidation sqref="C4476" showDropDown="0" showInputMessage="0" showErrorMessage="0" allowBlank="0" type="list">
      <formula1>"Pauschale,Nachweis,Unbekannt"</formula1>
    </dataValidation>
    <dataValidation sqref="C4477" showDropDown="0" showInputMessage="0" showErrorMessage="0" allowBlank="0" type="list">
      <formula1>"Pauschale,Nachweis,Unbekannt"</formula1>
    </dataValidation>
    <dataValidation sqref="C4478" showDropDown="0" showInputMessage="0" showErrorMessage="0" allowBlank="0" type="list">
      <formula1>"Pauschale,Nachweis,Unbekannt"</formula1>
    </dataValidation>
    <dataValidation sqref="C4479" showDropDown="0" showInputMessage="0" showErrorMessage="0" allowBlank="0" type="list">
      <formula1>"Pauschale,Nachweis,Unbekannt"</formula1>
    </dataValidation>
    <dataValidation sqref="C4480" showDropDown="0" showInputMessage="0" showErrorMessage="0" allowBlank="0" type="list">
      <formula1>"Pauschale,Nachweis,Unbekannt"</formula1>
    </dataValidation>
    <dataValidation sqref="C4481" showDropDown="0" showInputMessage="0" showErrorMessage="0" allowBlank="0" type="list">
      <formula1>"Pauschale,Nachweis,Unbekannt"</formula1>
    </dataValidation>
    <dataValidation sqref="C4482" showDropDown="0" showInputMessage="0" showErrorMessage="0" allowBlank="0" type="list">
      <formula1>"Pauschale,Nachweis,Unbekannt"</formula1>
    </dataValidation>
    <dataValidation sqref="C4483" showDropDown="0" showInputMessage="0" showErrorMessage="0" allowBlank="0" type="list">
      <formula1>"Pauschale,Nachweis,Unbekannt"</formula1>
    </dataValidation>
    <dataValidation sqref="C4484" showDropDown="0" showInputMessage="0" showErrorMessage="0" allowBlank="0" type="list">
      <formula1>"Pauschale,Nachweis,Unbekannt"</formula1>
    </dataValidation>
    <dataValidation sqref="C4485" showDropDown="0" showInputMessage="0" showErrorMessage="0" allowBlank="0" type="list">
      <formula1>"Pauschale,Nachweis,Unbekannt"</formula1>
    </dataValidation>
    <dataValidation sqref="C4486" showDropDown="0" showInputMessage="0" showErrorMessage="0" allowBlank="0" type="list">
      <formula1>"Pauschale,Nachweis,Unbekannt"</formula1>
    </dataValidation>
    <dataValidation sqref="C4487" showDropDown="0" showInputMessage="0" showErrorMessage="0" allowBlank="0" type="list">
      <formula1>"Pauschale,Nachweis,Unbekannt"</formula1>
    </dataValidation>
    <dataValidation sqref="C4488" showDropDown="0" showInputMessage="0" showErrorMessage="0" allowBlank="0" type="list">
      <formula1>"Pauschale,Nachweis,Unbekannt"</formula1>
    </dataValidation>
    <dataValidation sqref="C4489" showDropDown="0" showInputMessage="0" showErrorMessage="0" allowBlank="0" type="list">
      <formula1>"Pauschale,Nachweis,Unbekannt"</formula1>
    </dataValidation>
    <dataValidation sqref="C4490" showDropDown="0" showInputMessage="0" showErrorMessage="0" allowBlank="0" type="list">
      <formula1>"Pauschale,Nachweis,Unbekannt"</formula1>
    </dataValidation>
    <dataValidation sqref="C4491" showDropDown="0" showInputMessage="0" showErrorMessage="0" allowBlank="0" type="list">
      <formula1>"Pauschale,Nachweis,Unbekannt"</formula1>
    </dataValidation>
    <dataValidation sqref="C4492" showDropDown="0" showInputMessage="0" showErrorMessage="0" allowBlank="0" type="list">
      <formula1>"Pauschale,Nachweis,Unbekannt"</formula1>
    </dataValidation>
    <dataValidation sqref="C4493" showDropDown="0" showInputMessage="0" showErrorMessage="0" allowBlank="0" type="list">
      <formula1>"Pauschale,Nachweis,Unbekannt"</formula1>
    </dataValidation>
    <dataValidation sqref="C4494" showDropDown="0" showInputMessage="0" showErrorMessage="0" allowBlank="0" type="list">
      <formula1>"Pauschale,Nachweis,Unbekannt"</formula1>
    </dataValidation>
    <dataValidation sqref="C4495" showDropDown="0" showInputMessage="0" showErrorMessage="0" allowBlank="0" type="list">
      <formula1>"Pauschale,Nachweis,Unbekannt"</formula1>
    </dataValidation>
    <dataValidation sqref="C4496" showDropDown="0" showInputMessage="0" showErrorMessage="0" allowBlank="0" type="list">
      <formula1>"Pauschale,Nachweis,Unbekannt"</formula1>
    </dataValidation>
    <dataValidation sqref="C4497" showDropDown="0" showInputMessage="0" showErrorMessage="0" allowBlank="0" type="list">
      <formula1>"Pauschale,Nachweis,Unbekannt"</formula1>
    </dataValidation>
    <dataValidation sqref="C4498" showDropDown="0" showInputMessage="0" showErrorMessage="0" allowBlank="0" type="list">
      <formula1>"Pauschale,Nachweis,Unbekannt"</formula1>
    </dataValidation>
    <dataValidation sqref="C4499" showDropDown="0" showInputMessage="0" showErrorMessage="0" allowBlank="0" type="list">
      <formula1>"Pauschale,Nachweis,Unbekannt"</formula1>
    </dataValidation>
    <dataValidation sqref="C4500" showDropDown="0" showInputMessage="0" showErrorMessage="0" allowBlank="0" type="list">
      <formula1>"Pauschale,Nachweis,Unbekannt"</formula1>
    </dataValidation>
    <dataValidation sqref="C4501" showDropDown="0" showInputMessage="0" showErrorMessage="0" allowBlank="0" type="list">
      <formula1>"Pauschale,Nachweis,Unbekannt"</formula1>
    </dataValidation>
    <dataValidation sqref="C4502" showDropDown="0" showInputMessage="0" showErrorMessage="0" allowBlank="0" type="list">
      <formula1>"Pauschale,Nachweis,Unbekannt"</formula1>
    </dataValidation>
    <dataValidation sqref="C4503" showDropDown="0" showInputMessage="0" showErrorMessage="0" allowBlank="0" type="list">
      <formula1>"Pauschale,Nachweis,Unbekannt"</formula1>
    </dataValidation>
    <dataValidation sqref="C4504" showDropDown="0" showInputMessage="0" showErrorMessage="0" allowBlank="0" type="list">
      <formula1>"Pauschale,Nachweis,Unbekannt"</formula1>
    </dataValidation>
    <dataValidation sqref="C4505" showDropDown="0" showInputMessage="0" showErrorMessage="0" allowBlank="0" type="list">
      <formula1>"Pauschale,Nachweis,Unbekannt"</formula1>
    </dataValidation>
    <dataValidation sqref="C4506" showDropDown="0" showInputMessage="0" showErrorMessage="0" allowBlank="0" type="list">
      <formula1>"Pauschale,Nachweis,Unbekannt"</formula1>
    </dataValidation>
    <dataValidation sqref="C4507" showDropDown="0" showInputMessage="0" showErrorMessage="0" allowBlank="0" type="list">
      <formula1>"Pauschale,Nachweis,Unbekannt"</formula1>
    </dataValidation>
    <dataValidation sqref="C4508" showDropDown="0" showInputMessage="0" showErrorMessage="0" allowBlank="0" type="list">
      <formula1>"Pauschale,Nachweis,Unbekannt"</formula1>
    </dataValidation>
    <dataValidation sqref="C4509" showDropDown="0" showInputMessage="0" showErrorMessage="0" allowBlank="0" type="list">
      <formula1>"Pauschale,Nachweis,Unbekannt"</formula1>
    </dataValidation>
    <dataValidation sqref="C4510" showDropDown="0" showInputMessage="0" showErrorMessage="0" allowBlank="0" type="list">
      <formula1>"Pauschale,Nachweis,Unbekannt"</formula1>
    </dataValidation>
    <dataValidation sqref="C4511" showDropDown="0" showInputMessage="0" showErrorMessage="0" allowBlank="0" type="list">
      <formula1>"Pauschale,Nachweis,Unbekannt"</formula1>
    </dataValidation>
    <dataValidation sqref="C4512" showDropDown="0" showInputMessage="0" showErrorMessage="0" allowBlank="0" type="list">
      <formula1>"Pauschale,Nachweis,Unbekannt"</formula1>
    </dataValidation>
    <dataValidation sqref="C4513" showDropDown="0" showInputMessage="0" showErrorMessage="0" allowBlank="0" type="list">
      <formula1>"Pauschale,Nachweis,Unbekannt"</formula1>
    </dataValidation>
    <dataValidation sqref="C4514" showDropDown="0" showInputMessage="0" showErrorMessage="0" allowBlank="0" type="list">
      <formula1>"Pauschale,Nachweis,Unbekannt"</formula1>
    </dataValidation>
    <dataValidation sqref="C4515" showDropDown="0" showInputMessage="0" showErrorMessage="0" allowBlank="0" type="list">
      <formula1>"Pauschale,Nachweis,Unbekannt"</formula1>
    </dataValidation>
    <dataValidation sqref="C4516" showDropDown="0" showInputMessage="0" showErrorMessage="0" allowBlank="0" type="list">
      <formula1>"Pauschale,Nachweis,Unbekannt"</formula1>
    </dataValidation>
    <dataValidation sqref="C4517" showDropDown="0" showInputMessage="0" showErrorMessage="0" allowBlank="0" type="list">
      <formula1>"Pauschale,Nachweis,Unbekannt"</formula1>
    </dataValidation>
    <dataValidation sqref="C4518" showDropDown="0" showInputMessage="0" showErrorMessage="0" allowBlank="0" type="list">
      <formula1>"Pauschale,Nachweis,Unbekannt"</formula1>
    </dataValidation>
    <dataValidation sqref="C4519" showDropDown="0" showInputMessage="0" showErrorMessage="0" allowBlank="0" type="list">
      <formula1>"Pauschale,Nachweis,Unbekannt"</formula1>
    </dataValidation>
    <dataValidation sqref="C4520" showDropDown="0" showInputMessage="0" showErrorMessage="0" allowBlank="0" type="list">
      <formula1>"Pauschale,Nachweis,Unbekannt"</formula1>
    </dataValidation>
    <dataValidation sqref="C4521" showDropDown="0" showInputMessage="0" showErrorMessage="0" allowBlank="0" type="list">
      <formula1>"Pauschale,Nachweis,Unbekannt"</formula1>
    </dataValidation>
    <dataValidation sqref="C4522" showDropDown="0" showInputMessage="0" showErrorMessage="0" allowBlank="0" type="list">
      <formula1>"Pauschale,Nachweis,Unbekannt"</formula1>
    </dataValidation>
    <dataValidation sqref="C4523" showDropDown="0" showInputMessage="0" showErrorMessage="0" allowBlank="0" type="list">
      <formula1>"Pauschale,Nachweis,Unbekannt"</formula1>
    </dataValidation>
    <dataValidation sqref="C4524" showDropDown="0" showInputMessage="0" showErrorMessage="0" allowBlank="0" type="list">
      <formula1>"Pauschale,Nachweis,Unbekannt"</formula1>
    </dataValidation>
    <dataValidation sqref="C4525" showDropDown="0" showInputMessage="0" showErrorMessage="0" allowBlank="0" type="list">
      <formula1>"Pauschale,Nachweis,Unbekannt"</formula1>
    </dataValidation>
    <dataValidation sqref="C4526" showDropDown="0" showInputMessage="0" showErrorMessage="0" allowBlank="0" type="list">
      <formula1>"Pauschale,Nachweis,Unbekannt"</formula1>
    </dataValidation>
    <dataValidation sqref="C4527" showDropDown="0" showInputMessage="0" showErrorMessage="0" allowBlank="0" type="list">
      <formula1>"Pauschale,Nachweis,Unbekannt"</formula1>
    </dataValidation>
    <dataValidation sqref="C4528" showDropDown="0" showInputMessage="0" showErrorMessage="0" allowBlank="0" type="list">
      <formula1>"Pauschale,Nachweis,Unbekannt"</formula1>
    </dataValidation>
    <dataValidation sqref="C4529" showDropDown="0" showInputMessage="0" showErrorMessage="0" allowBlank="0" type="list">
      <formula1>"Pauschale,Nachweis,Unbekannt"</formula1>
    </dataValidation>
    <dataValidation sqref="C4530" showDropDown="0" showInputMessage="0" showErrorMessage="0" allowBlank="0" type="list">
      <formula1>"Pauschale,Nachweis,Unbekannt"</formula1>
    </dataValidation>
    <dataValidation sqref="C4531" showDropDown="0" showInputMessage="0" showErrorMessage="0" allowBlank="0" type="list">
      <formula1>"Pauschale,Nachweis,Unbekannt"</formula1>
    </dataValidation>
    <dataValidation sqref="C4532" showDropDown="0" showInputMessage="0" showErrorMessage="0" allowBlank="0" type="list">
      <formula1>"Pauschale,Nachweis,Unbekannt"</formula1>
    </dataValidation>
    <dataValidation sqref="C4533" showDropDown="0" showInputMessage="0" showErrorMessage="0" allowBlank="0" type="list">
      <formula1>"Pauschale,Nachweis,Unbekannt"</formula1>
    </dataValidation>
    <dataValidation sqref="C4534" showDropDown="0" showInputMessage="0" showErrorMessage="0" allowBlank="0" type="list">
      <formula1>"Pauschale,Nachweis,Unbekannt"</formula1>
    </dataValidation>
    <dataValidation sqref="C4535" showDropDown="0" showInputMessage="0" showErrorMessage="0" allowBlank="0" type="list">
      <formula1>"Pauschale,Nachweis,Unbekannt"</formula1>
    </dataValidation>
    <dataValidation sqref="C4536" showDropDown="0" showInputMessage="0" showErrorMessage="0" allowBlank="0" type="list">
      <formula1>"Pauschale,Nachweis,Unbekannt"</formula1>
    </dataValidation>
    <dataValidation sqref="C4537" showDropDown="0" showInputMessage="0" showErrorMessage="0" allowBlank="0" type="list">
      <formula1>"Pauschale,Nachweis,Unbekannt"</formula1>
    </dataValidation>
    <dataValidation sqref="C4538" showDropDown="0" showInputMessage="0" showErrorMessage="0" allowBlank="0" type="list">
      <formula1>"Pauschale,Nachweis,Unbekannt"</formula1>
    </dataValidation>
    <dataValidation sqref="C4539" showDropDown="0" showInputMessage="0" showErrorMessage="0" allowBlank="0" type="list">
      <formula1>"Pauschale,Nachweis,Unbekannt"</formula1>
    </dataValidation>
    <dataValidation sqref="C4540" showDropDown="0" showInputMessage="0" showErrorMessage="0" allowBlank="0" type="list">
      <formula1>"Pauschale,Nachweis,Unbekannt"</formula1>
    </dataValidation>
    <dataValidation sqref="C4541" showDropDown="0" showInputMessage="0" showErrorMessage="0" allowBlank="0" type="list">
      <formula1>"Pauschale,Nachweis,Unbekannt"</formula1>
    </dataValidation>
    <dataValidation sqref="C4542" showDropDown="0" showInputMessage="0" showErrorMessage="0" allowBlank="0" type="list">
      <formula1>"Pauschale,Nachweis,Unbekannt"</formula1>
    </dataValidation>
    <dataValidation sqref="C4543" showDropDown="0" showInputMessage="0" showErrorMessage="0" allowBlank="0" type="list">
      <formula1>"Pauschale,Nachweis,Unbekannt"</formula1>
    </dataValidation>
    <dataValidation sqref="C4544" showDropDown="0" showInputMessage="0" showErrorMessage="0" allowBlank="0" type="list">
      <formula1>"Pauschale,Nachweis,Unbekannt"</formula1>
    </dataValidation>
    <dataValidation sqref="C4545" showDropDown="0" showInputMessage="0" showErrorMessage="0" allowBlank="0" type="list">
      <formula1>"Pauschale,Nachweis,Unbekannt"</formula1>
    </dataValidation>
    <dataValidation sqref="C4546" showDropDown="0" showInputMessage="0" showErrorMessage="0" allowBlank="0" type="list">
      <formula1>"Pauschale,Nachweis,Unbekannt"</formula1>
    </dataValidation>
    <dataValidation sqref="C4547" showDropDown="0" showInputMessage="0" showErrorMessage="0" allowBlank="0" type="list">
      <formula1>"Pauschale,Nachweis,Unbekannt"</formula1>
    </dataValidation>
    <dataValidation sqref="C4548" showDropDown="0" showInputMessage="0" showErrorMessage="0" allowBlank="0" type="list">
      <formula1>"Pauschale,Nachweis,Unbekannt"</formula1>
    </dataValidation>
    <dataValidation sqref="C4549" showDropDown="0" showInputMessage="0" showErrorMessage="0" allowBlank="0" type="list">
      <formula1>"Pauschale,Nachweis,Unbekannt"</formula1>
    </dataValidation>
    <dataValidation sqref="C4550" showDropDown="0" showInputMessage="0" showErrorMessage="0" allowBlank="0" type="list">
      <formula1>"Pauschale,Nachweis,Unbekannt"</formula1>
    </dataValidation>
    <dataValidation sqref="C4551" showDropDown="0" showInputMessage="0" showErrorMessage="0" allowBlank="0" type="list">
      <formula1>"Pauschale,Nachweis,Unbekannt"</formula1>
    </dataValidation>
    <dataValidation sqref="C4552" showDropDown="0" showInputMessage="0" showErrorMessage="0" allowBlank="0" type="list">
      <formula1>"Pauschale,Nachweis,Unbekannt"</formula1>
    </dataValidation>
    <dataValidation sqref="C4553" showDropDown="0" showInputMessage="0" showErrorMessage="0" allowBlank="0" type="list">
      <formula1>"Pauschale,Nachweis,Unbekannt"</formula1>
    </dataValidation>
    <dataValidation sqref="C4554" showDropDown="0" showInputMessage="0" showErrorMessage="0" allowBlank="0" type="list">
      <formula1>"Pauschale,Nachweis,Unbekannt"</formula1>
    </dataValidation>
    <dataValidation sqref="C4555" showDropDown="0" showInputMessage="0" showErrorMessage="0" allowBlank="0" type="list">
      <formula1>"Pauschale,Nachweis,Unbekannt"</formula1>
    </dataValidation>
    <dataValidation sqref="C4556" showDropDown="0" showInputMessage="0" showErrorMessage="0" allowBlank="0" type="list">
      <formula1>"Pauschale,Nachweis,Unbekannt"</formula1>
    </dataValidation>
    <dataValidation sqref="C4557" showDropDown="0" showInputMessage="0" showErrorMessage="0" allowBlank="0" type="list">
      <formula1>"Pauschale,Nachweis,Unbekannt"</formula1>
    </dataValidation>
    <dataValidation sqref="C4558" showDropDown="0" showInputMessage="0" showErrorMessage="0" allowBlank="0" type="list">
      <formula1>"Pauschale,Nachweis,Unbekannt"</formula1>
    </dataValidation>
    <dataValidation sqref="C4559" showDropDown="0" showInputMessage="0" showErrorMessage="0" allowBlank="0" type="list">
      <formula1>"Pauschale,Nachweis,Unbekannt"</formula1>
    </dataValidation>
    <dataValidation sqref="C4560" showDropDown="0" showInputMessage="0" showErrorMessage="0" allowBlank="0" type="list">
      <formula1>"Pauschale,Nachweis,Unbekannt"</formula1>
    </dataValidation>
    <dataValidation sqref="C4561" showDropDown="0" showInputMessage="0" showErrorMessage="0" allowBlank="0" type="list">
      <formula1>"Pauschale,Nachweis,Unbekannt"</formula1>
    </dataValidation>
    <dataValidation sqref="C4562" showDropDown="0" showInputMessage="0" showErrorMessage="0" allowBlank="0" type="list">
      <formula1>"Pauschale,Nachweis,Unbekannt"</formula1>
    </dataValidation>
    <dataValidation sqref="C4563" showDropDown="0" showInputMessage="0" showErrorMessage="0" allowBlank="0" type="list">
      <formula1>"Pauschale,Nachweis,Unbekannt"</formula1>
    </dataValidation>
    <dataValidation sqref="C4564" showDropDown="0" showInputMessage="0" showErrorMessage="0" allowBlank="0" type="list">
      <formula1>"Pauschale,Nachweis,Unbekannt"</formula1>
    </dataValidation>
    <dataValidation sqref="C4565" showDropDown="0" showInputMessage="0" showErrorMessage="0" allowBlank="0" type="list">
      <formula1>"Pauschale,Nachweis,Unbekannt"</formula1>
    </dataValidation>
    <dataValidation sqref="C4566" showDropDown="0" showInputMessage="0" showErrorMessage="0" allowBlank="0" type="list">
      <formula1>"Pauschale,Nachweis,Unbekannt"</formula1>
    </dataValidation>
    <dataValidation sqref="C4567" showDropDown="0" showInputMessage="0" showErrorMessage="0" allowBlank="0" type="list">
      <formula1>"Pauschale,Nachweis,Unbekannt"</formula1>
    </dataValidation>
    <dataValidation sqref="C4568" showDropDown="0" showInputMessage="0" showErrorMessage="0" allowBlank="0" type="list">
      <formula1>"Pauschale,Nachweis,Unbekannt"</formula1>
    </dataValidation>
    <dataValidation sqref="C4569" showDropDown="0" showInputMessage="0" showErrorMessage="0" allowBlank="0" type="list">
      <formula1>"Pauschale,Nachweis,Unbekannt"</formula1>
    </dataValidation>
    <dataValidation sqref="C4570" showDropDown="0" showInputMessage="0" showErrorMessage="0" allowBlank="0" type="list">
      <formula1>"Pauschale,Nachweis,Unbekannt"</formula1>
    </dataValidation>
    <dataValidation sqref="C4571" showDropDown="0" showInputMessage="0" showErrorMessage="0" allowBlank="0" type="list">
      <formula1>"Pauschale,Nachweis,Unbekannt"</formula1>
    </dataValidation>
    <dataValidation sqref="C4572" showDropDown="0" showInputMessage="0" showErrorMessage="0" allowBlank="0" type="list">
      <formula1>"Pauschale,Nachweis,Unbekannt"</formula1>
    </dataValidation>
    <dataValidation sqref="C4573" showDropDown="0" showInputMessage="0" showErrorMessage="0" allowBlank="0" type="list">
      <formula1>"Pauschale,Nachweis,Unbekannt"</formula1>
    </dataValidation>
    <dataValidation sqref="C4574" showDropDown="0" showInputMessage="0" showErrorMessage="0" allowBlank="0" type="list">
      <formula1>"Pauschale,Nachweis,Unbekannt"</formula1>
    </dataValidation>
    <dataValidation sqref="C4575" showDropDown="0" showInputMessage="0" showErrorMessage="0" allowBlank="0" type="list">
      <formula1>"Pauschale,Nachweis,Unbekannt"</formula1>
    </dataValidation>
    <dataValidation sqref="C4576" showDropDown="0" showInputMessage="0" showErrorMessage="0" allowBlank="0" type="list">
      <formula1>"Pauschale,Nachweis,Unbekannt"</formula1>
    </dataValidation>
    <dataValidation sqref="C4577" showDropDown="0" showInputMessage="0" showErrorMessage="0" allowBlank="0" type="list">
      <formula1>"Pauschale,Nachweis,Unbekannt"</formula1>
    </dataValidation>
    <dataValidation sqref="C4578" showDropDown="0" showInputMessage="0" showErrorMessage="0" allowBlank="0" type="list">
      <formula1>"Pauschale,Nachweis,Unbekannt"</formula1>
    </dataValidation>
    <dataValidation sqref="C4579" showDropDown="0" showInputMessage="0" showErrorMessage="0" allowBlank="0" type="list">
      <formula1>"Pauschale,Nachweis,Unbekannt"</formula1>
    </dataValidation>
    <dataValidation sqref="C4580" showDropDown="0" showInputMessage="0" showErrorMessage="0" allowBlank="0" type="list">
      <formula1>"Pauschale,Nachweis,Unbekannt"</formula1>
    </dataValidation>
    <dataValidation sqref="C4581" showDropDown="0" showInputMessage="0" showErrorMessage="0" allowBlank="0" type="list">
      <formula1>"Pauschale,Nachweis,Unbekannt"</formula1>
    </dataValidation>
    <dataValidation sqref="C4582" showDropDown="0" showInputMessage="0" showErrorMessage="0" allowBlank="0" type="list">
      <formula1>"Pauschale,Nachweis,Unbekannt"</formula1>
    </dataValidation>
    <dataValidation sqref="C4583" showDropDown="0" showInputMessage="0" showErrorMessage="0" allowBlank="0" type="list">
      <formula1>"Pauschale,Nachweis,Unbekannt"</formula1>
    </dataValidation>
    <dataValidation sqref="C4584" showDropDown="0" showInputMessage="0" showErrorMessage="0" allowBlank="0" type="list">
      <formula1>"Pauschale,Nachweis,Unbekannt"</formula1>
    </dataValidation>
    <dataValidation sqref="C4585" showDropDown="0" showInputMessage="0" showErrorMessage="0" allowBlank="0" type="list">
      <formula1>"Pauschale,Nachweis,Unbekannt"</formula1>
    </dataValidation>
    <dataValidation sqref="C4586" showDropDown="0" showInputMessage="0" showErrorMessage="0" allowBlank="0" type="list">
      <formula1>"Pauschale,Nachweis,Unbekannt"</formula1>
    </dataValidation>
    <dataValidation sqref="C4587" showDropDown="0" showInputMessage="0" showErrorMessage="0" allowBlank="0" type="list">
      <formula1>"Pauschale,Nachweis,Unbekannt"</formula1>
    </dataValidation>
    <dataValidation sqref="C4588" showDropDown="0" showInputMessage="0" showErrorMessage="0" allowBlank="0" type="list">
      <formula1>"Pauschale,Nachweis,Unbekannt"</formula1>
    </dataValidation>
    <dataValidation sqref="C4589" showDropDown="0" showInputMessage="0" showErrorMessage="0" allowBlank="0" type="list">
      <formula1>"Pauschale,Nachweis,Unbekannt"</formula1>
    </dataValidation>
    <dataValidation sqref="C4590" showDropDown="0" showInputMessage="0" showErrorMessage="0" allowBlank="0" type="list">
      <formula1>"Pauschale,Nachweis,Unbekannt"</formula1>
    </dataValidation>
    <dataValidation sqref="C4591" showDropDown="0" showInputMessage="0" showErrorMessage="0" allowBlank="0" type="list">
      <formula1>"Pauschale,Nachweis,Unbekannt"</formula1>
    </dataValidation>
    <dataValidation sqref="C4592" showDropDown="0" showInputMessage="0" showErrorMessage="0" allowBlank="0" type="list">
      <formula1>"Pauschale,Nachweis,Unbekannt"</formula1>
    </dataValidation>
    <dataValidation sqref="C4593" showDropDown="0" showInputMessage="0" showErrorMessage="0" allowBlank="0" type="list">
      <formula1>"Pauschale,Nachweis,Unbekannt"</formula1>
    </dataValidation>
    <dataValidation sqref="C4594" showDropDown="0" showInputMessage="0" showErrorMessage="0" allowBlank="0" type="list">
      <formula1>"Pauschale,Nachweis,Unbekannt"</formula1>
    </dataValidation>
    <dataValidation sqref="C4595" showDropDown="0" showInputMessage="0" showErrorMessage="0" allowBlank="0" type="list">
      <formula1>"Pauschale,Nachweis,Unbekannt"</formula1>
    </dataValidation>
    <dataValidation sqref="C4596" showDropDown="0" showInputMessage="0" showErrorMessage="0" allowBlank="0" type="list">
      <formula1>"Pauschale,Nachweis,Unbekannt"</formula1>
    </dataValidation>
    <dataValidation sqref="C4597" showDropDown="0" showInputMessage="0" showErrorMessage="0" allowBlank="0" type="list">
      <formula1>"Pauschale,Nachweis,Unbekannt"</formula1>
    </dataValidation>
    <dataValidation sqref="C4598" showDropDown="0" showInputMessage="0" showErrorMessage="0" allowBlank="0" type="list">
      <formula1>"Pauschale,Nachweis,Unbekannt"</formula1>
    </dataValidation>
    <dataValidation sqref="C4599" showDropDown="0" showInputMessage="0" showErrorMessage="0" allowBlank="0" type="list">
      <formula1>"Pauschale,Nachweis,Unbekannt"</formula1>
    </dataValidation>
    <dataValidation sqref="C4600" showDropDown="0" showInputMessage="0" showErrorMessage="0" allowBlank="0" type="list">
      <formula1>"Pauschale,Nachweis,Unbekannt"</formula1>
    </dataValidation>
    <dataValidation sqref="C4601" showDropDown="0" showInputMessage="0" showErrorMessage="0" allowBlank="0" type="list">
      <formula1>"Pauschale,Nachweis,Unbekannt"</formula1>
    </dataValidation>
    <dataValidation sqref="C4602" showDropDown="0" showInputMessage="0" showErrorMessage="0" allowBlank="0" type="list">
      <formula1>"Pauschale,Nachweis,Unbekannt"</formula1>
    </dataValidation>
    <dataValidation sqref="C4603" showDropDown="0" showInputMessage="0" showErrorMessage="0" allowBlank="0" type="list">
      <formula1>"Pauschale,Nachweis,Unbekannt"</formula1>
    </dataValidation>
    <dataValidation sqref="C4604" showDropDown="0" showInputMessage="0" showErrorMessage="0" allowBlank="0" type="list">
      <formula1>"Pauschale,Nachweis,Unbekannt"</formula1>
    </dataValidation>
    <dataValidation sqref="C4605" showDropDown="0" showInputMessage="0" showErrorMessage="0" allowBlank="0" type="list">
      <formula1>"Pauschale,Nachweis,Unbekannt"</formula1>
    </dataValidation>
    <dataValidation sqref="C4606" showDropDown="0" showInputMessage="0" showErrorMessage="0" allowBlank="0" type="list">
      <formula1>"Pauschale,Nachweis,Unbekannt"</formula1>
    </dataValidation>
    <dataValidation sqref="C4607" showDropDown="0" showInputMessage="0" showErrorMessage="0" allowBlank="0" type="list">
      <formula1>"Pauschale,Nachweis,Unbekannt"</formula1>
    </dataValidation>
    <dataValidation sqref="C4608" showDropDown="0" showInputMessage="0" showErrorMessage="0" allowBlank="0" type="list">
      <formula1>"Pauschale,Nachweis,Unbekannt"</formula1>
    </dataValidation>
    <dataValidation sqref="C4609" showDropDown="0" showInputMessage="0" showErrorMessage="0" allowBlank="0" type="list">
      <formula1>"Pauschale,Nachweis,Unbekannt"</formula1>
    </dataValidation>
    <dataValidation sqref="C4610" showDropDown="0" showInputMessage="0" showErrorMessage="0" allowBlank="0" type="list">
      <formula1>"Pauschale,Nachweis,Unbekannt"</formula1>
    </dataValidation>
    <dataValidation sqref="C4611" showDropDown="0" showInputMessage="0" showErrorMessage="0" allowBlank="0" type="list">
      <formula1>"Pauschale,Nachweis,Unbekannt"</formula1>
    </dataValidation>
    <dataValidation sqref="C4612" showDropDown="0" showInputMessage="0" showErrorMessage="0" allowBlank="0" type="list">
      <formula1>"Pauschale,Nachweis,Unbekannt"</formula1>
    </dataValidation>
    <dataValidation sqref="C4613" showDropDown="0" showInputMessage="0" showErrorMessage="0" allowBlank="0" type="list">
      <formula1>"Pauschale,Nachweis,Unbekannt"</formula1>
    </dataValidation>
    <dataValidation sqref="C4614" showDropDown="0" showInputMessage="0" showErrorMessage="0" allowBlank="0" type="list">
      <formula1>"Pauschale,Nachweis,Unbekannt"</formula1>
    </dataValidation>
    <dataValidation sqref="C4615" showDropDown="0" showInputMessage="0" showErrorMessage="0" allowBlank="0" type="list">
      <formula1>"Pauschale,Nachweis,Unbekannt"</formula1>
    </dataValidation>
    <dataValidation sqref="C4616" showDropDown="0" showInputMessage="0" showErrorMessage="0" allowBlank="0" type="list">
      <formula1>"Pauschale,Nachweis,Unbekannt"</formula1>
    </dataValidation>
    <dataValidation sqref="C4617" showDropDown="0" showInputMessage="0" showErrorMessage="0" allowBlank="0" type="list">
      <formula1>"Pauschale,Nachweis,Unbekannt"</formula1>
    </dataValidation>
    <dataValidation sqref="C4618" showDropDown="0" showInputMessage="0" showErrorMessage="0" allowBlank="0" type="list">
      <formula1>"Pauschale,Nachweis,Unbekannt"</formula1>
    </dataValidation>
    <dataValidation sqref="C4619" showDropDown="0" showInputMessage="0" showErrorMessage="0" allowBlank="0" type="list">
      <formula1>"Pauschale,Nachweis,Unbekannt"</formula1>
    </dataValidation>
    <dataValidation sqref="C4620" showDropDown="0" showInputMessage="0" showErrorMessage="0" allowBlank="0" type="list">
      <formula1>"Pauschale,Nachweis,Unbekannt"</formula1>
    </dataValidation>
    <dataValidation sqref="C4621" showDropDown="0" showInputMessage="0" showErrorMessage="0" allowBlank="0" type="list">
      <formula1>"Pauschale,Nachweis,Unbekannt"</formula1>
    </dataValidation>
    <dataValidation sqref="C4622" showDropDown="0" showInputMessage="0" showErrorMessage="0" allowBlank="0" type="list">
      <formula1>"Pauschale,Nachweis,Unbekannt"</formula1>
    </dataValidation>
    <dataValidation sqref="C4623" showDropDown="0" showInputMessage="0" showErrorMessage="0" allowBlank="0" type="list">
      <formula1>"Pauschale,Nachweis,Unbekannt"</formula1>
    </dataValidation>
    <dataValidation sqref="C4624" showDropDown="0" showInputMessage="0" showErrorMessage="0" allowBlank="0" type="list">
      <formula1>"Pauschale,Nachweis,Unbekannt"</formula1>
    </dataValidation>
    <dataValidation sqref="C4625" showDropDown="0" showInputMessage="0" showErrorMessage="0" allowBlank="0" type="list">
      <formula1>"Pauschale,Nachweis,Unbekannt"</formula1>
    </dataValidation>
    <dataValidation sqref="C4626" showDropDown="0" showInputMessage="0" showErrorMessage="0" allowBlank="0" type="list">
      <formula1>"Pauschale,Nachweis,Unbekannt"</formula1>
    </dataValidation>
    <dataValidation sqref="C4627" showDropDown="0" showInputMessage="0" showErrorMessage="0" allowBlank="0" type="list">
      <formula1>"Pauschale,Nachweis,Unbekannt"</formula1>
    </dataValidation>
    <dataValidation sqref="C4628" showDropDown="0" showInputMessage="0" showErrorMessage="0" allowBlank="0" type="list">
      <formula1>"Pauschale,Nachweis,Unbekannt"</formula1>
    </dataValidation>
    <dataValidation sqref="C4629" showDropDown="0" showInputMessage="0" showErrorMessage="0" allowBlank="0" type="list">
      <formula1>"Pauschale,Nachweis,Unbekannt"</formula1>
    </dataValidation>
    <dataValidation sqref="C4630" showDropDown="0" showInputMessage="0" showErrorMessage="0" allowBlank="0" type="list">
      <formula1>"Pauschale,Nachweis,Unbekannt"</formula1>
    </dataValidation>
    <dataValidation sqref="C4631" showDropDown="0" showInputMessage="0" showErrorMessage="0" allowBlank="0" type="list">
      <formula1>"Pauschale,Nachweis,Unbekannt"</formula1>
    </dataValidation>
    <dataValidation sqref="C4632" showDropDown="0" showInputMessage="0" showErrorMessage="0" allowBlank="0" type="list">
      <formula1>"Pauschale,Nachweis,Unbekannt"</formula1>
    </dataValidation>
    <dataValidation sqref="C4633" showDropDown="0" showInputMessage="0" showErrorMessage="0" allowBlank="0" type="list">
      <formula1>"Pauschale,Nachweis,Unbekannt"</formula1>
    </dataValidation>
    <dataValidation sqref="C4634" showDropDown="0" showInputMessage="0" showErrorMessage="0" allowBlank="0" type="list">
      <formula1>"Pauschale,Nachweis,Unbekannt"</formula1>
    </dataValidation>
    <dataValidation sqref="C4635" showDropDown="0" showInputMessage="0" showErrorMessage="0" allowBlank="0" type="list">
      <formula1>"Pauschale,Nachweis,Unbekannt"</formula1>
    </dataValidation>
    <dataValidation sqref="C4636" showDropDown="0" showInputMessage="0" showErrorMessage="0" allowBlank="0" type="list">
      <formula1>"Pauschale,Nachweis,Unbekannt"</formula1>
    </dataValidation>
    <dataValidation sqref="C4637" showDropDown="0" showInputMessage="0" showErrorMessage="0" allowBlank="0" type="list">
      <formula1>"Pauschale,Nachweis,Unbekannt"</formula1>
    </dataValidation>
    <dataValidation sqref="C4638" showDropDown="0" showInputMessage="0" showErrorMessage="0" allowBlank="0" type="list">
      <formula1>"Pauschale,Nachweis,Unbekannt"</formula1>
    </dataValidation>
    <dataValidation sqref="C4639" showDropDown="0" showInputMessage="0" showErrorMessage="0" allowBlank="0" type="list">
      <formula1>"Pauschale,Nachweis,Unbekannt"</formula1>
    </dataValidation>
    <dataValidation sqref="C4640" showDropDown="0" showInputMessage="0" showErrorMessage="0" allowBlank="0" type="list">
      <formula1>"Pauschale,Nachweis,Unbekannt"</formula1>
    </dataValidation>
    <dataValidation sqref="C4641" showDropDown="0" showInputMessage="0" showErrorMessage="0" allowBlank="0" type="list">
      <formula1>"Pauschale,Nachweis,Unbekannt"</formula1>
    </dataValidation>
    <dataValidation sqref="C4642" showDropDown="0" showInputMessage="0" showErrorMessage="0" allowBlank="0" type="list">
      <formula1>"Pauschale,Nachweis,Unbekannt"</formula1>
    </dataValidation>
    <dataValidation sqref="C4643" showDropDown="0" showInputMessage="0" showErrorMessage="0" allowBlank="0" type="list">
      <formula1>"Pauschale,Nachweis,Unbekannt"</formula1>
    </dataValidation>
    <dataValidation sqref="C4644" showDropDown="0" showInputMessage="0" showErrorMessage="0" allowBlank="0" type="list">
      <formula1>"Pauschale,Nachweis,Unbekannt"</formula1>
    </dataValidation>
    <dataValidation sqref="C4645" showDropDown="0" showInputMessage="0" showErrorMessage="0" allowBlank="0" type="list">
      <formula1>"Pauschale,Nachweis,Unbekannt"</formula1>
    </dataValidation>
    <dataValidation sqref="C4646" showDropDown="0" showInputMessage="0" showErrorMessage="0" allowBlank="0" type="list">
      <formula1>"Pauschale,Nachweis,Unbekannt"</formula1>
    </dataValidation>
    <dataValidation sqref="C4647" showDropDown="0" showInputMessage="0" showErrorMessage="0" allowBlank="0" type="list">
      <formula1>"Pauschale,Nachweis,Unbekannt"</formula1>
    </dataValidation>
    <dataValidation sqref="C4648" showDropDown="0" showInputMessage="0" showErrorMessage="0" allowBlank="0" type="list">
      <formula1>"Pauschale,Nachweis,Unbekannt"</formula1>
    </dataValidation>
    <dataValidation sqref="C4649" showDropDown="0" showInputMessage="0" showErrorMessage="0" allowBlank="0" type="list">
      <formula1>"Pauschale,Nachweis,Unbekannt"</formula1>
    </dataValidation>
    <dataValidation sqref="C4650" showDropDown="0" showInputMessage="0" showErrorMessage="0" allowBlank="0" type="list">
      <formula1>"Pauschale,Nachweis,Unbekannt"</formula1>
    </dataValidation>
    <dataValidation sqref="C4651" showDropDown="0" showInputMessage="0" showErrorMessage="0" allowBlank="0" type="list">
      <formula1>"Pauschale,Nachweis,Unbekannt"</formula1>
    </dataValidation>
    <dataValidation sqref="C4652" showDropDown="0" showInputMessage="0" showErrorMessage="0" allowBlank="0" type="list">
      <formula1>"Pauschale,Nachweis,Unbekannt"</formula1>
    </dataValidation>
    <dataValidation sqref="C4653" showDropDown="0" showInputMessage="0" showErrorMessage="0" allowBlank="0" type="list">
      <formula1>"Pauschale,Nachweis,Unbekannt"</formula1>
    </dataValidation>
    <dataValidation sqref="C4654" showDropDown="0" showInputMessage="0" showErrorMessage="0" allowBlank="0" type="list">
      <formula1>"Pauschale,Nachweis,Unbekannt"</formula1>
    </dataValidation>
    <dataValidation sqref="C4655" showDropDown="0" showInputMessage="0" showErrorMessage="0" allowBlank="0" type="list">
      <formula1>"Pauschale,Nachweis,Unbekannt"</formula1>
    </dataValidation>
    <dataValidation sqref="C4656" showDropDown="0" showInputMessage="0" showErrorMessage="0" allowBlank="0" type="list">
      <formula1>"Pauschale,Nachweis,Unbekannt"</formula1>
    </dataValidation>
    <dataValidation sqref="C4657" showDropDown="0" showInputMessage="0" showErrorMessage="0" allowBlank="0" type="list">
      <formula1>"Pauschale,Nachweis,Unbekannt"</formula1>
    </dataValidation>
    <dataValidation sqref="C4658" showDropDown="0" showInputMessage="0" showErrorMessage="0" allowBlank="0" type="list">
      <formula1>"Pauschale,Nachweis,Unbekannt"</formula1>
    </dataValidation>
    <dataValidation sqref="C4659" showDropDown="0" showInputMessage="0" showErrorMessage="0" allowBlank="0" type="list">
      <formula1>"Pauschale,Nachweis,Unbekannt"</formula1>
    </dataValidation>
    <dataValidation sqref="C4660" showDropDown="0" showInputMessage="0" showErrorMessage="0" allowBlank="0" type="list">
      <formula1>"Pauschale,Nachweis,Unbekannt"</formula1>
    </dataValidation>
    <dataValidation sqref="C4661" showDropDown="0" showInputMessage="0" showErrorMessage="0" allowBlank="0" type="list">
      <formula1>"Pauschale,Nachweis,Unbekannt"</formula1>
    </dataValidation>
    <dataValidation sqref="C4662" showDropDown="0" showInputMessage="0" showErrorMessage="0" allowBlank="0" type="list">
      <formula1>"Pauschale,Nachweis,Unbekannt"</formula1>
    </dataValidation>
    <dataValidation sqref="C4663" showDropDown="0" showInputMessage="0" showErrorMessage="0" allowBlank="0" type="list">
      <formula1>"Pauschale,Nachweis,Unbekannt"</formula1>
    </dataValidation>
    <dataValidation sqref="C4664" showDropDown="0" showInputMessage="0" showErrorMessage="0" allowBlank="0" type="list">
      <formula1>"Pauschale,Nachweis,Unbekannt"</formula1>
    </dataValidation>
    <dataValidation sqref="C4665" showDropDown="0" showInputMessage="0" showErrorMessage="0" allowBlank="0" type="list">
      <formula1>"Pauschale,Nachweis,Unbekannt"</formula1>
    </dataValidation>
    <dataValidation sqref="C4666" showDropDown="0" showInputMessage="0" showErrorMessage="0" allowBlank="0" type="list">
      <formula1>"Pauschale,Nachweis,Unbekannt"</formula1>
    </dataValidation>
    <dataValidation sqref="C4667" showDropDown="0" showInputMessage="0" showErrorMessage="0" allowBlank="0" type="list">
      <formula1>"Pauschale,Nachweis,Unbekannt"</formula1>
    </dataValidation>
    <dataValidation sqref="C4668" showDropDown="0" showInputMessage="0" showErrorMessage="0" allowBlank="0" type="list">
      <formula1>"Pauschale,Nachweis,Unbekannt"</formula1>
    </dataValidation>
    <dataValidation sqref="C4669" showDropDown="0" showInputMessage="0" showErrorMessage="0" allowBlank="0" type="list">
      <formula1>"Pauschale,Nachweis,Unbekannt"</formula1>
    </dataValidation>
    <dataValidation sqref="C4670" showDropDown="0" showInputMessage="0" showErrorMessage="0" allowBlank="0" type="list">
      <formula1>"Pauschale,Nachweis,Unbekannt"</formula1>
    </dataValidation>
    <dataValidation sqref="C4671" showDropDown="0" showInputMessage="0" showErrorMessage="0" allowBlank="0" type="list">
      <formula1>"Pauschale,Nachweis,Unbekannt"</formula1>
    </dataValidation>
    <dataValidation sqref="C4672" showDropDown="0" showInputMessage="0" showErrorMessage="0" allowBlank="0" type="list">
      <formula1>"Pauschale,Nachweis,Unbekannt"</formula1>
    </dataValidation>
    <dataValidation sqref="C4673" showDropDown="0" showInputMessage="0" showErrorMessage="0" allowBlank="0" type="list">
      <formula1>"Pauschale,Nachweis,Unbekannt"</formula1>
    </dataValidation>
    <dataValidation sqref="C4674" showDropDown="0" showInputMessage="0" showErrorMessage="0" allowBlank="0" type="list">
      <formula1>"Pauschale,Nachweis,Unbekannt"</formula1>
    </dataValidation>
    <dataValidation sqref="C4675" showDropDown="0" showInputMessage="0" showErrorMessage="0" allowBlank="0" type="list">
      <formula1>"Pauschale,Nachweis,Unbekannt"</formula1>
    </dataValidation>
    <dataValidation sqref="C4676" showDropDown="0" showInputMessage="0" showErrorMessage="0" allowBlank="0" type="list">
      <formula1>"Pauschale,Nachweis,Unbekannt"</formula1>
    </dataValidation>
    <dataValidation sqref="C4677" showDropDown="0" showInputMessage="0" showErrorMessage="0" allowBlank="0" type="list">
      <formula1>"Pauschale,Nachweis,Unbekannt"</formula1>
    </dataValidation>
    <dataValidation sqref="C4678" showDropDown="0" showInputMessage="0" showErrorMessage="0" allowBlank="0" type="list">
      <formula1>"Pauschale,Nachweis,Unbekannt"</formula1>
    </dataValidation>
    <dataValidation sqref="C4679" showDropDown="0" showInputMessage="0" showErrorMessage="0" allowBlank="0" type="list">
      <formula1>"Pauschale,Nachweis,Unbekannt"</formula1>
    </dataValidation>
    <dataValidation sqref="C4680" showDropDown="0" showInputMessage="0" showErrorMessage="0" allowBlank="0" type="list">
      <formula1>"Pauschale,Nachweis,Unbekannt"</formula1>
    </dataValidation>
    <dataValidation sqref="C4681" showDropDown="0" showInputMessage="0" showErrorMessage="0" allowBlank="0" type="list">
      <formula1>"Pauschale,Nachweis,Unbekannt"</formula1>
    </dataValidation>
    <dataValidation sqref="C4682" showDropDown="0" showInputMessage="0" showErrorMessage="0" allowBlank="0" type="list">
      <formula1>"Pauschale,Nachweis,Unbekannt"</formula1>
    </dataValidation>
    <dataValidation sqref="C4683" showDropDown="0" showInputMessage="0" showErrorMessage="0" allowBlank="0" type="list">
      <formula1>"Pauschale,Nachweis,Unbekannt"</formula1>
    </dataValidation>
    <dataValidation sqref="C4684" showDropDown="0" showInputMessage="0" showErrorMessage="0" allowBlank="0" type="list">
      <formula1>"Pauschale,Nachweis,Unbekannt"</formula1>
    </dataValidation>
    <dataValidation sqref="C4685" showDropDown="0" showInputMessage="0" showErrorMessage="0" allowBlank="0" type="list">
      <formula1>"Pauschale,Nachweis,Unbekannt"</formula1>
    </dataValidation>
    <dataValidation sqref="C4686" showDropDown="0" showInputMessage="0" showErrorMessage="0" allowBlank="0" type="list">
      <formula1>"Pauschale,Nachweis,Unbekannt"</formula1>
    </dataValidation>
    <dataValidation sqref="C4687" showDropDown="0" showInputMessage="0" showErrorMessage="0" allowBlank="0" type="list">
      <formula1>"Pauschale,Nachweis,Unbekannt"</formula1>
    </dataValidation>
    <dataValidation sqref="C4688" showDropDown="0" showInputMessage="0" showErrorMessage="0" allowBlank="0" type="list">
      <formula1>"Pauschale,Nachweis,Unbekannt"</formula1>
    </dataValidation>
    <dataValidation sqref="C4689" showDropDown="0" showInputMessage="0" showErrorMessage="0" allowBlank="0" type="list">
      <formula1>"Pauschale,Nachweis,Unbekannt"</formula1>
    </dataValidation>
    <dataValidation sqref="C4690" showDropDown="0" showInputMessage="0" showErrorMessage="0" allowBlank="0" type="list">
      <formula1>"Pauschale,Nachweis,Unbekannt"</formula1>
    </dataValidation>
    <dataValidation sqref="C4691" showDropDown="0" showInputMessage="0" showErrorMessage="0" allowBlank="0" type="list">
      <formula1>"Pauschale,Nachweis,Unbekannt"</formula1>
    </dataValidation>
    <dataValidation sqref="C4692" showDropDown="0" showInputMessage="0" showErrorMessage="0" allowBlank="0" type="list">
      <formula1>"Pauschale,Nachweis,Unbekannt"</formula1>
    </dataValidation>
    <dataValidation sqref="C4693" showDropDown="0" showInputMessage="0" showErrorMessage="0" allowBlank="0" type="list">
      <formula1>"Pauschale,Nachweis,Unbekannt"</formula1>
    </dataValidation>
    <dataValidation sqref="C4694" showDropDown="0" showInputMessage="0" showErrorMessage="0" allowBlank="0" type="list">
      <formula1>"Pauschale,Nachweis,Unbekannt"</formula1>
    </dataValidation>
    <dataValidation sqref="C4695" showDropDown="0" showInputMessage="0" showErrorMessage="0" allowBlank="0" type="list">
      <formula1>"Pauschale,Nachweis,Unbekannt"</formula1>
    </dataValidation>
    <dataValidation sqref="C4696" showDropDown="0" showInputMessage="0" showErrorMessage="0" allowBlank="0" type="list">
      <formula1>"Pauschale,Nachweis,Unbekannt"</formula1>
    </dataValidation>
    <dataValidation sqref="C4697" showDropDown="0" showInputMessage="0" showErrorMessage="0" allowBlank="0" type="list">
      <formula1>"Pauschale,Nachweis,Unbekannt"</formula1>
    </dataValidation>
    <dataValidation sqref="C4698" showDropDown="0" showInputMessage="0" showErrorMessage="0" allowBlank="0" type="list">
      <formula1>"Pauschale,Nachweis,Unbekannt"</formula1>
    </dataValidation>
    <dataValidation sqref="C4699" showDropDown="0" showInputMessage="0" showErrorMessage="0" allowBlank="0" type="list">
      <formula1>"Pauschale,Nachweis,Unbekannt"</formula1>
    </dataValidation>
    <dataValidation sqref="C4700" showDropDown="0" showInputMessage="0" showErrorMessage="0" allowBlank="0" type="list">
      <formula1>"Pauschale,Nachweis,Unbekannt"</formula1>
    </dataValidation>
    <dataValidation sqref="C4701" showDropDown="0" showInputMessage="0" showErrorMessage="0" allowBlank="0" type="list">
      <formula1>"Pauschale,Nachweis,Unbekannt"</formula1>
    </dataValidation>
    <dataValidation sqref="C4702" showDropDown="0" showInputMessage="0" showErrorMessage="0" allowBlank="0" type="list">
      <formula1>"Pauschale,Nachweis,Unbekannt"</formula1>
    </dataValidation>
    <dataValidation sqref="C4703" showDropDown="0" showInputMessage="0" showErrorMessage="0" allowBlank="0" type="list">
      <formula1>"Pauschale,Nachweis,Unbekannt"</formula1>
    </dataValidation>
    <dataValidation sqref="C4704" showDropDown="0" showInputMessage="0" showErrorMessage="0" allowBlank="0" type="list">
      <formula1>"Pauschale,Nachweis,Unbekannt"</formula1>
    </dataValidation>
    <dataValidation sqref="C4705" showDropDown="0" showInputMessage="0" showErrorMessage="0" allowBlank="0" type="list">
      <formula1>"Pauschale,Nachweis,Unbekannt"</formula1>
    </dataValidation>
    <dataValidation sqref="C4706" showDropDown="0" showInputMessage="0" showErrorMessage="0" allowBlank="0" type="list">
      <formula1>"Pauschale,Nachweis,Unbekannt"</formula1>
    </dataValidation>
    <dataValidation sqref="C4707" showDropDown="0" showInputMessage="0" showErrorMessage="0" allowBlank="0" type="list">
      <formula1>"Pauschale,Nachweis,Unbekannt"</formula1>
    </dataValidation>
    <dataValidation sqref="C4708" showDropDown="0" showInputMessage="0" showErrorMessage="0" allowBlank="0" type="list">
      <formula1>"Pauschale,Nachweis,Unbekannt"</formula1>
    </dataValidation>
    <dataValidation sqref="C4709" showDropDown="0" showInputMessage="0" showErrorMessage="0" allowBlank="0" type="list">
      <formula1>"Pauschale,Nachweis,Unbekannt"</formula1>
    </dataValidation>
    <dataValidation sqref="C4710" showDropDown="0" showInputMessage="0" showErrorMessage="0" allowBlank="0" type="list">
      <formula1>"Pauschale,Nachweis,Unbekannt"</formula1>
    </dataValidation>
    <dataValidation sqref="C4711" showDropDown="0" showInputMessage="0" showErrorMessage="0" allowBlank="0" type="list">
      <formula1>"Pauschale,Nachweis,Unbekannt"</formula1>
    </dataValidation>
    <dataValidation sqref="C4712" showDropDown="0" showInputMessage="0" showErrorMessage="0" allowBlank="0" type="list">
      <formula1>"Pauschale,Nachweis,Unbekannt"</formula1>
    </dataValidation>
    <dataValidation sqref="C4713" showDropDown="0" showInputMessage="0" showErrorMessage="0" allowBlank="0" type="list">
      <formula1>"Pauschale,Nachweis,Unbekannt"</formula1>
    </dataValidation>
    <dataValidation sqref="C4714" showDropDown="0" showInputMessage="0" showErrorMessage="0" allowBlank="0" type="list">
      <formula1>"Pauschale,Nachweis,Unbekannt"</formula1>
    </dataValidation>
    <dataValidation sqref="C4715" showDropDown="0" showInputMessage="0" showErrorMessage="0" allowBlank="0" type="list">
      <formula1>"Pauschale,Nachweis,Unbekannt"</formula1>
    </dataValidation>
    <dataValidation sqref="C4716" showDropDown="0" showInputMessage="0" showErrorMessage="0" allowBlank="0" type="list">
      <formula1>"Pauschale,Nachweis,Unbekannt"</formula1>
    </dataValidation>
    <dataValidation sqref="C4717" showDropDown="0" showInputMessage="0" showErrorMessage="0" allowBlank="0" type="list">
      <formula1>"Pauschale,Nachweis,Unbekannt"</formula1>
    </dataValidation>
    <dataValidation sqref="C4718" showDropDown="0" showInputMessage="0" showErrorMessage="0" allowBlank="0" type="list">
      <formula1>"Pauschale,Nachweis,Unbekannt"</formula1>
    </dataValidation>
    <dataValidation sqref="C4719" showDropDown="0" showInputMessage="0" showErrorMessage="0" allowBlank="0" type="list">
      <formula1>"Pauschale,Nachweis,Unbekannt"</formula1>
    </dataValidation>
    <dataValidation sqref="C4720" showDropDown="0" showInputMessage="0" showErrorMessage="0" allowBlank="0" type="list">
      <formula1>"Pauschale,Nachweis,Unbekannt"</formula1>
    </dataValidation>
    <dataValidation sqref="C4721" showDropDown="0" showInputMessage="0" showErrorMessage="0" allowBlank="0" type="list">
      <formula1>"Pauschale,Nachweis,Unbekannt"</formula1>
    </dataValidation>
    <dataValidation sqref="C4722" showDropDown="0" showInputMessage="0" showErrorMessage="0" allowBlank="0" type="list">
      <formula1>"Pauschale,Nachweis,Unbekannt"</formula1>
    </dataValidation>
    <dataValidation sqref="C4723" showDropDown="0" showInputMessage="0" showErrorMessage="0" allowBlank="0" type="list">
      <formula1>"Pauschale,Nachweis,Unbekannt"</formula1>
    </dataValidation>
    <dataValidation sqref="C4724" showDropDown="0" showInputMessage="0" showErrorMessage="0" allowBlank="0" type="list">
      <formula1>"Pauschale,Nachweis,Unbekannt"</formula1>
    </dataValidation>
    <dataValidation sqref="C4725" showDropDown="0" showInputMessage="0" showErrorMessage="0" allowBlank="0" type="list">
      <formula1>"Pauschale,Nachweis,Unbekannt"</formula1>
    </dataValidation>
    <dataValidation sqref="C4726" showDropDown="0" showInputMessage="0" showErrorMessage="0" allowBlank="0" type="list">
      <formula1>"Pauschale,Nachweis,Unbekannt"</formula1>
    </dataValidation>
    <dataValidation sqref="C4727" showDropDown="0" showInputMessage="0" showErrorMessage="0" allowBlank="0" type="list">
      <formula1>"Pauschale,Nachweis,Unbekannt"</formula1>
    </dataValidation>
    <dataValidation sqref="C4728" showDropDown="0" showInputMessage="0" showErrorMessage="0" allowBlank="0" type="list">
      <formula1>"Pauschale,Nachweis,Unbekannt"</formula1>
    </dataValidation>
    <dataValidation sqref="C4729" showDropDown="0" showInputMessage="0" showErrorMessage="0" allowBlank="0" type="list">
      <formula1>"Pauschale,Nachweis,Unbekannt"</formula1>
    </dataValidation>
    <dataValidation sqref="C4730" showDropDown="0" showInputMessage="0" showErrorMessage="0" allowBlank="0" type="list">
      <formula1>"Pauschale,Nachweis,Unbekannt"</formula1>
    </dataValidation>
    <dataValidation sqref="C4731" showDropDown="0" showInputMessage="0" showErrorMessage="0" allowBlank="0" type="list">
      <formula1>"Pauschale,Nachweis,Unbekannt"</formula1>
    </dataValidation>
    <dataValidation sqref="C4732" showDropDown="0" showInputMessage="0" showErrorMessage="0" allowBlank="0" type="list">
      <formula1>"Pauschale,Nachweis,Unbekannt"</formula1>
    </dataValidation>
    <dataValidation sqref="C4733" showDropDown="0" showInputMessage="0" showErrorMessage="0" allowBlank="0" type="list">
      <formula1>"Pauschale,Nachweis,Unbekannt"</formula1>
    </dataValidation>
    <dataValidation sqref="C4734" showDropDown="0" showInputMessage="0" showErrorMessage="0" allowBlank="0" type="list">
      <formula1>"Pauschale,Nachweis,Unbekannt"</formula1>
    </dataValidation>
    <dataValidation sqref="C4735" showDropDown="0" showInputMessage="0" showErrorMessage="0" allowBlank="0" type="list">
      <formula1>"Pauschale,Nachweis,Unbekannt"</formula1>
    </dataValidation>
    <dataValidation sqref="C4736" showDropDown="0" showInputMessage="0" showErrorMessage="0" allowBlank="0" type="list">
      <formula1>"Pauschale,Nachweis,Unbekannt"</formula1>
    </dataValidation>
    <dataValidation sqref="C4737" showDropDown="0" showInputMessage="0" showErrorMessage="0" allowBlank="0" type="list">
      <formula1>"Pauschale,Nachweis,Unbekannt"</formula1>
    </dataValidation>
    <dataValidation sqref="C4738" showDropDown="0" showInputMessage="0" showErrorMessage="0" allowBlank="0" type="list">
      <formula1>"Pauschale,Nachweis,Unbekannt"</formula1>
    </dataValidation>
    <dataValidation sqref="C4739" showDropDown="0" showInputMessage="0" showErrorMessage="0" allowBlank="0" type="list">
      <formula1>"Pauschale,Nachweis,Unbekannt"</formula1>
    </dataValidation>
    <dataValidation sqref="C4740" showDropDown="0" showInputMessage="0" showErrorMessage="0" allowBlank="0" type="list">
      <formula1>"Pauschale,Nachweis,Unbekannt"</formula1>
    </dataValidation>
    <dataValidation sqref="C4741" showDropDown="0" showInputMessage="0" showErrorMessage="0" allowBlank="0" type="list">
      <formula1>"Pauschale,Nachweis,Unbekannt"</formula1>
    </dataValidation>
    <dataValidation sqref="C4742" showDropDown="0" showInputMessage="0" showErrorMessage="0" allowBlank="0" type="list">
      <formula1>"Pauschale,Nachweis,Unbekannt"</formula1>
    </dataValidation>
    <dataValidation sqref="C4743" showDropDown="0" showInputMessage="0" showErrorMessage="0" allowBlank="0" type="list">
      <formula1>"Pauschale,Nachweis,Unbekannt"</formula1>
    </dataValidation>
    <dataValidation sqref="C4744" showDropDown="0" showInputMessage="0" showErrorMessage="0" allowBlank="0" type="list">
      <formula1>"Pauschale,Nachweis,Unbekannt"</formula1>
    </dataValidation>
    <dataValidation sqref="C4745" showDropDown="0" showInputMessage="0" showErrorMessage="0" allowBlank="0" type="list">
      <formula1>"Pauschale,Nachweis,Unbekannt"</formula1>
    </dataValidation>
    <dataValidation sqref="C4746" showDropDown="0" showInputMessage="0" showErrorMessage="0" allowBlank="0" type="list">
      <formula1>"Pauschale,Nachweis,Unbekannt"</formula1>
    </dataValidation>
    <dataValidation sqref="C4747" showDropDown="0" showInputMessage="0" showErrorMessage="0" allowBlank="0" type="list">
      <formula1>"Pauschale,Nachweis,Unbekannt"</formula1>
    </dataValidation>
    <dataValidation sqref="C4748" showDropDown="0" showInputMessage="0" showErrorMessage="0" allowBlank="0" type="list">
      <formula1>"Pauschale,Nachweis,Unbekannt"</formula1>
    </dataValidation>
    <dataValidation sqref="C4749" showDropDown="0" showInputMessage="0" showErrorMessage="0" allowBlank="0" type="list">
      <formula1>"Pauschale,Nachweis,Unbekannt"</formula1>
    </dataValidation>
    <dataValidation sqref="C4750" showDropDown="0" showInputMessage="0" showErrorMessage="0" allowBlank="0" type="list">
      <formula1>"Pauschale,Nachweis,Unbekannt"</formula1>
    </dataValidation>
    <dataValidation sqref="C4751" showDropDown="0" showInputMessage="0" showErrorMessage="0" allowBlank="0" type="list">
      <formula1>"Pauschale,Nachweis,Unbekannt"</formula1>
    </dataValidation>
    <dataValidation sqref="C4752" showDropDown="0" showInputMessage="0" showErrorMessage="0" allowBlank="0" type="list">
      <formula1>"Pauschale,Nachweis,Unbekannt"</formula1>
    </dataValidation>
    <dataValidation sqref="C4753" showDropDown="0" showInputMessage="0" showErrorMessage="0" allowBlank="0" type="list">
      <formula1>"Pauschale,Nachweis,Unbekannt"</formula1>
    </dataValidation>
    <dataValidation sqref="C4754" showDropDown="0" showInputMessage="0" showErrorMessage="0" allowBlank="0" type="list">
      <formula1>"Pauschale,Nachweis,Unbekannt"</formula1>
    </dataValidation>
    <dataValidation sqref="C4755" showDropDown="0" showInputMessage="0" showErrorMessage="0" allowBlank="0" type="list">
      <formula1>"Pauschale,Nachweis,Unbekannt"</formula1>
    </dataValidation>
    <dataValidation sqref="C4756" showDropDown="0" showInputMessage="0" showErrorMessage="0" allowBlank="0" type="list">
      <formula1>"Pauschale,Nachweis,Unbekannt"</formula1>
    </dataValidation>
    <dataValidation sqref="C4757" showDropDown="0" showInputMessage="0" showErrorMessage="0" allowBlank="0" type="list">
      <formula1>"Pauschale,Nachweis,Unbekannt"</formula1>
    </dataValidation>
    <dataValidation sqref="C4758" showDropDown="0" showInputMessage="0" showErrorMessage="0" allowBlank="0" type="list">
      <formula1>"Pauschale,Nachweis,Unbekannt"</formula1>
    </dataValidation>
    <dataValidation sqref="C4759" showDropDown="0" showInputMessage="0" showErrorMessage="0" allowBlank="0" type="list">
      <formula1>"Pauschale,Nachweis,Unbekannt"</formula1>
    </dataValidation>
    <dataValidation sqref="C4760" showDropDown="0" showInputMessage="0" showErrorMessage="0" allowBlank="0" type="list">
      <formula1>"Pauschale,Nachweis,Unbekannt"</formula1>
    </dataValidation>
    <dataValidation sqref="C4761" showDropDown="0" showInputMessage="0" showErrorMessage="0" allowBlank="0" type="list">
      <formula1>"Pauschale,Nachweis,Unbekannt"</formula1>
    </dataValidation>
    <dataValidation sqref="C4762" showDropDown="0" showInputMessage="0" showErrorMessage="0" allowBlank="0" type="list">
      <formula1>"Pauschale,Nachweis,Unbekannt"</formula1>
    </dataValidation>
    <dataValidation sqref="C4763" showDropDown="0" showInputMessage="0" showErrorMessage="0" allowBlank="0" type="list">
      <formula1>"Pauschale,Nachweis,Unbekannt"</formula1>
    </dataValidation>
    <dataValidation sqref="C4764" showDropDown="0" showInputMessage="0" showErrorMessage="0" allowBlank="0" type="list">
      <formula1>"Pauschale,Nachweis,Unbekannt"</formula1>
    </dataValidation>
    <dataValidation sqref="C4765" showDropDown="0" showInputMessage="0" showErrorMessage="0" allowBlank="0" type="list">
      <formula1>"Pauschale,Nachweis,Unbekannt"</formula1>
    </dataValidation>
    <dataValidation sqref="C4766" showDropDown="0" showInputMessage="0" showErrorMessage="0" allowBlank="0" type="list">
      <formula1>"Pauschale,Nachweis,Unbekannt"</formula1>
    </dataValidation>
    <dataValidation sqref="C4767" showDropDown="0" showInputMessage="0" showErrorMessage="0" allowBlank="0" type="list">
      <formula1>"Pauschale,Nachweis,Unbekannt"</formula1>
    </dataValidation>
    <dataValidation sqref="C4768" showDropDown="0" showInputMessage="0" showErrorMessage="0" allowBlank="0" type="list">
      <formula1>"Pauschale,Nachweis,Unbekannt"</formula1>
    </dataValidation>
    <dataValidation sqref="C4769" showDropDown="0" showInputMessage="0" showErrorMessage="0" allowBlank="0" type="list">
      <formula1>"Pauschale,Nachweis,Unbekannt"</formula1>
    </dataValidation>
    <dataValidation sqref="C4770" showDropDown="0" showInputMessage="0" showErrorMessage="0" allowBlank="0" type="list">
      <formula1>"Pauschale,Nachweis,Unbekannt"</formula1>
    </dataValidation>
    <dataValidation sqref="C4771" showDropDown="0" showInputMessage="0" showErrorMessage="0" allowBlank="0" type="list">
      <formula1>"Pauschale,Nachweis,Unbekannt"</formula1>
    </dataValidation>
    <dataValidation sqref="C4772" showDropDown="0" showInputMessage="0" showErrorMessage="0" allowBlank="0" type="list">
      <formula1>"Pauschale,Nachweis,Unbekannt"</formula1>
    </dataValidation>
    <dataValidation sqref="C4773" showDropDown="0" showInputMessage="0" showErrorMessage="0" allowBlank="0" type="list">
      <formula1>"Pauschale,Nachweis,Unbekannt"</formula1>
    </dataValidation>
    <dataValidation sqref="C4774" showDropDown="0" showInputMessage="0" showErrorMessage="0" allowBlank="0" type="list">
      <formula1>"Pauschale,Nachweis,Unbekannt"</formula1>
    </dataValidation>
    <dataValidation sqref="C4775" showDropDown="0" showInputMessage="0" showErrorMessage="0" allowBlank="0" type="list">
      <formula1>"Pauschale,Nachweis,Unbekannt"</formula1>
    </dataValidation>
    <dataValidation sqref="C4776" showDropDown="0" showInputMessage="0" showErrorMessage="0" allowBlank="0" type="list">
      <formula1>"Pauschale,Nachweis,Unbekannt"</formula1>
    </dataValidation>
    <dataValidation sqref="C4777" showDropDown="0" showInputMessage="0" showErrorMessage="0" allowBlank="0" type="list">
      <formula1>"Pauschale,Nachweis,Unbekannt"</formula1>
    </dataValidation>
    <dataValidation sqref="C4778" showDropDown="0" showInputMessage="0" showErrorMessage="0" allowBlank="0" type="list">
      <formula1>"Pauschale,Nachweis,Unbekannt"</formula1>
    </dataValidation>
    <dataValidation sqref="C4779" showDropDown="0" showInputMessage="0" showErrorMessage="0" allowBlank="0" type="list">
      <formula1>"Pauschale,Nachweis,Unbekannt"</formula1>
    </dataValidation>
    <dataValidation sqref="C4780" showDropDown="0" showInputMessage="0" showErrorMessage="0" allowBlank="0" type="list">
      <formula1>"Pauschale,Nachweis,Unbekannt"</formula1>
    </dataValidation>
    <dataValidation sqref="C4781" showDropDown="0" showInputMessage="0" showErrorMessage="0" allowBlank="0" type="list">
      <formula1>"Pauschale,Nachweis,Unbekannt"</formula1>
    </dataValidation>
    <dataValidation sqref="C4782" showDropDown="0" showInputMessage="0" showErrorMessage="0" allowBlank="0" type="list">
      <formula1>"Pauschale,Nachweis,Unbekannt"</formula1>
    </dataValidation>
    <dataValidation sqref="C4783" showDropDown="0" showInputMessage="0" showErrorMessage="0" allowBlank="0" type="list">
      <formula1>"Pauschale,Nachweis,Unbekannt"</formula1>
    </dataValidation>
    <dataValidation sqref="C4784" showDropDown="0" showInputMessage="0" showErrorMessage="0" allowBlank="0" type="list">
      <formula1>"Pauschale,Nachweis,Unbekannt"</formula1>
    </dataValidation>
    <dataValidation sqref="C4785" showDropDown="0" showInputMessage="0" showErrorMessage="0" allowBlank="0" type="list">
      <formula1>"Pauschale,Nachweis,Unbekannt"</formula1>
    </dataValidation>
    <dataValidation sqref="C4786" showDropDown="0" showInputMessage="0" showErrorMessage="0" allowBlank="0" type="list">
      <formula1>"Pauschale,Nachweis,Unbekannt"</formula1>
    </dataValidation>
    <dataValidation sqref="C4787" showDropDown="0" showInputMessage="0" showErrorMessage="0" allowBlank="0" type="list">
      <formula1>"Pauschale,Nachweis,Unbekannt"</formula1>
    </dataValidation>
    <dataValidation sqref="C4788" showDropDown="0" showInputMessage="0" showErrorMessage="0" allowBlank="0" type="list">
      <formula1>"Pauschale,Nachweis,Unbekannt"</formula1>
    </dataValidation>
    <dataValidation sqref="C4789" showDropDown="0" showInputMessage="0" showErrorMessage="0" allowBlank="0" type="list">
      <formula1>"Pauschale,Nachweis,Unbekannt"</formula1>
    </dataValidation>
    <dataValidation sqref="C4790" showDropDown="0" showInputMessage="0" showErrorMessage="0" allowBlank="0" type="list">
      <formula1>"Pauschale,Nachweis,Unbekannt"</formula1>
    </dataValidation>
    <dataValidation sqref="C4791" showDropDown="0" showInputMessage="0" showErrorMessage="0" allowBlank="0" type="list">
      <formula1>"Pauschale,Nachweis,Unbekannt"</formula1>
    </dataValidation>
    <dataValidation sqref="C4792" showDropDown="0" showInputMessage="0" showErrorMessage="0" allowBlank="0" type="list">
      <formula1>"Pauschale,Nachweis,Unbekannt"</formula1>
    </dataValidation>
    <dataValidation sqref="C4793" showDropDown="0" showInputMessage="0" showErrorMessage="0" allowBlank="0" type="list">
      <formula1>"Pauschale,Nachweis,Unbekannt"</formula1>
    </dataValidation>
    <dataValidation sqref="C4794" showDropDown="0" showInputMessage="0" showErrorMessage="0" allowBlank="0" type="list">
      <formula1>"Pauschale,Nachweis,Unbekannt"</formula1>
    </dataValidation>
    <dataValidation sqref="C4795" showDropDown="0" showInputMessage="0" showErrorMessage="0" allowBlank="0" type="list">
      <formula1>"Pauschale,Nachweis,Unbekannt"</formula1>
    </dataValidation>
    <dataValidation sqref="C4796" showDropDown="0" showInputMessage="0" showErrorMessage="0" allowBlank="0" type="list">
      <formula1>"Pauschale,Nachweis,Unbekannt"</formula1>
    </dataValidation>
    <dataValidation sqref="C4797" showDropDown="0" showInputMessage="0" showErrorMessage="0" allowBlank="0" type="list">
      <formula1>"Pauschale,Nachweis,Unbekannt"</formula1>
    </dataValidation>
    <dataValidation sqref="C4798" showDropDown="0" showInputMessage="0" showErrorMessage="0" allowBlank="0" type="list">
      <formula1>"Pauschale,Nachweis,Unbekannt"</formula1>
    </dataValidation>
    <dataValidation sqref="C4799" showDropDown="0" showInputMessage="0" showErrorMessage="0" allowBlank="0" type="list">
      <formula1>"Pauschale,Nachweis,Unbekannt"</formula1>
    </dataValidation>
    <dataValidation sqref="C4800" showDropDown="0" showInputMessage="0" showErrorMessage="0" allowBlank="0" type="list">
      <formula1>"Pauschale,Nachweis,Unbekannt"</formula1>
    </dataValidation>
    <dataValidation sqref="C4801" showDropDown="0" showInputMessage="0" showErrorMessage="0" allowBlank="0" type="list">
      <formula1>"Pauschale,Nachweis,Unbekannt"</formula1>
    </dataValidation>
    <dataValidation sqref="C4802" showDropDown="0" showInputMessage="0" showErrorMessage="0" allowBlank="0" type="list">
      <formula1>"Pauschale,Nachweis,Unbekannt"</formula1>
    </dataValidation>
    <dataValidation sqref="C4803" showDropDown="0" showInputMessage="0" showErrorMessage="0" allowBlank="0" type="list">
      <formula1>"Pauschale,Nachweis,Unbekannt"</formula1>
    </dataValidation>
    <dataValidation sqref="C4804" showDropDown="0" showInputMessage="0" showErrorMessage="0" allowBlank="0" type="list">
      <formula1>"Pauschale,Nachweis,Unbekannt"</formula1>
    </dataValidation>
    <dataValidation sqref="C4805" showDropDown="0" showInputMessage="0" showErrorMessage="0" allowBlank="0" type="list">
      <formula1>"Pauschale,Nachweis,Unbekannt"</formula1>
    </dataValidation>
    <dataValidation sqref="C4806" showDropDown="0" showInputMessage="0" showErrorMessage="0" allowBlank="0" type="list">
      <formula1>"Pauschale,Nachweis,Unbekannt"</formula1>
    </dataValidation>
    <dataValidation sqref="C4807" showDropDown="0" showInputMessage="0" showErrorMessage="0" allowBlank="0" type="list">
      <formula1>"Pauschale,Nachweis,Unbekannt"</formula1>
    </dataValidation>
    <dataValidation sqref="C4808" showDropDown="0" showInputMessage="0" showErrorMessage="0" allowBlank="0" type="list">
      <formula1>"Pauschale,Nachweis,Unbekannt"</formula1>
    </dataValidation>
    <dataValidation sqref="C4809" showDropDown="0" showInputMessage="0" showErrorMessage="0" allowBlank="0" type="list">
      <formula1>"Pauschale,Nachweis,Unbekannt"</formula1>
    </dataValidation>
    <dataValidation sqref="C4810" showDropDown="0" showInputMessage="0" showErrorMessage="0" allowBlank="0" type="list">
      <formula1>"Pauschale,Nachweis,Unbekannt"</formula1>
    </dataValidation>
    <dataValidation sqref="C4811" showDropDown="0" showInputMessage="0" showErrorMessage="0" allowBlank="0" type="list">
      <formula1>"Pauschale,Nachweis,Unbekannt"</formula1>
    </dataValidation>
    <dataValidation sqref="C4812" showDropDown="0" showInputMessage="0" showErrorMessage="0" allowBlank="0" type="list">
      <formula1>"Pauschale,Nachweis,Unbekannt"</formula1>
    </dataValidation>
    <dataValidation sqref="C4813" showDropDown="0" showInputMessage="0" showErrorMessage="0" allowBlank="0" type="list">
      <formula1>"Pauschale,Nachweis,Unbekannt"</formula1>
    </dataValidation>
    <dataValidation sqref="C4814" showDropDown="0" showInputMessage="0" showErrorMessage="0" allowBlank="0" type="list">
      <formula1>"Pauschale,Nachweis,Unbekannt"</formula1>
    </dataValidation>
    <dataValidation sqref="C4815" showDropDown="0" showInputMessage="0" showErrorMessage="0" allowBlank="0" type="list">
      <formula1>"Pauschale,Nachweis,Unbekannt"</formula1>
    </dataValidation>
    <dataValidation sqref="C4816" showDropDown="0" showInputMessage="0" showErrorMessage="0" allowBlank="0" type="list">
      <formula1>"Pauschale,Nachweis,Unbekannt"</formula1>
    </dataValidation>
    <dataValidation sqref="C4817" showDropDown="0" showInputMessage="0" showErrorMessage="0" allowBlank="0" type="list">
      <formula1>"Pauschale,Nachweis,Unbekannt"</formula1>
    </dataValidation>
    <dataValidation sqref="C4818" showDropDown="0" showInputMessage="0" showErrorMessage="0" allowBlank="0" type="list">
      <formula1>"Pauschale,Nachweis,Unbekannt"</formula1>
    </dataValidation>
    <dataValidation sqref="C4819" showDropDown="0" showInputMessage="0" showErrorMessage="0" allowBlank="0" type="list">
      <formula1>"Pauschale,Nachweis,Unbekannt"</formula1>
    </dataValidation>
    <dataValidation sqref="C4820" showDropDown="0" showInputMessage="0" showErrorMessage="0" allowBlank="0" type="list">
      <formula1>"Pauschale,Nachweis,Unbekannt"</formula1>
    </dataValidation>
    <dataValidation sqref="C4821" showDropDown="0" showInputMessage="0" showErrorMessage="0" allowBlank="0" type="list">
      <formula1>"Pauschale,Nachweis,Unbekannt"</formula1>
    </dataValidation>
    <dataValidation sqref="C4822" showDropDown="0" showInputMessage="0" showErrorMessage="0" allowBlank="0" type="list">
      <formula1>"Pauschale,Nachweis,Unbekannt"</formula1>
    </dataValidation>
    <dataValidation sqref="C4823" showDropDown="0" showInputMessage="0" showErrorMessage="0" allowBlank="0" type="list">
      <formula1>"Pauschale,Nachweis,Unbekannt"</formula1>
    </dataValidation>
    <dataValidation sqref="C4824" showDropDown="0" showInputMessage="0" showErrorMessage="0" allowBlank="0" type="list">
      <formula1>"Pauschale,Nachweis,Unbekannt"</formula1>
    </dataValidation>
    <dataValidation sqref="C4825" showDropDown="0" showInputMessage="0" showErrorMessage="0" allowBlank="0" type="list">
      <formula1>"Pauschale,Nachweis,Unbekannt"</formula1>
    </dataValidation>
    <dataValidation sqref="C4826" showDropDown="0" showInputMessage="0" showErrorMessage="0" allowBlank="0" type="list">
      <formula1>"Pauschale,Nachweis,Unbekannt"</formula1>
    </dataValidation>
    <dataValidation sqref="C4827" showDropDown="0" showInputMessage="0" showErrorMessage="0" allowBlank="0" type="list">
      <formula1>"Pauschale,Nachweis,Unbekannt"</formula1>
    </dataValidation>
    <dataValidation sqref="C4828" showDropDown="0" showInputMessage="0" showErrorMessage="0" allowBlank="0" type="list">
      <formula1>"Pauschale,Nachweis,Unbekannt"</formula1>
    </dataValidation>
    <dataValidation sqref="C4829" showDropDown="0" showInputMessage="0" showErrorMessage="0" allowBlank="0" type="list">
      <formula1>"Pauschale,Nachweis,Unbekannt"</formula1>
    </dataValidation>
    <dataValidation sqref="C4830" showDropDown="0" showInputMessage="0" showErrorMessage="0" allowBlank="0" type="list">
      <formula1>"Pauschale,Nachweis,Unbekannt"</formula1>
    </dataValidation>
    <dataValidation sqref="C4831" showDropDown="0" showInputMessage="0" showErrorMessage="0" allowBlank="0" type="list">
      <formula1>"Pauschale,Nachweis,Unbekannt"</formula1>
    </dataValidation>
    <dataValidation sqref="C4832" showDropDown="0" showInputMessage="0" showErrorMessage="0" allowBlank="0" type="list">
      <formula1>"Pauschale,Nachweis,Unbekannt"</formula1>
    </dataValidation>
    <dataValidation sqref="C4833" showDropDown="0" showInputMessage="0" showErrorMessage="0" allowBlank="0" type="list">
      <formula1>"Pauschale,Nachweis,Unbekannt"</formula1>
    </dataValidation>
    <dataValidation sqref="C4834" showDropDown="0" showInputMessage="0" showErrorMessage="0" allowBlank="0" type="list">
      <formula1>"Pauschale,Nachweis,Unbekannt"</formula1>
    </dataValidation>
    <dataValidation sqref="C4835" showDropDown="0" showInputMessage="0" showErrorMessage="0" allowBlank="0" type="list">
      <formula1>"Pauschale,Nachweis,Unbekannt"</formula1>
    </dataValidation>
    <dataValidation sqref="C4836" showDropDown="0" showInputMessage="0" showErrorMessage="0" allowBlank="0" type="list">
      <formula1>"Pauschale,Nachweis,Unbekannt"</formula1>
    </dataValidation>
    <dataValidation sqref="C4837" showDropDown="0" showInputMessage="0" showErrorMessage="0" allowBlank="0" type="list">
      <formula1>"Pauschale,Nachweis,Unbekannt"</formula1>
    </dataValidation>
    <dataValidation sqref="C4838" showDropDown="0" showInputMessage="0" showErrorMessage="0" allowBlank="0" type="list">
      <formula1>"Pauschale,Nachweis,Unbekannt"</formula1>
    </dataValidation>
    <dataValidation sqref="C4839" showDropDown="0" showInputMessage="0" showErrorMessage="0" allowBlank="0" type="list">
      <formula1>"Pauschale,Nachweis,Unbekannt"</formula1>
    </dataValidation>
    <dataValidation sqref="C4840" showDropDown="0" showInputMessage="0" showErrorMessage="0" allowBlank="0" type="list">
      <formula1>"Pauschale,Nachweis,Unbekannt"</formula1>
    </dataValidation>
    <dataValidation sqref="C4841" showDropDown="0" showInputMessage="0" showErrorMessage="0" allowBlank="0" type="list">
      <formula1>"Pauschale,Nachweis,Unbekannt"</formula1>
    </dataValidation>
    <dataValidation sqref="C4842" showDropDown="0" showInputMessage="0" showErrorMessage="0" allowBlank="0" type="list">
      <formula1>"Pauschale,Nachweis,Unbekannt"</formula1>
    </dataValidation>
    <dataValidation sqref="C4843" showDropDown="0" showInputMessage="0" showErrorMessage="0" allowBlank="0" type="list">
      <formula1>"Pauschale,Nachweis,Unbekannt"</formula1>
    </dataValidation>
    <dataValidation sqref="C4844" showDropDown="0" showInputMessage="0" showErrorMessage="0" allowBlank="0" type="list">
      <formula1>"Pauschale,Nachweis,Unbekannt"</formula1>
    </dataValidation>
    <dataValidation sqref="C4845" showDropDown="0" showInputMessage="0" showErrorMessage="0" allowBlank="0" type="list">
      <formula1>"Pauschale,Nachweis,Unbekannt"</formula1>
    </dataValidation>
    <dataValidation sqref="C4846" showDropDown="0" showInputMessage="0" showErrorMessage="0" allowBlank="0" type="list">
      <formula1>"Pauschale,Nachweis,Unbekannt"</formula1>
    </dataValidation>
    <dataValidation sqref="C4847" showDropDown="0" showInputMessage="0" showErrorMessage="0" allowBlank="0" type="list">
      <formula1>"Pauschale,Nachweis,Unbekannt"</formula1>
    </dataValidation>
    <dataValidation sqref="C4848" showDropDown="0" showInputMessage="0" showErrorMessage="0" allowBlank="0" type="list">
      <formula1>"Pauschale,Nachweis,Unbekannt"</formula1>
    </dataValidation>
    <dataValidation sqref="C4849" showDropDown="0" showInputMessage="0" showErrorMessage="0" allowBlank="0" type="list">
      <formula1>"Pauschale,Nachweis,Unbekannt"</formula1>
    </dataValidation>
    <dataValidation sqref="C4850" showDropDown="0" showInputMessage="0" showErrorMessage="0" allowBlank="0" type="list">
      <formula1>"Pauschale,Nachweis,Unbekannt"</formula1>
    </dataValidation>
    <dataValidation sqref="C4851" showDropDown="0" showInputMessage="0" showErrorMessage="0" allowBlank="0" type="list">
      <formula1>"Pauschale,Nachweis,Unbekannt"</formula1>
    </dataValidation>
    <dataValidation sqref="C4852" showDropDown="0" showInputMessage="0" showErrorMessage="0" allowBlank="0" type="list">
      <formula1>"Pauschale,Nachweis,Unbekannt"</formula1>
    </dataValidation>
    <dataValidation sqref="C4853" showDropDown="0" showInputMessage="0" showErrorMessage="0" allowBlank="0" type="list">
      <formula1>"Pauschale,Nachweis,Unbekannt"</formula1>
    </dataValidation>
    <dataValidation sqref="C4854" showDropDown="0" showInputMessage="0" showErrorMessage="0" allowBlank="0" type="list">
      <formula1>"Pauschale,Nachweis,Unbekannt"</formula1>
    </dataValidation>
    <dataValidation sqref="C4855" showDropDown="0" showInputMessage="0" showErrorMessage="0" allowBlank="0" type="list">
      <formula1>"Pauschale,Nachweis,Unbekannt"</formula1>
    </dataValidation>
    <dataValidation sqref="C4856" showDropDown="0" showInputMessage="0" showErrorMessage="0" allowBlank="0" type="list">
      <formula1>"Pauschale,Nachweis,Unbekannt"</formula1>
    </dataValidation>
    <dataValidation sqref="C4857" showDropDown="0" showInputMessage="0" showErrorMessage="0" allowBlank="0" type="list">
      <formula1>"Pauschale,Nachweis,Unbekannt"</formula1>
    </dataValidation>
    <dataValidation sqref="C4858" showDropDown="0" showInputMessage="0" showErrorMessage="0" allowBlank="0" type="list">
      <formula1>"Pauschale,Nachweis,Unbekannt"</formula1>
    </dataValidation>
    <dataValidation sqref="C4859" showDropDown="0" showInputMessage="0" showErrorMessage="0" allowBlank="0" type="list">
      <formula1>"Pauschale,Nachweis,Unbekannt"</formula1>
    </dataValidation>
    <dataValidation sqref="C4860" showDropDown="0" showInputMessage="0" showErrorMessage="0" allowBlank="0" type="list">
      <formula1>"Pauschale,Nachweis,Unbekannt"</formula1>
    </dataValidation>
    <dataValidation sqref="C4861" showDropDown="0" showInputMessage="0" showErrorMessage="0" allowBlank="0" type="list">
      <formula1>"Pauschale,Nachweis,Unbekannt"</formula1>
    </dataValidation>
    <dataValidation sqref="C4862" showDropDown="0" showInputMessage="0" showErrorMessage="0" allowBlank="0" type="list">
      <formula1>"Pauschale,Nachweis,Unbekannt"</formula1>
    </dataValidation>
    <dataValidation sqref="C4863" showDropDown="0" showInputMessage="0" showErrorMessage="0" allowBlank="0" type="list">
      <formula1>"Pauschale,Nachweis,Unbekannt"</formula1>
    </dataValidation>
    <dataValidation sqref="C4864" showDropDown="0" showInputMessage="0" showErrorMessage="0" allowBlank="0" type="list">
      <formula1>"Pauschale,Nachweis,Unbekannt"</formula1>
    </dataValidation>
    <dataValidation sqref="C4865" showDropDown="0" showInputMessage="0" showErrorMessage="0" allowBlank="0" type="list">
      <formula1>"Pauschale,Nachweis,Unbekannt"</formula1>
    </dataValidation>
    <dataValidation sqref="C4866" showDropDown="0" showInputMessage="0" showErrorMessage="0" allowBlank="0" type="list">
      <formula1>"Pauschale,Nachweis,Unbekannt"</formula1>
    </dataValidation>
    <dataValidation sqref="C4867" showDropDown="0" showInputMessage="0" showErrorMessage="0" allowBlank="0" type="list">
      <formula1>"Pauschale,Nachweis,Unbekannt"</formula1>
    </dataValidation>
    <dataValidation sqref="C4868" showDropDown="0" showInputMessage="0" showErrorMessage="0" allowBlank="0" type="list">
      <formula1>"Pauschale,Nachweis,Unbekannt"</formula1>
    </dataValidation>
    <dataValidation sqref="C4869" showDropDown="0" showInputMessage="0" showErrorMessage="0" allowBlank="0" type="list">
      <formula1>"Pauschale,Nachweis,Unbekannt"</formula1>
    </dataValidation>
    <dataValidation sqref="C4870" showDropDown="0" showInputMessage="0" showErrorMessage="0" allowBlank="0" type="list">
      <formula1>"Pauschale,Nachweis,Unbekannt"</formula1>
    </dataValidation>
    <dataValidation sqref="C4871" showDropDown="0" showInputMessage="0" showErrorMessage="0" allowBlank="0" type="list">
      <formula1>"Pauschale,Nachweis,Unbekannt"</formula1>
    </dataValidation>
    <dataValidation sqref="C4872" showDropDown="0" showInputMessage="0" showErrorMessage="0" allowBlank="0" type="list">
      <formula1>"Pauschale,Nachweis,Unbekannt"</formula1>
    </dataValidation>
    <dataValidation sqref="C4873" showDropDown="0" showInputMessage="0" showErrorMessage="0" allowBlank="0" type="list">
      <formula1>"Pauschale,Nachweis,Unbekannt"</formula1>
    </dataValidation>
    <dataValidation sqref="C4874" showDropDown="0" showInputMessage="0" showErrorMessage="0" allowBlank="0" type="list">
      <formula1>"Pauschale,Nachweis,Unbekannt"</formula1>
    </dataValidation>
    <dataValidation sqref="C4875" showDropDown="0" showInputMessage="0" showErrorMessage="0" allowBlank="0" type="list">
      <formula1>"Pauschale,Nachweis,Unbekannt"</formula1>
    </dataValidation>
    <dataValidation sqref="C4876" showDropDown="0" showInputMessage="0" showErrorMessage="0" allowBlank="0" type="list">
      <formula1>"Pauschale,Nachweis,Unbekannt"</formula1>
    </dataValidation>
    <dataValidation sqref="C4877" showDropDown="0" showInputMessage="0" showErrorMessage="0" allowBlank="0" type="list">
      <formula1>"Pauschale,Nachweis,Unbekannt"</formula1>
    </dataValidation>
    <dataValidation sqref="C4878" showDropDown="0" showInputMessage="0" showErrorMessage="0" allowBlank="0" type="list">
      <formula1>"Pauschale,Nachweis,Unbekannt"</formula1>
    </dataValidation>
    <dataValidation sqref="C4879" showDropDown="0" showInputMessage="0" showErrorMessage="0" allowBlank="0" type="list">
      <formula1>"Pauschale,Nachweis,Unbekannt"</formula1>
    </dataValidation>
    <dataValidation sqref="C4880" showDropDown="0" showInputMessage="0" showErrorMessage="0" allowBlank="0" type="list">
      <formula1>"Pauschale,Nachweis,Unbekannt"</formula1>
    </dataValidation>
    <dataValidation sqref="C4881" showDropDown="0" showInputMessage="0" showErrorMessage="0" allowBlank="0" type="list">
      <formula1>"Pauschale,Nachweis,Unbekannt"</formula1>
    </dataValidation>
    <dataValidation sqref="C4882" showDropDown="0" showInputMessage="0" showErrorMessage="0" allowBlank="0" type="list">
      <formula1>"Pauschale,Nachweis,Unbekannt"</formula1>
    </dataValidation>
    <dataValidation sqref="C4883" showDropDown="0" showInputMessage="0" showErrorMessage="0" allowBlank="0" type="list">
      <formula1>"Pauschale,Nachweis,Unbekannt"</formula1>
    </dataValidation>
    <dataValidation sqref="C4884" showDropDown="0" showInputMessage="0" showErrorMessage="0" allowBlank="0" type="list">
      <formula1>"Pauschale,Nachweis,Unbekannt"</formula1>
    </dataValidation>
    <dataValidation sqref="C4885" showDropDown="0" showInputMessage="0" showErrorMessage="0" allowBlank="0" type="list">
      <formula1>"Pauschale,Nachweis,Unbekannt"</formula1>
    </dataValidation>
    <dataValidation sqref="C4886" showDropDown="0" showInputMessage="0" showErrorMessage="0" allowBlank="0" type="list">
      <formula1>"Pauschale,Nachweis,Unbekannt"</formula1>
    </dataValidation>
    <dataValidation sqref="C4887" showDropDown="0" showInputMessage="0" showErrorMessage="0" allowBlank="0" type="list">
      <formula1>"Pauschale,Nachweis,Unbekannt"</formula1>
    </dataValidation>
    <dataValidation sqref="C4888" showDropDown="0" showInputMessage="0" showErrorMessage="0" allowBlank="0" type="list">
      <formula1>"Pauschale,Nachweis,Unbekannt"</formula1>
    </dataValidation>
    <dataValidation sqref="C4889" showDropDown="0" showInputMessage="0" showErrorMessage="0" allowBlank="0" type="list">
      <formula1>"Pauschale,Nachweis,Unbekannt"</formula1>
    </dataValidation>
    <dataValidation sqref="C4890" showDropDown="0" showInputMessage="0" showErrorMessage="0" allowBlank="0" type="list">
      <formula1>"Pauschale,Nachweis,Unbekannt"</formula1>
    </dataValidation>
    <dataValidation sqref="C4891" showDropDown="0" showInputMessage="0" showErrorMessage="0" allowBlank="0" type="list">
      <formula1>"Pauschale,Nachweis,Unbekannt"</formula1>
    </dataValidation>
    <dataValidation sqref="C4892" showDropDown="0" showInputMessage="0" showErrorMessage="0" allowBlank="0" type="list">
      <formula1>"Pauschale,Nachweis,Unbekannt"</formula1>
    </dataValidation>
    <dataValidation sqref="C4893" showDropDown="0" showInputMessage="0" showErrorMessage="0" allowBlank="0" type="list">
      <formula1>"Pauschale,Nachweis,Unbekannt"</formula1>
    </dataValidation>
    <dataValidation sqref="C4894" showDropDown="0" showInputMessage="0" showErrorMessage="0" allowBlank="0" type="list">
      <formula1>"Pauschale,Nachweis,Unbekannt"</formula1>
    </dataValidation>
    <dataValidation sqref="C4895" showDropDown="0" showInputMessage="0" showErrorMessage="0" allowBlank="0" type="list">
      <formula1>"Pauschale,Nachweis,Unbekannt"</formula1>
    </dataValidation>
    <dataValidation sqref="C4896" showDropDown="0" showInputMessage="0" showErrorMessage="0" allowBlank="0" type="list">
      <formula1>"Pauschale,Nachweis,Unbekannt"</formula1>
    </dataValidation>
    <dataValidation sqref="C4897" showDropDown="0" showInputMessage="0" showErrorMessage="0" allowBlank="0" type="list">
      <formula1>"Pauschale,Nachweis,Unbekannt"</formula1>
    </dataValidation>
    <dataValidation sqref="C4898" showDropDown="0" showInputMessage="0" showErrorMessage="0" allowBlank="0" type="list">
      <formula1>"Pauschale,Nachweis,Unbekannt"</formula1>
    </dataValidation>
    <dataValidation sqref="C4899" showDropDown="0" showInputMessage="0" showErrorMessage="0" allowBlank="0" type="list">
      <formula1>"Pauschale,Nachweis,Unbekannt"</formula1>
    </dataValidation>
    <dataValidation sqref="C4900" showDropDown="0" showInputMessage="0" showErrorMessage="0" allowBlank="0" type="list">
      <formula1>"Pauschale,Nachweis,Unbekannt"</formula1>
    </dataValidation>
    <dataValidation sqref="C4901" showDropDown="0" showInputMessage="0" showErrorMessage="0" allowBlank="0" type="list">
      <formula1>"Pauschale,Nachweis,Unbekannt"</formula1>
    </dataValidation>
    <dataValidation sqref="C4902" showDropDown="0" showInputMessage="0" showErrorMessage="0" allowBlank="0" type="list">
      <formula1>"Pauschale,Nachweis,Unbekannt"</formula1>
    </dataValidation>
    <dataValidation sqref="C4903" showDropDown="0" showInputMessage="0" showErrorMessage="0" allowBlank="0" type="list">
      <formula1>"Pauschale,Nachweis,Unbekannt"</formula1>
    </dataValidation>
    <dataValidation sqref="C4904" showDropDown="0" showInputMessage="0" showErrorMessage="0" allowBlank="0" type="list">
      <formula1>"Pauschale,Nachweis,Unbekannt"</formula1>
    </dataValidation>
    <dataValidation sqref="C4905" showDropDown="0" showInputMessage="0" showErrorMessage="0" allowBlank="0" type="list">
      <formula1>"Pauschale,Nachweis,Unbekannt"</formula1>
    </dataValidation>
    <dataValidation sqref="C4906" showDropDown="0" showInputMessage="0" showErrorMessage="0" allowBlank="0" type="list">
      <formula1>"Pauschale,Nachweis,Unbekannt"</formula1>
    </dataValidation>
    <dataValidation sqref="C4907" showDropDown="0" showInputMessage="0" showErrorMessage="0" allowBlank="0" type="list">
      <formula1>"Pauschale,Nachweis,Unbekannt"</formula1>
    </dataValidation>
    <dataValidation sqref="C4908" showDropDown="0" showInputMessage="0" showErrorMessage="0" allowBlank="0" type="list">
      <formula1>"Pauschale,Nachweis,Unbekannt"</formula1>
    </dataValidation>
    <dataValidation sqref="C4909" showDropDown="0" showInputMessage="0" showErrorMessage="0" allowBlank="0" type="list">
      <formula1>"Pauschale,Nachweis,Unbekannt"</formula1>
    </dataValidation>
    <dataValidation sqref="C4910" showDropDown="0" showInputMessage="0" showErrorMessage="0" allowBlank="0" type="list">
      <formula1>"Pauschale,Nachweis,Unbekannt"</formula1>
    </dataValidation>
    <dataValidation sqref="C4911" showDropDown="0" showInputMessage="0" showErrorMessage="0" allowBlank="0" type="list">
      <formula1>"Pauschale,Nachweis,Unbekannt"</formula1>
    </dataValidation>
    <dataValidation sqref="C4912" showDropDown="0" showInputMessage="0" showErrorMessage="0" allowBlank="0" type="list">
      <formula1>"Pauschale,Nachweis,Unbekannt"</formula1>
    </dataValidation>
    <dataValidation sqref="C4913" showDropDown="0" showInputMessage="0" showErrorMessage="0" allowBlank="0" type="list">
      <formula1>"Pauschale,Nachweis,Unbekannt"</formula1>
    </dataValidation>
    <dataValidation sqref="C4914" showDropDown="0" showInputMessage="0" showErrorMessage="0" allowBlank="0" type="list">
      <formula1>"Pauschale,Nachweis,Unbekannt"</formula1>
    </dataValidation>
    <dataValidation sqref="C4915" showDropDown="0" showInputMessage="0" showErrorMessage="0" allowBlank="0" type="list">
      <formula1>"Pauschale,Nachweis,Unbekannt"</formula1>
    </dataValidation>
    <dataValidation sqref="C4916" showDropDown="0" showInputMessage="0" showErrorMessage="0" allowBlank="0" type="list">
      <formula1>"Pauschale,Nachweis,Unbekannt"</formula1>
    </dataValidation>
    <dataValidation sqref="C4917" showDropDown="0" showInputMessage="0" showErrorMessage="0" allowBlank="0" type="list">
      <formula1>"Pauschale,Nachweis,Unbekannt"</formula1>
    </dataValidation>
    <dataValidation sqref="C4918" showDropDown="0" showInputMessage="0" showErrorMessage="0" allowBlank="0" type="list">
      <formula1>"Pauschale,Nachweis,Unbekannt"</formula1>
    </dataValidation>
    <dataValidation sqref="C4919" showDropDown="0" showInputMessage="0" showErrorMessage="0" allowBlank="0" type="list">
      <formula1>"Pauschale,Nachweis,Unbekannt"</formula1>
    </dataValidation>
    <dataValidation sqref="C4920" showDropDown="0" showInputMessage="0" showErrorMessage="0" allowBlank="0" type="list">
      <formula1>"Pauschale,Nachweis,Unbekannt"</formula1>
    </dataValidation>
    <dataValidation sqref="C4921" showDropDown="0" showInputMessage="0" showErrorMessage="0" allowBlank="0" type="list">
      <formula1>"Pauschale,Nachweis,Unbekannt"</formula1>
    </dataValidation>
    <dataValidation sqref="C4922" showDropDown="0" showInputMessage="0" showErrorMessage="0" allowBlank="0" type="list">
      <formula1>"Pauschale,Nachweis,Unbekannt"</formula1>
    </dataValidation>
    <dataValidation sqref="C4923" showDropDown="0" showInputMessage="0" showErrorMessage="0" allowBlank="0" type="list">
      <formula1>"Pauschale,Nachweis,Unbekannt"</formula1>
    </dataValidation>
    <dataValidation sqref="C4924" showDropDown="0" showInputMessage="0" showErrorMessage="0" allowBlank="0" type="list">
      <formula1>"Pauschale,Nachweis,Unbekannt"</formula1>
    </dataValidation>
    <dataValidation sqref="C4925" showDropDown="0" showInputMessage="0" showErrorMessage="0" allowBlank="0" type="list">
      <formula1>"Pauschale,Nachweis,Unbekannt"</formula1>
    </dataValidation>
    <dataValidation sqref="C4926" showDropDown="0" showInputMessage="0" showErrorMessage="0" allowBlank="0" type="list">
      <formula1>"Pauschale,Nachweis,Unbekannt"</formula1>
    </dataValidation>
    <dataValidation sqref="C4927" showDropDown="0" showInputMessage="0" showErrorMessage="0" allowBlank="0" type="list">
      <formula1>"Pauschale,Nachweis,Unbekannt"</formula1>
    </dataValidation>
    <dataValidation sqref="C4928" showDropDown="0" showInputMessage="0" showErrorMessage="0" allowBlank="0" type="list">
      <formula1>"Pauschale,Nachweis,Unbekannt"</formula1>
    </dataValidation>
    <dataValidation sqref="C4929" showDropDown="0" showInputMessage="0" showErrorMessage="0" allowBlank="0" type="list">
      <formula1>"Pauschale,Nachweis,Unbekannt"</formula1>
    </dataValidation>
    <dataValidation sqref="C4930" showDropDown="0" showInputMessage="0" showErrorMessage="0" allowBlank="0" type="list">
      <formula1>"Pauschale,Nachweis,Unbekannt"</formula1>
    </dataValidation>
    <dataValidation sqref="C4931" showDropDown="0" showInputMessage="0" showErrorMessage="0" allowBlank="0" type="list">
      <formula1>"Pauschale,Nachweis,Unbekannt"</formula1>
    </dataValidation>
    <dataValidation sqref="C4932" showDropDown="0" showInputMessage="0" showErrorMessage="0" allowBlank="0" type="list">
      <formula1>"Pauschale,Nachweis,Unbekannt"</formula1>
    </dataValidation>
    <dataValidation sqref="C4933" showDropDown="0" showInputMessage="0" showErrorMessage="0" allowBlank="0" type="list">
      <formula1>"Pauschale,Nachweis,Unbekannt"</formula1>
    </dataValidation>
    <dataValidation sqref="C4934" showDropDown="0" showInputMessage="0" showErrorMessage="0" allowBlank="0" type="list">
      <formula1>"Pauschale,Nachweis,Unbekannt"</formula1>
    </dataValidation>
    <dataValidation sqref="C4935" showDropDown="0" showInputMessage="0" showErrorMessage="0" allowBlank="0" type="list">
      <formula1>"Pauschale,Nachweis,Unbekannt"</formula1>
    </dataValidation>
    <dataValidation sqref="C4936" showDropDown="0" showInputMessage="0" showErrorMessage="0" allowBlank="0" type="list">
      <formula1>"Pauschale,Nachweis,Unbekannt"</formula1>
    </dataValidation>
    <dataValidation sqref="C4937" showDropDown="0" showInputMessage="0" showErrorMessage="0" allowBlank="0" type="list">
      <formula1>"Pauschale,Nachweis,Unbekannt"</formula1>
    </dataValidation>
    <dataValidation sqref="C4938" showDropDown="0" showInputMessage="0" showErrorMessage="0" allowBlank="0" type="list">
      <formula1>"Pauschale,Nachweis,Unbekannt"</formula1>
    </dataValidation>
    <dataValidation sqref="C4939" showDropDown="0" showInputMessage="0" showErrorMessage="0" allowBlank="0" type="list">
      <formula1>"Pauschale,Nachweis,Unbekannt"</formula1>
    </dataValidation>
    <dataValidation sqref="C4940" showDropDown="0" showInputMessage="0" showErrorMessage="0" allowBlank="0" type="list">
      <formula1>"Pauschale,Nachweis,Unbekannt"</formula1>
    </dataValidation>
    <dataValidation sqref="C4941" showDropDown="0" showInputMessage="0" showErrorMessage="0" allowBlank="0" type="list">
      <formula1>"Pauschale,Nachweis,Unbekannt"</formula1>
    </dataValidation>
    <dataValidation sqref="C4942" showDropDown="0" showInputMessage="0" showErrorMessage="0" allowBlank="0" type="list">
      <formula1>"Pauschale,Nachweis,Unbekannt"</formula1>
    </dataValidation>
    <dataValidation sqref="C4943" showDropDown="0" showInputMessage="0" showErrorMessage="0" allowBlank="0" type="list">
      <formula1>"Pauschale,Nachweis,Unbekannt"</formula1>
    </dataValidation>
    <dataValidation sqref="C4944" showDropDown="0" showInputMessage="0" showErrorMessage="0" allowBlank="0" type="list">
      <formula1>"Pauschale,Nachweis,Unbekannt"</formula1>
    </dataValidation>
    <dataValidation sqref="C4945" showDropDown="0" showInputMessage="0" showErrorMessage="0" allowBlank="0" type="list">
      <formula1>"Pauschale,Nachweis,Unbekannt"</formula1>
    </dataValidation>
    <dataValidation sqref="C4946" showDropDown="0" showInputMessage="0" showErrorMessage="0" allowBlank="0" type="list">
      <formula1>"Pauschale,Nachweis,Unbekannt"</formula1>
    </dataValidation>
    <dataValidation sqref="C4947" showDropDown="0" showInputMessage="0" showErrorMessage="0" allowBlank="0" type="list">
      <formula1>"Pauschale,Nachweis,Unbekannt"</formula1>
    </dataValidation>
    <dataValidation sqref="C4948" showDropDown="0" showInputMessage="0" showErrorMessage="0" allowBlank="0" type="list">
      <formula1>"Pauschale,Nachweis,Unbekannt"</formula1>
    </dataValidation>
    <dataValidation sqref="C4949" showDropDown="0" showInputMessage="0" showErrorMessage="0" allowBlank="0" type="list">
      <formula1>"Pauschale,Nachweis,Unbekannt"</formula1>
    </dataValidation>
    <dataValidation sqref="C4950" showDropDown="0" showInputMessage="0" showErrorMessage="0" allowBlank="0" type="list">
      <formula1>"Pauschale,Nachweis,Unbekannt"</formula1>
    </dataValidation>
    <dataValidation sqref="C4951" showDropDown="0" showInputMessage="0" showErrorMessage="0" allowBlank="0" type="list">
      <formula1>"Pauschale,Nachweis,Unbekannt"</formula1>
    </dataValidation>
    <dataValidation sqref="C4952" showDropDown="0" showInputMessage="0" showErrorMessage="0" allowBlank="0" type="list">
      <formula1>"Pauschale,Nachweis,Unbekannt"</formula1>
    </dataValidation>
    <dataValidation sqref="C4953" showDropDown="0" showInputMessage="0" showErrorMessage="0" allowBlank="0" type="list">
      <formula1>"Pauschale,Nachweis,Unbekannt"</formula1>
    </dataValidation>
    <dataValidation sqref="C4954" showDropDown="0" showInputMessage="0" showErrorMessage="0" allowBlank="0" type="list">
      <formula1>"Pauschale,Nachweis,Unbekannt"</formula1>
    </dataValidation>
    <dataValidation sqref="C4955" showDropDown="0" showInputMessage="0" showErrorMessage="0" allowBlank="0" type="list">
      <formula1>"Pauschale,Nachweis,Unbekannt"</formula1>
    </dataValidation>
    <dataValidation sqref="C4956" showDropDown="0" showInputMessage="0" showErrorMessage="0" allowBlank="0" type="list">
      <formula1>"Pauschale,Nachweis,Unbekannt"</formula1>
    </dataValidation>
    <dataValidation sqref="C4957" showDropDown="0" showInputMessage="0" showErrorMessage="0" allowBlank="0" type="list">
      <formula1>"Pauschale,Nachweis,Unbekannt"</formula1>
    </dataValidation>
    <dataValidation sqref="C4958" showDropDown="0" showInputMessage="0" showErrorMessage="0" allowBlank="0" type="list">
      <formula1>"Pauschale,Nachweis,Unbekannt"</formula1>
    </dataValidation>
    <dataValidation sqref="C4959" showDropDown="0" showInputMessage="0" showErrorMessage="0" allowBlank="0" type="list">
      <formula1>"Pauschale,Nachweis,Unbekannt"</formula1>
    </dataValidation>
    <dataValidation sqref="C4960" showDropDown="0" showInputMessage="0" showErrorMessage="0" allowBlank="0" type="list">
      <formula1>"Pauschale,Nachweis,Unbekannt"</formula1>
    </dataValidation>
    <dataValidation sqref="C4961" showDropDown="0" showInputMessage="0" showErrorMessage="0" allowBlank="0" type="list">
      <formula1>"Pauschale,Nachweis,Unbekannt"</formula1>
    </dataValidation>
    <dataValidation sqref="C4962" showDropDown="0" showInputMessage="0" showErrorMessage="0" allowBlank="0" type="list">
      <formula1>"Pauschale,Nachweis,Unbekannt"</formula1>
    </dataValidation>
    <dataValidation sqref="C4963" showDropDown="0" showInputMessage="0" showErrorMessage="0" allowBlank="0" type="list">
      <formula1>"Pauschale,Nachweis,Unbekannt"</formula1>
    </dataValidation>
    <dataValidation sqref="C4964" showDropDown="0" showInputMessage="0" showErrorMessage="0" allowBlank="0" type="list">
      <formula1>"Pauschale,Nachweis,Unbekannt"</formula1>
    </dataValidation>
    <dataValidation sqref="C4965" showDropDown="0" showInputMessage="0" showErrorMessage="0" allowBlank="0" type="list">
      <formula1>"Pauschale,Nachweis,Unbekannt"</formula1>
    </dataValidation>
    <dataValidation sqref="C4966" showDropDown="0" showInputMessage="0" showErrorMessage="0" allowBlank="0" type="list">
      <formula1>"Pauschale,Nachweis,Unbekannt"</formula1>
    </dataValidation>
    <dataValidation sqref="C4967" showDropDown="0" showInputMessage="0" showErrorMessage="0" allowBlank="0" type="list">
      <formula1>"Pauschale,Nachweis,Unbekannt"</formula1>
    </dataValidation>
    <dataValidation sqref="C4968" showDropDown="0" showInputMessage="0" showErrorMessage="0" allowBlank="0" type="list">
      <formula1>"Pauschale,Nachweis,Unbekannt"</formula1>
    </dataValidation>
    <dataValidation sqref="C4969" showDropDown="0" showInputMessage="0" showErrorMessage="0" allowBlank="0" type="list">
      <formula1>"Pauschale,Nachweis,Unbekannt"</formula1>
    </dataValidation>
    <dataValidation sqref="C4970" showDropDown="0" showInputMessage="0" showErrorMessage="0" allowBlank="0" type="list">
      <formula1>"Pauschale,Nachweis,Unbekannt"</formula1>
    </dataValidation>
    <dataValidation sqref="C4971" showDropDown="0" showInputMessage="0" showErrorMessage="0" allowBlank="0" type="list">
      <formula1>"Pauschale,Nachweis,Unbekannt"</formula1>
    </dataValidation>
    <dataValidation sqref="C4972" showDropDown="0" showInputMessage="0" showErrorMessage="0" allowBlank="0" type="list">
      <formula1>"Pauschale,Nachweis,Unbekannt"</formula1>
    </dataValidation>
    <dataValidation sqref="C4973" showDropDown="0" showInputMessage="0" showErrorMessage="0" allowBlank="0" type="list">
      <formula1>"Pauschale,Nachweis,Unbekannt"</formula1>
    </dataValidation>
    <dataValidation sqref="C4974" showDropDown="0" showInputMessage="0" showErrorMessage="0" allowBlank="0" type="list">
      <formula1>"Pauschale,Nachweis,Unbekannt"</formula1>
    </dataValidation>
    <dataValidation sqref="C4975" showDropDown="0" showInputMessage="0" showErrorMessage="0" allowBlank="0" type="list">
      <formula1>"Pauschale,Nachweis,Unbekannt"</formula1>
    </dataValidation>
    <dataValidation sqref="C4976" showDropDown="0" showInputMessage="0" showErrorMessage="0" allowBlank="0" type="list">
      <formula1>"Pauschale,Nachweis,Unbekannt"</formula1>
    </dataValidation>
    <dataValidation sqref="C4977" showDropDown="0" showInputMessage="0" showErrorMessage="0" allowBlank="0" type="list">
      <formula1>"Pauschale,Nachweis,Unbekannt"</formula1>
    </dataValidation>
    <dataValidation sqref="C4978" showDropDown="0" showInputMessage="0" showErrorMessage="0" allowBlank="0" type="list">
      <formula1>"Pauschale,Nachweis,Unbekannt"</formula1>
    </dataValidation>
    <dataValidation sqref="C4979" showDropDown="0" showInputMessage="0" showErrorMessage="0" allowBlank="0" type="list">
      <formula1>"Pauschale,Nachweis,Unbekannt"</formula1>
    </dataValidation>
    <dataValidation sqref="C4980" showDropDown="0" showInputMessage="0" showErrorMessage="0" allowBlank="0" type="list">
      <formula1>"Pauschale,Nachweis,Unbekannt"</formula1>
    </dataValidation>
    <dataValidation sqref="C4981" showDropDown="0" showInputMessage="0" showErrorMessage="0" allowBlank="0" type="list">
      <formula1>"Pauschale,Nachweis,Unbekannt"</formula1>
    </dataValidation>
    <dataValidation sqref="C4982" showDropDown="0" showInputMessage="0" showErrorMessage="0" allowBlank="0" type="list">
      <formula1>"Pauschale,Nachweis,Unbekannt"</formula1>
    </dataValidation>
    <dataValidation sqref="C4983" showDropDown="0" showInputMessage="0" showErrorMessage="0" allowBlank="0" type="list">
      <formula1>"Pauschale,Nachweis,Unbekannt"</formula1>
    </dataValidation>
    <dataValidation sqref="C4984" showDropDown="0" showInputMessage="0" showErrorMessage="0" allowBlank="0" type="list">
      <formula1>"Pauschale,Nachweis,Unbekannt"</formula1>
    </dataValidation>
    <dataValidation sqref="C4985" showDropDown="0" showInputMessage="0" showErrorMessage="0" allowBlank="0" type="list">
      <formula1>"Pauschale,Nachweis,Unbekannt"</formula1>
    </dataValidation>
    <dataValidation sqref="C4986" showDropDown="0" showInputMessage="0" showErrorMessage="0" allowBlank="0" type="list">
      <formula1>"Pauschale,Nachweis,Unbekannt"</formula1>
    </dataValidation>
    <dataValidation sqref="C4987" showDropDown="0" showInputMessage="0" showErrorMessage="0" allowBlank="0" type="list">
      <formula1>"Pauschale,Nachweis,Unbekannt"</formula1>
    </dataValidation>
    <dataValidation sqref="C4988" showDropDown="0" showInputMessage="0" showErrorMessage="0" allowBlank="0" type="list">
      <formula1>"Pauschale,Nachweis,Unbekannt"</formula1>
    </dataValidation>
    <dataValidation sqref="C4989" showDropDown="0" showInputMessage="0" showErrorMessage="0" allowBlank="0" type="list">
      <formula1>"Pauschale,Nachweis,Unbekannt"</formula1>
    </dataValidation>
    <dataValidation sqref="C4990" showDropDown="0" showInputMessage="0" showErrorMessage="0" allowBlank="0" type="list">
      <formula1>"Pauschale,Nachweis,Unbekannt"</formula1>
    </dataValidation>
    <dataValidation sqref="C4991" showDropDown="0" showInputMessage="0" showErrorMessage="0" allowBlank="0" type="list">
      <formula1>"Pauschale,Nachweis,Unbekannt"</formula1>
    </dataValidation>
    <dataValidation sqref="C4992" showDropDown="0" showInputMessage="0" showErrorMessage="0" allowBlank="0" type="list">
      <formula1>"Pauschale,Nachweis,Unbekannt"</formula1>
    </dataValidation>
    <dataValidation sqref="C4993" showDropDown="0" showInputMessage="0" showErrorMessage="0" allowBlank="0" type="list">
      <formula1>"Pauschale,Nachweis,Unbekannt"</formula1>
    </dataValidation>
    <dataValidation sqref="C4994" showDropDown="0" showInputMessage="0" showErrorMessage="0" allowBlank="0" type="list">
      <formula1>"Pauschale,Nachweis,Unbekannt"</formula1>
    </dataValidation>
    <dataValidation sqref="C4995" showDropDown="0" showInputMessage="0" showErrorMessage="0" allowBlank="0" type="list">
      <formula1>"Pauschale,Nachweis,Unbekannt"</formula1>
    </dataValidation>
    <dataValidation sqref="C4996" showDropDown="0" showInputMessage="0" showErrorMessage="0" allowBlank="0" type="list">
      <formula1>"Pauschale,Nachweis,Unbekannt"</formula1>
    </dataValidation>
    <dataValidation sqref="C4997" showDropDown="0" showInputMessage="0" showErrorMessage="0" allowBlank="0" type="list">
      <formula1>"Pauschale,Nachweis,Unbekannt"</formula1>
    </dataValidation>
    <dataValidation sqref="C4998" showDropDown="0" showInputMessage="0" showErrorMessage="0" allowBlank="0" type="list">
      <formula1>"Pauschale,Nachweis,Unbekannt"</formula1>
    </dataValidation>
    <dataValidation sqref="C4999" showDropDown="0" showInputMessage="0" showErrorMessage="0" allowBlank="0" type="list">
      <formula1>"Pauschale,Nachweis,Unbekannt"</formula1>
    </dataValidation>
    <dataValidation sqref="C5000" showDropDown="0" showInputMessage="0" showErrorMessage="0" allowBlank="0" type="list">
      <formula1>"Pauschale,Nachweis,Unbekannt"</formula1>
    </dataValidation>
    <dataValidation sqref="C5001" showDropDown="0" showInputMessage="0" showErrorMessage="0" allowBlank="0" type="list">
      <formula1>"Pauschale,Nachweis,Unbekannt"</formula1>
    </dataValidation>
    <dataValidation sqref="C5002" showDropDown="0" showInputMessage="0" showErrorMessage="0" allowBlank="0" type="list">
      <formula1>"Pauschale,Nachweis,Unbekannt"</formula1>
    </dataValidation>
    <dataValidation sqref="C5003" showDropDown="0" showInputMessage="0" showErrorMessage="0" allowBlank="0" type="list">
      <formula1>"Pauschale,Nachweis,Unbekannt"</formula1>
    </dataValidation>
    <dataValidation sqref="C5004" showDropDown="0" showInputMessage="0" showErrorMessage="0" allowBlank="0" type="list">
      <formula1>"Pauschale,Nachweis,Unbekannt"</formula1>
    </dataValidation>
    <dataValidation sqref="C5005" showDropDown="0" showInputMessage="0" showErrorMessage="0" allowBlank="0" type="list">
      <formula1>"Pauschale,Nachweis,Unbekannt"</formula1>
    </dataValidation>
    <dataValidation sqref="C5006" showDropDown="0" showInputMessage="0" showErrorMessage="0" allowBlank="0" type="list">
      <formula1>"Pauschale,Nachweis,Unbekannt"</formula1>
    </dataValidation>
    <dataValidation sqref="C5007" showDropDown="0" showInputMessage="0" showErrorMessage="0" allowBlank="0" type="list">
      <formula1>"Pauschale,Nachweis,Unbekannt"</formula1>
    </dataValidation>
    <dataValidation sqref="C5008" showDropDown="0" showInputMessage="0" showErrorMessage="0" allowBlank="0" type="list">
      <formula1>"Pauschale,Nachweis,Unbekannt"</formula1>
    </dataValidation>
    <dataValidation sqref="C5009" showDropDown="0" showInputMessage="0" showErrorMessage="0" allowBlank="0" type="list">
      <formula1>"Pauschale,Nachweis,Unbekannt"</formula1>
    </dataValidation>
    <dataValidation sqref="C5010" showDropDown="0" showInputMessage="0" showErrorMessage="0" allowBlank="0" type="list">
      <formula1>"Pauschale,Nachweis,Unbekannt"</formula1>
    </dataValidation>
    <dataValidation sqref="C5011" showDropDown="0" showInputMessage="0" showErrorMessage="0" allowBlank="0" type="list">
      <formula1>"Pauschale,Nachweis,Unbekannt"</formula1>
    </dataValidation>
    <dataValidation sqref="C5012" showDropDown="0" showInputMessage="0" showErrorMessage="0" allowBlank="0" type="list">
      <formula1>"Pauschale,Nachweis,Unbekannt"</formula1>
    </dataValidation>
    <dataValidation sqref="C5013" showDropDown="0" showInputMessage="0" showErrorMessage="0" allowBlank="0" type="list">
      <formula1>"Pauschale,Nachweis,Unbekannt"</formula1>
    </dataValidation>
    <dataValidation sqref="C5014" showDropDown="0" showInputMessage="0" showErrorMessage="0" allowBlank="0" type="list">
      <formula1>"Pauschale,Nachweis,Unbekannt"</formula1>
    </dataValidation>
    <dataValidation sqref="C5015" showDropDown="0" showInputMessage="0" showErrorMessage="0" allowBlank="0" type="list">
      <formula1>"Pauschale,Nachweis,Unbekannt"</formula1>
    </dataValidation>
    <dataValidation sqref="C5016" showDropDown="0" showInputMessage="0" showErrorMessage="0" allowBlank="0" type="list">
      <formula1>"Pauschale,Nachweis,Unbekannt"</formula1>
    </dataValidation>
    <dataValidation sqref="C5017" showDropDown="0" showInputMessage="0" showErrorMessage="0" allowBlank="0" type="list">
      <formula1>"Pauschale,Nachweis,Unbekannt"</formula1>
    </dataValidation>
    <dataValidation sqref="C5018" showDropDown="0" showInputMessage="0" showErrorMessage="0" allowBlank="0" type="list">
      <formula1>"Pauschale,Nachweis,Unbekannt"</formula1>
    </dataValidation>
    <dataValidation sqref="C5019" showDropDown="0" showInputMessage="0" showErrorMessage="0" allowBlank="0" type="list">
      <formula1>"Pauschale,Nachweis,Unbekannt"</formula1>
    </dataValidation>
    <dataValidation sqref="C5020" showDropDown="0" showInputMessage="0" showErrorMessage="0" allowBlank="0" type="list">
      <formula1>"Pauschale,Nachweis,Unbekannt"</formula1>
    </dataValidation>
    <dataValidation sqref="C5021" showDropDown="0" showInputMessage="0" showErrorMessage="0" allowBlank="0" type="list">
      <formula1>"Pauschale,Nachweis,Unbekannt"</formula1>
    </dataValidation>
    <dataValidation sqref="C5022" showDropDown="0" showInputMessage="0" showErrorMessage="0" allowBlank="0" type="list">
      <formula1>"Pauschale,Nachweis,Unbekannt"</formula1>
    </dataValidation>
    <dataValidation sqref="C5023" showDropDown="0" showInputMessage="0" showErrorMessage="0" allowBlank="0" type="list">
      <formula1>"Pauschale,Nachweis,Unbekannt"</formula1>
    </dataValidation>
    <dataValidation sqref="C5024" showDropDown="0" showInputMessage="0" showErrorMessage="0" allowBlank="0" type="list">
      <formula1>"Pauschale,Nachweis,Unbekannt"</formula1>
    </dataValidation>
    <dataValidation sqref="C5025" showDropDown="0" showInputMessage="0" showErrorMessage="0" allowBlank="0" type="list">
      <formula1>"Pauschale,Nachweis,Unbekannt"</formula1>
    </dataValidation>
    <dataValidation sqref="C5026" showDropDown="0" showInputMessage="0" showErrorMessage="0" allowBlank="0" type="list">
      <formula1>"Pauschale,Nachweis,Unbekannt"</formula1>
    </dataValidation>
    <dataValidation sqref="C5027" showDropDown="0" showInputMessage="0" showErrorMessage="0" allowBlank="0" type="list">
      <formula1>"Pauschale,Nachweis,Unbekannt"</formula1>
    </dataValidation>
    <dataValidation sqref="C5028" showDropDown="0" showInputMessage="0" showErrorMessage="0" allowBlank="0" type="list">
      <formula1>"Pauschale,Nachweis,Unbekannt"</formula1>
    </dataValidation>
    <dataValidation sqref="C5029" showDropDown="0" showInputMessage="0" showErrorMessage="0" allowBlank="0" type="list">
      <formula1>"Pauschale,Nachweis,Unbekannt"</formula1>
    </dataValidation>
    <dataValidation sqref="C5030" showDropDown="0" showInputMessage="0" showErrorMessage="0" allowBlank="0" type="list">
      <formula1>"Pauschale,Nachweis,Unbekannt"</formula1>
    </dataValidation>
    <dataValidation sqref="C5031" showDropDown="0" showInputMessage="0" showErrorMessage="0" allowBlank="0" type="list">
      <formula1>"Pauschale,Nachweis,Unbekannt"</formula1>
    </dataValidation>
    <dataValidation sqref="C5032" showDropDown="0" showInputMessage="0" showErrorMessage="0" allowBlank="0" type="list">
      <formula1>"Pauschale,Nachweis,Unbekannt"</formula1>
    </dataValidation>
    <dataValidation sqref="C5033" showDropDown="0" showInputMessage="0" showErrorMessage="0" allowBlank="0" type="list">
      <formula1>"Pauschale,Nachweis,Unbekannt"</formula1>
    </dataValidation>
    <dataValidation sqref="C5034" showDropDown="0" showInputMessage="0" showErrorMessage="0" allowBlank="0" type="list">
      <formula1>"Pauschale,Nachweis,Unbekannt"</formula1>
    </dataValidation>
    <dataValidation sqref="C5035" showDropDown="0" showInputMessage="0" showErrorMessage="0" allowBlank="0" type="list">
      <formula1>"Pauschale,Nachweis,Unbekannt"</formula1>
    </dataValidation>
    <dataValidation sqref="C5036" showDropDown="0" showInputMessage="0" showErrorMessage="0" allowBlank="0" type="list">
      <formula1>"Pauschale,Nachweis,Unbekannt"</formula1>
    </dataValidation>
    <dataValidation sqref="C5037" showDropDown="0" showInputMessage="0" showErrorMessage="0" allowBlank="0" type="list">
      <formula1>"Pauschale,Nachweis,Unbekannt"</formula1>
    </dataValidation>
    <dataValidation sqref="C5038" showDropDown="0" showInputMessage="0" showErrorMessage="0" allowBlank="0" type="list">
      <formula1>"Pauschale,Nachweis,Unbekannt"</formula1>
    </dataValidation>
    <dataValidation sqref="C5039" showDropDown="0" showInputMessage="0" showErrorMessage="0" allowBlank="0" type="list">
      <formula1>"Pauschale,Nachweis,Unbekannt"</formula1>
    </dataValidation>
    <dataValidation sqref="C5040" showDropDown="0" showInputMessage="0" showErrorMessage="0" allowBlank="0" type="list">
      <formula1>"Pauschale,Nachweis,Unbekannt"</formula1>
    </dataValidation>
    <dataValidation sqref="C5041" showDropDown="0" showInputMessage="0" showErrorMessage="0" allowBlank="0" type="list">
      <formula1>"Pauschale,Nachweis,Unbekannt"</formula1>
    </dataValidation>
    <dataValidation sqref="C5042" showDropDown="0" showInputMessage="0" showErrorMessage="0" allowBlank="0" type="list">
      <formula1>"Pauschale,Nachweis,Unbekannt"</formula1>
    </dataValidation>
    <dataValidation sqref="C5043" showDropDown="0" showInputMessage="0" showErrorMessage="0" allowBlank="0" type="list">
      <formula1>"Pauschale,Nachweis,Unbekannt"</formula1>
    </dataValidation>
    <dataValidation sqref="C5044" showDropDown="0" showInputMessage="0" showErrorMessage="0" allowBlank="0" type="list">
      <formula1>"Pauschale,Nachweis,Unbekannt"</formula1>
    </dataValidation>
    <dataValidation sqref="C5045" showDropDown="0" showInputMessage="0" showErrorMessage="0" allowBlank="0" type="list">
      <formula1>"Pauschale,Nachweis,Unbekannt"</formula1>
    </dataValidation>
    <dataValidation sqref="C5046" showDropDown="0" showInputMessage="0" showErrorMessage="0" allowBlank="0" type="list">
      <formula1>"Pauschale,Nachweis,Unbekannt"</formula1>
    </dataValidation>
    <dataValidation sqref="C5047" showDropDown="0" showInputMessage="0" showErrorMessage="0" allowBlank="0" type="list">
      <formula1>"Pauschale,Nachweis,Unbekannt"</formula1>
    </dataValidation>
    <dataValidation sqref="C5048" showDropDown="0" showInputMessage="0" showErrorMessage="0" allowBlank="0" type="list">
      <formula1>"Pauschale,Nachweis,Unbekannt"</formula1>
    </dataValidation>
    <dataValidation sqref="C5049" showDropDown="0" showInputMessage="0" showErrorMessage="0" allowBlank="0" type="list">
      <formula1>"Pauschale,Nachweis,Unbekannt"</formula1>
    </dataValidation>
    <dataValidation sqref="C5050" showDropDown="0" showInputMessage="0" showErrorMessage="0" allowBlank="0" type="list">
      <formula1>"Pauschale,Nachweis,Unbekannt"</formula1>
    </dataValidation>
    <dataValidation sqref="C5051" showDropDown="0" showInputMessage="0" showErrorMessage="0" allowBlank="0" type="list">
      <formula1>"Pauschale,Nachweis,Unbekannt"</formula1>
    </dataValidation>
    <dataValidation sqref="C5052" showDropDown="0" showInputMessage="0" showErrorMessage="0" allowBlank="0" type="list">
      <formula1>"Pauschale,Nachweis,Unbekannt"</formula1>
    </dataValidation>
    <dataValidation sqref="C5053" showDropDown="0" showInputMessage="0" showErrorMessage="0" allowBlank="0" type="list">
      <formula1>"Pauschale,Nachweis,Unbekannt"</formula1>
    </dataValidation>
    <dataValidation sqref="C5054" showDropDown="0" showInputMessage="0" showErrorMessage="0" allowBlank="0" type="list">
      <formula1>"Pauschale,Nachweis,Unbekannt"</formula1>
    </dataValidation>
    <dataValidation sqref="C5055" showDropDown="0" showInputMessage="0" showErrorMessage="0" allowBlank="0" type="list">
      <formula1>"Pauschale,Nachweis,Unbekannt"</formula1>
    </dataValidation>
    <dataValidation sqref="C5056" showDropDown="0" showInputMessage="0" showErrorMessage="0" allowBlank="0" type="list">
      <formula1>"Pauschale,Nachweis,Unbekannt"</formula1>
    </dataValidation>
    <dataValidation sqref="C5057" showDropDown="0" showInputMessage="0" showErrorMessage="0" allowBlank="0" type="list">
      <formula1>"Pauschale,Nachweis,Unbekannt"</formula1>
    </dataValidation>
    <dataValidation sqref="C5058" showDropDown="0" showInputMessage="0" showErrorMessage="0" allowBlank="0" type="list">
      <formula1>"Pauschale,Nachweis,Unbekannt"</formula1>
    </dataValidation>
    <dataValidation sqref="C5059" showDropDown="0" showInputMessage="0" showErrorMessage="0" allowBlank="0" type="list">
      <formula1>"Pauschale,Nachweis,Unbekannt"</formula1>
    </dataValidation>
    <dataValidation sqref="C5060" showDropDown="0" showInputMessage="0" showErrorMessage="0" allowBlank="0" type="list">
      <formula1>"Pauschale,Nachweis,Unbekannt"</formula1>
    </dataValidation>
    <dataValidation sqref="C5061" showDropDown="0" showInputMessage="0" showErrorMessage="0" allowBlank="0" type="list">
      <formula1>"Pauschale,Nachweis,Unbekannt"</formula1>
    </dataValidation>
    <dataValidation sqref="C5062" showDropDown="0" showInputMessage="0" showErrorMessage="0" allowBlank="0" type="list">
      <formula1>"Pauschale,Nachweis,Unbekannt"</formula1>
    </dataValidation>
    <dataValidation sqref="C5063" showDropDown="0" showInputMessage="0" showErrorMessage="0" allowBlank="0" type="list">
      <formula1>"Pauschale,Nachweis,Unbekannt"</formula1>
    </dataValidation>
    <dataValidation sqref="C5064" showDropDown="0" showInputMessage="0" showErrorMessage="0" allowBlank="0" type="list">
      <formula1>"Pauschale,Nachweis,Unbekannt"</formula1>
    </dataValidation>
    <dataValidation sqref="C5065" showDropDown="0" showInputMessage="0" showErrorMessage="0" allowBlank="0" type="list">
      <formula1>"Pauschale,Nachweis,Unbekannt"</formula1>
    </dataValidation>
    <dataValidation sqref="C5066" showDropDown="0" showInputMessage="0" showErrorMessage="0" allowBlank="0" type="list">
      <formula1>"Pauschale,Nachweis,Unbekannt"</formula1>
    </dataValidation>
    <dataValidation sqref="C5067" showDropDown="0" showInputMessage="0" showErrorMessage="0" allowBlank="0" type="list">
      <formula1>"Pauschale,Nachweis,Unbekannt"</formula1>
    </dataValidation>
    <dataValidation sqref="C5068" showDropDown="0" showInputMessage="0" showErrorMessage="0" allowBlank="0" type="list">
      <formula1>"Pauschale,Nachweis,Unbekannt"</formula1>
    </dataValidation>
    <dataValidation sqref="C5069" showDropDown="0" showInputMessage="0" showErrorMessage="0" allowBlank="0" type="list">
      <formula1>"Pauschale,Nachweis,Unbekannt"</formula1>
    </dataValidation>
    <dataValidation sqref="C5070" showDropDown="0" showInputMessage="0" showErrorMessage="0" allowBlank="0" type="list">
      <formula1>"Pauschale,Nachweis,Unbekannt"</formula1>
    </dataValidation>
    <dataValidation sqref="C5071" showDropDown="0" showInputMessage="0" showErrorMessage="0" allowBlank="0" type="list">
      <formula1>"Pauschale,Nachweis,Unbekannt"</formula1>
    </dataValidation>
    <dataValidation sqref="C5072" showDropDown="0" showInputMessage="0" showErrorMessage="0" allowBlank="0" type="list">
      <formula1>"Pauschale,Nachweis,Unbekannt"</formula1>
    </dataValidation>
    <dataValidation sqref="C5073" showDropDown="0" showInputMessage="0" showErrorMessage="0" allowBlank="0" type="list">
      <formula1>"Pauschale,Nachweis,Unbekannt"</formula1>
    </dataValidation>
    <dataValidation sqref="C5074" showDropDown="0" showInputMessage="0" showErrorMessage="0" allowBlank="0" type="list">
      <formula1>"Pauschale,Nachweis,Unbekannt"</formula1>
    </dataValidation>
    <dataValidation sqref="C5075" showDropDown="0" showInputMessage="0" showErrorMessage="0" allowBlank="0" type="list">
      <formula1>"Pauschale,Nachweis,Unbekannt"</formula1>
    </dataValidation>
    <dataValidation sqref="C5076" showDropDown="0" showInputMessage="0" showErrorMessage="0" allowBlank="0" type="list">
      <formula1>"Pauschale,Nachweis,Unbekannt"</formula1>
    </dataValidation>
    <dataValidation sqref="C5077" showDropDown="0" showInputMessage="0" showErrorMessage="0" allowBlank="0" type="list">
      <formula1>"Pauschale,Nachweis,Unbekannt"</formula1>
    </dataValidation>
    <dataValidation sqref="C5078" showDropDown="0" showInputMessage="0" showErrorMessage="0" allowBlank="0" type="list">
      <formula1>"Pauschale,Nachweis,Unbekannt"</formula1>
    </dataValidation>
    <dataValidation sqref="C5079" showDropDown="0" showInputMessage="0" showErrorMessage="0" allowBlank="0" type="list">
      <formula1>"Pauschale,Nachweis,Unbekannt"</formula1>
    </dataValidation>
    <dataValidation sqref="C5080" showDropDown="0" showInputMessage="0" showErrorMessage="0" allowBlank="0" type="list">
      <formula1>"Pauschale,Nachweis,Unbekannt"</formula1>
    </dataValidation>
    <dataValidation sqref="C5081" showDropDown="0" showInputMessage="0" showErrorMessage="0" allowBlank="0" type="list">
      <formula1>"Pauschale,Nachweis,Unbekannt"</formula1>
    </dataValidation>
    <dataValidation sqref="C5082" showDropDown="0" showInputMessage="0" showErrorMessage="0" allowBlank="0" type="list">
      <formula1>"Pauschale,Nachweis,Unbekannt"</formula1>
    </dataValidation>
    <dataValidation sqref="C5083" showDropDown="0" showInputMessage="0" showErrorMessage="0" allowBlank="0" type="list">
      <formula1>"Pauschale,Nachweis,Unbekannt"</formula1>
    </dataValidation>
    <dataValidation sqref="C5084" showDropDown="0" showInputMessage="0" showErrorMessage="0" allowBlank="0" type="list">
      <formula1>"Pauschale,Nachweis,Unbekannt"</formula1>
    </dataValidation>
    <dataValidation sqref="C5085" showDropDown="0" showInputMessage="0" showErrorMessage="0" allowBlank="0" type="list">
      <formula1>"Pauschale,Nachweis,Unbekannt"</formula1>
    </dataValidation>
    <dataValidation sqref="C5086" showDropDown="0" showInputMessage="0" showErrorMessage="0" allowBlank="0" type="list">
      <formula1>"Pauschale,Nachweis,Unbekannt"</formula1>
    </dataValidation>
    <dataValidation sqref="C5087" showDropDown="0" showInputMessage="0" showErrorMessage="0" allowBlank="0" type="list">
      <formula1>"Pauschale,Nachweis,Unbekannt"</formula1>
    </dataValidation>
    <dataValidation sqref="C5088" showDropDown="0" showInputMessage="0" showErrorMessage="0" allowBlank="0" type="list">
      <formula1>"Pauschale,Nachweis,Unbekannt"</formula1>
    </dataValidation>
    <dataValidation sqref="C5089" showDropDown="0" showInputMessage="0" showErrorMessage="0" allowBlank="0" type="list">
      <formula1>"Pauschale,Nachweis,Unbekannt"</formula1>
    </dataValidation>
    <dataValidation sqref="C5090" showDropDown="0" showInputMessage="0" showErrorMessage="0" allowBlank="0" type="list">
      <formula1>"Pauschale,Nachweis,Unbekannt"</formula1>
    </dataValidation>
    <dataValidation sqref="C5091" showDropDown="0" showInputMessage="0" showErrorMessage="0" allowBlank="0" type="list">
      <formula1>"Pauschale,Nachweis,Unbekannt"</formula1>
    </dataValidation>
    <dataValidation sqref="C5092" showDropDown="0" showInputMessage="0" showErrorMessage="0" allowBlank="0" type="list">
      <formula1>"Pauschale,Nachweis,Unbekannt"</formula1>
    </dataValidation>
    <dataValidation sqref="C5093" showDropDown="0" showInputMessage="0" showErrorMessage="0" allowBlank="0" type="list">
      <formula1>"Pauschale,Nachweis,Unbekannt"</formula1>
    </dataValidation>
    <dataValidation sqref="C5094" showDropDown="0" showInputMessage="0" showErrorMessage="0" allowBlank="0" type="list">
      <formula1>"Pauschale,Nachweis,Unbekannt"</formula1>
    </dataValidation>
    <dataValidation sqref="C5095" showDropDown="0" showInputMessage="0" showErrorMessage="0" allowBlank="0" type="list">
      <formula1>"Pauschale,Nachweis,Unbekannt"</formula1>
    </dataValidation>
    <dataValidation sqref="C5096" showDropDown="0" showInputMessage="0" showErrorMessage="0" allowBlank="0" type="list">
      <formula1>"Pauschale,Nachweis,Unbekannt"</formula1>
    </dataValidation>
    <dataValidation sqref="C5097" showDropDown="0" showInputMessage="0" showErrorMessage="0" allowBlank="0" type="list">
      <formula1>"Pauschale,Nachweis,Unbekannt"</formula1>
    </dataValidation>
    <dataValidation sqref="C5098" showDropDown="0" showInputMessage="0" showErrorMessage="0" allowBlank="0" type="list">
      <formula1>"Pauschale,Nachweis,Unbekannt"</formula1>
    </dataValidation>
    <dataValidation sqref="C5099" showDropDown="0" showInputMessage="0" showErrorMessage="0" allowBlank="0" type="list">
      <formula1>"Pauschale,Nachweis,Unbekannt"</formula1>
    </dataValidation>
    <dataValidation sqref="C5100" showDropDown="0" showInputMessage="0" showErrorMessage="0" allowBlank="0" type="list">
      <formula1>"Pauschale,Nachweis,Unbekannt"</formula1>
    </dataValidation>
    <dataValidation sqref="C5101" showDropDown="0" showInputMessage="0" showErrorMessage="0" allowBlank="0" type="list">
      <formula1>"Pauschale,Nachweis,Unbekannt"</formula1>
    </dataValidation>
    <dataValidation sqref="C5102" showDropDown="0" showInputMessage="0" showErrorMessage="0" allowBlank="0" type="list">
      <formula1>"Pauschale,Nachweis,Unbekannt"</formula1>
    </dataValidation>
    <dataValidation sqref="C5103" showDropDown="0" showInputMessage="0" showErrorMessage="0" allowBlank="0" type="list">
      <formula1>"Pauschale,Nachweis,Unbekannt"</formula1>
    </dataValidation>
    <dataValidation sqref="C5104" showDropDown="0" showInputMessage="0" showErrorMessage="0" allowBlank="0" type="list">
      <formula1>"Pauschale,Nachweis,Unbekannt"</formula1>
    </dataValidation>
    <dataValidation sqref="C5105" showDropDown="0" showInputMessage="0" showErrorMessage="0" allowBlank="0" type="list">
      <formula1>"Pauschale,Nachweis,Unbekannt"</formula1>
    </dataValidation>
    <dataValidation sqref="C5106" showDropDown="0" showInputMessage="0" showErrorMessage="0" allowBlank="0" type="list">
      <formula1>"Pauschale,Nachweis,Unbekannt"</formula1>
    </dataValidation>
    <dataValidation sqref="C5107" showDropDown="0" showInputMessage="0" showErrorMessage="0" allowBlank="0" type="list">
      <formula1>"Pauschale,Nachweis,Unbekannt"</formula1>
    </dataValidation>
    <dataValidation sqref="C5108" showDropDown="0" showInputMessage="0" showErrorMessage="0" allowBlank="0" type="list">
      <formula1>"Pauschale,Nachweis,Unbekannt"</formula1>
    </dataValidation>
    <dataValidation sqref="C5109" showDropDown="0" showInputMessage="0" showErrorMessage="0" allowBlank="0" type="list">
      <formula1>"Pauschale,Nachweis,Unbekannt"</formula1>
    </dataValidation>
    <dataValidation sqref="C5110" showDropDown="0" showInputMessage="0" showErrorMessage="0" allowBlank="0" type="list">
      <formula1>"Pauschale,Nachweis,Unbekannt"</formula1>
    </dataValidation>
    <dataValidation sqref="C5111" showDropDown="0" showInputMessage="0" showErrorMessage="0" allowBlank="0" type="list">
      <formula1>"Pauschale,Nachweis,Unbekannt"</formula1>
    </dataValidation>
    <dataValidation sqref="C5112" showDropDown="0" showInputMessage="0" showErrorMessage="0" allowBlank="0" type="list">
      <formula1>"Pauschale,Nachweis,Unbekannt"</formula1>
    </dataValidation>
    <dataValidation sqref="C5113" showDropDown="0" showInputMessage="0" showErrorMessage="0" allowBlank="0" type="list">
      <formula1>"Pauschale,Nachweis,Unbekannt"</formula1>
    </dataValidation>
    <dataValidation sqref="C5114" showDropDown="0" showInputMessage="0" showErrorMessage="0" allowBlank="0" type="list">
      <formula1>"Pauschale,Nachweis,Unbekannt"</formula1>
    </dataValidation>
    <dataValidation sqref="C5115" showDropDown="0" showInputMessage="0" showErrorMessage="0" allowBlank="0" type="list">
      <formula1>"Pauschale,Nachweis,Unbekannt"</formula1>
    </dataValidation>
    <dataValidation sqref="C5116" showDropDown="0" showInputMessage="0" showErrorMessage="0" allowBlank="0" type="list">
      <formula1>"Pauschale,Nachweis,Unbekannt"</formula1>
    </dataValidation>
    <dataValidation sqref="C5117" showDropDown="0" showInputMessage="0" showErrorMessage="0" allowBlank="0" type="list">
      <formula1>"Pauschale,Nachweis,Unbekannt"</formula1>
    </dataValidation>
    <dataValidation sqref="C5118" showDropDown="0" showInputMessage="0" showErrorMessage="0" allowBlank="0" type="list">
      <formula1>"Pauschale,Nachweis,Unbekannt"</formula1>
    </dataValidation>
    <dataValidation sqref="C5119" showDropDown="0" showInputMessage="0" showErrorMessage="0" allowBlank="0" type="list">
      <formula1>"Pauschale,Nachweis,Unbekannt"</formula1>
    </dataValidation>
    <dataValidation sqref="C5120" showDropDown="0" showInputMessage="0" showErrorMessage="0" allowBlank="0" type="list">
      <formula1>"Pauschale,Nachweis,Unbekannt"</formula1>
    </dataValidation>
    <dataValidation sqref="C5121" showDropDown="0" showInputMessage="0" showErrorMessage="0" allowBlank="0" type="list">
      <formula1>"Pauschale,Nachweis,Unbekannt"</formula1>
    </dataValidation>
    <dataValidation sqref="C5122" showDropDown="0" showInputMessage="0" showErrorMessage="0" allowBlank="0" type="list">
      <formula1>"Pauschale,Nachweis,Unbekannt"</formula1>
    </dataValidation>
    <dataValidation sqref="C5123" showDropDown="0" showInputMessage="0" showErrorMessage="0" allowBlank="0" type="list">
      <formula1>"Pauschale,Nachweis,Unbekannt"</formula1>
    </dataValidation>
    <dataValidation sqref="C5124" showDropDown="0" showInputMessage="0" showErrorMessage="0" allowBlank="0" type="list">
      <formula1>"Pauschale,Nachweis,Unbekannt"</formula1>
    </dataValidation>
    <dataValidation sqref="C5125" showDropDown="0" showInputMessage="0" showErrorMessage="0" allowBlank="0" type="list">
      <formula1>"Pauschale,Nachweis,Unbekannt"</formula1>
    </dataValidation>
    <dataValidation sqref="C5126" showDropDown="0" showInputMessage="0" showErrorMessage="0" allowBlank="0" type="list">
      <formula1>"Pauschale,Nachweis,Unbekannt"</formula1>
    </dataValidation>
    <dataValidation sqref="C5127" showDropDown="0" showInputMessage="0" showErrorMessage="0" allowBlank="0" type="list">
      <formula1>"Pauschale,Nachweis,Unbekannt"</formula1>
    </dataValidation>
    <dataValidation sqref="C5128" showDropDown="0" showInputMessage="0" showErrorMessage="0" allowBlank="0" type="list">
      <formula1>"Pauschale,Nachweis,Unbekannt"</formula1>
    </dataValidation>
    <dataValidation sqref="C5129" showDropDown="0" showInputMessage="0" showErrorMessage="0" allowBlank="0" type="list">
      <formula1>"Pauschale,Nachweis,Unbekannt"</formula1>
    </dataValidation>
    <dataValidation sqref="C5130" showDropDown="0" showInputMessage="0" showErrorMessage="0" allowBlank="0" type="list">
      <formula1>"Pauschale,Nachweis,Unbekannt"</formula1>
    </dataValidation>
    <dataValidation sqref="C5131" showDropDown="0" showInputMessage="0" showErrorMessage="0" allowBlank="0" type="list">
      <formula1>"Pauschale,Nachweis,Unbekannt"</formula1>
    </dataValidation>
    <dataValidation sqref="C5132" showDropDown="0" showInputMessage="0" showErrorMessage="0" allowBlank="0" type="list">
      <formula1>"Pauschale,Nachweis,Unbekannt"</formula1>
    </dataValidation>
    <dataValidation sqref="C5133" showDropDown="0" showInputMessage="0" showErrorMessage="0" allowBlank="0" type="list">
      <formula1>"Pauschale,Nachweis,Unbekannt"</formula1>
    </dataValidation>
    <dataValidation sqref="C5134" showDropDown="0" showInputMessage="0" showErrorMessage="0" allowBlank="0" type="list">
      <formula1>"Pauschale,Nachweis,Unbekannt"</formula1>
    </dataValidation>
    <dataValidation sqref="C5135" showDropDown="0" showInputMessage="0" showErrorMessage="0" allowBlank="0" type="list">
      <formula1>"Pauschale,Nachweis,Unbekannt"</formula1>
    </dataValidation>
    <dataValidation sqref="C5136" showDropDown="0" showInputMessage="0" showErrorMessage="0" allowBlank="0" type="list">
      <formula1>"Pauschale,Nachweis,Unbekannt"</formula1>
    </dataValidation>
    <dataValidation sqref="C5137" showDropDown="0" showInputMessage="0" showErrorMessage="0" allowBlank="0" type="list">
      <formula1>"Pauschale,Nachweis,Unbekannt"</formula1>
    </dataValidation>
    <dataValidation sqref="C5138" showDropDown="0" showInputMessage="0" showErrorMessage="0" allowBlank="0" type="list">
      <formula1>"Pauschale,Nachweis,Unbekannt"</formula1>
    </dataValidation>
    <dataValidation sqref="C5139" showDropDown="0" showInputMessage="0" showErrorMessage="0" allowBlank="0" type="list">
      <formula1>"Pauschale,Nachweis,Unbekannt"</formula1>
    </dataValidation>
    <dataValidation sqref="C5140" showDropDown="0" showInputMessage="0" showErrorMessage="0" allowBlank="0" type="list">
      <formula1>"Pauschale,Nachweis,Unbekannt"</formula1>
    </dataValidation>
    <dataValidation sqref="C5141" showDropDown="0" showInputMessage="0" showErrorMessage="0" allowBlank="0" type="list">
      <formula1>"Pauschale,Nachweis,Unbekannt"</formula1>
    </dataValidation>
    <dataValidation sqref="C5142" showDropDown="0" showInputMessage="0" showErrorMessage="0" allowBlank="0" type="list">
      <formula1>"Pauschale,Nachweis,Unbekannt"</formula1>
    </dataValidation>
    <dataValidation sqref="C5143" showDropDown="0" showInputMessage="0" showErrorMessage="0" allowBlank="0" type="list">
      <formula1>"Pauschale,Nachweis,Unbekannt"</formula1>
    </dataValidation>
    <dataValidation sqref="C5144" showDropDown="0" showInputMessage="0" showErrorMessage="0" allowBlank="0" type="list">
      <formula1>"Pauschale,Nachweis,Unbekannt"</formula1>
    </dataValidation>
    <dataValidation sqref="C5145" showDropDown="0" showInputMessage="0" showErrorMessage="0" allowBlank="0" type="list">
      <formula1>"Pauschale,Nachweis,Unbekannt"</formula1>
    </dataValidation>
    <dataValidation sqref="C5146" showDropDown="0" showInputMessage="0" showErrorMessage="0" allowBlank="0" type="list">
      <formula1>"Pauschale,Nachweis,Unbekannt"</formula1>
    </dataValidation>
    <dataValidation sqref="C5147" showDropDown="0" showInputMessage="0" showErrorMessage="0" allowBlank="0" type="list">
      <formula1>"Pauschale,Nachweis,Unbekannt"</formula1>
    </dataValidation>
    <dataValidation sqref="C5148" showDropDown="0" showInputMessage="0" showErrorMessage="0" allowBlank="0" type="list">
      <formula1>"Pauschale,Nachweis,Unbekannt"</formula1>
    </dataValidation>
    <dataValidation sqref="C5149" showDropDown="0" showInputMessage="0" showErrorMessage="0" allowBlank="0" type="list">
      <formula1>"Pauschale,Nachweis,Unbekannt"</formula1>
    </dataValidation>
    <dataValidation sqref="C5150" showDropDown="0" showInputMessage="0" showErrorMessage="0" allowBlank="0" type="list">
      <formula1>"Pauschale,Nachweis,Unbekannt"</formula1>
    </dataValidation>
    <dataValidation sqref="C5151" showDropDown="0" showInputMessage="0" showErrorMessage="0" allowBlank="0" type="list">
      <formula1>"Pauschale,Nachweis,Unbekannt"</formula1>
    </dataValidation>
    <dataValidation sqref="C5152" showDropDown="0" showInputMessage="0" showErrorMessage="0" allowBlank="0" type="list">
      <formula1>"Pauschale,Nachweis,Unbekannt"</formula1>
    </dataValidation>
    <dataValidation sqref="C5153" showDropDown="0" showInputMessage="0" showErrorMessage="0" allowBlank="0" type="list">
      <formula1>"Pauschale,Nachweis,Unbekannt"</formula1>
    </dataValidation>
    <dataValidation sqref="C5154" showDropDown="0" showInputMessage="0" showErrorMessage="0" allowBlank="0" type="list">
      <formula1>"Pauschale,Nachweis,Unbekannt"</formula1>
    </dataValidation>
    <dataValidation sqref="C5155" showDropDown="0" showInputMessage="0" showErrorMessage="0" allowBlank="0" type="list">
      <formula1>"Pauschale,Nachweis,Unbekannt"</formula1>
    </dataValidation>
    <dataValidation sqref="C5156" showDropDown="0" showInputMessage="0" showErrorMessage="0" allowBlank="0" type="list">
      <formula1>"Pauschale,Nachweis,Unbekannt"</formula1>
    </dataValidation>
    <dataValidation sqref="C5157" showDropDown="0" showInputMessage="0" showErrorMessage="0" allowBlank="0" type="list">
      <formula1>"Pauschale,Nachweis,Unbekannt"</formula1>
    </dataValidation>
    <dataValidation sqref="C5158" showDropDown="0" showInputMessage="0" showErrorMessage="0" allowBlank="0" type="list">
      <formula1>"Pauschale,Nachweis,Unbekannt"</formula1>
    </dataValidation>
    <dataValidation sqref="C5159" showDropDown="0" showInputMessage="0" showErrorMessage="0" allowBlank="0" type="list">
      <formula1>"Pauschale,Nachweis,Unbekannt"</formula1>
    </dataValidation>
    <dataValidation sqref="C5160" showDropDown="0" showInputMessage="0" showErrorMessage="0" allowBlank="0" type="list">
      <formula1>"Pauschale,Nachweis,Unbekannt"</formula1>
    </dataValidation>
    <dataValidation sqref="C5161" showDropDown="0" showInputMessage="0" showErrorMessage="0" allowBlank="0" type="list">
      <formula1>"Pauschale,Nachweis,Unbekannt"</formula1>
    </dataValidation>
    <dataValidation sqref="C5162" showDropDown="0" showInputMessage="0" showErrorMessage="0" allowBlank="0" type="list">
      <formula1>"Pauschale,Nachweis,Unbekannt"</formula1>
    </dataValidation>
    <dataValidation sqref="C5163" showDropDown="0" showInputMessage="0" showErrorMessage="0" allowBlank="0" type="list">
      <formula1>"Pauschale,Nachweis,Unbekannt"</formula1>
    </dataValidation>
    <dataValidation sqref="C5164" showDropDown="0" showInputMessage="0" showErrorMessage="0" allowBlank="0" type="list">
      <formula1>"Pauschale,Nachweis,Unbekannt"</formula1>
    </dataValidation>
    <dataValidation sqref="C5165" showDropDown="0" showInputMessage="0" showErrorMessage="0" allowBlank="0" type="list">
      <formula1>"Pauschale,Nachweis,Unbekannt"</formula1>
    </dataValidation>
    <dataValidation sqref="C5166" showDropDown="0" showInputMessage="0" showErrorMessage="0" allowBlank="0" type="list">
      <formula1>"Pauschale,Nachweis,Unbekannt"</formula1>
    </dataValidation>
    <dataValidation sqref="C5167" showDropDown="0" showInputMessage="0" showErrorMessage="0" allowBlank="0" type="list">
      <formula1>"Pauschale,Nachweis,Unbekannt"</formula1>
    </dataValidation>
    <dataValidation sqref="C5168" showDropDown="0" showInputMessage="0" showErrorMessage="0" allowBlank="0" type="list">
      <formula1>"Pauschale,Nachweis,Unbekannt"</formula1>
    </dataValidation>
    <dataValidation sqref="C5169" showDropDown="0" showInputMessage="0" showErrorMessage="0" allowBlank="0" type="list">
      <formula1>"Pauschale,Nachweis,Unbekannt"</formula1>
    </dataValidation>
    <dataValidation sqref="C5170" showDropDown="0" showInputMessage="0" showErrorMessage="0" allowBlank="0" type="list">
      <formula1>"Pauschale,Nachweis,Unbekannt"</formula1>
    </dataValidation>
    <dataValidation sqref="C5171" showDropDown="0" showInputMessage="0" showErrorMessage="0" allowBlank="0" type="list">
      <formula1>"Pauschale,Nachweis,Unbekannt"</formula1>
    </dataValidation>
    <dataValidation sqref="C5172" showDropDown="0" showInputMessage="0" showErrorMessage="0" allowBlank="0" type="list">
      <formula1>"Pauschale,Nachweis,Unbekannt"</formula1>
    </dataValidation>
    <dataValidation sqref="C5173" showDropDown="0" showInputMessage="0" showErrorMessage="0" allowBlank="0" type="list">
      <formula1>"Pauschale,Nachweis,Unbekannt"</formula1>
    </dataValidation>
    <dataValidation sqref="C5174" showDropDown="0" showInputMessage="0" showErrorMessage="0" allowBlank="0" type="list">
      <formula1>"Pauschale,Nachweis,Unbekannt"</formula1>
    </dataValidation>
    <dataValidation sqref="C5175" showDropDown="0" showInputMessage="0" showErrorMessage="0" allowBlank="0" type="list">
      <formula1>"Pauschale,Nachweis,Unbekannt"</formula1>
    </dataValidation>
    <dataValidation sqref="C5176" showDropDown="0" showInputMessage="0" showErrorMessage="0" allowBlank="0" type="list">
      <formula1>"Pauschale,Nachweis,Unbekannt"</formula1>
    </dataValidation>
    <dataValidation sqref="C5177" showDropDown="0" showInputMessage="0" showErrorMessage="0" allowBlank="0" type="list">
      <formula1>"Pauschale,Nachweis,Unbekannt"</formula1>
    </dataValidation>
    <dataValidation sqref="C5178" showDropDown="0" showInputMessage="0" showErrorMessage="0" allowBlank="0" type="list">
      <formula1>"Pauschale,Nachweis,Unbekannt"</formula1>
    </dataValidation>
    <dataValidation sqref="C5179" showDropDown="0" showInputMessage="0" showErrorMessage="0" allowBlank="0" type="list">
      <formula1>"Pauschale,Nachweis,Unbekannt"</formula1>
    </dataValidation>
    <dataValidation sqref="C5180" showDropDown="0" showInputMessage="0" showErrorMessage="0" allowBlank="0" type="list">
      <formula1>"Pauschale,Nachweis,Unbekannt"</formula1>
    </dataValidation>
    <dataValidation sqref="C5181" showDropDown="0" showInputMessage="0" showErrorMessage="0" allowBlank="0" type="list">
      <formula1>"Pauschale,Nachweis,Unbekannt"</formula1>
    </dataValidation>
    <dataValidation sqref="C5182" showDropDown="0" showInputMessage="0" showErrorMessage="0" allowBlank="0" type="list">
      <formula1>"Pauschale,Nachweis,Unbekannt"</formula1>
    </dataValidation>
    <dataValidation sqref="C5183" showDropDown="0" showInputMessage="0" showErrorMessage="0" allowBlank="0" type="list">
      <formula1>"Pauschale,Nachweis,Unbekannt"</formula1>
    </dataValidation>
    <dataValidation sqref="C5184" showDropDown="0" showInputMessage="0" showErrorMessage="0" allowBlank="0" type="list">
      <formula1>"Pauschale,Nachweis,Unbekannt"</formula1>
    </dataValidation>
    <dataValidation sqref="C5185" showDropDown="0" showInputMessage="0" showErrorMessage="0" allowBlank="0" type="list">
      <formula1>"Pauschale,Nachweis,Unbekannt"</formula1>
    </dataValidation>
    <dataValidation sqref="C5186" showDropDown="0" showInputMessage="0" showErrorMessage="0" allowBlank="0" type="list">
      <formula1>"Pauschale,Nachweis,Unbekannt"</formula1>
    </dataValidation>
    <dataValidation sqref="C5187" showDropDown="0" showInputMessage="0" showErrorMessage="0" allowBlank="0" type="list">
      <formula1>"Pauschale,Nachweis,Unbekannt"</formula1>
    </dataValidation>
    <dataValidation sqref="C5188" showDropDown="0" showInputMessage="0" showErrorMessage="0" allowBlank="0" type="list">
      <formula1>"Pauschale,Nachweis,Unbekannt"</formula1>
    </dataValidation>
    <dataValidation sqref="C5189" showDropDown="0" showInputMessage="0" showErrorMessage="0" allowBlank="0" type="list">
      <formula1>"Pauschale,Nachweis,Unbekannt"</formula1>
    </dataValidation>
    <dataValidation sqref="C5190" showDropDown="0" showInputMessage="0" showErrorMessage="0" allowBlank="0" type="list">
      <formula1>"Pauschale,Nachweis,Unbekannt"</formula1>
    </dataValidation>
    <dataValidation sqref="C5191" showDropDown="0" showInputMessage="0" showErrorMessage="0" allowBlank="0" type="list">
      <formula1>"Pauschale,Nachweis,Unbekannt"</formula1>
    </dataValidation>
    <dataValidation sqref="C5192" showDropDown="0" showInputMessage="0" showErrorMessage="0" allowBlank="0" type="list">
      <formula1>"Pauschale,Nachweis,Unbekannt"</formula1>
    </dataValidation>
    <dataValidation sqref="C5193" showDropDown="0" showInputMessage="0" showErrorMessage="0" allowBlank="0" type="list">
      <formula1>"Pauschale,Nachweis,Unbekannt"</formula1>
    </dataValidation>
    <dataValidation sqref="C5194" showDropDown="0" showInputMessage="0" showErrorMessage="0" allowBlank="0" type="list">
      <formula1>"Pauschale,Nachweis,Unbekannt"</formula1>
    </dataValidation>
    <dataValidation sqref="C5195" showDropDown="0" showInputMessage="0" showErrorMessage="0" allowBlank="0" type="list">
      <formula1>"Pauschale,Nachweis,Unbekannt"</formula1>
    </dataValidation>
    <dataValidation sqref="C5196" showDropDown="0" showInputMessage="0" showErrorMessage="0" allowBlank="0" type="list">
      <formula1>"Pauschale,Nachweis,Unbekannt"</formula1>
    </dataValidation>
    <dataValidation sqref="C5197" showDropDown="0" showInputMessage="0" showErrorMessage="0" allowBlank="0" type="list">
      <formula1>"Pauschale,Nachweis,Unbekannt"</formula1>
    </dataValidation>
    <dataValidation sqref="C5198" showDropDown="0" showInputMessage="0" showErrorMessage="0" allowBlank="0" type="list">
      <formula1>"Pauschale,Nachweis,Unbekannt"</formula1>
    </dataValidation>
    <dataValidation sqref="C5199" showDropDown="0" showInputMessage="0" showErrorMessage="0" allowBlank="0" type="list">
      <formula1>"Pauschale,Nachweis,Unbekannt"</formula1>
    </dataValidation>
    <dataValidation sqref="C5200" showDropDown="0" showInputMessage="0" showErrorMessage="0" allowBlank="0" type="list">
      <formula1>"Pauschale,Nachweis,Unbekannt"</formula1>
    </dataValidation>
    <dataValidation sqref="C5201" showDropDown="0" showInputMessage="0" showErrorMessage="0" allowBlank="0" type="list">
      <formula1>"Pauschale,Nachweis,Unbekannt"</formula1>
    </dataValidation>
    <dataValidation sqref="C5202" showDropDown="0" showInputMessage="0" showErrorMessage="0" allowBlank="0" type="list">
      <formula1>"Pauschale,Nachweis,Unbekannt"</formula1>
    </dataValidation>
    <dataValidation sqref="C5203" showDropDown="0" showInputMessage="0" showErrorMessage="0" allowBlank="0" type="list">
      <formula1>"Pauschale,Nachweis,Unbekannt"</formula1>
    </dataValidation>
    <dataValidation sqref="C5204" showDropDown="0" showInputMessage="0" showErrorMessage="0" allowBlank="0" type="list">
      <formula1>"Pauschale,Nachweis,Unbekannt"</formula1>
    </dataValidation>
    <dataValidation sqref="C5205" showDropDown="0" showInputMessage="0" showErrorMessage="0" allowBlank="0" type="list">
      <formula1>"Pauschale,Nachweis,Unbekannt"</formula1>
    </dataValidation>
    <dataValidation sqref="C5206" showDropDown="0" showInputMessage="0" showErrorMessage="0" allowBlank="0" type="list">
      <formula1>"Pauschale,Nachweis,Unbekannt"</formula1>
    </dataValidation>
    <dataValidation sqref="C5207" showDropDown="0" showInputMessage="0" showErrorMessage="0" allowBlank="0" type="list">
      <formula1>"Pauschale,Nachweis,Unbekannt"</formula1>
    </dataValidation>
    <dataValidation sqref="C5208" showDropDown="0" showInputMessage="0" showErrorMessage="0" allowBlank="0" type="list">
      <formula1>"Pauschale,Nachweis,Unbekannt"</formula1>
    </dataValidation>
    <dataValidation sqref="C5209" showDropDown="0" showInputMessage="0" showErrorMessage="0" allowBlank="0" type="list">
      <formula1>"Pauschale,Nachweis,Unbekannt"</formula1>
    </dataValidation>
    <dataValidation sqref="C5210" showDropDown="0" showInputMessage="0" showErrorMessage="0" allowBlank="0" type="list">
      <formula1>"Pauschale,Nachweis,Unbekannt"</formula1>
    </dataValidation>
    <dataValidation sqref="C5211" showDropDown="0" showInputMessage="0" showErrorMessage="0" allowBlank="0" type="list">
      <formula1>"Pauschale,Nachweis,Unbekannt"</formula1>
    </dataValidation>
    <dataValidation sqref="C5212" showDropDown="0" showInputMessage="0" showErrorMessage="0" allowBlank="0" type="list">
      <formula1>"Pauschale,Nachweis,Unbekannt"</formula1>
    </dataValidation>
    <dataValidation sqref="C5213" showDropDown="0" showInputMessage="0" showErrorMessage="0" allowBlank="0" type="list">
      <formula1>"Pauschale,Nachweis,Unbekannt"</formula1>
    </dataValidation>
    <dataValidation sqref="C5214" showDropDown="0" showInputMessage="0" showErrorMessage="0" allowBlank="0" type="list">
      <formula1>"Pauschale,Nachweis,Unbekannt"</formula1>
    </dataValidation>
    <dataValidation sqref="C5215" showDropDown="0" showInputMessage="0" showErrorMessage="0" allowBlank="0" type="list">
      <formula1>"Pauschale,Nachweis,Unbekannt"</formula1>
    </dataValidation>
    <dataValidation sqref="C5216" showDropDown="0" showInputMessage="0" showErrorMessage="0" allowBlank="0" type="list">
      <formula1>"Pauschale,Nachweis,Unbekannt"</formula1>
    </dataValidation>
    <dataValidation sqref="C5217" showDropDown="0" showInputMessage="0" showErrorMessage="0" allowBlank="0" type="list">
      <formula1>"Pauschale,Nachweis,Unbekannt"</formula1>
    </dataValidation>
    <dataValidation sqref="C5218" showDropDown="0" showInputMessage="0" showErrorMessage="0" allowBlank="0" type="list">
      <formula1>"Pauschale,Nachweis,Unbekannt"</formula1>
    </dataValidation>
    <dataValidation sqref="C5219" showDropDown="0" showInputMessage="0" showErrorMessage="0" allowBlank="0" type="list">
      <formula1>"Pauschale,Nachweis,Unbekannt"</formula1>
    </dataValidation>
    <dataValidation sqref="C5220" showDropDown="0" showInputMessage="0" showErrorMessage="0" allowBlank="0" type="list">
      <formula1>"Pauschale,Nachweis,Unbekannt"</formula1>
    </dataValidation>
    <dataValidation sqref="C5221" showDropDown="0" showInputMessage="0" showErrorMessage="0" allowBlank="0" type="list">
      <formula1>"Pauschale,Nachweis,Unbekannt"</formula1>
    </dataValidation>
    <dataValidation sqref="C5222" showDropDown="0" showInputMessage="0" showErrorMessage="0" allowBlank="0" type="list">
      <formula1>"Pauschale,Nachweis,Unbekannt"</formula1>
    </dataValidation>
    <dataValidation sqref="C5223" showDropDown="0" showInputMessage="0" showErrorMessage="0" allowBlank="0" type="list">
      <formula1>"Pauschale,Nachweis,Unbekannt"</formula1>
    </dataValidation>
    <dataValidation sqref="C5224" showDropDown="0" showInputMessage="0" showErrorMessage="0" allowBlank="0" type="list">
      <formula1>"Pauschale,Nachweis,Unbekannt"</formula1>
    </dataValidation>
    <dataValidation sqref="C5225" showDropDown="0" showInputMessage="0" showErrorMessage="0" allowBlank="0" type="list">
      <formula1>"Pauschale,Nachweis,Unbekannt"</formula1>
    </dataValidation>
    <dataValidation sqref="C5226" showDropDown="0" showInputMessage="0" showErrorMessage="0" allowBlank="0" type="list">
      <formula1>"Pauschale,Nachweis,Unbekannt"</formula1>
    </dataValidation>
    <dataValidation sqref="C5227" showDropDown="0" showInputMessage="0" showErrorMessage="0" allowBlank="0" type="list">
      <formula1>"Pauschale,Nachweis,Unbekannt"</formula1>
    </dataValidation>
    <dataValidation sqref="C5228" showDropDown="0" showInputMessage="0" showErrorMessage="0" allowBlank="0" type="list">
      <formula1>"Pauschale,Nachweis,Unbekannt"</formula1>
    </dataValidation>
    <dataValidation sqref="C5229" showDropDown="0" showInputMessage="0" showErrorMessage="0" allowBlank="0" type="list">
      <formula1>"Pauschale,Nachweis,Unbekannt"</formula1>
    </dataValidation>
    <dataValidation sqref="C5230" showDropDown="0" showInputMessage="0" showErrorMessage="0" allowBlank="0" type="list">
      <formula1>"Pauschale,Nachweis,Unbekannt"</formula1>
    </dataValidation>
    <dataValidation sqref="C5231" showDropDown="0" showInputMessage="0" showErrorMessage="0" allowBlank="0" type="list">
      <formula1>"Pauschale,Nachweis,Unbekannt"</formula1>
    </dataValidation>
    <dataValidation sqref="C5232" showDropDown="0" showInputMessage="0" showErrorMessage="0" allowBlank="0" type="list">
      <formula1>"Pauschale,Nachweis,Unbekannt"</formula1>
    </dataValidation>
    <dataValidation sqref="C5233" showDropDown="0" showInputMessage="0" showErrorMessage="0" allowBlank="0" type="list">
      <formula1>"Pauschale,Nachweis,Unbekannt"</formula1>
    </dataValidation>
    <dataValidation sqref="C5234" showDropDown="0" showInputMessage="0" showErrorMessage="0" allowBlank="0" type="list">
      <formula1>"Pauschale,Nachweis,Unbekannt"</formula1>
    </dataValidation>
    <dataValidation sqref="C5235" showDropDown="0" showInputMessage="0" showErrorMessage="0" allowBlank="0" type="list">
      <formula1>"Pauschale,Nachweis,Unbekannt"</formula1>
    </dataValidation>
    <dataValidation sqref="C5236" showDropDown="0" showInputMessage="0" showErrorMessage="0" allowBlank="0" type="list">
      <formula1>"Pauschale,Nachweis,Unbekannt"</formula1>
    </dataValidation>
    <dataValidation sqref="C5237" showDropDown="0" showInputMessage="0" showErrorMessage="0" allowBlank="0" type="list">
      <formula1>"Pauschale,Nachweis,Unbekannt"</formula1>
    </dataValidation>
    <dataValidation sqref="C5238" showDropDown="0" showInputMessage="0" showErrorMessage="0" allowBlank="0" type="list">
      <formula1>"Pauschale,Nachweis,Unbekannt"</formula1>
    </dataValidation>
    <dataValidation sqref="C5239" showDropDown="0" showInputMessage="0" showErrorMessage="0" allowBlank="0" type="list">
      <formula1>"Pauschale,Nachweis,Unbekannt"</formula1>
    </dataValidation>
    <dataValidation sqref="C5240" showDropDown="0" showInputMessage="0" showErrorMessage="0" allowBlank="0" type="list">
      <formula1>"Pauschale,Nachweis,Unbekannt"</formula1>
    </dataValidation>
    <dataValidation sqref="C5241" showDropDown="0" showInputMessage="0" showErrorMessage="0" allowBlank="0" type="list">
      <formula1>"Pauschale,Nachweis,Unbekannt"</formula1>
    </dataValidation>
    <dataValidation sqref="C5242" showDropDown="0" showInputMessage="0" showErrorMessage="0" allowBlank="0" type="list">
      <formula1>"Pauschale,Nachweis,Unbekannt"</formula1>
    </dataValidation>
    <dataValidation sqref="C5243" showDropDown="0" showInputMessage="0" showErrorMessage="0" allowBlank="0" type="list">
      <formula1>"Pauschale,Nachweis,Unbekannt"</formula1>
    </dataValidation>
    <dataValidation sqref="C5244" showDropDown="0" showInputMessage="0" showErrorMessage="0" allowBlank="0" type="list">
      <formula1>"Pauschale,Nachweis,Unbekannt"</formula1>
    </dataValidation>
    <dataValidation sqref="C5245" showDropDown="0" showInputMessage="0" showErrorMessage="0" allowBlank="0" type="list">
      <formula1>"Pauschale,Nachweis,Unbekannt"</formula1>
    </dataValidation>
    <dataValidation sqref="C5246" showDropDown="0" showInputMessage="0" showErrorMessage="0" allowBlank="0" type="list">
      <formula1>"Pauschale,Nachweis,Unbekannt"</formula1>
    </dataValidation>
    <dataValidation sqref="C5247" showDropDown="0" showInputMessage="0" showErrorMessage="0" allowBlank="0" type="list">
      <formula1>"Pauschale,Nachweis,Unbekannt"</formula1>
    </dataValidation>
    <dataValidation sqref="C5248" showDropDown="0" showInputMessage="0" showErrorMessage="0" allowBlank="0" type="list">
      <formula1>"Pauschale,Nachweis,Unbekannt"</formula1>
    </dataValidation>
    <dataValidation sqref="C5249" showDropDown="0" showInputMessage="0" showErrorMessage="0" allowBlank="0" type="list">
      <formula1>"Pauschale,Nachweis,Unbekannt"</formula1>
    </dataValidation>
    <dataValidation sqref="C5250" showDropDown="0" showInputMessage="0" showErrorMessage="0" allowBlank="0" type="list">
      <formula1>"Pauschale,Nachweis,Unbekannt"</formula1>
    </dataValidation>
    <dataValidation sqref="C5251" showDropDown="0" showInputMessage="0" showErrorMessage="0" allowBlank="0" type="list">
      <formula1>"Pauschale,Nachweis,Unbekannt"</formula1>
    </dataValidation>
    <dataValidation sqref="C5252" showDropDown="0" showInputMessage="0" showErrorMessage="0" allowBlank="0" type="list">
      <formula1>"Pauschale,Nachweis,Unbekannt"</formula1>
    </dataValidation>
    <dataValidation sqref="C5253" showDropDown="0" showInputMessage="0" showErrorMessage="0" allowBlank="0" type="list">
      <formula1>"Pauschale,Nachweis,Unbekannt"</formula1>
    </dataValidation>
    <dataValidation sqref="C5254" showDropDown="0" showInputMessage="0" showErrorMessage="0" allowBlank="0" type="list">
      <formula1>"Pauschale,Nachweis,Unbekannt"</formula1>
    </dataValidation>
    <dataValidation sqref="C5255" showDropDown="0" showInputMessage="0" showErrorMessage="0" allowBlank="0" type="list">
      <formula1>"Pauschale,Nachweis,Unbekannt"</formula1>
    </dataValidation>
    <dataValidation sqref="C5256" showDropDown="0" showInputMessage="0" showErrorMessage="0" allowBlank="0" type="list">
      <formula1>"Pauschale,Nachweis,Unbekannt"</formula1>
    </dataValidation>
    <dataValidation sqref="C5257" showDropDown="0" showInputMessage="0" showErrorMessage="0" allowBlank="0" type="list">
      <formula1>"Pauschale,Nachweis,Unbekannt"</formula1>
    </dataValidation>
    <dataValidation sqref="C5258" showDropDown="0" showInputMessage="0" showErrorMessage="0" allowBlank="0" type="list">
      <formula1>"Pauschale,Nachweis,Unbekannt"</formula1>
    </dataValidation>
    <dataValidation sqref="C5259" showDropDown="0" showInputMessage="0" showErrorMessage="0" allowBlank="0" type="list">
      <formula1>"Pauschale,Nachweis,Unbekannt"</formula1>
    </dataValidation>
    <dataValidation sqref="C5260" showDropDown="0" showInputMessage="0" showErrorMessage="0" allowBlank="0" type="list">
      <formula1>"Pauschale,Nachweis,Unbekannt"</formula1>
    </dataValidation>
    <dataValidation sqref="C5261" showDropDown="0" showInputMessage="0" showErrorMessage="0" allowBlank="0" type="list">
      <formula1>"Pauschale,Nachweis,Unbekannt"</formula1>
    </dataValidation>
    <dataValidation sqref="C5262" showDropDown="0" showInputMessage="0" showErrorMessage="0" allowBlank="0" type="list">
      <formula1>"Pauschale,Nachweis,Unbekannt"</formula1>
    </dataValidation>
    <dataValidation sqref="C5263" showDropDown="0" showInputMessage="0" showErrorMessage="0" allowBlank="0" type="list">
      <formula1>"Pauschale,Nachweis,Unbekannt"</formula1>
    </dataValidation>
    <dataValidation sqref="C5264" showDropDown="0" showInputMessage="0" showErrorMessage="0" allowBlank="0" type="list">
      <formula1>"Pauschale,Nachweis,Unbekannt"</formula1>
    </dataValidation>
    <dataValidation sqref="C5265" showDropDown="0" showInputMessage="0" showErrorMessage="0" allowBlank="0" type="list">
      <formula1>"Pauschale,Nachweis,Unbekannt"</formula1>
    </dataValidation>
    <dataValidation sqref="C5266" showDropDown="0" showInputMessage="0" showErrorMessage="0" allowBlank="0" type="list">
      <formula1>"Pauschale,Nachweis,Unbekannt"</formula1>
    </dataValidation>
    <dataValidation sqref="C5267" showDropDown="0" showInputMessage="0" showErrorMessage="0" allowBlank="0" type="list">
      <formula1>"Pauschale,Nachweis,Unbekannt"</formula1>
    </dataValidation>
    <dataValidation sqref="C5268" showDropDown="0" showInputMessage="0" showErrorMessage="0" allowBlank="0" type="list">
      <formula1>"Pauschale,Nachweis,Unbekannt"</formula1>
    </dataValidation>
    <dataValidation sqref="C5269" showDropDown="0" showInputMessage="0" showErrorMessage="0" allowBlank="0" type="list">
      <formula1>"Pauschale,Nachweis,Unbekannt"</formula1>
    </dataValidation>
    <dataValidation sqref="C5270" showDropDown="0" showInputMessage="0" showErrorMessage="0" allowBlank="0" type="list">
      <formula1>"Pauschale,Nachweis,Unbekannt"</formula1>
    </dataValidation>
    <dataValidation sqref="C5271" showDropDown="0" showInputMessage="0" showErrorMessage="0" allowBlank="0" type="list">
      <formula1>"Pauschale,Nachweis,Unbekannt"</formula1>
    </dataValidation>
    <dataValidation sqref="C5272" showDropDown="0" showInputMessage="0" showErrorMessage="0" allowBlank="0" type="list">
      <formula1>"Pauschale,Nachweis,Unbekannt"</formula1>
    </dataValidation>
    <dataValidation sqref="C5273" showDropDown="0" showInputMessage="0" showErrorMessage="0" allowBlank="0" type="list">
      <formula1>"Pauschale,Nachweis,Unbekannt"</formula1>
    </dataValidation>
    <dataValidation sqref="C5274" showDropDown="0" showInputMessage="0" showErrorMessage="0" allowBlank="0" type="list">
      <formula1>"Pauschale,Nachweis,Unbekannt"</formula1>
    </dataValidation>
    <dataValidation sqref="C5275" showDropDown="0" showInputMessage="0" showErrorMessage="0" allowBlank="0" type="list">
      <formula1>"Pauschale,Nachweis,Unbekannt"</formula1>
    </dataValidation>
    <dataValidation sqref="C5276" showDropDown="0" showInputMessage="0" showErrorMessage="0" allowBlank="0" type="list">
      <formula1>"Pauschale,Nachweis,Unbekannt"</formula1>
    </dataValidation>
    <dataValidation sqref="C5277" showDropDown="0" showInputMessage="0" showErrorMessage="0" allowBlank="0" type="list">
      <formula1>"Pauschale,Nachweis,Unbekannt"</formula1>
    </dataValidation>
    <dataValidation sqref="C5278" showDropDown="0" showInputMessage="0" showErrorMessage="0" allowBlank="0" type="list">
      <formula1>"Pauschale,Nachweis,Unbekannt"</formula1>
    </dataValidation>
    <dataValidation sqref="C5279" showDropDown="0" showInputMessage="0" showErrorMessage="0" allowBlank="0" type="list">
      <formula1>"Pauschale,Nachweis,Unbekannt"</formula1>
    </dataValidation>
    <dataValidation sqref="C5280" showDropDown="0" showInputMessage="0" showErrorMessage="0" allowBlank="0" type="list">
      <formula1>"Pauschale,Nachweis,Unbekannt"</formula1>
    </dataValidation>
    <dataValidation sqref="C5281" showDropDown="0" showInputMessage="0" showErrorMessage="0" allowBlank="0" type="list">
      <formula1>"Pauschale,Nachweis,Unbekannt"</formula1>
    </dataValidation>
    <dataValidation sqref="C5282" showDropDown="0" showInputMessage="0" showErrorMessage="0" allowBlank="0" type="list">
      <formula1>"Pauschale,Nachweis,Unbekannt"</formula1>
    </dataValidation>
    <dataValidation sqref="C5283" showDropDown="0" showInputMessage="0" showErrorMessage="0" allowBlank="0" type="list">
      <formula1>"Pauschale,Nachweis,Unbekannt"</formula1>
    </dataValidation>
    <dataValidation sqref="C5284" showDropDown="0" showInputMessage="0" showErrorMessage="0" allowBlank="0" type="list">
      <formula1>"Pauschale,Nachweis,Unbekannt"</formula1>
    </dataValidation>
    <dataValidation sqref="C5285" showDropDown="0" showInputMessage="0" showErrorMessage="0" allowBlank="0" type="list">
      <formula1>"Pauschale,Nachweis,Unbekannt"</formula1>
    </dataValidation>
    <dataValidation sqref="C5286" showDropDown="0" showInputMessage="0" showErrorMessage="0" allowBlank="0" type="list">
      <formula1>"Pauschale,Nachweis,Unbekannt"</formula1>
    </dataValidation>
    <dataValidation sqref="C5287" showDropDown="0" showInputMessage="0" showErrorMessage="0" allowBlank="0" type="list">
      <formula1>"Pauschale,Nachweis,Unbekannt"</formula1>
    </dataValidation>
    <dataValidation sqref="C5288" showDropDown="0" showInputMessage="0" showErrorMessage="0" allowBlank="0" type="list">
      <formula1>"Pauschale,Nachweis,Unbekannt"</formula1>
    </dataValidation>
    <dataValidation sqref="C5289" showDropDown="0" showInputMessage="0" showErrorMessage="0" allowBlank="0" type="list">
      <formula1>"Pauschale,Nachweis,Unbekannt"</formula1>
    </dataValidation>
    <dataValidation sqref="C5290" showDropDown="0" showInputMessage="0" showErrorMessage="0" allowBlank="0" type="list">
      <formula1>"Pauschale,Nachweis,Unbekannt"</formula1>
    </dataValidation>
    <dataValidation sqref="C5291" showDropDown="0" showInputMessage="0" showErrorMessage="0" allowBlank="0" type="list">
      <formula1>"Pauschale,Nachweis,Unbekannt"</formula1>
    </dataValidation>
    <dataValidation sqref="C5292" showDropDown="0" showInputMessage="0" showErrorMessage="0" allowBlank="0" type="list">
      <formula1>"Pauschale,Nachweis,Unbekannt"</formula1>
    </dataValidation>
    <dataValidation sqref="C5293" showDropDown="0" showInputMessage="0" showErrorMessage="0" allowBlank="0" type="list">
      <formula1>"Pauschale,Nachweis,Unbekannt"</formula1>
    </dataValidation>
    <dataValidation sqref="C5294" showDropDown="0" showInputMessage="0" showErrorMessage="0" allowBlank="0" type="list">
      <formula1>"Pauschale,Nachweis,Unbekannt"</formula1>
    </dataValidation>
    <dataValidation sqref="C5295" showDropDown="0" showInputMessage="0" showErrorMessage="0" allowBlank="0" type="list">
      <formula1>"Pauschale,Nachweis,Unbekannt"</formula1>
    </dataValidation>
    <dataValidation sqref="C5296" showDropDown="0" showInputMessage="0" showErrorMessage="0" allowBlank="0" type="list">
      <formula1>"Pauschale,Nachweis,Unbekannt"</formula1>
    </dataValidation>
    <dataValidation sqref="C5297" showDropDown="0" showInputMessage="0" showErrorMessage="0" allowBlank="0" type="list">
      <formula1>"Pauschale,Nachweis,Unbekannt"</formula1>
    </dataValidation>
    <dataValidation sqref="C5298" showDropDown="0" showInputMessage="0" showErrorMessage="0" allowBlank="0" type="list">
      <formula1>"Pauschale,Nachweis,Unbekannt"</formula1>
    </dataValidation>
    <dataValidation sqref="C5299" showDropDown="0" showInputMessage="0" showErrorMessage="0" allowBlank="0" type="list">
      <formula1>"Pauschale,Nachweis,Unbekannt"</formula1>
    </dataValidation>
    <dataValidation sqref="C5300" showDropDown="0" showInputMessage="0" showErrorMessage="0" allowBlank="0" type="list">
      <formula1>"Pauschale,Nachweis,Unbekannt"</formula1>
    </dataValidation>
    <dataValidation sqref="C5301" showDropDown="0" showInputMessage="0" showErrorMessage="0" allowBlank="0" type="list">
      <formula1>"Pauschale,Nachweis,Unbekannt"</formula1>
    </dataValidation>
    <dataValidation sqref="C5302" showDropDown="0" showInputMessage="0" showErrorMessage="0" allowBlank="0" type="list">
      <formula1>"Pauschale,Nachweis,Unbekannt"</formula1>
    </dataValidation>
    <dataValidation sqref="C5303" showDropDown="0" showInputMessage="0" showErrorMessage="0" allowBlank="0" type="list">
      <formula1>"Pauschale,Nachweis,Unbekannt"</formula1>
    </dataValidation>
    <dataValidation sqref="C5304" showDropDown="0" showInputMessage="0" showErrorMessage="0" allowBlank="0" type="list">
      <formula1>"Pauschale,Nachweis,Unbekannt"</formula1>
    </dataValidation>
    <dataValidation sqref="C5305" showDropDown="0" showInputMessage="0" showErrorMessage="0" allowBlank="0" type="list">
      <formula1>"Pauschale,Nachweis,Unbekannt"</formula1>
    </dataValidation>
    <dataValidation sqref="C5306" showDropDown="0" showInputMessage="0" showErrorMessage="0" allowBlank="0" type="list">
      <formula1>"Pauschale,Nachweis,Unbekannt"</formula1>
    </dataValidation>
    <dataValidation sqref="C5307" showDropDown="0" showInputMessage="0" showErrorMessage="0" allowBlank="0" type="list">
      <formula1>"Pauschale,Nachweis,Unbekannt"</formula1>
    </dataValidation>
    <dataValidation sqref="C5308" showDropDown="0" showInputMessage="0" showErrorMessage="0" allowBlank="0" type="list">
      <formula1>"Pauschale,Nachweis,Unbekannt"</formula1>
    </dataValidation>
    <dataValidation sqref="C5309" showDropDown="0" showInputMessage="0" showErrorMessage="0" allowBlank="0" type="list">
      <formula1>"Pauschale,Nachweis,Unbekannt"</formula1>
    </dataValidation>
    <dataValidation sqref="C5310" showDropDown="0" showInputMessage="0" showErrorMessage="0" allowBlank="0" type="list">
      <formula1>"Pauschale,Nachweis,Unbekannt"</formula1>
    </dataValidation>
    <dataValidation sqref="C5311" showDropDown="0" showInputMessage="0" showErrorMessage="0" allowBlank="0" type="list">
      <formula1>"Pauschale,Nachweis,Unbekannt"</formula1>
    </dataValidation>
    <dataValidation sqref="C5312" showDropDown="0" showInputMessage="0" showErrorMessage="0" allowBlank="0" type="list">
      <formula1>"Pauschale,Nachweis,Unbekannt"</formula1>
    </dataValidation>
    <dataValidation sqref="C5313" showDropDown="0" showInputMessage="0" showErrorMessage="0" allowBlank="0" type="list">
      <formula1>"Pauschale,Nachweis,Unbekannt"</formula1>
    </dataValidation>
    <dataValidation sqref="C5314" showDropDown="0" showInputMessage="0" showErrorMessage="0" allowBlank="0" type="list">
      <formula1>"Pauschale,Nachweis,Unbekannt"</formula1>
    </dataValidation>
    <dataValidation sqref="C5315" showDropDown="0" showInputMessage="0" showErrorMessage="0" allowBlank="0" type="list">
      <formula1>"Pauschale,Nachweis,Unbekannt"</formula1>
    </dataValidation>
    <dataValidation sqref="C5316" showDropDown="0" showInputMessage="0" showErrorMessage="0" allowBlank="0" type="list">
      <formula1>"Pauschale,Nachweis,Unbekannt"</formula1>
    </dataValidation>
    <dataValidation sqref="C5317" showDropDown="0" showInputMessage="0" showErrorMessage="0" allowBlank="0" type="list">
      <formula1>"Pauschale,Nachweis,Unbekannt"</formula1>
    </dataValidation>
    <dataValidation sqref="C5318" showDropDown="0" showInputMessage="0" showErrorMessage="0" allowBlank="0" type="list">
      <formula1>"Pauschale,Nachweis,Unbekannt"</formula1>
    </dataValidation>
    <dataValidation sqref="C5319" showDropDown="0" showInputMessage="0" showErrorMessage="0" allowBlank="0" type="list">
      <formula1>"Pauschale,Nachweis,Unbekannt"</formula1>
    </dataValidation>
    <dataValidation sqref="C5320" showDropDown="0" showInputMessage="0" showErrorMessage="0" allowBlank="0" type="list">
      <formula1>"Pauschale,Nachweis,Unbekannt"</formula1>
    </dataValidation>
    <dataValidation sqref="C5321" showDropDown="0" showInputMessage="0" showErrorMessage="0" allowBlank="0" type="list">
      <formula1>"Pauschale,Nachweis,Unbekannt"</formula1>
    </dataValidation>
    <dataValidation sqref="C5322" showDropDown="0" showInputMessage="0" showErrorMessage="0" allowBlank="0" type="list">
      <formula1>"Pauschale,Nachweis,Unbekannt"</formula1>
    </dataValidation>
    <dataValidation sqref="C5323" showDropDown="0" showInputMessage="0" showErrorMessage="0" allowBlank="0" type="list">
      <formula1>"Pauschale,Nachweis,Unbekannt"</formula1>
    </dataValidation>
    <dataValidation sqref="C5324" showDropDown="0" showInputMessage="0" showErrorMessage="0" allowBlank="0" type="list">
      <formula1>"Pauschale,Nachweis,Unbekannt"</formula1>
    </dataValidation>
    <dataValidation sqref="C5325" showDropDown="0" showInputMessage="0" showErrorMessage="0" allowBlank="0" type="list">
      <formula1>"Pauschale,Nachweis,Unbekannt"</formula1>
    </dataValidation>
    <dataValidation sqref="C5326" showDropDown="0" showInputMessage="0" showErrorMessage="0" allowBlank="0" type="list">
      <formula1>"Pauschale,Nachweis,Unbekannt"</formula1>
    </dataValidation>
    <dataValidation sqref="C5327" showDropDown="0" showInputMessage="0" showErrorMessage="0" allowBlank="0" type="list">
      <formula1>"Pauschale,Nachweis,Unbekannt"</formula1>
    </dataValidation>
    <dataValidation sqref="C5328" showDropDown="0" showInputMessage="0" showErrorMessage="0" allowBlank="0" type="list">
      <formula1>"Pauschale,Nachweis,Unbekannt"</formula1>
    </dataValidation>
    <dataValidation sqref="C5329" showDropDown="0" showInputMessage="0" showErrorMessage="0" allowBlank="0" type="list">
      <formula1>"Pauschale,Nachweis,Unbekannt"</formula1>
    </dataValidation>
    <dataValidation sqref="C5330" showDropDown="0" showInputMessage="0" showErrorMessage="0" allowBlank="0" type="list">
      <formula1>"Pauschale,Nachweis,Unbekannt"</formula1>
    </dataValidation>
    <dataValidation sqref="C5331" showDropDown="0" showInputMessage="0" showErrorMessage="0" allowBlank="0" type="list">
      <formula1>"Pauschale,Nachweis,Unbekannt"</formula1>
    </dataValidation>
    <dataValidation sqref="C5332" showDropDown="0" showInputMessage="0" showErrorMessage="0" allowBlank="0" type="list">
      <formula1>"Pauschale,Nachweis,Unbekannt"</formula1>
    </dataValidation>
    <dataValidation sqref="C5333" showDropDown="0" showInputMessage="0" showErrorMessage="0" allowBlank="0" type="list">
      <formula1>"Pauschale,Nachweis,Unbekannt"</formula1>
    </dataValidation>
    <dataValidation sqref="C5334" showDropDown="0" showInputMessage="0" showErrorMessage="0" allowBlank="0" type="list">
      <formula1>"Pauschale,Nachweis,Unbekannt"</formula1>
    </dataValidation>
    <dataValidation sqref="C5335" showDropDown="0" showInputMessage="0" showErrorMessage="0" allowBlank="0" type="list">
      <formula1>"Pauschale,Nachweis,Unbekannt"</formula1>
    </dataValidation>
    <dataValidation sqref="C5336" showDropDown="0" showInputMessage="0" showErrorMessage="0" allowBlank="0" type="list">
      <formula1>"Pauschale,Nachweis,Unbekannt"</formula1>
    </dataValidation>
    <dataValidation sqref="C5337" showDropDown="0" showInputMessage="0" showErrorMessage="0" allowBlank="0" type="list">
      <formula1>"Pauschale,Nachweis,Unbekannt"</formula1>
    </dataValidation>
    <dataValidation sqref="C5338" showDropDown="0" showInputMessage="0" showErrorMessage="0" allowBlank="0" type="list">
      <formula1>"Pauschale,Nachweis,Unbekannt"</formula1>
    </dataValidation>
    <dataValidation sqref="C5339" showDropDown="0" showInputMessage="0" showErrorMessage="0" allowBlank="0" type="list">
      <formula1>"Pauschale,Nachweis,Unbekannt"</formula1>
    </dataValidation>
    <dataValidation sqref="C5340" showDropDown="0" showInputMessage="0" showErrorMessage="0" allowBlank="0" type="list">
      <formula1>"Pauschale,Nachweis,Unbekannt"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39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8" customWidth="1" min="3" max="3"/>
    <col width="12" customWidth="1" min="4" max="4"/>
    <col width="12" customWidth="1" min="5" max="5"/>
    <col width="12" customWidth="1" min="6" max="6"/>
    <col width="8" customWidth="1" min="7" max="7"/>
    <col width="16" customWidth="1" min="8" max="8"/>
    <col width="12" customWidth="1" min="9" max="9"/>
    <col width="25" customWidth="1" min="10" max="10"/>
    <col width="15" customWidth="1" min="11" max="11"/>
    <col width="18" customWidth="1" min="12" max="12"/>
    <col width="15" customWidth="1" min="13" max="13"/>
    <col width="18" customWidth="1" min="14" max="14"/>
    <col width="15" customWidth="1" min="15" max="15"/>
    <col width="22" customWidth="1" min="16" max="16"/>
  </cols>
  <sheetData>
    <row r="1">
      <c r="A1" t="inlineStr">
        <is>
          <t>A. Kokott - Quartalsreport 2025Q3</t>
        </is>
      </c>
    </row>
    <row r="2">
      <c r="A2" s="12" t="inlineStr">
        <is>
          <t>Position:</t>
        </is>
      </c>
      <c r="B2" t="inlineStr">
        <is>
          <t>SV</t>
        </is>
      </c>
    </row>
    <row r="4">
      <c r="A4" s="2" t="inlineStr">
        <is>
          <t>--- Juli 2025 ---</t>
        </is>
      </c>
    </row>
    <row r="5">
      <c r="A5" s="3" t="inlineStr">
        <is>
          <t>Projekt</t>
        </is>
      </c>
      <c r="B5" s="3" t="inlineStr">
        <is>
          <t>Meilenstein</t>
        </is>
      </c>
      <c r="C5" s="3" t="inlineStr">
        <is>
          <t>Typ</t>
        </is>
      </c>
      <c r="D5" s="3" t="inlineStr">
        <is>
          <t>Soll (h)</t>
        </is>
      </c>
      <c r="E5" s="3" t="inlineStr">
        <is>
          <t>Ist (h)</t>
        </is>
      </c>
      <c r="F5" s="3" t="inlineStr">
        <is>
          <t>Juli 2025 (h)</t>
        </is>
      </c>
      <c r="G5" s="3" t="inlineStr">
        <is>
          <t>%</t>
        </is>
      </c>
      <c r="H5" s="3" t="inlineStr">
        <is>
          <t>Bonus-Anpassung (h)</t>
        </is>
      </c>
      <c r="I5" s="3" t="inlineStr">
        <is>
          <t>Differenz (h)</t>
        </is>
      </c>
      <c r="J5" s="3" t="inlineStr">
        <is>
          <t>Zuordnen an</t>
        </is>
      </c>
      <c r="K5" s="3" t="inlineStr">
        <is>
          <t>Von anderen (h)</t>
        </is>
      </c>
      <c r="L5" s="3" t="inlineStr">
        <is>
          <t>Stundensatz (€/h)</t>
        </is>
      </c>
      <c r="M5" s="3" t="inlineStr">
        <is>
          <t>Umsatz (€)</t>
        </is>
      </c>
      <c r="N5" s="3" t="inlineStr">
        <is>
          <t>Budget Gesamt (€)</t>
        </is>
      </c>
      <c r="O5" s="3" t="inlineStr">
        <is>
          <t>Budget Ist (€)</t>
        </is>
      </c>
      <c r="P5" s="3" t="inlineStr">
        <is>
          <t>Budget Erwirtschaftet (€)</t>
        </is>
      </c>
    </row>
    <row r="6">
      <c r="A6" s="13" t="inlineStr">
        <is>
          <t>0000 Sonderprojekt für Bonus</t>
        </is>
      </c>
      <c r="B6" s="4" t="inlineStr">
        <is>
          <t>Angebote-Ausschreibungen-Kalkulationen (max. 8h/Monat pro MA)</t>
        </is>
      </c>
      <c r="C6" s="4" t="inlineStr">
        <is>
          <t>M</t>
        </is>
      </c>
      <c r="D6" s="4" t="n">
        <v>8</v>
      </c>
      <c r="E6" s="4" t="n">
        <v>8</v>
      </c>
      <c r="F6" s="4" t="n">
        <v>8</v>
      </c>
      <c r="G6" s="14" t="n">
        <v>100</v>
      </c>
      <c r="H6" s="5" t="n"/>
      <c r="I6" s="5">
        <f>IF(H6=0,"",F6-H6)</f>
        <v/>
      </c>
      <c r="J6" s="4" t="n"/>
      <c r="K6" s="5">
        <f>IF('D. Brucker'!J6="A. Kokott",'D. Brucker'!I6,0)+IF('E. Bieler'!J6="A. Kokott",'E. Bieler'!I6,0)+IF('J. Dorchies'!J6="A. Kokott",'J. Dorchies'!I6,0)+IF('O. Haag BS-CAD'!J6="A. Kokott",'O. Haag BS-CAD'!I6,0)+IF('S. Schüler'!J6="A. Kokott",'S. Schüler'!I6,0)+IF('T. Trautmann'!J6="A. Kokott",'T. Trautmann'!I6,0)+IF('U. Sutter ADM'!J6="A. Kokott",'U. Sutter ADM'!I6,0)</f>
        <v/>
      </c>
      <c r="L6" s="11">
        <f>IF($B$2="-","",IF($B$2="Pauschale",IFERROR(INDEX('Projekt-Budget-Übersicht'!$H:$H,MATCH(A6,'Projekt-Budget-Übersicht'!$A:$A,0)),""),IF($B$2="SV",IFERROR(INDEX('Projekt-Budget-Übersicht'!$H:$H,MATCH(A6,'Projekt-Budget-Übersicht'!$A:$A,0)),""),IF($B$2="CAD",IFERROR(INDEX('Projekt-Budget-Übersicht'!$I:$I,MATCH(A6,'Projekt-Budget-Übersicht'!$A:$A,0)),""),IF($B$2="ADM",IFERROR(INDEX('Projekt-Budget-Übersicht'!$J:$J,MATCH(A6,'Projekt-Budget-Übersicht'!$A:$A,0)),""),"")))))</f>
        <v/>
      </c>
      <c r="M6" s="11">
        <f>IF($B$2="-","",L6*(F6+I6+K6))</f>
        <v/>
      </c>
      <c r="N6" s="11">
        <f>IFERROR(INDEX('Projekt-Budget-Übersicht'!$E:$E,MATCH(A6,'Projekt-Budget-Übersicht'!$A:$A,0)),"")</f>
        <v/>
      </c>
      <c r="O6" s="11" t="inlineStr"/>
      <c r="P6" s="11" t="inlineStr"/>
    </row>
    <row r="7">
      <c r="A7" s="15" t="n"/>
      <c r="B7" s="4" t="inlineStr">
        <is>
          <t>Einarbeitung neuer Mitarbeiter (max. 8h/Monat pro MA)</t>
        </is>
      </c>
      <c r="C7" s="4" t="inlineStr">
        <is>
          <t>M</t>
        </is>
      </c>
      <c r="D7" s="4" t="n">
        <v>8</v>
      </c>
      <c r="E7" s="4" t="n">
        <v>8</v>
      </c>
      <c r="F7" s="4" t="n">
        <v>8</v>
      </c>
      <c r="G7" s="14" t="n">
        <v>100</v>
      </c>
      <c r="H7" s="5" t="n"/>
      <c r="I7" s="5">
        <f>IF(H7=0,"",F7-H7)</f>
        <v/>
      </c>
      <c r="J7" s="4" t="n"/>
      <c r="K7" s="5">
        <f>IF('C. Trapp SV'!J6="A. Kokott",'C. Trapp SV'!I6,0)+IF('D. Brucker'!J7="A. Kokott",'D. Brucker'!I7,0)+IF('E. Bieler'!J7="A. Kokott",'E. Bieler'!I7,0)+IF('J. Dorchies'!J7="A. Kokott",'J. Dorchies'!I7,0)+IF('J. Dorn'!J6="A. Kokott",'J. Dorn'!I6,0)+IF('M. Bandlofsky'!J6="A. Kokott",'M. Bandlofsky'!I6,0)+IF('T. Trautmann'!J7="A. Kokott",'T. Trautmann'!I7,0)+IF('U. Sutter ADM'!J7="A. Kokott",'U. Sutter ADM'!I7,0)</f>
        <v/>
      </c>
      <c r="L7" s="11">
        <f>IF($B$2="-","",IF($B$2="Pauschale",IFERROR(INDEX('Projekt-Budget-Übersicht'!$H:$H,MATCH(A7,'Projekt-Budget-Übersicht'!$A:$A,0)),""),IF($B$2="SV",IFERROR(INDEX('Projekt-Budget-Übersicht'!$H:$H,MATCH(A7,'Projekt-Budget-Übersicht'!$A:$A,0)),""),IF($B$2="CAD",IFERROR(INDEX('Projekt-Budget-Übersicht'!$I:$I,MATCH(A7,'Projekt-Budget-Übersicht'!$A:$A,0)),""),IF($B$2="ADM",IFERROR(INDEX('Projekt-Budget-Übersicht'!$J:$J,MATCH(A7,'Projekt-Budget-Übersicht'!$A:$A,0)),""),"")))))</f>
        <v/>
      </c>
      <c r="M7" s="11">
        <f>IF($B$2="-","",L7*(F7+I7+K7))</f>
        <v/>
      </c>
      <c r="N7" s="11">
        <f>IFERROR(INDEX('Projekt-Budget-Übersicht'!$E:$E,MATCH(A7,'Projekt-Budget-Übersicht'!$A:$A,0)),"")</f>
        <v/>
      </c>
      <c r="O7" s="11" t="inlineStr"/>
      <c r="P7" s="11" t="inlineStr"/>
    </row>
    <row r="8">
      <c r="A8" s="4" t="inlineStr">
        <is>
          <t>0014 Urlaubstage</t>
        </is>
      </c>
      <c r="B8" s="4" t="inlineStr">
        <is>
          <t>0001-Stunden ohne Leistungsphase</t>
        </is>
      </c>
      <c r="C8" s="4" t="inlineStr">
        <is>
          <t>G</t>
        </is>
      </c>
      <c r="D8" s="4" t="n">
        <v>0</v>
      </c>
      <c r="E8" s="4" t="n">
        <v>0</v>
      </c>
      <c r="F8" s="4" t="n">
        <v>50</v>
      </c>
      <c r="G8" s="4" t="n">
        <v>0</v>
      </c>
      <c r="H8" s="5" t="n"/>
      <c r="I8" s="5">
        <f>IF(H8=0,"",F8-H8)</f>
        <v/>
      </c>
      <c r="J8" s="4" t="n"/>
      <c r="K8" s="5" t="n">
        <v>0</v>
      </c>
      <c r="L8" s="11">
        <f>IF($B$2="-","",IF($B$2="Pauschale",IFERROR(INDEX('Projekt-Budget-Übersicht'!$H:$H,MATCH(A8,'Projekt-Budget-Übersicht'!$A:$A,0)),""),IF($B$2="SV",IFERROR(INDEX('Projekt-Budget-Übersicht'!$H:$H,MATCH(A8,'Projekt-Budget-Übersicht'!$A:$A,0)),""),IF($B$2="CAD",IFERROR(INDEX('Projekt-Budget-Übersicht'!$I:$I,MATCH(A8,'Projekt-Budget-Übersicht'!$A:$A,0)),""),IF($B$2="ADM",IFERROR(INDEX('Projekt-Budget-Übersicht'!$J:$J,MATCH(A8,'Projekt-Budget-Übersicht'!$A:$A,0)),""),"")))))</f>
        <v/>
      </c>
      <c r="M8" s="11">
        <f>IF($B$2="-","",L8*(F8+I8+K8))</f>
        <v/>
      </c>
      <c r="N8" s="11">
        <f>IFERROR(INDEX('Projekt-Budget-Übersicht'!$E:$E,MATCH(A8,'Projekt-Budget-Übersicht'!$A:$A,0)),"")</f>
        <v/>
      </c>
      <c r="O8" s="11" t="inlineStr"/>
      <c r="P8" s="11" t="inlineStr"/>
    </row>
    <row r="9">
      <c r="A9" s="4" t="inlineStr">
        <is>
          <t>3869.24 KES-BST-1.OG-Bestandsgebäude-Marktstr1-3-Stuttgart</t>
        </is>
      </c>
      <c r="B9" s="4" t="inlineStr">
        <is>
          <t>ADM</t>
        </is>
      </c>
      <c r="C9" s="4" t="inlineStr">
        <is>
          <t>G</t>
        </is>
      </c>
      <c r="D9" s="4" t="n">
        <v>1</v>
      </c>
      <c r="E9" s="4" t="n">
        <v>1.25</v>
      </c>
      <c r="F9" s="4" t="n">
        <v>0.5</v>
      </c>
      <c r="G9" s="16" t="n">
        <v>125</v>
      </c>
      <c r="H9" s="5" t="n"/>
      <c r="I9" s="5">
        <f>IF(H9=0,"",F9-H9)</f>
        <v/>
      </c>
      <c r="J9" s="4" t="n"/>
      <c r="K9" s="5" t="n">
        <v>0</v>
      </c>
      <c r="L9" s="11">
        <f>IF($B$2="-","",IF($B$2="Pauschale",IFERROR(INDEX('Projekt-Budget-Übersicht'!$H:$H,MATCH(A9,'Projekt-Budget-Übersicht'!$A:$A,0)),""),IF($B$2="SV",IFERROR(INDEX('Projekt-Budget-Übersicht'!$H:$H,MATCH(A9,'Projekt-Budget-Übersicht'!$A:$A,0)),""),IF($B$2="CAD",IFERROR(INDEX('Projekt-Budget-Übersicht'!$I:$I,MATCH(A9,'Projekt-Budget-Übersicht'!$A:$A,0)),""),IF($B$2="ADM",IFERROR(INDEX('Projekt-Budget-Übersicht'!$J:$J,MATCH(A9,'Projekt-Budget-Übersicht'!$A:$A,0)),""),"")))))</f>
        <v/>
      </c>
      <c r="M9" s="11">
        <f>IF($B$2="-","",L9*(F9+I9+K9))</f>
        <v/>
      </c>
      <c r="N9" s="11">
        <f>IFERROR(INDEX('Projekt-Budget-Übersicht'!$E:$E,MATCH(A9,'Projekt-Budget-Übersicht'!$A:$A,0)),"")</f>
        <v/>
      </c>
      <c r="O9" s="11" t="inlineStr"/>
      <c r="P9" s="11" t="inlineStr"/>
    </row>
    <row r="10">
      <c r="A10" s="4" t="inlineStr">
        <is>
          <t>5607.05 BAB-NB-J4-Zentralinstitut-für-seelische-Gesundheit-Mannheim</t>
        </is>
      </c>
      <c r="B10" s="4" t="inlineStr">
        <is>
          <t>3100-Erarbeiten des Brandschutzkonzept/Nachweis/Stellungnahme</t>
        </is>
      </c>
      <c r="C10" s="4" t="inlineStr">
        <is>
          <t>G</t>
        </is>
      </c>
      <c r="D10" s="4" t="n">
        <v>29.75</v>
      </c>
      <c r="E10" s="4" t="n">
        <v>79.75</v>
      </c>
      <c r="F10" s="4" t="n">
        <v>0.5</v>
      </c>
      <c r="G10" s="16" t="n">
        <v>268.07</v>
      </c>
      <c r="H10" s="5" t="n"/>
      <c r="I10" s="5">
        <f>IF(H10=0,"",F10-H10)</f>
        <v/>
      </c>
      <c r="J10" s="4" t="n"/>
      <c r="K10" s="5" t="n">
        <v>0</v>
      </c>
      <c r="L10" s="11">
        <f>IF($B$2="-","",IF($B$2="Pauschale",IFERROR(INDEX('Projekt-Budget-Übersicht'!$H:$H,MATCH(A10,'Projekt-Budget-Übersicht'!$A:$A,0)),""),IF($B$2="SV",IFERROR(INDEX('Projekt-Budget-Übersicht'!$H:$H,MATCH(A10,'Projekt-Budget-Übersicht'!$A:$A,0)),""),IF($B$2="CAD",IFERROR(INDEX('Projekt-Budget-Übersicht'!$I:$I,MATCH(A10,'Projekt-Budget-Übersicht'!$A:$A,0)),""),IF($B$2="ADM",IFERROR(INDEX('Projekt-Budget-Übersicht'!$J:$J,MATCH(A10,'Projekt-Budget-Übersicht'!$A:$A,0)),""),"")))))</f>
        <v/>
      </c>
      <c r="M10" s="11">
        <f>IF($B$2="-","",L10*(F10+I10+K10))</f>
        <v/>
      </c>
      <c r="N10" s="11">
        <f>IFERROR(INDEX('Projekt-Budget-Übersicht'!$E:$E,MATCH(A10,'Projekt-Budget-Übersicht'!$A:$A,0)),"")</f>
        <v/>
      </c>
      <c r="O10" s="11" t="inlineStr"/>
      <c r="P10" s="11" t="inlineStr"/>
    </row>
    <row r="11">
      <c r="A11" s="4" t="inlineStr">
        <is>
          <t>5640.12 Swisslife-BTB-BSK-HCIII-Salutem-4.OG-Eppelheimerstr8-Heidelberg</t>
        </is>
      </c>
      <c r="B11" s="4" t="inlineStr">
        <is>
          <t>CAD</t>
        </is>
      </c>
      <c r="C11" s="4" t="inlineStr">
        <is>
          <t>G</t>
        </is>
      </c>
      <c r="D11" s="4" t="n">
        <v>6</v>
      </c>
      <c r="E11" s="4" t="n">
        <v>2.75</v>
      </c>
      <c r="F11" s="4" t="n">
        <v>0.5</v>
      </c>
      <c r="G11" s="17" t="n">
        <v>45.83</v>
      </c>
      <c r="H11" s="5" t="n"/>
      <c r="I11" s="5">
        <f>IF(H11=0,"",F11-H11)</f>
        <v/>
      </c>
      <c r="J11" s="4" t="n"/>
      <c r="K11" s="5" t="n">
        <v>0</v>
      </c>
      <c r="L11" s="11">
        <f>IF($B$2="-","",IF($B$2="Pauschale",IFERROR(INDEX('Projekt-Budget-Übersicht'!$H:$H,MATCH(A11,'Projekt-Budget-Übersicht'!$A:$A,0)),""),IF($B$2="SV",IFERROR(INDEX('Projekt-Budget-Übersicht'!$H:$H,MATCH(A11,'Projekt-Budget-Übersicht'!$A:$A,0)),""),IF($B$2="CAD",IFERROR(INDEX('Projekt-Budget-Übersicht'!$I:$I,MATCH(A11,'Projekt-Budget-Übersicht'!$A:$A,0)),""),IF($B$2="ADM",IFERROR(INDEX('Projekt-Budget-Übersicht'!$J:$J,MATCH(A11,'Projekt-Budget-Übersicht'!$A:$A,0)),""),"")))))</f>
        <v/>
      </c>
      <c r="M11" s="11">
        <f>IF($B$2="-","",L11*(F11+I11+K11))</f>
        <v/>
      </c>
      <c r="N11" s="11">
        <f>IFERROR(INDEX('Projekt-Budget-Übersicht'!$E:$E,MATCH(A11,'Projekt-Budget-Übersicht'!$A:$A,0)),"")</f>
        <v/>
      </c>
      <c r="O11" s="11" t="inlineStr"/>
      <c r="P11" s="11" t="inlineStr"/>
    </row>
    <row r="12">
      <c r="A12" s="4" t="inlineStr">
        <is>
          <t>5793.03 StadtFB-Eschholzstr118-Freiburg-Rettungszentrum-Halle-E</t>
        </is>
      </c>
      <c r="B12" s="4" t="inlineStr">
        <is>
          <t>(aN) Pos. 1 Brandschutztechnische Beratung</t>
        </is>
      </c>
      <c r="C12" s="4" t="inlineStr">
        <is>
          <t>G</t>
        </is>
      </c>
      <c r="D12" s="4" t="n">
        <v>20</v>
      </c>
      <c r="E12" s="4" t="n">
        <v>1.75</v>
      </c>
      <c r="F12" s="4" t="n">
        <v>0.5</v>
      </c>
      <c r="G12" s="17" t="n">
        <v>8.75</v>
      </c>
      <c r="H12" s="5" t="n"/>
      <c r="I12" s="5">
        <f>IF(H12=0,"",F12-H12)</f>
        <v/>
      </c>
      <c r="J12" s="4" t="n"/>
      <c r="K12" s="5" t="n">
        <v>0</v>
      </c>
      <c r="L12" s="11">
        <f>IF($B$2="-","",IF($B$2="Pauschale",IFERROR(INDEX('Projekt-Budget-Übersicht'!$H:$H,MATCH(A12,'Projekt-Budget-Übersicht'!$A:$A,0)),""),IF($B$2="SV",IFERROR(INDEX('Projekt-Budget-Übersicht'!$H:$H,MATCH(A12,'Projekt-Budget-Übersicht'!$A:$A,0)),""),IF($B$2="CAD",IFERROR(INDEX('Projekt-Budget-Übersicht'!$I:$I,MATCH(A12,'Projekt-Budget-Übersicht'!$A:$A,0)),""),IF($B$2="ADM",IFERROR(INDEX('Projekt-Budget-Übersicht'!$J:$J,MATCH(A12,'Projekt-Budget-Übersicht'!$A:$A,0)),""),"")))))</f>
        <v/>
      </c>
      <c r="M12" s="11">
        <f>IF($B$2="-","",L12*(F12+I12+K12))</f>
        <v/>
      </c>
      <c r="N12" s="11">
        <f>IFERROR(INDEX('Projekt-Budget-Übersicht'!$E:$E,MATCH(A12,'Projekt-Budget-Übersicht'!$A:$A,0)),"")</f>
        <v/>
      </c>
      <c r="O12" s="11" t="inlineStr"/>
      <c r="P12" s="11" t="inlineStr"/>
    </row>
    <row r="13">
      <c r="A13" s="4" t="inlineStr">
        <is>
          <t>5984.01 QE-WEA-Windpark-Lusshardt-Überarbeitung-BSK</t>
        </is>
      </c>
      <c r="B13" s="4" t="inlineStr">
        <is>
          <t>ADM</t>
        </is>
      </c>
      <c r="C13" s="4" t="inlineStr">
        <is>
          <t>G</t>
        </is>
      </c>
      <c r="D13" s="4" t="n">
        <v>1</v>
      </c>
      <c r="E13" s="4" t="n">
        <v>1.25</v>
      </c>
      <c r="F13" s="4" t="n">
        <v>0.5</v>
      </c>
      <c r="G13" s="16" t="n">
        <v>125</v>
      </c>
      <c r="H13" s="5" t="n"/>
      <c r="I13" s="5">
        <f>IF(H13=0,"",F13-H13)</f>
        <v/>
      </c>
      <c r="J13" s="4" t="n"/>
      <c r="K13" s="5" t="n">
        <v>0</v>
      </c>
      <c r="L13" s="11">
        <f>IF($B$2="-","",IF($B$2="Pauschale",IFERROR(INDEX('Projekt-Budget-Übersicht'!$H:$H,MATCH(A13,'Projekt-Budget-Übersicht'!$A:$A,0)),""),IF($B$2="SV",IFERROR(INDEX('Projekt-Budget-Übersicht'!$H:$H,MATCH(A13,'Projekt-Budget-Übersicht'!$A:$A,0)),""),IF($B$2="CAD",IFERROR(INDEX('Projekt-Budget-Übersicht'!$I:$I,MATCH(A13,'Projekt-Budget-Übersicht'!$A:$A,0)),""),IF($B$2="ADM",IFERROR(INDEX('Projekt-Budget-Übersicht'!$J:$J,MATCH(A13,'Projekt-Budget-Übersicht'!$A:$A,0)),""),"")))))</f>
        <v/>
      </c>
      <c r="M13" s="11">
        <f>IF($B$2="-","",L13*(F13+I13+K13))</f>
        <v/>
      </c>
      <c r="N13" s="11">
        <f>IFERROR(INDEX('Projekt-Budget-Übersicht'!$E:$E,MATCH(A13,'Projekt-Budget-Übersicht'!$A:$A,0)),"")</f>
        <v/>
      </c>
      <c r="O13" s="11" t="inlineStr"/>
      <c r="P13" s="11" t="inlineStr"/>
    </row>
    <row r="14">
      <c r="A14" s="4" t="inlineStr">
        <is>
          <t>6527.01 IO-Anp-BSK-Mühlenfeldstr1-Holzminden-Symotion</t>
        </is>
      </c>
      <c r="B14" s="4" t="inlineStr">
        <is>
          <t>SV</t>
        </is>
      </c>
      <c r="C14" s="4" t="inlineStr">
        <is>
          <t>G</t>
        </is>
      </c>
      <c r="D14" s="4" t="n">
        <v>6</v>
      </c>
      <c r="E14" s="4" t="n">
        <v>33.75</v>
      </c>
      <c r="F14" s="4" t="n">
        <v>0.25</v>
      </c>
      <c r="G14" s="16" t="n">
        <v>562.5</v>
      </c>
      <c r="H14" s="5" t="n"/>
      <c r="I14" s="5">
        <f>IF(H14=0,"",F14-H14)</f>
        <v/>
      </c>
      <c r="J14" s="4" t="n"/>
      <c r="K14" s="5">
        <f>IF('E. Bieler'!J20="A. Kokott",'E. Bieler'!I20,0)+IF('J. Dorchies'!J9="A. Kokott",'J. Dorchies'!I9,0)+IF('J. Dorn'!J23="A. Kokott",'J. Dorn'!I23,0)+IF('P. Bergner'!J7="A. Kokott",'P. Bergner'!I7,0)+IF('R. Böttiger'!J13="A. Kokott",'R. Böttiger'!I13,0)</f>
        <v/>
      </c>
      <c r="L14" s="11">
        <f>IF($B$2="-","",IF($B$2="Pauschale",IFERROR(INDEX('Projekt-Budget-Übersicht'!$H:$H,MATCH(A14,'Projekt-Budget-Übersicht'!$A:$A,0)),""),IF($B$2="SV",IFERROR(INDEX('Projekt-Budget-Übersicht'!$H:$H,MATCH(A14,'Projekt-Budget-Übersicht'!$A:$A,0)),""),IF($B$2="CAD",IFERROR(INDEX('Projekt-Budget-Übersicht'!$I:$I,MATCH(A14,'Projekt-Budget-Übersicht'!$A:$A,0)),""),IF($B$2="ADM",IFERROR(INDEX('Projekt-Budget-Übersicht'!$J:$J,MATCH(A14,'Projekt-Budget-Übersicht'!$A:$A,0)),""),"")))))</f>
        <v/>
      </c>
      <c r="M14" s="11">
        <f>IF($B$2="-","",L14*(F14+I14+K14))</f>
        <v/>
      </c>
      <c r="N14" s="11">
        <f>IFERROR(INDEX('Projekt-Budget-Übersicht'!$E:$E,MATCH(A14,'Projekt-Budget-Übersicht'!$A:$A,0)),"")</f>
        <v/>
      </c>
      <c r="O14" s="11" t="inlineStr"/>
      <c r="P14" s="11" t="inlineStr"/>
    </row>
    <row r="15">
      <c r="A15" s="4" t="inlineStr">
        <is>
          <t>6769.01 Juwi-Anp-BSK-Selser-Berg</t>
        </is>
      </c>
      <c r="B15" s="4" t="inlineStr">
        <is>
          <t>(p) Anp. BSK</t>
        </is>
      </c>
      <c r="C15" s="4" t="inlineStr">
        <is>
          <t>G</t>
        </is>
      </c>
      <c r="D15" s="4" t="n">
        <v>2</v>
      </c>
      <c r="E15" s="4" t="n">
        <v>3.5</v>
      </c>
      <c r="F15" s="4" t="n">
        <v>0.5</v>
      </c>
      <c r="G15" s="16" t="n">
        <v>175</v>
      </c>
      <c r="H15" s="5" t="n"/>
      <c r="I15" s="5">
        <f>IF(H15=0,"",F15-H15)</f>
        <v/>
      </c>
      <c r="J15" s="4" t="n"/>
      <c r="K15" s="5">
        <f>IF('H. Bektas'!J6="A. Kokott",'H. Bektas'!I6,0)</f>
        <v/>
      </c>
      <c r="L15" s="11">
        <f>IF($B$2="-","",IF($B$2="Pauschale",IFERROR(INDEX('Projekt-Budget-Übersicht'!$H:$H,MATCH(A15,'Projekt-Budget-Übersicht'!$A:$A,0)),""),IF($B$2="SV",IFERROR(INDEX('Projekt-Budget-Übersicht'!$H:$H,MATCH(A15,'Projekt-Budget-Übersicht'!$A:$A,0)),""),IF($B$2="CAD",IFERROR(INDEX('Projekt-Budget-Übersicht'!$I:$I,MATCH(A15,'Projekt-Budget-Übersicht'!$A:$A,0)),""),IF($B$2="ADM",IFERROR(INDEX('Projekt-Budget-Übersicht'!$J:$J,MATCH(A15,'Projekt-Budget-Übersicht'!$A:$A,0)),""),"")))))</f>
        <v/>
      </c>
      <c r="M15" s="11">
        <f>IF($B$2="-","",L15*(F15+I15+K15))</f>
        <v/>
      </c>
      <c r="N15" s="11">
        <f>IFERROR(INDEX('Projekt-Budget-Übersicht'!$E:$E,MATCH(A15,'Projekt-Budget-Übersicht'!$A:$A,0)),"")</f>
        <v/>
      </c>
      <c r="O15" s="11" t="inlineStr"/>
      <c r="P15" s="11" t="inlineStr"/>
    </row>
    <row r="16">
      <c r="A16" s="4" t="inlineStr">
        <is>
          <t>6961.01 Neptune-Rheinhafen-Speyer-allgemeineBeratungsleistungen</t>
        </is>
      </c>
      <c r="B16" s="4" t="inlineStr">
        <is>
          <t>(aN) BTB (SV)</t>
        </is>
      </c>
      <c r="C16" s="4" t="inlineStr">
        <is>
          <t>G</t>
        </is>
      </c>
      <c r="D16" s="4" t="n">
        <v>68</v>
      </c>
      <c r="E16" s="4" t="n">
        <v>47.25</v>
      </c>
      <c r="F16" s="4" t="n">
        <v>0.5</v>
      </c>
      <c r="G16" s="17" t="n">
        <v>69.48999999999999</v>
      </c>
      <c r="H16" s="5" t="n"/>
      <c r="I16" s="5">
        <f>IF(H16=0,"",F16-H16)</f>
        <v/>
      </c>
      <c r="J16" s="4" t="n"/>
      <c r="K16" s="5">
        <f>IF('H. Bektas'!J7="A. Kokott",'H. Bektas'!I7,0)</f>
        <v/>
      </c>
      <c r="L16" s="11">
        <f>IF($B$2="-","",IF($B$2="Pauschale",IFERROR(INDEX('Projekt-Budget-Übersicht'!$H:$H,MATCH(A16,'Projekt-Budget-Übersicht'!$A:$A,0)),""),IF($B$2="SV",IFERROR(INDEX('Projekt-Budget-Übersicht'!$H:$H,MATCH(A16,'Projekt-Budget-Übersicht'!$A:$A,0)),""),IF($B$2="CAD",IFERROR(INDEX('Projekt-Budget-Übersicht'!$I:$I,MATCH(A16,'Projekt-Budget-Übersicht'!$A:$A,0)),""),IF($B$2="ADM",IFERROR(INDEX('Projekt-Budget-Übersicht'!$J:$J,MATCH(A16,'Projekt-Budget-Übersicht'!$A:$A,0)),""),"")))))</f>
        <v/>
      </c>
      <c r="M16" s="11">
        <f>IF($B$2="-","",L16*(F16+I16+K16))</f>
        <v/>
      </c>
      <c r="N16" s="11">
        <f>IFERROR(INDEX('Projekt-Budget-Übersicht'!$E:$E,MATCH(A16,'Projekt-Budget-Übersicht'!$A:$A,0)),"")</f>
        <v/>
      </c>
      <c r="O16" s="11" t="inlineStr"/>
      <c r="P16" s="11" t="inlineStr"/>
    </row>
    <row r="17">
      <c r="A17" s="4" t="inlineStr">
        <is>
          <t>7015.02 HeyLagerGmbH-BAB-Garagenpark-Alzenau</t>
        </is>
      </c>
      <c r="B17" s="4" t="inlineStr">
        <is>
          <t>ADM</t>
        </is>
      </c>
      <c r="C17" s="4" t="inlineStr">
        <is>
          <t>G</t>
        </is>
      </c>
      <c r="D17" s="4" t="n">
        <v>1</v>
      </c>
      <c r="E17" s="4" t="n">
        <v>1.25</v>
      </c>
      <c r="F17" s="4" t="n">
        <v>0.5</v>
      </c>
      <c r="G17" s="16" t="n">
        <v>125</v>
      </c>
      <c r="H17" s="5" t="n"/>
      <c r="I17" s="5">
        <f>IF(H17=0,"",F17-H17)</f>
        <v/>
      </c>
      <c r="J17" s="4" t="n"/>
      <c r="K17" s="5" t="n">
        <v>0</v>
      </c>
      <c r="L17" s="11">
        <f>IF($B$2="-","",IF($B$2="Pauschale",IFERROR(INDEX('Projekt-Budget-Übersicht'!$H:$H,MATCH(A17,'Projekt-Budget-Übersicht'!$A:$A,0)),""),IF($B$2="SV",IFERROR(INDEX('Projekt-Budget-Übersicht'!$H:$H,MATCH(A17,'Projekt-Budget-Übersicht'!$A:$A,0)),""),IF($B$2="CAD",IFERROR(INDEX('Projekt-Budget-Übersicht'!$I:$I,MATCH(A17,'Projekt-Budget-Übersicht'!$A:$A,0)),""),IF($B$2="ADM",IFERROR(INDEX('Projekt-Budget-Übersicht'!$J:$J,MATCH(A17,'Projekt-Budget-Übersicht'!$A:$A,0)),""),"")))))</f>
        <v/>
      </c>
      <c r="M17" s="11">
        <f>IF($B$2="-","",L17*(F17+I17+K17))</f>
        <v/>
      </c>
      <c r="N17" s="11">
        <f>IFERROR(INDEX('Projekt-Budget-Übersicht'!$E:$E,MATCH(A17,'Projekt-Budget-Übersicht'!$A:$A,0)),"")</f>
        <v/>
      </c>
      <c r="O17" s="11" t="inlineStr"/>
      <c r="P17" s="11" t="inlineStr"/>
    </row>
    <row r="18">
      <c r="A18" s="13" t="inlineStr">
        <is>
          <t>7090.01 Baupionier-BSK-Garagenpark-Eckersmühlen</t>
        </is>
      </c>
      <c r="B18" s="4" t="inlineStr">
        <is>
          <t>ADM</t>
        </is>
      </c>
      <c r="C18" s="4" t="inlineStr">
        <is>
          <t>G</t>
        </is>
      </c>
      <c r="D18" s="4" t="n">
        <v>1</v>
      </c>
      <c r="E18" s="4" t="n">
        <v>1.75</v>
      </c>
      <c r="F18" s="4" t="n">
        <v>0.25</v>
      </c>
      <c r="G18" s="16" t="n">
        <v>175</v>
      </c>
      <c r="H18" s="5" t="n"/>
      <c r="I18" s="5">
        <f>IF(H18=0,"",F18-H18)</f>
        <v/>
      </c>
      <c r="J18" s="4" t="n"/>
      <c r="K18" s="5" t="n">
        <v>0</v>
      </c>
      <c r="L18" s="11">
        <f>IF($B$2="-","",IF($B$2="Pauschale",IFERROR(INDEX('Projekt-Budget-Übersicht'!$H:$H,MATCH(A18,'Projekt-Budget-Übersicht'!$A:$A,0)),""),IF($B$2="SV",IFERROR(INDEX('Projekt-Budget-Übersicht'!$H:$H,MATCH(A18,'Projekt-Budget-Übersicht'!$A:$A,0)),""),IF($B$2="CAD",IFERROR(INDEX('Projekt-Budget-Übersicht'!$I:$I,MATCH(A18,'Projekt-Budget-Übersicht'!$A:$A,0)),""),IF($B$2="ADM",IFERROR(INDEX('Projekt-Budget-Übersicht'!$J:$J,MATCH(A18,'Projekt-Budget-Übersicht'!$A:$A,0)),""),"")))))</f>
        <v/>
      </c>
      <c r="M18" s="11">
        <f>IF($B$2="-","",L18*(F18+I18+K18))</f>
        <v/>
      </c>
      <c r="N18" s="11">
        <f>IFERROR(INDEX('Projekt-Budget-Übersicht'!$E:$E,MATCH(A18,'Projekt-Budget-Übersicht'!$A:$A,0)),"")</f>
        <v/>
      </c>
      <c r="O18" s="11" t="inlineStr"/>
      <c r="P18" s="11" t="inlineStr"/>
    </row>
    <row r="19">
      <c r="A19" s="15" t="n"/>
      <c r="B19" s="4" t="inlineStr">
        <is>
          <t>SV</t>
        </is>
      </c>
      <c r="C19" s="4" t="inlineStr">
        <is>
          <t>G</t>
        </is>
      </c>
      <c r="D19" s="4" t="n">
        <v>12</v>
      </c>
      <c r="E19" s="4" t="n">
        <v>15.5</v>
      </c>
      <c r="F19" s="4" t="n">
        <v>0.5</v>
      </c>
      <c r="G19" s="16" t="n">
        <v>129.17</v>
      </c>
      <c r="H19" s="5" t="n"/>
      <c r="I19" s="5">
        <f>IF(H19=0,"",F19-H19)</f>
        <v/>
      </c>
      <c r="J19" s="4" t="n"/>
      <c r="K19" s="5" t="n">
        <v>0</v>
      </c>
      <c r="L19" s="11">
        <f>IF($B$2="-","",IF($B$2="Pauschale",IFERROR(INDEX('Projekt-Budget-Übersicht'!$H:$H,MATCH(A19,'Projekt-Budget-Übersicht'!$A:$A,0)),""),IF($B$2="SV",IFERROR(INDEX('Projekt-Budget-Übersicht'!$H:$H,MATCH(A19,'Projekt-Budget-Übersicht'!$A:$A,0)),""),IF($B$2="CAD",IFERROR(INDEX('Projekt-Budget-Übersicht'!$I:$I,MATCH(A19,'Projekt-Budget-Übersicht'!$A:$A,0)),""),IF($B$2="ADM",IFERROR(INDEX('Projekt-Budget-Übersicht'!$J:$J,MATCH(A19,'Projekt-Budget-Übersicht'!$A:$A,0)),""),"")))))</f>
        <v/>
      </c>
      <c r="M19" s="11">
        <f>IF($B$2="-","",L19*(F19+I19+K19))</f>
        <v/>
      </c>
      <c r="N19" s="11">
        <f>IFERROR(INDEX('Projekt-Budget-Übersicht'!$E:$E,MATCH(A19,'Projekt-Budget-Übersicht'!$A:$A,0)),"")</f>
        <v/>
      </c>
      <c r="O19" s="11" t="inlineStr"/>
      <c r="P19" s="11" t="inlineStr"/>
    </row>
    <row r="20">
      <c r="A20" s="4" t="inlineStr">
        <is>
          <t>7247.01 Hoepfner-BST-Zentrale-Karlsruhe</t>
        </is>
      </c>
      <c r="B20" s="4" t="inlineStr">
        <is>
          <t>0100-Anlage Projekt, Angebot, Versand, Auftrag</t>
        </is>
      </c>
      <c r="C20" s="4" t="inlineStr">
        <is>
          <t>G</t>
        </is>
      </c>
      <c r="D20" s="4" t="n">
        <v>1</v>
      </c>
      <c r="E20" s="4" t="n">
        <v>2</v>
      </c>
      <c r="F20" s="4" t="n">
        <v>1</v>
      </c>
      <c r="G20" s="16" t="n">
        <v>200</v>
      </c>
      <c r="H20" s="5" t="n"/>
      <c r="I20" s="5">
        <f>IF(H20=0,"",F20-H20)</f>
        <v/>
      </c>
      <c r="J20" s="4" t="n"/>
      <c r="K20" s="5" t="n">
        <v>0</v>
      </c>
      <c r="L20" s="11">
        <f>IF($B$2="-","",IF($B$2="Pauschale",IFERROR(INDEX('Projekt-Budget-Übersicht'!$H:$H,MATCH(A20,'Projekt-Budget-Übersicht'!$A:$A,0)),""),IF($B$2="SV",IFERROR(INDEX('Projekt-Budget-Übersicht'!$H:$H,MATCH(A20,'Projekt-Budget-Übersicht'!$A:$A,0)),""),IF($B$2="CAD",IFERROR(INDEX('Projekt-Budget-Übersicht'!$I:$I,MATCH(A20,'Projekt-Budget-Übersicht'!$A:$A,0)),""),IF($B$2="ADM",IFERROR(INDEX('Projekt-Budget-Übersicht'!$J:$J,MATCH(A20,'Projekt-Budget-Übersicht'!$A:$A,0)),""),"")))))</f>
        <v/>
      </c>
      <c r="M20" s="11">
        <f>IF($B$2="-","",L20*(F20+I20+K20))</f>
        <v/>
      </c>
      <c r="N20" s="11">
        <f>IFERROR(INDEX('Projekt-Budget-Übersicht'!$E:$E,MATCH(A20,'Projekt-Budget-Übersicht'!$A:$A,0)),"")</f>
        <v/>
      </c>
      <c r="O20" s="11" t="inlineStr"/>
      <c r="P20" s="11" t="inlineStr"/>
    </row>
    <row r="21">
      <c r="A21" s="4" t="inlineStr">
        <is>
          <t>7293 VEW-BSK-WEA-Hopperkopf</t>
        </is>
      </c>
      <c r="B21" s="4" t="inlineStr">
        <is>
          <t>ADM</t>
        </is>
      </c>
      <c r="C21" s="4" t="inlineStr">
        <is>
          <t>G</t>
        </is>
      </c>
      <c r="D21" s="4" t="n">
        <v>1</v>
      </c>
      <c r="E21" s="4" t="n">
        <v>1.75</v>
      </c>
      <c r="F21" s="4" t="n">
        <v>0.5</v>
      </c>
      <c r="G21" s="16" t="n">
        <v>175</v>
      </c>
      <c r="H21" s="5" t="n"/>
      <c r="I21" s="5">
        <f>IF(H21=0,"",F21-H21)</f>
        <v/>
      </c>
      <c r="J21" s="4" t="n"/>
      <c r="K21" s="5" t="n">
        <v>0</v>
      </c>
      <c r="L21" s="11">
        <f>IF($B$2="-","",IF($B$2="Pauschale",IFERROR(INDEX('Projekt-Budget-Übersicht'!$H:$H,MATCH(A21,'Projekt-Budget-Übersicht'!$A:$A,0)),""),IF($B$2="SV",IFERROR(INDEX('Projekt-Budget-Übersicht'!$H:$H,MATCH(A21,'Projekt-Budget-Übersicht'!$A:$A,0)),""),IF($B$2="CAD",IFERROR(INDEX('Projekt-Budget-Übersicht'!$I:$I,MATCH(A21,'Projekt-Budget-Übersicht'!$A:$A,0)),""),IF($B$2="ADM",IFERROR(INDEX('Projekt-Budget-Übersicht'!$J:$J,MATCH(A21,'Projekt-Budget-Übersicht'!$A:$A,0)),""),"")))))</f>
        <v/>
      </c>
      <c r="M21" s="11">
        <f>IF($B$2="-","",L21*(F21+I21+K21))</f>
        <v/>
      </c>
      <c r="N21" s="11">
        <f>IFERROR(INDEX('Projekt-Budget-Übersicht'!$E:$E,MATCH(A21,'Projekt-Budget-Übersicht'!$A:$A,0)),"")</f>
        <v/>
      </c>
      <c r="O21" s="11" t="inlineStr"/>
      <c r="P21" s="11" t="inlineStr"/>
    </row>
    <row r="22">
      <c r="A22" s="4" t="inlineStr">
        <is>
          <t>7422 Energieprojekte-DK-BSK-WEA-Aschbach-Ilmenau</t>
        </is>
      </c>
      <c r="B22" s="4" t="inlineStr">
        <is>
          <t>ADM</t>
        </is>
      </c>
      <c r="C22" s="4" t="inlineStr">
        <is>
          <t>G</t>
        </is>
      </c>
      <c r="D22" s="4" t="n">
        <v>1</v>
      </c>
      <c r="E22" s="4" t="n">
        <v>1.25</v>
      </c>
      <c r="F22" s="4" t="n">
        <v>0.5</v>
      </c>
      <c r="G22" s="16" t="n">
        <v>125</v>
      </c>
      <c r="H22" s="5" t="n"/>
      <c r="I22" s="5">
        <f>IF(H22=0,"",F22-H22)</f>
        <v/>
      </c>
      <c r="J22" s="4" t="n"/>
      <c r="K22" s="5" t="n">
        <v>0</v>
      </c>
      <c r="L22" s="11">
        <f>IF($B$2="-","",IF($B$2="Pauschale",IFERROR(INDEX('Projekt-Budget-Übersicht'!$H:$H,MATCH(A22,'Projekt-Budget-Übersicht'!$A:$A,0)),""),IF($B$2="SV",IFERROR(INDEX('Projekt-Budget-Übersicht'!$H:$H,MATCH(A22,'Projekt-Budget-Übersicht'!$A:$A,0)),""),IF($B$2="CAD",IFERROR(INDEX('Projekt-Budget-Übersicht'!$I:$I,MATCH(A22,'Projekt-Budget-Übersicht'!$A:$A,0)),""),IF($B$2="ADM",IFERROR(INDEX('Projekt-Budget-Übersicht'!$J:$J,MATCH(A22,'Projekt-Budget-Übersicht'!$A:$A,0)),""),"")))))</f>
        <v/>
      </c>
      <c r="M22" s="11">
        <f>IF($B$2="-","",L22*(F22+I22+K22))</f>
        <v/>
      </c>
      <c r="N22" s="11">
        <f>IFERROR(INDEX('Projekt-Budget-Übersicht'!$E:$E,MATCH(A22,'Projekt-Budget-Übersicht'!$A:$A,0)),"")</f>
        <v/>
      </c>
      <c r="O22" s="11" t="inlineStr"/>
      <c r="P22" s="11" t="inlineStr"/>
    </row>
    <row r="23">
      <c r="A23" s="4" t="inlineStr">
        <is>
          <t>7435 wiwi-BSK-WEA-Spiesheim-Wörrstadt-Ost</t>
        </is>
      </c>
      <c r="B23" s="4" t="inlineStr">
        <is>
          <t>ADM</t>
        </is>
      </c>
      <c r="C23" s="4" t="inlineStr">
        <is>
          <t>G</t>
        </is>
      </c>
      <c r="D23" s="4" t="n">
        <v>1</v>
      </c>
      <c r="E23" s="4" t="n">
        <v>2</v>
      </c>
      <c r="F23" s="4" t="n">
        <v>0.5</v>
      </c>
      <c r="G23" s="16" t="n">
        <v>200</v>
      </c>
      <c r="H23" s="5" t="n"/>
      <c r="I23" s="5">
        <f>IF(H23=0,"",F23-H23)</f>
        <v/>
      </c>
      <c r="J23" s="4" t="n"/>
      <c r="K23" s="5" t="n">
        <v>0</v>
      </c>
      <c r="L23" s="11">
        <f>IF($B$2="-","",IF($B$2="Pauschale",IFERROR(INDEX('Projekt-Budget-Übersicht'!$H:$H,MATCH(A23,'Projekt-Budget-Übersicht'!$A:$A,0)),""),IF($B$2="SV",IFERROR(INDEX('Projekt-Budget-Übersicht'!$H:$H,MATCH(A23,'Projekt-Budget-Übersicht'!$A:$A,0)),""),IF($B$2="CAD",IFERROR(INDEX('Projekt-Budget-Übersicht'!$I:$I,MATCH(A23,'Projekt-Budget-Übersicht'!$A:$A,0)),""),IF($B$2="ADM",IFERROR(INDEX('Projekt-Budget-Übersicht'!$J:$J,MATCH(A23,'Projekt-Budget-Übersicht'!$A:$A,0)),""),"")))))</f>
        <v/>
      </c>
      <c r="M23" s="11">
        <f>IF($B$2="-","",L23*(F23+I23+K23))</f>
        <v/>
      </c>
      <c r="N23" s="11">
        <f>IFERROR(INDEX('Projekt-Budget-Übersicht'!$E:$E,MATCH(A23,'Projekt-Budget-Übersicht'!$A:$A,0)),"")</f>
        <v/>
      </c>
      <c r="O23" s="11" t="inlineStr"/>
      <c r="P23" s="11" t="inlineStr"/>
    </row>
    <row r="24">
      <c r="A24" s="4" t="inlineStr">
        <is>
          <t>7437 MVV-BSK-UW3-Käfertal-Mannheim</t>
        </is>
      </c>
      <c r="B24" s="4" t="inlineStr">
        <is>
          <t>Anlage Projekt, Angebot, Versand, Auftrag</t>
        </is>
      </c>
      <c r="C24" s="4" t="inlineStr">
        <is>
          <t>G</t>
        </is>
      </c>
      <c r="D24" s="4" t="n">
        <v>1</v>
      </c>
      <c r="E24" s="4" t="n">
        <v>2</v>
      </c>
      <c r="F24" s="4" t="n">
        <v>0.5</v>
      </c>
      <c r="G24" s="16" t="n">
        <v>200</v>
      </c>
      <c r="H24" s="5" t="n"/>
      <c r="I24" s="5">
        <f>IF(H24=0,"",F24-H24)</f>
        <v/>
      </c>
      <c r="J24" s="4" t="n"/>
      <c r="K24" s="5" t="n">
        <v>0</v>
      </c>
      <c r="L24" s="11">
        <f>IF($B$2="-","",IF($B$2="Pauschale",IFERROR(INDEX('Projekt-Budget-Übersicht'!$H:$H,MATCH(A24,'Projekt-Budget-Übersicht'!$A:$A,0)),""),IF($B$2="SV",IFERROR(INDEX('Projekt-Budget-Übersicht'!$H:$H,MATCH(A24,'Projekt-Budget-Übersicht'!$A:$A,0)),""),IF($B$2="CAD",IFERROR(INDEX('Projekt-Budget-Übersicht'!$I:$I,MATCH(A24,'Projekt-Budget-Übersicht'!$A:$A,0)),""),IF($B$2="ADM",IFERROR(INDEX('Projekt-Budget-Übersicht'!$J:$J,MATCH(A24,'Projekt-Budget-Übersicht'!$A:$A,0)),""),"")))))</f>
        <v/>
      </c>
      <c r="M24" s="11">
        <f>IF($B$2="-","",L24*(F24+I24+K24))</f>
        <v/>
      </c>
      <c r="N24" s="11">
        <f>IFERROR(INDEX('Projekt-Budget-Übersicht'!$E:$E,MATCH(A24,'Projekt-Budget-Übersicht'!$A:$A,0)),"")</f>
        <v/>
      </c>
      <c r="O24" s="11" t="inlineStr"/>
      <c r="P24" s="11" t="inlineStr"/>
    </row>
    <row r="25">
      <c r="A25" s="4" t="inlineStr">
        <is>
          <t>7441 Baupionier-Garagenpark-Öhringen-BSK</t>
        </is>
      </c>
      <c r="B25" s="4" t="inlineStr">
        <is>
          <t>ADM</t>
        </is>
      </c>
      <c r="C25" s="4" t="inlineStr">
        <is>
          <t>G</t>
        </is>
      </c>
      <c r="D25" s="4" t="n">
        <v>1</v>
      </c>
      <c r="E25" s="4" t="n">
        <v>2.25</v>
      </c>
      <c r="F25" s="4" t="n">
        <v>1</v>
      </c>
      <c r="G25" s="16" t="n">
        <v>225</v>
      </c>
      <c r="H25" s="5" t="n"/>
      <c r="I25" s="5">
        <f>IF(H25=0,"",F25-H25)</f>
        <v/>
      </c>
      <c r="J25" s="4" t="n"/>
      <c r="K25" s="5" t="n">
        <v>0</v>
      </c>
      <c r="L25" s="11">
        <f>IF($B$2="-","",IF($B$2="Pauschale",IFERROR(INDEX('Projekt-Budget-Übersicht'!$H:$H,MATCH(A25,'Projekt-Budget-Übersicht'!$A:$A,0)),""),IF($B$2="SV",IFERROR(INDEX('Projekt-Budget-Übersicht'!$H:$H,MATCH(A25,'Projekt-Budget-Übersicht'!$A:$A,0)),""),IF($B$2="CAD",IFERROR(INDEX('Projekt-Budget-Übersicht'!$I:$I,MATCH(A25,'Projekt-Budget-Übersicht'!$A:$A,0)),""),IF($B$2="ADM",IFERROR(INDEX('Projekt-Budget-Übersicht'!$J:$J,MATCH(A25,'Projekt-Budget-Übersicht'!$A:$A,0)),""),"")))))</f>
        <v/>
      </c>
      <c r="M25" s="11">
        <f>IF($B$2="-","",L25*(F25+I25+K25))</f>
        <v/>
      </c>
      <c r="N25" s="11">
        <f>IFERROR(INDEX('Projekt-Budget-Übersicht'!$E:$E,MATCH(A25,'Projekt-Budget-Übersicht'!$A:$A,0)),"")</f>
        <v/>
      </c>
      <c r="O25" s="11" t="inlineStr"/>
      <c r="P25" s="11" t="inlineStr"/>
    </row>
    <row r="26">
      <c r="A26" s="4" t="inlineStr">
        <is>
          <t>7444 Energieprojekte-DK-BSK-WEA-Schußbachwald</t>
        </is>
      </c>
      <c r="B26" s="4" t="inlineStr">
        <is>
          <t>ADM</t>
        </is>
      </c>
      <c r="C26" s="4" t="inlineStr">
        <is>
          <t>G</t>
        </is>
      </c>
      <c r="D26" s="4" t="n">
        <v>1</v>
      </c>
      <c r="E26" s="4" t="n">
        <v>1.25</v>
      </c>
      <c r="F26" s="4" t="n">
        <v>0.5</v>
      </c>
      <c r="G26" s="16" t="n">
        <v>125</v>
      </c>
      <c r="H26" s="5" t="n"/>
      <c r="I26" s="5">
        <f>IF(H26=0,"",F26-H26)</f>
        <v/>
      </c>
      <c r="J26" s="4" t="n"/>
      <c r="K26" s="5" t="n">
        <v>0</v>
      </c>
      <c r="L26" s="11">
        <f>IF($B$2="-","",IF($B$2="Pauschale",IFERROR(INDEX('Projekt-Budget-Übersicht'!$H:$H,MATCH(A26,'Projekt-Budget-Übersicht'!$A:$A,0)),""),IF($B$2="SV",IFERROR(INDEX('Projekt-Budget-Übersicht'!$H:$H,MATCH(A26,'Projekt-Budget-Übersicht'!$A:$A,0)),""),IF($B$2="CAD",IFERROR(INDEX('Projekt-Budget-Übersicht'!$I:$I,MATCH(A26,'Projekt-Budget-Übersicht'!$A:$A,0)),""),IF($B$2="ADM",IFERROR(INDEX('Projekt-Budget-Übersicht'!$J:$J,MATCH(A26,'Projekt-Budget-Übersicht'!$A:$A,0)),""),"")))))</f>
        <v/>
      </c>
      <c r="M26" s="11">
        <f>IF($B$2="-","",L26*(F26+I26+K26))</f>
        <v/>
      </c>
      <c r="N26" s="11">
        <f>IFERROR(INDEX('Projekt-Budget-Übersicht'!$E:$E,MATCH(A26,'Projekt-Budget-Übersicht'!$A:$A,0)),"")</f>
        <v/>
      </c>
      <c r="O26" s="11" t="inlineStr"/>
      <c r="P26" s="11" t="inlineStr"/>
    </row>
    <row r="27">
      <c r="A27" s="4" t="inlineStr">
        <is>
          <t>7445 Energieprojekte-DK-BSK-WEA-Thüngersheim</t>
        </is>
      </c>
      <c r="B27" s="4" t="inlineStr">
        <is>
          <t>ADM</t>
        </is>
      </c>
      <c r="C27" s="4" t="inlineStr">
        <is>
          <t>G</t>
        </is>
      </c>
      <c r="D27" s="4" t="n">
        <v>1</v>
      </c>
      <c r="E27" s="4" t="n">
        <v>1.25</v>
      </c>
      <c r="F27" s="4" t="n">
        <v>0.5</v>
      </c>
      <c r="G27" s="16" t="n">
        <v>125</v>
      </c>
      <c r="H27" s="5" t="n"/>
      <c r="I27" s="5">
        <f>IF(H27=0,"",F27-H27)</f>
        <v/>
      </c>
      <c r="J27" s="4" t="n"/>
      <c r="K27" s="5" t="n">
        <v>0</v>
      </c>
      <c r="L27" s="11">
        <f>IF($B$2="-","",IF($B$2="Pauschale",IFERROR(INDEX('Projekt-Budget-Übersicht'!$H:$H,MATCH(A27,'Projekt-Budget-Übersicht'!$A:$A,0)),""),IF($B$2="SV",IFERROR(INDEX('Projekt-Budget-Übersicht'!$H:$H,MATCH(A27,'Projekt-Budget-Übersicht'!$A:$A,0)),""),IF($B$2="CAD",IFERROR(INDEX('Projekt-Budget-Übersicht'!$I:$I,MATCH(A27,'Projekt-Budget-Übersicht'!$A:$A,0)),""),IF($B$2="ADM",IFERROR(INDEX('Projekt-Budget-Übersicht'!$J:$J,MATCH(A27,'Projekt-Budget-Übersicht'!$A:$A,0)),""),"")))))</f>
        <v/>
      </c>
      <c r="M27" s="11">
        <f>IF($B$2="-","",L27*(F27+I27+K27))</f>
        <v/>
      </c>
      <c r="N27" s="11">
        <f>IFERROR(INDEX('Projekt-Budget-Übersicht'!$E:$E,MATCH(A27,'Projekt-Budget-Übersicht'!$A:$A,0)),"")</f>
        <v/>
      </c>
      <c r="O27" s="11" t="inlineStr"/>
      <c r="P27" s="11" t="inlineStr"/>
    </row>
    <row r="28">
      <c r="A28" s="4" t="inlineStr">
        <is>
          <t>7448 Seniorenresidenz-Sonnenwinkel-BSH-Im-Füllengarten14-16-Saarbrücken</t>
        </is>
      </c>
      <c r="B28" s="4" t="inlineStr">
        <is>
          <t>ADM</t>
        </is>
      </c>
      <c r="C28" s="4" t="inlineStr">
        <is>
          <t>G</t>
        </is>
      </c>
      <c r="D28" s="4" t="n">
        <v>5</v>
      </c>
      <c r="E28" s="4" t="n">
        <v>1.25</v>
      </c>
      <c r="F28" s="4" t="n">
        <v>0.5</v>
      </c>
      <c r="G28" s="17" t="n">
        <v>25</v>
      </c>
      <c r="H28" s="5" t="n"/>
      <c r="I28" s="5">
        <f>IF(H28=0,"",F28-H28)</f>
        <v/>
      </c>
      <c r="J28" s="4" t="n"/>
      <c r="K28" s="5" t="n">
        <v>0</v>
      </c>
      <c r="L28" s="11">
        <f>IF($B$2="-","",IF($B$2="Pauschale",IFERROR(INDEX('Projekt-Budget-Übersicht'!$H:$H,MATCH(A28,'Projekt-Budget-Übersicht'!$A:$A,0)),""),IF($B$2="SV",IFERROR(INDEX('Projekt-Budget-Übersicht'!$H:$H,MATCH(A28,'Projekt-Budget-Übersicht'!$A:$A,0)),""),IF($B$2="CAD",IFERROR(INDEX('Projekt-Budget-Übersicht'!$I:$I,MATCH(A28,'Projekt-Budget-Übersicht'!$A:$A,0)),""),IF($B$2="ADM",IFERROR(INDEX('Projekt-Budget-Übersicht'!$J:$J,MATCH(A28,'Projekt-Budget-Übersicht'!$A:$A,0)),""),"")))))</f>
        <v/>
      </c>
      <c r="M28" s="11">
        <f>IF($B$2="-","",L28*(F28+I28+K28))</f>
        <v/>
      </c>
      <c r="N28" s="11">
        <f>IFERROR(INDEX('Projekt-Budget-Übersicht'!$E:$E,MATCH(A28,'Projekt-Budget-Übersicht'!$A:$A,0)),"")</f>
        <v/>
      </c>
      <c r="O28" s="11" t="inlineStr"/>
      <c r="P28" s="11" t="inlineStr"/>
    </row>
    <row r="29">
      <c r="A29" s="13" t="inlineStr">
        <is>
          <t>7459 Baupionier-BTB-Prüfung-Details-Garagenparks</t>
        </is>
      </c>
      <c r="B29" s="4" t="inlineStr">
        <is>
          <t>0100-Anlage Projekt, Angebot, Versand, Auftrag</t>
        </is>
      </c>
      <c r="C29" s="4" t="inlineStr">
        <is>
          <t>G</t>
        </is>
      </c>
      <c r="D29" s="4" t="n">
        <v>1</v>
      </c>
      <c r="E29" s="4" t="n">
        <v>1.25</v>
      </c>
      <c r="F29" s="4" t="n">
        <v>0.5</v>
      </c>
      <c r="G29" s="16" t="n">
        <v>125</v>
      </c>
      <c r="H29" s="5" t="n"/>
      <c r="I29" s="5">
        <f>IF(H29=0,"",F29-H29)</f>
        <v/>
      </c>
      <c r="J29" s="4" t="n"/>
      <c r="K29" s="5" t="n">
        <v>0</v>
      </c>
      <c r="L29" s="11">
        <f>IF($B$2="-","",IF($B$2="Pauschale",IFERROR(INDEX('Projekt-Budget-Übersicht'!$H:$H,MATCH(A29,'Projekt-Budget-Übersicht'!$A:$A,0)),""),IF($B$2="SV",IFERROR(INDEX('Projekt-Budget-Übersicht'!$H:$H,MATCH(A29,'Projekt-Budget-Übersicht'!$A:$A,0)),""),IF($B$2="CAD",IFERROR(INDEX('Projekt-Budget-Übersicht'!$I:$I,MATCH(A29,'Projekt-Budget-Übersicht'!$A:$A,0)),""),IF($B$2="ADM",IFERROR(INDEX('Projekt-Budget-Übersicht'!$J:$J,MATCH(A29,'Projekt-Budget-Übersicht'!$A:$A,0)),""),"")))))</f>
        <v/>
      </c>
      <c r="M29" s="11">
        <f>IF($B$2="-","",L29*(F29+I29+K29))</f>
        <v/>
      </c>
      <c r="N29" s="11">
        <f>IFERROR(INDEX('Projekt-Budget-Übersicht'!$E:$E,MATCH(A29,'Projekt-Budget-Übersicht'!$A:$A,0)),"")</f>
        <v/>
      </c>
      <c r="O29" s="11" t="inlineStr"/>
      <c r="P29" s="11" t="inlineStr"/>
    </row>
    <row r="30">
      <c r="A30" s="15" t="n"/>
      <c r="B30" s="4" t="inlineStr">
        <is>
          <t>3100-Erarbeiten des Brandschutzkonzept/Nachweis/Stellungnahme</t>
        </is>
      </c>
      <c r="C30" s="4" t="inlineStr">
        <is>
          <t>G</t>
        </is>
      </c>
      <c r="D30" s="4" t="n">
        <v>14</v>
      </c>
      <c r="E30" s="4" t="n">
        <v>15.5</v>
      </c>
      <c r="F30" s="4" t="n">
        <v>0.5</v>
      </c>
      <c r="G30" s="16" t="n">
        <v>110.71</v>
      </c>
      <c r="H30" s="5" t="n"/>
      <c r="I30" s="5">
        <f>IF(H30=0,"",F30-H30)</f>
        <v/>
      </c>
      <c r="J30" s="4" t="n"/>
      <c r="K30" s="5">
        <f>IF('E. Bieler'!J38="A. Kokott",'E. Bieler'!I38,0)+IF('M. Bandlofsky'!J17="A. Kokott",'M. Bandlofsky'!I17,0)</f>
        <v/>
      </c>
      <c r="L30" s="11">
        <f>IF($B$2="-","",IF($B$2="Pauschale",IFERROR(INDEX('Projekt-Budget-Übersicht'!$H:$H,MATCH(A30,'Projekt-Budget-Übersicht'!$A:$A,0)),""),IF($B$2="SV",IFERROR(INDEX('Projekt-Budget-Übersicht'!$H:$H,MATCH(A30,'Projekt-Budget-Übersicht'!$A:$A,0)),""),IF($B$2="CAD",IFERROR(INDEX('Projekt-Budget-Übersicht'!$I:$I,MATCH(A30,'Projekt-Budget-Übersicht'!$A:$A,0)),""),IF($B$2="ADM",IFERROR(INDEX('Projekt-Budget-Übersicht'!$J:$J,MATCH(A30,'Projekt-Budget-Übersicht'!$A:$A,0)),""),"")))))</f>
        <v/>
      </c>
      <c r="M30" s="11">
        <f>IF($B$2="-","",L30*(F30+I30+K30))</f>
        <v/>
      </c>
      <c r="N30" s="11">
        <f>IFERROR(INDEX('Projekt-Budget-Übersicht'!$E:$E,MATCH(A30,'Projekt-Budget-Übersicht'!$A:$A,0)),"")</f>
        <v/>
      </c>
      <c r="O30" s="11" t="inlineStr"/>
      <c r="P30" s="11" t="inlineStr"/>
    </row>
    <row r="31">
      <c r="A31" s="3" t="inlineStr"/>
      <c r="B31" s="3" t="inlineStr">
        <is>
          <t>Summe</t>
        </is>
      </c>
      <c r="C31" s="3" t="inlineStr"/>
      <c r="D31" s="3" t="inlineStr"/>
      <c r="E31" s="3" t="inlineStr"/>
      <c r="F31" s="6" t="n">
        <v>77.5</v>
      </c>
      <c r="G31" s="3" t="inlineStr"/>
      <c r="H31" s="3" t="inlineStr"/>
      <c r="I31" s="3" t="inlineStr"/>
      <c r="J31" s="3" t="inlineStr"/>
      <c r="K31" s="3" t="inlineStr"/>
      <c r="L31" s="3" t="n"/>
      <c r="M31" s="3" t="n"/>
      <c r="N31" s="3" t="n"/>
      <c r="O31" s="3" t="n"/>
      <c r="P31" s="3" t="n"/>
    </row>
    <row r="32">
      <c r="A32" s="3" t="inlineStr"/>
      <c r="B32" s="3" t="inlineStr">
        <is>
          <t>Bonusberechtigte Stunden</t>
        </is>
      </c>
      <c r="C32" s="3" t="inlineStr"/>
      <c r="D32" s="3" t="inlineStr"/>
      <c r="E32" s="3" t="inlineStr"/>
      <c r="F32" s="6">
        <f>G32+H32</f>
        <v/>
      </c>
      <c r="G32" s="6" t="n">
        <v>52</v>
      </c>
      <c r="H32" s="6">
        <f>SUM(H8,H9,H10,H11,H12,H13,H14,H15,H16,H17,H18,H19,H20,H21,H22,H23,H24,H25,H26,H27,H28,H29,H30)</f>
        <v/>
      </c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</row>
    <row r="33">
      <c r="A33" s="3" t="inlineStr"/>
      <c r="B33" s="3" t="inlineStr">
        <is>
          <t>Bonusberechtigte Stunden Sonderprojekt</t>
        </is>
      </c>
      <c r="C33" s="3" t="inlineStr"/>
      <c r="D33" s="3" t="inlineStr"/>
      <c r="E33" s="3" t="inlineStr"/>
      <c r="F33" s="6">
        <f>G33+H33</f>
        <v/>
      </c>
      <c r="G33" s="6" t="n">
        <v>16</v>
      </c>
      <c r="H33" s="6">
        <f>SUM(H6,H7)</f>
        <v/>
      </c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</row>
    <row r="34">
      <c r="A34" s="3" t="inlineStr"/>
      <c r="B34" s="3" t="inlineStr">
        <is>
          <t>Zugeordnete Stunden von anderen MA</t>
        </is>
      </c>
      <c r="C34" s="3" t="inlineStr"/>
      <c r="D34" s="3" t="inlineStr"/>
      <c r="E34" s="3" t="inlineStr"/>
      <c r="F34" s="6">
        <f>SUM(K6:K30)</f>
        <v/>
      </c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</row>
    <row r="35">
      <c r="A35" s="18" t="inlineStr"/>
      <c r="B35" s="18" t="inlineStr">
        <is>
          <t>Gesamt Bonus Stunden</t>
        </is>
      </c>
      <c r="C35" s="18" t="inlineStr"/>
      <c r="D35" s="18" t="inlineStr"/>
      <c r="E35" s="18" t="inlineStr"/>
      <c r="F35" s="19">
        <f>F32+F33+F34</f>
        <v/>
      </c>
      <c r="G35" s="18" t="inlineStr"/>
      <c r="H35" s="18" t="inlineStr"/>
      <c r="I35" s="18" t="inlineStr"/>
      <c r="J35" s="18" t="inlineStr"/>
      <c r="K35" s="18" t="inlineStr"/>
      <c r="L35" s="18" t="n"/>
      <c r="M35" s="18" t="n"/>
      <c r="N35" s="18" t="n"/>
      <c r="O35" s="18" t="n"/>
      <c r="P35" s="18" t="n"/>
    </row>
    <row r="37">
      <c r="A37" s="2" t="inlineStr">
        <is>
          <t>--- August 2025 ---</t>
        </is>
      </c>
    </row>
    <row r="38">
      <c r="A38" s="3" t="inlineStr">
        <is>
          <t>Projekt</t>
        </is>
      </c>
      <c r="B38" s="3" t="inlineStr">
        <is>
          <t>Meilenstein</t>
        </is>
      </c>
      <c r="C38" s="3" t="inlineStr">
        <is>
          <t>Typ</t>
        </is>
      </c>
      <c r="D38" s="3" t="inlineStr">
        <is>
          <t>Soll (h)</t>
        </is>
      </c>
      <c r="E38" s="3" t="inlineStr">
        <is>
          <t>Ist (h)</t>
        </is>
      </c>
      <c r="F38" s="3" t="inlineStr">
        <is>
          <t>August 2025 (h)</t>
        </is>
      </c>
      <c r="G38" s="3" t="inlineStr">
        <is>
          <t>%</t>
        </is>
      </c>
      <c r="H38" s="3" t="inlineStr">
        <is>
          <t>Bonus-Anpassung (h)</t>
        </is>
      </c>
      <c r="I38" s="3" t="inlineStr">
        <is>
          <t>Differenz (h)</t>
        </is>
      </c>
      <c r="J38" s="3" t="inlineStr">
        <is>
          <t>Zuordnen an</t>
        </is>
      </c>
      <c r="K38" s="3" t="inlineStr">
        <is>
          <t>Von anderen (h)</t>
        </is>
      </c>
      <c r="L38" s="3" t="inlineStr">
        <is>
          <t>Stundensatz (€/h)</t>
        </is>
      </c>
      <c r="M38" s="3" t="inlineStr">
        <is>
          <t>Umsatz (€)</t>
        </is>
      </c>
      <c r="N38" s="3" t="inlineStr">
        <is>
          <t>Budget Gesamt (€)</t>
        </is>
      </c>
      <c r="O38" s="3" t="inlineStr">
        <is>
          <t>Budget Ist (€)</t>
        </is>
      </c>
      <c r="P38" s="3" t="inlineStr">
        <is>
          <t>Budget Erwirtschaftet (€)</t>
        </is>
      </c>
    </row>
    <row r="39">
      <c r="A39" s="13" t="inlineStr">
        <is>
          <t>0000 Sonderprojekt für Bonus</t>
        </is>
      </c>
      <c r="B39" s="4" t="inlineStr">
        <is>
          <t>Angebote-Ausschreibungen-Kalkulationen (max. 8h/Monat pro MA)</t>
        </is>
      </c>
      <c r="C39" s="4" t="inlineStr">
        <is>
          <t>M</t>
        </is>
      </c>
      <c r="D39" s="4" t="n">
        <v>8</v>
      </c>
      <c r="E39" s="4" t="n">
        <v>8</v>
      </c>
      <c r="F39" s="4" t="n">
        <v>8</v>
      </c>
      <c r="G39" s="14" t="n">
        <v>100</v>
      </c>
      <c r="H39" s="5" t="n"/>
      <c r="I39" s="5">
        <f>IF(H39=0,"",F39-H39)</f>
        <v/>
      </c>
      <c r="J39" s="4" t="n"/>
      <c r="K39" s="5">
        <f>IF('J. Dorn'!J45="A. Kokott",'J. Dorn'!I45,0)+IF('O. Haag BS-CAD'!J51="A. Kokott",'O. Haag BS-CAD'!I51,0)+IF('P. Bergner'!J21="A. Kokott",'P. Bergner'!I21,0)+IF('R. Böttiger'!J31="A. Kokott",'R. Böttiger'!I31,0)+IF('T. Trautmann'!J28="A. Kokott",'T. Trautmann'!I28,0)+IF('U. Sutter ADM'!J28="A. Kokott",'U. Sutter ADM'!I28,0)</f>
        <v/>
      </c>
      <c r="L39" s="11">
        <f>IF($B$2="-","",IF($B$2="Pauschale",IFERROR(INDEX('Projekt-Budget-Übersicht'!$H:$H,MATCH(A39,'Projekt-Budget-Übersicht'!$A:$A,0)),""),IF($B$2="SV",IFERROR(INDEX('Projekt-Budget-Übersicht'!$H:$H,MATCH(A39,'Projekt-Budget-Übersicht'!$A:$A,0)),""),IF($B$2="CAD",IFERROR(INDEX('Projekt-Budget-Übersicht'!$I:$I,MATCH(A39,'Projekt-Budget-Übersicht'!$A:$A,0)),""),IF($B$2="ADM",IFERROR(INDEX('Projekt-Budget-Übersicht'!$J:$J,MATCH(A39,'Projekt-Budget-Übersicht'!$A:$A,0)),""),"")))))</f>
        <v/>
      </c>
      <c r="M39" s="11">
        <f>IF($B$2="-","",L39*(F39+I39+K39))</f>
        <v/>
      </c>
      <c r="N39" s="11">
        <f>IFERROR(INDEX('Projekt-Budget-Übersicht'!$E:$E,MATCH(A39,'Projekt-Budget-Übersicht'!$A:$A,0)),"")</f>
        <v/>
      </c>
      <c r="O39" s="11" t="inlineStr"/>
      <c r="P39" s="11" t="inlineStr"/>
    </row>
    <row r="40">
      <c r="A40" s="15" t="n"/>
      <c r="B40" s="4" t="inlineStr">
        <is>
          <t>Einarbeitung neuer Mitarbeiter (max. 8h/Monat pro MA)</t>
        </is>
      </c>
      <c r="C40" s="4" t="inlineStr">
        <is>
          <t>M</t>
        </is>
      </c>
      <c r="D40" s="4" t="n">
        <v>8</v>
      </c>
      <c r="E40" s="4" t="n">
        <v>3</v>
      </c>
      <c r="F40" s="4" t="n">
        <v>3</v>
      </c>
      <c r="G40" s="17" t="n">
        <v>37.5</v>
      </c>
      <c r="H40" s="5" t="n"/>
      <c r="I40" s="5">
        <f>IF(H40=0,"",F40-H40)</f>
        <v/>
      </c>
      <c r="J40" s="4" t="n"/>
      <c r="K40" s="5">
        <f>IF('M. Bandlofsky'!J26="A. Kokott",'M. Bandlofsky'!I26,0)+IF('O. Haag BS-CAD'!J52="A. Kokott",'O. Haag BS-CAD'!I52,0)+IF('P. Bergner'!J22="A. Kokott",'P. Bergner'!I22,0)+IF('R. Wagen CAD'!J31="A. Kokott",'R. Wagen CAD'!I31,0)+IF('T. Trautmann'!J29="A. Kokott",'T. Trautmann'!I29,0)+IF('U. Sutter ADM'!J29="A. Kokott",'U. Sutter ADM'!I29,0)</f>
        <v/>
      </c>
      <c r="L40" s="11">
        <f>IF($B$2="-","",IF($B$2="Pauschale",IFERROR(INDEX('Projekt-Budget-Übersicht'!$H:$H,MATCH(A40,'Projekt-Budget-Übersicht'!$A:$A,0)),""),IF($B$2="SV",IFERROR(INDEX('Projekt-Budget-Übersicht'!$H:$H,MATCH(A40,'Projekt-Budget-Übersicht'!$A:$A,0)),""),IF($B$2="CAD",IFERROR(INDEX('Projekt-Budget-Übersicht'!$I:$I,MATCH(A40,'Projekt-Budget-Übersicht'!$A:$A,0)),""),IF($B$2="ADM",IFERROR(INDEX('Projekt-Budget-Übersicht'!$J:$J,MATCH(A40,'Projekt-Budget-Übersicht'!$A:$A,0)),""),"")))))</f>
        <v/>
      </c>
      <c r="M40" s="11">
        <f>IF($B$2="-","",L40*(F40+I40+K40))</f>
        <v/>
      </c>
      <c r="N40" s="11">
        <f>IFERROR(INDEX('Projekt-Budget-Übersicht'!$E:$E,MATCH(A40,'Projekt-Budget-Übersicht'!$A:$A,0)),"")</f>
        <v/>
      </c>
      <c r="O40" s="11" t="inlineStr"/>
      <c r="P40" s="11" t="inlineStr"/>
    </row>
    <row r="41">
      <c r="A41" s="4" t="inlineStr">
        <is>
          <t>2032.061 aam2core-FRP-Halbergstraße1-LU</t>
        </is>
      </c>
      <c r="B41" s="4" t="inlineStr">
        <is>
          <t>ADM</t>
        </is>
      </c>
      <c r="C41" s="4" t="inlineStr">
        <is>
          <t>G</t>
        </is>
      </c>
      <c r="D41" s="4" t="n">
        <v>1</v>
      </c>
      <c r="E41" s="4" t="n">
        <v>1.25</v>
      </c>
      <c r="F41" s="4" t="n">
        <v>0.5</v>
      </c>
      <c r="G41" s="16" t="n">
        <v>125</v>
      </c>
      <c r="H41" s="5" t="n"/>
      <c r="I41" s="5">
        <f>IF(H41=0,"",F41-H41)</f>
        <v/>
      </c>
      <c r="J41" s="4" t="n"/>
      <c r="K41" s="5" t="n">
        <v>0</v>
      </c>
      <c r="L41" s="11">
        <f>IF($B$2="-","",IF($B$2="Pauschale",IFERROR(INDEX('Projekt-Budget-Übersicht'!$H:$H,MATCH(A41,'Projekt-Budget-Übersicht'!$A:$A,0)),""),IF($B$2="SV",IFERROR(INDEX('Projekt-Budget-Übersicht'!$H:$H,MATCH(A41,'Projekt-Budget-Übersicht'!$A:$A,0)),""),IF($B$2="CAD",IFERROR(INDEX('Projekt-Budget-Übersicht'!$I:$I,MATCH(A41,'Projekt-Budget-Übersicht'!$A:$A,0)),""),IF($B$2="ADM",IFERROR(INDEX('Projekt-Budget-Übersicht'!$J:$J,MATCH(A41,'Projekt-Budget-Übersicht'!$A:$A,0)),""),"")))))</f>
        <v/>
      </c>
      <c r="M41" s="11">
        <f>IF($B$2="-","",L41*(F41+I41+K41))</f>
        <v/>
      </c>
      <c r="N41" s="11">
        <f>IFERROR(INDEX('Projekt-Budget-Übersicht'!$E:$E,MATCH(A41,'Projekt-Budget-Übersicht'!$A:$A,0)),"")</f>
        <v/>
      </c>
      <c r="O41" s="11" t="inlineStr"/>
      <c r="P41" s="11" t="inlineStr"/>
    </row>
    <row r="42">
      <c r="A42" s="4" t="inlineStr">
        <is>
          <t>3258.30 Öztürk-FRP-DQ-Pilates-Studio-Marktstr1-3-Stuttgart</t>
        </is>
      </c>
      <c r="B42" s="4" t="inlineStr">
        <is>
          <t>ADM</t>
        </is>
      </c>
      <c r="C42" s="4" t="inlineStr">
        <is>
          <t>G</t>
        </is>
      </c>
      <c r="D42" s="4" t="n">
        <v>1</v>
      </c>
      <c r="E42" s="4" t="n">
        <v>1.25</v>
      </c>
      <c r="F42" s="4" t="n">
        <v>0.5</v>
      </c>
      <c r="G42" s="16" t="n">
        <v>125</v>
      </c>
      <c r="H42" s="5" t="n"/>
      <c r="I42" s="5">
        <f>IF(H42=0,"",F42-H42)</f>
        <v/>
      </c>
      <c r="J42" s="4" t="n"/>
      <c r="K42" s="5" t="n">
        <v>0</v>
      </c>
      <c r="L42" s="11">
        <f>IF($B$2="-","",IF($B$2="Pauschale",IFERROR(INDEX('Projekt-Budget-Übersicht'!$H:$H,MATCH(A42,'Projekt-Budget-Übersicht'!$A:$A,0)),""),IF($B$2="SV",IFERROR(INDEX('Projekt-Budget-Übersicht'!$H:$H,MATCH(A42,'Projekt-Budget-Übersicht'!$A:$A,0)),""),IF($B$2="CAD",IFERROR(INDEX('Projekt-Budget-Übersicht'!$I:$I,MATCH(A42,'Projekt-Budget-Übersicht'!$A:$A,0)),""),IF($B$2="ADM",IFERROR(INDEX('Projekt-Budget-Übersicht'!$J:$J,MATCH(A42,'Projekt-Budget-Übersicht'!$A:$A,0)),""),"")))))</f>
        <v/>
      </c>
      <c r="M42" s="11">
        <f>IF($B$2="-","",L42*(F42+I42+K42))</f>
        <v/>
      </c>
      <c r="N42" s="11">
        <f>IFERROR(INDEX('Projekt-Budget-Übersicht'!$E:$E,MATCH(A42,'Projekt-Budget-Übersicht'!$A:$A,0)),"")</f>
        <v/>
      </c>
      <c r="O42" s="11" t="inlineStr"/>
      <c r="P42" s="11" t="inlineStr"/>
    </row>
    <row r="43">
      <c r="A43" s="4" t="inlineStr">
        <is>
          <t>3943.06 TFD-BSK-EuropePlaza-Innere-Wiener-Straße17-München</t>
        </is>
      </c>
      <c r="B43" s="4" t="inlineStr">
        <is>
          <t>3100-Erarbeiten des Brandschutzkonzept/Nachweis/Stellungnahme</t>
        </is>
      </c>
      <c r="C43" s="4" t="inlineStr">
        <is>
          <t>G</t>
        </is>
      </c>
      <c r="D43" s="4" t="n">
        <v>0</v>
      </c>
      <c r="E43" s="4" t="n">
        <v>0</v>
      </c>
      <c r="F43" s="4" t="n">
        <v>0.25</v>
      </c>
      <c r="G43" s="4" t="n">
        <v>0</v>
      </c>
      <c r="H43" s="5" t="n"/>
      <c r="I43" s="5">
        <f>IF(H43=0,"",F43-H43)</f>
        <v/>
      </c>
      <c r="J43" s="4" t="n"/>
      <c r="K43" s="5" t="n">
        <v>0</v>
      </c>
      <c r="L43" s="11">
        <f>IF($B$2="-","",IF($B$2="Pauschale",IFERROR(INDEX('Projekt-Budget-Übersicht'!$H:$H,MATCH(A43,'Projekt-Budget-Übersicht'!$A:$A,0)),""),IF($B$2="SV",IFERROR(INDEX('Projekt-Budget-Übersicht'!$H:$H,MATCH(A43,'Projekt-Budget-Übersicht'!$A:$A,0)),""),IF($B$2="CAD",IFERROR(INDEX('Projekt-Budget-Übersicht'!$I:$I,MATCH(A43,'Projekt-Budget-Übersicht'!$A:$A,0)),""),IF($B$2="ADM",IFERROR(INDEX('Projekt-Budget-Übersicht'!$J:$J,MATCH(A43,'Projekt-Budget-Übersicht'!$A:$A,0)),""),"")))))</f>
        <v/>
      </c>
      <c r="M43" s="11">
        <f>IF($B$2="-","",L43*(F43+I43+K43))</f>
        <v/>
      </c>
      <c r="N43" s="11">
        <f>IFERROR(INDEX('Projekt-Budget-Übersicht'!$E:$E,MATCH(A43,'Projekt-Budget-Übersicht'!$A:$A,0)),"")</f>
        <v/>
      </c>
      <c r="O43" s="11" t="inlineStr"/>
      <c r="P43" s="11" t="inlineStr"/>
    </row>
    <row r="44">
      <c r="A44" s="4" t="inlineStr">
        <is>
          <t>4249.12 Apleona-BSK-Geb10+11-Am-Keltenwald-Ehningen</t>
        </is>
      </c>
      <c r="B44" s="4" t="inlineStr">
        <is>
          <t>ADM</t>
        </is>
      </c>
      <c r="C44" s="4" t="inlineStr">
        <is>
          <t>G</t>
        </is>
      </c>
      <c r="D44" s="4" t="n">
        <v>1</v>
      </c>
      <c r="E44" s="4" t="n">
        <v>3</v>
      </c>
      <c r="F44" s="4" t="n">
        <v>0.5</v>
      </c>
      <c r="G44" s="16" t="n">
        <v>300</v>
      </c>
      <c r="H44" s="5" t="n"/>
      <c r="I44" s="5">
        <f>IF(H44=0,"",F44-H44)</f>
        <v/>
      </c>
      <c r="J44" s="4" t="n"/>
      <c r="K44" s="5" t="n">
        <v>0</v>
      </c>
      <c r="L44" s="11">
        <f>IF($B$2="-","",IF($B$2="Pauschale",IFERROR(INDEX('Projekt-Budget-Übersicht'!$H:$H,MATCH(A44,'Projekt-Budget-Übersicht'!$A:$A,0)),""),IF($B$2="SV",IFERROR(INDEX('Projekt-Budget-Übersicht'!$H:$H,MATCH(A44,'Projekt-Budget-Übersicht'!$A:$A,0)),""),IF($B$2="CAD",IFERROR(INDEX('Projekt-Budget-Übersicht'!$I:$I,MATCH(A44,'Projekt-Budget-Übersicht'!$A:$A,0)),""),IF($B$2="ADM",IFERROR(INDEX('Projekt-Budget-Übersicht'!$J:$J,MATCH(A44,'Projekt-Budget-Übersicht'!$A:$A,0)),""),"")))))</f>
        <v/>
      </c>
      <c r="M44" s="11">
        <f>IF($B$2="-","",L44*(F44+I44+K44))</f>
        <v/>
      </c>
      <c r="N44" s="11">
        <f>IFERROR(INDEX('Projekt-Budget-Übersicht'!$E:$E,MATCH(A44,'Projekt-Budget-Übersicht'!$A:$A,0)),"")</f>
        <v/>
      </c>
      <c r="O44" s="11" t="inlineStr"/>
      <c r="P44" s="11" t="inlineStr"/>
    </row>
    <row r="45">
      <c r="A45" s="4" t="inlineStr">
        <is>
          <t>4436.043 FWP-NA003-KKH-Bergstraße-Viernheimer-Straße-2-Heppenheim-Bauphase+NB-BauteilG</t>
        </is>
      </c>
      <c r="B45" s="4" t="inlineStr">
        <is>
          <t>9200-Erstellen od. Prüfen Feuerwehrpläne….</t>
        </is>
      </c>
      <c r="C45" s="4" t="inlineStr">
        <is>
          <t>G</t>
        </is>
      </c>
      <c r="D45" s="4" t="n">
        <v>230</v>
      </c>
      <c r="E45" s="4" t="n">
        <v>31.75</v>
      </c>
      <c r="F45" s="4" t="n">
        <v>0.25</v>
      </c>
      <c r="G45" s="17" t="n">
        <v>13.8</v>
      </c>
      <c r="H45" s="5" t="n"/>
      <c r="I45" s="5">
        <f>IF(H45=0,"",F45-H45)</f>
        <v/>
      </c>
      <c r="J45" s="4" t="n"/>
      <c r="K45" s="5">
        <f>IF('M. Warner'!J8="A. Kokott",'M. Warner'!I8,0)+IF('S. Schüler'!J62="A. Kokott",'S. Schüler'!I62,0)</f>
        <v/>
      </c>
      <c r="L45" s="11">
        <f>IF($B$2="-","",IF($B$2="Pauschale",IFERROR(INDEX('Projekt-Budget-Übersicht'!$H:$H,MATCH(A45,'Projekt-Budget-Übersicht'!$A:$A,0)),""),IF($B$2="SV",IFERROR(INDEX('Projekt-Budget-Übersicht'!$H:$H,MATCH(A45,'Projekt-Budget-Übersicht'!$A:$A,0)),""),IF($B$2="CAD",IFERROR(INDEX('Projekt-Budget-Übersicht'!$I:$I,MATCH(A45,'Projekt-Budget-Übersicht'!$A:$A,0)),""),IF($B$2="ADM",IFERROR(INDEX('Projekt-Budget-Übersicht'!$J:$J,MATCH(A45,'Projekt-Budget-Übersicht'!$A:$A,0)),""),"")))))</f>
        <v/>
      </c>
      <c r="M45" s="11">
        <f>IF($B$2="-","",L45*(F45+I45+K45))</f>
        <v/>
      </c>
      <c r="N45" s="11">
        <f>IFERROR(INDEX('Projekt-Budget-Übersicht'!$E:$E,MATCH(A45,'Projekt-Budget-Übersicht'!$A:$A,0)),"")</f>
        <v/>
      </c>
      <c r="O45" s="11" t="inlineStr"/>
      <c r="P45" s="11" t="inlineStr"/>
    </row>
    <row r="46">
      <c r="A46" s="4" t="inlineStr">
        <is>
          <t>5395.04 Burkhardt-Witteler-BSK-Gesundheitszentrum-Industriestr17-Ladenburg</t>
        </is>
      </c>
      <c r="B46" s="4" t="inlineStr">
        <is>
          <t>ADM</t>
        </is>
      </c>
      <c r="C46" s="4" t="inlineStr">
        <is>
          <t>G</t>
        </is>
      </c>
      <c r="D46" s="4" t="n">
        <v>1</v>
      </c>
      <c r="E46" s="4" t="n">
        <v>1.75</v>
      </c>
      <c r="F46" s="4" t="n">
        <v>1</v>
      </c>
      <c r="G46" s="16" t="n">
        <v>175</v>
      </c>
      <c r="H46" s="5" t="n"/>
      <c r="I46" s="5">
        <f>IF(H46=0,"",F46-H46)</f>
        <v/>
      </c>
      <c r="J46" s="4" t="n"/>
      <c r="K46" s="5" t="n">
        <v>0</v>
      </c>
      <c r="L46" s="11">
        <f>IF($B$2="-","",IF($B$2="Pauschale",IFERROR(INDEX('Projekt-Budget-Übersicht'!$H:$H,MATCH(A46,'Projekt-Budget-Übersicht'!$A:$A,0)),""),IF($B$2="SV",IFERROR(INDEX('Projekt-Budget-Übersicht'!$H:$H,MATCH(A46,'Projekt-Budget-Übersicht'!$A:$A,0)),""),IF($B$2="CAD",IFERROR(INDEX('Projekt-Budget-Übersicht'!$I:$I,MATCH(A46,'Projekt-Budget-Übersicht'!$A:$A,0)),""),IF($B$2="ADM",IFERROR(INDEX('Projekt-Budget-Übersicht'!$J:$J,MATCH(A46,'Projekt-Budget-Übersicht'!$A:$A,0)),""),"")))))</f>
        <v/>
      </c>
      <c r="M46" s="11">
        <f>IF($B$2="-","",L46*(F46+I46+K46))</f>
        <v/>
      </c>
      <c r="N46" s="11">
        <f>IFERROR(INDEX('Projekt-Budget-Übersicht'!$E:$E,MATCH(A46,'Projekt-Budget-Übersicht'!$A:$A,0)),"")</f>
        <v/>
      </c>
      <c r="O46" s="11" t="inlineStr"/>
      <c r="P46" s="11" t="inlineStr"/>
    </row>
    <row r="47">
      <c r="A47" s="13" t="inlineStr">
        <is>
          <t>5607.05 BAB-NB-J4-Zentralinstitut-für-seelische-Gesundheit-Mannheim</t>
        </is>
      </c>
      <c r="B47" s="4" t="inlineStr">
        <is>
          <t>(p) NAT03-Bestandsaufnahme (Ist-Aufnahme)</t>
        </is>
      </c>
      <c r="C47" s="4" t="inlineStr">
        <is>
          <t>G</t>
        </is>
      </c>
      <c r="D47" s="4" t="n">
        <v>32</v>
      </c>
      <c r="E47" s="4" t="n">
        <v>51.75</v>
      </c>
      <c r="F47" s="4" t="n">
        <v>0.5</v>
      </c>
      <c r="G47" s="16" t="n">
        <v>161.72</v>
      </c>
      <c r="H47" s="5" t="n"/>
      <c r="I47" s="5">
        <f>IF(H47=0,"",F47-H47)</f>
        <v/>
      </c>
      <c r="J47" s="4" t="n"/>
      <c r="K47" s="5">
        <f>IF('C. Trapp SV'!J39="A. Kokott",'C. Trapp SV'!I39,0)+IF('S. Roßkopf'!J7="A. Kokott",'S. Roßkopf'!I7,0)</f>
        <v/>
      </c>
      <c r="L47" s="11">
        <f>IF($B$2="-","",IF($B$2="Pauschale",IFERROR(INDEX('Projekt-Budget-Übersicht'!$H:$H,MATCH(A47,'Projekt-Budget-Übersicht'!$A:$A,0)),""),IF($B$2="SV",IFERROR(INDEX('Projekt-Budget-Übersicht'!$H:$H,MATCH(A47,'Projekt-Budget-Übersicht'!$A:$A,0)),""),IF($B$2="CAD",IFERROR(INDEX('Projekt-Budget-Übersicht'!$I:$I,MATCH(A47,'Projekt-Budget-Übersicht'!$A:$A,0)),""),IF($B$2="ADM",IFERROR(INDEX('Projekt-Budget-Übersicht'!$J:$J,MATCH(A47,'Projekt-Budget-Übersicht'!$A:$A,0)),""),"")))))</f>
        <v/>
      </c>
      <c r="M47" s="11">
        <f>IF($B$2="-","",L47*(F47+I47+K47))</f>
        <v/>
      </c>
      <c r="N47" s="11">
        <f>IFERROR(INDEX('Projekt-Budget-Übersicht'!$E:$E,MATCH(A47,'Projekt-Budget-Übersicht'!$A:$A,0)),"")</f>
        <v/>
      </c>
      <c r="O47" s="11" t="inlineStr"/>
      <c r="P47" s="11" t="inlineStr"/>
    </row>
    <row r="48">
      <c r="A48" s="15" t="n"/>
      <c r="B48" s="4" t="inlineStr">
        <is>
          <t>9101-Fortschreibung Brandschutzkonzept….</t>
        </is>
      </c>
      <c r="C48" s="4" t="inlineStr">
        <is>
          <t>G</t>
        </is>
      </c>
      <c r="D48" s="4" t="n">
        <v>14.25</v>
      </c>
      <c r="E48" s="4" t="n">
        <v>53.25</v>
      </c>
      <c r="F48" s="4" t="n">
        <v>0.5</v>
      </c>
      <c r="G48" s="16" t="n">
        <v>373.68</v>
      </c>
      <c r="H48" s="5" t="n"/>
      <c r="I48" s="5">
        <f>IF(H48=0,"",F48-H48)</f>
        <v/>
      </c>
      <c r="J48" s="4" t="n"/>
      <c r="K48" s="5">
        <f>IF('S. Schüler'!J64="A. Kokott",'S. Schüler'!I64,0)</f>
        <v/>
      </c>
      <c r="L48" s="11">
        <f>IF($B$2="-","",IF($B$2="Pauschale",IFERROR(INDEX('Projekt-Budget-Übersicht'!$H:$H,MATCH(A48,'Projekt-Budget-Übersicht'!$A:$A,0)),""),IF($B$2="SV",IFERROR(INDEX('Projekt-Budget-Übersicht'!$H:$H,MATCH(A48,'Projekt-Budget-Übersicht'!$A:$A,0)),""),IF($B$2="CAD",IFERROR(INDEX('Projekt-Budget-Übersicht'!$I:$I,MATCH(A48,'Projekt-Budget-Übersicht'!$A:$A,0)),""),IF($B$2="ADM",IFERROR(INDEX('Projekt-Budget-Übersicht'!$J:$J,MATCH(A48,'Projekt-Budget-Übersicht'!$A:$A,0)),""),"")))))</f>
        <v/>
      </c>
      <c r="M48" s="11">
        <f>IF($B$2="-","",L48*(F48+I48+K48))</f>
        <v/>
      </c>
      <c r="N48" s="11">
        <f>IFERROR(INDEX('Projekt-Budget-Übersicht'!$E:$E,MATCH(A48,'Projekt-Budget-Übersicht'!$A:$A,0)),"")</f>
        <v/>
      </c>
      <c r="O48" s="11" t="inlineStr"/>
      <c r="P48" s="11" t="inlineStr"/>
    </row>
    <row r="49">
      <c r="A49" s="4" t="inlineStr">
        <is>
          <t>5664.19 (5667.04)  KOB-BAB-Umbau-Sprinkleranlage-Lauterstr50-Wolfstein</t>
        </is>
      </c>
      <c r="B49" s="4" t="inlineStr">
        <is>
          <t>3100-Erarbeiten des Brandschutzkonzept/Nachweis/Stellungnahme (SV)</t>
        </is>
      </c>
      <c r="C49" s="4" t="inlineStr">
        <is>
          <t>G</t>
        </is>
      </c>
      <c r="D49" s="4" t="n">
        <v>16</v>
      </c>
      <c r="E49" s="4" t="n">
        <v>18</v>
      </c>
      <c r="F49" s="4" t="n">
        <v>0.25</v>
      </c>
      <c r="G49" s="16" t="n">
        <v>112.5</v>
      </c>
      <c r="H49" s="5" t="n"/>
      <c r="I49" s="5">
        <f>IF(H49=0,"",F49-H49)</f>
        <v/>
      </c>
      <c r="J49" s="4" t="n"/>
      <c r="K49" s="5">
        <f>IF('J. Dorn'!J51="A. Kokott",'J. Dorn'!I51,0)+IF('T. Trautmann'!J41="A. Kokott",'T. Trautmann'!I41,0)</f>
        <v/>
      </c>
      <c r="L49" s="11">
        <f>IF($B$2="-","",IF($B$2="Pauschale",IFERROR(INDEX('Projekt-Budget-Übersicht'!$H:$H,MATCH(A49,'Projekt-Budget-Übersicht'!$A:$A,0)),""),IF($B$2="SV",IFERROR(INDEX('Projekt-Budget-Übersicht'!$H:$H,MATCH(A49,'Projekt-Budget-Übersicht'!$A:$A,0)),""),IF($B$2="CAD",IFERROR(INDEX('Projekt-Budget-Übersicht'!$I:$I,MATCH(A49,'Projekt-Budget-Übersicht'!$A:$A,0)),""),IF($B$2="ADM",IFERROR(INDEX('Projekt-Budget-Übersicht'!$J:$J,MATCH(A49,'Projekt-Budget-Übersicht'!$A:$A,0)),""),"")))))</f>
        <v/>
      </c>
      <c r="M49" s="11">
        <f>IF($B$2="-","",L49*(F49+I49+K49))</f>
        <v/>
      </c>
      <c r="N49" s="11">
        <f>IFERROR(INDEX('Projekt-Budget-Übersicht'!$E:$E,MATCH(A49,'Projekt-Budget-Übersicht'!$A:$A,0)),"")</f>
        <v/>
      </c>
      <c r="O49" s="11" t="inlineStr"/>
      <c r="P49" s="11" t="inlineStr"/>
    </row>
    <row r="50">
      <c r="A50" s="4" t="inlineStr">
        <is>
          <t>6313.02 BSK+BAB-Otto-Volger-Straße-Sulzbach-Limespark</t>
        </is>
      </c>
      <c r="B50" s="4" t="inlineStr">
        <is>
          <t>4103-Erarbeiten Brandschutzkonzeptpläne….</t>
        </is>
      </c>
      <c r="C50" s="4" t="inlineStr">
        <is>
          <t>G</t>
        </is>
      </c>
      <c r="D50" s="4" t="n">
        <v>100</v>
      </c>
      <c r="E50" s="4" t="n">
        <v>101.5</v>
      </c>
      <c r="F50" s="4" t="n">
        <v>0.75</v>
      </c>
      <c r="G50" s="16" t="n">
        <v>101.5</v>
      </c>
      <c r="H50" s="5" t="n"/>
      <c r="I50" s="5">
        <f>IF(H50=0,"",F50-H50)</f>
        <v/>
      </c>
      <c r="J50" s="4" t="n"/>
      <c r="K50" s="5" t="n">
        <v>0</v>
      </c>
      <c r="L50" s="11">
        <f>IF($B$2="-","",IF($B$2="Pauschale",IFERROR(INDEX('Projekt-Budget-Übersicht'!$H:$H,MATCH(A50,'Projekt-Budget-Übersicht'!$A:$A,0)),""),IF($B$2="SV",IFERROR(INDEX('Projekt-Budget-Übersicht'!$H:$H,MATCH(A50,'Projekt-Budget-Übersicht'!$A:$A,0)),""),IF($B$2="CAD",IFERROR(INDEX('Projekt-Budget-Übersicht'!$I:$I,MATCH(A50,'Projekt-Budget-Übersicht'!$A:$A,0)),""),IF($B$2="ADM",IFERROR(INDEX('Projekt-Budget-Übersicht'!$J:$J,MATCH(A50,'Projekt-Budget-Übersicht'!$A:$A,0)),""),"")))))</f>
        <v/>
      </c>
      <c r="M50" s="11">
        <f>IF($B$2="-","",L50*(F50+I50+K50))</f>
        <v/>
      </c>
      <c r="N50" s="11">
        <f>IFERROR(INDEX('Projekt-Budget-Übersicht'!$E:$E,MATCH(A50,'Projekt-Budget-Übersicht'!$A:$A,0)),"")</f>
        <v/>
      </c>
      <c r="O50" s="11" t="inlineStr"/>
      <c r="P50" s="11" t="inlineStr"/>
    </row>
    <row r="51">
      <c r="A51" s="4" t="inlineStr">
        <is>
          <t>6649.03 formica-Anp-BSK-Otto-Hahn-Str-Hilden-Laer</t>
        </is>
      </c>
      <c r="B51" s="4" t="inlineStr">
        <is>
          <t>SV</t>
        </is>
      </c>
      <c r="C51" s="4" t="inlineStr">
        <is>
          <t>G</t>
        </is>
      </c>
      <c r="D51" s="4" t="n">
        <v>0</v>
      </c>
      <c r="E51" s="4" t="n">
        <v>-1</v>
      </c>
      <c r="F51" s="4" t="n">
        <v>0.5</v>
      </c>
      <c r="G51" s="4" t="n">
        <v>0</v>
      </c>
      <c r="H51" s="5" t="n"/>
      <c r="I51" s="5">
        <f>IF(H51=0,"",F51-H51)</f>
        <v/>
      </c>
      <c r="J51" s="4" t="n"/>
      <c r="K51" s="5">
        <f>IF('J. Dorn'!J64="A. Kokott",'J. Dorn'!I64,0)+IF('T. Trautmann'!J50="A. Kokott",'T. Trautmann'!I50,0)</f>
        <v/>
      </c>
      <c r="L51" s="11">
        <f>IF($B$2="-","",IF($B$2="Pauschale",IFERROR(INDEX('Projekt-Budget-Übersicht'!$H:$H,MATCH(A51,'Projekt-Budget-Übersicht'!$A:$A,0)),""),IF($B$2="SV",IFERROR(INDEX('Projekt-Budget-Übersicht'!$H:$H,MATCH(A51,'Projekt-Budget-Übersicht'!$A:$A,0)),""),IF($B$2="CAD",IFERROR(INDEX('Projekt-Budget-Übersicht'!$I:$I,MATCH(A51,'Projekt-Budget-Übersicht'!$A:$A,0)),""),IF($B$2="ADM",IFERROR(INDEX('Projekt-Budget-Übersicht'!$J:$J,MATCH(A51,'Projekt-Budget-Übersicht'!$A:$A,0)),""),"")))))</f>
        <v/>
      </c>
      <c r="M51" s="11">
        <f>IF($B$2="-","",L51*(F51+I51+K51))</f>
        <v/>
      </c>
      <c r="N51" s="11">
        <f>IFERROR(INDEX('Projekt-Budget-Übersicht'!$E:$E,MATCH(A51,'Projekt-Budget-Übersicht'!$A:$A,0)),"")</f>
        <v/>
      </c>
      <c r="O51" s="11" t="inlineStr"/>
      <c r="P51" s="11" t="inlineStr"/>
    </row>
    <row r="52">
      <c r="A52" s="4" t="inlineStr">
        <is>
          <t>6712.011 Züblin-Strabag-NA02-LP5-BTB-Waldstr6-10-Weiterstadt</t>
        </is>
      </c>
      <c r="B52" s="4" t="inlineStr">
        <is>
          <t>5000-Ausführungsplanung</t>
        </is>
      </c>
      <c r="C52" s="4" t="inlineStr">
        <is>
          <t>G</t>
        </is>
      </c>
      <c r="D52" s="4" t="n">
        <v>25</v>
      </c>
      <c r="E52" s="4" t="n">
        <v>3.25</v>
      </c>
      <c r="F52" s="4" t="n">
        <v>0.5</v>
      </c>
      <c r="G52" s="17" t="n">
        <v>13</v>
      </c>
      <c r="H52" s="5" t="n"/>
      <c r="I52" s="5">
        <f>IF(H52=0,"",F52-H52)</f>
        <v/>
      </c>
      <c r="J52" s="4" t="n"/>
      <c r="K52" s="5">
        <f>IF('P. Bergner'!J32="A. Kokott",'P. Bergner'!I32,0)</f>
        <v/>
      </c>
      <c r="L52" s="11">
        <f>IF($B$2="-","",IF($B$2="Pauschale",IFERROR(INDEX('Projekt-Budget-Übersicht'!$H:$H,MATCH(A52,'Projekt-Budget-Übersicht'!$A:$A,0)),""),IF($B$2="SV",IFERROR(INDEX('Projekt-Budget-Übersicht'!$H:$H,MATCH(A52,'Projekt-Budget-Übersicht'!$A:$A,0)),""),IF($B$2="CAD",IFERROR(INDEX('Projekt-Budget-Übersicht'!$I:$I,MATCH(A52,'Projekt-Budget-Übersicht'!$A:$A,0)),""),IF($B$2="ADM",IFERROR(INDEX('Projekt-Budget-Übersicht'!$J:$J,MATCH(A52,'Projekt-Budget-Übersicht'!$A:$A,0)),""),"")))))</f>
        <v/>
      </c>
      <c r="M52" s="11">
        <f>IF($B$2="-","",L52*(F52+I52+K52))</f>
        <v/>
      </c>
      <c r="N52" s="11">
        <f>IFERROR(INDEX('Projekt-Budget-Übersicht'!$E:$E,MATCH(A52,'Projekt-Budget-Übersicht'!$A:$A,0)),"")</f>
        <v/>
      </c>
      <c r="O52" s="11" t="inlineStr"/>
      <c r="P52" s="11" t="inlineStr"/>
    </row>
    <row r="53">
      <c r="A53" s="4" t="inlineStr">
        <is>
          <t>7000.01 RES-NAT-BSK-WEA-Oberrot</t>
        </is>
      </c>
      <c r="B53" s="4" t="inlineStr">
        <is>
          <t>ADM</t>
        </is>
      </c>
      <c r="C53" s="4" t="inlineStr">
        <is>
          <t>G</t>
        </is>
      </c>
      <c r="D53" s="4" t="n">
        <v>1</v>
      </c>
      <c r="E53" s="4" t="n">
        <v>1.25</v>
      </c>
      <c r="F53" s="4" t="n">
        <v>0.5</v>
      </c>
      <c r="G53" s="16" t="n">
        <v>125</v>
      </c>
      <c r="H53" s="5" t="n"/>
      <c r="I53" s="5">
        <f>IF(H53=0,"",F53-H53)</f>
        <v/>
      </c>
      <c r="J53" s="4" t="n"/>
      <c r="K53" s="5" t="n">
        <v>0</v>
      </c>
      <c r="L53" s="11">
        <f>IF($B$2="-","",IF($B$2="Pauschale",IFERROR(INDEX('Projekt-Budget-Übersicht'!$H:$H,MATCH(A53,'Projekt-Budget-Übersicht'!$A:$A,0)),""),IF($B$2="SV",IFERROR(INDEX('Projekt-Budget-Übersicht'!$H:$H,MATCH(A53,'Projekt-Budget-Übersicht'!$A:$A,0)),""),IF($B$2="CAD",IFERROR(INDEX('Projekt-Budget-Übersicht'!$I:$I,MATCH(A53,'Projekt-Budget-Übersicht'!$A:$A,0)),""),IF($B$2="ADM",IFERROR(INDEX('Projekt-Budget-Übersicht'!$J:$J,MATCH(A53,'Projekt-Budget-Übersicht'!$A:$A,0)),""),"")))))</f>
        <v/>
      </c>
      <c r="M53" s="11">
        <f>IF($B$2="-","",L53*(F53+I53+K53))</f>
        <v/>
      </c>
      <c r="N53" s="11">
        <f>IFERROR(INDEX('Projekt-Budget-Übersicht'!$E:$E,MATCH(A53,'Projekt-Budget-Übersicht'!$A:$A,0)),"")</f>
        <v/>
      </c>
      <c r="O53" s="11" t="inlineStr"/>
      <c r="P53" s="11" t="inlineStr"/>
    </row>
    <row r="54">
      <c r="A54" s="4" t="inlineStr">
        <is>
          <t>7272 SW-Tübingen-BSK-WEA-Ostelsheim</t>
        </is>
      </c>
      <c r="B54" s="4" t="inlineStr">
        <is>
          <t>ADM</t>
        </is>
      </c>
      <c r="C54" s="4" t="inlineStr">
        <is>
          <t>G</t>
        </is>
      </c>
      <c r="D54" s="4" t="n">
        <v>0</v>
      </c>
      <c r="E54" s="4" t="n">
        <v>0</v>
      </c>
      <c r="F54" s="4" t="n">
        <v>0.5</v>
      </c>
      <c r="G54" s="4" t="n">
        <v>0</v>
      </c>
      <c r="H54" s="5" t="n"/>
      <c r="I54" s="5">
        <f>IF(H54=0,"",F54-H54)</f>
        <v/>
      </c>
      <c r="J54" s="4" t="n"/>
      <c r="K54" s="5" t="n">
        <v>0</v>
      </c>
      <c r="L54" s="11">
        <f>IF($B$2="-","",IF($B$2="Pauschale",IFERROR(INDEX('Projekt-Budget-Übersicht'!$H:$H,MATCH(A54,'Projekt-Budget-Übersicht'!$A:$A,0)),""),IF($B$2="SV",IFERROR(INDEX('Projekt-Budget-Übersicht'!$H:$H,MATCH(A54,'Projekt-Budget-Übersicht'!$A:$A,0)),""),IF($B$2="CAD",IFERROR(INDEX('Projekt-Budget-Übersicht'!$I:$I,MATCH(A54,'Projekt-Budget-Übersicht'!$A:$A,0)),""),IF($B$2="ADM",IFERROR(INDEX('Projekt-Budget-Übersicht'!$J:$J,MATCH(A54,'Projekt-Budget-Übersicht'!$A:$A,0)),""),"")))))</f>
        <v/>
      </c>
      <c r="M54" s="11">
        <f>IF($B$2="-","",L54*(F54+I54+K54))</f>
        <v/>
      </c>
      <c r="N54" s="11">
        <f>IFERROR(INDEX('Projekt-Budget-Übersicht'!$E:$E,MATCH(A54,'Projekt-Budget-Übersicht'!$A:$A,0)),"")</f>
        <v/>
      </c>
      <c r="O54" s="11" t="inlineStr"/>
      <c r="P54" s="11" t="inlineStr"/>
    </row>
    <row r="55">
      <c r="A55" s="4" t="inlineStr">
        <is>
          <t>7355.01 Pfizer-BSK-Umnutzung-Mooswaldallee-1-Freiburg-Geb-K</t>
        </is>
      </c>
      <c r="B55" s="4" t="inlineStr">
        <is>
          <t>ADM</t>
        </is>
      </c>
      <c r="C55" s="4" t="inlineStr">
        <is>
          <t>G</t>
        </is>
      </c>
      <c r="D55" s="4" t="n">
        <v>1</v>
      </c>
      <c r="E55" s="4" t="n">
        <v>1.5</v>
      </c>
      <c r="F55" s="4" t="n">
        <v>0.5</v>
      </c>
      <c r="G55" s="16" t="n">
        <v>150</v>
      </c>
      <c r="H55" s="5" t="n"/>
      <c r="I55" s="5">
        <f>IF(H55=0,"",F55-H55)</f>
        <v/>
      </c>
      <c r="J55" s="4" t="n"/>
      <c r="K55" s="5" t="n">
        <v>0</v>
      </c>
      <c r="L55" s="11">
        <f>IF($B$2="-","",IF($B$2="Pauschale",IFERROR(INDEX('Projekt-Budget-Übersicht'!$H:$H,MATCH(A55,'Projekt-Budget-Übersicht'!$A:$A,0)),""),IF($B$2="SV",IFERROR(INDEX('Projekt-Budget-Übersicht'!$H:$H,MATCH(A55,'Projekt-Budget-Übersicht'!$A:$A,0)),""),IF($B$2="CAD",IFERROR(INDEX('Projekt-Budget-Übersicht'!$I:$I,MATCH(A55,'Projekt-Budget-Übersicht'!$A:$A,0)),""),IF($B$2="ADM",IFERROR(INDEX('Projekt-Budget-Übersicht'!$J:$J,MATCH(A55,'Projekt-Budget-Übersicht'!$A:$A,0)),""),"")))))</f>
        <v/>
      </c>
      <c r="M55" s="11">
        <f>IF($B$2="-","",L55*(F55+I55+K55))</f>
        <v/>
      </c>
      <c r="N55" s="11">
        <f>IFERROR(INDEX('Projekt-Budget-Übersicht'!$E:$E,MATCH(A55,'Projekt-Budget-Übersicht'!$A:$A,0)),"")</f>
        <v/>
      </c>
      <c r="O55" s="11" t="inlineStr"/>
      <c r="P55" s="11" t="inlineStr"/>
    </row>
    <row r="56">
      <c r="A56" s="4" t="inlineStr">
        <is>
          <t>7361 Energieprojekte-DK-BSK-WP-Thalfingen+Repowering-Anlage-Seligweiler-Bayern</t>
        </is>
      </c>
      <c r="B56" s="4" t="inlineStr">
        <is>
          <t>ADM</t>
        </is>
      </c>
      <c r="C56" s="4" t="inlineStr">
        <is>
          <t>G</t>
        </is>
      </c>
      <c r="D56" s="4" t="n">
        <v>1</v>
      </c>
      <c r="E56" s="4" t="n">
        <v>0.5</v>
      </c>
      <c r="F56" s="4" t="n">
        <v>0.5</v>
      </c>
      <c r="G56" s="17" t="n">
        <v>50</v>
      </c>
      <c r="H56" s="5" t="n"/>
      <c r="I56" s="5">
        <f>IF(H56=0,"",F56-H56)</f>
        <v/>
      </c>
      <c r="J56" s="4" t="n"/>
      <c r="K56" s="5" t="n">
        <v>0</v>
      </c>
      <c r="L56" s="11">
        <f>IF($B$2="-","",IF($B$2="Pauschale",IFERROR(INDEX('Projekt-Budget-Übersicht'!$H:$H,MATCH(A56,'Projekt-Budget-Übersicht'!$A:$A,0)),""),IF($B$2="SV",IFERROR(INDEX('Projekt-Budget-Übersicht'!$H:$H,MATCH(A56,'Projekt-Budget-Übersicht'!$A:$A,0)),""),IF($B$2="CAD",IFERROR(INDEX('Projekt-Budget-Übersicht'!$I:$I,MATCH(A56,'Projekt-Budget-Übersicht'!$A:$A,0)),""),IF($B$2="ADM",IFERROR(INDEX('Projekt-Budget-Übersicht'!$J:$J,MATCH(A56,'Projekt-Budget-Übersicht'!$A:$A,0)),""),"")))))</f>
        <v/>
      </c>
      <c r="M56" s="11">
        <f>IF($B$2="-","",L56*(F56+I56+K56))</f>
        <v/>
      </c>
      <c r="N56" s="11">
        <f>IFERROR(INDEX('Projekt-Budget-Übersicht'!$E:$E,MATCH(A56,'Projekt-Budget-Übersicht'!$A:$A,0)),"")</f>
        <v/>
      </c>
      <c r="O56" s="11" t="inlineStr"/>
      <c r="P56" s="11" t="inlineStr"/>
    </row>
    <row r="57">
      <c r="A57" s="4" t="inlineStr">
        <is>
          <t>7364 SHE-BSK-WP-Göttingen-Baden-Württemberg</t>
        </is>
      </c>
      <c r="B57" s="4" t="inlineStr">
        <is>
          <t>ADM</t>
        </is>
      </c>
      <c r="C57" s="4" t="inlineStr">
        <is>
          <t>G</t>
        </is>
      </c>
      <c r="D57" s="4" t="n">
        <v>1</v>
      </c>
      <c r="E57" s="4" t="n">
        <v>1.25</v>
      </c>
      <c r="F57" s="4" t="n">
        <v>0.5</v>
      </c>
      <c r="G57" s="16" t="n">
        <v>125</v>
      </c>
      <c r="H57" s="5" t="n"/>
      <c r="I57" s="5">
        <f>IF(H57=0,"",F57-H57)</f>
        <v/>
      </c>
      <c r="J57" s="4" t="n"/>
      <c r="K57" s="5" t="n">
        <v>0</v>
      </c>
      <c r="L57" s="11">
        <f>IF($B$2="-","",IF($B$2="Pauschale",IFERROR(INDEX('Projekt-Budget-Übersicht'!$H:$H,MATCH(A57,'Projekt-Budget-Übersicht'!$A:$A,0)),""),IF($B$2="SV",IFERROR(INDEX('Projekt-Budget-Übersicht'!$H:$H,MATCH(A57,'Projekt-Budget-Übersicht'!$A:$A,0)),""),IF($B$2="CAD",IFERROR(INDEX('Projekt-Budget-Übersicht'!$I:$I,MATCH(A57,'Projekt-Budget-Übersicht'!$A:$A,0)),""),IF($B$2="ADM",IFERROR(INDEX('Projekt-Budget-Übersicht'!$J:$J,MATCH(A57,'Projekt-Budget-Übersicht'!$A:$A,0)),""),"")))))</f>
        <v/>
      </c>
      <c r="M57" s="11">
        <f>IF($B$2="-","",L57*(F57+I57+K57))</f>
        <v/>
      </c>
      <c r="N57" s="11">
        <f>IFERROR(INDEX('Projekt-Budget-Übersicht'!$E:$E,MATCH(A57,'Projekt-Budget-Übersicht'!$A:$A,0)),"")</f>
        <v/>
      </c>
      <c r="O57" s="11" t="inlineStr"/>
      <c r="P57" s="11" t="inlineStr"/>
    </row>
    <row r="58">
      <c r="A58" s="4" t="inlineStr">
        <is>
          <t>7365.01 UI-BST-StGeorgener-Str-2-Freiburg-Breisgaucenter</t>
        </is>
      </c>
      <c r="B58" s="4" t="inlineStr">
        <is>
          <t>3100-Erarbeiten des Brandschutzkonzept/Nachweis/Stellungnahme</t>
        </is>
      </c>
      <c r="C58" s="4" t="inlineStr">
        <is>
          <t>G</t>
        </is>
      </c>
      <c r="D58" s="4" t="n">
        <v>20</v>
      </c>
      <c r="E58" s="4" t="n">
        <v>19.25</v>
      </c>
      <c r="F58" s="4" t="n">
        <v>0.5</v>
      </c>
      <c r="G58" s="14" t="n">
        <v>96.25</v>
      </c>
      <c r="H58" s="5" t="n"/>
      <c r="I58" s="5">
        <f>IF(H58=0,"",F58-H58)</f>
        <v/>
      </c>
      <c r="J58" s="4" t="n"/>
      <c r="K58" s="5">
        <f>IF('R. Böttiger'!J40="A. Kokott",'R. Böttiger'!I40,0)</f>
        <v/>
      </c>
      <c r="L58" s="11">
        <f>IF($B$2="-","",IF($B$2="Pauschale",IFERROR(INDEX('Projekt-Budget-Übersicht'!$H:$H,MATCH(A58,'Projekt-Budget-Übersicht'!$A:$A,0)),""),IF($B$2="SV",IFERROR(INDEX('Projekt-Budget-Übersicht'!$H:$H,MATCH(A58,'Projekt-Budget-Übersicht'!$A:$A,0)),""),IF($B$2="CAD",IFERROR(INDEX('Projekt-Budget-Übersicht'!$I:$I,MATCH(A58,'Projekt-Budget-Übersicht'!$A:$A,0)),""),IF($B$2="ADM",IFERROR(INDEX('Projekt-Budget-Übersicht'!$J:$J,MATCH(A58,'Projekt-Budget-Übersicht'!$A:$A,0)),""),"")))))</f>
        <v/>
      </c>
      <c r="M58" s="11">
        <f>IF($B$2="-","",L58*(F58+I58+K58))</f>
        <v/>
      </c>
      <c r="N58" s="11">
        <f>IFERROR(INDEX('Projekt-Budget-Übersicht'!$E:$E,MATCH(A58,'Projekt-Budget-Übersicht'!$A:$A,0)),"")</f>
        <v/>
      </c>
      <c r="O58" s="11" t="inlineStr"/>
      <c r="P58" s="11" t="inlineStr"/>
    </row>
    <row r="59">
      <c r="A59" s="4" t="inlineStr">
        <is>
          <t>7370.02 LAER-formica-BSK-Garagenpark-Willi-Melchers-Straße-Lünen-NB-Hallenreihen</t>
        </is>
      </c>
      <c r="B59" s="4" t="inlineStr">
        <is>
          <t>3100-Erarbeiten des Brandschutzkonzept/Nachweis/Stellungnahme</t>
        </is>
      </c>
      <c r="C59" s="4" t="inlineStr">
        <is>
          <t>G</t>
        </is>
      </c>
      <c r="D59" s="4" t="n">
        <v>20</v>
      </c>
      <c r="E59" s="4" t="n">
        <v>21</v>
      </c>
      <c r="F59" s="4" t="n">
        <v>0.5</v>
      </c>
      <c r="G59" s="16" t="n">
        <v>105</v>
      </c>
      <c r="H59" s="5" t="n"/>
      <c r="I59" s="5">
        <f>IF(H59=0,"",F59-H59)</f>
        <v/>
      </c>
      <c r="J59" s="4" t="n"/>
      <c r="K59" s="5">
        <f>IF('J. Dorn'!J72="A. Kokott",'J. Dorn'!I72,0)</f>
        <v/>
      </c>
      <c r="L59" s="11">
        <f>IF($B$2="-","",IF($B$2="Pauschale",IFERROR(INDEX('Projekt-Budget-Übersicht'!$H:$H,MATCH(A59,'Projekt-Budget-Übersicht'!$A:$A,0)),""),IF($B$2="SV",IFERROR(INDEX('Projekt-Budget-Übersicht'!$H:$H,MATCH(A59,'Projekt-Budget-Übersicht'!$A:$A,0)),""),IF($B$2="CAD",IFERROR(INDEX('Projekt-Budget-Übersicht'!$I:$I,MATCH(A59,'Projekt-Budget-Übersicht'!$A:$A,0)),""),IF($B$2="ADM",IFERROR(INDEX('Projekt-Budget-Übersicht'!$J:$J,MATCH(A59,'Projekt-Budget-Übersicht'!$A:$A,0)),""),"")))))</f>
        <v/>
      </c>
      <c r="M59" s="11">
        <f>IF($B$2="-","",L59*(F59+I59+K59))</f>
        <v/>
      </c>
      <c r="N59" s="11">
        <f>IFERROR(INDEX('Projekt-Budget-Übersicht'!$E:$E,MATCH(A59,'Projekt-Budget-Übersicht'!$A:$A,0)),"")</f>
        <v/>
      </c>
      <c r="O59" s="11" t="inlineStr"/>
      <c r="P59" s="11" t="inlineStr"/>
    </row>
    <row r="60">
      <c r="A60" s="4" t="inlineStr">
        <is>
          <t>7380.02 Qualitas-BSK-WEA-Geroldshausen-Uengershausen</t>
        </is>
      </c>
      <c r="B60" s="4" t="inlineStr">
        <is>
          <t>ADM</t>
        </is>
      </c>
      <c r="C60" s="4" t="inlineStr">
        <is>
          <t>G</t>
        </is>
      </c>
      <c r="D60" s="4" t="n">
        <v>60</v>
      </c>
      <c r="E60" s="4" t="n">
        <v>1</v>
      </c>
      <c r="F60" s="4" t="n">
        <v>1</v>
      </c>
      <c r="G60" s="17" t="n">
        <v>1.67</v>
      </c>
      <c r="H60" s="5" t="n"/>
      <c r="I60" s="5">
        <f>IF(H60=0,"",F60-H60)</f>
        <v/>
      </c>
      <c r="J60" s="4" t="n"/>
      <c r="K60" s="5" t="n">
        <v>0</v>
      </c>
      <c r="L60" s="11">
        <f>IF($B$2="-","",IF($B$2="Pauschale",IFERROR(INDEX('Projekt-Budget-Übersicht'!$H:$H,MATCH(A60,'Projekt-Budget-Übersicht'!$A:$A,0)),""),IF($B$2="SV",IFERROR(INDEX('Projekt-Budget-Übersicht'!$H:$H,MATCH(A60,'Projekt-Budget-Übersicht'!$A:$A,0)),""),IF($B$2="CAD",IFERROR(INDEX('Projekt-Budget-Übersicht'!$I:$I,MATCH(A60,'Projekt-Budget-Übersicht'!$A:$A,0)),""),IF($B$2="ADM",IFERROR(INDEX('Projekt-Budget-Übersicht'!$J:$J,MATCH(A60,'Projekt-Budget-Übersicht'!$A:$A,0)),""),"")))))</f>
        <v/>
      </c>
      <c r="M60" s="11">
        <f>IF($B$2="-","",L60*(F60+I60+K60))</f>
        <v/>
      </c>
      <c r="N60" s="11">
        <f>IFERROR(INDEX('Projekt-Budget-Übersicht'!$E:$E,MATCH(A60,'Projekt-Budget-Übersicht'!$A:$A,0)),"")</f>
        <v/>
      </c>
      <c r="O60" s="11" t="inlineStr"/>
      <c r="P60" s="11" t="inlineStr"/>
    </row>
    <row r="61">
      <c r="A61" s="13" t="inlineStr">
        <is>
          <t xml:space="preserve">7400 JUWI-WP-div-MST </t>
        </is>
      </c>
      <c r="B61" s="4" t="inlineStr">
        <is>
          <t>(p) Pos. 1 Anp. BSK (Best. 4500008752 25-03-20)</t>
        </is>
      </c>
      <c r="C61" s="4" t="inlineStr">
        <is>
          <t>G</t>
        </is>
      </c>
      <c r="D61" s="4" t="n">
        <v>10</v>
      </c>
      <c r="E61" s="4" t="n">
        <v>11.5</v>
      </c>
      <c r="F61" s="4" t="n">
        <v>0.5</v>
      </c>
      <c r="G61" s="16" t="n">
        <v>115</v>
      </c>
      <c r="H61" s="5" t="n"/>
      <c r="I61" s="5">
        <f>IF(H61=0,"",F61-H61)</f>
        <v/>
      </c>
      <c r="J61" s="4" t="n"/>
      <c r="K61" s="5" t="n">
        <v>0</v>
      </c>
      <c r="L61" s="11">
        <f>IF($B$2="-","",IF($B$2="Pauschale",IFERROR(INDEX('Projekt-Budget-Übersicht'!$H:$H,MATCH(A61,'Projekt-Budget-Übersicht'!$A:$A,0)),""),IF($B$2="SV",IFERROR(INDEX('Projekt-Budget-Übersicht'!$H:$H,MATCH(A61,'Projekt-Budget-Übersicht'!$A:$A,0)),""),IF($B$2="CAD",IFERROR(INDEX('Projekt-Budget-Übersicht'!$I:$I,MATCH(A61,'Projekt-Budget-Übersicht'!$A:$A,0)),""),IF($B$2="ADM",IFERROR(INDEX('Projekt-Budget-Übersicht'!$J:$J,MATCH(A61,'Projekt-Budget-Übersicht'!$A:$A,0)),""),"")))))</f>
        <v/>
      </c>
      <c r="M61" s="11">
        <f>IF($B$2="-","",L61*(F61+I61+K61))</f>
        <v/>
      </c>
      <c r="N61" s="11">
        <f>IFERROR(INDEX('Projekt-Budget-Übersicht'!$E:$E,MATCH(A61,'Projekt-Budget-Übersicht'!$A:$A,0)),"")</f>
        <v/>
      </c>
      <c r="O61" s="11" t="inlineStr"/>
      <c r="P61" s="11" t="inlineStr"/>
    </row>
    <row r="62">
      <c r="A62" s="15" t="n"/>
      <c r="B62" s="4" t="inlineStr">
        <is>
          <t>(p) Pos. 1 Anp. BSK gem. RV (Best. 4500010513 25.06.27)</t>
        </is>
      </c>
      <c r="C62" s="4" t="inlineStr">
        <is>
          <t>G</t>
        </is>
      </c>
      <c r="D62" s="4" t="n">
        <v>10</v>
      </c>
      <c r="E62" s="4" t="n">
        <v>10</v>
      </c>
      <c r="F62" s="4" t="n">
        <v>0.5</v>
      </c>
      <c r="G62" s="14" t="n">
        <v>100</v>
      </c>
      <c r="H62" s="5" t="n"/>
      <c r="I62" s="5">
        <f>IF(H62=0,"",F62-H62)</f>
        <v/>
      </c>
      <c r="J62" s="4" t="n"/>
      <c r="K62" s="5" t="n">
        <v>0</v>
      </c>
      <c r="L62" s="11">
        <f>IF($B$2="-","",IF($B$2="Pauschale",IFERROR(INDEX('Projekt-Budget-Übersicht'!$H:$H,MATCH(A62,'Projekt-Budget-Übersicht'!$A:$A,0)),""),IF($B$2="SV",IFERROR(INDEX('Projekt-Budget-Übersicht'!$H:$H,MATCH(A62,'Projekt-Budget-Übersicht'!$A:$A,0)),""),IF($B$2="CAD",IFERROR(INDEX('Projekt-Budget-Übersicht'!$I:$I,MATCH(A62,'Projekt-Budget-Übersicht'!$A:$A,0)),""),IF($B$2="ADM",IFERROR(INDEX('Projekt-Budget-Übersicht'!$J:$J,MATCH(A62,'Projekt-Budget-Übersicht'!$A:$A,0)),""),"")))))</f>
        <v/>
      </c>
      <c r="M62" s="11">
        <f>IF($B$2="-","",L62*(F62+I62+K62))</f>
        <v/>
      </c>
      <c r="N62" s="11">
        <f>IFERROR(INDEX('Projekt-Budget-Übersicht'!$E:$E,MATCH(A62,'Projekt-Budget-Übersicht'!$A:$A,0)),"")</f>
        <v/>
      </c>
      <c r="O62" s="11" t="inlineStr"/>
      <c r="P62" s="11" t="inlineStr"/>
    </row>
    <row r="63">
      <c r="A63" s="4" t="inlineStr">
        <is>
          <t>7405 VWPA-BSK-WEA-Hollfeld-Daniel-Koglin</t>
        </is>
      </c>
      <c r="B63" s="4" t="inlineStr">
        <is>
          <t>ADM</t>
        </is>
      </c>
      <c r="C63" s="4" t="inlineStr">
        <is>
          <t>G</t>
        </is>
      </c>
      <c r="D63" s="4" t="n">
        <v>1</v>
      </c>
      <c r="E63" s="4" t="n">
        <v>1.25</v>
      </c>
      <c r="F63" s="4" t="n">
        <v>0.5</v>
      </c>
      <c r="G63" s="16" t="n">
        <v>125</v>
      </c>
      <c r="H63" s="5" t="n"/>
      <c r="I63" s="5">
        <f>IF(H63=0,"",F63-H63)</f>
        <v/>
      </c>
      <c r="J63" s="4" t="n"/>
      <c r="K63" s="5" t="n">
        <v>0</v>
      </c>
      <c r="L63" s="11">
        <f>IF($B$2="-","",IF($B$2="Pauschale",IFERROR(INDEX('Projekt-Budget-Übersicht'!$H:$H,MATCH(A63,'Projekt-Budget-Übersicht'!$A:$A,0)),""),IF($B$2="SV",IFERROR(INDEX('Projekt-Budget-Übersicht'!$H:$H,MATCH(A63,'Projekt-Budget-Übersicht'!$A:$A,0)),""),IF($B$2="CAD",IFERROR(INDEX('Projekt-Budget-Übersicht'!$I:$I,MATCH(A63,'Projekt-Budget-Übersicht'!$A:$A,0)),""),IF($B$2="ADM",IFERROR(INDEX('Projekt-Budget-Übersicht'!$J:$J,MATCH(A63,'Projekt-Budget-Übersicht'!$A:$A,0)),""),"")))))</f>
        <v/>
      </c>
      <c r="M63" s="11">
        <f>IF($B$2="-","",L63*(F63+I63+K63))</f>
        <v/>
      </c>
      <c r="N63" s="11">
        <f>IFERROR(INDEX('Projekt-Budget-Übersicht'!$E:$E,MATCH(A63,'Projekt-Budget-Übersicht'!$A:$A,0)),"")</f>
        <v/>
      </c>
      <c r="O63" s="11" t="inlineStr"/>
      <c r="P63" s="11" t="inlineStr"/>
    </row>
    <row r="64">
      <c r="A64" s="4" t="inlineStr">
        <is>
          <t>7419.03 Zech-BSO-Sporthalle-Pestalozzistr10-Eppelheim</t>
        </is>
      </c>
      <c r="B64" s="4" t="inlineStr">
        <is>
          <t>ADM</t>
        </is>
      </c>
      <c r="C64" s="4" t="inlineStr">
        <is>
          <t>G</t>
        </is>
      </c>
      <c r="D64" s="4" t="n">
        <v>1</v>
      </c>
      <c r="E64" s="4" t="n">
        <v>1.25</v>
      </c>
      <c r="F64" s="4" t="n">
        <v>0.5</v>
      </c>
      <c r="G64" s="16" t="n">
        <v>125</v>
      </c>
      <c r="H64" s="5" t="n"/>
      <c r="I64" s="5">
        <f>IF(H64=0,"",F64-H64)</f>
        <v/>
      </c>
      <c r="J64" s="4" t="n"/>
      <c r="K64" s="5" t="n">
        <v>0</v>
      </c>
      <c r="L64" s="11">
        <f>IF($B$2="-","",IF($B$2="Pauschale",IFERROR(INDEX('Projekt-Budget-Übersicht'!$H:$H,MATCH(A64,'Projekt-Budget-Übersicht'!$A:$A,0)),""),IF($B$2="SV",IFERROR(INDEX('Projekt-Budget-Übersicht'!$H:$H,MATCH(A64,'Projekt-Budget-Übersicht'!$A:$A,0)),""),IF($B$2="CAD",IFERROR(INDEX('Projekt-Budget-Übersicht'!$I:$I,MATCH(A64,'Projekt-Budget-Übersicht'!$A:$A,0)),""),IF($B$2="ADM",IFERROR(INDEX('Projekt-Budget-Übersicht'!$J:$J,MATCH(A64,'Projekt-Budget-Übersicht'!$A:$A,0)),""),"")))))</f>
        <v/>
      </c>
      <c r="M64" s="11">
        <f>IF($B$2="-","",L64*(F64+I64+K64))</f>
        <v/>
      </c>
      <c r="N64" s="11">
        <f>IFERROR(INDEX('Projekt-Budget-Übersicht'!$E:$E,MATCH(A64,'Projekt-Budget-Übersicht'!$A:$A,0)),"")</f>
        <v/>
      </c>
      <c r="O64" s="11" t="inlineStr"/>
      <c r="P64" s="11" t="inlineStr"/>
    </row>
    <row r="65">
      <c r="A65" s="4" t="inlineStr">
        <is>
          <t>7422 Energieprojekte-DK-BSK-WEA-Aschbach-Ilmenau</t>
        </is>
      </c>
      <c r="B65" s="4" t="inlineStr">
        <is>
          <t>ADM</t>
        </is>
      </c>
      <c r="C65" s="4" t="inlineStr">
        <is>
          <t>G</t>
        </is>
      </c>
      <c r="D65" s="4" t="n">
        <v>1</v>
      </c>
      <c r="E65" s="4" t="n">
        <v>2.25</v>
      </c>
      <c r="F65" s="4" t="n">
        <v>1</v>
      </c>
      <c r="G65" s="16" t="n">
        <v>225</v>
      </c>
      <c r="H65" s="5" t="n"/>
      <c r="I65" s="5">
        <f>IF(H65=0,"",F65-H65)</f>
        <v/>
      </c>
      <c r="J65" s="4" t="n"/>
      <c r="K65" s="5" t="n">
        <v>0</v>
      </c>
      <c r="L65" s="11">
        <f>IF($B$2="-","",IF($B$2="Pauschale",IFERROR(INDEX('Projekt-Budget-Übersicht'!$H:$H,MATCH(A65,'Projekt-Budget-Übersicht'!$A:$A,0)),""),IF($B$2="SV",IFERROR(INDEX('Projekt-Budget-Übersicht'!$H:$H,MATCH(A65,'Projekt-Budget-Übersicht'!$A:$A,0)),""),IF($B$2="CAD",IFERROR(INDEX('Projekt-Budget-Übersicht'!$I:$I,MATCH(A65,'Projekt-Budget-Übersicht'!$A:$A,0)),""),IF($B$2="ADM",IFERROR(INDEX('Projekt-Budget-Übersicht'!$J:$J,MATCH(A65,'Projekt-Budget-Übersicht'!$A:$A,0)),""),"")))))</f>
        <v/>
      </c>
      <c r="M65" s="11">
        <f>IF($B$2="-","",L65*(F65+I65+K65))</f>
        <v/>
      </c>
      <c r="N65" s="11">
        <f>IFERROR(INDEX('Projekt-Budget-Übersicht'!$E:$E,MATCH(A65,'Projekt-Budget-Übersicht'!$A:$A,0)),"")</f>
        <v/>
      </c>
      <c r="O65" s="11" t="inlineStr"/>
      <c r="P65" s="11" t="inlineStr"/>
    </row>
    <row r="66">
      <c r="A66" s="4" t="inlineStr">
        <is>
          <t>7435 wiwi-BSK-WEA-Spiesheim-Wörrstadt-Ost</t>
        </is>
      </c>
      <c r="B66" s="4" t="inlineStr">
        <is>
          <t>ADM</t>
        </is>
      </c>
      <c r="C66" s="4" t="inlineStr">
        <is>
          <t>G</t>
        </is>
      </c>
      <c r="D66" s="4" t="n">
        <v>1</v>
      </c>
      <c r="E66" s="4" t="n">
        <v>2.5</v>
      </c>
      <c r="F66" s="4" t="n">
        <v>0.5</v>
      </c>
      <c r="G66" s="16" t="n">
        <v>250</v>
      </c>
      <c r="H66" s="5" t="n"/>
      <c r="I66" s="5">
        <f>IF(H66=0,"",F66-H66)</f>
        <v/>
      </c>
      <c r="J66" s="4" t="n"/>
      <c r="K66" s="5" t="n">
        <v>0</v>
      </c>
      <c r="L66" s="11">
        <f>IF($B$2="-","",IF($B$2="Pauschale",IFERROR(INDEX('Projekt-Budget-Übersicht'!$H:$H,MATCH(A66,'Projekt-Budget-Übersicht'!$A:$A,0)),""),IF($B$2="SV",IFERROR(INDEX('Projekt-Budget-Übersicht'!$H:$H,MATCH(A66,'Projekt-Budget-Übersicht'!$A:$A,0)),""),IF($B$2="CAD",IFERROR(INDEX('Projekt-Budget-Übersicht'!$I:$I,MATCH(A66,'Projekt-Budget-Übersicht'!$A:$A,0)),""),IF($B$2="ADM",IFERROR(INDEX('Projekt-Budget-Übersicht'!$J:$J,MATCH(A66,'Projekt-Budget-Übersicht'!$A:$A,0)),""),"")))))</f>
        <v/>
      </c>
      <c r="M66" s="11">
        <f>IF($B$2="-","",L66*(F66+I66+K66))</f>
        <v/>
      </c>
      <c r="N66" s="11">
        <f>IFERROR(INDEX('Projekt-Budget-Übersicht'!$E:$E,MATCH(A66,'Projekt-Budget-Übersicht'!$A:$A,0)),"")</f>
        <v/>
      </c>
      <c r="O66" s="11" t="inlineStr"/>
      <c r="P66" s="11" t="inlineStr"/>
    </row>
    <row r="67">
      <c r="A67" s="4" t="inlineStr">
        <is>
          <t>7437 MVV-BSK-UW3-Käfertal-Mannheim</t>
        </is>
      </c>
      <c r="B67" s="4" t="inlineStr">
        <is>
          <t>Erarbeiten des Brandschutzkonzept/Nachweis/Stellungnahme</t>
        </is>
      </c>
      <c r="C67" s="4" t="inlineStr">
        <is>
          <t>G</t>
        </is>
      </c>
      <c r="D67" s="4" t="n">
        <v>31</v>
      </c>
      <c r="E67" s="4" t="n">
        <v>38.75</v>
      </c>
      <c r="F67" s="4" t="n">
        <v>0.5</v>
      </c>
      <c r="G67" s="16" t="n">
        <v>125</v>
      </c>
      <c r="H67" s="5" t="n"/>
      <c r="I67" s="5">
        <f>IF(H67=0,"",F67-H67)</f>
        <v/>
      </c>
      <c r="J67" s="4" t="n"/>
      <c r="K67" s="5">
        <f>IF('M. Bandlofsky'!J36="A. Kokott",'M. Bandlofsky'!I36,0)</f>
        <v/>
      </c>
      <c r="L67" s="11">
        <f>IF($B$2="-","",IF($B$2="Pauschale",IFERROR(INDEX('Projekt-Budget-Übersicht'!$H:$H,MATCH(A67,'Projekt-Budget-Übersicht'!$A:$A,0)),""),IF($B$2="SV",IFERROR(INDEX('Projekt-Budget-Übersicht'!$H:$H,MATCH(A67,'Projekt-Budget-Übersicht'!$A:$A,0)),""),IF($B$2="CAD",IFERROR(INDEX('Projekt-Budget-Übersicht'!$I:$I,MATCH(A67,'Projekt-Budget-Übersicht'!$A:$A,0)),""),IF($B$2="ADM",IFERROR(INDEX('Projekt-Budget-Übersicht'!$J:$J,MATCH(A67,'Projekt-Budget-Übersicht'!$A:$A,0)),""),"")))))</f>
        <v/>
      </c>
      <c r="M67" s="11">
        <f>IF($B$2="-","",L67*(F67+I67+K67))</f>
        <v/>
      </c>
      <c r="N67" s="11">
        <f>IFERROR(INDEX('Projekt-Budget-Übersicht'!$E:$E,MATCH(A67,'Projekt-Budget-Übersicht'!$A:$A,0)),"")</f>
        <v/>
      </c>
      <c r="O67" s="11" t="inlineStr"/>
      <c r="P67" s="11" t="inlineStr"/>
    </row>
    <row r="68">
      <c r="A68" s="4" t="inlineStr">
        <is>
          <t>7444 Energieprojekte-DK-BSK-WEA-Schußbachwald</t>
        </is>
      </c>
      <c r="B68" s="4" t="inlineStr">
        <is>
          <t>ADM</t>
        </is>
      </c>
      <c r="C68" s="4" t="inlineStr">
        <is>
          <t>G</t>
        </is>
      </c>
      <c r="D68" s="4" t="n">
        <v>1</v>
      </c>
      <c r="E68" s="4" t="n">
        <v>1.75</v>
      </c>
      <c r="F68" s="4" t="n">
        <v>0.5</v>
      </c>
      <c r="G68" s="16" t="n">
        <v>175</v>
      </c>
      <c r="H68" s="5" t="n"/>
      <c r="I68" s="5">
        <f>IF(H68=0,"",F68-H68)</f>
        <v/>
      </c>
      <c r="J68" s="4" t="n"/>
      <c r="K68" s="5" t="n">
        <v>0</v>
      </c>
      <c r="L68" s="11">
        <f>IF($B$2="-","",IF($B$2="Pauschale",IFERROR(INDEX('Projekt-Budget-Übersicht'!$H:$H,MATCH(A68,'Projekt-Budget-Übersicht'!$A:$A,0)),""),IF($B$2="SV",IFERROR(INDEX('Projekt-Budget-Übersicht'!$H:$H,MATCH(A68,'Projekt-Budget-Übersicht'!$A:$A,0)),""),IF($B$2="CAD",IFERROR(INDEX('Projekt-Budget-Übersicht'!$I:$I,MATCH(A68,'Projekt-Budget-Übersicht'!$A:$A,0)),""),IF($B$2="ADM",IFERROR(INDEX('Projekt-Budget-Übersicht'!$J:$J,MATCH(A68,'Projekt-Budget-Übersicht'!$A:$A,0)),""),"")))))</f>
        <v/>
      </c>
      <c r="M68" s="11">
        <f>IF($B$2="-","",L68*(F68+I68+K68))</f>
        <v/>
      </c>
      <c r="N68" s="11">
        <f>IFERROR(INDEX('Projekt-Budget-Übersicht'!$E:$E,MATCH(A68,'Projekt-Budget-Übersicht'!$A:$A,0)),"")</f>
        <v/>
      </c>
      <c r="O68" s="11" t="inlineStr"/>
      <c r="P68" s="11" t="inlineStr"/>
    </row>
    <row r="69">
      <c r="A69" s="4" t="inlineStr">
        <is>
          <t>7445 Energieprojekte-DK-BSK-WEA-Thüngersheim</t>
        </is>
      </c>
      <c r="B69" s="4" t="inlineStr">
        <is>
          <t>ADM</t>
        </is>
      </c>
      <c r="C69" s="4" t="inlineStr">
        <is>
          <t>G</t>
        </is>
      </c>
      <c r="D69" s="4" t="n">
        <v>1</v>
      </c>
      <c r="E69" s="4" t="n">
        <v>1.75</v>
      </c>
      <c r="F69" s="4" t="n">
        <v>0.5</v>
      </c>
      <c r="G69" s="16" t="n">
        <v>175</v>
      </c>
      <c r="H69" s="5" t="n"/>
      <c r="I69" s="5">
        <f>IF(H69=0,"",F69-H69)</f>
        <v/>
      </c>
      <c r="J69" s="4" t="n"/>
      <c r="K69" s="5" t="n">
        <v>0</v>
      </c>
      <c r="L69" s="11">
        <f>IF($B$2="-","",IF($B$2="Pauschale",IFERROR(INDEX('Projekt-Budget-Übersicht'!$H:$H,MATCH(A69,'Projekt-Budget-Übersicht'!$A:$A,0)),""),IF($B$2="SV",IFERROR(INDEX('Projekt-Budget-Übersicht'!$H:$H,MATCH(A69,'Projekt-Budget-Übersicht'!$A:$A,0)),""),IF($B$2="CAD",IFERROR(INDEX('Projekt-Budget-Übersicht'!$I:$I,MATCH(A69,'Projekt-Budget-Übersicht'!$A:$A,0)),""),IF($B$2="ADM",IFERROR(INDEX('Projekt-Budget-Übersicht'!$J:$J,MATCH(A69,'Projekt-Budget-Übersicht'!$A:$A,0)),""),"")))))</f>
        <v/>
      </c>
      <c r="M69" s="11">
        <f>IF($B$2="-","",L69*(F69+I69+K69))</f>
        <v/>
      </c>
      <c r="N69" s="11">
        <f>IFERROR(INDEX('Projekt-Budget-Übersicht'!$E:$E,MATCH(A69,'Projekt-Budget-Übersicht'!$A:$A,0)),"")</f>
        <v/>
      </c>
      <c r="O69" s="11" t="inlineStr"/>
      <c r="P69" s="11" t="inlineStr"/>
    </row>
    <row r="70">
      <c r="A70" s="4" t="inlineStr">
        <is>
          <t>7477 WindBauer-BSK-WEA-Waldhausen</t>
        </is>
      </c>
      <c r="B70" s="4" t="inlineStr">
        <is>
          <t>ADM</t>
        </is>
      </c>
      <c r="C70" s="4" t="inlineStr">
        <is>
          <t>G</t>
        </is>
      </c>
      <c r="D70" s="4" t="n">
        <v>1</v>
      </c>
      <c r="E70" s="4" t="n">
        <v>1.75</v>
      </c>
      <c r="F70" s="4" t="n">
        <v>0.5</v>
      </c>
      <c r="G70" s="16" t="n">
        <v>175</v>
      </c>
      <c r="H70" s="5" t="n"/>
      <c r="I70" s="5">
        <f>IF(H70=0,"",F70-H70)</f>
        <v/>
      </c>
      <c r="J70" s="4" t="n"/>
      <c r="K70" s="5" t="n">
        <v>0</v>
      </c>
      <c r="L70" s="11">
        <f>IF($B$2="-","",IF($B$2="Pauschale",IFERROR(INDEX('Projekt-Budget-Übersicht'!$H:$H,MATCH(A70,'Projekt-Budget-Übersicht'!$A:$A,0)),""),IF($B$2="SV",IFERROR(INDEX('Projekt-Budget-Übersicht'!$H:$H,MATCH(A70,'Projekt-Budget-Übersicht'!$A:$A,0)),""),IF($B$2="CAD",IFERROR(INDEX('Projekt-Budget-Übersicht'!$I:$I,MATCH(A70,'Projekt-Budget-Übersicht'!$A:$A,0)),""),IF($B$2="ADM",IFERROR(INDEX('Projekt-Budget-Übersicht'!$J:$J,MATCH(A70,'Projekt-Budget-Übersicht'!$A:$A,0)),""),"")))))</f>
        <v/>
      </c>
      <c r="M70" s="11">
        <f>IF($B$2="-","",L70*(F70+I70+K70))</f>
        <v/>
      </c>
      <c r="N70" s="11">
        <f>IFERROR(INDEX('Projekt-Budget-Übersicht'!$E:$E,MATCH(A70,'Projekt-Budget-Übersicht'!$A:$A,0)),"")</f>
        <v/>
      </c>
      <c r="O70" s="11" t="inlineStr"/>
      <c r="P70" s="11" t="inlineStr"/>
    </row>
    <row r="71">
      <c r="A71" s="4" t="inlineStr">
        <is>
          <t>7478 WindBauer-BSK-WEA-Hofstett</t>
        </is>
      </c>
      <c r="B71" s="4" t="inlineStr">
        <is>
          <t>ADM</t>
        </is>
      </c>
      <c r="C71" s="4" t="inlineStr">
        <is>
          <t>G</t>
        </is>
      </c>
      <c r="D71" s="4" t="n">
        <v>1</v>
      </c>
      <c r="E71" s="4" t="n">
        <v>1.75</v>
      </c>
      <c r="F71" s="4" t="n">
        <v>0.5</v>
      </c>
      <c r="G71" s="16" t="n">
        <v>175</v>
      </c>
      <c r="H71" s="5" t="n"/>
      <c r="I71" s="5">
        <f>IF(H71=0,"",F71-H71)</f>
        <v/>
      </c>
      <c r="J71" s="4" t="n"/>
      <c r="K71" s="5" t="n">
        <v>0</v>
      </c>
      <c r="L71" s="11">
        <f>IF($B$2="-","",IF($B$2="Pauschale",IFERROR(INDEX('Projekt-Budget-Übersicht'!$H:$H,MATCH(A71,'Projekt-Budget-Übersicht'!$A:$A,0)),""),IF($B$2="SV",IFERROR(INDEX('Projekt-Budget-Übersicht'!$H:$H,MATCH(A71,'Projekt-Budget-Übersicht'!$A:$A,0)),""),IF($B$2="CAD",IFERROR(INDEX('Projekt-Budget-Übersicht'!$I:$I,MATCH(A71,'Projekt-Budget-Übersicht'!$A:$A,0)),""),IF($B$2="ADM",IFERROR(INDEX('Projekt-Budget-Übersicht'!$J:$J,MATCH(A71,'Projekt-Budget-Übersicht'!$A:$A,0)),""),"")))))</f>
        <v/>
      </c>
      <c r="M71" s="11">
        <f>IF($B$2="-","",L71*(F71+I71+K71))</f>
        <v/>
      </c>
      <c r="N71" s="11">
        <f>IFERROR(INDEX('Projekt-Budget-Übersicht'!$E:$E,MATCH(A71,'Projekt-Budget-Übersicht'!$A:$A,0)),"")</f>
        <v/>
      </c>
      <c r="O71" s="11" t="inlineStr"/>
      <c r="P71" s="11" t="inlineStr"/>
    </row>
    <row r="72">
      <c r="A72" s="4" t="inlineStr">
        <is>
          <t>7482 Telehouse-BSK-TDE-Campus-Kleyerstraße-FFM-übergeordnetes-BSK</t>
        </is>
      </c>
      <c r="B72" s="4" t="inlineStr">
        <is>
          <t>ADM (nicht kalkuliert)</t>
        </is>
      </c>
      <c r="C72" s="4" t="inlineStr">
        <is>
          <t>G</t>
        </is>
      </c>
      <c r="D72" s="4" t="n">
        <v>3</v>
      </c>
      <c r="E72" s="4" t="n">
        <v>2</v>
      </c>
      <c r="F72" s="4" t="n">
        <v>0.5</v>
      </c>
      <c r="G72" s="17" t="n">
        <v>66.67</v>
      </c>
      <c r="H72" s="5" t="n"/>
      <c r="I72" s="5">
        <f>IF(H72=0,"",F72-H72)</f>
        <v/>
      </c>
      <c r="J72" s="4" t="n"/>
      <c r="K72" s="5" t="n">
        <v>0</v>
      </c>
      <c r="L72" s="11">
        <f>IF($B$2="-","",IF($B$2="Pauschale",IFERROR(INDEX('Projekt-Budget-Übersicht'!$H:$H,MATCH(A72,'Projekt-Budget-Übersicht'!$A:$A,0)),""),IF($B$2="SV",IFERROR(INDEX('Projekt-Budget-Übersicht'!$H:$H,MATCH(A72,'Projekt-Budget-Übersicht'!$A:$A,0)),""),IF($B$2="CAD",IFERROR(INDEX('Projekt-Budget-Übersicht'!$I:$I,MATCH(A72,'Projekt-Budget-Übersicht'!$A:$A,0)),""),IF($B$2="ADM",IFERROR(INDEX('Projekt-Budget-Übersicht'!$J:$J,MATCH(A72,'Projekt-Budget-Übersicht'!$A:$A,0)),""),"")))))</f>
        <v/>
      </c>
      <c r="M72" s="11">
        <f>IF($B$2="-","",L72*(F72+I72+K72))</f>
        <v/>
      </c>
      <c r="N72" s="11">
        <f>IFERROR(INDEX('Projekt-Budget-Übersicht'!$E:$E,MATCH(A72,'Projekt-Budget-Übersicht'!$A:$A,0)),"")</f>
        <v/>
      </c>
      <c r="O72" s="11" t="inlineStr"/>
      <c r="P72" s="11" t="inlineStr"/>
    </row>
    <row r="73">
      <c r="A73" s="4" t="inlineStr">
        <is>
          <t>7485 Hijran-Sohrab-BSK-Europaplatz10-BKR</t>
        </is>
      </c>
      <c r="B73" s="4" t="inlineStr">
        <is>
          <t>ADM</t>
        </is>
      </c>
      <c r="C73" s="4" t="inlineStr">
        <is>
          <t>G</t>
        </is>
      </c>
      <c r="D73" s="4" t="n">
        <v>1</v>
      </c>
      <c r="E73" s="4" t="n">
        <v>1</v>
      </c>
      <c r="F73" s="4" t="n">
        <v>0.25</v>
      </c>
      <c r="G73" s="14" t="n">
        <v>100</v>
      </c>
      <c r="H73" s="5" t="n"/>
      <c r="I73" s="5">
        <f>IF(H73=0,"",F73-H73)</f>
        <v/>
      </c>
      <c r="J73" s="4" t="n"/>
      <c r="K73" s="5" t="n">
        <v>0</v>
      </c>
      <c r="L73" s="11">
        <f>IF($B$2="-","",IF($B$2="Pauschale",IFERROR(INDEX('Projekt-Budget-Übersicht'!$H:$H,MATCH(A73,'Projekt-Budget-Übersicht'!$A:$A,0)),""),IF($B$2="SV",IFERROR(INDEX('Projekt-Budget-Übersicht'!$H:$H,MATCH(A73,'Projekt-Budget-Übersicht'!$A:$A,0)),""),IF($B$2="CAD",IFERROR(INDEX('Projekt-Budget-Übersicht'!$I:$I,MATCH(A73,'Projekt-Budget-Übersicht'!$A:$A,0)),""),IF($B$2="ADM",IFERROR(INDEX('Projekt-Budget-Übersicht'!$J:$J,MATCH(A73,'Projekt-Budget-Übersicht'!$A:$A,0)),""),"")))))</f>
        <v/>
      </c>
      <c r="M73" s="11">
        <f>IF($B$2="-","",L73*(F73+I73+K73))</f>
        <v/>
      </c>
      <c r="N73" s="11">
        <f>IFERROR(INDEX('Projekt-Budget-Übersicht'!$E:$E,MATCH(A73,'Projekt-Budget-Übersicht'!$A:$A,0)),"")</f>
        <v/>
      </c>
      <c r="O73" s="11" t="inlineStr"/>
      <c r="P73" s="11" t="inlineStr"/>
    </row>
    <row r="74">
      <c r="A74" s="4" t="inlineStr">
        <is>
          <t>7486 wiwi-BSK-WEA-Mainz-Hechtsheim</t>
        </is>
      </c>
      <c r="B74" s="4" t="inlineStr">
        <is>
          <t>ADM</t>
        </is>
      </c>
      <c r="C74" s="4" t="inlineStr">
        <is>
          <t>G</t>
        </is>
      </c>
      <c r="D74" s="4" t="n">
        <v>1</v>
      </c>
      <c r="E74" s="4" t="n">
        <v>1.75</v>
      </c>
      <c r="F74" s="4" t="n">
        <v>0.5</v>
      </c>
      <c r="G74" s="16" t="n">
        <v>175</v>
      </c>
      <c r="H74" s="5" t="n"/>
      <c r="I74" s="5">
        <f>IF(H74=0,"",F74-H74)</f>
        <v/>
      </c>
      <c r="J74" s="4" t="n"/>
      <c r="K74" s="5" t="n">
        <v>0</v>
      </c>
      <c r="L74" s="11">
        <f>IF($B$2="-","",IF($B$2="Pauschale",IFERROR(INDEX('Projekt-Budget-Übersicht'!$H:$H,MATCH(A74,'Projekt-Budget-Übersicht'!$A:$A,0)),""),IF($B$2="SV",IFERROR(INDEX('Projekt-Budget-Übersicht'!$H:$H,MATCH(A74,'Projekt-Budget-Übersicht'!$A:$A,0)),""),IF($B$2="CAD",IFERROR(INDEX('Projekt-Budget-Übersicht'!$I:$I,MATCH(A74,'Projekt-Budget-Übersicht'!$A:$A,0)),""),IF($B$2="ADM",IFERROR(INDEX('Projekt-Budget-Übersicht'!$J:$J,MATCH(A74,'Projekt-Budget-Übersicht'!$A:$A,0)),""),"")))))</f>
        <v/>
      </c>
      <c r="M74" s="11">
        <f>IF($B$2="-","",L74*(F74+I74+K74))</f>
        <v/>
      </c>
      <c r="N74" s="11">
        <f>IFERROR(INDEX('Projekt-Budget-Übersicht'!$E:$E,MATCH(A74,'Projekt-Budget-Übersicht'!$A:$A,0)),"")</f>
        <v/>
      </c>
      <c r="O74" s="11" t="inlineStr"/>
      <c r="P74" s="11" t="inlineStr"/>
    </row>
    <row r="75">
      <c r="A75" s="4" t="inlineStr">
        <is>
          <t>7497 Fichter-BTB-Dachsanierung-Kettlerstraße44-Ludwigshafen</t>
        </is>
      </c>
      <c r="B75" s="4" t="inlineStr">
        <is>
          <t>(aN) Pos. 1 Brandschutztechnische Beratung während der Planungsphase (SV)</t>
        </is>
      </c>
      <c r="C75" s="4" t="inlineStr">
        <is>
          <t>G</t>
        </is>
      </c>
      <c r="D75" s="4" t="n">
        <v>6</v>
      </c>
      <c r="E75" s="4" t="n">
        <v>1.25</v>
      </c>
      <c r="F75" s="4" t="n">
        <v>0.5</v>
      </c>
      <c r="G75" s="17" t="n">
        <v>20.83</v>
      </c>
      <c r="H75" s="5" t="n"/>
      <c r="I75" s="5">
        <f>IF(H75=0,"",F75-H75)</f>
        <v/>
      </c>
      <c r="J75" s="4" t="n"/>
      <c r="K75" s="5" t="n">
        <v>0</v>
      </c>
      <c r="L75" s="11">
        <f>IF($B$2="-","",IF($B$2="Pauschale",IFERROR(INDEX('Projekt-Budget-Übersicht'!$H:$H,MATCH(A75,'Projekt-Budget-Übersicht'!$A:$A,0)),""),IF($B$2="SV",IFERROR(INDEX('Projekt-Budget-Übersicht'!$H:$H,MATCH(A75,'Projekt-Budget-Übersicht'!$A:$A,0)),""),IF($B$2="CAD",IFERROR(INDEX('Projekt-Budget-Übersicht'!$I:$I,MATCH(A75,'Projekt-Budget-Übersicht'!$A:$A,0)),""),IF($B$2="ADM",IFERROR(INDEX('Projekt-Budget-Übersicht'!$J:$J,MATCH(A75,'Projekt-Budget-Übersicht'!$A:$A,0)),""),"")))))</f>
        <v/>
      </c>
      <c r="M75" s="11">
        <f>IF($B$2="-","",L75*(F75+I75+K75))</f>
        <v/>
      </c>
      <c r="N75" s="11">
        <f>IFERROR(INDEX('Projekt-Budget-Übersicht'!$E:$E,MATCH(A75,'Projekt-Budget-Übersicht'!$A:$A,0)),"")</f>
        <v/>
      </c>
      <c r="O75" s="11" t="inlineStr"/>
      <c r="P75" s="11" t="inlineStr"/>
    </row>
    <row r="76">
      <c r="A76" s="4" t="inlineStr">
        <is>
          <t>7600 Altus-Dummy-für-Unterprojekte</t>
        </is>
      </c>
      <c r="B76" s="4" t="inlineStr">
        <is>
          <t>ADM</t>
        </is>
      </c>
      <c r="C76" s="4" t="inlineStr">
        <is>
          <t>G</t>
        </is>
      </c>
      <c r="D76" s="4" t="n">
        <v>0</v>
      </c>
      <c r="E76" s="4" t="n">
        <v>0.5</v>
      </c>
      <c r="F76" s="4" t="n">
        <v>0.5</v>
      </c>
      <c r="G76" s="4" t="n">
        <v>0</v>
      </c>
      <c r="H76" s="5" t="n"/>
      <c r="I76" s="5">
        <f>IF(H76=0,"",F76-H76)</f>
        <v/>
      </c>
      <c r="J76" s="4" t="n"/>
      <c r="K76" s="5" t="n">
        <v>0</v>
      </c>
      <c r="L76" s="11">
        <f>IF($B$2="-","",IF($B$2="Pauschale",IFERROR(INDEX('Projekt-Budget-Übersicht'!$H:$H,MATCH(A76,'Projekt-Budget-Übersicht'!$A:$A,0)),""),IF($B$2="SV",IFERROR(INDEX('Projekt-Budget-Übersicht'!$H:$H,MATCH(A76,'Projekt-Budget-Übersicht'!$A:$A,0)),""),IF($B$2="CAD",IFERROR(INDEX('Projekt-Budget-Übersicht'!$I:$I,MATCH(A76,'Projekt-Budget-Übersicht'!$A:$A,0)),""),IF($B$2="ADM",IFERROR(INDEX('Projekt-Budget-Übersicht'!$J:$J,MATCH(A76,'Projekt-Budget-Übersicht'!$A:$A,0)),""),"")))))</f>
        <v/>
      </c>
      <c r="M76" s="11">
        <f>IF($B$2="-","",L76*(F76+I76+K76))</f>
        <v/>
      </c>
      <c r="N76" s="11">
        <f>IFERROR(INDEX('Projekt-Budget-Übersicht'!$E:$E,MATCH(A76,'Projekt-Budget-Übersicht'!$A:$A,0)),"")</f>
        <v/>
      </c>
      <c r="O76" s="11" t="inlineStr"/>
      <c r="P76" s="11" t="inlineStr"/>
    </row>
    <row r="77">
      <c r="A77" s="3" t="inlineStr"/>
      <c r="B77" s="3" t="inlineStr">
        <is>
          <t>Summe</t>
        </is>
      </c>
      <c r="C77" s="3" t="inlineStr"/>
      <c r="D77" s="3" t="inlineStr"/>
      <c r="E77" s="3" t="inlineStr"/>
      <c r="F77" s="6" t="n">
        <v>29.75</v>
      </c>
      <c r="G77" s="3" t="inlineStr"/>
      <c r="H77" s="3" t="inlineStr"/>
      <c r="I77" s="3" t="inlineStr"/>
      <c r="J77" s="3" t="inlineStr"/>
      <c r="K77" s="3" t="inlineStr"/>
      <c r="L77" s="3" t="n"/>
      <c r="M77" s="3" t="n"/>
      <c r="N77" s="3" t="n"/>
      <c r="O77" s="3" t="n"/>
      <c r="P77" s="3" t="n"/>
    </row>
    <row r="78">
      <c r="A78" s="3" t="inlineStr"/>
      <c r="B78" s="3" t="inlineStr">
        <is>
          <t>Bonusberechtigte Stunden</t>
        </is>
      </c>
      <c r="C78" s="3" t="inlineStr"/>
      <c r="D78" s="3" t="inlineStr"/>
      <c r="E78" s="3" t="inlineStr"/>
      <c r="F78" s="6">
        <f>G78+H78</f>
        <v/>
      </c>
      <c r="G78" s="6" t="n">
        <v>6.25</v>
      </c>
      <c r="H78" s="6">
        <f>SUM(H41,H42,H43,H44,H45,H46,H47,H48,H49,H50,H51,H52,H53,H54,H55,H56,H57,H58,H59,H60,H61,H62,H63,H64,H65,H66,H67,H68,H69,H70,H71,H72,H73,H74,H75,H76)</f>
        <v/>
      </c>
      <c r="I78" s="3" t="inlineStr"/>
      <c r="J78" s="3" t="inlineStr"/>
      <c r="K78" s="3" t="inlineStr"/>
      <c r="L78" s="3" t="inlineStr"/>
      <c r="M78" s="3" t="inlineStr"/>
      <c r="N78" s="3" t="inlineStr"/>
      <c r="O78" s="3" t="inlineStr"/>
      <c r="P78" s="3" t="inlineStr"/>
    </row>
    <row r="79">
      <c r="A79" s="3" t="inlineStr"/>
      <c r="B79" s="3" t="inlineStr">
        <is>
          <t>Bonusberechtigte Stunden Sonderprojekt</t>
        </is>
      </c>
      <c r="C79" s="3" t="inlineStr"/>
      <c r="D79" s="3" t="inlineStr"/>
      <c r="E79" s="3" t="inlineStr"/>
      <c r="F79" s="6">
        <f>G79+H79</f>
        <v/>
      </c>
      <c r="G79" s="6" t="n">
        <v>11</v>
      </c>
      <c r="H79" s="6">
        <f>SUM(H39,H40)</f>
        <v/>
      </c>
      <c r="I79" s="3" t="inlineStr"/>
      <c r="J79" s="3" t="inlineStr"/>
      <c r="K79" s="3" t="inlineStr"/>
      <c r="L79" s="3" t="inlineStr"/>
      <c r="M79" s="3" t="inlineStr"/>
      <c r="N79" s="3" t="inlineStr"/>
      <c r="O79" s="3" t="inlineStr"/>
      <c r="P79" s="3" t="inlineStr"/>
    </row>
    <row r="80">
      <c r="A80" s="3" t="inlineStr"/>
      <c r="B80" s="3" t="inlineStr">
        <is>
          <t>Zugeordnete Stunden von anderen MA</t>
        </is>
      </c>
      <c r="C80" s="3" t="inlineStr"/>
      <c r="D80" s="3" t="inlineStr"/>
      <c r="E80" s="3" t="inlineStr"/>
      <c r="F80" s="6">
        <f>SUM(K39:K76)</f>
        <v/>
      </c>
      <c r="G80" s="3" t="inlineStr"/>
      <c r="H80" s="3" t="inlineStr"/>
      <c r="I80" s="3" t="inlineStr"/>
      <c r="J80" s="3" t="inlineStr"/>
      <c r="K80" s="3" t="inlineStr"/>
      <c r="L80" s="3" t="inlineStr"/>
      <c r="M80" s="3" t="inlineStr"/>
      <c r="N80" s="3" t="inlineStr"/>
      <c r="O80" s="3" t="inlineStr"/>
      <c r="P80" s="3" t="inlineStr"/>
    </row>
    <row r="81">
      <c r="A81" s="18" t="inlineStr"/>
      <c r="B81" s="18" t="inlineStr">
        <is>
          <t>Gesamt Bonus Stunden</t>
        </is>
      </c>
      <c r="C81" s="18" t="inlineStr"/>
      <c r="D81" s="18" t="inlineStr"/>
      <c r="E81" s="18" t="inlineStr"/>
      <c r="F81" s="19">
        <f>F78+F79+F80</f>
        <v/>
      </c>
      <c r="G81" s="18" t="inlineStr"/>
      <c r="H81" s="18" t="inlineStr"/>
      <c r="I81" s="18" t="inlineStr"/>
      <c r="J81" s="18" t="inlineStr"/>
      <c r="K81" s="18" t="inlineStr"/>
      <c r="L81" s="18" t="n"/>
      <c r="M81" s="18" t="n"/>
      <c r="N81" s="18" t="n"/>
      <c r="O81" s="18" t="n"/>
      <c r="P81" s="18" t="n"/>
    </row>
    <row r="83">
      <c r="A83" s="2" t="inlineStr">
        <is>
          <t>--- September 2025 ---</t>
        </is>
      </c>
    </row>
    <row r="84">
      <c r="A84" s="3" t="inlineStr">
        <is>
          <t>Projekt</t>
        </is>
      </c>
      <c r="B84" s="3" t="inlineStr">
        <is>
          <t>Meilenstein</t>
        </is>
      </c>
      <c r="C84" s="3" t="inlineStr">
        <is>
          <t>Typ</t>
        </is>
      </c>
      <c r="D84" s="3" t="inlineStr">
        <is>
          <t>Soll (h)</t>
        </is>
      </c>
      <c r="E84" s="3" t="inlineStr">
        <is>
          <t>Ist (h)</t>
        </is>
      </c>
      <c r="F84" s="3" t="inlineStr">
        <is>
          <t>September 2025 (h)</t>
        </is>
      </c>
      <c r="G84" s="3" t="inlineStr">
        <is>
          <t>%</t>
        </is>
      </c>
      <c r="H84" s="3" t="inlineStr">
        <is>
          <t>Bonus-Anpassung (h)</t>
        </is>
      </c>
      <c r="I84" s="3" t="inlineStr">
        <is>
          <t>Differenz (h)</t>
        </is>
      </c>
      <c r="J84" s="3" t="inlineStr">
        <is>
          <t>Zuordnen an</t>
        </is>
      </c>
      <c r="K84" s="3" t="inlineStr">
        <is>
          <t>Von anderen (h)</t>
        </is>
      </c>
      <c r="L84" s="3" t="inlineStr">
        <is>
          <t>Stundensatz (€/h)</t>
        </is>
      </c>
      <c r="M84" s="3" t="inlineStr">
        <is>
          <t>Umsatz (€)</t>
        </is>
      </c>
      <c r="N84" s="3" t="inlineStr">
        <is>
          <t>Budget Gesamt (€)</t>
        </is>
      </c>
      <c r="O84" s="3" t="inlineStr">
        <is>
          <t>Budget Ist (€)</t>
        </is>
      </c>
      <c r="P84" s="3" t="inlineStr">
        <is>
          <t>Budget Erwirtschaftet (€)</t>
        </is>
      </c>
    </row>
    <row r="85">
      <c r="A85" s="13" t="inlineStr">
        <is>
          <t>0000 Sonderprojekt für Bonus</t>
        </is>
      </c>
      <c r="B85" s="4" t="inlineStr">
        <is>
          <t>Angebote-Ausschreibungen-Kalkulationen (max. 8h/Monat pro MA)</t>
        </is>
      </c>
      <c r="C85" s="4" t="inlineStr">
        <is>
          <t>M</t>
        </is>
      </c>
      <c r="D85" s="4" t="n">
        <v>8</v>
      </c>
      <c r="E85" s="4" t="n">
        <v>7</v>
      </c>
      <c r="F85" s="4" t="n">
        <v>7</v>
      </c>
      <c r="G85" s="17" t="n">
        <v>87.5</v>
      </c>
      <c r="H85" s="5" t="n"/>
      <c r="I85" s="5">
        <f>IF(H85=0,"",F85-H85)</f>
        <v/>
      </c>
      <c r="J85" s="4" t="n"/>
      <c r="K85" s="5">
        <f>IF('C. Trapp SV'!J56="A. Kokott",'C. Trapp SV'!I56,0)+IF('D. Brucker'!J33="A. Kokott",'D. Brucker'!I33,0)+IF('J. Dorn'!J83="A. Kokott",'J. Dorn'!I83,0)+IF('O. Haag BS-CAD'!J92="A. Kokott",'O. Haag BS-CAD'!I92,0)+IF('S. Schüler'!J93="A. Kokott",'S. Schüler'!I93,0)+IF('U. Sutter ADM'!J51="A. Kokott",'U. Sutter ADM'!I51,0)</f>
        <v/>
      </c>
      <c r="L85" s="11">
        <f>IF($B$2="-","",IF($B$2="Pauschale",IFERROR(INDEX('Projekt-Budget-Übersicht'!$H:$H,MATCH(A85,'Projekt-Budget-Übersicht'!$A:$A,0)),""),IF($B$2="SV",IFERROR(INDEX('Projekt-Budget-Übersicht'!$H:$H,MATCH(A85,'Projekt-Budget-Übersicht'!$A:$A,0)),""),IF($B$2="CAD",IFERROR(INDEX('Projekt-Budget-Übersicht'!$I:$I,MATCH(A85,'Projekt-Budget-Übersicht'!$A:$A,0)),""),IF($B$2="ADM",IFERROR(INDEX('Projekt-Budget-Übersicht'!$J:$J,MATCH(A85,'Projekt-Budget-Übersicht'!$A:$A,0)),""),"")))))</f>
        <v/>
      </c>
      <c r="M85" s="11">
        <f>IF($B$2="-","",L85*(F85+I85+K85))</f>
        <v/>
      </c>
      <c r="N85" s="11">
        <f>IFERROR(INDEX('Projekt-Budget-Übersicht'!$E:$E,MATCH(A85,'Projekt-Budget-Übersicht'!$A:$A,0)),"")</f>
        <v/>
      </c>
      <c r="O85" s="11" t="inlineStr"/>
      <c r="P85" s="11" t="inlineStr"/>
    </row>
    <row r="86">
      <c r="A86" s="15" t="n"/>
      <c r="B86" s="4" t="inlineStr">
        <is>
          <t>Einarbeitung neuer Mitarbeiter (max. 8h/Monat pro MA)</t>
        </is>
      </c>
      <c r="C86" s="4" t="inlineStr">
        <is>
          <t>M</t>
        </is>
      </c>
      <c r="D86" s="4" t="n">
        <v>8</v>
      </c>
      <c r="E86" s="4" t="n">
        <v>2</v>
      </c>
      <c r="F86" s="4" t="n">
        <v>2</v>
      </c>
      <c r="G86" s="17" t="n">
        <v>25</v>
      </c>
      <c r="H86" s="5" t="n"/>
      <c r="I86" s="5">
        <f>IF(H86=0,"",F86-H86)</f>
        <v/>
      </c>
      <c r="J86" s="4" t="n"/>
      <c r="K86" s="5">
        <f>IF('C. Trapp SV'!J57="A. Kokott",'C. Trapp SV'!I57,0)+IF('J. Dorn'!J84="A. Kokott",'J. Dorn'!I84,0)+IF('M. Bandlofsky'!J45="A. Kokott",'M. Bandlofsky'!I45,0)+IF('O. Haag BS-CAD'!J93="A. Kokott",'O. Haag BS-CAD'!I93,0)+IF('R. Wagen CAD'!J57="A. Kokott",'R. Wagen CAD'!I57,0)+IF('T. Trautmann'!J72="A. Kokott",'T. Trautmann'!I72,0)+IF('U. Sutter ADM'!J52="A. Kokott",'U. Sutter ADM'!I52,0)</f>
        <v/>
      </c>
      <c r="L86" s="11">
        <f>IF($B$2="-","",IF($B$2="Pauschale",IFERROR(INDEX('Projekt-Budget-Übersicht'!$H:$H,MATCH(A86,'Projekt-Budget-Übersicht'!$A:$A,0)),""),IF($B$2="SV",IFERROR(INDEX('Projekt-Budget-Übersicht'!$H:$H,MATCH(A86,'Projekt-Budget-Übersicht'!$A:$A,0)),""),IF($B$2="CAD",IFERROR(INDEX('Projekt-Budget-Übersicht'!$I:$I,MATCH(A86,'Projekt-Budget-Übersicht'!$A:$A,0)),""),IF($B$2="ADM",IFERROR(INDEX('Projekt-Budget-Übersicht'!$J:$J,MATCH(A86,'Projekt-Budget-Übersicht'!$A:$A,0)),""),"")))))</f>
        <v/>
      </c>
      <c r="M86" s="11">
        <f>IF($B$2="-","",L86*(F86+I86+K86))</f>
        <v/>
      </c>
      <c r="N86" s="11">
        <f>IFERROR(INDEX('Projekt-Budget-Übersicht'!$E:$E,MATCH(A86,'Projekt-Budget-Übersicht'!$A:$A,0)),"")</f>
        <v/>
      </c>
      <c r="O86" s="11" t="inlineStr"/>
      <c r="P86" s="11" t="inlineStr"/>
    </row>
    <row r="87">
      <c r="A87" s="4" t="inlineStr">
        <is>
          <t>0815.10 MPI-Fortschr-BSK-Z-HIRN-Umbau-Tierhaus-Max-von-Laue-Str4-FFM</t>
        </is>
      </c>
      <c r="B87" s="4" t="inlineStr">
        <is>
          <t>SV</t>
        </is>
      </c>
      <c r="C87" s="4" t="inlineStr">
        <is>
          <t>G</t>
        </is>
      </c>
      <c r="D87" s="4" t="n">
        <v>20</v>
      </c>
      <c r="E87" s="4" t="n">
        <v>19.5</v>
      </c>
      <c r="F87" s="4" t="n">
        <v>0.25</v>
      </c>
      <c r="G87" s="14" t="n">
        <v>97.5</v>
      </c>
      <c r="H87" s="5" t="n"/>
      <c r="I87" s="5">
        <f>IF(H87=0,"",F87-H87)</f>
        <v/>
      </c>
      <c r="J87" s="4" t="n"/>
      <c r="K87" s="5">
        <f>IF('M. Bandlofsky'!J47="A. Kokott",'M. Bandlofsky'!I47,0)</f>
        <v/>
      </c>
      <c r="L87" s="11">
        <f>IF($B$2="-","",IF($B$2="Pauschale",IFERROR(INDEX('Projekt-Budget-Übersicht'!$H:$H,MATCH(A87,'Projekt-Budget-Übersicht'!$A:$A,0)),""),IF($B$2="SV",IFERROR(INDEX('Projekt-Budget-Übersicht'!$H:$H,MATCH(A87,'Projekt-Budget-Übersicht'!$A:$A,0)),""),IF($B$2="CAD",IFERROR(INDEX('Projekt-Budget-Übersicht'!$I:$I,MATCH(A87,'Projekt-Budget-Übersicht'!$A:$A,0)),""),IF($B$2="ADM",IFERROR(INDEX('Projekt-Budget-Übersicht'!$J:$J,MATCH(A87,'Projekt-Budget-Übersicht'!$A:$A,0)),""),"")))))</f>
        <v/>
      </c>
      <c r="M87" s="11">
        <f>IF($B$2="-","",L87*(F87+I87+K87))</f>
        <v/>
      </c>
      <c r="N87" s="11">
        <f>IFERROR(INDEX('Projekt-Budget-Übersicht'!$E:$E,MATCH(A87,'Projekt-Budget-Übersicht'!$A:$A,0)),"")</f>
        <v/>
      </c>
      <c r="O87" s="11" t="inlineStr"/>
      <c r="P87" s="11" t="inlineStr"/>
    </row>
    <row r="88">
      <c r="A88" s="4" t="inlineStr">
        <is>
          <t>1015.02 VuBBaWü-BTB-Kurfürstenanlage15-HD-Justizzentrum</t>
        </is>
      </c>
      <c r="B88" s="4" t="inlineStr">
        <is>
          <t>ADM</t>
        </is>
      </c>
      <c r="C88" s="4" t="inlineStr">
        <is>
          <t>G</t>
        </is>
      </c>
      <c r="D88" s="4" t="n">
        <v>1</v>
      </c>
      <c r="E88" s="4" t="n">
        <v>2</v>
      </c>
      <c r="F88" s="4" t="n">
        <v>0.5</v>
      </c>
      <c r="G88" s="16" t="n">
        <v>200</v>
      </c>
      <c r="H88" s="5" t="n"/>
      <c r="I88" s="5">
        <f>IF(H88=0,"",F88-H88)</f>
        <v/>
      </c>
      <c r="J88" s="4" t="n"/>
      <c r="K88" s="5" t="n">
        <v>0</v>
      </c>
      <c r="L88" s="11">
        <f>IF($B$2="-","",IF($B$2="Pauschale",IFERROR(INDEX('Projekt-Budget-Übersicht'!$H:$H,MATCH(A88,'Projekt-Budget-Übersicht'!$A:$A,0)),""),IF($B$2="SV",IFERROR(INDEX('Projekt-Budget-Übersicht'!$H:$H,MATCH(A88,'Projekt-Budget-Übersicht'!$A:$A,0)),""),IF($B$2="CAD",IFERROR(INDEX('Projekt-Budget-Übersicht'!$I:$I,MATCH(A88,'Projekt-Budget-Übersicht'!$A:$A,0)),""),IF($B$2="ADM",IFERROR(INDEX('Projekt-Budget-Übersicht'!$J:$J,MATCH(A88,'Projekt-Budget-Übersicht'!$A:$A,0)),""),"")))))</f>
        <v/>
      </c>
      <c r="M88" s="11">
        <f>IF($B$2="-","",L88*(F88+I88+K88))</f>
        <v/>
      </c>
      <c r="N88" s="11">
        <f>IFERROR(INDEX('Projekt-Budget-Übersicht'!$E:$E,MATCH(A88,'Projekt-Budget-Übersicht'!$A:$A,0)),"")</f>
        <v/>
      </c>
      <c r="O88" s="11" t="inlineStr"/>
      <c r="P88" s="11" t="inlineStr"/>
    </row>
    <row r="89">
      <c r="A89" s="4" t="inlineStr">
        <is>
          <t>4436.04 BTB Krankenhaus-Bergstraße-Viernheimer-Straße-2-Heppenheim</t>
        </is>
      </c>
      <c r="B89" s="4" t="inlineStr">
        <is>
          <t>8103-Prüfen Plausibilität der Sachverständigennachweise auf Schnittstellen….</t>
        </is>
      </c>
      <c r="C89" s="4" t="inlineStr">
        <is>
          <t>G</t>
        </is>
      </c>
      <c r="D89" s="4" t="n">
        <v>13</v>
      </c>
      <c r="E89" s="4" t="n">
        <v>0.25</v>
      </c>
      <c r="F89" s="4" t="n">
        <v>0.25</v>
      </c>
      <c r="G89" s="17" t="n">
        <v>1.92</v>
      </c>
      <c r="H89" s="5" t="n"/>
      <c r="I89" s="5">
        <f>IF(H89=0,"",F89-H89)</f>
        <v/>
      </c>
      <c r="J89" s="4" t="n"/>
      <c r="K89" s="5" t="n">
        <v>0</v>
      </c>
      <c r="L89" s="11">
        <f>IF($B$2="-","",IF($B$2="Pauschale",IFERROR(INDEX('Projekt-Budget-Übersicht'!$H:$H,MATCH(A89,'Projekt-Budget-Übersicht'!$A:$A,0)),""),IF($B$2="SV",IFERROR(INDEX('Projekt-Budget-Übersicht'!$H:$H,MATCH(A89,'Projekt-Budget-Übersicht'!$A:$A,0)),""),IF($B$2="CAD",IFERROR(INDEX('Projekt-Budget-Übersicht'!$I:$I,MATCH(A89,'Projekt-Budget-Übersicht'!$A:$A,0)),""),IF($B$2="ADM",IFERROR(INDEX('Projekt-Budget-Übersicht'!$J:$J,MATCH(A89,'Projekt-Budget-Übersicht'!$A:$A,0)),""),"")))))</f>
        <v/>
      </c>
      <c r="M89" s="11">
        <f>IF($B$2="-","",L89*(F89+I89+K89))</f>
        <v/>
      </c>
      <c r="N89" s="11">
        <f>IFERROR(INDEX('Projekt-Budget-Übersicht'!$E:$E,MATCH(A89,'Projekt-Budget-Übersicht'!$A:$A,0)),"")</f>
        <v/>
      </c>
      <c r="O89" s="11" t="inlineStr"/>
      <c r="P89" s="11" t="inlineStr"/>
    </row>
    <row r="90">
      <c r="A90" s="4" t="inlineStr">
        <is>
          <t>4436.043 FWP-NA003-KKH-Bergstraße-Viernheimer-Straße-2-Heppenheim-Bauphase+NB-BauteilG</t>
        </is>
      </c>
      <c r="B90" s="4" t="inlineStr">
        <is>
          <t>9200-Erstellen od. Prüfen Feuerwehrpläne….</t>
        </is>
      </c>
      <c r="C90" s="4" t="inlineStr">
        <is>
          <t>G</t>
        </is>
      </c>
      <c r="D90" s="4" t="n">
        <v>230</v>
      </c>
      <c r="E90" s="4" t="n">
        <v>140.25</v>
      </c>
      <c r="F90" s="4" t="n">
        <v>0.5</v>
      </c>
      <c r="G90" s="17" t="n">
        <v>60.98</v>
      </c>
      <c r="H90" s="5" t="n"/>
      <c r="I90" s="5">
        <f>IF(H90=0,"",F90-H90)</f>
        <v/>
      </c>
      <c r="J90" s="4" t="n"/>
      <c r="K90" s="5">
        <f>IF('M. Warner'!J24="A. Kokott",'M. Warner'!I24,0)+IF('S. Schüler'!J97="A. Kokott",'S. Schüler'!I97,0)</f>
        <v/>
      </c>
      <c r="L90" s="11">
        <f>IF($B$2="-","",IF($B$2="Pauschale",IFERROR(INDEX('Projekt-Budget-Übersicht'!$H:$H,MATCH(A90,'Projekt-Budget-Übersicht'!$A:$A,0)),""),IF($B$2="SV",IFERROR(INDEX('Projekt-Budget-Übersicht'!$H:$H,MATCH(A90,'Projekt-Budget-Übersicht'!$A:$A,0)),""),IF($B$2="CAD",IFERROR(INDEX('Projekt-Budget-Übersicht'!$I:$I,MATCH(A90,'Projekt-Budget-Übersicht'!$A:$A,0)),""),IF($B$2="ADM",IFERROR(INDEX('Projekt-Budget-Übersicht'!$J:$J,MATCH(A90,'Projekt-Budget-Übersicht'!$A:$A,0)),""),"")))))</f>
        <v/>
      </c>
      <c r="M90" s="11">
        <f>IF($B$2="-","",L90*(F90+I90+K90))</f>
        <v/>
      </c>
      <c r="N90" s="11">
        <f>IFERROR(INDEX('Projekt-Budget-Übersicht'!$E:$E,MATCH(A90,'Projekt-Budget-Übersicht'!$A:$A,0)),"")</f>
        <v/>
      </c>
      <c r="O90" s="11" t="inlineStr"/>
      <c r="P90" s="11" t="inlineStr"/>
    </row>
    <row r="91">
      <c r="A91" s="4" t="inlineStr">
        <is>
          <t>5291.01 RNV-BTB-NB-ABZ-Betriebshof-Ludwigshafen</t>
        </is>
      </c>
      <c r="B91" s="4" t="inlineStr">
        <is>
          <t>SV</t>
        </is>
      </c>
      <c r="C91" s="4" t="inlineStr">
        <is>
          <t>G</t>
        </is>
      </c>
      <c r="D91" s="4" t="n">
        <v>0</v>
      </c>
      <c r="E91" s="4" t="n">
        <v>0</v>
      </c>
      <c r="F91" s="4" t="n">
        <v>0.5</v>
      </c>
      <c r="G91" s="4" t="n">
        <v>0</v>
      </c>
      <c r="H91" s="5" t="n"/>
      <c r="I91" s="5">
        <f>IF(H91=0,"",F91-H91)</f>
        <v/>
      </c>
      <c r="J91" s="4" t="n"/>
      <c r="K91" s="5">
        <f>IF('M. Bandlofsky'!J50="A. Kokott",'M. Bandlofsky'!I50,0)</f>
        <v/>
      </c>
      <c r="L91" s="11">
        <f>IF($B$2="-","",IF($B$2="Pauschale",IFERROR(INDEX('Projekt-Budget-Übersicht'!$H:$H,MATCH(A91,'Projekt-Budget-Übersicht'!$A:$A,0)),""),IF($B$2="SV",IFERROR(INDEX('Projekt-Budget-Übersicht'!$H:$H,MATCH(A91,'Projekt-Budget-Übersicht'!$A:$A,0)),""),IF($B$2="CAD",IFERROR(INDEX('Projekt-Budget-Übersicht'!$I:$I,MATCH(A91,'Projekt-Budget-Übersicht'!$A:$A,0)),""),IF($B$2="ADM",IFERROR(INDEX('Projekt-Budget-Übersicht'!$J:$J,MATCH(A91,'Projekt-Budget-Übersicht'!$A:$A,0)),""),"")))))</f>
        <v/>
      </c>
      <c r="M91" s="11">
        <f>IF($B$2="-","",L91*(F91+I91+K91))</f>
        <v/>
      </c>
      <c r="N91" s="11">
        <f>IFERROR(INDEX('Projekt-Budget-Übersicht'!$E:$E,MATCH(A91,'Projekt-Budget-Übersicht'!$A:$A,0)),"")</f>
        <v/>
      </c>
      <c r="O91" s="11" t="inlineStr"/>
      <c r="P91" s="11" t="inlineStr"/>
    </row>
    <row r="92">
      <c r="A92" s="4" t="inlineStr">
        <is>
          <t>5640.13 E&amp;S-Fortschr2-BSK-Eppelheimerstr8-Heidelberg</t>
        </is>
      </c>
      <c r="B92" s="4" t="inlineStr">
        <is>
          <t>ADM</t>
        </is>
      </c>
      <c r="C92" s="4" t="inlineStr">
        <is>
          <t>G</t>
        </is>
      </c>
      <c r="D92" s="4" t="n">
        <v>1</v>
      </c>
      <c r="E92" s="4" t="n">
        <v>2</v>
      </c>
      <c r="F92" s="4" t="n">
        <v>1</v>
      </c>
      <c r="G92" s="16" t="n">
        <v>200</v>
      </c>
      <c r="H92" s="5" t="n"/>
      <c r="I92" s="5">
        <f>IF(H92=0,"",F92-H92)</f>
        <v/>
      </c>
      <c r="J92" s="4" t="n"/>
      <c r="K92" s="5" t="n">
        <v>0</v>
      </c>
      <c r="L92" s="11">
        <f>IF($B$2="-","",IF($B$2="Pauschale",IFERROR(INDEX('Projekt-Budget-Übersicht'!$H:$H,MATCH(A92,'Projekt-Budget-Übersicht'!$A:$A,0)),""),IF($B$2="SV",IFERROR(INDEX('Projekt-Budget-Übersicht'!$H:$H,MATCH(A92,'Projekt-Budget-Übersicht'!$A:$A,0)),""),IF($B$2="CAD",IFERROR(INDEX('Projekt-Budget-Übersicht'!$I:$I,MATCH(A92,'Projekt-Budget-Übersicht'!$A:$A,0)),""),IF($B$2="ADM",IFERROR(INDEX('Projekt-Budget-Übersicht'!$J:$J,MATCH(A92,'Projekt-Budget-Übersicht'!$A:$A,0)),""),"")))))</f>
        <v/>
      </c>
      <c r="M92" s="11">
        <f>IF($B$2="-","",L92*(F92+I92+K92))</f>
        <v/>
      </c>
      <c r="N92" s="11">
        <f>IFERROR(INDEX('Projekt-Budget-Übersicht'!$E:$E,MATCH(A92,'Projekt-Budget-Übersicht'!$A:$A,0)),"")</f>
        <v/>
      </c>
      <c r="O92" s="11" t="inlineStr"/>
      <c r="P92" s="11" t="inlineStr"/>
    </row>
    <row r="93">
      <c r="A93" s="4" t="inlineStr">
        <is>
          <t>5664.20 KOB-BAB-Trinkwassertrennung-Lauterstraße-50-Wolfstein</t>
        </is>
      </c>
      <c r="B93" s="4" t="inlineStr">
        <is>
          <t>(aN) Pos. 1 Brandschutztechnische Beratung (SV 30h) 3.000€</t>
        </is>
      </c>
      <c r="C93" s="4" t="inlineStr">
        <is>
          <t>G</t>
        </is>
      </c>
      <c r="D93" s="4" t="n">
        <v>30</v>
      </c>
      <c r="E93" s="4" t="n">
        <v>12.75</v>
      </c>
      <c r="F93" s="4" t="n">
        <v>0.25</v>
      </c>
      <c r="G93" s="17" t="n">
        <v>42.5</v>
      </c>
      <c r="H93" s="5" t="n"/>
      <c r="I93" s="5">
        <f>IF(H93=0,"",F93-H93)</f>
        <v/>
      </c>
      <c r="J93" s="4" t="n"/>
      <c r="K93" s="5" t="n">
        <v>0</v>
      </c>
      <c r="L93" s="11">
        <f>IF($B$2="-","",IF($B$2="Pauschale",IFERROR(INDEX('Projekt-Budget-Übersicht'!$H:$H,MATCH(A93,'Projekt-Budget-Übersicht'!$A:$A,0)),""),IF($B$2="SV",IFERROR(INDEX('Projekt-Budget-Übersicht'!$H:$H,MATCH(A93,'Projekt-Budget-Übersicht'!$A:$A,0)),""),IF($B$2="CAD",IFERROR(INDEX('Projekt-Budget-Übersicht'!$I:$I,MATCH(A93,'Projekt-Budget-Übersicht'!$A:$A,0)),""),IF($B$2="ADM",IFERROR(INDEX('Projekt-Budget-Übersicht'!$J:$J,MATCH(A93,'Projekt-Budget-Übersicht'!$A:$A,0)),""),"")))))</f>
        <v/>
      </c>
      <c r="M93" s="11">
        <f>IF($B$2="-","",L93*(F93+I93+K93))</f>
        <v/>
      </c>
      <c r="N93" s="11">
        <f>IFERROR(INDEX('Projekt-Budget-Übersicht'!$E:$E,MATCH(A93,'Projekt-Budget-Übersicht'!$A:$A,0)),"")</f>
        <v/>
      </c>
      <c r="O93" s="11" t="inlineStr"/>
      <c r="P93" s="11" t="inlineStr"/>
    </row>
    <row r="94">
      <c r="A94" s="4" t="inlineStr">
        <is>
          <t>5834.07 Fuchs-Digit-Bestandspläne-Werner-HeisenbergStr1-KL</t>
        </is>
      </c>
      <c r="B94" s="4" t="inlineStr">
        <is>
          <t>ADM (nicht kalkuliert)</t>
        </is>
      </c>
      <c r="C94" s="4" t="inlineStr">
        <is>
          <t>G</t>
        </is>
      </c>
      <c r="D94" s="4" t="n">
        <v>1</v>
      </c>
      <c r="E94" s="4" t="n">
        <v>1.5</v>
      </c>
      <c r="F94" s="4" t="n">
        <v>0.5</v>
      </c>
      <c r="G94" s="16" t="n">
        <v>150</v>
      </c>
      <c r="H94" s="5" t="n"/>
      <c r="I94" s="5">
        <f>IF(H94=0,"",F94-H94)</f>
        <v/>
      </c>
      <c r="J94" s="4" t="n"/>
      <c r="K94" s="5" t="n">
        <v>0</v>
      </c>
      <c r="L94" s="11">
        <f>IF($B$2="-","",IF($B$2="Pauschale",IFERROR(INDEX('Projekt-Budget-Übersicht'!$H:$H,MATCH(A94,'Projekt-Budget-Übersicht'!$A:$A,0)),""),IF($B$2="SV",IFERROR(INDEX('Projekt-Budget-Übersicht'!$H:$H,MATCH(A94,'Projekt-Budget-Übersicht'!$A:$A,0)),""),IF($B$2="CAD",IFERROR(INDEX('Projekt-Budget-Übersicht'!$I:$I,MATCH(A94,'Projekt-Budget-Übersicht'!$A:$A,0)),""),IF($B$2="ADM",IFERROR(INDEX('Projekt-Budget-Übersicht'!$J:$J,MATCH(A94,'Projekt-Budget-Übersicht'!$A:$A,0)),""),"")))))</f>
        <v/>
      </c>
      <c r="M94" s="11">
        <f>IF($B$2="-","",L94*(F94+I94+K94))</f>
        <v/>
      </c>
      <c r="N94" s="11">
        <f>IFERROR(INDEX('Projekt-Budget-Übersicht'!$E:$E,MATCH(A94,'Projekt-Budget-Übersicht'!$A:$A,0)),"")</f>
        <v/>
      </c>
      <c r="O94" s="11" t="inlineStr"/>
      <c r="P94" s="11" t="inlineStr"/>
    </row>
    <row r="95">
      <c r="A95" s="4" t="inlineStr">
        <is>
          <t>5875.061 John-Deere-Werk-Halle-N-HomburgerStr117-125-Zweibrücken</t>
        </is>
      </c>
      <c r="B95" s="4" t="inlineStr">
        <is>
          <t>ADM</t>
        </is>
      </c>
      <c r="C95" s="4" t="inlineStr">
        <is>
          <t>G</t>
        </is>
      </c>
      <c r="D95" s="4" t="n">
        <v>1.5</v>
      </c>
      <c r="E95" s="4" t="n">
        <v>0.75</v>
      </c>
      <c r="F95" s="4" t="n">
        <v>0.5</v>
      </c>
      <c r="G95" s="17" t="n">
        <v>50</v>
      </c>
      <c r="H95" s="5" t="n"/>
      <c r="I95" s="5">
        <f>IF(H95=0,"",F95-H95)</f>
        <v/>
      </c>
      <c r="J95" s="4" t="n"/>
      <c r="K95" s="5" t="n">
        <v>0</v>
      </c>
      <c r="L95" s="11">
        <f>IF($B$2="-","",IF($B$2="Pauschale",IFERROR(INDEX('Projekt-Budget-Übersicht'!$H:$H,MATCH(A95,'Projekt-Budget-Übersicht'!$A:$A,0)),""),IF($B$2="SV",IFERROR(INDEX('Projekt-Budget-Übersicht'!$H:$H,MATCH(A95,'Projekt-Budget-Übersicht'!$A:$A,0)),""),IF($B$2="CAD",IFERROR(INDEX('Projekt-Budget-Übersicht'!$I:$I,MATCH(A95,'Projekt-Budget-Übersicht'!$A:$A,0)),""),IF($B$2="ADM",IFERROR(INDEX('Projekt-Budget-Übersicht'!$J:$J,MATCH(A95,'Projekt-Budget-Übersicht'!$A:$A,0)),""),"")))))</f>
        <v/>
      </c>
      <c r="M95" s="11">
        <f>IF($B$2="-","",L95*(F95+I95+K95))</f>
        <v/>
      </c>
      <c r="N95" s="11">
        <f>IFERROR(INDEX('Projekt-Budget-Übersicht'!$E:$E,MATCH(A95,'Projekt-Budget-Übersicht'!$A:$A,0)),"")</f>
        <v/>
      </c>
      <c r="O95" s="11" t="inlineStr"/>
      <c r="P95" s="11" t="inlineStr"/>
    </row>
    <row r="96">
      <c r="A96" s="4" t="inlineStr">
        <is>
          <t>6045.03 wpd-BSK-Windpark-Dreihausen-Nordeck</t>
        </is>
      </c>
      <c r="B96" s="4" t="inlineStr">
        <is>
          <t>ADM</t>
        </is>
      </c>
      <c r="C96" s="4" t="inlineStr">
        <is>
          <t>G</t>
        </is>
      </c>
      <c r="D96" s="4" t="n">
        <v>1</v>
      </c>
      <c r="E96" s="4" t="n">
        <v>1.25</v>
      </c>
      <c r="F96" s="4" t="n">
        <v>0.5</v>
      </c>
      <c r="G96" s="16" t="n">
        <v>125</v>
      </c>
      <c r="H96" s="5" t="n"/>
      <c r="I96" s="5">
        <f>IF(H96=0,"",F96-H96)</f>
        <v/>
      </c>
      <c r="J96" s="4" t="n"/>
      <c r="K96" s="5" t="n">
        <v>0</v>
      </c>
      <c r="L96" s="11">
        <f>IF($B$2="-","",IF($B$2="Pauschale",IFERROR(INDEX('Projekt-Budget-Übersicht'!$H:$H,MATCH(A96,'Projekt-Budget-Übersicht'!$A:$A,0)),""),IF($B$2="SV",IFERROR(INDEX('Projekt-Budget-Übersicht'!$H:$H,MATCH(A96,'Projekt-Budget-Übersicht'!$A:$A,0)),""),IF($B$2="CAD",IFERROR(INDEX('Projekt-Budget-Übersicht'!$I:$I,MATCH(A96,'Projekt-Budget-Übersicht'!$A:$A,0)),""),IF($B$2="ADM",IFERROR(INDEX('Projekt-Budget-Übersicht'!$J:$J,MATCH(A96,'Projekt-Budget-Übersicht'!$A:$A,0)),""),"")))))</f>
        <v/>
      </c>
      <c r="M96" s="11">
        <f>IF($B$2="-","",L96*(F96+I96+K96))</f>
        <v/>
      </c>
      <c r="N96" s="11">
        <f>IFERROR(INDEX('Projekt-Budget-Übersicht'!$E:$E,MATCH(A96,'Projekt-Budget-Übersicht'!$A:$A,0)),"")</f>
        <v/>
      </c>
      <c r="O96" s="11" t="inlineStr"/>
      <c r="P96" s="11" t="inlineStr"/>
    </row>
    <row r="97">
      <c r="A97" s="4" t="inlineStr">
        <is>
          <t>6344 Brodenheckstraße-Bitburg-Amtsgericht</t>
        </is>
      </c>
      <c r="B97" s="4" t="inlineStr">
        <is>
          <t>4000-Genehmigungsplanung</t>
        </is>
      </c>
      <c r="C97" s="4" t="inlineStr">
        <is>
          <t>G</t>
        </is>
      </c>
      <c r="D97" s="4" t="n">
        <v>37</v>
      </c>
      <c r="E97" s="4" t="n">
        <v>27.75</v>
      </c>
      <c r="F97" s="4" t="n">
        <v>0.75</v>
      </c>
      <c r="G97" s="17" t="n">
        <v>75</v>
      </c>
      <c r="H97" s="5" t="n"/>
      <c r="I97" s="5">
        <f>IF(H97=0,"",F97-H97)</f>
        <v/>
      </c>
      <c r="J97" s="4" t="n"/>
      <c r="K97" s="5">
        <f>IF('J. Dorn'!J90="A. Kokott",'J. Dorn'!I90,0)+IF('M. Bandlofsky'!J61="A. Kokott",'M. Bandlofsky'!I61,0)+IF('O. Haag BS-CAD'!J106="A. Kokott",'O. Haag BS-CAD'!I106,0)+IF('T. Trautmann'!J88="A. Kokott",'T. Trautmann'!I88,0)</f>
        <v/>
      </c>
      <c r="L97" s="11">
        <f>IF($B$2="-","",IF($B$2="Pauschale",IFERROR(INDEX('Projekt-Budget-Übersicht'!$H:$H,MATCH(A97,'Projekt-Budget-Übersicht'!$A:$A,0)),""),IF($B$2="SV",IFERROR(INDEX('Projekt-Budget-Übersicht'!$H:$H,MATCH(A97,'Projekt-Budget-Übersicht'!$A:$A,0)),""),IF($B$2="CAD",IFERROR(INDEX('Projekt-Budget-Übersicht'!$I:$I,MATCH(A97,'Projekt-Budget-Übersicht'!$A:$A,0)),""),IF($B$2="ADM",IFERROR(INDEX('Projekt-Budget-Übersicht'!$J:$J,MATCH(A97,'Projekt-Budget-Übersicht'!$A:$A,0)),""),"")))))</f>
        <v/>
      </c>
      <c r="M97" s="11">
        <f>IF($B$2="-","",L97*(F97+I97+K97))</f>
        <v/>
      </c>
      <c r="N97" s="11">
        <f>IFERROR(INDEX('Projekt-Budget-Übersicht'!$E:$E,MATCH(A97,'Projekt-Budget-Übersicht'!$A:$A,0)),"")</f>
        <v/>
      </c>
      <c r="O97" s="11" t="inlineStr"/>
      <c r="P97" s="11" t="inlineStr"/>
    </row>
    <row r="98">
      <c r="A98" s="4" t="inlineStr">
        <is>
          <t>6377.04 IAV-BSK-Im-Kammertal10-Heimsheim</t>
        </is>
      </c>
      <c r="B98" s="4" t="inlineStr">
        <is>
          <t>ADM</t>
        </is>
      </c>
      <c r="C98" s="4" t="inlineStr">
        <is>
          <t>G</t>
        </is>
      </c>
      <c r="D98" s="4" t="n">
        <v>2</v>
      </c>
      <c r="E98" s="4" t="n">
        <v>2.25</v>
      </c>
      <c r="F98" s="4" t="n">
        <v>1</v>
      </c>
      <c r="G98" s="16" t="n">
        <v>112.5</v>
      </c>
      <c r="H98" s="5" t="n"/>
      <c r="I98" s="5">
        <f>IF(H98=0,"",F98-H98)</f>
        <v/>
      </c>
      <c r="J98" s="4" t="n"/>
      <c r="K98" s="5" t="n">
        <v>0</v>
      </c>
      <c r="L98" s="11">
        <f>IF($B$2="-","",IF($B$2="Pauschale",IFERROR(INDEX('Projekt-Budget-Übersicht'!$H:$H,MATCH(A98,'Projekt-Budget-Übersicht'!$A:$A,0)),""),IF($B$2="SV",IFERROR(INDEX('Projekt-Budget-Übersicht'!$H:$H,MATCH(A98,'Projekt-Budget-Übersicht'!$A:$A,0)),""),IF($B$2="CAD",IFERROR(INDEX('Projekt-Budget-Übersicht'!$I:$I,MATCH(A98,'Projekt-Budget-Übersicht'!$A:$A,0)),""),IF($B$2="ADM",IFERROR(INDEX('Projekt-Budget-Übersicht'!$J:$J,MATCH(A98,'Projekt-Budget-Übersicht'!$A:$A,0)),""),"")))))</f>
        <v/>
      </c>
      <c r="M98" s="11">
        <f>IF($B$2="-","",L98*(F98+I98+K98))</f>
        <v/>
      </c>
      <c r="N98" s="11">
        <f>IFERROR(INDEX('Projekt-Budget-Übersicht'!$E:$E,MATCH(A98,'Projekt-Budget-Übersicht'!$A:$A,0)),"")</f>
        <v/>
      </c>
      <c r="O98" s="11" t="inlineStr"/>
      <c r="P98" s="11" t="inlineStr"/>
    </row>
    <row r="99">
      <c r="A99" s="4" t="inlineStr">
        <is>
          <t>6421.071 Weerts-NAT-BSK-DtAircraft-Leipzig</t>
        </is>
      </c>
      <c r="B99" s="4" t="inlineStr">
        <is>
          <t>ADM</t>
        </is>
      </c>
      <c r="C99" s="4" t="inlineStr">
        <is>
          <t>G</t>
        </is>
      </c>
      <c r="D99" s="4" t="n">
        <v>1</v>
      </c>
      <c r="E99" s="4" t="n">
        <v>1.75</v>
      </c>
      <c r="F99" s="4" t="n">
        <v>0.5</v>
      </c>
      <c r="G99" s="16" t="n">
        <v>175</v>
      </c>
      <c r="H99" s="5" t="n"/>
      <c r="I99" s="5">
        <f>IF(H99=0,"",F99-H99)</f>
        <v/>
      </c>
      <c r="J99" s="4" t="n"/>
      <c r="K99" s="5" t="n">
        <v>0</v>
      </c>
      <c r="L99" s="11">
        <f>IF($B$2="-","",IF($B$2="Pauschale",IFERROR(INDEX('Projekt-Budget-Übersicht'!$H:$H,MATCH(A99,'Projekt-Budget-Übersicht'!$A:$A,0)),""),IF($B$2="SV",IFERROR(INDEX('Projekt-Budget-Übersicht'!$H:$H,MATCH(A99,'Projekt-Budget-Übersicht'!$A:$A,0)),""),IF($B$2="CAD",IFERROR(INDEX('Projekt-Budget-Übersicht'!$I:$I,MATCH(A99,'Projekt-Budget-Übersicht'!$A:$A,0)),""),IF($B$2="ADM",IFERROR(INDEX('Projekt-Budget-Übersicht'!$J:$J,MATCH(A99,'Projekt-Budget-Übersicht'!$A:$A,0)),""),"")))))</f>
        <v/>
      </c>
      <c r="M99" s="11">
        <f>IF($B$2="-","",L99*(F99+I99+K99))</f>
        <v/>
      </c>
      <c r="N99" s="11">
        <f>IFERROR(INDEX('Projekt-Budget-Übersicht'!$E:$E,MATCH(A99,'Projekt-Budget-Übersicht'!$A:$A,0)),"")</f>
        <v/>
      </c>
      <c r="O99" s="11" t="inlineStr"/>
      <c r="P99" s="11" t="inlineStr"/>
    </row>
    <row r="100">
      <c r="A100" s="4" t="inlineStr">
        <is>
          <t>6497 SunYardOffice-Heidelberg</t>
        </is>
      </c>
      <c r="B100" s="4" t="inlineStr">
        <is>
          <t>4000-Genehmigungsplanung</t>
        </is>
      </c>
      <c r="C100" s="4" t="inlineStr">
        <is>
          <t>G</t>
        </is>
      </c>
      <c r="D100" s="4" t="n">
        <v>0</v>
      </c>
      <c r="E100" s="4" t="n">
        <v>0</v>
      </c>
      <c r="F100" s="4" t="n">
        <v>0.5</v>
      </c>
      <c r="G100" s="4" t="n">
        <v>0</v>
      </c>
      <c r="H100" s="5" t="n"/>
      <c r="I100" s="5">
        <f>IF(H100=0,"",F100-H100)</f>
        <v/>
      </c>
      <c r="J100" s="4" t="n"/>
      <c r="K100" s="5">
        <f>IF('J. Dorn'!J91="A. Kokott",'J. Dorn'!I91,0)+IF('T. Trautmann'!J91="A. Kokott",'T. Trautmann'!I91,0)</f>
        <v/>
      </c>
      <c r="L100" s="11">
        <f>IF($B$2="-","",IF($B$2="Pauschale",IFERROR(INDEX('Projekt-Budget-Übersicht'!$H:$H,MATCH(A100,'Projekt-Budget-Übersicht'!$A:$A,0)),""),IF($B$2="SV",IFERROR(INDEX('Projekt-Budget-Übersicht'!$H:$H,MATCH(A100,'Projekt-Budget-Übersicht'!$A:$A,0)),""),IF($B$2="CAD",IFERROR(INDEX('Projekt-Budget-Übersicht'!$I:$I,MATCH(A100,'Projekt-Budget-Übersicht'!$A:$A,0)),""),IF($B$2="ADM",IFERROR(INDEX('Projekt-Budget-Übersicht'!$J:$J,MATCH(A100,'Projekt-Budget-Übersicht'!$A:$A,0)),""),"")))))</f>
        <v/>
      </c>
      <c r="M100" s="11">
        <f>IF($B$2="-","",L100*(F100+I100+K100))</f>
        <v/>
      </c>
      <c r="N100" s="11">
        <f>IFERROR(INDEX('Projekt-Budget-Übersicht'!$E:$E,MATCH(A100,'Projekt-Budget-Übersicht'!$A:$A,0)),"")</f>
        <v/>
      </c>
      <c r="O100" s="11" t="inlineStr"/>
      <c r="P100" s="11" t="inlineStr"/>
    </row>
    <row r="101">
      <c r="A101" s="4" t="inlineStr">
        <is>
          <t>6527.01 IO-Anp-BSK-Mühlenfeldstr1-Holzminden-Symotion</t>
        </is>
      </c>
      <c r="B101" s="4" t="inlineStr">
        <is>
          <t>SV</t>
        </is>
      </c>
      <c r="C101" s="4" t="inlineStr">
        <is>
          <t>G</t>
        </is>
      </c>
      <c r="D101" s="4" t="n">
        <v>6</v>
      </c>
      <c r="E101" s="4" t="n">
        <v>48</v>
      </c>
      <c r="F101" s="4" t="n">
        <v>0.75</v>
      </c>
      <c r="G101" s="16" t="n">
        <v>800</v>
      </c>
      <c r="H101" s="5" t="n"/>
      <c r="I101" s="5">
        <f>IF(H101=0,"",F101-H101)</f>
        <v/>
      </c>
      <c r="J101" s="4" t="n"/>
      <c r="K101" s="5">
        <f>IF('J. Dorn'!J92="A. Kokott",'J. Dorn'!I92,0)+IF('O. Haag BS-CAD'!J109="A. Kokott",'O. Haag BS-CAD'!I109,0)</f>
        <v/>
      </c>
      <c r="L101" s="11">
        <f>IF($B$2="-","",IF($B$2="Pauschale",IFERROR(INDEX('Projekt-Budget-Übersicht'!$H:$H,MATCH(A101,'Projekt-Budget-Übersicht'!$A:$A,0)),""),IF($B$2="SV",IFERROR(INDEX('Projekt-Budget-Übersicht'!$H:$H,MATCH(A101,'Projekt-Budget-Übersicht'!$A:$A,0)),""),IF($B$2="CAD",IFERROR(INDEX('Projekt-Budget-Übersicht'!$I:$I,MATCH(A101,'Projekt-Budget-Übersicht'!$A:$A,0)),""),IF($B$2="ADM",IFERROR(INDEX('Projekt-Budget-Übersicht'!$J:$J,MATCH(A101,'Projekt-Budget-Übersicht'!$A:$A,0)),""),"")))))</f>
        <v/>
      </c>
      <c r="M101" s="11">
        <f>IF($B$2="-","",L101*(F101+I101+K101))</f>
        <v/>
      </c>
      <c r="N101" s="11">
        <f>IFERROR(INDEX('Projekt-Budget-Übersicht'!$E:$E,MATCH(A101,'Projekt-Budget-Übersicht'!$A:$A,0)),"")</f>
        <v/>
      </c>
      <c r="O101" s="11" t="inlineStr"/>
      <c r="P101" s="11" t="inlineStr"/>
    </row>
    <row r="102">
      <c r="A102" s="4" t="inlineStr">
        <is>
          <t>6649.03 formica-Anp-BSK-Otto-Hahn-Str-Hilden-Laer</t>
        </is>
      </c>
      <c r="B102" s="4" t="inlineStr">
        <is>
          <t>ADM</t>
        </is>
      </c>
      <c r="C102" s="4" t="inlineStr">
        <is>
          <t>G</t>
        </is>
      </c>
      <c r="D102" s="4" t="n">
        <v>0</v>
      </c>
      <c r="E102" s="4" t="n">
        <v>0</v>
      </c>
      <c r="F102" s="4" t="n">
        <v>1</v>
      </c>
      <c r="G102" s="4" t="n">
        <v>0</v>
      </c>
      <c r="H102" s="5" t="n"/>
      <c r="I102" s="5">
        <f>IF(H102=0,"",F102-H102)</f>
        <v/>
      </c>
      <c r="J102" s="4" t="n"/>
      <c r="K102" s="5" t="n">
        <v>0</v>
      </c>
      <c r="L102" s="11">
        <f>IF($B$2="-","",IF($B$2="Pauschale",IFERROR(INDEX('Projekt-Budget-Übersicht'!$H:$H,MATCH(A102,'Projekt-Budget-Übersicht'!$A:$A,0)),""),IF($B$2="SV",IFERROR(INDEX('Projekt-Budget-Übersicht'!$H:$H,MATCH(A102,'Projekt-Budget-Übersicht'!$A:$A,0)),""),IF($B$2="CAD",IFERROR(INDEX('Projekt-Budget-Übersicht'!$I:$I,MATCH(A102,'Projekt-Budget-Übersicht'!$A:$A,0)),""),IF($B$2="ADM",IFERROR(INDEX('Projekt-Budget-Übersicht'!$J:$J,MATCH(A102,'Projekt-Budget-Übersicht'!$A:$A,0)),""),"")))))</f>
        <v/>
      </c>
      <c r="M102" s="11">
        <f>IF($B$2="-","",L102*(F102+I102+K102))</f>
        <v/>
      </c>
      <c r="N102" s="11">
        <f>IFERROR(INDEX('Projekt-Budget-Übersicht'!$E:$E,MATCH(A102,'Projekt-Budget-Übersicht'!$A:$A,0)),"")</f>
        <v/>
      </c>
      <c r="O102" s="11" t="inlineStr"/>
      <c r="P102" s="11" t="inlineStr"/>
    </row>
    <row r="103">
      <c r="A103" s="4" t="inlineStr">
        <is>
          <t>6693.02 Holnis-FRP-Quartier-D-Römerkreis-Heidelberg</t>
        </is>
      </c>
      <c r="B103" s="4" t="inlineStr">
        <is>
          <t>0100-Anlage Projekt, Angebot, Versand, Auftrag</t>
        </is>
      </c>
      <c r="C103" s="4" t="inlineStr">
        <is>
          <t>G</t>
        </is>
      </c>
      <c r="D103" s="4" t="n">
        <v>1</v>
      </c>
      <c r="E103" s="4" t="n">
        <v>1.5</v>
      </c>
      <c r="F103" s="4" t="n">
        <v>0.5</v>
      </c>
      <c r="G103" s="16" t="n">
        <v>150</v>
      </c>
      <c r="H103" s="5" t="n"/>
      <c r="I103" s="5">
        <f>IF(H103=0,"",F103-H103)</f>
        <v/>
      </c>
      <c r="J103" s="4" t="n"/>
      <c r="K103" s="5" t="n">
        <v>0</v>
      </c>
      <c r="L103" s="11">
        <f>IF($B$2="-","",IF($B$2="Pauschale",IFERROR(INDEX('Projekt-Budget-Übersicht'!$H:$H,MATCH(A103,'Projekt-Budget-Übersicht'!$A:$A,0)),""),IF($B$2="SV",IFERROR(INDEX('Projekt-Budget-Übersicht'!$H:$H,MATCH(A103,'Projekt-Budget-Übersicht'!$A:$A,0)),""),IF($B$2="CAD",IFERROR(INDEX('Projekt-Budget-Übersicht'!$I:$I,MATCH(A103,'Projekt-Budget-Übersicht'!$A:$A,0)),""),IF($B$2="ADM",IFERROR(INDEX('Projekt-Budget-Übersicht'!$J:$J,MATCH(A103,'Projekt-Budget-Übersicht'!$A:$A,0)),""),"")))))</f>
        <v/>
      </c>
      <c r="M103" s="11">
        <f>IF($B$2="-","",L103*(F103+I103+K103))</f>
        <v/>
      </c>
      <c r="N103" s="11">
        <f>IFERROR(INDEX('Projekt-Budget-Übersicht'!$E:$E,MATCH(A103,'Projekt-Budget-Übersicht'!$A:$A,0)),"")</f>
        <v/>
      </c>
      <c r="O103" s="11" t="inlineStr"/>
      <c r="P103" s="11" t="inlineStr"/>
    </row>
    <row r="104">
      <c r="A104" s="4" t="inlineStr">
        <is>
          <t>6952.01 WindBauer-BSK-WEA-Bartow-Pfalz</t>
        </is>
      </c>
      <c r="B104" s="4" t="inlineStr">
        <is>
          <t>ADM</t>
        </is>
      </c>
      <c r="C104" s="4" t="inlineStr">
        <is>
          <t>G</t>
        </is>
      </c>
      <c r="D104" s="4" t="n">
        <v>1</v>
      </c>
      <c r="E104" s="4" t="n">
        <v>1.25</v>
      </c>
      <c r="F104" s="4" t="n">
        <v>0.5</v>
      </c>
      <c r="G104" s="16" t="n">
        <v>125</v>
      </c>
      <c r="H104" s="5" t="n"/>
      <c r="I104" s="5">
        <f>IF(H104=0,"",F104-H104)</f>
        <v/>
      </c>
      <c r="J104" s="4" t="n"/>
      <c r="K104" s="5" t="n">
        <v>0</v>
      </c>
      <c r="L104" s="11">
        <f>IF($B$2="-","",IF($B$2="Pauschale",IFERROR(INDEX('Projekt-Budget-Übersicht'!$H:$H,MATCH(A104,'Projekt-Budget-Übersicht'!$A:$A,0)),""),IF($B$2="SV",IFERROR(INDEX('Projekt-Budget-Übersicht'!$H:$H,MATCH(A104,'Projekt-Budget-Übersicht'!$A:$A,0)),""),IF($B$2="CAD",IFERROR(INDEX('Projekt-Budget-Übersicht'!$I:$I,MATCH(A104,'Projekt-Budget-Übersicht'!$A:$A,0)),""),IF($B$2="ADM",IFERROR(INDEX('Projekt-Budget-Übersicht'!$J:$J,MATCH(A104,'Projekt-Budget-Übersicht'!$A:$A,0)),""),"")))))</f>
        <v/>
      </c>
      <c r="M104" s="11">
        <f>IF($B$2="-","",L104*(F104+I104+K104))</f>
        <v/>
      </c>
      <c r="N104" s="11">
        <f>IFERROR(INDEX('Projekt-Budget-Übersicht'!$E:$E,MATCH(A104,'Projekt-Budget-Übersicht'!$A:$A,0)),"")</f>
        <v/>
      </c>
      <c r="O104" s="11" t="inlineStr"/>
      <c r="P104" s="11" t="inlineStr"/>
    </row>
    <row r="105">
      <c r="A105" s="4" t="inlineStr">
        <is>
          <t>7117.01 Juwi-WEA-Polch-II-Tektur</t>
        </is>
      </c>
      <c r="B105" s="4" t="inlineStr">
        <is>
          <t>(aN) Tektur BSK Polch II (Abruf RV 2024)</t>
        </is>
      </c>
      <c r="C105" s="4" t="inlineStr">
        <is>
          <t>G</t>
        </is>
      </c>
      <c r="D105" s="4" t="n">
        <v>4</v>
      </c>
      <c r="E105" s="4" t="n">
        <v>4.75</v>
      </c>
      <c r="F105" s="4" t="n">
        <v>0.5</v>
      </c>
      <c r="G105" s="16" t="n">
        <v>118.75</v>
      </c>
      <c r="H105" s="5" t="n"/>
      <c r="I105" s="5">
        <f>IF(H105=0,"",F105-H105)</f>
        <v/>
      </c>
      <c r="J105" s="4" t="n"/>
      <c r="K105" s="5">
        <f>IF('H. Bektas'!J50="A. Kokott",'H. Bektas'!I50,0)</f>
        <v/>
      </c>
      <c r="L105" s="11">
        <f>IF($B$2="-","",IF($B$2="Pauschale",IFERROR(INDEX('Projekt-Budget-Übersicht'!$H:$H,MATCH(A105,'Projekt-Budget-Übersicht'!$A:$A,0)),""),IF($B$2="SV",IFERROR(INDEX('Projekt-Budget-Übersicht'!$H:$H,MATCH(A105,'Projekt-Budget-Übersicht'!$A:$A,0)),""),IF($B$2="CAD",IFERROR(INDEX('Projekt-Budget-Übersicht'!$I:$I,MATCH(A105,'Projekt-Budget-Übersicht'!$A:$A,0)),""),IF($B$2="ADM",IFERROR(INDEX('Projekt-Budget-Übersicht'!$J:$J,MATCH(A105,'Projekt-Budget-Übersicht'!$A:$A,0)),""),"")))))</f>
        <v/>
      </c>
      <c r="M105" s="11">
        <f>IF($B$2="-","",L105*(F105+I105+K105))</f>
        <v/>
      </c>
      <c r="N105" s="11">
        <f>IFERROR(INDEX('Projekt-Budget-Übersicht'!$E:$E,MATCH(A105,'Projekt-Budget-Übersicht'!$A:$A,0)),"")</f>
        <v/>
      </c>
      <c r="O105" s="11" t="inlineStr"/>
      <c r="P105" s="11" t="inlineStr"/>
    </row>
    <row r="106">
      <c r="A106" s="4" t="inlineStr">
        <is>
          <t>7187.03 Altus-Anp-BSK-WP-Süd-Bovenden-an-der-Lieth</t>
        </is>
      </c>
      <c r="B106" s="4" t="inlineStr">
        <is>
          <t>SV</t>
        </is>
      </c>
      <c r="C106" s="4" t="inlineStr">
        <is>
          <t>G</t>
        </is>
      </c>
      <c r="D106" s="4" t="n">
        <v>3</v>
      </c>
      <c r="E106" s="4" t="n">
        <v>3.5</v>
      </c>
      <c r="F106" s="4" t="n">
        <v>0.5</v>
      </c>
      <c r="G106" s="16" t="n">
        <v>116.67</v>
      </c>
      <c r="H106" s="5" t="n"/>
      <c r="I106" s="5">
        <f>IF(H106=0,"",F106-H106)</f>
        <v/>
      </c>
      <c r="J106" s="4" t="n"/>
      <c r="K106" s="5">
        <f>IF('H. Bektas'!J51="A. Kokott",'H. Bektas'!I51,0)</f>
        <v/>
      </c>
      <c r="L106" s="11">
        <f>IF($B$2="-","",IF($B$2="Pauschale",IFERROR(INDEX('Projekt-Budget-Übersicht'!$H:$H,MATCH(A106,'Projekt-Budget-Übersicht'!$A:$A,0)),""),IF($B$2="SV",IFERROR(INDEX('Projekt-Budget-Übersicht'!$H:$H,MATCH(A106,'Projekt-Budget-Übersicht'!$A:$A,0)),""),IF($B$2="CAD",IFERROR(INDEX('Projekt-Budget-Übersicht'!$I:$I,MATCH(A106,'Projekt-Budget-Übersicht'!$A:$A,0)),""),IF($B$2="ADM",IFERROR(INDEX('Projekt-Budget-Übersicht'!$J:$J,MATCH(A106,'Projekt-Budget-Übersicht'!$A:$A,0)),""),"")))))</f>
        <v/>
      </c>
      <c r="M106" s="11">
        <f>IF($B$2="-","",L106*(F106+I106+K106))</f>
        <v/>
      </c>
      <c r="N106" s="11">
        <f>IFERROR(INDEX('Projekt-Budget-Übersicht'!$E:$E,MATCH(A106,'Projekt-Budget-Übersicht'!$A:$A,0)),"")</f>
        <v/>
      </c>
      <c r="O106" s="11" t="inlineStr"/>
      <c r="P106" s="11" t="inlineStr"/>
    </row>
    <row r="107">
      <c r="A107" s="4" t="inlineStr">
        <is>
          <t>7196 DRESO-BSK-TDE-Genset-Container-Austausch-NEA-Kleyerstr75-89-FFM</t>
        </is>
      </c>
      <c r="B107" s="4" t="inlineStr">
        <is>
          <t>ADM</t>
        </is>
      </c>
      <c r="C107" s="4" t="inlineStr">
        <is>
          <t>G</t>
        </is>
      </c>
      <c r="D107" s="4" t="n">
        <v>1</v>
      </c>
      <c r="E107" s="4" t="n">
        <v>2.5</v>
      </c>
      <c r="F107" s="4" t="n">
        <v>0.75</v>
      </c>
      <c r="G107" s="16" t="n">
        <v>250</v>
      </c>
      <c r="H107" s="5" t="n"/>
      <c r="I107" s="5">
        <f>IF(H107=0,"",F107-H107)</f>
        <v/>
      </c>
      <c r="J107" s="4" t="n"/>
      <c r="K107" s="5" t="n">
        <v>0</v>
      </c>
      <c r="L107" s="11">
        <f>IF($B$2="-","",IF($B$2="Pauschale",IFERROR(INDEX('Projekt-Budget-Übersicht'!$H:$H,MATCH(A107,'Projekt-Budget-Übersicht'!$A:$A,0)),""),IF($B$2="SV",IFERROR(INDEX('Projekt-Budget-Übersicht'!$H:$H,MATCH(A107,'Projekt-Budget-Übersicht'!$A:$A,0)),""),IF($B$2="CAD",IFERROR(INDEX('Projekt-Budget-Übersicht'!$I:$I,MATCH(A107,'Projekt-Budget-Übersicht'!$A:$A,0)),""),IF($B$2="ADM",IFERROR(INDEX('Projekt-Budget-Übersicht'!$J:$J,MATCH(A107,'Projekt-Budget-Übersicht'!$A:$A,0)),""),"")))))</f>
        <v/>
      </c>
      <c r="M107" s="11">
        <f>IF($B$2="-","",L107*(F107+I107+K107))</f>
        <v/>
      </c>
      <c r="N107" s="11">
        <f>IFERROR(INDEX('Projekt-Budget-Übersicht'!$E:$E,MATCH(A107,'Projekt-Budget-Übersicht'!$A:$A,0)),"")</f>
        <v/>
      </c>
      <c r="O107" s="11" t="inlineStr"/>
      <c r="P107" s="11" t="inlineStr"/>
    </row>
    <row r="108">
      <c r="A108" s="4" t="inlineStr">
        <is>
          <t>7246.01 Altus-WP-An-der-Nethe-NRW-Wiederaufnahme-BSK</t>
        </is>
      </c>
      <c r="B108" s="4" t="inlineStr">
        <is>
          <t>ADM</t>
        </is>
      </c>
      <c r="C108" s="4" t="inlineStr">
        <is>
          <t>G</t>
        </is>
      </c>
      <c r="D108" s="4" t="n">
        <v>0</v>
      </c>
      <c r="E108" s="4" t="n">
        <v>0</v>
      </c>
      <c r="F108" s="4" t="n">
        <v>0.5</v>
      </c>
      <c r="G108" s="4" t="n">
        <v>0</v>
      </c>
      <c r="H108" s="5" t="n"/>
      <c r="I108" s="5">
        <f>IF(H108=0,"",F108-H108)</f>
        <v/>
      </c>
      <c r="J108" s="4" t="n"/>
      <c r="K108" s="5" t="n">
        <v>0</v>
      </c>
      <c r="L108" s="11">
        <f>IF($B$2="-","",IF($B$2="Pauschale",IFERROR(INDEX('Projekt-Budget-Übersicht'!$H:$H,MATCH(A108,'Projekt-Budget-Übersicht'!$A:$A,0)),""),IF($B$2="SV",IFERROR(INDEX('Projekt-Budget-Übersicht'!$H:$H,MATCH(A108,'Projekt-Budget-Übersicht'!$A:$A,0)),""),IF($B$2="CAD",IFERROR(INDEX('Projekt-Budget-Übersicht'!$I:$I,MATCH(A108,'Projekt-Budget-Übersicht'!$A:$A,0)),""),IF($B$2="ADM",IFERROR(INDEX('Projekt-Budget-Übersicht'!$J:$J,MATCH(A108,'Projekt-Budget-Übersicht'!$A:$A,0)),""),"")))))</f>
        <v/>
      </c>
      <c r="M108" s="11">
        <f>IF($B$2="-","",L108*(F108+I108+K108))</f>
        <v/>
      </c>
      <c r="N108" s="11">
        <f>IFERROR(INDEX('Projekt-Budget-Übersicht'!$E:$E,MATCH(A108,'Projekt-Budget-Übersicht'!$A:$A,0)),"")</f>
        <v/>
      </c>
      <c r="O108" s="11" t="inlineStr"/>
      <c r="P108" s="11" t="inlineStr"/>
    </row>
    <row r="109">
      <c r="A109" s="4" t="inlineStr">
        <is>
          <t>7247 Hoepfner-BTB-NL-Grünwinkel</t>
        </is>
      </c>
      <c r="B109" s="4" t="inlineStr">
        <is>
          <t>(aN) Pos. 1 Brandschutztechnische Beratung und SOLL-IST-Abgleich (SV)</t>
        </is>
      </c>
      <c r="C109" s="4" t="inlineStr">
        <is>
          <t>G</t>
        </is>
      </c>
      <c r="D109" s="4" t="n">
        <v>100</v>
      </c>
      <c r="E109" s="4" t="n">
        <v>26.5</v>
      </c>
      <c r="F109" s="4" t="n">
        <v>0.25</v>
      </c>
      <c r="G109" s="17" t="n">
        <v>26.5</v>
      </c>
      <c r="H109" s="5" t="n"/>
      <c r="I109" s="5">
        <f>IF(H109=0,"",F109-H109)</f>
        <v/>
      </c>
      <c r="J109" s="4" t="n"/>
      <c r="K109" s="5">
        <f>IF('S. Schüler'!J109="A. Kokott",'S. Schüler'!I109,0)</f>
        <v/>
      </c>
      <c r="L109" s="11">
        <f>IF($B$2="-","",IF($B$2="Pauschale",IFERROR(INDEX('Projekt-Budget-Übersicht'!$H:$H,MATCH(A109,'Projekt-Budget-Übersicht'!$A:$A,0)),""),IF($B$2="SV",IFERROR(INDEX('Projekt-Budget-Übersicht'!$H:$H,MATCH(A109,'Projekt-Budget-Übersicht'!$A:$A,0)),""),IF($B$2="CAD",IFERROR(INDEX('Projekt-Budget-Übersicht'!$I:$I,MATCH(A109,'Projekt-Budget-Übersicht'!$A:$A,0)),""),IF($B$2="ADM",IFERROR(INDEX('Projekt-Budget-Übersicht'!$J:$J,MATCH(A109,'Projekt-Budget-Übersicht'!$A:$A,0)),""),"")))))</f>
        <v/>
      </c>
      <c r="M109" s="11">
        <f>IF($B$2="-","",L109*(F109+I109+K109))</f>
        <v/>
      </c>
      <c r="N109" s="11">
        <f>IFERROR(INDEX('Projekt-Budget-Übersicht'!$E:$E,MATCH(A109,'Projekt-Budget-Übersicht'!$A:$A,0)),"")</f>
        <v/>
      </c>
      <c r="O109" s="11" t="inlineStr"/>
      <c r="P109" s="11" t="inlineStr"/>
    </row>
    <row r="110">
      <c r="A110" s="4" t="inlineStr">
        <is>
          <t>7302.01 PretiumPlus-NAT-BTB-Rheingaustr186-Wiesbaden</t>
        </is>
      </c>
      <c r="B110" s="4" t="inlineStr">
        <is>
          <t>SV</t>
        </is>
      </c>
      <c r="C110" s="4" t="inlineStr">
        <is>
          <t>G</t>
        </is>
      </c>
      <c r="D110" s="4" t="n">
        <v>20</v>
      </c>
      <c r="E110" s="4" t="n">
        <v>5.75</v>
      </c>
      <c r="F110" s="4" t="n">
        <v>0.5</v>
      </c>
      <c r="G110" s="17" t="n">
        <v>28.75</v>
      </c>
      <c r="H110" s="5" t="n"/>
      <c r="I110" s="5">
        <f>IF(H110=0,"",F110-H110)</f>
        <v/>
      </c>
      <c r="J110" s="4" t="n"/>
      <c r="K110" s="5" t="n">
        <v>0</v>
      </c>
      <c r="L110" s="11">
        <f>IF($B$2="-","",IF($B$2="Pauschale",IFERROR(INDEX('Projekt-Budget-Übersicht'!$H:$H,MATCH(A110,'Projekt-Budget-Übersicht'!$A:$A,0)),""),IF($B$2="SV",IFERROR(INDEX('Projekt-Budget-Übersicht'!$H:$H,MATCH(A110,'Projekt-Budget-Übersicht'!$A:$A,0)),""),IF($B$2="CAD",IFERROR(INDEX('Projekt-Budget-Übersicht'!$I:$I,MATCH(A110,'Projekt-Budget-Übersicht'!$A:$A,0)),""),IF($B$2="ADM",IFERROR(INDEX('Projekt-Budget-Übersicht'!$J:$J,MATCH(A110,'Projekt-Budget-Übersicht'!$A:$A,0)),""),"")))))</f>
        <v/>
      </c>
      <c r="M110" s="11">
        <f>IF($B$2="-","",L110*(F110+I110+K110))</f>
        <v/>
      </c>
      <c r="N110" s="11">
        <f>IFERROR(INDEX('Projekt-Budget-Übersicht'!$E:$E,MATCH(A110,'Projekt-Budget-Übersicht'!$A:$A,0)),"")</f>
        <v/>
      </c>
      <c r="O110" s="11" t="inlineStr"/>
      <c r="P110" s="11" t="inlineStr"/>
    </row>
    <row r="111">
      <c r="A111" s="4" t="inlineStr">
        <is>
          <t>7330 LBB-IO-AHO-Truppenübungsplatz-NB-Schießhaus-Smith-Barracks-Baumholder</t>
        </is>
      </c>
      <c r="B111" s="4" t="inlineStr">
        <is>
          <t>Pos. 1.10 GL (SV)</t>
        </is>
      </c>
      <c r="C111" s="4" t="inlineStr">
        <is>
          <t>G</t>
        </is>
      </c>
      <c r="D111" s="4" t="n">
        <v>1.5</v>
      </c>
      <c r="E111" s="4" t="n">
        <v>1.5</v>
      </c>
      <c r="F111" s="4" t="n">
        <v>0.5</v>
      </c>
      <c r="G111" s="14" t="n">
        <v>100</v>
      </c>
      <c r="H111" s="5" t="n"/>
      <c r="I111" s="5">
        <f>IF(H111=0,"",F111-H111)</f>
        <v/>
      </c>
      <c r="J111" s="4" t="n"/>
      <c r="K111" s="5" t="n">
        <v>0</v>
      </c>
      <c r="L111" s="11">
        <f>IF($B$2="-","",IF($B$2="Pauschale",IFERROR(INDEX('Projekt-Budget-Übersicht'!$H:$H,MATCH(A111,'Projekt-Budget-Übersicht'!$A:$A,0)),""),IF($B$2="SV",IFERROR(INDEX('Projekt-Budget-Übersicht'!$H:$H,MATCH(A111,'Projekt-Budget-Übersicht'!$A:$A,0)),""),IF($B$2="CAD",IFERROR(INDEX('Projekt-Budget-Übersicht'!$I:$I,MATCH(A111,'Projekt-Budget-Übersicht'!$A:$A,0)),""),IF($B$2="ADM",IFERROR(INDEX('Projekt-Budget-Übersicht'!$J:$J,MATCH(A111,'Projekt-Budget-Übersicht'!$A:$A,0)),""),"")))))</f>
        <v/>
      </c>
      <c r="M111" s="11">
        <f>IF($B$2="-","",L111*(F111+I111+K111))</f>
        <v/>
      </c>
      <c r="N111" s="11">
        <f>IFERROR(INDEX('Projekt-Budget-Übersicht'!$E:$E,MATCH(A111,'Projekt-Budget-Übersicht'!$A:$A,0)),"")</f>
        <v/>
      </c>
      <c r="O111" s="11" t="inlineStr"/>
      <c r="P111" s="11" t="inlineStr"/>
    </row>
    <row r="112">
      <c r="A112" s="4" t="inlineStr">
        <is>
          <t>7355.02 Pfizer-BTB-Aufst-Wärmepumpen-Mooswaldallee-1-Freiburg-Geb-V-H-N</t>
        </is>
      </c>
      <c r="B112" s="4" t="inlineStr">
        <is>
          <t>ADM</t>
        </is>
      </c>
      <c r="C112" s="4" t="inlineStr">
        <is>
          <t>G</t>
        </is>
      </c>
      <c r="D112" s="4" t="n">
        <v>1.5</v>
      </c>
      <c r="E112" s="4" t="n">
        <v>1.75</v>
      </c>
      <c r="F112" s="4" t="n">
        <v>0.5</v>
      </c>
      <c r="G112" s="16" t="n">
        <v>116.67</v>
      </c>
      <c r="H112" s="5" t="n"/>
      <c r="I112" s="5">
        <f>IF(H112=0,"",F112-H112)</f>
        <v/>
      </c>
      <c r="J112" s="4" t="n"/>
      <c r="K112" s="5" t="n">
        <v>0</v>
      </c>
      <c r="L112" s="11">
        <f>IF($B$2="-","",IF($B$2="Pauschale",IFERROR(INDEX('Projekt-Budget-Übersicht'!$H:$H,MATCH(A112,'Projekt-Budget-Übersicht'!$A:$A,0)),""),IF($B$2="SV",IFERROR(INDEX('Projekt-Budget-Übersicht'!$H:$H,MATCH(A112,'Projekt-Budget-Übersicht'!$A:$A,0)),""),IF($B$2="CAD",IFERROR(INDEX('Projekt-Budget-Übersicht'!$I:$I,MATCH(A112,'Projekt-Budget-Übersicht'!$A:$A,0)),""),IF($B$2="ADM",IFERROR(INDEX('Projekt-Budget-Übersicht'!$J:$J,MATCH(A112,'Projekt-Budget-Übersicht'!$A:$A,0)),""),"")))))</f>
        <v/>
      </c>
      <c r="M112" s="11">
        <f>IF($B$2="-","",L112*(F112+I112+K112))</f>
        <v/>
      </c>
      <c r="N112" s="11">
        <f>IFERROR(INDEX('Projekt-Budget-Übersicht'!$E:$E,MATCH(A112,'Projekt-Budget-Übersicht'!$A:$A,0)),"")</f>
        <v/>
      </c>
      <c r="O112" s="11" t="inlineStr"/>
      <c r="P112" s="11" t="inlineStr"/>
    </row>
    <row r="113">
      <c r="A113" s="4" t="inlineStr">
        <is>
          <t>7365.01 UI-BST-StGeorgener-Str-2-Freiburg-Breisgaucenter</t>
        </is>
      </c>
      <c r="B113" s="4" t="inlineStr">
        <is>
          <t>3312-Beratungsleistungen in der Planungsphase...</t>
        </is>
      </c>
      <c r="C113" s="4" t="inlineStr">
        <is>
          <t>G</t>
        </is>
      </c>
      <c r="D113" s="4" t="n">
        <v>15</v>
      </c>
      <c r="E113" s="4" t="n">
        <v>0.5</v>
      </c>
      <c r="F113" s="4" t="n">
        <v>0.5</v>
      </c>
      <c r="G113" s="17" t="n">
        <v>3.33</v>
      </c>
      <c r="H113" s="5" t="n"/>
      <c r="I113" s="5">
        <f>IF(H113=0,"",F113-H113)</f>
        <v/>
      </c>
      <c r="J113" s="4" t="n"/>
      <c r="K113" s="5" t="n">
        <v>0</v>
      </c>
      <c r="L113" s="11">
        <f>IF($B$2="-","",IF($B$2="Pauschale",IFERROR(INDEX('Projekt-Budget-Übersicht'!$H:$H,MATCH(A113,'Projekt-Budget-Übersicht'!$A:$A,0)),""),IF($B$2="SV",IFERROR(INDEX('Projekt-Budget-Übersicht'!$H:$H,MATCH(A113,'Projekt-Budget-Übersicht'!$A:$A,0)),""),IF($B$2="CAD",IFERROR(INDEX('Projekt-Budget-Übersicht'!$I:$I,MATCH(A113,'Projekt-Budget-Übersicht'!$A:$A,0)),""),IF($B$2="ADM",IFERROR(INDEX('Projekt-Budget-Übersicht'!$J:$J,MATCH(A113,'Projekt-Budget-Übersicht'!$A:$A,0)),""),"")))))</f>
        <v/>
      </c>
      <c r="M113" s="11">
        <f>IF($B$2="-","",L113*(F113+I113+K113))</f>
        <v/>
      </c>
      <c r="N113" s="11">
        <f>IFERROR(INDEX('Projekt-Budget-Übersicht'!$E:$E,MATCH(A113,'Projekt-Budget-Übersicht'!$A:$A,0)),"")</f>
        <v/>
      </c>
      <c r="O113" s="11" t="inlineStr"/>
      <c r="P113" s="11" t="inlineStr"/>
    </row>
    <row r="114">
      <c r="A114" s="4" t="inlineStr">
        <is>
          <t>7414 HJVV-BSK-NB-Wohnanlage-Trier-Ehrang</t>
        </is>
      </c>
      <c r="B114" s="4" t="inlineStr">
        <is>
          <t>ADM</t>
        </is>
      </c>
      <c r="C114" s="4" t="inlineStr">
        <is>
          <t>G</t>
        </is>
      </c>
      <c r="D114" s="4" t="n">
        <v>1</v>
      </c>
      <c r="E114" s="4" t="n">
        <v>1.5</v>
      </c>
      <c r="F114" s="4" t="n">
        <v>0.5</v>
      </c>
      <c r="G114" s="16" t="n">
        <v>150</v>
      </c>
      <c r="H114" s="5" t="n"/>
      <c r="I114" s="5">
        <f>IF(H114=0,"",F114-H114)</f>
        <v/>
      </c>
      <c r="J114" s="4" t="n"/>
      <c r="K114" s="5" t="n">
        <v>0</v>
      </c>
      <c r="L114" s="11">
        <f>IF($B$2="-","",IF($B$2="Pauschale",IFERROR(INDEX('Projekt-Budget-Übersicht'!$H:$H,MATCH(A114,'Projekt-Budget-Übersicht'!$A:$A,0)),""),IF($B$2="SV",IFERROR(INDEX('Projekt-Budget-Übersicht'!$H:$H,MATCH(A114,'Projekt-Budget-Übersicht'!$A:$A,0)),""),IF($B$2="CAD",IFERROR(INDEX('Projekt-Budget-Übersicht'!$I:$I,MATCH(A114,'Projekt-Budget-Übersicht'!$A:$A,0)),""),IF($B$2="ADM",IFERROR(INDEX('Projekt-Budget-Übersicht'!$J:$J,MATCH(A114,'Projekt-Budget-Übersicht'!$A:$A,0)),""),"")))))</f>
        <v/>
      </c>
      <c r="M114" s="11">
        <f>IF($B$2="-","",L114*(F114+I114+K114))</f>
        <v/>
      </c>
      <c r="N114" s="11">
        <f>IFERROR(INDEX('Projekt-Budget-Übersicht'!$E:$E,MATCH(A114,'Projekt-Budget-Übersicht'!$A:$A,0)),"")</f>
        <v/>
      </c>
      <c r="O114" s="11" t="inlineStr"/>
      <c r="P114" s="11" t="inlineStr"/>
    </row>
    <row r="115">
      <c r="A115" s="4" t="inlineStr">
        <is>
          <t>7419.01 Wild-Stiftung-Objektüberwachung-Sporthalle-Pestalozzistr10-Eppelheim</t>
        </is>
      </c>
      <c r="B115" s="4" t="inlineStr">
        <is>
          <t>(aN) Pos. 1 Objektüberwachung</t>
        </is>
      </c>
      <c r="C115" s="4" t="inlineStr">
        <is>
          <t>G</t>
        </is>
      </c>
      <c r="D115" s="4" t="n">
        <v>70</v>
      </c>
      <c r="E115" s="4" t="n">
        <v>37.25</v>
      </c>
      <c r="F115" s="4" t="n">
        <v>0.5</v>
      </c>
      <c r="G115" s="17" t="n">
        <v>53.21</v>
      </c>
      <c r="H115" s="5" t="n"/>
      <c r="I115" s="5">
        <f>IF(H115=0,"",F115-H115)</f>
        <v/>
      </c>
      <c r="J115" s="4" t="n"/>
      <c r="K115" s="5" t="n">
        <v>0</v>
      </c>
      <c r="L115" s="11">
        <f>IF($B$2="-","",IF($B$2="Pauschale",IFERROR(INDEX('Projekt-Budget-Übersicht'!$H:$H,MATCH(A115,'Projekt-Budget-Übersicht'!$A:$A,0)),""),IF($B$2="SV",IFERROR(INDEX('Projekt-Budget-Übersicht'!$H:$H,MATCH(A115,'Projekt-Budget-Übersicht'!$A:$A,0)),""),IF($B$2="CAD",IFERROR(INDEX('Projekt-Budget-Übersicht'!$I:$I,MATCH(A115,'Projekt-Budget-Übersicht'!$A:$A,0)),""),IF($B$2="ADM",IFERROR(INDEX('Projekt-Budget-Übersicht'!$J:$J,MATCH(A115,'Projekt-Budget-Übersicht'!$A:$A,0)),""),"")))))</f>
        <v/>
      </c>
      <c r="M115" s="11">
        <f>IF($B$2="-","",L115*(F115+I115+K115))</f>
        <v/>
      </c>
      <c r="N115" s="11">
        <f>IFERROR(INDEX('Projekt-Budget-Übersicht'!$E:$E,MATCH(A115,'Projekt-Budget-Übersicht'!$A:$A,0)),"")</f>
        <v/>
      </c>
      <c r="O115" s="11" t="inlineStr"/>
      <c r="P115" s="11" t="inlineStr"/>
    </row>
    <row r="116">
      <c r="A116" s="4" t="inlineStr">
        <is>
          <t>7426 MPI-BTB-Biophysik-Max-von-Laue-Str3-FFM</t>
        </is>
      </c>
      <c r="B116" s="4" t="inlineStr">
        <is>
          <t>(aN) Pos. 1 Brandschutztechnische Beratung</t>
        </is>
      </c>
      <c r="C116" s="4" t="inlineStr">
        <is>
          <t>G</t>
        </is>
      </c>
      <c r="D116" s="4" t="n">
        <v>26</v>
      </c>
      <c r="E116" s="4" t="n">
        <v>42.75</v>
      </c>
      <c r="F116" s="4" t="n">
        <v>0.5</v>
      </c>
      <c r="G116" s="16" t="n">
        <v>164.42</v>
      </c>
      <c r="H116" s="5" t="n"/>
      <c r="I116" s="5">
        <f>IF(H116=0,"",F116-H116)</f>
        <v/>
      </c>
      <c r="J116" s="4" t="n"/>
      <c r="K116" s="5">
        <f>IF('M. Bandlofsky'!J62="A. Kokott",'M. Bandlofsky'!I62,0)</f>
        <v/>
      </c>
      <c r="L116" s="11">
        <f>IF($B$2="-","",IF($B$2="Pauschale",IFERROR(INDEX('Projekt-Budget-Übersicht'!$H:$H,MATCH(A116,'Projekt-Budget-Übersicht'!$A:$A,0)),""),IF($B$2="SV",IFERROR(INDEX('Projekt-Budget-Übersicht'!$H:$H,MATCH(A116,'Projekt-Budget-Übersicht'!$A:$A,0)),""),IF($B$2="CAD",IFERROR(INDEX('Projekt-Budget-Übersicht'!$I:$I,MATCH(A116,'Projekt-Budget-Übersicht'!$A:$A,0)),""),IF($B$2="ADM",IFERROR(INDEX('Projekt-Budget-Übersicht'!$J:$J,MATCH(A116,'Projekt-Budget-Übersicht'!$A:$A,0)),""),"")))))</f>
        <v/>
      </c>
      <c r="M116" s="11">
        <f>IF($B$2="-","",L116*(F116+I116+K116))</f>
        <v/>
      </c>
      <c r="N116" s="11">
        <f>IFERROR(INDEX('Projekt-Budget-Übersicht'!$E:$E,MATCH(A116,'Projekt-Budget-Übersicht'!$A:$A,0)),"")</f>
        <v/>
      </c>
      <c r="O116" s="11" t="inlineStr"/>
      <c r="P116" s="11" t="inlineStr"/>
    </row>
    <row r="117">
      <c r="A117" s="4" t="inlineStr">
        <is>
          <t>7441 Baupionier-Garagenpark-Öhringen-BSK</t>
        </is>
      </c>
      <c r="B117" s="4" t="inlineStr">
        <is>
          <t>ADM</t>
        </is>
      </c>
      <c r="C117" s="4" t="inlineStr">
        <is>
          <t>G</t>
        </is>
      </c>
      <c r="D117" s="4" t="n">
        <v>1</v>
      </c>
      <c r="E117" s="4" t="n">
        <v>2.5</v>
      </c>
      <c r="F117" s="4" t="n">
        <v>0.25</v>
      </c>
      <c r="G117" s="16" t="n">
        <v>250</v>
      </c>
      <c r="H117" s="5" t="n"/>
      <c r="I117" s="5">
        <f>IF(H117=0,"",F117-H117)</f>
        <v/>
      </c>
      <c r="J117" s="4" t="n"/>
      <c r="K117" s="5" t="n">
        <v>0</v>
      </c>
      <c r="L117" s="11">
        <f>IF($B$2="-","",IF($B$2="Pauschale",IFERROR(INDEX('Projekt-Budget-Übersicht'!$H:$H,MATCH(A117,'Projekt-Budget-Übersicht'!$A:$A,0)),""),IF($B$2="SV",IFERROR(INDEX('Projekt-Budget-Übersicht'!$H:$H,MATCH(A117,'Projekt-Budget-Übersicht'!$A:$A,0)),""),IF($B$2="CAD",IFERROR(INDEX('Projekt-Budget-Übersicht'!$I:$I,MATCH(A117,'Projekt-Budget-Übersicht'!$A:$A,0)),""),IF($B$2="ADM",IFERROR(INDEX('Projekt-Budget-Übersicht'!$J:$J,MATCH(A117,'Projekt-Budget-Übersicht'!$A:$A,0)),""),"")))))</f>
        <v/>
      </c>
      <c r="M117" s="11">
        <f>IF($B$2="-","",L117*(F117+I117+K117))</f>
        <v/>
      </c>
      <c r="N117" s="11">
        <f>IFERROR(INDEX('Projekt-Budget-Übersicht'!$E:$E,MATCH(A117,'Projekt-Budget-Übersicht'!$A:$A,0)),"")</f>
        <v/>
      </c>
      <c r="O117" s="11" t="inlineStr"/>
      <c r="P117" s="11" t="inlineStr"/>
    </row>
    <row r="118">
      <c r="A118" s="4" t="inlineStr">
        <is>
          <t>7481 The Oswalds-BSO-Gewerbegegäude-Reichertshausen</t>
        </is>
      </c>
      <c r="B118" s="4" t="inlineStr">
        <is>
          <t>0100-Anlage Projekt, Angebot, Versand, Auftrag</t>
        </is>
      </c>
      <c r="C118" s="4" t="inlineStr">
        <is>
          <t>G</t>
        </is>
      </c>
      <c r="D118" s="4" t="n">
        <v>1</v>
      </c>
      <c r="E118" s="4" t="n">
        <v>1</v>
      </c>
      <c r="F118" s="4" t="n">
        <v>0.5</v>
      </c>
      <c r="G118" s="14" t="n">
        <v>100</v>
      </c>
      <c r="H118" s="5" t="n"/>
      <c r="I118" s="5">
        <f>IF(H118=0,"",F118-H118)</f>
        <v/>
      </c>
      <c r="J118" s="4" t="n"/>
      <c r="K118" s="5" t="n">
        <v>0</v>
      </c>
      <c r="L118" s="11">
        <f>IF($B$2="-","",IF($B$2="Pauschale",IFERROR(INDEX('Projekt-Budget-Übersicht'!$H:$H,MATCH(A118,'Projekt-Budget-Übersicht'!$A:$A,0)),""),IF($B$2="SV",IFERROR(INDEX('Projekt-Budget-Übersicht'!$H:$H,MATCH(A118,'Projekt-Budget-Übersicht'!$A:$A,0)),""),IF($B$2="CAD",IFERROR(INDEX('Projekt-Budget-Übersicht'!$I:$I,MATCH(A118,'Projekt-Budget-Übersicht'!$A:$A,0)),""),IF($B$2="ADM",IFERROR(INDEX('Projekt-Budget-Übersicht'!$J:$J,MATCH(A118,'Projekt-Budget-Übersicht'!$A:$A,0)),""),"")))))</f>
        <v/>
      </c>
      <c r="M118" s="11">
        <f>IF($B$2="-","",L118*(F118+I118+K118))</f>
        <v/>
      </c>
      <c r="N118" s="11">
        <f>IFERROR(INDEX('Projekt-Budget-Übersicht'!$E:$E,MATCH(A118,'Projekt-Budget-Übersicht'!$A:$A,0)),"")</f>
        <v/>
      </c>
      <c r="O118" s="11" t="inlineStr"/>
      <c r="P118" s="11" t="inlineStr"/>
    </row>
    <row r="119">
      <c r="A119" s="4" t="inlineStr">
        <is>
          <t>7500 Baupionier-PCP-RV-diverse-Garagenparks</t>
        </is>
      </c>
      <c r="B119" s="4" t="inlineStr">
        <is>
          <t>ADM</t>
        </is>
      </c>
      <c r="C119" s="4" t="inlineStr">
        <is>
          <t>G</t>
        </is>
      </c>
      <c r="D119" s="4" t="n">
        <v>0</v>
      </c>
      <c r="E119" s="4" t="n">
        <v>0</v>
      </c>
      <c r="F119" s="4" t="n">
        <v>0.5</v>
      </c>
      <c r="G119" s="4" t="n">
        <v>0</v>
      </c>
      <c r="H119" s="5" t="n"/>
      <c r="I119" s="5">
        <f>IF(H119=0,"",F119-H119)</f>
        <v/>
      </c>
      <c r="J119" s="4" t="n"/>
      <c r="K119" s="5" t="n">
        <v>0</v>
      </c>
      <c r="L119" s="11">
        <f>IF($B$2="-","",IF($B$2="Pauschale",IFERROR(INDEX('Projekt-Budget-Übersicht'!$H:$H,MATCH(A119,'Projekt-Budget-Übersicht'!$A:$A,0)),""),IF($B$2="SV",IFERROR(INDEX('Projekt-Budget-Übersicht'!$H:$H,MATCH(A119,'Projekt-Budget-Übersicht'!$A:$A,0)),""),IF($B$2="CAD",IFERROR(INDEX('Projekt-Budget-Übersicht'!$I:$I,MATCH(A119,'Projekt-Budget-Übersicht'!$A:$A,0)),""),IF($B$2="ADM",IFERROR(INDEX('Projekt-Budget-Übersicht'!$J:$J,MATCH(A119,'Projekt-Budget-Übersicht'!$A:$A,0)),""),"")))))</f>
        <v/>
      </c>
      <c r="M119" s="11">
        <f>IF($B$2="-","",L119*(F119+I119+K119))</f>
        <v/>
      </c>
      <c r="N119" s="11">
        <f>IFERROR(INDEX('Projekt-Budget-Übersicht'!$E:$E,MATCH(A119,'Projekt-Budget-Übersicht'!$A:$A,0)),"")</f>
        <v/>
      </c>
      <c r="O119" s="11" t="inlineStr"/>
      <c r="P119" s="11" t="inlineStr"/>
    </row>
    <row r="120">
      <c r="A120" s="4" t="inlineStr">
        <is>
          <t>7509 PPB-FWP-Grundschule-Patton Barracks-Palo-Alto-Platz-4-6-Heidelberg</t>
        </is>
      </c>
      <c r="B120" s="4" t="inlineStr">
        <is>
          <t>ADM</t>
        </is>
      </c>
      <c r="C120" s="4" t="inlineStr">
        <is>
          <t>G</t>
        </is>
      </c>
      <c r="D120" s="4" t="n">
        <v>1</v>
      </c>
      <c r="E120" s="4" t="n">
        <v>1.25</v>
      </c>
      <c r="F120" s="4" t="n">
        <v>0.5</v>
      </c>
      <c r="G120" s="16" t="n">
        <v>125</v>
      </c>
      <c r="H120" s="5" t="n"/>
      <c r="I120" s="5">
        <f>IF(H120=0,"",F120-H120)</f>
        <v/>
      </c>
      <c r="J120" s="4" t="n"/>
      <c r="K120" s="5" t="n">
        <v>0</v>
      </c>
      <c r="L120" s="11">
        <f>IF($B$2="-","",IF($B$2="Pauschale",IFERROR(INDEX('Projekt-Budget-Übersicht'!$H:$H,MATCH(A120,'Projekt-Budget-Übersicht'!$A:$A,0)),""),IF($B$2="SV",IFERROR(INDEX('Projekt-Budget-Übersicht'!$H:$H,MATCH(A120,'Projekt-Budget-Übersicht'!$A:$A,0)),""),IF($B$2="CAD",IFERROR(INDEX('Projekt-Budget-Übersicht'!$I:$I,MATCH(A120,'Projekt-Budget-Übersicht'!$A:$A,0)),""),IF($B$2="ADM",IFERROR(INDEX('Projekt-Budget-Übersicht'!$J:$J,MATCH(A120,'Projekt-Budget-Übersicht'!$A:$A,0)),""),"")))))</f>
        <v/>
      </c>
      <c r="M120" s="11">
        <f>IF($B$2="-","",L120*(F120+I120+K120))</f>
        <v/>
      </c>
      <c r="N120" s="11">
        <f>IFERROR(INDEX('Projekt-Budget-Übersicht'!$E:$E,MATCH(A120,'Projekt-Budget-Übersicht'!$A:$A,0)),"")</f>
        <v/>
      </c>
      <c r="O120" s="11" t="inlineStr"/>
      <c r="P120" s="11" t="inlineStr"/>
    </row>
    <row r="121">
      <c r="A121" s="4" t="inlineStr">
        <is>
          <t>7517 HuSch-FWP-WEA-Nußbach</t>
        </is>
      </c>
      <c r="B121" s="4" t="inlineStr">
        <is>
          <t>ADM</t>
        </is>
      </c>
      <c r="C121" s="4" t="inlineStr">
        <is>
          <t>G</t>
        </is>
      </c>
      <c r="D121" s="4" t="n">
        <v>1</v>
      </c>
      <c r="E121" s="4" t="n">
        <v>1.25</v>
      </c>
      <c r="F121" s="4" t="n">
        <v>0.5</v>
      </c>
      <c r="G121" s="16" t="n">
        <v>125</v>
      </c>
      <c r="H121" s="5" t="n"/>
      <c r="I121" s="5">
        <f>IF(H121=0,"",F121-H121)</f>
        <v/>
      </c>
      <c r="J121" s="4" t="n"/>
      <c r="K121" s="5" t="n">
        <v>0</v>
      </c>
      <c r="L121" s="11">
        <f>IF($B$2="-","",IF($B$2="Pauschale",IFERROR(INDEX('Projekt-Budget-Übersicht'!$H:$H,MATCH(A121,'Projekt-Budget-Übersicht'!$A:$A,0)),""),IF($B$2="SV",IFERROR(INDEX('Projekt-Budget-Übersicht'!$H:$H,MATCH(A121,'Projekt-Budget-Übersicht'!$A:$A,0)),""),IF($B$2="CAD",IFERROR(INDEX('Projekt-Budget-Übersicht'!$I:$I,MATCH(A121,'Projekt-Budget-Übersicht'!$A:$A,0)),""),IF($B$2="ADM",IFERROR(INDEX('Projekt-Budget-Übersicht'!$J:$J,MATCH(A121,'Projekt-Budget-Übersicht'!$A:$A,0)),""),"")))))</f>
        <v/>
      </c>
      <c r="M121" s="11">
        <f>IF($B$2="-","",L121*(F121+I121+K121))</f>
        <v/>
      </c>
      <c r="N121" s="11">
        <f>IFERROR(INDEX('Projekt-Budget-Übersicht'!$E:$E,MATCH(A121,'Projekt-Budget-Übersicht'!$A:$A,0)),"")</f>
        <v/>
      </c>
      <c r="O121" s="11" t="inlineStr"/>
      <c r="P121" s="11" t="inlineStr"/>
    </row>
    <row r="122">
      <c r="A122" s="4" t="inlineStr">
        <is>
          <t>7518 LBB-KL-AHO-Instandsetzung-Geb3205-Kleber-Kaserne-KL</t>
        </is>
      </c>
      <c r="B122" s="4" t="inlineStr">
        <is>
          <t>1.1  Grundlagenermittlung Regelleistung</t>
        </is>
      </c>
      <c r="C122" s="4" t="inlineStr">
        <is>
          <t>G</t>
        </is>
      </c>
      <c r="D122" s="4" t="n">
        <v>0</v>
      </c>
      <c r="E122" s="4" t="n">
        <v>0</v>
      </c>
      <c r="F122" s="4" t="n">
        <v>0.5</v>
      </c>
      <c r="G122" s="4" t="n">
        <v>0</v>
      </c>
      <c r="H122" s="5" t="n"/>
      <c r="I122" s="5">
        <f>IF(H122=0,"",F122-H122)</f>
        <v/>
      </c>
      <c r="J122" s="4" t="n"/>
      <c r="K122" s="5" t="n">
        <v>0</v>
      </c>
      <c r="L122" s="11">
        <f>IF($B$2="-","",IF($B$2="Pauschale",IFERROR(INDEX('Projekt-Budget-Übersicht'!$H:$H,MATCH(A122,'Projekt-Budget-Übersicht'!$A:$A,0)),""),IF($B$2="SV",IFERROR(INDEX('Projekt-Budget-Übersicht'!$H:$H,MATCH(A122,'Projekt-Budget-Übersicht'!$A:$A,0)),""),IF($B$2="CAD",IFERROR(INDEX('Projekt-Budget-Übersicht'!$I:$I,MATCH(A122,'Projekt-Budget-Übersicht'!$A:$A,0)),""),IF($B$2="ADM",IFERROR(INDEX('Projekt-Budget-Übersicht'!$J:$J,MATCH(A122,'Projekt-Budget-Übersicht'!$A:$A,0)),""),"")))))</f>
        <v/>
      </c>
      <c r="M122" s="11">
        <f>IF($B$2="-","",L122*(F122+I122+K122))</f>
        <v/>
      </c>
      <c r="N122" s="11">
        <f>IFERROR(INDEX('Projekt-Budget-Übersicht'!$E:$E,MATCH(A122,'Projekt-Budget-Übersicht'!$A:$A,0)),"")</f>
        <v/>
      </c>
      <c r="O122" s="11" t="inlineStr"/>
      <c r="P122" s="11" t="inlineStr"/>
    </row>
    <row r="123">
      <c r="A123" s="3" t="inlineStr"/>
      <c r="B123" s="3" t="inlineStr">
        <is>
          <t>Summe</t>
        </is>
      </c>
      <c r="C123" s="3" t="inlineStr"/>
      <c r="D123" s="3" t="inlineStr"/>
      <c r="E123" s="3" t="inlineStr"/>
      <c r="F123" s="6" t="n">
        <v>28</v>
      </c>
      <c r="G123" s="3" t="inlineStr"/>
      <c r="H123" s="3" t="inlineStr"/>
      <c r="I123" s="3" t="inlineStr"/>
      <c r="J123" s="3" t="inlineStr"/>
      <c r="K123" s="3" t="inlineStr"/>
      <c r="L123" s="3" t="n"/>
      <c r="M123" s="3" t="n"/>
      <c r="N123" s="3" t="n"/>
      <c r="O123" s="3" t="n"/>
      <c r="P123" s="3" t="n"/>
    </row>
    <row r="124">
      <c r="A124" s="3" t="inlineStr"/>
      <c r="B124" s="3" t="inlineStr">
        <is>
          <t>Bonusberechtigte Stunden</t>
        </is>
      </c>
      <c r="C124" s="3" t="inlineStr"/>
      <c r="D124" s="3" t="inlineStr"/>
      <c r="E124" s="3" t="inlineStr"/>
      <c r="F124" s="6">
        <f>G124+H124</f>
        <v/>
      </c>
      <c r="G124" s="6" t="n">
        <v>8.75</v>
      </c>
      <c r="H124" s="6">
        <f>SUM(H87,H88,H89,H90,H91,H92,H93,H94,H95,H96,H97,H98,H99,H100,H101,H102,H103,H104,H105,H106,H107,H108,H109,H110,H111,H112,H113,H114,H115,H116,H117,H118,H119,H120,H121,H122)</f>
        <v/>
      </c>
      <c r="I124" s="3" t="inlineStr"/>
      <c r="J124" s="3" t="inlineStr"/>
      <c r="K124" s="3" t="inlineStr"/>
      <c r="L124" s="3" t="inlineStr"/>
      <c r="M124" s="3" t="inlineStr"/>
      <c r="N124" s="3" t="inlineStr"/>
      <c r="O124" s="3" t="inlineStr"/>
      <c r="P124" s="3" t="inlineStr"/>
    </row>
    <row r="125">
      <c r="A125" s="3" t="inlineStr"/>
      <c r="B125" s="3" t="inlineStr">
        <is>
          <t>Bonusberechtigte Stunden Sonderprojekt</t>
        </is>
      </c>
      <c r="C125" s="3" t="inlineStr"/>
      <c r="D125" s="3" t="inlineStr"/>
      <c r="E125" s="3" t="inlineStr"/>
      <c r="F125" s="6">
        <f>G125+H125</f>
        <v/>
      </c>
      <c r="G125" s="6" t="n">
        <v>9</v>
      </c>
      <c r="H125" s="6">
        <f>SUM(H85,H86)</f>
        <v/>
      </c>
      <c r="I125" s="3" t="inlineStr"/>
      <c r="J125" s="3" t="inlineStr"/>
      <c r="K125" s="3" t="inlineStr"/>
      <c r="L125" s="3" t="inlineStr"/>
      <c r="M125" s="3" t="inlineStr"/>
      <c r="N125" s="3" t="inlineStr"/>
      <c r="O125" s="3" t="inlineStr"/>
      <c r="P125" s="3" t="inlineStr"/>
    </row>
    <row r="126">
      <c r="A126" s="3" t="inlineStr"/>
      <c r="B126" s="3" t="inlineStr">
        <is>
          <t>Zugeordnete Stunden von anderen MA</t>
        </is>
      </c>
      <c r="C126" s="3" t="inlineStr"/>
      <c r="D126" s="3" t="inlineStr"/>
      <c r="E126" s="3" t="inlineStr"/>
      <c r="F126" s="6">
        <f>SUM(K85:K122)</f>
        <v/>
      </c>
      <c r="G126" s="3" t="inlineStr"/>
      <c r="H126" s="3" t="inlineStr"/>
      <c r="I126" s="3" t="inlineStr"/>
      <c r="J126" s="3" t="inlineStr"/>
      <c r="K126" s="3" t="inlineStr"/>
      <c r="L126" s="3" t="inlineStr"/>
      <c r="M126" s="3" t="inlineStr"/>
      <c r="N126" s="3" t="inlineStr"/>
      <c r="O126" s="3" t="inlineStr"/>
      <c r="P126" s="3" t="inlineStr"/>
    </row>
    <row r="127">
      <c r="A127" s="18" t="inlineStr"/>
      <c r="B127" s="18" t="inlineStr">
        <is>
          <t>Gesamt Bonus Stunden</t>
        </is>
      </c>
      <c r="C127" s="18" t="inlineStr"/>
      <c r="D127" s="18" t="inlineStr"/>
      <c r="E127" s="18" t="inlineStr"/>
      <c r="F127" s="19">
        <f>F124+F125+F126</f>
        <v/>
      </c>
      <c r="G127" s="18" t="inlineStr"/>
      <c r="H127" s="18" t="inlineStr"/>
      <c r="I127" s="18" t="inlineStr"/>
      <c r="J127" s="18" t="inlineStr"/>
      <c r="K127" s="18" t="inlineStr"/>
      <c r="L127" s="18" t="n"/>
      <c r="M127" s="18" t="n"/>
      <c r="N127" s="18" t="n"/>
      <c r="O127" s="18" t="n"/>
      <c r="P127" s="18" t="n"/>
    </row>
    <row r="129">
      <c r="A129" s="2" t="inlineStr">
        <is>
          <t>--- Übertragshilfe ---</t>
        </is>
      </c>
    </row>
    <row r="130">
      <c r="A130" s="3" t="inlineStr">
        <is>
          <t>Monat</t>
        </is>
      </c>
      <c r="B130" s="3" t="inlineStr">
        <is>
          <t>Mitarbeiter</t>
        </is>
      </c>
      <c r="C130" s="3" t="inlineStr">
        <is>
          <t>Prod. Stunden</t>
        </is>
      </c>
      <c r="D130" s="3" t="inlineStr">
        <is>
          <t>Bonusberechtigte Stunden</t>
        </is>
      </c>
      <c r="E130" s="3" t="inlineStr">
        <is>
          <t>Bonusberechtigte Stunden Sonderprojekt</t>
        </is>
      </c>
      <c r="F130" s="3" t="inlineStr">
        <is>
          <t>Zugeordnet von anderen</t>
        </is>
      </c>
      <c r="G130" s="3" t="inlineStr">
        <is>
          <t>Gesamt Bonus</t>
        </is>
      </c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</row>
    <row r="131">
      <c r="A131" s="4" t="inlineStr">
        <is>
          <t>Juli 2025</t>
        </is>
      </c>
      <c r="B131" s="4" t="inlineStr">
        <is>
          <t>A. Kokott</t>
        </is>
      </c>
      <c r="C131" s="4">
        <f>F31</f>
        <v/>
      </c>
      <c r="D131" s="4">
        <f>F32</f>
        <v/>
      </c>
      <c r="E131" s="4">
        <f>F33</f>
        <v/>
      </c>
      <c r="F131" s="4">
        <f>F34</f>
        <v/>
      </c>
      <c r="G131" s="4">
        <f>F35</f>
        <v/>
      </c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</row>
    <row r="132">
      <c r="A132" s="4" t="inlineStr">
        <is>
          <t>August 2025</t>
        </is>
      </c>
      <c r="B132" s="4" t="inlineStr">
        <is>
          <t>A. Kokott</t>
        </is>
      </c>
      <c r="C132" s="4">
        <f>F77</f>
        <v/>
      </c>
      <c r="D132" s="4">
        <f>F78</f>
        <v/>
      </c>
      <c r="E132" s="4">
        <f>F79</f>
        <v/>
      </c>
      <c r="F132" s="4">
        <f>F80</f>
        <v/>
      </c>
      <c r="G132" s="4">
        <f>F81</f>
        <v/>
      </c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</row>
    <row r="133">
      <c r="A133" s="4" t="inlineStr">
        <is>
          <t>September 2025</t>
        </is>
      </c>
      <c r="B133" s="4" t="inlineStr">
        <is>
          <t>A. Kokott</t>
        </is>
      </c>
      <c r="C133" s="4">
        <f>F123</f>
        <v/>
      </c>
      <c r="D133" s="4">
        <f>F124</f>
        <v/>
      </c>
      <c r="E133" s="4">
        <f>F125</f>
        <v/>
      </c>
      <c r="F133" s="4">
        <f>F126</f>
        <v/>
      </c>
      <c r="G133" s="4">
        <f>F127</f>
        <v/>
      </c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</row>
    <row r="136">
      <c r="A136" s="2" t="inlineStr">
        <is>
          <t>--- Gesamtstunden 2025Q3 ---</t>
        </is>
      </c>
    </row>
    <row r="137">
      <c r="A137" s="12" t="inlineStr">
        <is>
          <t>Gesamt eingetragene Stunden:</t>
        </is>
      </c>
      <c r="B137" s="12" t="n">
        <v>135.25</v>
      </c>
      <c r="C137" s="12" t="n"/>
      <c r="D137" s="12" t="n"/>
      <c r="E137" s="12" t="n"/>
      <c r="F137" s="12" t="n"/>
      <c r="G137" s="12" t="n"/>
      <c r="H137" s="12" t="n"/>
      <c r="I137" s="12" t="n"/>
      <c r="J137" s="12" t="n"/>
      <c r="K137" s="12" t="n"/>
      <c r="L137" s="12" t="n"/>
      <c r="M137" s="12" t="n"/>
      <c r="N137" s="12" t="n"/>
      <c r="O137" s="12" t="n"/>
      <c r="P137" s="12" t="n"/>
    </row>
    <row r="138">
      <c r="A138" s="12" t="inlineStr">
        <is>
          <t>Bonusberechtigte Stunden (Quartal):</t>
        </is>
      </c>
      <c r="B138" s="20">
        <f>SUM(F32,F78,F124)</f>
        <v/>
      </c>
      <c r="C138" s="12" t="n"/>
      <c r="D138" s="12" t="n"/>
      <c r="E138" s="12" t="n"/>
      <c r="F138" s="12" t="n"/>
      <c r="G138" s="12" t="n"/>
      <c r="H138" s="12" t="n"/>
      <c r="I138" s="12" t="n"/>
      <c r="J138" s="12" t="n"/>
      <c r="K138" s="12" t="n"/>
      <c r="L138" s="12" t="n"/>
      <c r="M138" s="12" t="n"/>
      <c r="N138" s="12" t="n"/>
      <c r="O138" s="12" t="n"/>
      <c r="P138" s="12" t="n"/>
    </row>
    <row r="139">
      <c r="A139" s="12" t="inlineStr">
        <is>
          <t>Bonusberechtigte Stunden Sonderprojekt (Quartal):</t>
        </is>
      </c>
      <c r="B139" s="20">
        <f>SUM(F33,F79,F125)</f>
        <v/>
      </c>
      <c r="C139" s="12" t="n"/>
      <c r="D139" s="12" t="n"/>
      <c r="E139" s="12" t="n"/>
      <c r="F139" s="12" t="n"/>
      <c r="G139" s="12" t="n"/>
      <c r="H139" s="12" t="n"/>
      <c r="I139" s="12" t="n"/>
      <c r="J139" s="12" t="n"/>
      <c r="K139" s="12" t="n"/>
      <c r="L139" s="12" t="n"/>
      <c r="M139" s="12" t="n"/>
      <c r="N139" s="12" t="n"/>
      <c r="O139" s="12" t="n"/>
      <c r="P139" s="12" t="n"/>
    </row>
  </sheetData>
  <mergeCells count="7">
    <mergeCell ref="A61:A62"/>
    <mergeCell ref="A39:A40"/>
    <mergeCell ref="A29:A30"/>
    <mergeCell ref="A47:A48"/>
    <mergeCell ref="A6:A7"/>
    <mergeCell ref="A85:A86"/>
    <mergeCell ref="A18:A19"/>
  </mergeCells>
  <conditionalFormatting sqref="I6">
    <cfRule type="cellIs" priority="1" operator="lessThan" dxfId="0" stopIfTrue="1">
      <formula>0</formula>
    </cfRule>
  </conditionalFormatting>
  <conditionalFormatting sqref="I7">
    <cfRule type="cellIs" priority="2" operator="lessThan" dxfId="0" stopIfTrue="1">
      <formula>0</formula>
    </cfRule>
  </conditionalFormatting>
  <conditionalFormatting sqref="I8">
    <cfRule type="cellIs" priority="3" operator="lessThan" dxfId="0" stopIfTrue="1">
      <formula>0</formula>
    </cfRule>
  </conditionalFormatting>
  <conditionalFormatting sqref="I9">
    <cfRule type="cellIs" priority="4" operator="lessThan" dxfId="0" stopIfTrue="1">
      <formula>0</formula>
    </cfRule>
  </conditionalFormatting>
  <conditionalFormatting sqref="I10">
    <cfRule type="cellIs" priority="5" operator="lessThan" dxfId="0" stopIfTrue="1">
      <formula>0</formula>
    </cfRule>
  </conditionalFormatting>
  <conditionalFormatting sqref="I11">
    <cfRule type="cellIs" priority="6" operator="lessThan" dxfId="0" stopIfTrue="1">
      <formula>0</formula>
    </cfRule>
  </conditionalFormatting>
  <conditionalFormatting sqref="I12">
    <cfRule type="cellIs" priority="7" operator="lessThan" dxfId="0" stopIfTrue="1">
      <formula>0</formula>
    </cfRule>
  </conditionalFormatting>
  <conditionalFormatting sqref="I13">
    <cfRule type="cellIs" priority="8" operator="lessThan" dxfId="0" stopIfTrue="1">
      <formula>0</formula>
    </cfRule>
  </conditionalFormatting>
  <conditionalFormatting sqref="I14">
    <cfRule type="cellIs" priority="9" operator="lessThan" dxfId="0" stopIfTrue="1">
      <formula>0</formula>
    </cfRule>
  </conditionalFormatting>
  <conditionalFormatting sqref="I15">
    <cfRule type="cellIs" priority="10" operator="lessThan" dxfId="0" stopIfTrue="1">
      <formula>0</formula>
    </cfRule>
  </conditionalFormatting>
  <conditionalFormatting sqref="I16">
    <cfRule type="cellIs" priority="11" operator="lessThan" dxfId="0" stopIfTrue="1">
      <formula>0</formula>
    </cfRule>
  </conditionalFormatting>
  <conditionalFormatting sqref="I17">
    <cfRule type="cellIs" priority="12" operator="lessThan" dxfId="0" stopIfTrue="1">
      <formula>0</formula>
    </cfRule>
  </conditionalFormatting>
  <conditionalFormatting sqref="I18">
    <cfRule type="cellIs" priority="13" operator="lessThan" dxfId="0" stopIfTrue="1">
      <formula>0</formula>
    </cfRule>
  </conditionalFormatting>
  <conditionalFormatting sqref="I19">
    <cfRule type="cellIs" priority="14" operator="lessThan" dxfId="0" stopIfTrue="1">
      <formula>0</formula>
    </cfRule>
  </conditionalFormatting>
  <conditionalFormatting sqref="I20">
    <cfRule type="cellIs" priority="15" operator="lessThan" dxfId="0" stopIfTrue="1">
      <formula>0</formula>
    </cfRule>
  </conditionalFormatting>
  <conditionalFormatting sqref="I21">
    <cfRule type="cellIs" priority="16" operator="lessThan" dxfId="0" stopIfTrue="1">
      <formula>0</formula>
    </cfRule>
  </conditionalFormatting>
  <conditionalFormatting sqref="I22">
    <cfRule type="cellIs" priority="17" operator="lessThan" dxfId="0" stopIfTrue="1">
      <formula>0</formula>
    </cfRule>
  </conditionalFormatting>
  <conditionalFormatting sqref="I23">
    <cfRule type="cellIs" priority="18" operator="lessThan" dxfId="0" stopIfTrue="1">
      <formula>0</formula>
    </cfRule>
  </conditionalFormatting>
  <conditionalFormatting sqref="I24">
    <cfRule type="cellIs" priority="19" operator="lessThan" dxfId="0" stopIfTrue="1">
      <formula>0</formula>
    </cfRule>
  </conditionalFormatting>
  <conditionalFormatting sqref="I25">
    <cfRule type="cellIs" priority="20" operator="lessThan" dxfId="0" stopIfTrue="1">
      <formula>0</formula>
    </cfRule>
  </conditionalFormatting>
  <conditionalFormatting sqref="I26">
    <cfRule type="cellIs" priority="21" operator="lessThan" dxfId="0" stopIfTrue="1">
      <formula>0</formula>
    </cfRule>
  </conditionalFormatting>
  <conditionalFormatting sqref="I27">
    <cfRule type="cellIs" priority="22" operator="lessThan" dxfId="0" stopIfTrue="1">
      <formula>0</formula>
    </cfRule>
  </conditionalFormatting>
  <conditionalFormatting sqref="I28">
    <cfRule type="cellIs" priority="23" operator="lessThan" dxfId="0" stopIfTrue="1">
      <formula>0</formula>
    </cfRule>
  </conditionalFormatting>
  <conditionalFormatting sqref="I29">
    <cfRule type="cellIs" priority="24" operator="lessThan" dxfId="0" stopIfTrue="1">
      <formula>0</formula>
    </cfRule>
  </conditionalFormatting>
  <conditionalFormatting sqref="I30">
    <cfRule type="cellIs" priority="25" operator="lessThan" dxfId="0" stopIfTrue="1">
      <formula>0</formula>
    </cfRule>
  </conditionalFormatting>
  <conditionalFormatting sqref="I39">
    <cfRule type="cellIs" priority="26" operator="lessThan" dxfId="0" stopIfTrue="1">
      <formula>0</formula>
    </cfRule>
  </conditionalFormatting>
  <conditionalFormatting sqref="I40">
    <cfRule type="cellIs" priority="27" operator="lessThan" dxfId="0" stopIfTrue="1">
      <formula>0</formula>
    </cfRule>
  </conditionalFormatting>
  <conditionalFormatting sqref="I41">
    <cfRule type="cellIs" priority="28" operator="lessThan" dxfId="0" stopIfTrue="1">
      <formula>0</formula>
    </cfRule>
  </conditionalFormatting>
  <conditionalFormatting sqref="I42">
    <cfRule type="cellIs" priority="29" operator="lessThan" dxfId="0" stopIfTrue="1">
      <formula>0</formula>
    </cfRule>
  </conditionalFormatting>
  <conditionalFormatting sqref="I43">
    <cfRule type="cellIs" priority="30" operator="lessThan" dxfId="0" stopIfTrue="1">
      <formula>0</formula>
    </cfRule>
  </conditionalFormatting>
  <conditionalFormatting sqref="I44">
    <cfRule type="cellIs" priority="31" operator="lessThan" dxfId="0" stopIfTrue="1">
      <formula>0</formula>
    </cfRule>
  </conditionalFormatting>
  <conditionalFormatting sqref="I45">
    <cfRule type="cellIs" priority="32" operator="lessThan" dxfId="0" stopIfTrue="1">
      <formula>0</formula>
    </cfRule>
  </conditionalFormatting>
  <conditionalFormatting sqref="I46">
    <cfRule type="cellIs" priority="33" operator="lessThan" dxfId="0" stopIfTrue="1">
      <formula>0</formula>
    </cfRule>
  </conditionalFormatting>
  <conditionalFormatting sqref="I47">
    <cfRule type="cellIs" priority="34" operator="lessThan" dxfId="0" stopIfTrue="1">
      <formula>0</formula>
    </cfRule>
  </conditionalFormatting>
  <conditionalFormatting sqref="I48">
    <cfRule type="cellIs" priority="35" operator="lessThan" dxfId="0" stopIfTrue="1">
      <formula>0</formula>
    </cfRule>
  </conditionalFormatting>
  <conditionalFormatting sqref="I49">
    <cfRule type="cellIs" priority="36" operator="lessThan" dxfId="0" stopIfTrue="1">
      <formula>0</formula>
    </cfRule>
  </conditionalFormatting>
  <conditionalFormatting sqref="I50">
    <cfRule type="cellIs" priority="37" operator="lessThan" dxfId="0" stopIfTrue="1">
      <formula>0</formula>
    </cfRule>
  </conditionalFormatting>
  <conditionalFormatting sqref="I51">
    <cfRule type="cellIs" priority="38" operator="lessThan" dxfId="0" stopIfTrue="1">
      <formula>0</formula>
    </cfRule>
  </conditionalFormatting>
  <conditionalFormatting sqref="I52">
    <cfRule type="cellIs" priority="39" operator="lessThan" dxfId="0" stopIfTrue="1">
      <formula>0</formula>
    </cfRule>
  </conditionalFormatting>
  <conditionalFormatting sqref="I53">
    <cfRule type="cellIs" priority="40" operator="lessThan" dxfId="0" stopIfTrue="1">
      <formula>0</formula>
    </cfRule>
  </conditionalFormatting>
  <conditionalFormatting sqref="I54">
    <cfRule type="cellIs" priority="41" operator="lessThan" dxfId="0" stopIfTrue="1">
      <formula>0</formula>
    </cfRule>
  </conditionalFormatting>
  <conditionalFormatting sqref="I55">
    <cfRule type="cellIs" priority="42" operator="lessThan" dxfId="0" stopIfTrue="1">
      <formula>0</formula>
    </cfRule>
  </conditionalFormatting>
  <conditionalFormatting sqref="I56">
    <cfRule type="cellIs" priority="43" operator="lessThan" dxfId="0" stopIfTrue="1">
      <formula>0</formula>
    </cfRule>
  </conditionalFormatting>
  <conditionalFormatting sqref="I57">
    <cfRule type="cellIs" priority="44" operator="lessThan" dxfId="0" stopIfTrue="1">
      <formula>0</formula>
    </cfRule>
  </conditionalFormatting>
  <conditionalFormatting sqref="I58">
    <cfRule type="cellIs" priority="45" operator="lessThan" dxfId="0" stopIfTrue="1">
      <formula>0</formula>
    </cfRule>
  </conditionalFormatting>
  <conditionalFormatting sqref="I59">
    <cfRule type="cellIs" priority="46" operator="lessThan" dxfId="0" stopIfTrue="1">
      <formula>0</formula>
    </cfRule>
  </conditionalFormatting>
  <conditionalFormatting sqref="I60">
    <cfRule type="cellIs" priority="47" operator="lessThan" dxfId="0" stopIfTrue="1">
      <formula>0</formula>
    </cfRule>
  </conditionalFormatting>
  <conditionalFormatting sqref="I61">
    <cfRule type="cellIs" priority="48" operator="lessThan" dxfId="0" stopIfTrue="1">
      <formula>0</formula>
    </cfRule>
  </conditionalFormatting>
  <conditionalFormatting sqref="I62">
    <cfRule type="cellIs" priority="49" operator="lessThan" dxfId="0" stopIfTrue="1">
      <formula>0</formula>
    </cfRule>
  </conditionalFormatting>
  <conditionalFormatting sqref="I63">
    <cfRule type="cellIs" priority="50" operator="lessThan" dxfId="0" stopIfTrue="1">
      <formula>0</formula>
    </cfRule>
  </conditionalFormatting>
  <conditionalFormatting sqref="I64">
    <cfRule type="cellIs" priority="51" operator="lessThan" dxfId="0" stopIfTrue="1">
      <formula>0</formula>
    </cfRule>
  </conditionalFormatting>
  <conditionalFormatting sqref="I65">
    <cfRule type="cellIs" priority="52" operator="lessThan" dxfId="0" stopIfTrue="1">
      <formula>0</formula>
    </cfRule>
  </conditionalFormatting>
  <conditionalFormatting sqref="I66">
    <cfRule type="cellIs" priority="53" operator="lessThan" dxfId="0" stopIfTrue="1">
      <formula>0</formula>
    </cfRule>
  </conditionalFormatting>
  <conditionalFormatting sqref="I67">
    <cfRule type="cellIs" priority="54" operator="lessThan" dxfId="0" stopIfTrue="1">
      <formula>0</formula>
    </cfRule>
  </conditionalFormatting>
  <conditionalFormatting sqref="I68">
    <cfRule type="cellIs" priority="55" operator="lessThan" dxfId="0" stopIfTrue="1">
      <formula>0</formula>
    </cfRule>
  </conditionalFormatting>
  <conditionalFormatting sqref="I69">
    <cfRule type="cellIs" priority="56" operator="lessThan" dxfId="0" stopIfTrue="1">
      <formula>0</formula>
    </cfRule>
  </conditionalFormatting>
  <conditionalFormatting sqref="I70">
    <cfRule type="cellIs" priority="57" operator="lessThan" dxfId="0" stopIfTrue="1">
      <formula>0</formula>
    </cfRule>
  </conditionalFormatting>
  <conditionalFormatting sqref="I71">
    <cfRule type="cellIs" priority="58" operator="lessThan" dxfId="0" stopIfTrue="1">
      <formula>0</formula>
    </cfRule>
  </conditionalFormatting>
  <conditionalFormatting sqref="I72">
    <cfRule type="cellIs" priority="59" operator="lessThan" dxfId="0" stopIfTrue="1">
      <formula>0</formula>
    </cfRule>
  </conditionalFormatting>
  <conditionalFormatting sqref="I73">
    <cfRule type="cellIs" priority="60" operator="lessThan" dxfId="0" stopIfTrue="1">
      <formula>0</formula>
    </cfRule>
  </conditionalFormatting>
  <conditionalFormatting sqref="I74">
    <cfRule type="cellIs" priority="61" operator="lessThan" dxfId="0" stopIfTrue="1">
      <formula>0</formula>
    </cfRule>
  </conditionalFormatting>
  <conditionalFormatting sqref="I75">
    <cfRule type="cellIs" priority="62" operator="lessThan" dxfId="0" stopIfTrue="1">
      <formula>0</formula>
    </cfRule>
  </conditionalFormatting>
  <conditionalFormatting sqref="I76">
    <cfRule type="cellIs" priority="63" operator="lessThan" dxfId="0" stopIfTrue="1">
      <formula>0</formula>
    </cfRule>
  </conditionalFormatting>
  <conditionalFormatting sqref="I85">
    <cfRule type="cellIs" priority="64" operator="lessThan" dxfId="0" stopIfTrue="1">
      <formula>0</formula>
    </cfRule>
  </conditionalFormatting>
  <conditionalFormatting sqref="I86">
    <cfRule type="cellIs" priority="65" operator="lessThan" dxfId="0" stopIfTrue="1">
      <formula>0</formula>
    </cfRule>
  </conditionalFormatting>
  <conditionalFormatting sqref="I87">
    <cfRule type="cellIs" priority="66" operator="lessThan" dxfId="0" stopIfTrue="1">
      <formula>0</formula>
    </cfRule>
  </conditionalFormatting>
  <conditionalFormatting sqref="I88">
    <cfRule type="cellIs" priority="67" operator="lessThan" dxfId="0" stopIfTrue="1">
      <formula>0</formula>
    </cfRule>
  </conditionalFormatting>
  <conditionalFormatting sqref="I89">
    <cfRule type="cellIs" priority="68" operator="lessThan" dxfId="0" stopIfTrue="1">
      <formula>0</formula>
    </cfRule>
  </conditionalFormatting>
  <conditionalFormatting sqref="I90">
    <cfRule type="cellIs" priority="69" operator="lessThan" dxfId="0" stopIfTrue="1">
      <formula>0</formula>
    </cfRule>
  </conditionalFormatting>
  <conditionalFormatting sqref="I91">
    <cfRule type="cellIs" priority="70" operator="lessThan" dxfId="0" stopIfTrue="1">
      <formula>0</formula>
    </cfRule>
  </conditionalFormatting>
  <conditionalFormatting sqref="I92">
    <cfRule type="cellIs" priority="71" operator="lessThan" dxfId="0" stopIfTrue="1">
      <formula>0</formula>
    </cfRule>
  </conditionalFormatting>
  <conditionalFormatting sqref="I93">
    <cfRule type="cellIs" priority="72" operator="lessThan" dxfId="0" stopIfTrue="1">
      <formula>0</formula>
    </cfRule>
  </conditionalFormatting>
  <conditionalFormatting sqref="I94">
    <cfRule type="cellIs" priority="73" operator="lessThan" dxfId="0" stopIfTrue="1">
      <formula>0</formula>
    </cfRule>
  </conditionalFormatting>
  <conditionalFormatting sqref="I95">
    <cfRule type="cellIs" priority="74" operator="lessThan" dxfId="0" stopIfTrue="1">
      <formula>0</formula>
    </cfRule>
  </conditionalFormatting>
  <conditionalFormatting sqref="I96">
    <cfRule type="cellIs" priority="75" operator="lessThan" dxfId="0" stopIfTrue="1">
      <formula>0</formula>
    </cfRule>
  </conditionalFormatting>
  <conditionalFormatting sqref="I97">
    <cfRule type="cellIs" priority="76" operator="lessThan" dxfId="0" stopIfTrue="1">
      <formula>0</formula>
    </cfRule>
  </conditionalFormatting>
  <conditionalFormatting sqref="I98">
    <cfRule type="cellIs" priority="77" operator="lessThan" dxfId="0" stopIfTrue="1">
      <formula>0</formula>
    </cfRule>
  </conditionalFormatting>
  <conditionalFormatting sqref="I99">
    <cfRule type="cellIs" priority="78" operator="lessThan" dxfId="0" stopIfTrue="1">
      <formula>0</formula>
    </cfRule>
  </conditionalFormatting>
  <conditionalFormatting sqref="I100">
    <cfRule type="cellIs" priority="79" operator="lessThan" dxfId="0" stopIfTrue="1">
      <formula>0</formula>
    </cfRule>
  </conditionalFormatting>
  <conditionalFormatting sqref="I101">
    <cfRule type="cellIs" priority="80" operator="lessThan" dxfId="0" stopIfTrue="1">
      <formula>0</formula>
    </cfRule>
  </conditionalFormatting>
  <conditionalFormatting sqref="I102">
    <cfRule type="cellIs" priority="81" operator="lessThan" dxfId="0" stopIfTrue="1">
      <formula>0</formula>
    </cfRule>
  </conditionalFormatting>
  <conditionalFormatting sqref="I103">
    <cfRule type="cellIs" priority="82" operator="lessThan" dxfId="0" stopIfTrue="1">
      <formula>0</formula>
    </cfRule>
  </conditionalFormatting>
  <conditionalFormatting sqref="I104">
    <cfRule type="cellIs" priority="83" operator="lessThan" dxfId="0" stopIfTrue="1">
      <formula>0</formula>
    </cfRule>
  </conditionalFormatting>
  <conditionalFormatting sqref="I105">
    <cfRule type="cellIs" priority="84" operator="lessThan" dxfId="0" stopIfTrue="1">
      <formula>0</formula>
    </cfRule>
  </conditionalFormatting>
  <conditionalFormatting sqref="I106">
    <cfRule type="cellIs" priority="85" operator="lessThan" dxfId="0" stopIfTrue="1">
      <formula>0</formula>
    </cfRule>
  </conditionalFormatting>
  <conditionalFormatting sqref="I107">
    <cfRule type="cellIs" priority="86" operator="lessThan" dxfId="0" stopIfTrue="1">
      <formula>0</formula>
    </cfRule>
  </conditionalFormatting>
  <conditionalFormatting sqref="I108">
    <cfRule type="cellIs" priority="87" operator="lessThan" dxfId="0" stopIfTrue="1">
      <formula>0</formula>
    </cfRule>
  </conditionalFormatting>
  <conditionalFormatting sqref="I109">
    <cfRule type="cellIs" priority="88" operator="lessThan" dxfId="0" stopIfTrue="1">
      <formula>0</formula>
    </cfRule>
  </conditionalFormatting>
  <conditionalFormatting sqref="I110">
    <cfRule type="cellIs" priority="89" operator="lessThan" dxfId="0" stopIfTrue="1">
      <formula>0</formula>
    </cfRule>
  </conditionalFormatting>
  <conditionalFormatting sqref="I111">
    <cfRule type="cellIs" priority="90" operator="lessThan" dxfId="0" stopIfTrue="1">
      <formula>0</formula>
    </cfRule>
  </conditionalFormatting>
  <conditionalFormatting sqref="I112">
    <cfRule type="cellIs" priority="91" operator="lessThan" dxfId="0" stopIfTrue="1">
      <formula>0</formula>
    </cfRule>
  </conditionalFormatting>
  <conditionalFormatting sqref="I113">
    <cfRule type="cellIs" priority="92" operator="lessThan" dxfId="0" stopIfTrue="1">
      <formula>0</formula>
    </cfRule>
  </conditionalFormatting>
  <conditionalFormatting sqref="I114">
    <cfRule type="cellIs" priority="93" operator="lessThan" dxfId="0" stopIfTrue="1">
      <formula>0</formula>
    </cfRule>
  </conditionalFormatting>
  <conditionalFormatting sqref="I115">
    <cfRule type="cellIs" priority="94" operator="lessThan" dxfId="0" stopIfTrue="1">
      <formula>0</formula>
    </cfRule>
  </conditionalFormatting>
  <conditionalFormatting sqref="I116">
    <cfRule type="cellIs" priority="95" operator="lessThan" dxfId="0" stopIfTrue="1">
      <formula>0</formula>
    </cfRule>
  </conditionalFormatting>
  <conditionalFormatting sqref="I117">
    <cfRule type="cellIs" priority="96" operator="lessThan" dxfId="0" stopIfTrue="1">
      <formula>0</formula>
    </cfRule>
  </conditionalFormatting>
  <conditionalFormatting sqref="I118">
    <cfRule type="cellIs" priority="97" operator="lessThan" dxfId="0" stopIfTrue="1">
      <formula>0</formula>
    </cfRule>
  </conditionalFormatting>
  <conditionalFormatting sqref="I119">
    <cfRule type="cellIs" priority="98" operator="lessThan" dxfId="0" stopIfTrue="1">
      <formula>0</formula>
    </cfRule>
  </conditionalFormatting>
  <conditionalFormatting sqref="I120">
    <cfRule type="cellIs" priority="99" operator="lessThan" dxfId="0" stopIfTrue="1">
      <formula>0</formula>
    </cfRule>
  </conditionalFormatting>
  <conditionalFormatting sqref="I121">
    <cfRule type="cellIs" priority="100" operator="lessThan" dxfId="0" stopIfTrue="1">
      <formula>0</formula>
    </cfRule>
  </conditionalFormatting>
  <conditionalFormatting sqref="I122">
    <cfRule type="cellIs" priority="101" operator="lessThan" dxfId="0" stopIfTrue="1">
      <formula>0</formula>
    </cfRule>
  </conditionalFormatting>
  <dataValidations count="35">
    <dataValidation sqref="B2" showDropDown="0" showInputMessage="0" showErrorMessage="0" allowBlank="0" type="list">
      <formula1>"SV,CAD,ADM,Pauschale,-"</formula1>
    </dataValidation>
    <dataValidation sqref="J6" showDropDown="0" showInputMessage="0" showErrorMessage="0" allowBlank="1" type="list">
      <formula1>"C. Trapp SV,D. Brucker,E. Bieler,J. Dorchies,J. Dorn,O. Haag BS-CAD,P. Bergner,R. Böttiger,S. Schüler,T. Trautmann,U. Sutter ADM"</formula1>
    </dataValidation>
    <dataValidation sqref="J7" showDropDown="0" showInputMessage="0" showErrorMessage="0" allowBlank="1" type="list">
      <formula1>"C. Trapp SV,D. Brucker,E. Bieler,J. Dorchies,J. Dorn,M. Bandlofsky,O. Haag BS-CAD,P. Bergner,R. Wagen CAD,T. Trautmann,U. Sutter ADM"</formula1>
    </dataValidation>
    <dataValidation sqref="J14" showDropDown="0" showInputMessage="0" showErrorMessage="0" allowBlank="1" type="list">
      <formula1>"E. Bieler,J. Dorchies,J. Dorn,O. Haag BS-CAD,P. Bergner,R. Böttiger"</formula1>
    </dataValidation>
    <dataValidation sqref="J15" showDropDown="0" showInputMessage="0" showErrorMessage="0" allowBlank="1" type="list">
      <formula1>"H. Bektas"</formula1>
    </dataValidation>
    <dataValidation sqref="J16" showDropDown="0" showInputMessage="0" showErrorMessage="0" allowBlank="1" type="list">
      <formula1>"H. Bektas"</formula1>
    </dataValidation>
    <dataValidation sqref="J30" showDropDown="0" showInputMessage="0" showErrorMessage="0" allowBlank="1" type="list">
      <formula1>"E. Bieler,M. Bandlofsky"</formula1>
    </dataValidation>
    <dataValidation sqref="J39" showDropDown="0" showInputMessage="0" showErrorMessage="0" allowBlank="1" type="list">
      <formula1>"C. Trapp SV,D. Brucker,E. Bieler,J. Dorchies,J. Dorn,O. Haag BS-CAD,P. Bergner,R. Böttiger,S. Schüler,T. Trautmann,U. Sutter ADM"</formula1>
    </dataValidation>
    <dataValidation sqref="J40" showDropDown="0" showInputMessage="0" showErrorMessage="0" allowBlank="1" type="list">
      <formula1>"C. Trapp SV,D. Brucker,E. Bieler,J. Dorchies,J. Dorn,M. Bandlofsky,O. Haag BS-CAD,P. Bergner,R. Wagen CAD,T. Trautmann,U. Sutter ADM"</formula1>
    </dataValidation>
    <dataValidation sqref="J45" showDropDown="0" showInputMessage="0" showErrorMessage="0" allowBlank="1" type="list">
      <formula1>"M. Warner,S. Schüler"</formula1>
    </dataValidation>
    <dataValidation sqref="J47" showDropDown="0" showInputMessage="0" showErrorMessage="0" allowBlank="1" type="list">
      <formula1>"C. Trapp SV,S. Roßkopf"</formula1>
    </dataValidation>
    <dataValidation sqref="J48" showDropDown="0" showInputMessage="0" showErrorMessage="0" allowBlank="1" type="list">
      <formula1>"S. Schüler"</formula1>
    </dataValidation>
    <dataValidation sqref="J49" showDropDown="0" showInputMessage="0" showErrorMessage="0" allowBlank="1" type="list">
      <formula1>"J. Dorn,T. Trautmann"</formula1>
    </dataValidation>
    <dataValidation sqref="J51" showDropDown="0" showInputMessage="0" showErrorMessage="0" allowBlank="1" type="list">
      <formula1>"J. Dorn,T. Trautmann"</formula1>
    </dataValidation>
    <dataValidation sqref="J52" showDropDown="0" showInputMessage="0" showErrorMessage="0" allowBlank="1" type="list">
      <formula1>"P. Bergner"</formula1>
    </dataValidation>
    <dataValidation sqref="J58" showDropDown="0" showInputMessage="0" showErrorMessage="0" allowBlank="1" type="list">
      <formula1>"R. Böttiger"</formula1>
    </dataValidation>
    <dataValidation sqref="J59" showDropDown="0" showInputMessage="0" showErrorMessage="0" allowBlank="1" type="list">
      <formula1>"H. Bektas,J. Dorn"</formula1>
    </dataValidation>
    <dataValidation sqref="J62" showDropDown="0" showInputMessage="0" showErrorMessage="0" allowBlank="1" type="list">
      <formula1>"H. Bektas"</formula1>
    </dataValidation>
    <dataValidation sqref="J67" showDropDown="0" showInputMessage="0" showErrorMessage="0" allowBlank="1" type="list">
      <formula1>"E. Bieler,J. Dorn,M. Bandlofsky"</formula1>
    </dataValidation>
    <dataValidation sqref="J75" showDropDown="0" showInputMessage="0" showErrorMessage="0" allowBlank="1" type="list">
      <formula1>"S. Schüler"</formula1>
    </dataValidation>
    <dataValidation sqref="J85" showDropDown="0" showInputMessage="0" showErrorMessage="0" allowBlank="1" type="list">
      <formula1>"C. Trapp SV,D. Brucker,E. Bieler,J. Dorchies,J. Dorn,O. Haag BS-CAD,P. Bergner,R. Böttiger,S. Schüler,T. Trautmann,U. Sutter ADM"</formula1>
    </dataValidation>
    <dataValidation sqref="J86" showDropDown="0" showInputMessage="0" showErrorMessage="0" allowBlank="1" type="list">
      <formula1>"C. Trapp SV,D. Brucker,E. Bieler,J. Dorchies,J. Dorn,M. Bandlofsky,O. Haag BS-CAD,P. Bergner,R. Wagen CAD,T. Trautmann,U. Sutter ADM"</formula1>
    </dataValidation>
    <dataValidation sqref="J87" showDropDown="0" showInputMessage="0" showErrorMessage="0" allowBlank="1" type="list">
      <formula1>"M. Bandlofsky"</formula1>
    </dataValidation>
    <dataValidation sqref="J90" showDropDown="0" showInputMessage="0" showErrorMessage="0" allowBlank="1" type="list">
      <formula1>"M. Warner,S. Schüler"</formula1>
    </dataValidation>
    <dataValidation sqref="J91" showDropDown="0" showInputMessage="0" showErrorMessage="0" allowBlank="1" type="list">
      <formula1>"M. Bandlofsky"</formula1>
    </dataValidation>
    <dataValidation sqref="J93" showDropDown="0" showInputMessage="0" showErrorMessage="0" allowBlank="1" type="list">
      <formula1>"J. Dorn,T. Trautmann"</formula1>
    </dataValidation>
    <dataValidation sqref="J97" showDropDown="0" showInputMessage="0" showErrorMessage="0" allowBlank="1" type="list">
      <formula1>"J. Dorn,M. Bandlofsky,O. Haag BS-CAD,T. Trautmann"</formula1>
    </dataValidation>
    <dataValidation sqref="J100" showDropDown="0" showInputMessage="0" showErrorMessage="0" allowBlank="1" type="list">
      <formula1>"J. Dorn,M. Bandlofsky,T. Trautmann"</formula1>
    </dataValidation>
    <dataValidation sqref="J101" showDropDown="0" showInputMessage="0" showErrorMessage="0" allowBlank="1" type="list">
      <formula1>"E. Bieler,J. Dorchies,J. Dorn,O. Haag BS-CAD,P. Bergner,R. Böttiger"</formula1>
    </dataValidation>
    <dataValidation sqref="J105" showDropDown="0" showInputMessage="0" showErrorMessage="0" allowBlank="1" type="list">
      <formula1>"H. Bektas"</formula1>
    </dataValidation>
    <dataValidation sqref="J106" showDropDown="0" showInputMessage="0" showErrorMessage="0" allowBlank="1" type="list">
      <formula1>"H. Bektas"</formula1>
    </dataValidation>
    <dataValidation sqref="J109" showDropDown="0" showInputMessage="0" showErrorMessage="0" allowBlank="1" type="list">
      <formula1>"C. Trapp SV,S. Schüler"</formula1>
    </dataValidation>
    <dataValidation sqref="J110" showDropDown="0" showInputMessage="0" showErrorMessage="0" allowBlank="1" type="list">
      <formula1>"D. Brucker"</formula1>
    </dataValidation>
    <dataValidation sqref="J115" showDropDown="0" showInputMessage="0" showErrorMessage="0" allowBlank="1" type="list">
      <formula1>"R. Böttiger"</formula1>
    </dataValidation>
    <dataValidation sqref="J116" showDropDown="0" showInputMessage="0" showErrorMessage="0" allowBlank="1" type="list">
      <formula1>"E. Bieler,J. Dorchies,M. Bandlofsky,T. Trautmann"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5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8" customWidth="1" min="3" max="3"/>
    <col width="12" customWidth="1" min="4" max="4"/>
    <col width="12" customWidth="1" min="5" max="5"/>
    <col width="12" customWidth="1" min="6" max="6"/>
    <col width="8" customWidth="1" min="7" max="7"/>
    <col width="16" customWidth="1" min="8" max="8"/>
    <col width="12" customWidth="1" min="9" max="9"/>
    <col width="25" customWidth="1" min="10" max="10"/>
    <col width="15" customWidth="1" min="11" max="11"/>
    <col width="18" customWidth="1" min="12" max="12"/>
    <col width="15" customWidth="1" min="13" max="13"/>
    <col width="18" customWidth="1" min="14" max="14"/>
    <col width="15" customWidth="1" min="15" max="15"/>
    <col width="22" customWidth="1" min="16" max="16"/>
  </cols>
  <sheetData>
    <row r="1">
      <c r="A1" t="inlineStr">
        <is>
          <t>C. Trapp SV - Quartalsreport 2025Q3</t>
        </is>
      </c>
    </row>
    <row r="2">
      <c r="A2" s="12" t="inlineStr">
        <is>
          <t>Position:</t>
        </is>
      </c>
      <c r="B2" t="inlineStr">
        <is>
          <t>SV</t>
        </is>
      </c>
    </row>
    <row r="4">
      <c r="A4" s="2" t="inlineStr">
        <is>
          <t>--- Juli 2025 ---</t>
        </is>
      </c>
    </row>
    <row r="5">
      <c r="A5" s="3" t="inlineStr">
        <is>
          <t>Projekt</t>
        </is>
      </c>
      <c r="B5" s="3" t="inlineStr">
        <is>
          <t>Meilenstein</t>
        </is>
      </c>
      <c r="C5" s="3" t="inlineStr">
        <is>
          <t>Typ</t>
        </is>
      </c>
      <c r="D5" s="3" t="inlineStr">
        <is>
          <t>Soll (h)</t>
        </is>
      </c>
      <c r="E5" s="3" t="inlineStr">
        <is>
          <t>Ist (h)</t>
        </is>
      </c>
      <c r="F5" s="3" t="inlineStr">
        <is>
          <t>Juli 2025 (h)</t>
        </is>
      </c>
      <c r="G5" s="3" t="inlineStr">
        <is>
          <t>%</t>
        </is>
      </c>
      <c r="H5" s="3" t="inlineStr">
        <is>
          <t>Bonus-Anpassung (h)</t>
        </is>
      </c>
      <c r="I5" s="3" t="inlineStr">
        <is>
          <t>Differenz (h)</t>
        </is>
      </c>
      <c r="J5" s="3" t="inlineStr">
        <is>
          <t>Zuordnen an</t>
        </is>
      </c>
      <c r="K5" s="3" t="inlineStr">
        <is>
          <t>Von anderen (h)</t>
        </is>
      </c>
      <c r="L5" s="3" t="inlineStr">
        <is>
          <t>Stundensatz (€/h)</t>
        </is>
      </c>
      <c r="M5" s="3" t="inlineStr">
        <is>
          <t>Umsatz (€)</t>
        </is>
      </c>
      <c r="N5" s="3" t="inlineStr">
        <is>
          <t>Budget Gesamt (€)</t>
        </is>
      </c>
      <c r="O5" s="3" t="inlineStr">
        <is>
          <t>Budget Ist (€)</t>
        </is>
      </c>
      <c r="P5" s="3" t="inlineStr">
        <is>
          <t>Budget Erwirtschaftet (€)</t>
        </is>
      </c>
    </row>
    <row r="6">
      <c r="A6" s="4" t="inlineStr">
        <is>
          <t>0000 Sonderprojekt für Bonus</t>
        </is>
      </c>
      <c r="B6" s="4" t="inlineStr">
        <is>
          <t>Einarbeitung neuer Mitarbeiter (max. 8h/Monat pro MA)</t>
        </is>
      </c>
      <c r="C6" s="4" t="inlineStr">
        <is>
          <t>M</t>
        </is>
      </c>
      <c r="D6" s="4" t="n">
        <v>8</v>
      </c>
      <c r="E6" s="4" t="n">
        <v>1</v>
      </c>
      <c r="F6" s="4" t="n">
        <v>1</v>
      </c>
      <c r="G6" s="17" t="n">
        <v>12.5</v>
      </c>
      <c r="H6" s="5" t="n"/>
      <c r="I6" s="5">
        <f>IF(H6=0,"",F6-H6)</f>
        <v/>
      </c>
      <c r="J6" s="4" t="n"/>
      <c r="K6" s="5">
        <f>IF('A. Kokott'!J7="C. Trapp SV",'A. Kokott'!I7,0)+IF('D. Brucker'!J7="C. Trapp SV",'D. Brucker'!I7,0)+IF('E. Bieler'!J7="C. Trapp SV",'E. Bieler'!I7,0)+IF('J. Dorchies'!J7="C. Trapp SV",'J. Dorchies'!I7,0)+IF('J. Dorn'!J6="C. Trapp SV",'J. Dorn'!I6,0)+IF('M. Bandlofsky'!J6="C. Trapp SV",'M. Bandlofsky'!I6,0)+IF('T. Trautmann'!J7="C. Trapp SV",'T. Trautmann'!I7,0)+IF('U. Sutter ADM'!J7="C. Trapp SV",'U. Sutter ADM'!I7,0)</f>
        <v/>
      </c>
      <c r="L6" s="11">
        <f>IF($B$2="-","",IF($B$2="Pauschale",IFERROR(INDEX('Projekt-Budget-Übersicht'!$H:$H,MATCH(A6,'Projekt-Budget-Übersicht'!$A:$A,0)),""),IF($B$2="SV",IFERROR(INDEX('Projekt-Budget-Übersicht'!$H:$H,MATCH(A6,'Projekt-Budget-Übersicht'!$A:$A,0)),""),IF($B$2="CAD",IFERROR(INDEX('Projekt-Budget-Übersicht'!$I:$I,MATCH(A6,'Projekt-Budget-Übersicht'!$A:$A,0)),""),IF($B$2="ADM",IFERROR(INDEX('Projekt-Budget-Übersicht'!$J:$J,MATCH(A6,'Projekt-Budget-Übersicht'!$A:$A,0)),""),"")))))</f>
        <v/>
      </c>
      <c r="M6" s="11">
        <f>IF($B$2="-","",L6*(F6+I6+K6))</f>
        <v/>
      </c>
      <c r="N6" s="11">
        <f>IFERROR(INDEX('Projekt-Budget-Übersicht'!$E:$E,MATCH(A6,'Projekt-Budget-Übersicht'!$A:$A,0)),"")</f>
        <v/>
      </c>
      <c r="O6" s="11" t="inlineStr"/>
      <c r="P6" s="11" t="inlineStr"/>
    </row>
    <row r="7">
      <c r="A7" s="4" t="inlineStr">
        <is>
          <t>4126.041 Telluride-LP8-Bauzeitverlängerung-BA2-Klinikum-am-Gesundbrunnen-Heilbronn</t>
        </is>
      </c>
      <c r="B7" s="4" t="inlineStr">
        <is>
          <t>(aN) Pos. 2 weiterführende BAB über die Verlängerung der Bauzeit von 28 Monaten hinaus</t>
        </is>
      </c>
      <c r="C7" s="4" t="inlineStr">
        <is>
          <t>G</t>
        </is>
      </c>
      <c r="D7" s="4" t="n">
        <v>40</v>
      </c>
      <c r="E7" s="4" t="n">
        <v>468.75</v>
      </c>
      <c r="F7" s="4" t="n">
        <v>8</v>
      </c>
      <c r="G7" s="16" t="n">
        <v>1171.88</v>
      </c>
      <c r="H7" s="5" t="n"/>
      <c r="I7" s="5">
        <f>IF(H7=0,"",F7-H7)</f>
        <v/>
      </c>
      <c r="J7" s="4" t="n"/>
      <c r="K7" s="5">
        <f>IF('U. Sutter ADM'!J9="C. Trapp SV",'U. Sutter ADM'!I9,0)</f>
        <v/>
      </c>
      <c r="L7" s="11">
        <f>IF($B$2="-","",IF($B$2="Pauschale",IFERROR(INDEX('Projekt-Budget-Übersicht'!$H:$H,MATCH(A7,'Projekt-Budget-Übersicht'!$A:$A,0)),""),IF($B$2="SV",IFERROR(INDEX('Projekt-Budget-Übersicht'!$H:$H,MATCH(A7,'Projekt-Budget-Übersicht'!$A:$A,0)),""),IF($B$2="CAD",IFERROR(INDEX('Projekt-Budget-Übersicht'!$I:$I,MATCH(A7,'Projekt-Budget-Übersicht'!$A:$A,0)),""),IF($B$2="ADM",IFERROR(INDEX('Projekt-Budget-Übersicht'!$J:$J,MATCH(A7,'Projekt-Budget-Übersicht'!$A:$A,0)),""),"")))))</f>
        <v/>
      </c>
      <c r="M7" s="11">
        <f>IF($B$2="-","",L7*(F7+I7+K7))</f>
        <v/>
      </c>
      <c r="N7" s="11">
        <f>IFERROR(INDEX('Projekt-Budget-Übersicht'!$E:$E,MATCH(A7,'Projekt-Budget-Übersicht'!$A:$A,0)),"")</f>
        <v/>
      </c>
      <c r="O7" s="11" t="inlineStr"/>
      <c r="P7" s="11" t="inlineStr"/>
    </row>
    <row r="8">
      <c r="A8" s="13" t="inlineStr">
        <is>
          <t>4436.04 BTB Krankenhaus-Bergstraße-Viernheimer-Straße-2-Heppenheim</t>
        </is>
      </c>
      <c r="B8" s="4" t="inlineStr">
        <is>
          <t>4105-Zusammenstellung Unterlagen für Einreichung bei BA….</t>
        </is>
      </c>
      <c r="C8" s="4" t="inlineStr">
        <is>
          <t>G</t>
        </is>
      </c>
      <c r="D8" s="4" t="n">
        <v>6</v>
      </c>
      <c r="E8" s="4" t="n">
        <v>16.75</v>
      </c>
      <c r="F8" s="4" t="n">
        <v>4</v>
      </c>
      <c r="G8" s="16" t="n">
        <v>279.17</v>
      </c>
      <c r="H8" s="5" t="n"/>
      <c r="I8" s="5">
        <f>IF(H8=0,"",F8-H8)</f>
        <v/>
      </c>
      <c r="J8" s="4" t="n"/>
      <c r="K8" s="5">
        <f>IF('U. Sutter ADM'!J10="C. Trapp SV",'U. Sutter ADM'!I10,0)</f>
        <v/>
      </c>
      <c r="L8" s="11">
        <f>IF($B$2="-","",IF($B$2="Pauschale",IFERROR(INDEX('Projekt-Budget-Übersicht'!$H:$H,MATCH(A8,'Projekt-Budget-Übersicht'!$A:$A,0)),""),IF($B$2="SV",IFERROR(INDEX('Projekt-Budget-Übersicht'!$H:$H,MATCH(A8,'Projekt-Budget-Übersicht'!$A:$A,0)),""),IF($B$2="CAD",IFERROR(INDEX('Projekt-Budget-Übersicht'!$I:$I,MATCH(A8,'Projekt-Budget-Übersicht'!$A:$A,0)),""),IF($B$2="ADM",IFERROR(INDEX('Projekt-Budget-Übersicht'!$J:$J,MATCH(A8,'Projekt-Budget-Übersicht'!$A:$A,0)),""),"")))))</f>
        <v/>
      </c>
      <c r="M8" s="11">
        <f>IF($B$2="-","",L8*(F8+I8+K8))</f>
        <v/>
      </c>
      <c r="N8" s="11">
        <f>IFERROR(INDEX('Projekt-Budget-Übersicht'!$E:$E,MATCH(A8,'Projekt-Budget-Übersicht'!$A:$A,0)),"")</f>
        <v/>
      </c>
      <c r="O8" s="11" t="inlineStr"/>
      <c r="P8" s="11" t="inlineStr"/>
    </row>
    <row r="9">
      <c r="A9" s="21" t="n"/>
      <c r="B9" s="4" t="inlineStr">
        <is>
          <t>5100-Beraten Planer ausführungsreife Lösungen….</t>
        </is>
      </c>
      <c r="C9" s="4" t="inlineStr">
        <is>
          <t>G</t>
        </is>
      </c>
      <c r="D9" s="4" t="n">
        <v>52</v>
      </c>
      <c r="E9" s="4" t="n">
        <v>146.75</v>
      </c>
      <c r="F9" s="4" t="n">
        <v>8.75</v>
      </c>
      <c r="G9" s="16" t="n">
        <v>282.21</v>
      </c>
      <c r="H9" s="5" t="n"/>
      <c r="I9" s="5">
        <f>IF(H9=0,"",F9-H9)</f>
        <v/>
      </c>
      <c r="J9" s="4" t="n"/>
      <c r="K9" s="5">
        <f>IF('S. Schüler'!J13="C. Trapp SV",'S. Schüler'!I13,0)</f>
        <v/>
      </c>
      <c r="L9" s="11">
        <f>IF($B$2="-","",IF($B$2="Pauschale",IFERROR(INDEX('Projekt-Budget-Übersicht'!$H:$H,MATCH(A9,'Projekt-Budget-Übersicht'!$A:$A,0)),""),IF($B$2="SV",IFERROR(INDEX('Projekt-Budget-Übersicht'!$H:$H,MATCH(A9,'Projekt-Budget-Übersicht'!$A:$A,0)),""),IF($B$2="CAD",IFERROR(INDEX('Projekt-Budget-Übersicht'!$I:$I,MATCH(A9,'Projekt-Budget-Übersicht'!$A:$A,0)),""),IF($B$2="ADM",IFERROR(INDEX('Projekt-Budget-Übersicht'!$J:$J,MATCH(A9,'Projekt-Budget-Übersicht'!$A:$A,0)),""),"")))))</f>
        <v/>
      </c>
      <c r="M9" s="11">
        <f>IF($B$2="-","",L9*(F9+I9+K9))</f>
        <v/>
      </c>
      <c r="N9" s="11">
        <f>IFERROR(INDEX('Projekt-Budget-Übersicht'!$E:$E,MATCH(A9,'Projekt-Budget-Übersicht'!$A:$A,0)),"")</f>
        <v/>
      </c>
      <c r="O9" s="11" t="inlineStr"/>
      <c r="P9" s="11" t="inlineStr"/>
    </row>
    <row r="10">
      <c r="A10" s="21" t="n"/>
      <c r="B10" s="4" t="inlineStr">
        <is>
          <t>5101-Mitwirken Koordination Fachplanung….</t>
        </is>
      </c>
      <c r="C10" s="4" t="inlineStr">
        <is>
          <t>G</t>
        </is>
      </c>
      <c r="D10" s="4" t="n">
        <v>21</v>
      </c>
      <c r="E10" s="4" t="n">
        <v>30.25</v>
      </c>
      <c r="F10" s="4" t="n">
        <v>1.5</v>
      </c>
      <c r="G10" s="16" t="n">
        <v>144.05</v>
      </c>
      <c r="H10" s="5" t="n"/>
      <c r="I10" s="5">
        <f>IF(H10=0,"",F10-H10)</f>
        <v/>
      </c>
      <c r="J10" s="4" t="n"/>
      <c r="K10" s="5" t="n">
        <v>0</v>
      </c>
      <c r="L10" s="11">
        <f>IF($B$2="-","",IF($B$2="Pauschale",IFERROR(INDEX('Projekt-Budget-Übersicht'!$H:$H,MATCH(A10,'Projekt-Budget-Übersicht'!$A:$A,0)),""),IF($B$2="SV",IFERROR(INDEX('Projekt-Budget-Übersicht'!$H:$H,MATCH(A10,'Projekt-Budget-Übersicht'!$A:$A,0)),""),IF($B$2="CAD",IFERROR(INDEX('Projekt-Budget-Übersicht'!$I:$I,MATCH(A10,'Projekt-Budget-Übersicht'!$A:$A,0)),""),IF($B$2="ADM",IFERROR(INDEX('Projekt-Budget-Übersicht'!$J:$J,MATCH(A10,'Projekt-Budget-Übersicht'!$A:$A,0)),""),"")))))</f>
        <v/>
      </c>
      <c r="M10" s="11">
        <f>IF($B$2="-","",L10*(F10+I10+K10))</f>
        <v/>
      </c>
      <c r="N10" s="11">
        <f>IFERROR(INDEX('Projekt-Budget-Übersicht'!$E:$E,MATCH(A10,'Projekt-Budget-Übersicht'!$A:$A,0)),"")</f>
        <v/>
      </c>
      <c r="O10" s="11" t="inlineStr"/>
      <c r="P10" s="11" t="inlineStr"/>
    </row>
    <row r="11">
      <c r="A11" s="21" t="n"/>
      <c r="B11" s="4" t="inlineStr">
        <is>
          <t>5106-Prüfen auf zusätzl. genehmigungspfl. Sachverhalte....</t>
        </is>
      </c>
      <c r="C11" s="4" t="inlineStr">
        <is>
          <t>G</t>
        </is>
      </c>
      <c r="D11" s="4" t="n">
        <v>5</v>
      </c>
      <c r="E11" s="4" t="n">
        <v>23.5</v>
      </c>
      <c r="F11" s="4" t="n">
        <v>16.5</v>
      </c>
      <c r="G11" s="16" t="n">
        <v>470</v>
      </c>
      <c r="H11" s="5" t="n"/>
      <c r="I11" s="5">
        <f>IF(H11=0,"",F11-H11)</f>
        <v/>
      </c>
      <c r="J11" s="4" t="n"/>
      <c r="K11" s="5" t="n">
        <v>0</v>
      </c>
      <c r="L11" s="11">
        <f>IF($B$2="-","",IF($B$2="Pauschale",IFERROR(INDEX('Projekt-Budget-Übersicht'!$H:$H,MATCH(A11,'Projekt-Budget-Übersicht'!$A:$A,0)),""),IF($B$2="SV",IFERROR(INDEX('Projekt-Budget-Übersicht'!$H:$H,MATCH(A11,'Projekt-Budget-Übersicht'!$A:$A,0)),""),IF($B$2="CAD",IFERROR(INDEX('Projekt-Budget-Übersicht'!$I:$I,MATCH(A11,'Projekt-Budget-Übersicht'!$A:$A,0)),""),IF($B$2="ADM",IFERROR(INDEX('Projekt-Budget-Übersicht'!$J:$J,MATCH(A11,'Projekt-Budget-Übersicht'!$A:$A,0)),""),"")))))</f>
        <v/>
      </c>
      <c r="M11" s="11">
        <f>IF($B$2="-","",L11*(F11+I11+K11))</f>
        <v/>
      </c>
      <c r="N11" s="11">
        <f>IFERROR(INDEX('Projekt-Budget-Übersicht'!$E:$E,MATCH(A11,'Projekt-Budget-Übersicht'!$A:$A,0)),"")</f>
        <v/>
      </c>
      <c r="O11" s="11" t="inlineStr"/>
      <c r="P11" s="11" t="inlineStr"/>
    </row>
    <row r="12">
      <c r="A12" s="15" t="n"/>
      <c r="B12" s="4" t="inlineStr">
        <is>
          <t>5205-Mitwirken Erstellen Brandmelde- und Alarmierungskonzept....</t>
        </is>
      </c>
      <c r="C12" s="4" t="inlineStr">
        <is>
          <t>G</t>
        </is>
      </c>
      <c r="D12" s="4" t="n">
        <v>19</v>
      </c>
      <c r="E12" s="4" t="n">
        <v>1.5</v>
      </c>
      <c r="F12" s="4" t="n">
        <v>1.5</v>
      </c>
      <c r="G12" s="17" t="n">
        <v>7.89</v>
      </c>
      <c r="H12" s="5" t="n"/>
      <c r="I12" s="5">
        <f>IF(H12=0,"",F12-H12)</f>
        <v/>
      </c>
      <c r="J12" s="4" t="n"/>
      <c r="K12" s="5" t="n">
        <v>0</v>
      </c>
      <c r="L12" s="11">
        <f>IF($B$2="-","",IF($B$2="Pauschale",IFERROR(INDEX('Projekt-Budget-Übersicht'!$H:$H,MATCH(A12,'Projekt-Budget-Übersicht'!$A:$A,0)),""),IF($B$2="SV",IFERROR(INDEX('Projekt-Budget-Übersicht'!$H:$H,MATCH(A12,'Projekt-Budget-Übersicht'!$A:$A,0)),""),IF($B$2="CAD",IFERROR(INDEX('Projekt-Budget-Übersicht'!$I:$I,MATCH(A12,'Projekt-Budget-Übersicht'!$A:$A,0)),""),IF($B$2="ADM",IFERROR(INDEX('Projekt-Budget-Übersicht'!$J:$J,MATCH(A12,'Projekt-Budget-Übersicht'!$A:$A,0)),""),"")))))</f>
        <v/>
      </c>
      <c r="M12" s="11">
        <f>IF($B$2="-","",L12*(F12+I12+K12))</f>
        <v/>
      </c>
      <c r="N12" s="11">
        <f>IFERROR(INDEX('Projekt-Budget-Übersicht'!$E:$E,MATCH(A12,'Projekt-Budget-Übersicht'!$A:$A,0)),"")</f>
        <v/>
      </c>
      <c r="O12" s="11" t="inlineStr"/>
      <c r="P12" s="11" t="inlineStr"/>
    </row>
    <row r="13">
      <c r="A13" s="13" t="inlineStr">
        <is>
          <t>5328 Flugfeldklinikum-Böblingen</t>
        </is>
      </c>
      <c r="B13" s="4" t="inlineStr">
        <is>
          <t>5101-Mitwirken Koordination Fachplanung….</t>
        </is>
      </c>
      <c r="C13" s="4" t="inlineStr">
        <is>
          <t>G</t>
        </is>
      </c>
      <c r="D13" s="4" t="n">
        <v>16</v>
      </c>
      <c r="E13" s="4" t="n">
        <v>68.75</v>
      </c>
      <c r="F13" s="4" t="n">
        <v>2.25</v>
      </c>
      <c r="G13" s="16" t="n">
        <v>429.69</v>
      </c>
      <c r="H13" s="5" t="n"/>
      <c r="I13" s="5">
        <f>IF(H13=0,"",F13-H13)</f>
        <v/>
      </c>
      <c r="J13" s="4" t="n"/>
      <c r="K13" s="5">
        <f>IF('M. Bandlofsky'!J11="C. Trapp SV",'M. Bandlofsky'!I11,0)</f>
        <v/>
      </c>
      <c r="L13" s="11">
        <f>IF($B$2="-","",IF($B$2="Pauschale",IFERROR(INDEX('Projekt-Budget-Übersicht'!$H:$H,MATCH(A13,'Projekt-Budget-Übersicht'!$A:$A,0)),""),IF($B$2="SV",IFERROR(INDEX('Projekt-Budget-Übersicht'!$H:$H,MATCH(A13,'Projekt-Budget-Übersicht'!$A:$A,0)),""),IF($B$2="CAD",IFERROR(INDEX('Projekt-Budget-Übersicht'!$I:$I,MATCH(A13,'Projekt-Budget-Übersicht'!$A:$A,0)),""),IF($B$2="ADM",IFERROR(INDEX('Projekt-Budget-Übersicht'!$J:$J,MATCH(A13,'Projekt-Budget-Übersicht'!$A:$A,0)),""),"")))))</f>
        <v/>
      </c>
      <c r="M13" s="11">
        <f>IF($B$2="-","",L13*(F13+I13+K13))</f>
        <v/>
      </c>
      <c r="N13" s="11">
        <f>IFERROR(INDEX('Projekt-Budget-Übersicht'!$E:$E,MATCH(A13,'Projekt-Budget-Übersicht'!$A:$A,0)),"")</f>
        <v/>
      </c>
      <c r="O13" s="11" t="inlineStr"/>
      <c r="P13" s="11" t="inlineStr"/>
    </row>
    <row r="14">
      <c r="A14" s="21" t="n"/>
      <c r="B14" s="4" t="inlineStr">
        <is>
          <t>8100-Prüfen der Ausführung auf prinzipielle Übereinstimmung (Stufe 1)....</t>
        </is>
      </c>
      <c r="C14" s="4" t="inlineStr">
        <is>
          <t>G</t>
        </is>
      </c>
      <c r="D14" s="4" t="n">
        <v>610</v>
      </c>
      <c r="E14" s="4" t="n">
        <v>45.25</v>
      </c>
      <c r="F14" s="4" t="n">
        <v>32.75</v>
      </c>
      <c r="G14" s="17" t="n">
        <v>7.42</v>
      </c>
      <c r="H14" s="5" t="n"/>
      <c r="I14" s="5">
        <f>IF(H14=0,"",F14-H14)</f>
        <v/>
      </c>
      <c r="J14" s="4" t="n"/>
      <c r="K14" s="5" t="n">
        <v>0</v>
      </c>
      <c r="L14" s="11">
        <f>IF($B$2="-","",IF($B$2="Pauschale",IFERROR(INDEX('Projekt-Budget-Übersicht'!$H:$H,MATCH(A14,'Projekt-Budget-Übersicht'!$A:$A,0)),""),IF($B$2="SV",IFERROR(INDEX('Projekt-Budget-Übersicht'!$H:$H,MATCH(A14,'Projekt-Budget-Übersicht'!$A:$A,0)),""),IF($B$2="CAD",IFERROR(INDEX('Projekt-Budget-Übersicht'!$I:$I,MATCH(A14,'Projekt-Budget-Übersicht'!$A:$A,0)),""),IF($B$2="ADM",IFERROR(INDEX('Projekt-Budget-Übersicht'!$J:$J,MATCH(A14,'Projekt-Budget-Übersicht'!$A:$A,0)),""),"")))))</f>
        <v/>
      </c>
      <c r="M14" s="11">
        <f>IF($B$2="-","",L14*(F14+I14+K14))</f>
        <v/>
      </c>
      <c r="N14" s="11">
        <f>IFERROR(INDEX('Projekt-Budget-Übersicht'!$E:$E,MATCH(A14,'Projekt-Budget-Übersicht'!$A:$A,0)),"")</f>
        <v/>
      </c>
      <c r="O14" s="11" t="inlineStr"/>
      <c r="P14" s="11" t="inlineStr"/>
    </row>
    <row r="15">
      <c r="A15" s="21" t="n"/>
      <c r="B15" s="4" t="inlineStr">
        <is>
          <t>8101-Kontrolle Verwendbarkeitsnachweise/Bescheinigungen….</t>
        </is>
      </c>
      <c r="C15" s="4" t="inlineStr">
        <is>
          <t>G</t>
        </is>
      </c>
      <c r="D15" s="4" t="n">
        <v>160</v>
      </c>
      <c r="E15" s="4" t="n">
        <v>22</v>
      </c>
      <c r="F15" s="4" t="n">
        <v>2</v>
      </c>
      <c r="G15" s="17" t="n">
        <v>13.75</v>
      </c>
      <c r="H15" s="5" t="n"/>
      <c r="I15" s="5">
        <f>IF(H15=0,"",F15-H15)</f>
        <v/>
      </c>
      <c r="J15" s="4" t="n"/>
      <c r="K15" s="5" t="n">
        <v>0</v>
      </c>
      <c r="L15" s="11">
        <f>IF($B$2="-","",IF($B$2="Pauschale",IFERROR(INDEX('Projekt-Budget-Übersicht'!$H:$H,MATCH(A15,'Projekt-Budget-Übersicht'!$A:$A,0)),""),IF($B$2="SV",IFERROR(INDEX('Projekt-Budget-Übersicht'!$H:$H,MATCH(A15,'Projekt-Budget-Übersicht'!$A:$A,0)),""),IF($B$2="CAD",IFERROR(INDEX('Projekt-Budget-Übersicht'!$I:$I,MATCH(A15,'Projekt-Budget-Übersicht'!$A:$A,0)),""),IF($B$2="ADM",IFERROR(INDEX('Projekt-Budget-Übersicht'!$J:$J,MATCH(A15,'Projekt-Budget-Übersicht'!$A:$A,0)),""),"")))))</f>
        <v/>
      </c>
      <c r="M15" s="11">
        <f>IF($B$2="-","",L15*(F15+I15+K15))</f>
        <v/>
      </c>
      <c r="N15" s="11">
        <f>IFERROR(INDEX('Projekt-Budget-Übersicht'!$E:$E,MATCH(A15,'Projekt-Budget-Übersicht'!$A:$A,0)),"")</f>
        <v/>
      </c>
      <c r="O15" s="11" t="inlineStr"/>
      <c r="P15" s="11" t="inlineStr"/>
    </row>
    <row r="16">
      <c r="A16" s="15" t="n"/>
      <c r="B16" s="4" t="inlineStr">
        <is>
          <t>8200-Prüfen der Ausführung - system. stichprobenart. Kontrolle (Stufe 2)….</t>
        </is>
      </c>
      <c r="C16" s="4" t="inlineStr">
        <is>
          <t>G</t>
        </is>
      </c>
      <c r="D16" s="4" t="n">
        <v>562</v>
      </c>
      <c r="E16" s="4" t="n">
        <v>199</v>
      </c>
      <c r="F16" s="4" t="n">
        <v>31</v>
      </c>
      <c r="G16" s="17" t="n">
        <v>35.41</v>
      </c>
      <c r="H16" s="5" t="n"/>
      <c r="I16" s="5">
        <f>IF(H16=0,"",F16-H16)</f>
        <v/>
      </c>
      <c r="J16" s="4" t="n"/>
      <c r="K16" s="5" t="n">
        <v>0</v>
      </c>
      <c r="L16" s="11">
        <f>IF($B$2="-","",IF($B$2="Pauschale",IFERROR(INDEX('Projekt-Budget-Übersicht'!$H:$H,MATCH(A16,'Projekt-Budget-Übersicht'!$A:$A,0)),""),IF($B$2="SV",IFERROR(INDEX('Projekt-Budget-Übersicht'!$H:$H,MATCH(A16,'Projekt-Budget-Übersicht'!$A:$A,0)),""),IF($B$2="CAD",IFERROR(INDEX('Projekt-Budget-Übersicht'!$I:$I,MATCH(A16,'Projekt-Budget-Übersicht'!$A:$A,0)),""),IF($B$2="ADM",IFERROR(INDEX('Projekt-Budget-Übersicht'!$J:$J,MATCH(A16,'Projekt-Budget-Übersicht'!$A:$A,0)),""),"")))))</f>
        <v/>
      </c>
      <c r="M16" s="11">
        <f>IF($B$2="-","",L16*(F16+I16+K16))</f>
        <v/>
      </c>
      <c r="N16" s="11">
        <f>IFERROR(INDEX('Projekt-Budget-Übersicht'!$E:$E,MATCH(A16,'Projekt-Budget-Übersicht'!$A:$A,0)),"")</f>
        <v/>
      </c>
      <c r="O16" s="11" t="inlineStr"/>
      <c r="P16" s="11" t="inlineStr"/>
    </row>
    <row r="17">
      <c r="A17" s="13" t="inlineStr">
        <is>
          <t>5607.05 BAB-NB-J4-Zentralinstitut-für-seelische-Gesundheit-Mannheim</t>
        </is>
      </c>
      <c r="B17" s="4" t="inlineStr">
        <is>
          <t>(aN) 8200-Prüfen der Ausführung - system. stichprobenart. Kontrolle (Stufe 2)….</t>
        </is>
      </c>
      <c r="C17" s="4" t="inlineStr">
        <is>
          <t>G</t>
        </is>
      </c>
      <c r="D17" s="4" t="n">
        <v>240</v>
      </c>
      <c r="E17" s="4" t="n">
        <v>168.5</v>
      </c>
      <c r="F17" s="4" t="n">
        <v>18</v>
      </c>
      <c r="G17" s="17" t="n">
        <v>70.20999999999999</v>
      </c>
      <c r="H17" s="5" t="n"/>
      <c r="I17" s="5">
        <f>IF(H17=0,"",F17-H17)</f>
        <v/>
      </c>
      <c r="J17" s="4" t="n"/>
      <c r="K17" s="5">
        <f>IF('U. Sutter ADM'!J15="C. Trapp SV",'U. Sutter ADM'!I15,0)</f>
        <v/>
      </c>
      <c r="L17" s="11">
        <f>IF($B$2="-","",IF($B$2="Pauschale",IFERROR(INDEX('Projekt-Budget-Übersicht'!$H:$H,MATCH(A17,'Projekt-Budget-Übersicht'!$A:$A,0)),""),IF($B$2="SV",IFERROR(INDEX('Projekt-Budget-Übersicht'!$H:$H,MATCH(A17,'Projekt-Budget-Übersicht'!$A:$A,0)),""),IF($B$2="CAD",IFERROR(INDEX('Projekt-Budget-Übersicht'!$I:$I,MATCH(A17,'Projekt-Budget-Übersicht'!$A:$A,0)),""),IF($B$2="ADM",IFERROR(INDEX('Projekt-Budget-Übersicht'!$J:$J,MATCH(A17,'Projekt-Budget-Übersicht'!$A:$A,0)),""),"")))))</f>
        <v/>
      </c>
      <c r="M17" s="11">
        <f>IF($B$2="-","",L17*(F17+I17+K17))</f>
        <v/>
      </c>
      <c r="N17" s="11">
        <f>IFERROR(INDEX('Projekt-Budget-Übersicht'!$E:$E,MATCH(A17,'Projekt-Budget-Übersicht'!$A:$A,0)),"")</f>
        <v/>
      </c>
      <c r="O17" s="11" t="inlineStr"/>
      <c r="P17" s="11" t="inlineStr"/>
    </row>
    <row r="18">
      <c r="A18" s="15" t="n"/>
      <c r="B18" s="4" t="inlineStr">
        <is>
          <t>5100-Beraten Planer ausführungsreife Lösungen….</t>
        </is>
      </c>
      <c r="C18" s="4" t="inlineStr">
        <is>
          <t>G</t>
        </is>
      </c>
      <c r="D18" s="4" t="n">
        <v>25.25</v>
      </c>
      <c r="E18" s="4" t="n">
        <v>96</v>
      </c>
      <c r="F18" s="4" t="n">
        <v>1</v>
      </c>
      <c r="G18" s="16" t="n">
        <v>380.2</v>
      </c>
      <c r="H18" s="5" t="n"/>
      <c r="I18" s="5">
        <f>IF(H18=0,"",F18-H18)</f>
        <v/>
      </c>
      <c r="J18" s="4" t="n"/>
      <c r="K18" s="5" t="n">
        <v>0</v>
      </c>
      <c r="L18" s="11">
        <f>IF($B$2="-","",IF($B$2="Pauschale",IFERROR(INDEX('Projekt-Budget-Übersicht'!$H:$H,MATCH(A18,'Projekt-Budget-Übersicht'!$A:$A,0)),""),IF($B$2="SV",IFERROR(INDEX('Projekt-Budget-Übersicht'!$H:$H,MATCH(A18,'Projekt-Budget-Übersicht'!$A:$A,0)),""),IF($B$2="CAD",IFERROR(INDEX('Projekt-Budget-Übersicht'!$I:$I,MATCH(A18,'Projekt-Budget-Übersicht'!$A:$A,0)),""),IF($B$2="ADM",IFERROR(INDEX('Projekt-Budget-Übersicht'!$J:$J,MATCH(A18,'Projekt-Budget-Übersicht'!$A:$A,0)),""),"")))))</f>
        <v/>
      </c>
      <c r="M18" s="11">
        <f>IF($B$2="-","",L18*(F18+I18+K18))</f>
        <v/>
      </c>
      <c r="N18" s="11">
        <f>IFERROR(INDEX('Projekt-Budget-Übersicht'!$E:$E,MATCH(A18,'Projekt-Budget-Übersicht'!$A:$A,0)),"")</f>
        <v/>
      </c>
      <c r="O18" s="11" t="inlineStr"/>
      <c r="P18" s="11" t="inlineStr"/>
    </row>
    <row r="19">
      <c r="A19" s="4" t="inlineStr">
        <is>
          <t>6564.01 ROB-MCR-Weilerbach-Züblin-TP1</t>
        </is>
      </c>
      <c r="B19" s="4" t="inlineStr">
        <is>
          <t>8000-Objektüberwachung</t>
        </is>
      </c>
      <c r="C19" s="4" t="inlineStr">
        <is>
          <t>G</t>
        </is>
      </c>
      <c r="D19" s="4" t="n">
        <v>3640</v>
      </c>
      <c r="E19" s="4" t="n">
        <v>175.5</v>
      </c>
      <c r="F19" s="4" t="n">
        <v>8.5</v>
      </c>
      <c r="G19" s="17" t="n">
        <v>4.82</v>
      </c>
      <c r="H19" s="5" t="n"/>
      <c r="I19" s="5">
        <f>IF(H19=0,"",F19-H19)</f>
        <v/>
      </c>
      <c r="J19" s="4" t="n"/>
      <c r="K19" s="5">
        <f>IF('P. Bergner'!J8="C. Trapp SV",'P. Bergner'!I8,0)</f>
        <v/>
      </c>
      <c r="L19" s="11">
        <f>IF($B$2="-","",IF($B$2="Pauschale",IFERROR(INDEX('Projekt-Budget-Übersicht'!$H:$H,MATCH(A19,'Projekt-Budget-Übersicht'!$A:$A,0)),""),IF($B$2="SV",IFERROR(INDEX('Projekt-Budget-Übersicht'!$H:$H,MATCH(A19,'Projekt-Budget-Übersicht'!$A:$A,0)),""),IF($B$2="CAD",IFERROR(INDEX('Projekt-Budget-Übersicht'!$I:$I,MATCH(A19,'Projekt-Budget-Übersicht'!$A:$A,0)),""),IF($B$2="ADM",IFERROR(INDEX('Projekt-Budget-Übersicht'!$J:$J,MATCH(A19,'Projekt-Budget-Übersicht'!$A:$A,0)),""),"")))))</f>
        <v/>
      </c>
      <c r="M19" s="11">
        <f>IF($B$2="-","",L19*(F19+I19+K19))</f>
        <v/>
      </c>
      <c r="N19" s="11">
        <f>IFERROR(INDEX('Projekt-Budget-Übersicht'!$E:$E,MATCH(A19,'Projekt-Budget-Übersicht'!$A:$A,0)),"")</f>
        <v/>
      </c>
      <c r="O19" s="11" t="inlineStr"/>
      <c r="P19" s="11" t="inlineStr"/>
    </row>
    <row r="20">
      <c r="A20" s="4" t="inlineStr">
        <is>
          <t>6643 BTB-FRP-FWP-Ersatzneubau-Krankenhaus-Hohenlohe-Öhringen-Vamed</t>
        </is>
      </c>
      <c r="B20" s="4" t="inlineStr">
        <is>
          <t>5106-Prüfen auf zusätzl. genehmigungspfl. Sachverhalte....</t>
        </is>
      </c>
      <c r="C20" s="4" t="inlineStr">
        <is>
          <t>G</t>
        </is>
      </c>
      <c r="D20" s="4" t="n">
        <v>16</v>
      </c>
      <c r="E20" s="4" t="n">
        <v>28.25</v>
      </c>
      <c r="F20" s="4" t="n">
        <v>3</v>
      </c>
      <c r="G20" s="16" t="n">
        <v>176.56</v>
      </c>
      <c r="H20" s="5" t="n"/>
      <c r="I20" s="5">
        <f>IF(H20=0,"",F20-H20)</f>
        <v/>
      </c>
      <c r="J20" s="4" t="n"/>
      <c r="K20" s="5" t="n">
        <v>0</v>
      </c>
      <c r="L20" s="11">
        <f>IF($B$2="-","",IF($B$2="Pauschale",IFERROR(INDEX('Projekt-Budget-Übersicht'!$H:$H,MATCH(A20,'Projekt-Budget-Übersicht'!$A:$A,0)),""),IF($B$2="SV",IFERROR(INDEX('Projekt-Budget-Übersicht'!$H:$H,MATCH(A20,'Projekt-Budget-Übersicht'!$A:$A,0)),""),IF($B$2="CAD",IFERROR(INDEX('Projekt-Budget-Übersicht'!$I:$I,MATCH(A20,'Projekt-Budget-Übersicht'!$A:$A,0)),""),IF($B$2="ADM",IFERROR(INDEX('Projekt-Budget-Übersicht'!$J:$J,MATCH(A20,'Projekt-Budget-Übersicht'!$A:$A,0)),""),"")))))</f>
        <v/>
      </c>
      <c r="M20" s="11">
        <f>IF($B$2="-","",L20*(F20+I20+K20))</f>
        <v/>
      </c>
      <c r="N20" s="11">
        <f>IFERROR(INDEX('Projekt-Budget-Übersicht'!$E:$E,MATCH(A20,'Projekt-Budget-Übersicht'!$A:$A,0)),"")</f>
        <v/>
      </c>
      <c r="O20" s="11" t="inlineStr"/>
      <c r="P20" s="11" t="inlineStr"/>
    </row>
    <row r="21">
      <c r="A21" s="13" t="inlineStr">
        <is>
          <t>6704 BSK-BTB+FWP-FuR-ZsG-Lörrach</t>
        </is>
      </c>
      <c r="B21" s="4" t="inlineStr">
        <is>
          <t>8101-Kontrolle Verwendbarkeitsnachweise/Bescheinigungen….</t>
        </is>
      </c>
      <c r="C21" s="4" t="inlineStr">
        <is>
          <t>G</t>
        </is>
      </c>
      <c r="D21" s="4" t="n">
        <v>20</v>
      </c>
      <c r="E21" s="4" t="n">
        <v>33.75</v>
      </c>
      <c r="F21" s="4" t="n">
        <v>15.75</v>
      </c>
      <c r="G21" s="16" t="n">
        <v>168.75</v>
      </c>
      <c r="H21" s="5" t="n"/>
      <c r="I21" s="5">
        <f>IF(H21=0,"",F21-H21)</f>
        <v/>
      </c>
      <c r="J21" s="4" t="n"/>
      <c r="K21" s="5">
        <f>IF('U. Sutter ADM'!J18="C. Trapp SV",'U. Sutter ADM'!I18,0)</f>
        <v/>
      </c>
      <c r="L21" s="11">
        <f>IF($B$2="-","",IF($B$2="Pauschale",IFERROR(INDEX('Projekt-Budget-Übersicht'!$H:$H,MATCH(A21,'Projekt-Budget-Übersicht'!$A:$A,0)),""),IF($B$2="SV",IFERROR(INDEX('Projekt-Budget-Übersicht'!$H:$H,MATCH(A21,'Projekt-Budget-Übersicht'!$A:$A,0)),""),IF($B$2="CAD",IFERROR(INDEX('Projekt-Budget-Übersicht'!$I:$I,MATCH(A21,'Projekt-Budget-Übersicht'!$A:$A,0)),""),IF($B$2="ADM",IFERROR(INDEX('Projekt-Budget-Übersicht'!$J:$J,MATCH(A21,'Projekt-Budget-Übersicht'!$A:$A,0)),""),"")))))</f>
        <v/>
      </c>
      <c r="M21" s="11">
        <f>IF($B$2="-","",L21*(F21+I21+K21))</f>
        <v/>
      </c>
      <c r="N21" s="11">
        <f>IFERROR(INDEX('Projekt-Budget-Übersicht'!$E:$E,MATCH(A21,'Projekt-Budget-Übersicht'!$A:$A,0)),"")</f>
        <v/>
      </c>
      <c r="O21" s="11" t="inlineStr"/>
      <c r="P21" s="11" t="inlineStr"/>
    </row>
    <row r="22">
      <c r="A22" s="15" t="n"/>
      <c r="B22" s="4" t="inlineStr">
        <is>
          <t>8104-Statusbericht Bewertung auf Möglichkeiten zur Inbetriebnahme….</t>
        </is>
      </c>
      <c r="C22" s="4" t="inlineStr">
        <is>
          <t>G</t>
        </is>
      </c>
      <c r="D22" s="4" t="n">
        <v>40</v>
      </c>
      <c r="E22" s="4" t="n">
        <v>5</v>
      </c>
      <c r="F22" s="4" t="n">
        <v>2</v>
      </c>
      <c r="G22" s="17" t="n">
        <v>12.5</v>
      </c>
      <c r="H22" s="5" t="n"/>
      <c r="I22" s="5">
        <f>IF(H22=0,"",F22-H22)</f>
        <v/>
      </c>
      <c r="J22" s="4" t="n"/>
      <c r="K22" s="5" t="n">
        <v>0</v>
      </c>
      <c r="L22" s="11">
        <f>IF($B$2="-","",IF($B$2="Pauschale",IFERROR(INDEX('Projekt-Budget-Übersicht'!$H:$H,MATCH(A22,'Projekt-Budget-Übersicht'!$A:$A,0)),""),IF($B$2="SV",IFERROR(INDEX('Projekt-Budget-Übersicht'!$H:$H,MATCH(A22,'Projekt-Budget-Übersicht'!$A:$A,0)),""),IF($B$2="CAD",IFERROR(INDEX('Projekt-Budget-Übersicht'!$I:$I,MATCH(A22,'Projekt-Budget-Übersicht'!$A:$A,0)),""),IF($B$2="ADM",IFERROR(INDEX('Projekt-Budget-Übersicht'!$J:$J,MATCH(A22,'Projekt-Budget-Übersicht'!$A:$A,0)),""),"")))))</f>
        <v/>
      </c>
      <c r="M22" s="11">
        <f>IF($B$2="-","",L22*(F22+I22+K22))</f>
        <v/>
      </c>
      <c r="N22" s="11">
        <f>IFERROR(INDEX('Projekt-Budget-Übersicht'!$E:$E,MATCH(A22,'Projekt-Budget-Übersicht'!$A:$A,0)),"")</f>
        <v/>
      </c>
      <c r="O22" s="11" t="inlineStr"/>
      <c r="P22" s="11" t="inlineStr"/>
    </row>
    <row r="23">
      <c r="A23" s="4" t="inlineStr">
        <is>
          <t>7313.01 BTS-Sachsenwaldhochhaus-Hamburger-Straße-49-Reinbek-OG-3-19+TK</t>
        </is>
      </c>
      <c r="B23" s="4" t="inlineStr">
        <is>
          <t>1200-Bestandserfassung vor Ort....</t>
        </is>
      </c>
      <c r="C23" s="4" t="inlineStr">
        <is>
          <t>G</t>
        </is>
      </c>
      <c r="D23" s="4" t="n">
        <v>18</v>
      </c>
      <c r="E23" s="4" t="n">
        <v>27</v>
      </c>
      <c r="F23" s="4" t="n">
        <v>20.5</v>
      </c>
      <c r="G23" s="16" t="n">
        <v>150</v>
      </c>
      <c r="H23" s="5" t="n"/>
      <c r="I23" s="5">
        <f>IF(H23=0,"",F23-H23)</f>
        <v/>
      </c>
      <c r="J23" s="4" t="n"/>
      <c r="K23" s="5" t="n">
        <v>0</v>
      </c>
      <c r="L23" s="11">
        <f>IF($B$2="-","",IF($B$2="Pauschale",IFERROR(INDEX('Projekt-Budget-Übersicht'!$H:$H,MATCH(A23,'Projekt-Budget-Übersicht'!$A:$A,0)),""),IF($B$2="SV",IFERROR(INDEX('Projekt-Budget-Übersicht'!$H:$H,MATCH(A23,'Projekt-Budget-Übersicht'!$A:$A,0)),""),IF($B$2="CAD",IFERROR(INDEX('Projekt-Budget-Übersicht'!$I:$I,MATCH(A23,'Projekt-Budget-Übersicht'!$A:$A,0)),""),IF($B$2="ADM",IFERROR(INDEX('Projekt-Budget-Übersicht'!$J:$J,MATCH(A23,'Projekt-Budget-Übersicht'!$A:$A,0)),""),"")))))</f>
        <v/>
      </c>
      <c r="M23" s="11">
        <f>IF($B$2="-","",L23*(F23+I23+K23))</f>
        <v/>
      </c>
      <c r="N23" s="11">
        <f>IFERROR(INDEX('Projekt-Budget-Übersicht'!$E:$E,MATCH(A23,'Projekt-Budget-Übersicht'!$A:$A,0)),"")</f>
        <v/>
      </c>
      <c r="O23" s="11" t="inlineStr"/>
      <c r="P23" s="11" t="inlineStr"/>
    </row>
    <row r="24">
      <c r="A24" s="3" t="inlineStr"/>
      <c r="B24" s="3" t="inlineStr">
        <is>
          <t>Summe</t>
        </is>
      </c>
      <c r="C24" s="3" t="inlineStr"/>
      <c r="D24" s="3" t="inlineStr"/>
      <c r="E24" s="3" t="inlineStr"/>
      <c r="F24" s="6" t="n">
        <v>178</v>
      </c>
      <c r="G24" s="3" t="inlineStr"/>
      <c r="H24" s="3" t="inlineStr"/>
      <c r="I24" s="3" t="inlineStr"/>
      <c r="J24" s="3" t="inlineStr"/>
      <c r="K24" s="3" t="inlineStr"/>
      <c r="L24" s="3" t="n"/>
      <c r="M24" s="3" t="n"/>
      <c r="N24" s="3" t="n"/>
      <c r="O24" s="3" t="n"/>
      <c r="P24" s="3" t="n"/>
    </row>
    <row r="25">
      <c r="A25" s="3" t="inlineStr"/>
      <c r="B25" s="3" t="inlineStr">
        <is>
          <t>Bonusberechtigte Stunden</t>
        </is>
      </c>
      <c r="C25" s="3" t="inlineStr"/>
      <c r="D25" s="3" t="inlineStr"/>
      <c r="E25" s="3" t="inlineStr"/>
      <c r="F25" s="6">
        <f>G25+H25</f>
        <v/>
      </c>
      <c r="G25" s="6" t="n">
        <v>95.75</v>
      </c>
      <c r="H25" s="6">
        <f>SUM(H7,H8,H9,H10,H11,H12,H13,H14,H15,H16,H17,H18,H19,H20,H21,H22,H23)</f>
        <v/>
      </c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</row>
    <row r="26">
      <c r="A26" s="3" t="inlineStr"/>
      <c r="B26" s="3" t="inlineStr">
        <is>
          <t>Bonusberechtigte Stunden Sonderprojekt</t>
        </is>
      </c>
      <c r="C26" s="3" t="inlineStr"/>
      <c r="D26" s="3" t="inlineStr"/>
      <c r="E26" s="3" t="inlineStr"/>
      <c r="F26" s="6">
        <f>G26+H26</f>
        <v/>
      </c>
      <c r="G26" s="6" t="n">
        <v>1</v>
      </c>
      <c r="H26" s="6">
        <f>SUM(H6)</f>
        <v/>
      </c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</row>
    <row r="27">
      <c r="A27" s="3" t="inlineStr"/>
      <c r="B27" s="3" t="inlineStr">
        <is>
          <t>Zugeordnete Stunden von anderen MA</t>
        </is>
      </c>
      <c r="C27" s="3" t="inlineStr"/>
      <c r="D27" s="3" t="inlineStr"/>
      <c r="E27" s="3" t="inlineStr"/>
      <c r="F27" s="6">
        <f>SUM(K6:K23)</f>
        <v/>
      </c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</row>
    <row r="28">
      <c r="A28" s="18" t="inlineStr"/>
      <c r="B28" s="18" t="inlineStr">
        <is>
          <t>Gesamt Bonus Stunden</t>
        </is>
      </c>
      <c r="C28" s="18" t="inlineStr"/>
      <c r="D28" s="18" t="inlineStr"/>
      <c r="E28" s="18" t="inlineStr"/>
      <c r="F28" s="19">
        <f>F25+F26+F27</f>
        <v/>
      </c>
      <c r="G28" s="18" t="inlineStr"/>
      <c r="H28" s="18" t="inlineStr"/>
      <c r="I28" s="18" t="inlineStr"/>
      <c r="J28" s="18" t="inlineStr"/>
      <c r="K28" s="18" t="inlineStr"/>
      <c r="L28" s="18" t="n"/>
      <c r="M28" s="18" t="n"/>
      <c r="N28" s="18" t="n"/>
      <c r="O28" s="18" t="n"/>
      <c r="P28" s="18" t="n"/>
    </row>
    <row r="30">
      <c r="A30" s="2" t="inlineStr">
        <is>
          <t>--- August 2025 ---</t>
        </is>
      </c>
    </row>
    <row r="31">
      <c r="A31" s="3" t="inlineStr">
        <is>
          <t>Projekt</t>
        </is>
      </c>
      <c r="B31" s="3" t="inlineStr">
        <is>
          <t>Meilenstein</t>
        </is>
      </c>
      <c r="C31" s="3" t="inlineStr">
        <is>
          <t>Typ</t>
        </is>
      </c>
      <c r="D31" s="3" t="inlineStr">
        <is>
          <t>Soll (h)</t>
        </is>
      </c>
      <c r="E31" s="3" t="inlineStr">
        <is>
          <t>Ist (h)</t>
        </is>
      </c>
      <c r="F31" s="3" t="inlineStr">
        <is>
          <t>August 2025 (h)</t>
        </is>
      </c>
      <c r="G31" s="3" t="inlineStr">
        <is>
          <t>%</t>
        </is>
      </c>
      <c r="H31" s="3" t="inlineStr">
        <is>
          <t>Bonus-Anpassung (h)</t>
        </is>
      </c>
      <c r="I31" s="3" t="inlineStr">
        <is>
          <t>Differenz (h)</t>
        </is>
      </c>
      <c r="J31" s="3" t="inlineStr">
        <is>
          <t>Zuordnen an</t>
        </is>
      </c>
      <c r="K31" s="3" t="inlineStr">
        <is>
          <t>Von anderen (h)</t>
        </is>
      </c>
      <c r="L31" s="3" t="inlineStr">
        <is>
          <t>Stundensatz (€/h)</t>
        </is>
      </c>
      <c r="M31" s="3" t="inlineStr">
        <is>
          <t>Umsatz (€)</t>
        </is>
      </c>
      <c r="N31" s="3" t="inlineStr">
        <is>
          <t>Budget Gesamt (€)</t>
        </is>
      </c>
      <c r="O31" s="3" t="inlineStr">
        <is>
          <t>Budget Ist (€)</t>
        </is>
      </c>
      <c r="P31" s="3" t="inlineStr">
        <is>
          <t>Budget Erwirtschaftet (€)</t>
        </is>
      </c>
    </row>
    <row r="32">
      <c r="A32" s="4" t="inlineStr">
        <is>
          <t>0000 Sonderprojekt für Bonus</t>
        </is>
      </c>
      <c r="B32" s="4" t="inlineStr">
        <is>
          <t>Erstellung Vorlagen (übergreifend) (max. 8h/Monat pro MA)</t>
        </is>
      </c>
      <c r="C32" s="4" t="inlineStr">
        <is>
          <t>M</t>
        </is>
      </c>
      <c r="D32" s="4" t="n">
        <v>8</v>
      </c>
      <c r="E32" s="4" t="n">
        <v>3.5</v>
      </c>
      <c r="F32" s="4" t="n">
        <v>3.5</v>
      </c>
      <c r="G32" s="17" t="n">
        <v>43.75</v>
      </c>
      <c r="H32" s="5" t="n"/>
      <c r="I32" s="5">
        <f>IF(H32=0,"",F32-H32)</f>
        <v/>
      </c>
      <c r="J32" s="4" t="n"/>
      <c r="K32" s="5">
        <f>IF('J. Dorn'!J46="C. Trapp SV",'J. Dorn'!I46,0)+IF('T. Trautmann'!J30="C. Trapp SV",'T. Trautmann'!I30,0)</f>
        <v/>
      </c>
      <c r="L32" s="11">
        <f>IF($B$2="-","",IF($B$2="Pauschale",IFERROR(INDEX('Projekt-Budget-Übersicht'!$H:$H,MATCH(A32,'Projekt-Budget-Übersicht'!$A:$A,0)),""),IF($B$2="SV",IFERROR(INDEX('Projekt-Budget-Übersicht'!$H:$H,MATCH(A32,'Projekt-Budget-Übersicht'!$A:$A,0)),""),IF($B$2="CAD",IFERROR(INDEX('Projekt-Budget-Übersicht'!$I:$I,MATCH(A32,'Projekt-Budget-Übersicht'!$A:$A,0)),""),IF($B$2="ADM",IFERROR(INDEX('Projekt-Budget-Übersicht'!$J:$J,MATCH(A32,'Projekt-Budget-Übersicht'!$A:$A,0)),""),"")))))</f>
        <v/>
      </c>
      <c r="M32" s="11">
        <f>IF($B$2="-","",L32*(F32+I32+K32))</f>
        <v/>
      </c>
      <c r="N32" s="11">
        <f>IFERROR(INDEX('Projekt-Budget-Übersicht'!$E:$E,MATCH(A32,'Projekt-Budget-Übersicht'!$A:$A,0)),"")</f>
        <v/>
      </c>
      <c r="O32" s="11" t="inlineStr"/>
      <c r="P32" s="11" t="inlineStr"/>
    </row>
    <row r="33">
      <c r="A33" s="4" t="inlineStr">
        <is>
          <t>4126.041 Telluride-LP8-Bauzeitverlängerung-BA2-Klinikum-am-Gesundbrunnen-Heilbronn</t>
        </is>
      </c>
      <c r="B33" s="4" t="inlineStr">
        <is>
          <t>(aN) Pos. 2 weiterführende BAB über die Verlängerung der Bauzeit von 28 Monaten hinaus</t>
        </is>
      </c>
      <c r="C33" s="4" t="inlineStr">
        <is>
          <t>G</t>
        </is>
      </c>
      <c r="D33" s="4" t="n">
        <v>40</v>
      </c>
      <c r="E33" s="4" t="n">
        <v>472.75</v>
      </c>
      <c r="F33" s="4" t="n">
        <v>4</v>
      </c>
      <c r="G33" s="16" t="n">
        <v>1181.88</v>
      </c>
      <c r="H33" s="5" t="n"/>
      <c r="I33" s="5">
        <f>IF(H33=0,"",F33-H33)</f>
        <v/>
      </c>
      <c r="J33" s="4" t="n"/>
      <c r="K33" s="5" t="n">
        <v>0</v>
      </c>
      <c r="L33" s="11">
        <f>IF($B$2="-","",IF($B$2="Pauschale",IFERROR(INDEX('Projekt-Budget-Übersicht'!$H:$H,MATCH(A33,'Projekt-Budget-Übersicht'!$A:$A,0)),""),IF($B$2="SV",IFERROR(INDEX('Projekt-Budget-Übersicht'!$H:$H,MATCH(A33,'Projekt-Budget-Übersicht'!$A:$A,0)),""),IF($B$2="CAD",IFERROR(INDEX('Projekt-Budget-Übersicht'!$I:$I,MATCH(A33,'Projekt-Budget-Übersicht'!$A:$A,0)),""),IF($B$2="ADM",IFERROR(INDEX('Projekt-Budget-Übersicht'!$J:$J,MATCH(A33,'Projekt-Budget-Übersicht'!$A:$A,0)),""),"")))))</f>
        <v/>
      </c>
      <c r="M33" s="11">
        <f>IF($B$2="-","",L33*(F33+I33+K33))</f>
        <v/>
      </c>
      <c r="N33" s="11">
        <f>IFERROR(INDEX('Projekt-Budget-Übersicht'!$E:$E,MATCH(A33,'Projekt-Budget-Übersicht'!$A:$A,0)),"")</f>
        <v/>
      </c>
      <c r="O33" s="11" t="inlineStr"/>
      <c r="P33" s="11" t="inlineStr"/>
    </row>
    <row r="34">
      <c r="A34" s="4" t="inlineStr">
        <is>
          <t>4436.04 BTB Krankenhaus-Bergstraße-Viernheimer-Straße-2-Heppenheim</t>
        </is>
      </c>
      <c r="B34" s="4" t="inlineStr">
        <is>
          <t>5106-Prüfen auf zusätzl. genehmigungspfl. Sachverhalte....</t>
        </is>
      </c>
      <c r="C34" s="4" t="inlineStr">
        <is>
          <t>G</t>
        </is>
      </c>
      <c r="D34" s="4" t="n">
        <v>5</v>
      </c>
      <c r="E34" s="4" t="n">
        <v>25</v>
      </c>
      <c r="F34" s="4" t="n">
        <v>1.5</v>
      </c>
      <c r="G34" s="16" t="n">
        <v>500</v>
      </c>
      <c r="H34" s="5" t="n"/>
      <c r="I34" s="5">
        <f>IF(H34=0,"",F34-H34)</f>
        <v/>
      </c>
      <c r="J34" s="4" t="n"/>
      <c r="K34" s="5" t="n">
        <v>0</v>
      </c>
      <c r="L34" s="11">
        <f>IF($B$2="-","",IF($B$2="Pauschale",IFERROR(INDEX('Projekt-Budget-Übersicht'!$H:$H,MATCH(A34,'Projekt-Budget-Übersicht'!$A:$A,0)),""),IF($B$2="SV",IFERROR(INDEX('Projekt-Budget-Übersicht'!$H:$H,MATCH(A34,'Projekt-Budget-Übersicht'!$A:$A,0)),""),IF($B$2="CAD",IFERROR(INDEX('Projekt-Budget-Übersicht'!$I:$I,MATCH(A34,'Projekt-Budget-Übersicht'!$A:$A,0)),""),IF($B$2="ADM",IFERROR(INDEX('Projekt-Budget-Übersicht'!$J:$J,MATCH(A34,'Projekt-Budget-Übersicht'!$A:$A,0)),""),"")))))</f>
        <v/>
      </c>
      <c r="M34" s="11">
        <f>IF($B$2="-","",L34*(F34+I34+K34))</f>
        <v/>
      </c>
      <c r="N34" s="11">
        <f>IFERROR(INDEX('Projekt-Budget-Übersicht'!$E:$E,MATCH(A34,'Projekt-Budget-Übersicht'!$A:$A,0)),"")</f>
        <v/>
      </c>
      <c r="O34" s="11" t="inlineStr"/>
      <c r="P34" s="11" t="inlineStr"/>
    </row>
    <row r="35">
      <c r="A35" s="13" t="inlineStr">
        <is>
          <t>5328 Flugfeldklinikum-Böblingen</t>
        </is>
      </c>
      <c r="B35" s="4" t="inlineStr">
        <is>
          <t>5100-Beraten Planer ausführungsreife Lösungen….</t>
        </is>
      </c>
      <c r="C35" s="4" t="inlineStr">
        <is>
          <t>G</t>
        </is>
      </c>
      <c r="D35" s="4" t="n">
        <v>307.5</v>
      </c>
      <c r="E35" s="4" t="n">
        <v>390.25</v>
      </c>
      <c r="F35" s="4" t="n">
        <v>1.5</v>
      </c>
      <c r="G35" s="16" t="n">
        <v>126.91</v>
      </c>
      <c r="H35" s="5" t="n"/>
      <c r="I35" s="5">
        <f>IF(H35=0,"",F35-H35)</f>
        <v/>
      </c>
      <c r="J35" s="4" t="n"/>
      <c r="K35" s="5">
        <f>IF('E. Bieler'!J50="C. Trapp SV",'E. Bieler'!I50,0)+IF('M. Bandlofsky'!J31="C. Trapp SV",'M. Bandlofsky'!I31,0)</f>
        <v/>
      </c>
      <c r="L35" s="11">
        <f>IF($B$2="-","",IF($B$2="Pauschale",IFERROR(INDEX('Projekt-Budget-Übersicht'!$H:$H,MATCH(A35,'Projekt-Budget-Übersicht'!$A:$A,0)),""),IF($B$2="SV",IFERROR(INDEX('Projekt-Budget-Übersicht'!$H:$H,MATCH(A35,'Projekt-Budget-Übersicht'!$A:$A,0)),""),IF($B$2="CAD",IFERROR(INDEX('Projekt-Budget-Übersicht'!$I:$I,MATCH(A35,'Projekt-Budget-Übersicht'!$A:$A,0)),""),IF($B$2="ADM",IFERROR(INDEX('Projekt-Budget-Übersicht'!$J:$J,MATCH(A35,'Projekt-Budget-Übersicht'!$A:$A,0)),""),"")))))</f>
        <v/>
      </c>
      <c r="M35" s="11">
        <f>IF($B$2="-","",L35*(F35+I35+K35))</f>
        <v/>
      </c>
      <c r="N35" s="11">
        <f>IFERROR(INDEX('Projekt-Budget-Übersicht'!$E:$E,MATCH(A35,'Projekt-Budget-Übersicht'!$A:$A,0)),"")</f>
        <v/>
      </c>
      <c r="O35" s="11" t="inlineStr"/>
      <c r="P35" s="11" t="inlineStr"/>
    </row>
    <row r="36">
      <c r="A36" s="21" t="n"/>
      <c r="B36" s="4" t="inlineStr">
        <is>
          <t>8100-Prüfen der Ausführung auf prinzipielle Übereinstimmung (Stufe 1)....</t>
        </is>
      </c>
      <c r="C36" s="4" t="inlineStr">
        <is>
          <t>G</t>
        </is>
      </c>
      <c r="D36" s="4" t="n">
        <v>610</v>
      </c>
      <c r="E36" s="4" t="n">
        <v>65.5</v>
      </c>
      <c r="F36" s="4" t="n">
        <v>14.5</v>
      </c>
      <c r="G36" s="17" t="n">
        <v>10.74</v>
      </c>
      <c r="H36" s="5" t="n"/>
      <c r="I36" s="5">
        <f>IF(H36=0,"",F36-H36)</f>
        <v/>
      </c>
      <c r="J36" s="4" t="n"/>
      <c r="K36" s="5">
        <f>IF('E. Bieler'!J51="C. Trapp SV",'E. Bieler'!I51,0)</f>
        <v/>
      </c>
      <c r="L36" s="11">
        <f>IF($B$2="-","",IF($B$2="Pauschale",IFERROR(INDEX('Projekt-Budget-Übersicht'!$H:$H,MATCH(A36,'Projekt-Budget-Übersicht'!$A:$A,0)),""),IF($B$2="SV",IFERROR(INDEX('Projekt-Budget-Übersicht'!$H:$H,MATCH(A36,'Projekt-Budget-Übersicht'!$A:$A,0)),""),IF($B$2="CAD",IFERROR(INDEX('Projekt-Budget-Übersicht'!$I:$I,MATCH(A36,'Projekt-Budget-Übersicht'!$A:$A,0)),""),IF($B$2="ADM",IFERROR(INDEX('Projekt-Budget-Übersicht'!$J:$J,MATCH(A36,'Projekt-Budget-Übersicht'!$A:$A,0)),""),"")))))</f>
        <v/>
      </c>
      <c r="M36" s="11">
        <f>IF($B$2="-","",L36*(F36+I36+K36))</f>
        <v/>
      </c>
      <c r="N36" s="11">
        <f>IFERROR(INDEX('Projekt-Budget-Übersicht'!$E:$E,MATCH(A36,'Projekt-Budget-Übersicht'!$A:$A,0)),"")</f>
        <v/>
      </c>
      <c r="O36" s="11" t="inlineStr"/>
      <c r="P36" s="11" t="inlineStr"/>
    </row>
    <row r="37">
      <c r="A37" s="21" t="n"/>
      <c r="B37" s="4" t="inlineStr">
        <is>
          <t>8101-Kontrolle Verwendbarkeitsnachweise/Bescheinigungen….</t>
        </is>
      </c>
      <c r="C37" s="4" t="inlineStr">
        <is>
          <t>G</t>
        </is>
      </c>
      <c r="D37" s="4" t="n">
        <v>160</v>
      </c>
      <c r="E37" s="4" t="n">
        <v>29</v>
      </c>
      <c r="F37" s="4" t="n">
        <v>7</v>
      </c>
      <c r="G37" s="17" t="n">
        <v>18.12</v>
      </c>
      <c r="H37" s="5" t="n"/>
      <c r="I37" s="5">
        <f>IF(H37=0,"",F37-H37)</f>
        <v/>
      </c>
      <c r="J37" s="4" t="n"/>
      <c r="K37" s="5" t="n">
        <v>0</v>
      </c>
      <c r="L37" s="11">
        <f>IF($B$2="-","",IF($B$2="Pauschale",IFERROR(INDEX('Projekt-Budget-Übersicht'!$H:$H,MATCH(A37,'Projekt-Budget-Übersicht'!$A:$A,0)),""),IF($B$2="SV",IFERROR(INDEX('Projekt-Budget-Übersicht'!$H:$H,MATCH(A37,'Projekt-Budget-Übersicht'!$A:$A,0)),""),IF($B$2="CAD",IFERROR(INDEX('Projekt-Budget-Übersicht'!$I:$I,MATCH(A37,'Projekt-Budget-Übersicht'!$A:$A,0)),""),IF($B$2="ADM",IFERROR(INDEX('Projekt-Budget-Übersicht'!$J:$J,MATCH(A37,'Projekt-Budget-Übersicht'!$A:$A,0)),""),"")))))</f>
        <v/>
      </c>
      <c r="M37" s="11">
        <f>IF($B$2="-","",L37*(F37+I37+K37))</f>
        <v/>
      </c>
      <c r="N37" s="11">
        <f>IFERROR(INDEX('Projekt-Budget-Übersicht'!$E:$E,MATCH(A37,'Projekt-Budget-Übersicht'!$A:$A,0)),"")</f>
        <v/>
      </c>
      <c r="O37" s="11" t="inlineStr"/>
      <c r="P37" s="11" t="inlineStr"/>
    </row>
    <row r="38">
      <c r="A38" s="15" t="n"/>
      <c r="B38" s="4" t="inlineStr">
        <is>
          <t>8200-Prüfen der Ausführung - system. stichprobenart. Kontrolle (Stufe 2)….</t>
        </is>
      </c>
      <c r="C38" s="4" t="inlineStr">
        <is>
          <t>G</t>
        </is>
      </c>
      <c r="D38" s="4" t="n">
        <v>562</v>
      </c>
      <c r="E38" s="4" t="n">
        <v>244.5</v>
      </c>
      <c r="F38" s="4" t="n">
        <v>27</v>
      </c>
      <c r="G38" s="17" t="n">
        <v>43.51</v>
      </c>
      <c r="H38" s="5" t="n"/>
      <c r="I38" s="5">
        <f>IF(H38=0,"",F38-H38)</f>
        <v/>
      </c>
      <c r="J38" s="4" t="n"/>
      <c r="K38" s="5">
        <f>IF('S. Roßkopf'!J6="C. Trapp SV",'S. Roßkopf'!I6,0)</f>
        <v/>
      </c>
      <c r="L38" s="11">
        <f>IF($B$2="-","",IF($B$2="Pauschale",IFERROR(INDEX('Projekt-Budget-Übersicht'!$H:$H,MATCH(A38,'Projekt-Budget-Übersicht'!$A:$A,0)),""),IF($B$2="SV",IFERROR(INDEX('Projekt-Budget-Übersicht'!$H:$H,MATCH(A38,'Projekt-Budget-Übersicht'!$A:$A,0)),""),IF($B$2="CAD",IFERROR(INDEX('Projekt-Budget-Übersicht'!$I:$I,MATCH(A38,'Projekt-Budget-Übersicht'!$A:$A,0)),""),IF($B$2="ADM",IFERROR(INDEX('Projekt-Budget-Übersicht'!$J:$J,MATCH(A38,'Projekt-Budget-Übersicht'!$A:$A,0)),""),"")))))</f>
        <v/>
      </c>
      <c r="M38" s="11">
        <f>IF($B$2="-","",L38*(F38+I38+K38))</f>
        <v/>
      </c>
      <c r="N38" s="11">
        <f>IFERROR(INDEX('Projekt-Budget-Übersicht'!$E:$E,MATCH(A38,'Projekt-Budget-Übersicht'!$A:$A,0)),"")</f>
        <v/>
      </c>
      <c r="O38" s="11" t="inlineStr"/>
      <c r="P38" s="11" t="inlineStr"/>
    </row>
    <row r="39">
      <c r="A39" s="13" t="inlineStr">
        <is>
          <t>5607.05 BAB-NB-J4-Zentralinstitut-für-seelische-Gesundheit-Mannheim</t>
        </is>
      </c>
      <c r="B39" s="4" t="inlineStr">
        <is>
          <t>(p) NAT03-Bestandsaufnahme (Ist-Aufnahme)</t>
        </is>
      </c>
      <c r="C39" s="4" t="inlineStr">
        <is>
          <t>G</t>
        </is>
      </c>
      <c r="D39" s="4" t="n">
        <v>32</v>
      </c>
      <c r="E39" s="4" t="n">
        <v>51.75</v>
      </c>
      <c r="F39" s="4" t="n">
        <v>34</v>
      </c>
      <c r="G39" s="16" t="n">
        <v>161.72</v>
      </c>
      <c r="H39" s="5" t="n"/>
      <c r="I39" s="5">
        <f>IF(H39=0,"",F39-H39)</f>
        <v/>
      </c>
      <c r="J39" s="4" t="n"/>
      <c r="K39" s="5">
        <f>IF('A. Kokott'!J47="C. Trapp SV",'A. Kokott'!I47,0)+IF('S. Roßkopf'!J7="C. Trapp SV",'S. Roßkopf'!I7,0)</f>
        <v/>
      </c>
      <c r="L39" s="11">
        <f>IF($B$2="-","",IF($B$2="Pauschale",IFERROR(INDEX('Projekt-Budget-Übersicht'!$H:$H,MATCH(A39,'Projekt-Budget-Übersicht'!$A:$A,0)),""),IF($B$2="SV",IFERROR(INDEX('Projekt-Budget-Übersicht'!$H:$H,MATCH(A39,'Projekt-Budget-Übersicht'!$A:$A,0)),""),IF($B$2="CAD",IFERROR(INDEX('Projekt-Budget-Übersicht'!$I:$I,MATCH(A39,'Projekt-Budget-Übersicht'!$A:$A,0)),""),IF($B$2="ADM",IFERROR(INDEX('Projekt-Budget-Übersicht'!$J:$J,MATCH(A39,'Projekt-Budget-Übersicht'!$A:$A,0)),""),"")))))</f>
        <v/>
      </c>
      <c r="M39" s="11">
        <f>IF($B$2="-","",L39*(F39+I39+K39))</f>
        <v/>
      </c>
      <c r="N39" s="11">
        <f>IFERROR(INDEX('Projekt-Budget-Übersicht'!$E:$E,MATCH(A39,'Projekt-Budget-Übersicht'!$A:$A,0)),"")</f>
        <v/>
      </c>
      <c r="O39" s="11" t="inlineStr"/>
      <c r="P39" s="11" t="inlineStr"/>
    </row>
    <row r="40">
      <c r="A40" s="21" t="n"/>
      <c r="B40" s="4" t="inlineStr">
        <is>
          <t>5100-Beraten Planer ausführungsreife Lösungen….</t>
        </is>
      </c>
      <c r="C40" s="4" t="inlineStr">
        <is>
          <t>G</t>
        </is>
      </c>
      <c r="D40" s="4" t="n">
        <v>25.25</v>
      </c>
      <c r="E40" s="4" t="n">
        <v>104</v>
      </c>
      <c r="F40" s="4" t="n">
        <v>8</v>
      </c>
      <c r="G40" s="16" t="n">
        <v>411.88</v>
      </c>
      <c r="H40" s="5" t="n"/>
      <c r="I40" s="5">
        <f>IF(H40=0,"",F40-H40)</f>
        <v/>
      </c>
      <c r="J40" s="4" t="n"/>
      <c r="K40" s="5" t="n">
        <v>0</v>
      </c>
      <c r="L40" s="11">
        <f>IF($B$2="-","",IF($B$2="Pauschale",IFERROR(INDEX('Projekt-Budget-Übersicht'!$H:$H,MATCH(A40,'Projekt-Budget-Übersicht'!$A:$A,0)),""),IF($B$2="SV",IFERROR(INDEX('Projekt-Budget-Übersicht'!$H:$H,MATCH(A40,'Projekt-Budget-Übersicht'!$A:$A,0)),""),IF($B$2="CAD",IFERROR(INDEX('Projekt-Budget-Übersicht'!$I:$I,MATCH(A40,'Projekt-Budget-Übersicht'!$A:$A,0)),""),IF($B$2="ADM",IFERROR(INDEX('Projekt-Budget-Übersicht'!$J:$J,MATCH(A40,'Projekt-Budget-Übersicht'!$A:$A,0)),""),"")))))</f>
        <v/>
      </c>
      <c r="M40" s="11">
        <f>IF($B$2="-","",L40*(F40+I40+K40))</f>
        <v/>
      </c>
      <c r="N40" s="11">
        <f>IFERROR(INDEX('Projekt-Budget-Übersicht'!$E:$E,MATCH(A40,'Projekt-Budget-Übersicht'!$A:$A,0)),"")</f>
        <v/>
      </c>
      <c r="O40" s="11" t="inlineStr"/>
      <c r="P40" s="11" t="inlineStr"/>
    </row>
    <row r="41">
      <c r="A41" s="15" t="n"/>
      <c r="B41" s="4" t="inlineStr">
        <is>
          <t>9000-Mitwirken Abstimmung Behörden</t>
        </is>
      </c>
      <c r="C41" s="4" t="inlineStr">
        <is>
          <t>G</t>
        </is>
      </c>
      <c r="D41" s="4" t="n">
        <v>1.25</v>
      </c>
      <c r="E41" s="4" t="n">
        <v>3.5</v>
      </c>
      <c r="F41" s="4" t="n">
        <v>1.25</v>
      </c>
      <c r="G41" s="16" t="n">
        <v>280</v>
      </c>
      <c r="H41" s="5" t="n"/>
      <c r="I41" s="5">
        <f>IF(H41=0,"",F41-H41)</f>
        <v/>
      </c>
      <c r="J41" s="4" t="n"/>
      <c r="K41" s="5" t="n">
        <v>0</v>
      </c>
      <c r="L41" s="11">
        <f>IF($B$2="-","",IF($B$2="Pauschale",IFERROR(INDEX('Projekt-Budget-Übersicht'!$H:$H,MATCH(A41,'Projekt-Budget-Übersicht'!$A:$A,0)),""),IF($B$2="SV",IFERROR(INDEX('Projekt-Budget-Übersicht'!$H:$H,MATCH(A41,'Projekt-Budget-Übersicht'!$A:$A,0)),""),IF($B$2="CAD",IFERROR(INDEX('Projekt-Budget-Übersicht'!$I:$I,MATCH(A41,'Projekt-Budget-Übersicht'!$A:$A,0)),""),IF($B$2="ADM",IFERROR(INDEX('Projekt-Budget-Übersicht'!$J:$J,MATCH(A41,'Projekt-Budget-Übersicht'!$A:$A,0)),""),"")))))</f>
        <v/>
      </c>
      <c r="M41" s="11">
        <f>IF($B$2="-","",L41*(F41+I41+K41))</f>
        <v/>
      </c>
      <c r="N41" s="11">
        <f>IFERROR(INDEX('Projekt-Budget-Übersicht'!$E:$E,MATCH(A41,'Projekt-Budget-Übersicht'!$A:$A,0)),"")</f>
        <v/>
      </c>
      <c r="O41" s="11" t="inlineStr"/>
      <c r="P41" s="11" t="inlineStr"/>
    </row>
    <row r="42">
      <c r="A42" s="4" t="inlineStr">
        <is>
          <t>6564.01 ROB-MCR-Weilerbach-Züblin-TP1</t>
        </is>
      </c>
      <c r="B42" s="4" t="inlineStr">
        <is>
          <t>8000-Objektüberwachung</t>
        </is>
      </c>
      <c r="C42" s="4" t="inlineStr">
        <is>
          <t>G</t>
        </is>
      </c>
      <c r="D42" s="4" t="n">
        <v>3640</v>
      </c>
      <c r="E42" s="4" t="n">
        <v>200</v>
      </c>
      <c r="F42" s="4" t="n">
        <v>17.5</v>
      </c>
      <c r="G42" s="17" t="n">
        <v>5.49</v>
      </c>
      <c r="H42" s="5" t="n"/>
      <c r="I42" s="5">
        <f>IF(H42=0,"",F42-H42)</f>
        <v/>
      </c>
      <c r="J42" s="4" t="n"/>
      <c r="K42" s="5">
        <f>IF('S. Roßkopf'!J8="C. Trapp SV",'S. Roßkopf'!I8,0)</f>
        <v/>
      </c>
      <c r="L42" s="11">
        <f>IF($B$2="-","",IF($B$2="Pauschale",IFERROR(INDEX('Projekt-Budget-Übersicht'!$H:$H,MATCH(A42,'Projekt-Budget-Übersicht'!$A:$A,0)),""),IF($B$2="SV",IFERROR(INDEX('Projekt-Budget-Übersicht'!$H:$H,MATCH(A42,'Projekt-Budget-Übersicht'!$A:$A,0)),""),IF($B$2="CAD",IFERROR(INDEX('Projekt-Budget-Übersicht'!$I:$I,MATCH(A42,'Projekt-Budget-Übersicht'!$A:$A,0)),""),IF($B$2="ADM",IFERROR(INDEX('Projekt-Budget-Übersicht'!$J:$J,MATCH(A42,'Projekt-Budget-Übersicht'!$A:$A,0)),""),"")))))</f>
        <v/>
      </c>
      <c r="M42" s="11">
        <f>IF($B$2="-","",L42*(F42+I42+K42))</f>
        <v/>
      </c>
      <c r="N42" s="11">
        <f>IFERROR(INDEX('Projekt-Budget-Übersicht'!$E:$E,MATCH(A42,'Projekt-Budget-Übersicht'!$A:$A,0)),"")</f>
        <v/>
      </c>
      <c r="O42" s="11" t="inlineStr"/>
      <c r="P42" s="11" t="inlineStr"/>
    </row>
    <row r="43">
      <c r="A43" s="13" t="inlineStr">
        <is>
          <t>6643 BTB-FRP-FWP-Ersatzneubau-Krankenhaus-Hohenlohe-Öhringen-Vamed</t>
        </is>
      </c>
      <c r="B43" s="4" t="inlineStr">
        <is>
          <t>5100-Beraten Planer ausführungsreife Lösungen….</t>
        </is>
      </c>
      <c r="C43" s="4" t="inlineStr">
        <is>
          <t>G</t>
        </is>
      </c>
      <c r="D43" s="4" t="n">
        <v>144</v>
      </c>
      <c r="E43" s="4" t="n">
        <v>106.5</v>
      </c>
      <c r="F43" s="4" t="n">
        <v>1</v>
      </c>
      <c r="G43" s="17" t="n">
        <v>73.95999999999999</v>
      </c>
      <c r="H43" s="5" t="n"/>
      <c r="I43" s="5">
        <f>IF(H43=0,"",F43-H43)</f>
        <v/>
      </c>
      <c r="J43" s="4" t="n"/>
      <c r="K43" s="5">
        <f>IF('E. Bieler'!J52="C. Trapp SV",'E. Bieler'!I52,0)</f>
        <v/>
      </c>
      <c r="L43" s="11">
        <f>IF($B$2="-","",IF($B$2="Pauschale",IFERROR(INDEX('Projekt-Budget-Übersicht'!$H:$H,MATCH(A43,'Projekt-Budget-Übersicht'!$A:$A,0)),""),IF($B$2="SV",IFERROR(INDEX('Projekt-Budget-Übersicht'!$H:$H,MATCH(A43,'Projekt-Budget-Übersicht'!$A:$A,0)),""),IF($B$2="CAD",IFERROR(INDEX('Projekt-Budget-Übersicht'!$I:$I,MATCH(A43,'Projekt-Budget-Übersicht'!$A:$A,0)),""),IF($B$2="ADM",IFERROR(INDEX('Projekt-Budget-Übersicht'!$J:$J,MATCH(A43,'Projekt-Budget-Übersicht'!$A:$A,0)),""),"")))))</f>
        <v/>
      </c>
      <c r="M43" s="11">
        <f>IF($B$2="-","",L43*(F43+I43+K43))</f>
        <v/>
      </c>
      <c r="N43" s="11">
        <f>IFERROR(INDEX('Projekt-Budget-Übersicht'!$E:$E,MATCH(A43,'Projekt-Budget-Übersicht'!$A:$A,0)),"")</f>
        <v/>
      </c>
      <c r="O43" s="11" t="inlineStr"/>
      <c r="P43" s="11" t="inlineStr"/>
    </row>
    <row r="44">
      <c r="A44" s="21" t="n"/>
      <c r="B44" s="4" t="inlineStr">
        <is>
          <t>5106-Prüfen auf zusätzl. genehmigungspfl. Sachverhalte....</t>
        </is>
      </c>
      <c r="C44" s="4" t="inlineStr">
        <is>
          <t>G</t>
        </is>
      </c>
      <c r="D44" s="4" t="n">
        <v>16</v>
      </c>
      <c r="E44" s="4" t="n">
        <v>33.25</v>
      </c>
      <c r="F44" s="4" t="n">
        <v>5</v>
      </c>
      <c r="G44" s="16" t="n">
        <v>207.81</v>
      </c>
      <c r="H44" s="5" t="n"/>
      <c r="I44" s="5">
        <f>IF(H44=0,"",F44-H44)</f>
        <v/>
      </c>
      <c r="J44" s="4" t="n"/>
      <c r="K44" s="5" t="n">
        <v>0</v>
      </c>
      <c r="L44" s="11">
        <f>IF($B$2="-","",IF($B$2="Pauschale",IFERROR(INDEX('Projekt-Budget-Übersicht'!$H:$H,MATCH(A44,'Projekt-Budget-Übersicht'!$A:$A,0)),""),IF($B$2="SV",IFERROR(INDEX('Projekt-Budget-Übersicht'!$H:$H,MATCH(A44,'Projekt-Budget-Übersicht'!$A:$A,0)),""),IF($B$2="CAD",IFERROR(INDEX('Projekt-Budget-Übersicht'!$I:$I,MATCH(A44,'Projekt-Budget-Übersicht'!$A:$A,0)),""),IF($B$2="ADM",IFERROR(INDEX('Projekt-Budget-Übersicht'!$J:$J,MATCH(A44,'Projekt-Budget-Übersicht'!$A:$A,0)),""),"")))))</f>
        <v/>
      </c>
      <c r="M44" s="11">
        <f>IF($B$2="-","",L44*(F44+I44+K44))</f>
        <v/>
      </c>
      <c r="N44" s="11">
        <f>IFERROR(INDEX('Projekt-Budget-Übersicht'!$E:$E,MATCH(A44,'Projekt-Budget-Übersicht'!$A:$A,0)),"")</f>
        <v/>
      </c>
      <c r="O44" s="11" t="inlineStr"/>
      <c r="P44" s="11" t="inlineStr"/>
    </row>
    <row r="45">
      <c r="A45" s="21" t="n"/>
      <c r="B45" s="4" t="inlineStr">
        <is>
          <t>8101-Kontrolle Verwendbarkeitsnachweise/Bescheinigungen….</t>
        </is>
      </c>
      <c r="C45" s="4" t="inlineStr">
        <is>
          <t>G</t>
        </is>
      </c>
      <c r="D45" s="4" t="n">
        <v>80</v>
      </c>
      <c r="E45" s="4" t="n">
        <v>19.75</v>
      </c>
      <c r="F45" s="4" t="n">
        <v>8.75</v>
      </c>
      <c r="G45" s="17" t="n">
        <v>24.69</v>
      </c>
      <c r="H45" s="5" t="n"/>
      <c r="I45" s="5">
        <f>IF(H45=0,"",F45-H45)</f>
        <v/>
      </c>
      <c r="J45" s="4" t="n"/>
      <c r="K45" s="5">
        <f>IF('U. Sutter ADM'!J39="C. Trapp SV",'U. Sutter ADM'!I39,0)</f>
        <v/>
      </c>
      <c r="L45" s="11">
        <f>IF($B$2="-","",IF($B$2="Pauschale",IFERROR(INDEX('Projekt-Budget-Übersicht'!$H:$H,MATCH(A45,'Projekt-Budget-Übersicht'!$A:$A,0)),""),IF($B$2="SV",IFERROR(INDEX('Projekt-Budget-Übersicht'!$H:$H,MATCH(A45,'Projekt-Budget-Übersicht'!$A:$A,0)),""),IF($B$2="CAD",IFERROR(INDEX('Projekt-Budget-Übersicht'!$I:$I,MATCH(A45,'Projekt-Budget-Übersicht'!$A:$A,0)),""),IF($B$2="ADM",IFERROR(INDEX('Projekt-Budget-Übersicht'!$J:$J,MATCH(A45,'Projekt-Budget-Übersicht'!$A:$A,0)),""),"")))))</f>
        <v/>
      </c>
      <c r="M45" s="11">
        <f>IF($B$2="-","",L45*(F45+I45+K45))</f>
        <v/>
      </c>
      <c r="N45" s="11">
        <f>IFERROR(INDEX('Projekt-Budget-Übersicht'!$E:$E,MATCH(A45,'Projekt-Budget-Übersicht'!$A:$A,0)),"")</f>
        <v/>
      </c>
      <c r="O45" s="11" t="inlineStr"/>
      <c r="P45" s="11" t="inlineStr"/>
    </row>
    <row r="46">
      <c r="A46" s="15" t="n"/>
      <c r="B46" s="4" t="inlineStr">
        <is>
          <t>8200-Prüfen der Ausführung - system. stichprobenart. Kontrolle (Stufe 2)….</t>
        </is>
      </c>
      <c r="C46" s="4" t="inlineStr">
        <is>
          <t>G</t>
        </is>
      </c>
      <c r="D46" s="4" t="n">
        <v>540</v>
      </c>
      <c r="E46" s="4" t="n">
        <v>448</v>
      </c>
      <c r="F46" s="4" t="n">
        <v>8</v>
      </c>
      <c r="G46" s="17" t="n">
        <v>82.95999999999999</v>
      </c>
      <c r="H46" s="5" t="n"/>
      <c r="I46" s="5">
        <f>IF(H46=0,"",F46-H46)</f>
        <v/>
      </c>
      <c r="J46" s="4" t="n"/>
      <c r="K46" s="5">
        <f>IF('S. Roßkopf'!J9="C. Trapp SV",'S. Roßkopf'!I9,0)+IF('U. Sutter ADM'!J40="C. Trapp SV",'U. Sutter ADM'!I40,0)</f>
        <v/>
      </c>
      <c r="L46" s="11">
        <f>IF($B$2="-","",IF($B$2="Pauschale",IFERROR(INDEX('Projekt-Budget-Übersicht'!$H:$H,MATCH(A46,'Projekt-Budget-Übersicht'!$A:$A,0)),""),IF($B$2="SV",IFERROR(INDEX('Projekt-Budget-Übersicht'!$H:$H,MATCH(A46,'Projekt-Budget-Übersicht'!$A:$A,0)),""),IF($B$2="CAD",IFERROR(INDEX('Projekt-Budget-Übersicht'!$I:$I,MATCH(A46,'Projekt-Budget-Übersicht'!$A:$A,0)),""),IF($B$2="ADM",IFERROR(INDEX('Projekt-Budget-Übersicht'!$J:$J,MATCH(A46,'Projekt-Budget-Übersicht'!$A:$A,0)),""),"")))))</f>
        <v/>
      </c>
      <c r="M46" s="11">
        <f>IF($B$2="-","",L46*(F46+I46+K46))</f>
        <v/>
      </c>
      <c r="N46" s="11">
        <f>IFERROR(INDEX('Projekt-Budget-Übersicht'!$E:$E,MATCH(A46,'Projekt-Budget-Übersicht'!$A:$A,0)),"")</f>
        <v/>
      </c>
      <c r="O46" s="11" t="inlineStr"/>
      <c r="P46" s="11" t="inlineStr"/>
    </row>
    <row r="47">
      <c r="A47" s="4" t="inlineStr">
        <is>
          <t>7247 Hoepfner-BTB-NL-Grünwinkel</t>
        </is>
      </c>
      <c r="B47" s="4" t="inlineStr">
        <is>
          <t>(aN) Pos. 1 Brandschutztechnische Beratung und SOLL-IST-Abgleich (SV)</t>
        </is>
      </c>
      <c r="C47" s="4" t="inlineStr">
        <is>
          <t>G</t>
        </is>
      </c>
      <c r="D47" s="4" t="n">
        <v>100</v>
      </c>
      <c r="E47" s="4" t="n">
        <v>19.5</v>
      </c>
      <c r="F47" s="4" t="n">
        <v>6.5</v>
      </c>
      <c r="G47" s="17" t="n">
        <v>19.5</v>
      </c>
      <c r="H47" s="5" t="n"/>
      <c r="I47" s="5">
        <f>IF(H47=0,"",F47-H47)</f>
        <v/>
      </c>
      <c r="J47" s="4" t="n"/>
      <c r="K47" s="5">
        <f>IF('S. Schüler'!J72="C. Trapp SV",'S. Schüler'!I72,0)</f>
        <v/>
      </c>
      <c r="L47" s="11">
        <f>IF($B$2="-","",IF($B$2="Pauschale",IFERROR(INDEX('Projekt-Budget-Übersicht'!$H:$H,MATCH(A47,'Projekt-Budget-Übersicht'!$A:$A,0)),""),IF($B$2="SV",IFERROR(INDEX('Projekt-Budget-Übersicht'!$H:$H,MATCH(A47,'Projekt-Budget-Übersicht'!$A:$A,0)),""),IF($B$2="CAD",IFERROR(INDEX('Projekt-Budget-Übersicht'!$I:$I,MATCH(A47,'Projekt-Budget-Übersicht'!$A:$A,0)),""),IF($B$2="ADM",IFERROR(INDEX('Projekt-Budget-Übersicht'!$J:$J,MATCH(A47,'Projekt-Budget-Übersicht'!$A:$A,0)),""),"")))))</f>
        <v/>
      </c>
      <c r="M47" s="11">
        <f>IF($B$2="-","",L47*(F47+I47+K47))</f>
        <v/>
      </c>
      <c r="N47" s="11">
        <f>IFERROR(INDEX('Projekt-Budget-Übersicht'!$E:$E,MATCH(A47,'Projekt-Budget-Übersicht'!$A:$A,0)),"")</f>
        <v/>
      </c>
      <c r="O47" s="11" t="inlineStr"/>
      <c r="P47" s="11" t="inlineStr"/>
    </row>
    <row r="48">
      <c r="A48" s="3" t="inlineStr"/>
      <c r="B48" s="3" t="inlineStr">
        <is>
          <t>Summe</t>
        </is>
      </c>
      <c r="C48" s="3" t="inlineStr"/>
      <c r="D48" s="3" t="inlineStr"/>
      <c r="E48" s="3" t="inlineStr"/>
      <c r="F48" s="6" t="n">
        <v>149</v>
      </c>
      <c r="G48" s="3" t="inlineStr"/>
      <c r="H48" s="3" t="inlineStr"/>
      <c r="I48" s="3" t="inlineStr"/>
      <c r="J48" s="3" t="inlineStr"/>
      <c r="K48" s="3" t="inlineStr"/>
      <c r="L48" s="3" t="n"/>
      <c r="M48" s="3" t="n"/>
      <c r="N48" s="3" t="n"/>
      <c r="O48" s="3" t="n"/>
      <c r="P48" s="3" t="n"/>
    </row>
    <row r="49">
      <c r="A49" s="3" t="inlineStr"/>
      <c r="B49" s="3" t="inlineStr">
        <is>
          <t>Bonusberechtigte Stunden</t>
        </is>
      </c>
      <c r="C49" s="3" t="inlineStr"/>
      <c r="D49" s="3" t="inlineStr"/>
      <c r="E49" s="3" t="inlineStr"/>
      <c r="F49" s="6">
        <f>G49+H49</f>
        <v/>
      </c>
      <c r="G49" s="6" t="n">
        <v>90.25</v>
      </c>
      <c r="H49" s="6">
        <f>SUM(H33,H34,H35,H36,H37,H38,H39,H40,H41,H42,H43,H44,H45,H46,H47)</f>
        <v/>
      </c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inlineStr"/>
    </row>
    <row r="50">
      <c r="A50" s="3" t="inlineStr"/>
      <c r="B50" s="3" t="inlineStr">
        <is>
          <t>Bonusberechtigte Stunden Sonderprojekt</t>
        </is>
      </c>
      <c r="C50" s="3" t="inlineStr"/>
      <c r="D50" s="3" t="inlineStr"/>
      <c r="E50" s="3" t="inlineStr"/>
      <c r="F50" s="6">
        <f>G50+H50</f>
        <v/>
      </c>
      <c r="G50" s="6" t="n">
        <v>3.5</v>
      </c>
      <c r="H50" s="6">
        <f>SUM(H32)</f>
        <v/>
      </c>
      <c r="I50" s="3" t="inlineStr"/>
      <c r="J50" s="3" t="inlineStr"/>
      <c r="K50" s="3" t="inlineStr"/>
      <c r="L50" s="3" t="inlineStr"/>
      <c r="M50" s="3" t="inlineStr"/>
      <c r="N50" s="3" t="inlineStr"/>
      <c r="O50" s="3" t="inlineStr"/>
      <c r="P50" s="3" t="inlineStr"/>
    </row>
    <row r="51">
      <c r="A51" s="3" t="inlineStr"/>
      <c r="B51" s="3" t="inlineStr">
        <is>
          <t>Zugeordnete Stunden von anderen MA</t>
        </is>
      </c>
      <c r="C51" s="3" t="inlineStr"/>
      <c r="D51" s="3" t="inlineStr"/>
      <c r="E51" s="3" t="inlineStr"/>
      <c r="F51" s="6">
        <f>SUM(K32:K47)</f>
        <v/>
      </c>
      <c r="G51" s="3" t="inlineStr"/>
      <c r="H51" s="3" t="inlineStr"/>
      <c r="I51" s="3" t="inlineStr"/>
      <c r="J51" s="3" t="inlineStr"/>
      <c r="K51" s="3" t="inlineStr"/>
      <c r="L51" s="3" t="inlineStr"/>
      <c r="M51" s="3" t="inlineStr"/>
      <c r="N51" s="3" t="inlineStr"/>
      <c r="O51" s="3" t="inlineStr"/>
      <c r="P51" s="3" t="inlineStr"/>
    </row>
    <row r="52">
      <c r="A52" s="18" t="inlineStr"/>
      <c r="B52" s="18" t="inlineStr">
        <is>
          <t>Gesamt Bonus Stunden</t>
        </is>
      </c>
      <c r="C52" s="18" t="inlineStr"/>
      <c r="D52" s="18" t="inlineStr"/>
      <c r="E52" s="18" t="inlineStr"/>
      <c r="F52" s="19">
        <f>F49+F50+F51</f>
        <v/>
      </c>
      <c r="G52" s="18" t="inlineStr"/>
      <c r="H52" s="18" t="inlineStr"/>
      <c r="I52" s="18" t="inlineStr"/>
      <c r="J52" s="18" t="inlineStr"/>
      <c r="K52" s="18" t="inlineStr"/>
      <c r="L52" s="18" t="n"/>
      <c r="M52" s="18" t="n"/>
      <c r="N52" s="18" t="n"/>
      <c r="O52" s="18" t="n"/>
      <c r="P52" s="18" t="n"/>
    </row>
    <row r="54">
      <c r="A54" s="2" t="inlineStr">
        <is>
          <t>--- September 2025 ---</t>
        </is>
      </c>
    </row>
    <row r="55">
      <c r="A55" s="3" t="inlineStr">
        <is>
          <t>Projekt</t>
        </is>
      </c>
      <c r="B55" s="3" t="inlineStr">
        <is>
          <t>Meilenstein</t>
        </is>
      </c>
      <c r="C55" s="3" t="inlineStr">
        <is>
          <t>Typ</t>
        </is>
      </c>
      <c r="D55" s="3" t="inlineStr">
        <is>
          <t>Soll (h)</t>
        </is>
      </c>
      <c r="E55" s="3" t="inlineStr">
        <is>
          <t>Ist (h)</t>
        </is>
      </c>
      <c r="F55" s="3" t="inlineStr">
        <is>
          <t>September 2025 (h)</t>
        </is>
      </c>
      <c r="G55" s="3" t="inlineStr">
        <is>
          <t>%</t>
        </is>
      </c>
      <c r="H55" s="3" t="inlineStr">
        <is>
          <t>Bonus-Anpassung (h)</t>
        </is>
      </c>
      <c r="I55" s="3" t="inlineStr">
        <is>
          <t>Differenz (h)</t>
        </is>
      </c>
      <c r="J55" s="3" t="inlineStr">
        <is>
          <t>Zuordnen an</t>
        </is>
      </c>
      <c r="K55" s="3" t="inlineStr">
        <is>
          <t>Von anderen (h)</t>
        </is>
      </c>
      <c r="L55" s="3" t="inlineStr">
        <is>
          <t>Stundensatz (€/h)</t>
        </is>
      </c>
      <c r="M55" s="3" t="inlineStr">
        <is>
          <t>Umsatz (€)</t>
        </is>
      </c>
      <c r="N55" s="3" t="inlineStr">
        <is>
          <t>Budget Gesamt (€)</t>
        </is>
      </c>
      <c r="O55" s="3" t="inlineStr">
        <is>
          <t>Budget Ist (€)</t>
        </is>
      </c>
      <c r="P55" s="3" t="inlineStr">
        <is>
          <t>Budget Erwirtschaftet (€)</t>
        </is>
      </c>
    </row>
    <row r="56">
      <c r="A56" s="13" t="inlineStr">
        <is>
          <t>0000 Sonderprojekt für Bonus</t>
        </is>
      </c>
      <c r="B56" s="4" t="inlineStr">
        <is>
          <t>Angebote-Ausschreibungen-Kalkulationen (max. 8h/Monat pro MA)</t>
        </is>
      </c>
      <c r="C56" s="4" t="inlineStr">
        <is>
          <t>M</t>
        </is>
      </c>
      <c r="D56" s="4" t="n">
        <v>8</v>
      </c>
      <c r="E56" s="4" t="n">
        <v>5</v>
      </c>
      <c r="F56" s="4" t="n">
        <v>5</v>
      </c>
      <c r="G56" s="17" t="n">
        <v>62.5</v>
      </c>
      <c r="H56" s="5" t="n"/>
      <c r="I56" s="5">
        <f>IF(H56=0,"",F56-H56)</f>
        <v/>
      </c>
      <c r="J56" s="4" t="n"/>
      <c r="K56" s="5">
        <f>IF('A. Kokott'!J85="C. Trapp SV",'A. Kokott'!I85,0)+IF('D. Brucker'!J33="C. Trapp SV",'D. Brucker'!I33,0)+IF('J. Dorn'!J83="C. Trapp SV",'J. Dorn'!I83,0)+IF('O. Haag BS-CAD'!J92="C. Trapp SV",'O. Haag BS-CAD'!I92,0)+IF('S. Schüler'!J93="C. Trapp SV",'S. Schüler'!I93,0)+IF('U. Sutter ADM'!J51="C. Trapp SV",'U. Sutter ADM'!I51,0)</f>
        <v/>
      </c>
      <c r="L56" s="11">
        <f>IF($B$2="-","",IF($B$2="Pauschale",IFERROR(INDEX('Projekt-Budget-Übersicht'!$H:$H,MATCH(A56,'Projekt-Budget-Übersicht'!$A:$A,0)),""),IF($B$2="SV",IFERROR(INDEX('Projekt-Budget-Übersicht'!$H:$H,MATCH(A56,'Projekt-Budget-Übersicht'!$A:$A,0)),""),IF($B$2="CAD",IFERROR(INDEX('Projekt-Budget-Übersicht'!$I:$I,MATCH(A56,'Projekt-Budget-Übersicht'!$A:$A,0)),""),IF($B$2="ADM",IFERROR(INDEX('Projekt-Budget-Übersicht'!$J:$J,MATCH(A56,'Projekt-Budget-Übersicht'!$A:$A,0)),""),"")))))</f>
        <v/>
      </c>
      <c r="M56" s="11">
        <f>IF($B$2="-","",L56*(F56+I56+K56))</f>
        <v/>
      </c>
      <c r="N56" s="11">
        <f>IFERROR(INDEX('Projekt-Budget-Übersicht'!$E:$E,MATCH(A56,'Projekt-Budget-Übersicht'!$A:$A,0)),"")</f>
        <v/>
      </c>
      <c r="O56" s="11" t="inlineStr"/>
      <c r="P56" s="11" t="inlineStr"/>
    </row>
    <row r="57">
      <c r="A57" s="21" t="n"/>
      <c r="B57" s="4" t="inlineStr">
        <is>
          <t>Einarbeitung neuer Mitarbeiter (max. 8h/Monat pro MA)</t>
        </is>
      </c>
      <c r="C57" s="4" t="inlineStr">
        <is>
          <t>M</t>
        </is>
      </c>
      <c r="D57" s="4" t="n">
        <v>8</v>
      </c>
      <c r="E57" s="4" t="n">
        <v>4</v>
      </c>
      <c r="F57" s="4" t="n">
        <v>4</v>
      </c>
      <c r="G57" s="17" t="n">
        <v>50</v>
      </c>
      <c r="H57" s="5" t="n"/>
      <c r="I57" s="5">
        <f>IF(H57=0,"",F57-H57)</f>
        <v/>
      </c>
      <c r="J57" s="4" t="n"/>
      <c r="K57" s="5">
        <f>IF('A. Kokott'!J86="C. Trapp SV",'A. Kokott'!I86,0)+IF('J. Dorn'!J84="C. Trapp SV",'J. Dorn'!I84,0)+IF('M. Bandlofsky'!J45="C. Trapp SV",'M. Bandlofsky'!I45,0)+IF('O. Haag BS-CAD'!J93="C. Trapp SV",'O. Haag BS-CAD'!I93,0)+IF('R. Wagen CAD'!J57="C. Trapp SV",'R. Wagen CAD'!I57,0)+IF('T. Trautmann'!J72="C. Trapp SV",'T. Trautmann'!I72,0)+IF('U. Sutter ADM'!J52="C. Trapp SV",'U. Sutter ADM'!I52,0)</f>
        <v/>
      </c>
      <c r="L57" s="11">
        <f>IF($B$2="-","",IF($B$2="Pauschale",IFERROR(INDEX('Projekt-Budget-Übersicht'!$H:$H,MATCH(A57,'Projekt-Budget-Übersicht'!$A:$A,0)),""),IF($B$2="SV",IFERROR(INDEX('Projekt-Budget-Übersicht'!$H:$H,MATCH(A57,'Projekt-Budget-Übersicht'!$A:$A,0)),""),IF($B$2="CAD",IFERROR(INDEX('Projekt-Budget-Übersicht'!$I:$I,MATCH(A57,'Projekt-Budget-Übersicht'!$A:$A,0)),""),IF($B$2="ADM",IFERROR(INDEX('Projekt-Budget-Übersicht'!$J:$J,MATCH(A57,'Projekt-Budget-Übersicht'!$A:$A,0)),""),"")))))</f>
        <v/>
      </c>
      <c r="M57" s="11">
        <f>IF($B$2="-","",L57*(F57+I57+K57))</f>
        <v/>
      </c>
      <c r="N57" s="11">
        <f>IFERROR(INDEX('Projekt-Budget-Übersicht'!$E:$E,MATCH(A57,'Projekt-Budget-Übersicht'!$A:$A,0)),"")</f>
        <v/>
      </c>
      <c r="O57" s="11" t="inlineStr"/>
      <c r="P57" s="11" t="inlineStr"/>
    </row>
    <row r="58">
      <c r="A58" s="21" t="n"/>
      <c r="B58" s="4" t="inlineStr">
        <is>
          <t>Erstellung Vorlagen (übergreifend) (max. 8h/Monat pro MA)</t>
        </is>
      </c>
      <c r="C58" s="4" t="inlineStr">
        <is>
          <t>M</t>
        </is>
      </c>
      <c r="D58" s="4" t="n">
        <v>8</v>
      </c>
      <c r="E58" s="4" t="n">
        <v>21.5</v>
      </c>
      <c r="F58" s="4" t="n">
        <v>21.5</v>
      </c>
      <c r="G58" s="16" t="n">
        <v>268.75</v>
      </c>
      <c r="H58" s="5" t="n"/>
      <c r="I58" s="5">
        <f>IF(H58=0,"",F58-H58)</f>
        <v/>
      </c>
      <c r="J58" s="4" t="n"/>
      <c r="K58" s="5">
        <f>IF('J. Dorn'!J85="C. Trapp SV",'J. Dorn'!I85,0)+IF('O. Haag BS-CAD'!J94="C. Trapp SV",'O. Haag BS-CAD'!I94,0)+IF('P. Bergner'!J42="C. Trapp SV",'P. Bergner'!I42,0)+IF('T. Trautmann'!J73="C. Trapp SV",'T. Trautmann'!I73,0)</f>
        <v/>
      </c>
      <c r="L58" s="11">
        <f>IF($B$2="-","",IF($B$2="Pauschale",IFERROR(INDEX('Projekt-Budget-Übersicht'!$H:$H,MATCH(A58,'Projekt-Budget-Übersicht'!$A:$A,0)),""),IF($B$2="SV",IFERROR(INDEX('Projekt-Budget-Übersicht'!$H:$H,MATCH(A58,'Projekt-Budget-Übersicht'!$A:$A,0)),""),IF($B$2="CAD",IFERROR(INDEX('Projekt-Budget-Übersicht'!$I:$I,MATCH(A58,'Projekt-Budget-Übersicht'!$A:$A,0)),""),IF($B$2="ADM",IFERROR(INDEX('Projekt-Budget-Übersicht'!$J:$J,MATCH(A58,'Projekt-Budget-Übersicht'!$A:$A,0)),""),"")))))</f>
        <v/>
      </c>
      <c r="M58" s="11">
        <f>IF($B$2="-","",L58*(F58+I58+K58))</f>
        <v/>
      </c>
      <c r="N58" s="11">
        <f>IFERROR(INDEX('Projekt-Budget-Übersicht'!$E:$E,MATCH(A58,'Projekt-Budget-Übersicht'!$A:$A,0)),"")</f>
        <v/>
      </c>
      <c r="O58" s="11" t="inlineStr"/>
      <c r="P58" s="11" t="inlineStr"/>
    </row>
    <row r="59">
      <c r="A59" s="15" t="n"/>
      <c r="B59" s="4" t="inlineStr">
        <is>
          <t>Vorträge, Repräsentation (übergreifend)  (max. 4h/Quartal pro MA)</t>
        </is>
      </c>
      <c r="C59" s="4" t="inlineStr">
        <is>
          <t>Q</t>
        </is>
      </c>
      <c r="D59" s="4" t="n">
        <v>4</v>
      </c>
      <c r="E59" s="4" t="n">
        <v>3.5</v>
      </c>
      <c r="F59" s="4" t="n">
        <v>3.5</v>
      </c>
      <c r="G59" s="17" t="n">
        <v>87.5</v>
      </c>
      <c r="H59" s="5" t="n"/>
      <c r="I59" s="5">
        <f>IF(H59=0,"",F59-H59)</f>
        <v/>
      </c>
      <c r="J59" s="4" t="n"/>
      <c r="K59" s="5" t="n">
        <v>0</v>
      </c>
      <c r="L59" s="11">
        <f>IF($B$2="-","",IF($B$2="Pauschale",IFERROR(INDEX('Projekt-Budget-Übersicht'!$H:$H,MATCH(A59,'Projekt-Budget-Übersicht'!$A:$A,0)),""),IF($B$2="SV",IFERROR(INDEX('Projekt-Budget-Übersicht'!$H:$H,MATCH(A59,'Projekt-Budget-Übersicht'!$A:$A,0)),""),IF($B$2="CAD",IFERROR(INDEX('Projekt-Budget-Übersicht'!$I:$I,MATCH(A59,'Projekt-Budget-Übersicht'!$A:$A,0)),""),IF($B$2="ADM",IFERROR(INDEX('Projekt-Budget-Übersicht'!$J:$J,MATCH(A59,'Projekt-Budget-Übersicht'!$A:$A,0)),""),"")))))</f>
        <v/>
      </c>
      <c r="M59" s="11">
        <f>IF($B$2="-","",L59*(F59+I59+K59))</f>
        <v/>
      </c>
      <c r="N59" s="11">
        <f>IFERROR(INDEX('Projekt-Budget-Übersicht'!$E:$E,MATCH(A59,'Projekt-Budget-Übersicht'!$A:$A,0)),"")</f>
        <v/>
      </c>
      <c r="O59" s="11" t="inlineStr"/>
      <c r="P59" s="11" t="inlineStr"/>
    </row>
    <row r="60">
      <c r="A60" s="4" t="inlineStr">
        <is>
          <t>4436.04 BTB Krankenhaus-Bergstraße-Viernheimer-Straße-2-Heppenheim</t>
        </is>
      </c>
      <c r="B60" s="4" t="inlineStr">
        <is>
          <t>5100-Beraten Planer ausführungsreife Lösungen….</t>
        </is>
      </c>
      <c r="C60" s="4" t="inlineStr">
        <is>
          <t>G</t>
        </is>
      </c>
      <c r="D60" s="4" t="n">
        <v>52</v>
      </c>
      <c r="E60" s="4" t="n">
        <v>201.5</v>
      </c>
      <c r="F60" s="4" t="n">
        <v>7.5</v>
      </c>
      <c r="G60" s="16" t="n">
        <v>387.5</v>
      </c>
      <c r="H60" s="5" t="n"/>
      <c r="I60" s="5">
        <f>IF(H60=0,"",F60-H60)</f>
        <v/>
      </c>
      <c r="J60" s="4" t="n"/>
      <c r="K60" s="5">
        <f>IF('S. Schüler'!J94="C. Trapp SV",'S. Schüler'!I94,0)</f>
        <v/>
      </c>
      <c r="L60" s="11">
        <f>IF($B$2="-","",IF($B$2="Pauschale",IFERROR(INDEX('Projekt-Budget-Übersicht'!$H:$H,MATCH(A60,'Projekt-Budget-Übersicht'!$A:$A,0)),""),IF($B$2="SV",IFERROR(INDEX('Projekt-Budget-Übersicht'!$H:$H,MATCH(A60,'Projekt-Budget-Übersicht'!$A:$A,0)),""),IF($B$2="CAD",IFERROR(INDEX('Projekt-Budget-Übersicht'!$I:$I,MATCH(A60,'Projekt-Budget-Übersicht'!$A:$A,0)),""),IF($B$2="ADM",IFERROR(INDEX('Projekt-Budget-Übersicht'!$J:$J,MATCH(A60,'Projekt-Budget-Übersicht'!$A:$A,0)),""),"")))))</f>
        <v/>
      </c>
      <c r="M60" s="11">
        <f>IF($B$2="-","",L60*(F60+I60+K60))</f>
        <v/>
      </c>
      <c r="N60" s="11">
        <f>IFERROR(INDEX('Projekt-Budget-Übersicht'!$E:$E,MATCH(A60,'Projekt-Budget-Übersicht'!$A:$A,0)),"")</f>
        <v/>
      </c>
      <c r="O60" s="11" t="inlineStr"/>
      <c r="P60" s="11" t="inlineStr"/>
    </row>
    <row r="61">
      <c r="A61" s="4" t="inlineStr">
        <is>
          <t>5328 Flugfeldklinikum-Böblingen</t>
        </is>
      </c>
      <c r="B61" s="4" t="inlineStr">
        <is>
          <t>8200-Prüfen der Ausführung - system. stichprobenart. Kontrolle (Stufe 2)….</t>
        </is>
      </c>
      <c r="C61" s="4" t="inlineStr">
        <is>
          <t>G</t>
        </is>
      </c>
      <c r="D61" s="4" t="n">
        <v>562</v>
      </c>
      <c r="E61" s="4" t="n">
        <v>285.25</v>
      </c>
      <c r="F61" s="4" t="n">
        <v>26.5</v>
      </c>
      <c r="G61" s="17" t="n">
        <v>50.76</v>
      </c>
      <c r="H61" s="5" t="n"/>
      <c r="I61" s="5">
        <f>IF(H61=0,"",F61-H61)</f>
        <v/>
      </c>
      <c r="J61" s="4" t="n"/>
      <c r="K61" s="5">
        <f>IF('S. Roßkopf'!J18="C. Trapp SV",'S. Roßkopf'!I18,0)</f>
        <v/>
      </c>
      <c r="L61" s="11">
        <f>IF($B$2="-","",IF($B$2="Pauschale",IFERROR(INDEX('Projekt-Budget-Übersicht'!$H:$H,MATCH(A61,'Projekt-Budget-Übersicht'!$A:$A,0)),""),IF($B$2="SV",IFERROR(INDEX('Projekt-Budget-Übersicht'!$H:$H,MATCH(A61,'Projekt-Budget-Übersicht'!$A:$A,0)),""),IF($B$2="CAD",IFERROR(INDEX('Projekt-Budget-Übersicht'!$I:$I,MATCH(A61,'Projekt-Budget-Übersicht'!$A:$A,0)),""),IF($B$2="ADM",IFERROR(INDEX('Projekt-Budget-Übersicht'!$J:$J,MATCH(A61,'Projekt-Budget-Übersicht'!$A:$A,0)),""),"")))))</f>
        <v/>
      </c>
      <c r="M61" s="11">
        <f>IF($B$2="-","",L61*(F61+I61+K61))</f>
        <v/>
      </c>
      <c r="N61" s="11">
        <f>IFERROR(INDEX('Projekt-Budget-Übersicht'!$E:$E,MATCH(A61,'Projekt-Budget-Übersicht'!$A:$A,0)),"")</f>
        <v/>
      </c>
      <c r="O61" s="11" t="inlineStr"/>
      <c r="P61" s="11" t="inlineStr"/>
    </row>
    <row r="62">
      <c r="A62" s="4" t="inlineStr">
        <is>
          <t>5607.05 BAB-NB-J4-Zentralinstitut-für-seelische-Gesundheit-Mannheim</t>
        </is>
      </c>
      <c r="B62" s="4" t="inlineStr">
        <is>
          <t>(aN) 8200-Prüfen der Ausführung - system. stichprobenart. Kontrolle (Stufe 2)….</t>
        </is>
      </c>
      <c r="C62" s="4" t="inlineStr">
        <is>
          <t>G</t>
        </is>
      </c>
      <c r="D62" s="4" t="n">
        <v>240</v>
      </c>
      <c r="E62" s="4" t="n">
        <v>188.5</v>
      </c>
      <c r="F62" s="4" t="n">
        <v>5</v>
      </c>
      <c r="G62" s="17" t="n">
        <v>78.54000000000001</v>
      </c>
      <c r="H62" s="5" t="n"/>
      <c r="I62" s="5">
        <f>IF(H62=0,"",F62-H62)</f>
        <v/>
      </c>
      <c r="J62" s="4" t="n"/>
      <c r="K62" s="5">
        <f>IF('S. Roßkopf'!J19="C. Trapp SV",'S. Roßkopf'!I19,0)+IF('U. Sutter ADM'!J56="C. Trapp SV",'U. Sutter ADM'!I56,0)</f>
        <v/>
      </c>
      <c r="L62" s="11">
        <f>IF($B$2="-","",IF($B$2="Pauschale",IFERROR(INDEX('Projekt-Budget-Übersicht'!$H:$H,MATCH(A62,'Projekt-Budget-Übersicht'!$A:$A,0)),""),IF($B$2="SV",IFERROR(INDEX('Projekt-Budget-Übersicht'!$H:$H,MATCH(A62,'Projekt-Budget-Übersicht'!$A:$A,0)),""),IF($B$2="CAD",IFERROR(INDEX('Projekt-Budget-Übersicht'!$I:$I,MATCH(A62,'Projekt-Budget-Übersicht'!$A:$A,0)),""),IF($B$2="ADM",IFERROR(INDEX('Projekt-Budget-Übersicht'!$J:$J,MATCH(A62,'Projekt-Budget-Übersicht'!$A:$A,0)),""),"")))))</f>
        <v/>
      </c>
      <c r="M62" s="11">
        <f>IF($B$2="-","",L62*(F62+I62+K62))</f>
        <v/>
      </c>
      <c r="N62" s="11">
        <f>IFERROR(INDEX('Projekt-Budget-Übersicht'!$E:$E,MATCH(A62,'Projekt-Budget-Übersicht'!$A:$A,0)),"")</f>
        <v/>
      </c>
      <c r="O62" s="11" t="inlineStr"/>
      <c r="P62" s="11" t="inlineStr"/>
    </row>
    <row r="63">
      <c r="A63" s="4" t="inlineStr">
        <is>
          <t>6564.01 ROB-MCR-Weilerbach-Züblin-TP1</t>
        </is>
      </c>
      <c r="B63" s="4" t="inlineStr">
        <is>
          <t>8000-Objektüberwachung</t>
        </is>
      </c>
      <c r="C63" s="4" t="inlineStr">
        <is>
          <t>G</t>
        </is>
      </c>
      <c r="D63" s="4" t="n">
        <v>3640</v>
      </c>
      <c r="E63" s="4" t="n">
        <v>230</v>
      </c>
      <c r="F63" s="4" t="n">
        <v>25</v>
      </c>
      <c r="G63" s="17" t="n">
        <v>6.32</v>
      </c>
      <c r="H63" s="5" t="n"/>
      <c r="I63" s="5">
        <f>IF(H63=0,"",F63-H63)</f>
        <v/>
      </c>
      <c r="J63" s="4" t="n"/>
      <c r="K63" s="5">
        <f>IF('S. Roßkopf'!J20="C. Trapp SV",'S. Roßkopf'!I20,0)</f>
        <v/>
      </c>
      <c r="L63" s="11">
        <f>IF($B$2="-","",IF($B$2="Pauschale",IFERROR(INDEX('Projekt-Budget-Übersicht'!$H:$H,MATCH(A63,'Projekt-Budget-Übersicht'!$A:$A,0)),""),IF($B$2="SV",IFERROR(INDEX('Projekt-Budget-Übersicht'!$H:$H,MATCH(A63,'Projekt-Budget-Übersicht'!$A:$A,0)),""),IF($B$2="CAD",IFERROR(INDEX('Projekt-Budget-Übersicht'!$I:$I,MATCH(A63,'Projekt-Budget-Übersicht'!$A:$A,0)),""),IF($B$2="ADM",IFERROR(INDEX('Projekt-Budget-Übersicht'!$J:$J,MATCH(A63,'Projekt-Budget-Übersicht'!$A:$A,0)),""),"")))))</f>
        <v/>
      </c>
      <c r="M63" s="11">
        <f>IF($B$2="-","",L63*(F63+I63+K63))</f>
        <v/>
      </c>
      <c r="N63" s="11">
        <f>IFERROR(INDEX('Projekt-Budget-Übersicht'!$E:$E,MATCH(A63,'Projekt-Budget-Übersicht'!$A:$A,0)),"")</f>
        <v/>
      </c>
      <c r="O63" s="11" t="inlineStr"/>
      <c r="P63" s="11" t="inlineStr"/>
    </row>
    <row r="64">
      <c r="A64" s="4" t="inlineStr">
        <is>
          <t>6643 BTB-FRP-FWP-Ersatzneubau-Krankenhaus-Hohenlohe-Öhringen-Vamed</t>
        </is>
      </c>
      <c r="B64" s="4" t="inlineStr">
        <is>
          <t>8200-Prüfen der Ausführung - system. stichprobenart. Kontrolle (Stufe 2)….</t>
        </is>
      </c>
      <c r="C64" s="4" t="inlineStr">
        <is>
          <t>G</t>
        </is>
      </c>
      <c r="D64" s="4" t="n">
        <v>540</v>
      </c>
      <c r="E64" s="4" t="n">
        <v>536.5</v>
      </c>
      <c r="F64" s="4" t="n">
        <v>47</v>
      </c>
      <c r="G64" s="14" t="n">
        <v>99.34999999999999</v>
      </c>
      <c r="H64" s="5" t="n"/>
      <c r="I64" s="5">
        <f>IF(H64=0,"",F64-H64)</f>
        <v/>
      </c>
      <c r="J64" s="4" t="n"/>
      <c r="K64" s="5">
        <f>IF('S. Roßkopf'!J21="C. Trapp SV",'S. Roßkopf'!I21,0)</f>
        <v/>
      </c>
      <c r="L64" s="11">
        <f>IF($B$2="-","",IF($B$2="Pauschale",IFERROR(INDEX('Projekt-Budget-Übersicht'!$H:$H,MATCH(A64,'Projekt-Budget-Übersicht'!$A:$A,0)),""),IF($B$2="SV",IFERROR(INDEX('Projekt-Budget-Übersicht'!$H:$H,MATCH(A64,'Projekt-Budget-Übersicht'!$A:$A,0)),""),IF($B$2="CAD",IFERROR(INDEX('Projekt-Budget-Übersicht'!$I:$I,MATCH(A64,'Projekt-Budget-Übersicht'!$A:$A,0)),""),IF($B$2="ADM",IFERROR(INDEX('Projekt-Budget-Übersicht'!$J:$J,MATCH(A64,'Projekt-Budget-Übersicht'!$A:$A,0)),""),"")))))</f>
        <v/>
      </c>
      <c r="M64" s="11">
        <f>IF($B$2="-","",L64*(F64+I64+K64))</f>
        <v/>
      </c>
      <c r="N64" s="11">
        <f>IFERROR(INDEX('Projekt-Budget-Übersicht'!$E:$E,MATCH(A64,'Projekt-Budget-Übersicht'!$A:$A,0)),"")</f>
        <v/>
      </c>
      <c r="O64" s="11" t="inlineStr"/>
      <c r="P64" s="11" t="inlineStr"/>
    </row>
    <row r="65">
      <c r="A65" s="4" t="inlineStr">
        <is>
          <t>6704 BSK-BTB+FWP-FuR-ZsG-Lörrach</t>
        </is>
      </c>
      <c r="B65" s="4" t="inlineStr">
        <is>
          <t>8200-Prüfen der Ausführung - system. stichprobenart. Kontrolle (Stufe 2)….</t>
        </is>
      </c>
      <c r="C65" s="4" t="inlineStr">
        <is>
          <t>G</t>
        </is>
      </c>
      <c r="D65" s="4" t="n">
        <v>80</v>
      </c>
      <c r="E65" s="4" t="n">
        <v>168.25</v>
      </c>
      <c r="F65" s="4" t="n">
        <v>9.5</v>
      </c>
      <c r="G65" s="16" t="n">
        <v>210.31</v>
      </c>
      <c r="H65" s="5" t="n"/>
      <c r="I65" s="5">
        <f>IF(H65=0,"",F65-H65)</f>
        <v/>
      </c>
      <c r="J65" s="4" t="n"/>
      <c r="K65" s="5" t="n">
        <v>0</v>
      </c>
      <c r="L65" s="11">
        <f>IF($B$2="-","",IF($B$2="Pauschale",IFERROR(INDEX('Projekt-Budget-Übersicht'!$H:$H,MATCH(A65,'Projekt-Budget-Übersicht'!$A:$A,0)),""),IF($B$2="SV",IFERROR(INDEX('Projekt-Budget-Übersicht'!$H:$H,MATCH(A65,'Projekt-Budget-Übersicht'!$A:$A,0)),""),IF($B$2="CAD",IFERROR(INDEX('Projekt-Budget-Übersicht'!$I:$I,MATCH(A65,'Projekt-Budget-Übersicht'!$A:$A,0)),""),IF($B$2="ADM",IFERROR(INDEX('Projekt-Budget-Übersicht'!$J:$J,MATCH(A65,'Projekt-Budget-Übersicht'!$A:$A,0)),""),"")))))</f>
        <v/>
      </c>
      <c r="M65" s="11">
        <f>IF($B$2="-","",L65*(F65+I65+K65))</f>
        <v/>
      </c>
      <c r="N65" s="11">
        <f>IFERROR(INDEX('Projekt-Budget-Übersicht'!$E:$E,MATCH(A65,'Projekt-Budget-Übersicht'!$A:$A,0)),"")</f>
        <v/>
      </c>
      <c r="O65" s="11" t="inlineStr"/>
      <c r="P65" s="11" t="inlineStr"/>
    </row>
    <row r="66">
      <c r="A66" s="3" t="inlineStr"/>
      <c r="B66" s="3" t="inlineStr">
        <is>
          <t>Summe</t>
        </is>
      </c>
      <c r="C66" s="3" t="inlineStr"/>
      <c r="D66" s="3" t="inlineStr"/>
      <c r="E66" s="3" t="inlineStr"/>
      <c r="F66" s="6" t="n">
        <v>154.5</v>
      </c>
      <c r="G66" s="3" t="inlineStr"/>
      <c r="H66" s="3" t="inlineStr"/>
      <c r="I66" s="3" t="inlineStr"/>
      <c r="J66" s="3" t="inlineStr"/>
      <c r="K66" s="3" t="inlineStr"/>
      <c r="L66" s="3" t="n"/>
      <c r="M66" s="3" t="n"/>
      <c r="N66" s="3" t="n"/>
      <c r="O66" s="3" t="n"/>
      <c r="P66" s="3" t="n"/>
    </row>
    <row r="67">
      <c r="A67" s="3" t="inlineStr"/>
      <c r="B67" s="3" t="inlineStr">
        <is>
          <t>Bonusberechtigte Stunden</t>
        </is>
      </c>
      <c r="C67" s="3" t="inlineStr"/>
      <c r="D67" s="3" t="inlineStr"/>
      <c r="E67" s="3" t="inlineStr"/>
      <c r="F67" s="6">
        <f>G67+H67</f>
        <v/>
      </c>
      <c r="G67" s="6" t="n">
        <v>103.5</v>
      </c>
      <c r="H67" s="6">
        <f>SUM(H60,H61,H62,H63,H64,H65)</f>
        <v/>
      </c>
      <c r="I67" s="3" t="inlineStr"/>
      <c r="J67" s="3" t="inlineStr"/>
      <c r="K67" s="3" t="inlineStr"/>
      <c r="L67" s="3" t="inlineStr"/>
      <c r="M67" s="3" t="inlineStr"/>
      <c r="N67" s="3" t="inlineStr"/>
      <c r="O67" s="3" t="inlineStr"/>
      <c r="P67" s="3" t="inlineStr"/>
    </row>
    <row r="68">
      <c r="A68" s="3" t="inlineStr"/>
      <c r="B68" s="3" t="inlineStr">
        <is>
          <t>Bonusberechtigte Stunden Sonderprojekt</t>
        </is>
      </c>
      <c r="C68" s="3" t="inlineStr"/>
      <c r="D68" s="3" t="inlineStr"/>
      <c r="E68" s="3" t="inlineStr"/>
      <c r="F68" s="6">
        <f>G68+H68</f>
        <v/>
      </c>
      <c r="G68" s="6" t="n">
        <v>12.5</v>
      </c>
      <c r="H68" s="6">
        <f>SUM(H56,H57,H58,H59)</f>
        <v/>
      </c>
      <c r="I68" s="3" t="inlineStr"/>
      <c r="J68" s="3" t="inlineStr"/>
      <c r="K68" s="3" t="inlineStr"/>
      <c r="L68" s="3" t="inlineStr"/>
      <c r="M68" s="3" t="inlineStr"/>
      <c r="N68" s="3" t="inlineStr"/>
      <c r="O68" s="3" t="inlineStr"/>
      <c r="P68" s="3" t="inlineStr"/>
    </row>
    <row r="69">
      <c r="A69" s="3" t="inlineStr"/>
      <c r="B69" s="3" t="inlineStr">
        <is>
          <t>Zugeordnete Stunden von anderen MA</t>
        </is>
      </c>
      <c r="C69" s="3" t="inlineStr"/>
      <c r="D69" s="3" t="inlineStr"/>
      <c r="E69" s="3" t="inlineStr"/>
      <c r="F69" s="6">
        <f>SUM(K56:K65)</f>
        <v/>
      </c>
      <c r="G69" s="3" t="inlineStr"/>
      <c r="H69" s="3" t="inlineStr"/>
      <c r="I69" s="3" t="inlineStr"/>
      <c r="J69" s="3" t="inlineStr"/>
      <c r="K69" s="3" t="inlineStr"/>
      <c r="L69" s="3" t="inlineStr"/>
      <c r="M69" s="3" t="inlineStr"/>
      <c r="N69" s="3" t="inlineStr"/>
      <c r="O69" s="3" t="inlineStr"/>
      <c r="P69" s="3" t="inlineStr"/>
    </row>
    <row r="70">
      <c r="A70" s="18" t="inlineStr"/>
      <c r="B70" s="18" t="inlineStr">
        <is>
          <t>Gesamt Bonus Stunden</t>
        </is>
      </c>
      <c r="C70" s="18" t="inlineStr"/>
      <c r="D70" s="18" t="inlineStr"/>
      <c r="E70" s="18" t="inlineStr"/>
      <c r="F70" s="19">
        <f>F67+F68+F69</f>
        <v/>
      </c>
      <c r="G70" s="18" t="inlineStr"/>
      <c r="H70" s="18" t="inlineStr"/>
      <c r="I70" s="18" t="inlineStr"/>
      <c r="J70" s="18" t="inlineStr"/>
      <c r="K70" s="18" t="inlineStr"/>
      <c r="L70" s="18" t="n"/>
      <c r="M70" s="18" t="n"/>
      <c r="N70" s="18" t="n"/>
      <c r="O70" s="18" t="n"/>
      <c r="P70" s="18" t="n"/>
    </row>
    <row r="72">
      <c r="A72" s="2" t="inlineStr">
        <is>
          <t>--- Übertragshilfe ---</t>
        </is>
      </c>
    </row>
    <row r="73">
      <c r="A73" s="3" t="inlineStr">
        <is>
          <t>Monat</t>
        </is>
      </c>
      <c r="B73" s="3" t="inlineStr">
        <is>
          <t>Mitarbeiter</t>
        </is>
      </c>
      <c r="C73" s="3" t="inlineStr">
        <is>
          <t>Prod. Stunden</t>
        </is>
      </c>
      <c r="D73" s="3" t="inlineStr">
        <is>
          <t>Bonusberechtigte Stunden</t>
        </is>
      </c>
      <c r="E73" s="3" t="inlineStr">
        <is>
          <t>Bonusberechtigte Stunden Sonderprojekt</t>
        </is>
      </c>
      <c r="F73" s="3" t="inlineStr">
        <is>
          <t>Zugeordnet von anderen</t>
        </is>
      </c>
      <c r="G73" s="3" t="inlineStr">
        <is>
          <t>Gesamt Bonus</t>
        </is>
      </c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</row>
    <row r="74">
      <c r="A74" s="4" t="inlineStr">
        <is>
          <t>Juli 2025</t>
        </is>
      </c>
      <c r="B74" s="4" t="inlineStr">
        <is>
          <t>C. Trapp SV</t>
        </is>
      </c>
      <c r="C74" s="4">
        <f>F24</f>
        <v/>
      </c>
      <c r="D74" s="4">
        <f>F25</f>
        <v/>
      </c>
      <c r="E74" s="4">
        <f>F26</f>
        <v/>
      </c>
      <c r="F74" s="4">
        <f>F27</f>
        <v/>
      </c>
      <c r="G74" s="4">
        <f>F28</f>
        <v/>
      </c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</row>
    <row r="75">
      <c r="A75" s="4" t="inlineStr">
        <is>
          <t>August 2025</t>
        </is>
      </c>
      <c r="B75" s="4" t="inlineStr">
        <is>
          <t>C. Trapp SV</t>
        </is>
      </c>
      <c r="C75" s="4">
        <f>F48</f>
        <v/>
      </c>
      <c r="D75" s="4">
        <f>F49</f>
        <v/>
      </c>
      <c r="E75" s="4">
        <f>F50</f>
        <v/>
      </c>
      <c r="F75" s="4">
        <f>F51</f>
        <v/>
      </c>
      <c r="G75" s="4">
        <f>F52</f>
        <v/>
      </c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</row>
    <row r="76">
      <c r="A76" s="4" t="inlineStr">
        <is>
          <t>September 2025</t>
        </is>
      </c>
      <c r="B76" s="4" t="inlineStr">
        <is>
          <t>C. Trapp SV</t>
        </is>
      </c>
      <c r="C76" s="4">
        <f>F66</f>
        <v/>
      </c>
      <c r="D76" s="4">
        <f>F67</f>
        <v/>
      </c>
      <c r="E76" s="4">
        <f>F68</f>
        <v/>
      </c>
      <c r="F76" s="4">
        <f>F69</f>
        <v/>
      </c>
      <c r="G76" s="4">
        <f>F70</f>
        <v/>
      </c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</row>
    <row r="78">
      <c r="A78" s="2" t="inlineStr">
        <is>
          <t>--- Quartalsübersicht 2025Q3 ---</t>
        </is>
      </c>
    </row>
    <row r="79">
      <c r="A79" s="3" t="inlineStr">
        <is>
          <t>Projekt</t>
        </is>
      </c>
      <c r="B79" s="3" t="inlineStr">
        <is>
          <t>Meilenstein</t>
        </is>
      </c>
      <c r="C79" s="3" t="inlineStr">
        <is>
          <t>Q-Soll (h)</t>
        </is>
      </c>
      <c r="D79" s="3" t="inlineStr">
        <is>
          <t>Q-Ist (h)</t>
        </is>
      </c>
      <c r="E79" s="3" t="inlineStr">
        <is>
          <t>%</t>
        </is>
      </c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</row>
    <row r="80">
      <c r="A80" s="4" t="inlineStr">
        <is>
          <t>0000 Sonderprojekt für Bonus</t>
        </is>
      </c>
      <c r="B80" s="4" t="inlineStr">
        <is>
          <t>Vorträge, Repräsentation (übergreifend)  (max. 4h/Quartal pro MA)</t>
        </is>
      </c>
      <c r="C80" s="4" t="n">
        <v>4</v>
      </c>
      <c r="D80" s="4" t="n">
        <v>3.5</v>
      </c>
      <c r="E80" s="17" t="n">
        <v>87.5</v>
      </c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</row>
    <row r="82">
      <c r="A82" s="2" t="inlineStr">
        <is>
          <t>--- Gesamtstunden 2025Q3 ---</t>
        </is>
      </c>
    </row>
    <row r="83">
      <c r="A83" s="12" t="inlineStr">
        <is>
          <t>Gesamt eingetragene Stunden:</t>
        </is>
      </c>
      <c r="B83" s="12" t="n">
        <v>481.5</v>
      </c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</row>
    <row r="84">
      <c r="A84" s="12" t="inlineStr">
        <is>
          <t>Bonusberechtigte Stunden (Quartal):</t>
        </is>
      </c>
      <c r="B84" s="20">
        <f>SUM(F25,F49,F67)</f>
        <v/>
      </c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  <c r="P84" s="12" t="n"/>
    </row>
    <row r="85">
      <c r="A85" s="12" t="inlineStr">
        <is>
          <t>Bonusberechtigte Stunden Sonderprojekt (Quartal):</t>
        </is>
      </c>
      <c r="B85" s="20">
        <f>SUM(F26,F50,F68)</f>
        <v/>
      </c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</row>
  </sheetData>
  <mergeCells count="8">
    <mergeCell ref="A13:A16"/>
    <mergeCell ref="A39:A41"/>
    <mergeCell ref="A17:A18"/>
    <mergeCell ref="A43:A46"/>
    <mergeCell ref="A8:A12"/>
    <mergeCell ref="A56:A59"/>
    <mergeCell ref="A35:A38"/>
    <mergeCell ref="A21:A22"/>
  </mergeCells>
  <conditionalFormatting sqref="I6">
    <cfRule type="cellIs" priority="1" operator="lessThan" dxfId="0" stopIfTrue="1">
      <formula>0</formula>
    </cfRule>
  </conditionalFormatting>
  <conditionalFormatting sqref="I7">
    <cfRule type="cellIs" priority="2" operator="lessThan" dxfId="0" stopIfTrue="1">
      <formula>0</formula>
    </cfRule>
  </conditionalFormatting>
  <conditionalFormatting sqref="I8">
    <cfRule type="cellIs" priority="3" operator="lessThan" dxfId="0" stopIfTrue="1">
      <formula>0</formula>
    </cfRule>
  </conditionalFormatting>
  <conditionalFormatting sqref="I9">
    <cfRule type="cellIs" priority="4" operator="lessThan" dxfId="0" stopIfTrue="1">
      <formula>0</formula>
    </cfRule>
  </conditionalFormatting>
  <conditionalFormatting sqref="I10">
    <cfRule type="cellIs" priority="5" operator="lessThan" dxfId="0" stopIfTrue="1">
      <formula>0</formula>
    </cfRule>
  </conditionalFormatting>
  <conditionalFormatting sqref="I11">
    <cfRule type="cellIs" priority="6" operator="lessThan" dxfId="0" stopIfTrue="1">
      <formula>0</formula>
    </cfRule>
  </conditionalFormatting>
  <conditionalFormatting sqref="I12">
    <cfRule type="cellIs" priority="7" operator="lessThan" dxfId="0" stopIfTrue="1">
      <formula>0</formula>
    </cfRule>
  </conditionalFormatting>
  <conditionalFormatting sqref="I13">
    <cfRule type="cellIs" priority="8" operator="lessThan" dxfId="0" stopIfTrue="1">
      <formula>0</formula>
    </cfRule>
  </conditionalFormatting>
  <conditionalFormatting sqref="I14">
    <cfRule type="cellIs" priority="9" operator="lessThan" dxfId="0" stopIfTrue="1">
      <formula>0</formula>
    </cfRule>
  </conditionalFormatting>
  <conditionalFormatting sqref="I15">
    <cfRule type="cellIs" priority="10" operator="lessThan" dxfId="0" stopIfTrue="1">
      <formula>0</formula>
    </cfRule>
  </conditionalFormatting>
  <conditionalFormatting sqref="I16">
    <cfRule type="cellIs" priority="11" operator="lessThan" dxfId="0" stopIfTrue="1">
      <formula>0</formula>
    </cfRule>
  </conditionalFormatting>
  <conditionalFormatting sqref="I17">
    <cfRule type="cellIs" priority="12" operator="lessThan" dxfId="0" stopIfTrue="1">
      <formula>0</formula>
    </cfRule>
  </conditionalFormatting>
  <conditionalFormatting sqref="I18">
    <cfRule type="cellIs" priority="13" operator="lessThan" dxfId="0" stopIfTrue="1">
      <formula>0</formula>
    </cfRule>
  </conditionalFormatting>
  <conditionalFormatting sqref="I19">
    <cfRule type="cellIs" priority="14" operator="lessThan" dxfId="0" stopIfTrue="1">
      <formula>0</formula>
    </cfRule>
  </conditionalFormatting>
  <conditionalFormatting sqref="I20">
    <cfRule type="cellIs" priority="15" operator="lessThan" dxfId="0" stopIfTrue="1">
      <formula>0</formula>
    </cfRule>
  </conditionalFormatting>
  <conditionalFormatting sqref="I21">
    <cfRule type="cellIs" priority="16" operator="lessThan" dxfId="0" stopIfTrue="1">
      <formula>0</formula>
    </cfRule>
  </conditionalFormatting>
  <conditionalFormatting sqref="I22">
    <cfRule type="cellIs" priority="17" operator="lessThan" dxfId="0" stopIfTrue="1">
      <formula>0</formula>
    </cfRule>
  </conditionalFormatting>
  <conditionalFormatting sqref="I23">
    <cfRule type="cellIs" priority="18" operator="lessThan" dxfId="0" stopIfTrue="1">
      <formula>0</formula>
    </cfRule>
  </conditionalFormatting>
  <conditionalFormatting sqref="I32">
    <cfRule type="cellIs" priority="19" operator="lessThan" dxfId="0" stopIfTrue="1">
      <formula>0</formula>
    </cfRule>
  </conditionalFormatting>
  <conditionalFormatting sqref="I33">
    <cfRule type="cellIs" priority="20" operator="lessThan" dxfId="0" stopIfTrue="1">
      <formula>0</formula>
    </cfRule>
  </conditionalFormatting>
  <conditionalFormatting sqref="I34">
    <cfRule type="cellIs" priority="21" operator="lessThan" dxfId="0" stopIfTrue="1">
      <formula>0</formula>
    </cfRule>
  </conditionalFormatting>
  <conditionalFormatting sqref="I35">
    <cfRule type="cellIs" priority="22" operator="lessThan" dxfId="0" stopIfTrue="1">
      <formula>0</formula>
    </cfRule>
  </conditionalFormatting>
  <conditionalFormatting sqref="I36">
    <cfRule type="cellIs" priority="23" operator="lessThan" dxfId="0" stopIfTrue="1">
      <formula>0</formula>
    </cfRule>
  </conditionalFormatting>
  <conditionalFormatting sqref="I37">
    <cfRule type="cellIs" priority="24" operator="lessThan" dxfId="0" stopIfTrue="1">
      <formula>0</formula>
    </cfRule>
  </conditionalFormatting>
  <conditionalFormatting sqref="I38">
    <cfRule type="cellIs" priority="25" operator="lessThan" dxfId="0" stopIfTrue="1">
      <formula>0</formula>
    </cfRule>
  </conditionalFormatting>
  <conditionalFormatting sqref="I39">
    <cfRule type="cellIs" priority="26" operator="lessThan" dxfId="0" stopIfTrue="1">
      <formula>0</formula>
    </cfRule>
  </conditionalFormatting>
  <conditionalFormatting sqref="I40">
    <cfRule type="cellIs" priority="27" operator="lessThan" dxfId="0" stopIfTrue="1">
      <formula>0</formula>
    </cfRule>
  </conditionalFormatting>
  <conditionalFormatting sqref="I41">
    <cfRule type="cellIs" priority="28" operator="lessThan" dxfId="0" stopIfTrue="1">
      <formula>0</formula>
    </cfRule>
  </conditionalFormatting>
  <conditionalFormatting sqref="I42">
    <cfRule type="cellIs" priority="29" operator="lessThan" dxfId="0" stopIfTrue="1">
      <formula>0</formula>
    </cfRule>
  </conditionalFormatting>
  <conditionalFormatting sqref="I43">
    <cfRule type="cellIs" priority="30" operator="lessThan" dxfId="0" stopIfTrue="1">
      <formula>0</formula>
    </cfRule>
  </conditionalFormatting>
  <conditionalFormatting sqref="I44">
    <cfRule type="cellIs" priority="31" operator="lessThan" dxfId="0" stopIfTrue="1">
      <formula>0</formula>
    </cfRule>
  </conditionalFormatting>
  <conditionalFormatting sqref="I45">
    <cfRule type="cellIs" priority="32" operator="lessThan" dxfId="0" stopIfTrue="1">
      <formula>0</formula>
    </cfRule>
  </conditionalFormatting>
  <conditionalFormatting sqref="I46">
    <cfRule type="cellIs" priority="33" operator="lessThan" dxfId="0" stopIfTrue="1">
      <formula>0</formula>
    </cfRule>
  </conditionalFormatting>
  <conditionalFormatting sqref="I47">
    <cfRule type="cellIs" priority="34" operator="lessThan" dxfId="0" stopIfTrue="1">
      <formula>0</formula>
    </cfRule>
  </conditionalFormatting>
  <conditionalFormatting sqref="I56">
    <cfRule type="cellIs" priority="35" operator="lessThan" dxfId="0" stopIfTrue="1">
      <formula>0</formula>
    </cfRule>
  </conditionalFormatting>
  <conditionalFormatting sqref="I57">
    <cfRule type="cellIs" priority="36" operator="lessThan" dxfId="0" stopIfTrue="1">
      <formula>0</formula>
    </cfRule>
  </conditionalFormatting>
  <conditionalFormatting sqref="I58">
    <cfRule type="cellIs" priority="37" operator="lessThan" dxfId="0" stopIfTrue="1">
      <formula>0</formula>
    </cfRule>
  </conditionalFormatting>
  <conditionalFormatting sqref="I59">
    <cfRule type="cellIs" priority="38" operator="lessThan" dxfId="0" stopIfTrue="1">
      <formula>0</formula>
    </cfRule>
  </conditionalFormatting>
  <conditionalFormatting sqref="I60">
    <cfRule type="cellIs" priority="39" operator="lessThan" dxfId="0" stopIfTrue="1">
      <formula>0</formula>
    </cfRule>
  </conditionalFormatting>
  <conditionalFormatting sqref="I61">
    <cfRule type="cellIs" priority="40" operator="lessThan" dxfId="0" stopIfTrue="1">
      <formula>0</formula>
    </cfRule>
  </conditionalFormatting>
  <conditionalFormatting sqref="I62">
    <cfRule type="cellIs" priority="41" operator="lessThan" dxfId="0" stopIfTrue="1">
      <formula>0</formula>
    </cfRule>
  </conditionalFormatting>
  <conditionalFormatting sqref="I63">
    <cfRule type="cellIs" priority="42" operator="lessThan" dxfId="0" stopIfTrue="1">
      <formula>0</formula>
    </cfRule>
  </conditionalFormatting>
  <conditionalFormatting sqref="I64">
    <cfRule type="cellIs" priority="43" operator="lessThan" dxfId="0" stopIfTrue="1">
      <formula>0</formula>
    </cfRule>
  </conditionalFormatting>
  <conditionalFormatting sqref="I65">
    <cfRule type="cellIs" priority="44" operator="lessThan" dxfId="0" stopIfTrue="1">
      <formula>0</formula>
    </cfRule>
  </conditionalFormatting>
  <dataValidations count="34">
    <dataValidation sqref="B2" showDropDown="0" showInputMessage="0" showErrorMessage="0" allowBlank="0" type="list">
      <formula1>"SV,CAD,ADM,Pauschale,-"</formula1>
    </dataValidation>
    <dataValidation sqref="J6" showDropDown="0" showInputMessage="0" showErrorMessage="0" allowBlank="1" type="list">
      <formula1>"A. Kokott,D. Brucker,E. Bieler,J. Dorchies,J. Dorn,M. Bandlofsky,O. Haag BS-CAD,P. Bergner,R. Wagen CAD,T. Trautmann,U. Sutter ADM"</formula1>
    </dataValidation>
    <dataValidation sqref="J7" showDropDown="0" showInputMessage="0" showErrorMessage="0" allowBlank="1" type="list">
      <formula1>"U. Sutter ADM"</formula1>
    </dataValidation>
    <dataValidation sqref="J8" showDropDown="0" showInputMessage="0" showErrorMessage="0" allowBlank="1" type="list">
      <formula1>"U. Sutter ADM"</formula1>
    </dataValidation>
    <dataValidation sqref="J9" showDropDown="0" showInputMessage="0" showErrorMessage="0" allowBlank="1" type="list">
      <formula1>"S. Schüler"</formula1>
    </dataValidation>
    <dataValidation sqref="J10" showDropDown="0" showInputMessage="0" showErrorMessage="0" allowBlank="1" type="list">
      <formula1>"S. Schüler"</formula1>
    </dataValidation>
    <dataValidation sqref="J12" showDropDown="0" showInputMessage="0" showErrorMessage="0" allowBlank="1" type="list">
      <formula1>"U. Sutter ADM"</formula1>
    </dataValidation>
    <dataValidation sqref="J13" showDropDown="0" showInputMessage="0" showErrorMessage="0" allowBlank="1" type="list">
      <formula1>"M. Bandlofsky,U. Sutter ADM"</formula1>
    </dataValidation>
    <dataValidation sqref="J14" showDropDown="0" showInputMessage="0" showErrorMessage="0" allowBlank="1" type="list">
      <formula1>"E. Bieler"</formula1>
    </dataValidation>
    <dataValidation sqref="J16" showDropDown="0" showInputMessage="0" showErrorMessage="0" allowBlank="1" type="list">
      <formula1>"S. Roßkopf"</formula1>
    </dataValidation>
    <dataValidation sqref="J17" showDropDown="0" showInputMessage="0" showErrorMessage="0" allowBlank="1" type="list">
      <formula1>"S. Roßkopf,U. Sutter ADM"</formula1>
    </dataValidation>
    <dataValidation sqref="J19" showDropDown="0" showInputMessage="0" showErrorMessage="0" allowBlank="1" type="list">
      <formula1>"P. Bergner,S. Roßkopf"</formula1>
    </dataValidation>
    <dataValidation sqref="J21" showDropDown="0" showInputMessage="0" showErrorMessage="0" allowBlank="1" type="list">
      <formula1>"U. Sutter ADM"</formula1>
    </dataValidation>
    <dataValidation sqref="J32" showDropDown="0" showInputMessage="0" showErrorMessage="0" allowBlank="1" type="list">
      <formula1>"J. Dorn,O. Haag BS-CAD,P. Bergner,T. Trautmann"</formula1>
    </dataValidation>
    <dataValidation sqref="J33" showDropDown="0" showInputMessage="0" showErrorMessage="0" allowBlank="1" type="list">
      <formula1>"U. Sutter ADM"</formula1>
    </dataValidation>
    <dataValidation sqref="J35" showDropDown="0" showInputMessage="0" showErrorMessage="0" allowBlank="1" type="list">
      <formula1>"E. Bieler,M. Bandlofsky"</formula1>
    </dataValidation>
    <dataValidation sqref="J36" showDropDown="0" showInputMessage="0" showErrorMessage="0" allowBlank="1" type="list">
      <formula1>"E. Bieler"</formula1>
    </dataValidation>
    <dataValidation sqref="J38" showDropDown="0" showInputMessage="0" showErrorMessage="0" allowBlank="1" type="list">
      <formula1>"S. Roßkopf"</formula1>
    </dataValidation>
    <dataValidation sqref="J39" showDropDown="0" showInputMessage="0" showErrorMessage="0" allowBlank="1" type="list">
      <formula1>"A. Kokott,S. Roßkopf"</formula1>
    </dataValidation>
    <dataValidation sqref="J41" showDropDown="0" showInputMessage="0" showErrorMessage="0" allowBlank="1" type="list">
      <formula1>"S. Schüler"</formula1>
    </dataValidation>
    <dataValidation sqref="J42" showDropDown="0" showInputMessage="0" showErrorMessage="0" allowBlank="1" type="list">
      <formula1>"P. Bergner,S. Roßkopf"</formula1>
    </dataValidation>
    <dataValidation sqref="J43" showDropDown="0" showInputMessage="0" showErrorMessage="0" allowBlank="1" type="list">
      <formula1>"E. Bieler"</formula1>
    </dataValidation>
    <dataValidation sqref="J45" showDropDown="0" showInputMessage="0" showErrorMessage="0" allowBlank="1" type="list">
      <formula1>"U. Sutter ADM"</formula1>
    </dataValidation>
    <dataValidation sqref="J46" showDropDown="0" showInputMessage="0" showErrorMessage="0" allowBlank="1" type="list">
      <formula1>"S. Roßkopf,U. Sutter ADM"</formula1>
    </dataValidation>
    <dataValidation sqref="J47" showDropDown="0" showInputMessage="0" showErrorMessage="0" allowBlank="1" type="list">
      <formula1>"A. Kokott,S. Schüler"</formula1>
    </dataValidation>
    <dataValidation sqref="J56" showDropDown="0" showInputMessage="0" showErrorMessage="0" allowBlank="1" type="list">
      <formula1>"A. Kokott,D. Brucker,E. Bieler,J. Dorchies,J. Dorn,O. Haag BS-CAD,P. Bergner,R. Böttiger,S. Schüler,T. Trautmann,U. Sutter ADM"</formula1>
    </dataValidation>
    <dataValidation sqref="J57" showDropDown="0" showInputMessage="0" showErrorMessage="0" allowBlank="1" type="list">
      <formula1>"A. Kokott,D. Brucker,E. Bieler,J. Dorchies,J. Dorn,M. Bandlofsky,O. Haag BS-CAD,P. Bergner,R. Wagen CAD,T. Trautmann,U. Sutter ADM"</formula1>
    </dataValidation>
    <dataValidation sqref="J58" showDropDown="0" showInputMessage="0" showErrorMessage="0" allowBlank="1" type="list">
      <formula1>"J. Dorn,O. Haag BS-CAD,P. Bergner,T. Trautmann"</formula1>
    </dataValidation>
    <dataValidation sqref="J60" showDropDown="0" showInputMessage="0" showErrorMessage="0" allowBlank="1" type="list">
      <formula1>"S. Schüler"</formula1>
    </dataValidation>
    <dataValidation sqref="J61" showDropDown="0" showInputMessage="0" showErrorMessage="0" allowBlank="1" type="list">
      <formula1>"S. Roßkopf"</formula1>
    </dataValidation>
    <dataValidation sqref="J62" showDropDown="0" showInputMessage="0" showErrorMessage="0" allowBlank="1" type="list">
      <formula1>"S. Roßkopf,U. Sutter ADM"</formula1>
    </dataValidation>
    <dataValidation sqref="J63" showDropDown="0" showInputMessage="0" showErrorMessage="0" allowBlank="1" type="list">
      <formula1>"P. Bergner,S. Roßkopf"</formula1>
    </dataValidation>
    <dataValidation sqref="J64" showDropDown="0" showInputMessage="0" showErrorMessage="0" allowBlank="1" type="list">
      <formula1>"S. Roßkopf,U. Sutter ADM"</formula1>
    </dataValidation>
    <dataValidation sqref="J65" showDropDown="0" showInputMessage="0" showErrorMessage="0" allowBlank="1" type="list">
      <formula1>"U. Sutter ADM"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8" customWidth="1" min="3" max="3"/>
    <col width="12" customWidth="1" min="4" max="4"/>
    <col width="12" customWidth="1" min="5" max="5"/>
    <col width="12" customWidth="1" min="6" max="6"/>
    <col width="8" customWidth="1" min="7" max="7"/>
    <col width="16" customWidth="1" min="8" max="8"/>
    <col width="12" customWidth="1" min="9" max="9"/>
    <col width="25" customWidth="1" min="10" max="10"/>
    <col width="15" customWidth="1" min="11" max="11"/>
    <col width="18" customWidth="1" min="12" max="12"/>
    <col width="15" customWidth="1" min="13" max="13"/>
    <col width="18" customWidth="1" min="14" max="14"/>
    <col width="15" customWidth="1" min="15" max="15"/>
    <col width="22" customWidth="1" min="16" max="16"/>
  </cols>
  <sheetData>
    <row r="1">
      <c r="A1" t="inlineStr">
        <is>
          <t>D. Brucker - Quartalsreport 2025Q3</t>
        </is>
      </c>
    </row>
    <row r="2">
      <c r="A2" s="12" t="inlineStr">
        <is>
          <t>Position:</t>
        </is>
      </c>
      <c r="B2" t="inlineStr">
        <is>
          <t>SV</t>
        </is>
      </c>
    </row>
    <row r="4">
      <c r="A4" s="2" t="inlineStr">
        <is>
          <t>--- Juli 2025 ---</t>
        </is>
      </c>
    </row>
    <row r="5">
      <c r="A5" s="3" t="inlineStr">
        <is>
          <t>Projekt</t>
        </is>
      </c>
      <c r="B5" s="3" t="inlineStr">
        <is>
          <t>Meilenstein</t>
        </is>
      </c>
      <c r="C5" s="3" t="inlineStr">
        <is>
          <t>Typ</t>
        </is>
      </c>
      <c r="D5" s="3" t="inlineStr">
        <is>
          <t>Soll (h)</t>
        </is>
      </c>
      <c r="E5" s="3" t="inlineStr">
        <is>
          <t>Ist (h)</t>
        </is>
      </c>
      <c r="F5" s="3" t="inlineStr">
        <is>
          <t>Juli 2025 (h)</t>
        </is>
      </c>
      <c r="G5" s="3" t="inlineStr">
        <is>
          <t>%</t>
        </is>
      </c>
      <c r="H5" s="3" t="inlineStr">
        <is>
          <t>Bonus-Anpassung (h)</t>
        </is>
      </c>
      <c r="I5" s="3" t="inlineStr">
        <is>
          <t>Differenz (h)</t>
        </is>
      </c>
      <c r="J5" s="3" t="inlineStr">
        <is>
          <t>Zuordnen an</t>
        </is>
      </c>
      <c r="K5" s="3" t="inlineStr">
        <is>
          <t>Von anderen (h)</t>
        </is>
      </c>
      <c r="L5" s="3" t="inlineStr">
        <is>
          <t>Stundensatz (€/h)</t>
        </is>
      </c>
      <c r="M5" s="3" t="inlineStr">
        <is>
          <t>Umsatz (€)</t>
        </is>
      </c>
      <c r="N5" s="3" t="inlineStr">
        <is>
          <t>Budget Gesamt (€)</t>
        </is>
      </c>
      <c r="O5" s="3" t="inlineStr">
        <is>
          <t>Budget Ist (€)</t>
        </is>
      </c>
      <c r="P5" s="3" t="inlineStr">
        <is>
          <t>Budget Erwirtschaftet (€)</t>
        </is>
      </c>
    </row>
    <row r="6">
      <c r="A6" s="13" t="inlineStr">
        <is>
          <t>0000 Sonderprojekt für Bonus</t>
        </is>
      </c>
      <c r="B6" s="4" t="inlineStr">
        <is>
          <t>Angebote-Ausschreibungen-Kalkulationen (max. 8h/Monat pro MA)</t>
        </is>
      </c>
      <c r="C6" s="4" t="inlineStr">
        <is>
          <t>M</t>
        </is>
      </c>
      <c r="D6" s="4" t="n">
        <v>8</v>
      </c>
      <c r="E6" s="4" t="n">
        <v>9</v>
      </c>
      <c r="F6" s="4" t="n">
        <v>9</v>
      </c>
      <c r="G6" s="16" t="n">
        <v>112.5</v>
      </c>
      <c r="H6" s="5" t="n"/>
      <c r="I6" s="5">
        <f>IF(H6=0,"",F6-H6)</f>
        <v/>
      </c>
      <c r="J6" s="4" t="n"/>
      <c r="K6" s="5">
        <f>IF('A. Kokott'!J6="D. Brucker",'A. Kokott'!I6,0)+IF('E. Bieler'!J6="D. Brucker",'E. Bieler'!I6,0)+IF('J. Dorchies'!J6="D. Brucker",'J. Dorchies'!I6,0)+IF('O. Haag BS-CAD'!J6="D. Brucker",'O. Haag BS-CAD'!I6,0)+IF('S. Schüler'!J6="D. Brucker",'S. Schüler'!I6,0)+IF('T. Trautmann'!J6="D. Brucker",'T. Trautmann'!I6,0)+IF('U. Sutter ADM'!J6="D. Brucker",'U. Sutter ADM'!I6,0)</f>
        <v/>
      </c>
      <c r="L6" s="11">
        <f>IF($B$2="-","",IF($B$2="Pauschale",IFERROR(INDEX('Projekt-Budget-Übersicht'!$H:$H,MATCH(A6,'Projekt-Budget-Übersicht'!$A:$A,0)),""),IF($B$2="SV",IFERROR(INDEX('Projekt-Budget-Übersicht'!$H:$H,MATCH(A6,'Projekt-Budget-Übersicht'!$A:$A,0)),""),IF($B$2="CAD",IFERROR(INDEX('Projekt-Budget-Übersicht'!$I:$I,MATCH(A6,'Projekt-Budget-Übersicht'!$A:$A,0)),""),IF($B$2="ADM",IFERROR(INDEX('Projekt-Budget-Übersicht'!$J:$J,MATCH(A6,'Projekt-Budget-Übersicht'!$A:$A,0)),""),"")))))</f>
        <v/>
      </c>
      <c r="M6" s="11">
        <f>IF($B$2="-","",L6*(F6+I6+K6))</f>
        <v/>
      </c>
      <c r="N6" s="11">
        <f>IFERROR(INDEX('Projekt-Budget-Übersicht'!$E:$E,MATCH(A6,'Projekt-Budget-Übersicht'!$A:$A,0)),"")</f>
        <v/>
      </c>
      <c r="O6" s="11" t="inlineStr"/>
      <c r="P6" s="11" t="inlineStr"/>
    </row>
    <row r="7">
      <c r="A7" s="15" t="n"/>
      <c r="B7" s="4" t="inlineStr">
        <is>
          <t>Einarbeitung neuer Mitarbeiter (max. 8h/Monat pro MA)</t>
        </is>
      </c>
      <c r="C7" s="4" t="inlineStr">
        <is>
          <t>M</t>
        </is>
      </c>
      <c r="D7" s="4" t="n">
        <v>8</v>
      </c>
      <c r="E7" s="4" t="n">
        <v>2</v>
      </c>
      <c r="F7" s="4" t="n">
        <v>2</v>
      </c>
      <c r="G7" s="17" t="n">
        <v>25</v>
      </c>
      <c r="H7" s="5" t="n"/>
      <c r="I7" s="5">
        <f>IF(H7=0,"",F7-H7)</f>
        <v/>
      </c>
      <c r="J7" s="4" t="n"/>
      <c r="K7" s="5">
        <f>IF('A. Kokott'!J7="D. Brucker",'A. Kokott'!I7,0)+IF('C. Trapp SV'!J6="D. Brucker",'C. Trapp SV'!I6,0)+IF('E. Bieler'!J7="D. Brucker",'E. Bieler'!I7,0)+IF('J. Dorchies'!J7="D. Brucker",'J. Dorchies'!I7,0)+IF('J. Dorn'!J6="D. Brucker",'J. Dorn'!I6,0)+IF('M. Bandlofsky'!J6="D. Brucker",'M. Bandlofsky'!I6,0)+IF('T. Trautmann'!J7="D. Brucker",'T. Trautmann'!I7,0)+IF('U. Sutter ADM'!J7="D. Brucker",'U. Sutter ADM'!I7,0)</f>
        <v/>
      </c>
      <c r="L7" s="11">
        <f>IF($B$2="-","",IF($B$2="Pauschale",IFERROR(INDEX('Projekt-Budget-Übersicht'!$H:$H,MATCH(A7,'Projekt-Budget-Übersicht'!$A:$A,0)),""),IF($B$2="SV",IFERROR(INDEX('Projekt-Budget-Übersicht'!$H:$H,MATCH(A7,'Projekt-Budget-Übersicht'!$A:$A,0)),""),IF($B$2="CAD",IFERROR(INDEX('Projekt-Budget-Übersicht'!$I:$I,MATCH(A7,'Projekt-Budget-Übersicht'!$A:$A,0)),""),IF($B$2="ADM",IFERROR(INDEX('Projekt-Budget-Übersicht'!$J:$J,MATCH(A7,'Projekt-Budget-Übersicht'!$A:$A,0)),""),"")))))</f>
        <v/>
      </c>
      <c r="M7" s="11">
        <f>IF($B$2="-","",L7*(F7+I7+K7))</f>
        <v/>
      </c>
      <c r="N7" s="11">
        <f>IFERROR(INDEX('Projekt-Budget-Übersicht'!$E:$E,MATCH(A7,'Projekt-Budget-Übersicht'!$A:$A,0)),"")</f>
        <v/>
      </c>
      <c r="O7" s="11" t="inlineStr"/>
      <c r="P7" s="11" t="inlineStr"/>
    </row>
    <row r="8">
      <c r="A8" s="4" t="inlineStr">
        <is>
          <t>5955.05 Ventilationskonzept-Mosbacher-Straße-55-Wiesbaden-Hauptstaatsarchiv</t>
        </is>
      </c>
      <c r="B8" s="4" t="inlineStr">
        <is>
          <t>2202-Erarbeitung Entrauchungskonzept….</t>
        </is>
      </c>
      <c r="C8" s="4" t="inlineStr">
        <is>
          <t>G</t>
        </is>
      </c>
      <c r="D8" s="4" t="n">
        <v>265.5</v>
      </c>
      <c r="E8" s="4" t="n">
        <v>268.5</v>
      </c>
      <c r="F8" s="4" t="n">
        <v>2</v>
      </c>
      <c r="G8" s="16" t="n">
        <v>101.13</v>
      </c>
      <c r="H8" s="5" t="n"/>
      <c r="I8" s="5">
        <f>IF(H8=0,"",F8-H8)</f>
        <v/>
      </c>
      <c r="J8" s="4" t="n"/>
      <c r="K8" s="5" t="n">
        <v>0</v>
      </c>
      <c r="L8" s="11">
        <f>IF($B$2="-","",IF($B$2="Pauschale",IFERROR(INDEX('Projekt-Budget-Übersicht'!$H:$H,MATCH(A8,'Projekt-Budget-Übersicht'!$A:$A,0)),""),IF($B$2="SV",IFERROR(INDEX('Projekt-Budget-Übersicht'!$H:$H,MATCH(A8,'Projekt-Budget-Übersicht'!$A:$A,0)),""),IF($B$2="CAD",IFERROR(INDEX('Projekt-Budget-Übersicht'!$I:$I,MATCH(A8,'Projekt-Budget-Übersicht'!$A:$A,0)),""),IF($B$2="ADM",IFERROR(INDEX('Projekt-Budget-Übersicht'!$J:$J,MATCH(A8,'Projekt-Budget-Übersicht'!$A:$A,0)),""),"")))))</f>
        <v/>
      </c>
      <c r="M8" s="11">
        <f>IF($B$2="-","",L8*(F8+I8+K8))</f>
        <v/>
      </c>
      <c r="N8" s="11">
        <f>IFERROR(INDEX('Projekt-Budget-Übersicht'!$E:$E,MATCH(A8,'Projekt-Budget-Übersicht'!$A:$A,0)),"")</f>
        <v/>
      </c>
      <c r="O8" s="11" t="inlineStr"/>
      <c r="P8" s="11" t="inlineStr"/>
    </row>
    <row r="9">
      <c r="A9" s="4" t="inlineStr">
        <is>
          <t>5955.08 RAK-FWP-Mosbacher-Straße-55-Wiesbaden-Hauptstaatsarchiv</t>
        </is>
      </c>
      <c r="B9" s="4" t="inlineStr">
        <is>
          <t>9200-Erstellen od. Prüfen Feuerwehrpläne….</t>
        </is>
      </c>
      <c r="C9" s="4" t="inlineStr">
        <is>
          <t>G</t>
        </is>
      </c>
      <c r="D9" s="4" t="n">
        <v>80</v>
      </c>
      <c r="E9" s="4" t="n">
        <v>80</v>
      </c>
      <c r="F9" s="4" t="n">
        <v>2</v>
      </c>
      <c r="G9" s="14" t="n">
        <v>100</v>
      </c>
      <c r="H9" s="5" t="n"/>
      <c r="I9" s="5">
        <f>IF(H9=0,"",F9-H9)</f>
        <v/>
      </c>
      <c r="J9" s="4" t="n"/>
      <c r="K9" s="5" t="n">
        <v>0</v>
      </c>
      <c r="L9" s="11">
        <f>IF($B$2="-","",IF($B$2="Pauschale",IFERROR(INDEX('Projekt-Budget-Übersicht'!$H:$H,MATCH(A9,'Projekt-Budget-Übersicht'!$A:$A,0)),""),IF($B$2="SV",IFERROR(INDEX('Projekt-Budget-Übersicht'!$H:$H,MATCH(A9,'Projekt-Budget-Übersicht'!$A:$A,0)),""),IF($B$2="CAD",IFERROR(INDEX('Projekt-Budget-Übersicht'!$I:$I,MATCH(A9,'Projekt-Budget-Übersicht'!$A:$A,0)),""),IF($B$2="ADM",IFERROR(INDEX('Projekt-Budget-Übersicht'!$J:$J,MATCH(A9,'Projekt-Budget-Übersicht'!$A:$A,0)),""),"")))))</f>
        <v/>
      </c>
      <c r="M9" s="11">
        <f>IF($B$2="-","",L9*(F9+I9+K9))</f>
        <v/>
      </c>
      <c r="N9" s="11">
        <f>IFERROR(INDEX('Projekt-Budget-Übersicht'!$E:$E,MATCH(A9,'Projekt-Budget-Übersicht'!$A:$A,0)),"")</f>
        <v/>
      </c>
      <c r="O9" s="11" t="inlineStr"/>
      <c r="P9" s="11" t="inlineStr"/>
    </row>
    <row r="10">
      <c r="A10" s="4" t="inlineStr">
        <is>
          <t>7302.01 PretiumPlus-NAT-BTB-Rheingaustr186-Wiesbaden</t>
        </is>
      </c>
      <c r="B10" s="4" t="inlineStr">
        <is>
          <t>SV</t>
        </is>
      </c>
      <c r="C10" s="4" t="inlineStr">
        <is>
          <t>G</t>
        </is>
      </c>
      <c r="D10" s="4" t="n">
        <v>20</v>
      </c>
      <c r="E10" s="4" t="n">
        <v>5.25</v>
      </c>
      <c r="F10" s="4" t="n">
        <v>1</v>
      </c>
      <c r="G10" s="17" t="n">
        <v>26.25</v>
      </c>
      <c r="H10" s="5" t="n"/>
      <c r="I10" s="5">
        <f>IF(H10=0,"",F10-H10)</f>
        <v/>
      </c>
      <c r="J10" s="4" t="n"/>
      <c r="K10" s="5" t="n">
        <v>0</v>
      </c>
      <c r="L10" s="11">
        <f>IF($B$2="-","",IF($B$2="Pauschale",IFERROR(INDEX('Projekt-Budget-Übersicht'!$H:$H,MATCH(A10,'Projekt-Budget-Übersicht'!$A:$A,0)),""),IF($B$2="SV",IFERROR(INDEX('Projekt-Budget-Übersicht'!$H:$H,MATCH(A10,'Projekt-Budget-Übersicht'!$A:$A,0)),""),IF($B$2="CAD",IFERROR(INDEX('Projekt-Budget-Übersicht'!$I:$I,MATCH(A10,'Projekt-Budget-Übersicht'!$A:$A,0)),""),IF($B$2="ADM",IFERROR(INDEX('Projekt-Budget-Übersicht'!$J:$J,MATCH(A10,'Projekt-Budget-Übersicht'!$A:$A,0)),""),"")))))</f>
        <v/>
      </c>
      <c r="M10" s="11">
        <f>IF($B$2="-","",L10*(F10+I10+K10))</f>
        <v/>
      </c>
      <c r="N10" s="11">
        <f>IFERROR(INDEX('Projekt-Budget-Übersicht'!$E:$E,MATCH(A10,'Projekt-Budget-Übersicht'!$A:$A,0)),"")</f>
        <v/>
      </c>
      <c r="O10" s="11" t="inlineStr"/>
      <c r="P10" s="11" t="inlineStr"/>
    </row>
    <row r="11">
      <c r="A11" s="4" t="inlineStr">
        <is>
          <t>7384 Brandschutzzentrale-Fireschutz-BSH-Bielefeld</t>
        </is>
      </c>
      <c r="B11" s="4" t="inlineStr">
        <is>
          <t>25-07-01 (p) prakt. Unterweisung (MA250060272)</t>
        </is>
      </c>
      <c r="C11" s="4" t="inlineStr">
        <is>
          <t>G</t>
        </is>
      </c>
      <c r="D11" s="4" t="n">
        <v>5</v>
      </c>
      <c r="E11" s="4" t="n">
        <v>3</v>
      </c>
      <c r="F11" s="4" t="n">
        <v>2</v>
      </c>
      <c r="G11" s="17" t="n">
        <v>60</v>
      </c>
      <c r="H11" s="5" t="n"/>
      <c r="I11" s="5">
        <f>IF(H11=0,"",F11-H11)</f>
        <v/>
      </c>
      <c r="J11" s="4" t="n"/>
      <c r="K11" s="5">
        <f>IF('E. Bieler'!J30="D. Brucker",'E. Bieler'!I30,0)</f>
        <v/>
      </c>
      <c r="L11" s="11">
        <f>IF($B$2="-","",IF($B$2="Pauschale",IFERROR(INDEX('Projekt-Budget-Übersicht'!$H:$H,MATCH(A11,'Projekt-Budget-Übersicht'!$A:$A,0)),""),IF($B$2="SV",IFERROR(INDEX('Projekt-Budget-Übersicht'!$H:$H,MATCH(A11,'Projekt-Budget-Übersicht'!$A:$A,0)),""),IF($B$2="CAD",IFERROR(INDEX('Projekt-Budget-Übersicht'!$I:$I,MATCH(A11,'Projekt-Budget-Übersicht'!$A:$A,0)),""),IF($B$2="ADM",IFERROR(INDEX('Projekt-Budget-Übersicht'!$J:$J,MATCH(A11,'Projekt-Budget-Übersicht'!$A:$A,0)),""),"")))))</f>
        <v/>
      </c>
      <c r="M11" s="11">
        <f>IF($B$2="-","",L11*(F11+I11+K11))</f>
        <v/>
      </c>
      <c r="N11" s="11">
        <f>IFERROR(INDEX('Projekt-Budget-Übersicht'!$E:$E,MATCH(A11,'Projekt-Budget-Übersicht'!$A:$A,0)),"")</f>
        <v/>
      </c>
      <c r="O11" s="11" t="inlineStr"/>
      <c r="P11" s="11" t="inlineStr"/>
    </row>
    <row r="12">
      <c r="A12" s="4" t="inlineStr">
        <is>
          <t>7394.01 TCO-BST-divBestandsdächer-Soldev-div.-Standorte</t>
        </is>
      </c>
      <c r="B12" s="4" t="inlineStr">
        <is>
          <t>(aN) Pos. 1 Brandschutztechnische Stellungnahmen (SV)</t>
        </is>
      </c>
      <c r="C12" s="4" t="inlineStr">
        <is>
          <t>G</t>
        </is>
      </c>
      <c r="D12" s="4" t="n">
        <v>20</v>
      </c>
      <c r="E12" s="4" t="n">
        <v>20.5</v>
      </c>
      <c r="F12" s="4" t="n">
        <v>18.5</v>
      </c>
      <c r="G12" s="16" t="n">
        <v>102.5</v>
      </c>
      <c r="H12" s="5" t="n"/>
      <c r="I12" s="5">
        <f>IF(H12=0,"",F12-H12)</f>
        <v/>
      </c>
      <c r="J12" s="4" t="n"/>
      <c r="K12" s="5">
        <f>IF('S. Schüler'!J38="D. Brucker",'S. Schüler'!I38,0)</f>
        <v/>
      </c>
      <c r="L12" s="11">
        <f>IF($B$2="-","",IF($B$2="Pauschale",IFERROR(INDEX('Projekt-Budget-Übersicht'!$H:$H,MATCH(A12,'Projekt-Budget-Übersicht'!$A:$A,0)),""),IF($B$2="SV",IFERROR(INDEX('Projekt-Budget-Übersicht'!$H:$H,MATCH(A12,'Projekt-Budget-Übersicht'!$A:$A,0)),""),IF($B$2="CAD",IFERROR(INDEX('Projekt-Budget-Übersicht'!$I:$I,MATCH(A12,'Projekt-Budget-Übersicht'!$A:$A,0)),""),IF($B$2="ADM",IFERROR(INDEX('Projekt-Budget-Übersicht'!$J:$J,MATCH(A12,'Projekt-Budget-Übersicht'!$A:$A,0)),""),"")))))</f>
        <v/>
      </c>
      <c r="M12" s="11">
        <f>IF($B$2="-","",L12*(F12+I12+K12))</f>
        <v/>
      </c>
      <c r="N12" s="11">
        <f>IFERROR(INDEX('Projekt-Budget-Übersicht'!$E:$E,MATCH(A12,'Projekt-Budget-Übersicht'!$A:$A,0)),"")</f>
        <v/>
      </c>
      <c r="O12" s="11" t="inlineStr"/>
      <c r="P12" s="11" t="inlineStr"/>
    </row>
    <row r="13">
      <c r="A13" s="13" t="inlineStr">
        <is>
          <t>7414 HJVV-BSK-NB-Wohnanlage-Trier-Ehrang</t>
        </is>
      </c>
      <c r="B13" s="4" t="inlineStr">
        <is>
          <t>(aN) Pos. 1 BTB + Abstimmungstermine (SV ~40h á 115€/h) 4.600€</t>
        </is>
      </c>
      <c r="C13" s="4" t="inlineStr">
        <is>
          <t>G</t>
        </is>
      </c>
      <c r="D13" s="4" t="n">
        <v>40</v>
      </c>
      <c r="E13" s="4" t="n">
        <v>2.25</v>
      </c>
      <c r="F13" s="4" t="n">
        <v>1</v>
      </c>
      <c r="G13" s="17" t="n">
        <v>5.62</v>
      </c>
      <c r="H13" s="5" t="n"/>
      <c r="I13" s="5">
        <f>IF(H13=0,"",F13-H13)</f>
        <v/>
      </c>
      <c r="J13" s="4" t="n"/>
      <c r="K13" s="5" t="n">
        <v>0</v>
      </c>
      <c r="L13" s="11">
        <f>IF($B$2="-","",IF($B$2="Pauschale",IFERROR(INDEX('Projekt-Budget-Übersicht'!$H:$H,MATCH(A13,'Projekt-Budget-Übersicht'!$A:$A,0)),""),IF($B$2="SV",IFERROR(INDEX('Projekt-Budget-Übersicht'!$H:$H,MATCH(A13,'Projekt-Budget-Übersicht'!$A:$A,0)),""),IF($B$2="CAD",IFERROR(INDEX('Projekt-Budget-Übersicht'!$I:$I,MATCH(A13,'Projekt-Budget-Übersicht'!$A:$A,0)),""),IF($B$2="ADM",IFERROR(INDEX('Projekt-Budget-Übersicht'!$J:$J,MATCH(A13,'Projekt-Budget-Übersicht'!$A:$A,0)),""),"")))))</f>
        <v/>
      </c>
      <c r="M13" s="11">
        <f>IF($B$2="-","",L13*(F13+I13+K13))</f>
        <v/>
      </c>
      <c r="N13" s="11">
        <f>IFERROR(INDEX('Projekt-Budget-Übersicht'!$E:$E,MATCH(A13,'Projekt-Budget-Übersicht'!$A:$A,0)),"")</f>
        <v/>
      </c>
      <c r="O13" s="11" t="inlineStr"/>
      <c r="P13" s="11" t="inlineStr"/>
    </row>
    <row r="14">
      <c r="A14" s="15" t="n"/>
      <c r="B14" s="4" t="inlineStr">
        <is>
          <t>SV</t>
        </is>
      </c>
      <c r="C14" s="4" t="inlineStr">
        <is>
          <t>G</t>
        </is>
      </c>
      <c r="D14" s="4" t="n">
        <v>40</v>
      </c>
      <c r="E14" s="4" t="n">
        <v>26</v>
      </c>
      <c r="F14" s="4" t="n">
        <v>24</v>
      </c>
      <c r="G14" s="17" t="n">
        <v>65</v>
      </c>
      <c r="H14" s="5" t="n"/>
      <c r="I14" s="5">
        <f>IF(H14=0,"",F14-H14)</f>
        <v/>
      </c>
      <c r="J14" s="4" t="n"/>
      <c r="K14" s="5">
        <f>IF('E. Bieler'!J31="D. Brucker",'E. Bieler'!I31,0)</f>
        <v/>
      </c>
      <c r="L14" s="11">
        <f>IF($B$2="-","",IF($B$2="Pauschale",IFERROR(INDEX('Projekt-Budget-Übersicht'!$H:$H,MATCH(A14,'Projekt-Budget-Übersicht'!$A:$A,0)),""),IF($B$2="SV",IFERROR(INDEX('Projekt-Budget-Übersicht'!$H:$H,MATCH(A14,'Projekt-Budget-Übersicht'!$A:$A,0)),""),IF($B$2="CAD",IFERROR(INDEX('Projekt-Budget-Übersicht'!$I:$I,MATCH(A14,'Projekt-Budget-Übersicht'!$A:$A,0)),""),IF($B$2="ADM",IFERROR(INDEX('Projekt-Budget-Übersicht'!$J:$J,MATCH(A14,'Projekt-Budget-Übersicht'!$A:$A,0)),""),"")))))</f>
        <v/>
      </c>
      <c r="M14" s="11">
        <f>IF($B$2="-","",L14*(F14+I14+K14))</f>
        <v/>
      </c>
      <c r="N14" s="11">
        <f>IFERROR(INDEX('Projekt-Budget-Übersicht'!$E:$E,MATCH(A14,'Projekt-Budget-Übersicht'!$A:$A,0)),"")</f>
        <v/>
      </c>
      <c r="O14" s="11" t="inlineStr"/>
      <c r="P14" s="11" t="inlineStr"/>
    </row>
    <row r="15">
      <c r="A15" s="4" t="inlineStr">
        <is>
          <t>7459 Baupionier-BTB-Prüfung-Details-Garagenparks</t>
        </is>
      </c>
      <c r="B15" s="4" t="inlineStr">
        <is>
          <t>0300-QM, prüfen Plausibilität, Fertigstellung der Unterlagen</t>
        </is>
      </c>
      <c r="C15" s="4" t="inlineStr">
        <is>
          <t>G</t>
        </is>
      </c>
      <c r="D15" s="4" t="n">
        <v>2</v>
      </c>
      <c r="E15" s="4" t="n">
        <v>1</v>
      </c>
      <c r="F15" s="4" t="n">
        <v>1</v>
      </c>
      <c r="G15" s="17" t="n">
        <v>50</v>
      </c>
      <c r="H15" s="5" t="n"/>
      <c r="I15" s="5">
        <f>IF(H15=0,"",F15-H15)</f>
        <v/>
      </c>
      <c r="J15" s="4" t="n"/>
      <c r="K15" s="5" t="n">
        <v>0</v>
      </c>
      <c r="L15" s="11">
        <f>IF($B$2="-","",IF($B$2="Pauschale",IFERROR(INDEX('Projekt-Budget-Übersicht'!$H:$H,MATCH(A15,'Projekt-Budget-Übersicht'!$A:$A,0)),""),IF($B$2="SV",IFERROR(INDEX('Projekt-Budget-Übersicht'!$H:$H,MATCH(A15,'Projekt-Budget-Übersicht'!$A:$A,0)),""),IF($B$2="CAD",IFERROR(INDEX('Projekt-Budget-Übersicht'!$I:$I,MATCH(A15,'Projekt-Budget-Übersicht'!$A:$A,0)),""),IF($B$2="ADM",IFERROR(INDEX('Projekt-Budget-Übersicht'!$J:$J,MATCH(A15,'Projekt-Budget-Übersicht'!$A:$A,0)),""),"")))))</f>
        <v/>
      </c>
      <c r="M15" s="11">
        <f>IF($B$2="-","",L15*(F15+I15+K15))</f>
        <v/>
      </c>
      <c r="N15" s="11">
        <f>IFERROR(INDEX('Projekt-Budget-Übersicht'!$E:$E,MATCH(A15,'Projekt-Budget-Übersicht'!$A:$A,0)),"")</f>
        <v/>
      </c>
      <c r="O15" s="11" t="inlineStr"/>
      <c r="P15" s="11" t="inlineStr"/>
    </row>
    <row r="16">
      <c r="A16" s="3" t="inlineStr"/>
      <c r="B16" s="3" t="inlineStr">
        <is>
          <t>Summe</t>
        </is>
      </c>
      <c r="C16" s="3" t="inlineStr"/>
      <c r="D16" s="3" t="inlineStr"/>
      <c r="E16" s="3" t="inlineStr"/>
      <c r="F16" s="6" t="n">
        <v>62.5</v>
      </c>
      <c r="G16" s="3" t="inlineStr"/>
      <c r="H16" s="3" t="inlineStr"/>
      <c r="I16" s="3" t="inlineStr"/>
      <c r="J16" s="3" t="inlineStr"/>
      <c r="K16" s="3" t="inlineStr"/>
      <c r="L16" s="3" t="n"/>
      <c r="M16" s="3" t="n"/>
      <c r="N16" s="3" t="n"/>
      <c r="O16" s="3" t="n"/>
      <c r="P16" s="3" t="n"/>
    </row>
    <row r="17">
      <c r="A17" s="3" t="inlineStr"/>
      <c r="B17" s="3" t="inlineStr">
        <is>
          <t>Bonusberechtigte Stunden</t>
        </is>
      </c>
      <c r="C17" s="3" t="inlineStr"/>
      <c r="D17" s="3" t="inlineStr"/>
      <c r="E17" s="3" t="inlineStr"/>
      <c r="F17" s="6">
        <f>G17+H17</f>
        <v/>
      </c>
      <c r="G17" s="6" t="n">
        <v>31</v>
      </c>
      <c r="H17" s="6">
        <f>SUM(H8,H9,H10,H11,H12,H13,H14,H15)</f>
        <v/>
      </c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</row>
    <row r="18">
      <c r="A18" s="3" t="inlineStr"/>
      <c r="B18" s="3" t="inlineStr">
        <is>
          <t>Bonusberechtigte Stunden Sonderprojekt</t>
        </is>
      </c>
      <c r="C18" s="3" t="inlineStr"/>
      <c r="D18" s="3" t="inlineStr"/>
      <c r="E18" s="3" t="inlineStr"/>
      <c r="F18" s="6">
        <f>G18+H18</f>
        <v/>
      </c>
      <c r="G18" s="6" t="n">
        <v>2</v>
      </c>
      <c r="H18" s="6">
        <f>SUM(H6,H7)</f>
        <v/>
      </c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</row>
    <row r="19">
      <c r="A19" s="3" t="inlineStr"/>
      <c r="B19" s="3" t="inlineStr">
        <is>
          <t>Zugeordnete Stunden von anderen MA</t>
        </is>
      </c>
      <c r="C19" s="3" t="inlineStr"/>
      <c r="D19" s="3" t="inlineStr"/>
      <c r="E19" s="3" t="inlineStr"/>
      <c r="F19" s="6">
        <f>SUM(K6:K15)</f>
        <v/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</row>
    <row r="20">
      <c r="A20" s="18" t="inlineStr"/>
      <c r="B20" s="18" t="inlineStr">
        <is>
          <t>Gesamt Bonus Stunden</t>
        </is>
      </c>
      <c r="C20" s="18" t="inlineStr"/>
      <c r="D20" s="18" t="inlineStr"/>
      <c r="E20" s="18" t="inlineStr"/>
      <c r="F20" s="19">
        <f>F17+F18+F19</f>
        <v/>
      </c>
      <c r="G20" s="18" t="inlineStr"/>
      <c r="H20" s="18" t="inlineStr"/>
      <c r="I20" s="18" t="inlineStr"/>
      <c r="J20" s="18" t="inlineStr"/>
      <c r="K20" s="18" t="inlineStr"/>
      <c r="L20" s="18" t="n"/>
      <c r="M20" s="18" t="n"/>
      <c r="N20" s="18" t="n"/>
      <c r="O20" s="18" t="n"/>
      <c r="P20" s="18" t="n"/>
    </row>
    <row r="22">
      <c r="A22" s="2" t="inlineStr">
        <is>
          <t>--- August 2025 ---</t>
        </is>
      </c>
    </row>
    <row r="23">
      <c r="A23" s="3" t="inlineStr">
        <is>
          <t>Projekt</t>
        </is>
      </c>
      <c r="B23" s="3" t="inlineStr">
        <is>
          <t>Meilenstein</t>
        </is>
      </c>
      <c r="C23" s="3" t="inlineStr">
        <is>
          <t>Typ</t>
        </is>
      </c>
      <c r="D23" s="3" t="inlineStr">
        <is>
          <t>Soll (h)</t>
        </is>
      </c>
      <c r="E23" s="3" t="inlineStr">
        <is>
          <t>Ist (h)</t>
        </is>
      </c>
      <c r="F23" s="3" t="inlineStr">
        <is>
          <t>August 2025 (h)</t>
        </is>
      </c>
      <c r="G23" s="3" t="inlineStr">
        <is>
          <t>%</t>
        </is>
      </c>
      <c r="H23" s="3" t="inlineStr">
        <is>
          <t>Bonus-Anpassung (h)</t>
        </is>
      </c>
      <c r="I23" s="3" t="inlineStr">
        <is>
          <t>Differenz (h)</t>
        </is>
      </c>
      <c r="J23" s="3" t="inlineStr">
        <is>
          <t>Zuordnen an</t>
        </is>
      </c>
      <c r="K23" s="3" t="inlineStr">
        <is>
          <t>Von anderen (h)</t>
        </is>
      </c>
      <c r="L23" s="3" t="inlineStr">
        <is>
          <t>Stundensatz (€/h)</t>
        </is>
      </c>
      <c r="M23" s="3" t="inlineStr">
        <is>
          <t>Umsatz (€)</t>
        </is>
      </c>
      <c r="N23" s="3" t="inlineStr">
        <is>
          <t>Budget Gesamt (€)</t>
        </is>
      </c>
      <c r="O23" s="3" t="inlineStr">
        <is>
          <t>Budget Ist (€)</t>
        </is>
      </c>
      <c r="P23" s="3" t="inlineStr">
        <is>
          <t>Budget Erwirtschaftet (€)</t>
        </is>
      </c>
    </row>
    <row r="24">
      <c r="A24" s="4" t="inlineStr">
        <is>
          <t>7414 HJVV-BSK-NB-Wohnanlage-Trier-Ehrang</t>
        </is>
      </c>
      <c r="B24" s="4" t="inlineStr">
        <is>
          <t>(aN) Pos. 1 BTB + Abstimmungstermine (SV ~40h á 115€/h) 4.600€</t>
        </is>
      </c>
      <c r="C24" s="4" t="inlineStr">
        <is>
          <t>G</t>
        </is>
      </c>
      <c r="D24" s="4" t="n">
        <v>40</v>
      </c>
      <c r="E24" s="4" t="n">
        <v>25.25</v>
      </c>
      <c r="F24" s="4" t="n">
        <v>23</v>
      </c>
      <c r="G24" s="17" t="n">
        <v>63.12</v>
      </c>
      <c r="H24" s="5" t="n"/>
      <c r="I24" s="5">
        <f>IF(H24=0,"",F24-H24)</f>
        <v/>
      </c>
      <c r="J24" s="4" t="n"/>
      <c r="K24" s="5" t="n">
        <v>0</v>
      </c>
      <c r="L24" s="11">
        <f>IF($B$2="-","",IF($B$2="Pauschale",IFERROR(INDEX('Projekt-Budget-Übersicht'!$H:$H,MATCH(A24,'Projekt-Budget-Übersicht'!$A:$A,0)),""),IF($B$2="SV",IFERROR(INDEX('Projekt-Budget-Übersicht'!$H:$H,MATCH(A24,'Projekt-Budget-Übersicht'!$A:$A,0)),""),IF($B$2="CAD",IFERROR(INDEX('Projekt-Budget-Übersicht'!$I:$I,MATCH(A24,'Projekt-Budget-Übersicht'!$A:$A,0)),""),IF($B$2="ADM",IFERROR(INDEX('Projekt-Budget-Übersicht'!$J:$J,MATCH(A24,'Projekt-Budget-Übersicht'!$A:$A,0)),""),"")))))</f>
        <v/>
      </c>
      <c r="M24" s="11">
        <f>IF($B$2="-","",L24*(F24+I24+K24))</f>
        <v/>
      </c>
      <c r="N24" s="11">
        <f>IFERROR(INDEX('Projekt-Budget-Übersicht'!$E:$E,MATCH(A24,'Projekt-Budget-Übersicht'!$A:$A,0)),"")</f>
        <v/>
      </c>
      <c r="O24" s="11" t="inlineStr"/>
      <c r="P24" s="11" t="inlineStr"/>
    </row>
    <row r="25">
      <c r="A25" s="3" t="inlineStr"/>
      <c r="B25" s="3" t="inlineStr">
        <is>
          <t>Summe</t>
        </is>
      </c>
      <c r="C25" s="3" t="inlineStr"/>
      <c r="D25" s="3" t="inlineStr"/>
      <c r="E25" s="3" t="inlineStr"/>
      <c r="F25" s="6" t="n">
        <v>23</v>
      </c>
      <c r="G25" s="3" t="inlineStr"/>
      <c r="H25" s="3" t="inlineStr"/>
      <c r="I25" s="3" t="inlineStr"/>
      <c r="J25" s="3" t="inlineStr"/>
      <c r="K25" s="3" t="inlineStr"/>
      <c r="L25" s="3" t="n"/>
      <c r="M25" s="3" t="n"/>
      <c r="N25" s="3" t="n"/>
      <c r="O25" s="3" t="n"/>
      <c r="P25" s="3" t="n"/>
    </row>
    <row r="26">
      <c r="A26" s="3" t="inlineStr"/>
      <c r="B26" s="3" t="inlineStr">
        <is>
          <t>Bonusberechtigte Stunden</t>
        </is>
      </c>
      <c r="C26" s="3" t="inlineStr"/>
      <c r="D26" s="3" t="inlineStr"/>
      <c r="E26" s="3" t="inlineStr"/>
      <c r="F26" s="6">
        <f>G26+H26</f>
        <v/>
      </c>
      <c r="G26" s="6" t="n">
        <v>23</v>
      </c>
      <c r="H26" s="6">
        <f>SUM(H24)</f>
        <v/>
      </c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</row>
    <row r="27">
      <c r="A27" s="3" t="inlineStr"/>
      <c r="B27" s="3" t="inlineStr">
        <is>
          <t>Bonusberechtigte Stunden Sonderprojekt</t>
        </is>
      </c>
      <c r="C27" s="3" t="inlineStr"/>
      <c r="D27" s="3" t="inlineStr"/>
      <c r="E27" s="3" t="inlineStr"/>
      <c r="F27" s="6" t="n">
        <v>0</v>
      </c>
      <c r="G27" s="6" t="n">
        <v>0</v>
      </c>
      <c r="H27" s="6" t="n">
        <v>0</v>
      </c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</row>
    <row r="28">
      <c r="A28" s="3" t="inlineStr"/>
      <c r="B28" s="3" t="inlineStr">
        <is>
          <t>Zugeordnete Stunden von anderen MA</t>
        </is>
      </c>
      <c r="C28" s="3" t="inlineStr"/>
      <c r="D28" s="3" t="inlineStr"/>
      <c r="E28" s="3" t="inlineStr"/>
      <c r="F28" s="6">
        <f>SUM(K24:K24)</f>
        <v/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</row>
    <row r="29">
      <c r="A29" s="18" t="inlineStr"/>
      <c r="B29" s="18" t="inlineStr">
        <is>
          <t>Gesamt Bonus Stunden</t>
        </is>
      </c>
      <c r="C29" s="18" t="inlineStr"/>
      <c r="D29" s="18" t="inlineStr"/>
      <c r="E29" s="18" t="inlineStr"/>
      <c r="F29" s="19">
        <f>F26+F27+F28</f>
        <v/>
      </c>
      <c r="G29" s="18" t="inlineStr"/>
      <c r="H29" s="18" t="inlineStr"/>
      <c r="I29" s="18" t="inlineStr"/>
      <c r="J29" s="18" t="inlineStr"/>
      <c r="K29" s="18" t="inlineStr"/>
      <c r="L29" s="18" t="n"/>
      <c r="M29" s="18" t="n"/>
      <c r="N29" s="18" t="n"/>
      <c r="O29" s="18" t="n"/>
      <c r="P29" s="18" t="n"/>
    </row>
    <row r="31">
      <c r="A31" s="2" t="inlineStr">
        <is>
          <t>--- September 2025 ---</t>
        </is>
      </c>
    </row>
    <row r="32">
      <c r="A32" s="3" t="inlineStr">
        <is>
          <t>Projekt</t>
        </is>
      </c>
      <c r="B32" s="3" t="inlineStr">
        <is>
          <t>Meilenstein</t>
        </is>
      </c>
      <c r="C32" s="3" t="inlineStr">
        <is>
          <t>Typ</t>
        </is>
      </c>
      <c r="D32" s="3" t="inlineStr">
        <is>
          <t>Soll (h)</t>
        </is>
      </c>
      <c r="E32" s="3" t="inlineStr">
        <is>
          <t>Ist (h)</t>
        </is>
      </c>
      <c r="F32" s="3" t="inlineStr">
        <is>
          <t>September 2025 (h)</t>
        </is>
      </c>
      <c r="G32" s="3" t="inlineStr">
        <is>
          <t>%</t>
        </is>
      </c>
      <c r="H32" s="3" t="inlineStr">
        <is>
          <t>Bonus-Anpassung (h)</t>
        </is>
      </c>
      <c r="I32" s="3" t="inlineStr">
        <is>
          <t>Differenz (h)</t>
        </is>
      </c>
      <c r="J32" s="3" t="inlineStr">
        <is>
          <t>Zuordnen an</t>
        </is>
      </c>
      <c r="K32" s="3" t="inlineStr">
        <is>
          <t>Von anderen (h)</t>
        </is>
      </c>
      <c r="L32" s="3" t="inlineStr">
        <is>
          <t>Stundensatz (€/h)</t>
        </is>
      </c>
      <c r="M32" s="3" t="inlineStr">
        <is>
          <t>Umsatz (€)</t>
        </is>
      </c>
      <c r="N32" s="3" t="inlineStr">
        <is>
          <t>Budget Gesamt (€)</t>
        </is>
      </c>
      <c r="O32" s="3" t="inlineStr">
        <is>
          <t>Budget Ist (€)</t>
        </is>
      </c>
      <c r="P32" s="3" t="inlineStr">
        <is>
          <t>Budget Erwirtschaftet (€)</t>
        </is>
      </c>
    </row>
    <row r="33">
      <c r="A33" s="4" t="inlineStr">
        <is>
          <t>0000 Sonderprojekt für Bonus</t>
        </is>
      </c>
      <c r="B33" s="4" t="inlineStr">
        <is>
          <t>Angebote-Ausschreibungen-Kalkulationen (max. 8h/Monat pro MA)</t>
        </is>
      </c>
      <c r="C33" s="4" t="inlineStr">
        <is>
          <t>M</t>
        </is>
      </c>
      <c r="D33" s="4" t="n">
        <v>8</v>
      </c>
      <c r="E33" s="4" t="n">
        <v>8</v>
      </c>
      <c r="F33" s="4" t="n">
        <v>8</v>
      </c>
      <c r="G33" s="14" t="n">
        <v>100</v>
      </c>
      <c r="H33" s="5" t="n"/>
      <c r="I33" s="5">
        <f>IF(H33=0,"",F33-H33)</f>
        <v/>
      </c>
      <c r="J33" s="4" t="n"/>
      <c r="K33" s="5">
        <f>IF('A. Kokott'!J85="D. Brucker",'A. Kokott'!I85,0)+IF('C. Trapp SV'!J56="D. Brucker",'C. Trapp SV'!I56,0)+IF('J. Dorn'!J83="D. Brucker",'J. Dorn'!I83,0)+IF('O. Haag BS-CAD'!J92="D. Brucker",'O. Haag BS-CAD'!I92,0)+IF('S. Schüler'!J93="D. Brucker",'S. Schüler'!I93,0)+IF('U. Sutter ADM'!J51="D. Brucker",'U. Sutter ADM'!I51,0)</f>
        <v/>
      </c>
      <c r="L33" s="11">
        <f>IF($B$2="-","",IF($B$2="Pauschale",IFERROR(INDEX('Projekt-Budget-Übersicht'!$H:$H,MATCH(A33,'Projekt-Budget-Übersicht'!$A:$A,0)),""),IF($B$2="SV",IFERROR(INDEX('Projekt-Budget-Übersicht'!$H:$H,MATCH(A33,'Projekt-Budget-Übersicht'!$A:$A,0)),""),IF($B$2="CAD",IFERROR(INDEX('Projekt-Budget-Übersicht'!$I:$I,MATCH(A33,'Projekt-Budget-Übersicht'!$A:$A,0)),""),IF($B$2="ADM",IFERROR(INDEX('Projekt-Budget-Übersicht'!$J:$J,MATCH(A33,'Projekt-Budget-Übersicht'!$A:$A,0)),""),"")))))</f>
        <v/>
      </c>
      <c r="M33" s="11">
        <f>IF($B$2="-","",L33*(F33+I33+K33))</f>
        <v/>
      </c>
      <c r="N33" s="11">
        <f>IFERROR(INDEX('Projekt-Budget-Übersicht'!$E:$E,MATCH(A33,'Projekt-Budget-Übersicht'!$A:$A,0)),"")</f>
        <v/>
      </c>
      <c r="O33" s="11" t="inlineStr"/>
      <c r="P33" s="11" t="inlineStr"/>
    </row>
    <row r="34">
      <c r="A34" s="4" t="inlineStr">
        <is>
          <t>5955 Mosbacher-Straße-55-Wiesbaden-Hauptstaatsarchiv</t>
        </is>
      </c>
      <c r="B34" s="4" t="inlineStr">
        <is>
          <t>5204-Mitwirken Erstellen Lüftungsgesuch....</t>
        </is>
      </c>
      <c r="C34" s="4" t="inlineStr">
        <is>
          <t>G</t>
        </is>
      </c>
      <c r="D34" s="4" t="n">
        <v>34</v>
      </c>
      <c r="E34" s="4" t="n">
        <v>5.5</v>
      </c>
      <c r="F34" s="4" t="n">
        <v>4</v>
      </c>
      <c r="G34" s="17" t="n">
        <v>16.18</v>
      </c>
      <c r="H34" s="5" t="n"/>
      <c r="I34" s="5">
        <f>IF(H34=0,"",F34-H34)</f>
        <v/>
      </c>
      <c r="J34" s="4" t="n"/>
      <c r="K34" s="5" t="n">
        <v>0</v>
      </c>
      <c r="L34" s="11">
        <f>IF($B$2="-","",IF($B$2="Pauschale",IFERROR(INDEX('Projekt-Budget-Übersicht'!$H:$H,MATCH(A34,'Projekt-Budget-Übersicht'!$A:$A,0)),""),IF($B$2="SV",IFERROR(INDEX('Projekt-Budget-Übersicht'!$H:$H,MATCH(A34,'Projekt-Budget-Übersicht'!$A:$A,0)),""),IF($B$2="CAD",IFERROR(INDEX('Projekt-Budget-Übersicht'!$I:$I,MATCH(A34,'Projekt-Budget-Übersicht'!$A:$A,0)),""),IF($B$2="ADM",IFERROR(INDEX('Projekt-Budget-Übersicht'!$J:$J,MATCH(A34,'Projekt-Budget-Übersicht'!$A:$A,0)),""),"")))))</f>
        <v/>
      </c>
      <c r="M34" s="11">
        <f>IF($B$2="-","",L34*(F34+I34+K34))</f>
        <v/>
      </c>
      <c r="N34" s="11">
        <f>IFERROR(INDEX('Projekt-Budget-Übersicht'!$E:$E,MATCH(A34,'Projekt-Budget-Übersicht'!$A:$A,0)),"")</f>
        <v/>
      </c>
      <c r="O34" s="11" t="inlineStr"/>
      <c r="P34" s="11" t="inlineStr"/>
    </row>
    <row r="35">
      <c r="A35" s="13" t="inlineStr">
        <is>
          <t>7384 Brandschutzzentrale-Fireschutz-BSH-Bielefeld</t>
        </is>
      </c>
      <c r="B35" s="4" t="inlineStr">
        <is>
          <t>25-07-04 (p) ind. Schulung BSH Idar-Oberstein (MA250060403)</t>
        </is>
      </c>
      <c r="C35" s="4" t="inlineStr">
        <is>
          <t>G</t>
        </is>
      </c>
      <c r="D35" s="4" t="n">
        <v>5</v>
      </c>
      <c r="E35" s="4" t="n">
        <v>5</v>
      </c>
      <c r="F35" s="4" t="n">
        <v>5</v>
      </c>
      <c r="G35" s="14" t="n">
        <v>100</v>
      </c>
      <c r="H35" s="5" t="n"/>
      <c r="I35" s="5">
        <f>IF(H35=0,"",F35-H35)</f>
        <v/>
      </c>
      <c r="J35" s="4" t="n"/>
      <c r="K35" s="5" t="n">
        <v>0</v>
      </c>
      <c r="L35" s="11">
        <f>IF($B$2="-","",IF($B$2="Pauschale",IFERROR(INDEX('Projekt-Budget-Übersicht'!$H:$H,MATCH(A35,'Projekt-Budget-Übersicht'!$A:$A,0)),""),IF($B$2="SV",IFERROR(INDEX('Projekt-Budget-Übersicht'!$H:$H,MATCH(A35,'Projekt-Budget-Übersicht'!$A:$A,0)),""),IF($B$2="CAD",IFERROR(INDEX('Projekt-Budget-Übersicht'!$I:$I,MATCH(A35,'Projekt-Budget-Übersicht'!$A:$A,0)),""),IF($B$2="ADM",IFERROR(INDEX('Projekt-Budget-Übersicht'!$J:$J,MATCH(A35,'Projekt-Budget-Übersicht'!$A:$A,0)),""),"")))))</f>
        <v/>
      </c>
      <c r="M35" s="11">
        <f>IF($B$2="-","",L35*(F35+I35+K35))</f>
        <v/>
      </c>
      <c r="N35" s="11">
        <f>IFERROR(INDEX('Projekt-Budget-Übersicht'!$E:$E,MATCH(A35,'Projekt-Budget-Übersicht'!$A:$A,0)),"")</f>
        <v/>
      </c>
      <c r="O35" s="11" t="inlineStr"/>
      <c r="P35" s="11" t="inlineStr"/>
    </row>
    <row r="36">
      <c r="A36" s="15" t="n"/>
      <c r="B36" s="4" t="inlineStr">
        <is>
          <t>25-09-24 (p) ind. Schulung BSH Grünstadt (MA250060272)</t>
        </is>
      </c>
      <c r="C36" s="4" t="inlineStr">
        <is>
          <t>G</t>
        </is>
      </c>
      <c r="D36" s="4" t="n">
        <v>5</v>
      </c>
      <c r="E36" s="4" t="n">
        <v>3.5</v>
      </c>
      <c r="F36" s="4" t="n">
        <v>3</v>
      </c>
      <c r="G36" s="17" t="n">
        <v>70</v>
      </c>
      <c r="H36" s="5" t="n"/>
      <c r="I36" s="5">
        <f>IF(H36=0,"",F36-H36)</f>
        <v/>
      </c>
      <c r="J36" s="4" t="n"/>
      <c r="K36" s="5" t="n">
        <v>0</v>
      </c>
      <c r="L36" s="11">
        <f>IF($B$2="-","",IF($B$2="Pauschale",IFERROR(INDEX('Projekt-Budget-Übersicht'!$H:$H,MATCH(A36,'Projekt-Budget-Übersicht'!$A:$A,0)),""),IF($B$2="SV",IFERROR(INDEX('Projekt-Budget-Übersicht'!$H:$H,MATCH(A36,'Projekt-Budget-Übersicht'!$A:$A,0)),""),IF($B$2="CAD",IFERROR(INDEX('Projekt-Budget-Übersicht'!$I:$I,MATCH(A36,'Projekt-Budget-Übersicht'!$A:$A,0)),""),IF($B$2="ADM",IFERROR(INDEX('Projekt-Budget-Übersicht'!$J:$J,MATCH(A36,'Projekt-Budget-Übersicht'!$A:$A,0)),""),"")))))</f>
        <v/>
      </c>
      <c r="M36" s="11">
        <f>IF($B$2="-","",L36*(F36+I36+K36))</f>
        <v/>
      </c>
      <c r="N36" s="11">
        <f>IFERROR(INDEX('Projekt-Budget-Übersicht'!$E:$E,MATCH(A36,'Projekt-Budget-Übersicht'!$A:$A,0)),"")</f>
        <v/>
      </c>
      <c r="O36" s="11" t="inlineStr"/>
      <c r="P36" s="11" t="inlineStr"/>
    </row>
    <row r="37">
      <c r="A37" s="4" t="inlineStr">
        <is>
          <t>7414 HJVV-BSK-NB-Wohnanlage-Trier-Ehrang</t>
        </is>
      </c>
      <c r="B37" s="4" t="inlineStr">
        <is>
          <t>(aN) Pos. 1 BTB + Abstimmungstermine (SV ~40h á 115€/h) 4.600€</t>
        </is>
      </c>
      <c r="C37" s="4" t="inlineStr">
        <is>
          <t>G</t>
        </is>
      </c>
      <c r="D37" s="4" t="n">
        <v>40</v>
      </c>
      <c r="E37" s="4" t="n">
        <v>36.75</v>
      </c>
      <c r="F37" s="4" t="n">
        <v>4</v>
      </c>
      <c r="G37" s="14" t="n">
        <v>91.88</v>
      </c>
      <c r="H37" s="5" t="n"/>
      <c r="I37" s="5">
        <f>IF(H37=0,"",F37-H37)</f>
        <v/>
      </c>
      <c r="J37" s="4" t="n"/>
      <c r="K37" s="5">
        <f>IF('S. Schüler'!J113="D. Brucker",'S. Schüler'!I113,0)</f>
        <v/>
      </c>
      <c r="L37" s="11">
        <f>IF($B$2="-","",IF($B$2="Pauschale",IFERROR(INDEX('Projekt-Budget-Übersicht'!$H:$H,MATCH(A37,'Projekt-Budget-Übersicht'!$A:$A,0)),""),IF($B$2="SV",IFERROR(INDEX('Projekt-Budget-Übersicht'!$H:$H,MATCH(A37,'Projekt-Budget-Übersicht'!$A:$A,0)),""),IF($B$2="CAD",IFERROR(INDEX('Projekt-Budget-Übersicht'!$I:$I,MATCH(A37,'Projekt-Budget-Übersicht'!$A:$A,0)),""),IF($B$2="ADM",IFERROR(INDEX('Projekt-Budget-Übersicht'!$J:$J,MATCH(A37,'Projekt-Budget-Übersicht'!$A:$A,0)),""),"")))))</f>
        <v/>
      </c>
      <c r="M37" s="11">
        <f>IF($B$2="-","",L37*(F37+I37+K37))</f>
        <v/>
      </c>
      <c r="N37" s="11">
        <f>IFERROR(INDEX('Projekt-Budget-Übersicht'!$E:$E,MATCH(A37,'Projekt-Budget-Übersicht'!$A:$A,0)),"")</f>
        <v/>
      </c>
      <c r="O37" s="11" t="inlineStr"/>
      <c r="P37" s="11" t="inlineStr"/>
    </row>
    <row r="38">
      <c r="A38" s="4" t="inlineStr">
        <is>
          <t>7448 Seniorenresidenz-Sonnenwinkel-BSH-Im-Füllengarten14-16-Saarbrücken</t>
        </is>
      </c>
      <c r="B38" s="4" t="inlineStr">
        <is>
          <t>SV</t>
        </is>
      </c>
      <c r="C38" s="4" t="inlineStr">
        <is>
          <t>G</t>
        </is>
      </c>
      <c r="D38" s="4" t="n">
        <v>7.5</v>
      </c>
      <c r="E38" s="4" t="n">
        <v>5</v>
      </c>
      <c r="F38" s="4" t="n">
        <v>5</v>
      </c>
      <c r="G38" s="17" t="n">
        <v>66.67</v>
      </c>
      <c r="H38" s="5" t="n"/>
      <c r="I38" s="5">
        <f>IF(H38=0,"",F38-H38)</f>
        <v/>
      </c>
      <c r="J38" s="4" t="n"/>
      <c r="K38" s="5" t="n">
        <v>0</v>
      </c>
      <c r="L38" s="11">
        <f>IF($B$2="-","",IF($B$2="Pauschale",IFERROR(INDEX('Projekt-Budget-Übersicht'!$H:$H,MATCH(A38,'Projekt-Budget-Übersicht'!$A:$A,0)),""),IF($B$2="SV",IFERROR(INDEX('Projekt-Budget-Übersicht'!$H:$H,MATCH(A38,'Projekt-Budget-Übersicht'!$A:$A,0)),""),IF($B$2="CAD",IFERROR(INDEX('Projekt-Budget-Übersicht'!$I:$I,MATCH(A38,'Projekt-Budget-Übersicht'!$A:$A,0)),""),IF($B$2="ADM",IFERROR(INDEX('Projekt-Budget-Übersicht'!$J:$J,MATCH(A38,'Projekt-Budget-Übersicht'!$A:$A,0)),""),"")))))</f>
        <v/>
      </c>
      <c r="M38" s="11">
        <f>IF($B$2="-","",L38*(F38+I38+K38))</f>
        <v/>
      </c>
      <c r="N38" s="11">
        <f>IFERROR(INDEX('Projekt-Budget-Übersicht'!$E:$E,MATCH(A38,'Projekt-Budget-Übersicht'!$A:$A,0)),"")</f>
        <v/>
      </c>
      <c r="O38" s="11" t="inlineStr"/>
      <c r="P38" s="11" t="inlineStr"/>
    </row>
    <row r="39">
      <c r="A39" s="3" t="inlineStr"/>
      <c r="B39" s="3" t="inlineStr">
        <is>
          <t>Summe</t>
        </is>
      </c>
      <c r="C39" s="3" t="inlineStr"/>
      <c r="D39" s="3" t="inlineStr"/>
      <c r="E39" s="3" t="inlineStr"/>
      <c r="F39" s="6" t="n">
        <v>29</v>
      </c>
      <c r="G39" s="3" t="inlineStr"/>
      <c r="H39" s="3" t="inlineStr"/>
      <c r="I39" s="3" t="inlineStr"/>
      <c r="J39" s="3" t="inlineStr"/>
      <c r="K39" s="3" t="inlineStr"/>
      <c r="L39" s="3" t="n"/>
      <c r="M39" s="3" t="n"/>
      <c r="N39" s="3" t="n"/>
      <c r="O39" s="3" t="n"/>
      <c r="P39" s="3" t="n"/>
    </row>
    <row r="40">
      <c r="A40" s="3" t="inlineStr"/>
      <c r="B40" s="3" t="inlineStr">
        <is>
          <t>Bonusberechtigte Stunden</t>
        </is>
      </c>
      <c r="C40" s="3" t="inlineStr"/>
      <c r="D40" s="3" t="inlineStr"/>
      <c r="E40" s="3" t="inlineStr"/>
      <c r="F40" s="6">
        <f>G40+H40</f>
        <v/>
      </c>
      <c r="G40" s="6" t="n">
        <v>21</v>
      </c>
      <c r="H40" s="6">
        <f>SUM(H34,H35,H36,H37,H38)</f>
        <v/>
      </c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inlineStr"/>
    </row>
    <row r="41">
      <c r="A41" s="3" t="inlineStr"/>
      <c r="B41" s="3" t="inlineStr">
        <is>
          <t>Bonusberechtigte Stunden Sonderprojekt</t>
        </is>
      </c>
      <c r="C41" s="3" t="inlineStr"/>
      <c r="D41" s="3" t="inlineStr"/>
      <c r="E41" s="3" t="inlineStr"/>
      <c r="F41" s="6">
        <f>G41+H41</f>
        <v/>
      </c>
      <c r="G41" s="6" t="n">
        <v>8</v>
      </c>
      <c r="H41" s="6">
        <f>SUM(H33)</f>
        <v/>
      </c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</row>
    <row r="42">
      <c r="A42" s="3" t="inlineStr"/>
      <c r="B42" s="3" t="inlineStr">
        <is>
          <t>Zugeordnete Stunden von anderen MA</t>
        </is>
      </c>
      <c r="C42" s="3" t="inlineStr"/>
      <c r="D42" s="3" t="inlineStr"/>
      <c r="E42" s="3" t="inlineStr"/>
      <c r="F42" s="6">
        <f>SUM(K33:K38)</f>
        <v/>
      </c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/>
    </row>
    <row r="43">
      <c r="A43" s="18" t="inlineStr"/>
      <c r="B43" s="18" t="inlineStr">
        <is>
          <t>Gesamt Bonus Stunden</t>
        </is>
      </c>
      <c r="C43" s="18" t="inlineStr"/>
      <c r="D43" s="18" t="inlineStr"/>
      <c r="E43" s="18" t="inlineStr"/>
      <c r="F43" s="19">
        <f>F40+F41+F42</f>
        <v/>
      </c>
      <c r="G43" s="18" t="inlineStr"/>
      <c r="H43" s="18" t="inlineStr"/>
      <c r="I43" s="18" t="inlineStr"/>
      <c r="J43" s="18" t="inlineStr"/>
      <c r="K43" s="18" t="inlineStr"/>
      <c r="L43" s="18" t="n"/>
      <c r="M43" s="18" t="n"/>
      <c r="N43" s="18" t="n"/>
      <c r="O43" s="18" t="n"/>
      <c r="P43" s="18" t="n"/>
    </row>
    <row r="45">
      <c r="A45" s="2" t="inlineStr">
        <is>
          <t>--- Übertragshilfe ---</t>
        </is>
      </c>
    </row>
    <row r="46">
      <c r="A46" s="3" t="inlineStr">
        <is>
          <t>Monat</t>
        </is>
      </c>
      <c r="B46" s="3" t="inlineStr">
        <is>
          <t>Mitarbeiter</t>
        </is>
      </c>
      <c r="C46" s="3" t="inlineStr">
        <is>
          <t>Prod. Stunden</t>
        </is>
      </c>
      <c r="D46" s="3" t="inlineStr">
        <is>
          <t>Bonusberechtigte Stunden</t>
        </is>
      </c>
      <c r="E46" s="3" t="inlineStr">
        <is>
          <t>Bonusberechtigte Stunden Sonderprojekt</t>
        </is>
      </c>
      <c r="F46" s="3" t="inlineStr">
        <is>
          <t>Zugeordnet von anderen</t>
        </is>
      </c>
      <c r="G46" s="3" t="inlineStr">
        <is>
          <t>Gesamt Bonus</t>
        </is>
      </c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</row>
    <row r="47">
      <c r="A47" s="4" t="inlineStr">
        <is>
          <t>Juli 2025</t>
        </is>
      </c>
      <c r="B47" s="4" t="inlineStr">
        <is>
          <t>D. Brucker</t>
        </is>
      </c>
      <c r="C47" s="4">
        <f>F16</f>
        <v/>
      </c>
      <c r="D47" s="4">
        <f>F17</f>
        <v/>
      </c>
      <c r="E47" s="4">
        <f>F18</f>
        <v/>
      </c>
      <c r="F47" s="4">
        <f>F19</f>
        <v/>
      </c>
      <c r="G47" s="4">
        <f>F20</f>
        <v/>
      </c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</row>
    <row r="48">
      <c r="A48" s="4" t="inlineStr">
        <is>
          <t>August 2025</t>
        </is>
      </c>
      <c r="B48" s="4" t="inlineStr">
        <is>
          <t>D. Brucker</t>
        </is>
      </c>
      <c r="C48" s="4">
        <f>F25</f>
        <v/>
      </c>
      <c r="D48" s="4">
        <f>F26</f>
        <v/>
      </c>
      <c r="E48" s="4">
        <f>F27</f>
        <v/>
      </c>
      <c r="F48" s="4">
        <f>F28</f>
        <v/>
      </c>
      <c r="G48" s="4">
        <f>F29</f>
        <v/>
      </c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</row>
    <row r="49">
      <c r="A49" s="4" t="inlineStr">
        <is>
          <t>September 2025</t>
        </is>
      </c>
      <c r="B49" s="4" t="inlineStr">
        <is>
          <t>D. Brucker</t>
        </is>
      </c>
      <c r="C49" s="4">
        <f>F39</f>
        <v/>
      </c>
      <c r="D49" s="4">
        <f>F40</f>
        <v/>
      </c>
      <c r="E49" s="4">
        <f>F41</f>
        <v/>
      </c>
      <c r="F49" s="4">
        <f>F42</f>
        <v/>
      </c>
      <c r="G49" s="4">
        <f>F43</f>
        <v/>
      </c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</row>
    <row r="52">
      <c r="A52" s="2" t="inlineStr">
        <is>
          <t>--- Gesamtstunden 2025Q3 ---</t>
        </is>
      </c>
    </row>
    <row r="53">
      <c r="A53" s="12" t="inlineStr">
        <is>
          <t>Gesamt eingetragene Stunden:</t>
        </is>
      </c>
      <c r="B53" s="12" t="n">
        <v>114.5</v>
      </c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</row>
    <row r="54">
      <c r="A54" s="12" t="inlineStr">
        <is>
          <t>Bonusberechtigte Stunden (Quartal):</t>
        </is>
      </c>
      <c r="B54" s="20">
        <f>SUM(F17,F26,F40)</f>
        <v/>
      </c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</row>
    <row r="55">
      <c r="A55" s="12" t="inlineStr">
        <is>
          <t>Bonusberechtigte Stunden Sonderprojekt (Quartal):</t>
        </is>
      </c>
      <c r="B55" s="20">
        <f>SUM(F18,F27,F41)</f>
        <v/>
      </c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</row>
  </sheetData>
  <mergeCells count="3">
    <mergeCell ref="A35:A36"/>
    <mergeCell ref="A13:A14"/>
    <mergeCell ref="A6:A7"/>
  </mergeCells>
  <conditionalFormatting sqref="I6">
    <cfRule type="cellIs" priority="1" operator="lessThan" dxfId="0" stopIfTrue="1">
      <formula>0</formula>
    </cfRule>
  </conditionalFormatting>
  <conditionalFormatting sqref="I7">
    <cfRule type="cellIs" priority="2" operator="lessThan" dxfId="0" stopIfTrue="1">
      <formula>0</formula>
    </cfRule>
  </conditionalFormatting>
  <conditionalFormatting sqref="I8">
    <cfRule type="cellIs" priority="3" operator="lessThan" dxfId="0" stopIfTrue="1">
      <formula>0</formula>
    </cfRule>
  </conditionalFormatting>
  <conditionalFormatting sqref="I9">
    <cfRule type="cellIs" priority="4" operator="lessThan" dxfId="0" stopIfTrue="1">
      <formula>0</formula>
    </cfRule>
  </conditionalFormatting>
  <conditionalFormatting sqref="I10">
    <cfRule type="cellIs" priority="5" operator="lessThan" dxfId="0" stopIfTrue="1">
      <formula>0</formula>
    </cfRule>
  </conditionalFormatting>
  <conditionalFormatting sqref="I11">
    <cfRule type="cellIs" priority="6" operator="lessThan" dxfId="0" stopIfTrue="1">
      <formula>0</formula>
    </cfRule>
  </conditionalFormatting>
  <conditionalFormatting sqref="I12">
    <cfRule type="cellIs" priority="7" operator="lessThan" dxfId="0" stopIfTrue="1">
      <formula>0</formula>
    </cfRule>
  </conditionalFormatting>
  <conditionalFormatting sqref="I13">
    <cfRule type="cellIs" priority="8" operator="lessThan" dxfId="0" stopIfTrue="1">
      <formula>0</formula>
    </cfRule>
  </conditionalFormatting>
  <conditionalFormatting sqref="I14">
    <cfRule type="cellIs" priority="9" operator="lessThan" dxfId="0" stopIfTrue="1">
      <formula>0</formula>
    </cfRule>
  </conditionalFormatting>
  <conditionalFormatting sqref="I15">
    <cfRule type="cellIs" priority="10" operator="lessThan" dxfId="0" stopIfTrue="1">
      <formula>0</formula>
    </cfRule>
  </conditionalFormatting>
  <conditionalFormatting sqref="I24">
    <cfRule type="cellIs" priority="11" operator="lessThan" dxfId="0" stopIfTrue="1">
      <formula>0</formula>
    </cfRule>
  </conditionalFormatting>
  <conditionalFormatting sqref="I33">
    <cfRule type="cellIs" priority="12" operator="lessThan" dxfId="0" stopIfTrue="1">
      <formula>0</formula>
    </cfRule>
  </conditionalFormatting>
  <conditionalFormatting sqref="I34">
    <cfRule type="cellIs" priority="13" operator="lessThan" dxfId="0" stopIfTrue="1">
      <formula>0</formula>
    </cfRule>
  </conditionalFormatting>
  <conditionalFormatting sqref="I35">
    <cfRule type="cellIs" priority="14" operator="lessThan" dxfId="0" stopIfTrue="1">
      <formula>0</formula>
    </cfRule>
  </conditionalFormatting>
  <conditionalFormatting sqref="I36">
    <cfRule type="cellIs" priority="15" operator="lessThan" dxfId="0" stopIfTrue="1">
      <formula>0</formula>
    </cfRule>
  </conditionalFormatting>
  <conditionalFormatting sqref="I37">
    <cfRule type="cellIs" priority="16" operator="lessThan" dxfId="0" stopIfTrue="1">
      <formula>0</formula>
    </cfRule>
  </conditionalFormatting>
  <conditionalFormatting sqref="I38">
    <cfRule type="cellIs" priority="17" operator="lessThan" dxfId="0" stopIfTrue="1">
      <formula>0</formula>
    </cfRule>
  </conditionalFormatting>
  <dataValidations count="11">
    <dataValidation sqref="B2" showDropDown="0" showInputMessage="0" showErrorMessage="0" allowBlank="0" type="list">
      <formula1>"SV,CAD,ADM,Pauschale,-"</formula1>
    </dataValidation>
    <dataValidation sqref="J6" showDropDown="0" showInputMessage="0" showErrorMessage="0" allowBlank="1" type="list">
      <formula1>"A. Kokott,C. Trapp SV,E. Bieler,J. Dorchies,J. Dorn,O. Haag BS-CAD,P. Bergner,R. Böttiger,S. Schüler,T. Trautmann,U. Sutter ADM"</formula1>
    </dataValidation>
    <dataValidation sqref="J7" showDropDown="0" showInputMessage="0" showErrorMessage="0" allowBlank="1" type="list">
      <formula1>"A. Kokott,C. Trapp SV,E. Bieler,J. Dorchies,J. Dorn,M. Bandlofsky,O. Haag BS-CAD,P. Bergner,R. Wagen CAD,T. Trautmann,U. Sutter ADM"</formula1>
    </dataValidation>
    <dataValidation sqref="J10" showDropDown="0" showInputMessage="0" showErrorMessage="0" allowBlank="1" type="list">
      <formula1>"A. Kokott"</formula1>
    </dataValidation>
    <dataValidation sqref="J11" showDropDown="0" showInputMessage="0" showErrorMessage="0" allowBlank="1" type="list">
      <formula1>"E. Bieler"</formula1>
    </dataValidation>
    <dataValidation sqref="J12" showDropDown="0" showInputMessage="0" showErrorMessage="0" allowBlank="1" type="list">
      <formula1>"S. Schüler"</formula1>
    </dataValidation>
    <dataValidation sqref="J13" showDropDown="0" showInputMessage="0" showErrorMessage="0" allowBlank="1" type="list">
      <formula1>"S. Schüler"</formula1>
    </dataValidation>
    <dataValidation sqref="J14" showDropDown="0" showInputMessage="0" showErrorMessage="0" allowBlank="1" type="list">
      <formula1>"E. Bieler,T. Trautmann"</formula1>
    </dataValidation>
    <dataValidation sqref="J24" showDropDown="0" showInputMessage="0" showErrorMessage="0" allowBlank="1" type="list">
      <formula1>"S. Schüler"</formula1>
    </dataValidation>
    <dataValidation sqref="J33" showDropDown="0" showInputMessage="0" showErrorMessage="0" allowBlank="1" type="list">
      <formula1>"A. Kokott,C. Trapp SV,E. Bieler,J. Dorchies,J. Dorn,O. Haag BS-CAD,P. Bergner,R. Böttiger,S. Schüler,T. Trautmann,U. Sutter ADM"</formula1>
    </dataValidation>
    <dataValidation sqref="J37" showDropDown="0" showInputMessage="0" showErrorMessage="0" allowBlank="1" type="list">
      <formula1>"S. Schüler"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79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8" customWidth="1" min="3" max="3"/>
    <col width="12" customWidth="1" min="4" max="4"/>
    <col width="12" customWidth="1" min="5" max="5"/>
    <col width="12" customWidth="1" min="6" max="6"/>
    <col width="8" customWidth="1" min="7" max="7"/>
    <col width="16" customWidth="1" min="8" max="8"/>
    <col width="12" customWidth="1" min="9" max="9"/>
    <col width="25" customWidth="1" min="10" max="10"/>
    <col width="15" customWidth="1" min="11" max="11"/>
    <col width="18" customWidth="1" min="12" max="12"/>
    <col width="15" customWidth="1" min="13" max="13"/>
    <col width="18" customWidth="1" min="14" max="14"/>
    <col width="15" customWidth="1" min="15" max="15"/>
    <col width="22" customWidth="1" min="16" max="16"/>
  </cols>
  <sheetData>
    <row r="1">
      <c r="A1" t="inlineStr">
        <is>
          <t>E. Bieler - Quartalsreport 2025Q3</t>
        </is>
      </c>
    </row>
    <row r="2">
      <c r="A2" s="12" t="inlineStr">
        <is>
          <t>Position:</t>
        </is>
      </c>
      <c r="B2" t="inlineStr">
        <is>
          <t>SV</t>
        </is>
      </c>
    </row>
    <row r="4">
      <c r="A4" s="2" t="inlineStr">
        <is>
          <t>--- Juli 2025 ---</t>
        </is>
      </c>
    </row>
    <row r="5">
      <c r="A5" s="3" t="inlineStr">
        <is>
          <t>Projekt</t>
        </is>
      </c>
      <c r="B5" s="3" t="inlineStr">
        <is>
          <t>Meilenstein</t>
        </is>
      </c>
      <c r="C5" s="3" t="inlineStr">
        <is>
          <t>Typ</t>
        </is>
      </c>
      <c r="D5" s="3" t="inlineStr">
        <is>
          <t>Soll (h)</t>
        </is>
      </c>
      <c r="E5" s="3" t="inlineStr">
        <is>
          <t>Ist (h)</t>
        </is>
      </c>
      <c r="F5" s="3" t="inlineStr">
        <is>
          <t>Juli 2025 (h)</t>
        </is>
      </c>
      <c r="G5" s="3" t="inlineStr">
        <is>
          <t>%</t>
        </is>
      </c>
      <c r="H5" s="3" t="inlineStr">
        <is>
          <t>Bonus-Anpassung (h)</t>
        </is>
      </c>
      <c r="I5" s="3" t="inlineStr">
        <is>
          <t>Differenz (h)</t>
        </is>
      </c>
      <c r="J5" s="3" t="inlineStr">
        <is>
          <t>Zuordnen an</t>
        </is>
      </c>
      <c r="K5" s="3" t="inlineStr">
        <is>
          <t>Von anderen (h)</t>
        </is>
      </c>
      <c r="L5" s="3" t="inlineStr">
        <is>
          <t>Stundensatz (€/h)</t>
        </is>
      </c>
      <c r="M5" s="3" t="inlineStr">
        <is>
          <t>Umsatz (€)</t>
        </is>
      </c>
      <c r="N5" s="3" t="inlineStr">
        <is>
          <t>Budget Gesamt (€)</t>
        </is>
      </c>
      <c r="O5" s="3" t="inlineStr">
        <is>
          <t>Budget Ist (€)</t>
        </is>
      </c>
      <c r="P5" s="3" t="inlineStr">
        <is>
          <t>Budget Erwirtschaftet (€)</t>
        </is>
      </c>
    </row>
    <row r="6">
      <c r="A6" s="13" t="inlineStr">
        <is>
          <t>0000 Sonderprojekt für Bonus</t>
        </is>
      </c>
      <c r="B6" s="4" t="inlineStr">
        <is>
          <t>Angebote-Ausschreibungen-Kalkulationen (max. 8h/Monat pro MA)</t>
        </is>
      </c>
      <c r="C6" s="4" t="inlineStr">
        <is>
          <t>M</t>
        </is>
      </c>
      <c r="D6" s="4" t="n">
        <v>8</v>
      </c>
      <c r="E6" s="4" t="n">
        <v>10</v>
      </c>
      <c r="F6" s="4" t="n">
        <v>10</v>
      </c>
      <c r="G6" s="16" t="n">
        <v>125</v>
      </c>
      <c r="H6" s="5" t="n"/>
      <c r="I6" s="5">
        <f>IF(H6=0,"",F6-H6)</f>
        <v/>
      </c>
      <c r="J6" s="4" t="n"/>
      <c r="K6" s="5">
        <f>IF('A. Kokott'!J6="E. Bieler",'A. Kokott'!I6,0)+IF('D. Brucker'!J6="E. Bieler",'D. Brucker'!I6,0)+IF('J. Dorchies'!J6="E. Bieler",'J. Dorchies'!I6,0)+IF('O. Haag BS-CAD'!J6="E. Bieler",'O. Haag BS-CAD'!I6,0)+IF('S. Schüler'!J6="E. Bieler",'S. Schüler'!I6,0)+IF('T. Trautmann'!J6="E. Bieler",'T. Trautmann'!I6,0)+IF('U. Sutter ADM'!J6="E. Bieler",'U. Sutter ADM'!I6,0)</f>
        <v/>
      </c>
      <c r="L6" s="11">
        <f>IF($B$2="-","",IF($B$2="Pauschale",IFERROR(INDEX('Projekt-Budget-Übersicht'!$H:$H,MATCH(A6,'Projekt-Budget-Übersicht'!$A:$A,0)),""),IF($B$2="SV",IFERROR(INDEX('Projekt-Budget-Übersicht'!$H:$H,MATCH(A6,'Projekt-Budget-Übersicht'!$A:$A,0)),""),IF($B$2="CAD",IFERROR(INDEX('Projekt-Budget-Übersicht'!$I:$I,MATCH(A6,'Projekt-Budget-Übersicht'!$A:$A,0)),""),IF($B$2="ADM",IFERROR(INDEX('Projekt-Budget-Übersicht'!$J:$J,MATCH(A6,'Projekt-Budget-Übersicht'!$A:$A,0)),""),"")))))</f>
        <v/>
      </c>
      <c r="M6" s="11">
        <f>IF($B$2="-","",L6*(F6+I6+K6))</f>
        <v/>
      </c>
      <c r="N6" s="11">
        <f>IFERROR(INDEX('Projekt-Budget-Übersicht'!$E:$E,MATCH(A6,'Projekt-Budget-Übersicht'!$A:$A,0)),"")</f>
        <v/>
      </c>
      <c r="O6" s="11" t="inlineStr"/>
      <c r="P6" s="11" t="inlineStr"/>
    </row>
    <row r="7">
      <c r="A7" s="15" t="n"/>
      <c r="B7" s="4" t="inlineStr">
        <is>
          <t>Einarbeitung neuer Mitarbeiter (max. 8h/Monat pro MA)</t>
        </is>
      </c>
      <c r="C7" s="4" t="inlineStr">
        <is>
          <t>M</t>
        </is>
      </c>
      <c r="D7" s="4" t="n">
        <v>8</v>
      </c>
      <c r="E7" s="4" t="n">
        <v>1</v>
      </c>
      <c r="F7" s="4" t="n">
        <v>1</v>
      </c>
      <c r="G7" s="17" t="n">
        <v>12.5</v>
      </c>
      <c r="H7" s="5" t="n"/>
      <c r="I7" s="5">
        <f>IF(H7=0,"",F7-H7)</f>
        <v/>
      </c>
      <c r="J7" s="4" t="n"/>
      <c r="K7" s="5">
        <f>IF('A. Kokott'!J7="E. Bieler",'A. Kokott'!I7,0)+IF('C. Trapp SV'!J6="E. Bieler",'C. Trapp SV'!I6,0)+IF('D. Brucker'!J7="E. Bieler",'D. Brucker'!I7,0)+IF('J. Dorchies'!J7="E. Bieler",'J. Dorchies'!I7,0)+IF('J. Dorn'!J6="E. Bieler",'J. Dorn'!I6,0)+IF('M. Bandlofsky'!J6="E. Bieler",'M. Bandlofsky'!I6,0)+IF('T. Trautmann'!J7="E. Bieler",'T. Trautmann'!I7,0)+IF('U. Sutter ADM'!J7="E. Bieler",'U. Sutter ADM'!I7,0)</f>
        <v/>
      </c>
      <c r="L7" s="11">
        <f>IF($B$2="-","",IF($B$2="Pauschale",IFERROR(INDEX('Projekt-Budget-Übersicht'!$H:$H,MATCH(A7,'Projekt-Budget-Übersicht'!$A:$A,0)),""),IF($B$2="SV",IFERROR(INDEX('Projekt-Budget-Übersicht'!$H:$H,MATCH(A7,'Projekt-Budget-Übersicht'!$A:$A,0)),""),IF($B$2="CAD",IFERROR(INDEX('Projekt-Budget-Übersicht'!$I:$I,MATCH(A7,'Projekt-Budget-Übersicht'!$A:$A,0)),""),IF($B$2="ADM",IFERROR(INDEX('Projekt-Budget-Übersicht'!$J:$J,MATCH(A7,'Projekt-Budget-Übersicht'!$A:$A,0)),""),"")))))</f>
        <v/>
      </c>
      <c r="M7" s="11">
        <f>IF($B$2="-","",L7*(F7+I7+K7))</f>
        <v/>
      </c>
      <c r="N7" s="11">
        <f>IFERROR(INDEX('Projekt-Budget-Übersicht'!$E:$E,MATCH(A7,'Projekt-Budget-Übersicht'!$A:$A,0)),"")</f>
        <v/>
      </c>
      <c r="O7" s="11" t="inlineStr"/>
      <c r="P7" s="11" t="inlineStr"/>
    </row>
    <row r="8">
      <c r="A8" s="4" t="inlineStr">
        <is>
          <t>3869.24 KES-BST-1.OG-Bestandsgebäude-Marktstr1-3-Stuttgart</t>
        </is>
      </c>
      <c r="B8" s="4" t="inlineStr">
        <is>
          <t>SV</t>
        </is>
      </c>
      <c r="C8" s="4" t="inlineStr">
        <is>
          <t>G</t>
        </is>
      </c>
      <c r="D8" s="4" t="n">
        <v>20</v>
      </c>
      <c r="E8" s="4" t="n">
        <v>18.75</v>
      </c>
      <c r="F8" s="4" t="n">
        <v>0.5</v>
      </c>
      <c r="G8" s="14" t="n">
        <v>93.75</v>
      </c>
      <c r="H8" s="5" t="n"/>
      <c r="I8" s="5">
        <f>IF(H8=0,"",F8-H8)</f>
        <v/>
      </c>
      <c r="J8" s="4" t="n"/>
      <c r="K8" s="5">
        <f>IF('T. Trautmann'!J10="E. Bieler",'T. Trautmann'!I10,0)</f>
        <v/>
      </c>
      <c r="L8" s="11">
        <f>IF($B$2="-","",IF($B$2="Pauschale",IFERROR(INDEX('Projekt-Budget-Übersicht'!$H:$H,MATCH(A8,'Projekt-Budget-Übersicht'!$A:$A,0)),""),IF($B$2="SV",IFERROR(INDEX('Projekt-Budget-Übersicht'!$H:$H,MATCH(A8,'Projekt-Budget-Übersicht'!$A:$A,0)),""),IF($B$2="CAD",IFERROR(INDEX('Projekt-Budget-Übersicht'!$I:$I,MATCH(A8,'Projekt-Budget-Übersicht'!$A:$A,0)),""),IF($B$2="ADM",IFERROR(INDEX('Projekt-Budget-Übersicht'!$J:$J,MATCH(A8,'Projekt-Budget-Übersicht'!$A:$A,0)),""),"")))))</f>
        <v/>
      </c>
      <c r="M8" s="11">
        <f>IF($B$2="-","",L8*(F8+I8+K8))</f>
        <v/>
      </c>
      <c r="N8" s="11">
        <f>IFERROR(INDEX('Projekt-Budget-Übersicht'!$E:$E,MATCH(A8,'Projekt-Budget-Übersicht'!$A:$A,0)),"")</f>
        <v/>
      </c>
      <c r="O8" s="11" t="inlineStr"/>
      <c r="P8" s="11" t="inlineStr"/>
    </row>
    <row r="9">
      <c r="A9" s="4" t="inlineStr">
        <is>
          <t>4436.042 NA001-BSP-Krankenhaus-Bergstraße-Viernheimer-Straße-2-Heppenheim</t>
        </is>
      </c>
      <c r="B9" s="4" t="inlineStr">
        <is>
          <t>4103-Erarbeiten Brandschutzkonzeptpläne….</t>
        </is>
      </c>
      <c r="C9" s="4" t="inlineStr">
        <is>
          <t>G</t>
        </is>
      </c>
      <c r="D9" s="4" t="n">
        <v>20</v>
      </c>
      <c r="E9" s="4" t="n">
        <v>10.75</v>
      </c>
      <c r="F9" s="4" t="n">
        <v>0.25</v>
      </c>
      <c r="G9" s="17" t="n">
        <v>53.75</v>
      </c>
      <c r="H9" s="5" t="n"/>
      <c r="I9" s="5">
        <f>IF(H9=0,"",F9-H9)</f>
        <v/>
      </c>
      <c r="J9" s="4" t="n"/>
      <c r="K9" s="5" t="n">
        <v>0</v>
      </c>
      <c r="L9" s="11">
        <f>IF($B$2="-","",IF($B$2="Pauschale",IFERROR(INDEX('Projekt-Budget-Übersicht'!$H:$H,MATCH(A9,'Projekt-Budget-Übersicht'!$A:$A,0)),""),IF($B$2="SV",IFERROR(INDEX('Projekt-Budget-Übersicht'!$H:$H,MATCH(A9,'Projekt-Budget-Übersicht'!$A:$A,0)),""),IF($B$2="CAD",IFERROR(INDEX('Projekt-Budget-Übersicht'!$I:$I,MATCH(A9,'Projekt-Budget-Übersicht'!$A:$A,0)),""),IF($B$2="ADM",IFERROR(INDEX('Projekt-Budget-Übersicht'!$J:$J,MATCH(A9,'Projekt-Budget-Übersicht'!$A:$A,0)),""),"")))))</f>
        <v/>
      </c>
      <c r="M9" s="11">
        <f>IF($B$2="-","",L9*(F9+I9+K9))</f>
        <v/>
      </c>
      <c r="N9" s="11">
        <f>IFERROR(INDEX('Projekt-Budget-Übersicht'!$E:$E,MATCH(A9,'Projekt-Budget-Übersicht'!$A:$A,0)),"")</f>
        <v/>
      </c>
      <c r="O9" s="11" t="inlineStr"/>
      <c r="P9" s="11" t="inlineStr"/>
    </row>
    <row r="10">
      <c r="A10" s="4" t="inlineStr">
        <is>
          <t>5156.03 LP8-LBBTR-SPES-N-Airbase-Spangdahlem</t>
        </is>
      </c>
      <c r="B10" s="4" t="inlineStr">
        <is>
          <t>(p) Pos. 8 LPH 8 Objektüberwachung</t>
        </is>
      </c>
      <c r="C10" s="4" t="inlineStr">
        <is>
          <t>G</t>
        </is>
      </c>
      <c r="D10" s="4" t="n">
        <v>295.5</v>
      </c>
      <c r="E10" s="4" t="n">
        <v>108.25</v>
      </c>
      <c r="F10" s="4" t="n">
        <v>13.75</v>
      </c>
      <c r="G10" s="17" t="n">
        <v>36.63</v>
      </c>
      <c r="H10" s="5" t="n"/>
      <c r="I10" s="5">
        <f>IF(H10=0,"",F10-H10)</f>
        <v/>
      </c>
      <c r="J10" s="4" t="n"/>
      <c r="K10" s="5">
        <f>IF('J. Dorn'!J9="E. Bieler",'J. Dorn'!I9,0)+IF('P. Bergner'!J6="E. Bieler",'P. Bergner'!I6,0)</f>
        <v/>
      </c>
      <c r="L10" s="11">
        <f>IF($B$2="-","",IF($B$2="Pauschale",IFERROR(INDEX('Projekt-Budget-Übersicht'!$H:$H,MATCH(A10,'Projekt-Budget-Übersicht'!$A:$A,0)),""),IF($B$2="SV",IFERROR(INDEX('Projekt-Budget-Übersicht'!$H:$H,MATCH(A10,'Projekt-Budget-Übersicht'!$A:$A,0)),""),IF($B$2="CAD",IFERROR(INDEX('Projekt-Budget-Übersicht'!$I:$I,MATCH(A10,'Projekt-Budget-Übersicht'!$A:$A,0)),""),IF($B$2="ADM",IFERROR(INDEX('Projekt-Budget-Übersicht'!$J:$J,MATCH(A10,'Projekt-Budget-Übersicht'!$A:$A,0)),""),"")))))</f>
        <v/>
      </c>
      <c r="M10" s="11">
        <f>IF($B$2="-","",L10*(F10+I10+K10))</f>
        <v/>
      </c>
      <c r="N10" s="11">
        <f>IFERROR(INDEX('Projekt-Budget-Übersicht'!$E:$E,MATCH(A10,'Projekt-Budget-Übersicht'!$A:$A,0)),"")</f>
        <v/>
      </c>
      <c r="O10" s="11" t="inlineStr"/>
      <c r="P10" s="11" t="inlineStr"/>
    </row>
    <row r="11">
      <c r="A11" s="4" t="inlineStr">
        <is>
          <t>5328 Flugfeldklinikum-Böblingen</t>
        </is>
      </c>
      <c r="B11" s="4" t="inlineStr">
        <is>
          <t>5100-Beraten Planer ausführungsreife Lösungen….</t>
        </is>
      </c>
      <c r="C11" s="4" t="inlineStr">
        <is>
          <t>G</t>
        </is>
      </c>
      <c r="D11" s="4" t="n">
        <v>307.5</v>
      </c>
      <c r="E11" s="4" t="n">
        <v>383.75</v>
      </c>
      <c r="F11" s="4" t="n">
        <v>0.5</v>
      </c>
      <c r="G11" s="16" t="n">
        <v>124.8</v>
      </c>
      <c r="H11" s="5" t="n"/>
      <c r="I11" s="5">
        <f>IF(H11=0,"",F11-H11)</f>
        <v/>
      </c>
      <c r="J11" s="4" t="n"/>
      <c r="K11" s="5">
        <f>IF('M. Bandlofsky'!J10="E. Bieler",'M. Bandlofsky'!I10,0)</f>
        <v/>
      </c>
      <c r="L11" s="11">
        <f>IF($B$2="-","",IF($B$2="Pauschale",IFERROR(INDEX('Projekt-Budget-Übersicht'!$H:$H,MATCH(A11,'Projekt-Budget-Übersicht'!$A:$A,0)),""),IF($B$2="SV",IFERROR(INDEX('Projekt-Budget-Übersicht'!$H:$H,MATCH(A11,'Projekt-Budget-Übersicht'!$A:$A,0)),""),IF($B$2="CAD",IFERROR(INDEX('Projekt-Budget-Übersicht'!$I:$I,MATCH(A11,'Projekt-Budget-Übersicht'!$A:$A,0)),""),IF($B$2="ADM",IFERROR(INDEX('Projekt-Budget-Übersicht'!$J:$J,MATCH(A11,'Projekt-Budget-Übersicht'!$A:$A,0)),""),"")))))</f>
        <v/>
      </c>
      <c r="M11" s="11">
        <f>IF($B$2="-","",L11*(F11+I11+K11))</f>
        <v/>
      </c>
      <c r="N11" s="11">
        <f>IFERROR(INDEX('Projekt-Budget-Übersicht'!$E:$E,MATCH(A11,'Projekt-Budget-Übersicht'!$A:$A,0)),"")</f>
        <v/>
      </c>
      <c r="O11" s="11" t="inlineStr"/>
      <c r="P11" s="11" t="inlineStr"/>
    </row>
    <row r="12">
      <c r="A12" s="4" t="inlineStr">
        <is>
          <t>5409.03 BAB-VBL-Campus-Haus1+2-HansThomaStr19-Karlsruhe</t>
        </is>
      </c>
      <c r="B12" s="4" t="inlineStr">
        <is>
          <t>8100-Prüfen der Ausführung auf prinzipielle Übereinstimmung (Stufe 1)....</t>
        </is>
      </c>
      <c r="C12" s="4" t="inlineStr">
        <is>
          <t>G</t>
        </is>
      </c>
      <c r="D12" s="4" t="n">
        <v>42</v>
      </c>
      <c r="E12" s="4" t="n">
        <v>41</v>
      </c>
      <c r="F12" s="4" t="n">
        <v>0.5</v>
      </c>
      <c r="G12" s="14" t="n">
        <v>97.62</v>
      </c>
      <c r="H12" s="5" t="n"/>
      <c r="I12" s="5">
        <f>IF(H12=0,"",F12-H12)</f>
        <v/>
      </c>
      <c r="J12" s="4" t="n"/>
      <c r="K12" s="5" t="n">
        <v>0</v>
      </c>
      <c r="L12" s="11">
        <f>IF($B$2="-","",IF($B$2="Pauschale",IFERROR(INDEX('Projekt-Budget-Übersicht'!$H:$H,MATCH(A12,'Projekt-Budget-Übersicht'!$A:$A,0)),""),IF($B$2="SV",IFERROR(INDEX('Projekt-Budget-Übersicht'!$H:$H,MATCH(A12,'Projekt-Budget-Übersicht'!$A:$A,0)),""),IF($B$2="CAD",IFERROR(INDEX('Projekt-Budget-Übersicht'!$I:$I,MATCH(A12,'Projekt-Budget-Übersicht'!$A:$A,0)),""),IF($B$2="ADM",IFERROR(INDEX('Projekt-Budget-Übersicht'!$J:$J,MATCH(A12,'Projekt-Budget-Übersicht'!$A:$A,0)),""),"")))))</f>
        <v/>
      </c>
      <c r="M12" s="11">
        <f>IF($B$2="-","",L12*(F12+I12+K12))</f>
        <v/>
      </c>
      <c r="N12" s="11">
        <f>IFERROR(INDEX('Projekt-Budget-Übersicht'!$E:$E,MATCH(A12,'Projekt-Budget-Übersicht'!$A:$A,0)),"")</f>
        <v/>
      </c>
      <c r="O12" s="11" t="inlineStr"/>
      <c r="P12" s="11" t="inlineStr"/>
    </row>
    <row r="13">
      <c r="A13" s="4" t="inlineStr">
        <is>
          <t>5876 Eppelheimer-Straße-12-Heidelberg-Hotel-Easy-Living</t>
        </is>
      </c>
      <c r="B13" s="4" t="inlineStr">
        <is>
          <t>8000-Objektüberwachung</t>
        </is>
      </c>
      <c r="C13" s="4" t="inlineStr">
        <is>
          <t>G</t>
        </is>
      </c>
      <c r="D13" s="4" t="n">
        <v>110</v>
      </c>
      <c r="E13" s="4" t="n">
        <v>45.75</v>
      </c>
      <c r="F13" s="4" t="n">
        <v>1</v>
      </c>
      <c r="G13" s="17" t="n">
        <v>41.59</v>
      </c>
      <c r="H13" s="5" t="n"/>
      <c r="I13" s="5">
        <f>IF(H13=0,"",F13-H13)</f>
        <v/>
      </c>
      <c r="J13" s="4" t="n"/>
      <c r="K13" s="5">
        <f>IF('J. Dorn'!J14="E. Bieler",'J. Dorn'!I14,0)</f>
        <v/>
      </c>
      <c r="L13" s="11">
        <f>IF($B$2="-","",IF($B$2="Pauschale",IFERROR(INDEX('Projekt-Budget-Übersicht'!$H:$H,MATCH(A13,'Projekt-Budget-Übersicht'!$A:$A,0)),""),IF($B$2="SV",IFERROR(INDEX('Projekt-Budget-Übersicht'!$H:$H,MATCH(A13,'Projekt-Budget-Übersicht'!$A:$A,0)),""),IF($B$2="CAD",IFERROR(INDEX('Projekt-Budget-Übersicht'!$I:$I,MATCH(A13,'Projekt-Budget-Übersicht'!$A:$A,0)),""),IF($B$2="ADM",IFERROR(INDEX('Projekt-Budget-Übersicht'!$J:$J,MATCH(A13,'Projekt-Budget-Übersicht'!$A:$A,0)),""),"")))))</f>
        <v/>
      </c>
      <c r="M13" s="11">
        <f>IF($B$2="-","",L13*(F13+I13+K13))</f>
        <v/>
      </c>
      <c r="N13" s="11">
        <f>IFERROR(INDEX('Projekt-Budget-Übersicht'!$E:$E,MATCH(A13,'Projekt-Budget-Übersicht'!$A:$A,0)),"")</f>
        <v/>
      </c>
      <c r="O13" s="11" t="inlineStr"/>
      <c r="P13" s="11" t="inlineStr"/>
    </row>
    <row r="14">
      <c r="A14" s="4" t="inlineStr">
        <is>
          <t>5987.03 E&amp;S-BSK-BT-C-Czernyring15-Heidelberg</t>
        </is>
      </c>
      <c r="B14" s="4" t="inlineStr">
        <is>
          <t>3000-Entwurfsplanung SV</t>
        </is>
      </c>
      <c r="C14" s="4" t="inlineStr">
        <is>
          <t>G</t>
        </is>
      </c>
      <c r="D14" s="4" t="n">
        <v>10</v>
      </c>
      <c r="E14" s="4" t="n">
        <v>15.5</v>
      </c>
      <c r="F14" s="4" t="n">
        <v>1</v>
      </c>
      <c r="G14" s="16" t="n">
        <v>155</v>
      </c>
      <c r="H14" s="5" t="n"/>
      <c r="I14" s="5">
        <f>IF(H14=0,"",F14-H14)</f>
        <v/>
      </c>
      <c r="J14" s="4" t="n"/>
      <c r="K14" s="5" t="n">
        <v>0</v>
      </c>
      <c r="L14" s="11">
        <f>IF($B$2="-","",IF($B$2="Pauschale",IFERROR(INDEX('Projekt-Budget-Übersicht'!$H:$H,MATCH(A14,'Projekt-Budget-Übersicht'!$A:$A,0)),""),IF($B$2="SV",IFERROR(INDEX('Projekt-Budget-Übersicht'!$H:$H,MATCH(A14,'Projekt-Budget-Übersicht'!$A:$A,0)),""),IF($B$2="CAD",IFERROR(INDEX('Projekt-Budget-Übersicht'!$I:$I,MATCH(A14,'Projekt-Budget-Übersicht'!$A:$A,0)),""),IF($B$2="ADM",IFERROR(INDEX('Projekt-Budget-Übersicht'!$J:$J,MATCH(A14,'Projekt-Budget-Übersicht'!$A:$A,0)),""),"")))))</f>
        <v/>
      </c>
      <c r="M14" s="11">
        <f>IF($B$2="-","",L14*(F14+I14+K14))</f>
        <v/>
      </c>
      <c r="N14" s="11">
        <f>IFERROR(INDEX('Projekt-Budget-Übersicht'!$E:$E,MATCH(A14,'Projekt-Budget-Übersicht'!$A:$A,0)),"")</f>
        <v/>
      </c>
      <c r="O14" s="11" t="inlineStr"/>
      <c r="P14" s="11" t="inlineStr"/>
    </row>
    <row r="15">
      <c r="A15" s="4" t="inlineStr">
        <is>
          <t>5987.04 E&amp;S-BTB+BSK-BT-A+B-Czernyring15-Heidelberg</t>
        </is>
      </c>
      <c r="B15" s="4" t="inlineStr">
        <is>
          <t>SV</t>
        </is>
      </c>
      <c r="C15" s="4" t="inlineStr">
        <is>
          <t>G</t>
        </is>
      </c>
      <c r="D15" s="4" t="n">
        <v>30</v>
      </c>
      <c r="E15" s="4" t="n">
        <v>19.5</v>
      </c>
      <c r="F15" s="4" t="n">
        <v>1</v>
      </c>
      <c r="G15" s="17" t="n">
        <v>65</v>
      </c>
      <c r="H15" s="5" t="n"/>
      <c r="I15" s="5">
        <f>IF(H15=0,"",F15-H15)</f>
        <v/>
      </c>
      <c r="J15" s="4" t="n"/>
      <c r="K15" s="5" t="n">
        <v>0</v>
      </c>
      <c r="L15" s="11">
        <f>IF($B$2="-","",IF($B$2="Pauschale",IFERROR(INDEX('Projekt-Budget-Übersicht'!$H:$H,MATCH(A15,'Projekt-Budget-Übersicht'!$A:$A,0)),""),IF($B$2="SV",IFERROR(INDEX('Projekt-Budget-Übersicht'!$H:$H,MATCH(A15,'Projekt-Budget-Übersicht'!$A:$A,0)),""),IF($B$2="CAD",IFERROR(INDEX('Projekt-Budget-Übersicht'!$I:$I,MATCH(A15,'Projekt-Budget-Übersicht'!$A:$A,0)),""),IF($B$2="ADM",IFERROR(INDEX('Projekt-Budget-Übersicht'!$J:$J,MATCH(A15,'Projekt-Budget-Übersicht'!$A:$A,0)),""),"")))))</f>
        <v/>
      </c>
      <c r="M15" s="11">
        <f>IF($B$2="-","",L15*(F15+I15+K15))</f>
        <v/>
      </c>
      <c r="N15" s="11">
        <f>IFERROR(INDEX('Projekt-Budget-Übersicht'!$E:$E,MATCH(A15,'Projekt-Budget-Übersicht'!$A:$A,0)),"")</f>
        <v/>
      </c>
      <c r="O15" s="11" t="inlineStr"/>
      <c r="P15" s="11" t="inlineStr"/>
    </row>
    <row r="16">
      <c r="A16" s="4" t="inlineStr">
        <is>
          <t>6285.081 NAT-FWP-Opernplatz-14-Frankfurt</t>
        </is>
      </c>
      <c r="B16" s="4" t="inlineStr">
        <is>
          <t>1200-Bestandserfassung vor Ort....</t>
        </is>
      </c>
      <c r="C16" s="4" t="inlineStr">
        <is>
          <t>G</t>
        </is>
      </c>
      <c r="D16" s="4" t="n">
        <v>16</v>
      </c>
      <c r="E16" s="4" t="n">
        <v>16.25</v>
      </c>
      <c r="F16" s="4" t="n">
        <v>0.25</v>
      </c>
      <c r="G16" s="16" t="n">
        <v>101.56</v>
      </c>
      <c r="H16" s="5" t="n"/>
      <c r="I16" s="5">
        <f>IF(H16=0,"",F16-H16)</f>
        <v/>
      </c>
      <c r="J16" s="4" t="n"/>
      <c r="K16" s="5" t="n">
        <v>0</v>
      </c>
      <c r="L16" s="11">
        <f>IF($B$2="-","",IF($B$2="Pauschale",IFERROR(INDEX('Projekt-Budget-Übersicht'!$H:$H,MATCH(A16,'Projekt-Budget-Übersicht'!$A:$A,0)),""),IF($B$2="SV",IFERROR(INDEX('Projekt-Budget-Übersicht'!$H:$H,MATCH(A16,'Projekt-Budget-Übersicht'!$A:$A,0)),""),IF($B$2="CAD",IFERROR(INDEX('Projekt-Budget-Übersicht'!$I:$I,MATCH(A16,'Projekt-Budget-Übersicht'!$A:$A,0)),""),IF($B$2="ADM",IFERROR(INDEX('Projekt-Budget-Übersicht'!$J:$J,MATCH(A16,'Projekt-Budget-Übersicht'!$A:$A,0)),""),"")))))</f>
        <v/>
      </c>
      <c r="M16" s="11">
        <f>IF($B$2="-","",L16*(F16+I16+K16))</f>
        <v/>
      </c>
      <c r="N16" s="11">
        <f>IFERROR(INDEX('Projekt-Budget-Übersicht'!$E:$E,MATCH(A16,'Projekt-Budget-Übersicht'!$A:$A,0)),"")</f>
        <v/>
      </c>
      <c r="O16" s="11" t="inlineStr"/>
      <c r="P16" s="11" t="inlineStr"/>
    </row>
    <row r="17">
      <c r="A17" s="13" t="inlineStr">
        <is>
          <t>6313.05 rh-Construction-LG-EnSol-BSK-BAB-Limespark-Sulzbach</t>
        </is>
      </c>
      <c r="B17" s="4" t="inlineStr">
        <is>
          <t>(aN) Pos. 1 Abstimmungstermin mit den Behörden und Beratungsleistungen</t>
        </is>
      </c>
      <c r="C17" s="4" t="inlineStr">
        <is>
          <t>G</t>
        </is>
      </c>
      <c r="D17" s="4" t="n">
        <v>24</v>
      </c>
      <c r="E17" s="4" t="n">
        <v>18.25</v>
      </c>
      <c r="F17" s="4" t="n">
        <v>3.5</v>
      </c>
      <c r="G17" s="17" t="n">
        <v>76.04000000000001</v>
      </c>
      <c r="H17" s="5" t="n"/>
      <c r="I17" s="5">
        <f>IF(H17=0,"",F17-H17)</f>
        <v/>
      </c>
      <c r="J17" s="4" t="n"/>
      <c r="K17" s="5">
        <f>IF('R. Böttiger'!J7="E. Bieler",'R. Böttiger'!I7,0)</f>
        <v/>
      </c>
      <c r="L17" s="11">
        <f>IF($B$2="-","",IF($B$2="Pauschale",IFERROR(INDEX('Projekt-Budget-Übersicht'!$H:$H,MATCH(A17,'Projekt-Budget-Übersicht'!$A:$A,0)),""),IF($B$2="SV",IFERROR(INDEX('Projekt-Budget-Übersicht'!$H:$H,MATCH(A17,'Projekt-Budget-Übersicht'!$A:$A,0)),""),IF($B$2="CAD",IFERROR(INDEX('Projekt-Budget-Übersicht'!$I:$I,MATCH(A17,'Projekt-Budget-Übersicht'!$A:$A,0)),""),IF($B$2="ADM",IFERROR(INDEX('Projekt-Budget-Übersicht'!$J:$J,MATCH(A17,'Projekt-Budget-Übersicht'!$A:$A,0)),""),"")))))</f>
        <v/>
      </c>
      <c r="M17" s="11">
        <f>IF($B$2="-","",L17*(F17+I17+K17))</f>
        <v/>
      </c>
      <c r="N17" s="11">
        <f>IFERROR(INDEX('Projekt-Budget-Übersicht'!$E:$E,MATCH(A17,'Projekt-Budget-Übersicht'!$A:$A,0)),"")</f>
        <v/>
      </c>
      <c r="O17" s="11" t="inlineStr"/>
      <c r="P17" s="11" t="inlineStr"/>
    </row>
    <row r="18">
      <c r="A18" s="15" t="n"/>
      <c r="B18" s="4" t="inlineStr">
        <is>
          <t>(p) Pos. 3 Brandschutzberatung in der Ausführungsplanung</t>
        </is>
      </c>
      <c r="C18" s="4" t="inlineStr">
        <is>
          <t>G</t>
        </is>
      </c>
      <c r="D18" s="4" t="n">
        <v>16</v>
      </c>
      <c r="E18" s="4" t="n">
        <v>22.25</v>
      </c>
      <c r="F18" s="4" t="n">
        <v>1</v>
      </c>
      <c r="G18" s="16" t="n">
        <v>139.06</v>
      </c>
      <c r="H18" s="5" t="n"/>
      <c r="I18" s="5">
        <f>IF(H18=0,"",F18-H18)</f>
        <v/>
      </c>
      <c r="J18" s="4" t="n"/>
      <c r="K18" s="5">
        <f>IF('J. Dorn'!J20="E. Bieler",'J. Dorn'!I20,0)+IF('R. Böttiger'!J8="E. Bieler",'R. Böttiger'!I8,0)</f>
        <v/>
      </c>
      <c r="L18" s="11">
        <f>IF($B$2="-","",IF($B$2="Pauschale",IFERROR(INDEX('Projekt-Budget-Übersicht'!$H:$H,MATCH(A18,'Projekt-Budget-Übersicht'!$A:$A,0)),""),IF($B$2="SV",IFERROR(INDEX('Projekt-Budget-Übersicht'!$H:$H,MATCH(A18,'Projekt-Budget-Übersicht'!$A:$A,0)),""),IF($B$2="CAD",IFERROR(INDEX('Projekt-Budget-Übersicht'!$I:$I,MATCH(A18,'Projekt-Budget-Übersicht'!$A:$A,0)),""),IF($B$2="ADM",IFERROR(INDEX('Projekt-Budget-Übersicht'!$J:$J,MATCH(A18,'Projekt-Budget-Übersicht'!$A:$A,0)),""),"")))))</f>
        <v/>
      </c>
      <c r="M18" s="11">
        <f>IF($B$2="-","",L18*(F18+I18+K18))</f>
        <v/>
      </c>
      <c r="N18" s="11">
        <f>IFERROR(INDEX('Projekt-Budget-Übersicht'!$E:$E,MATCH(A18,'Projekt-Budget-Übersicht'!$A:$A,0)),"")</f>
        <v/>
      </c>
      <c r="O18" s="11" t="inlineStr"/>
      <c r="P18" s="11" t="inlineStr"/>
    </row>
    <row r="19">
      <c r="A19" s="4" t="inlineStr">
        <is>
          <t>6313.06 BSK-Fitseveneleven-Limespark-Sulzbach-1.OG</t>
        </is>
      </c>
      <c r="B19" s="4" t="inlineStr">
        <is>
          <t>8000-Objektüberwachung</t>
        </is>
      </c>
      <c r="C19" s="4" t="inlineStr">
        <is>
          <t>G</t>
        </is>
      </c>
      <c r="D19" s="4" t="n">
        <v>16</v>
      </c>
      <c r="E19" s="4" t="n">
        <v>25.25</v>
      </c>
      <c r="F19" s="4" t="n">
        <v>0.5</v>
      </c>
      <c r="G19" s="16" t="n">
        <v>157.81</v>
      </c>
      <c r="H19" s="5" t="n"/>
      <c r="I19" s="5">
        <f>IF(H19=0,"",F19-H19)</f>
        <v/>
      </c>
      <c r="J19" s="4" t="n"/>
      <c r="K19" s="5">
        <f>IF('R. Böttiger'!J10="E. Bieler",'R. Böttiger'!I10,0)</f>
        <v/>
      </c>
      <c r="L19" s="11">
        <f>IF($B$2="-","",IF($B$2="Pauschale",IFERROR(INDEX('Projekt-Budget-Übersicht'!$H:$H,MATCH(A19,'Projekt-Budget-Übersicht'!$A:$A,0)),""),IF($B$2="SV",IFERROR(INDEX('Projekt-Budget-Übersicht'!$H:$H,MATCH(A19,'Projekt-Budget-Übersicht'!$A:$A,0)),""),IF($B$2="CAD",IFERROR(INDEX('Projekt-Budget-Übersicht'!$I:$I,MATCH(A19,'Projekt-Budget-Übersicht'!$A:$A,0)),""),IF($B$2="ADM",IFERROR(INDEX('Projekt-Budget-Übersicht'!$J:$J,MATCH(A19,'Projekt-Budget-Übersicht'!$A:$A,0)),""),"")))))</f>
        <v/>
      </c>
      <c r="M19" s="11">
        <f>IF($B$2="-","",L19*(F19+I19+K19))</f>
        <v/>
      </c>
      <c r="N19" s="11">
        <f>IFERROR(INDEX('Projekt-Budget-Übersicht'!$E:$E,MATCH(A19,'Projekt-Budget-Übersicht'!$A:$A,0)),"")</f>
        <v/>
      </c>
      <c r="O19" s="11" t="inlineStr"/>
      <c r="P19" s="11" t="inlineStr"/>
    </row>
    <row r="20">
      <c r="A20" s="4" t="inlineStr">
        <is>
          <t>6527.01 IO-Anp-BSK-Mühlenfeldstr1-Holzminden-Symotion</t>
        </is>
      </c>
      <c r="B20" s="4" t="inlineStr">
        <is>
          <t>SV</t>
        </is>
      </c>
      <c r="C20" s="4" t="inlineStr">
        <is>
          <t>G</t>
        </is>
      </c>
      <c r="D20" s="4" t="n">
        <v>6</v>
      </c>
      <c r="E20" s="4" t="n">
        <v>33.75</v>
      </c>
      <c r="F20" s="4" t="n">
        <v>0.25</v>
      </c>
      <c r="G20" s="16" t="n">
        <v>562.5</v>
      </c>
      <c r="H20" s="5" t="n"/>
      <c r="I20" s="5">
        <f>IF(H20=0,"",F20-H20)</f>
        <v/>
      </c>
      <c r="J20" s="4" t="n"/>
      <c r="K20" s="5">
        <f>IF('A. Kokott'!J14="E. Bieler",'A. Kokott'!I14,0)+IF('J. Dorchies'!J9="E. Bieler",'J. Dorchies'!I9,0)+IF('J. Dorn'!J23="E. Bieler",'J. Dorn'!I23,0)+IF('P. Bergner'!J7="E. Bieler",'P. Bergner'!I7,0)+IF('R. Böttiger'!J13="E. Bieler",'R. Böttiger'!I13,0)</f>
        <v/>
      </c>
      <c r="L20" s="11">
        <f>IF($B$2="-","",IF($B$2="Pauschale",IFERROR(INDEX('Projekt-Budget-Übersicht'!$H:$H,MATCH(A20,'Projekt-Budget-Übersicht'!$A:$A,0)),""),IF($B$2="SV",IFERROR(INDEX('Projekt-Budget-Übersicht'!$H:$H,MATCH(A20,'Projekt-Budget-Übersicht'!$A:$A,0)),""),IF($B$2="CAD",IFERROR(INDEX('Projekt-Budget-Übersicht'!$I:$I,MATCH(A20,'Projekt-Budget-Übersicht'!$A:$A,0)),""),IF($B$2="ADM",IFERROR(INDEX('Projekt-Budget-Übersicht'!$J:$J,MATCH(A20,'Projekt-Budget-Übersicht'!$A:$A,0)),""),"")))))</f>
        <v/>
      </c>
      <c r="M20" s="11">
        <f>IF($B$2="-","",L20*(F20+I20+K20))</f>
        <v/>
      </c>
      <c r="N20" s="11">
        <f>IFERROR(INDEX('Projekt-Budget-Übersicht'!$E:$E,MATCH(A20,'Projekt-Budget-Übersicht'!$A:$A,0)),"")</f>
        <v/>
      </c>
      <c r="O20" s="11" t="inlineStr"/>
      <c r="P20" s="11" t="inlineStr"/>
    </row>
    <row r="21">
      <c r="A21" s="4" t="inlineStr">
        <is>
          <t>6995 Telehouse-BSK-TDE-RZ-GebN-Kleyerstraße75-89-FFM</t>
        </is>
      </c>
      <c r="B21" s="4" t="inlineStr">
        <is>
          <t>Erarbeiten des Brandschutzkonzept/Nachweis/Stellungnahme</t>
        </is>
      </c>
      <c r="C21" s="4" t="inlineStr">
        <is>
          <t>G</t>
        </is>
      </c>
      <c r="D21" s="4" t="n">
        <v>63</v>
      </c>
      <c r="E21" s="4" t="n">
        <v>42</v>
      </c>
      <c r="F21" s="4" t="n">
        <v>1</v>
      </c>
      <c r="G21" s="17" t="n">
        <v>66.67</v>
      </c>
      <c r="H21" s="5" t="n"/>
      <c r="I21" s="5">
        <f>IF(H21=0,"",F21-H21)</f>
        <v/>
      </c>
      <c r="J21" s="4" t="n"/>
      <c r="K21" s="5" t="n">
        <v>0</v>
      </c>
      <c r="L21" s="11">
        <f>IF($B$2="-","",IF($B$2="Pauschale",IFERROR(INDEX('Projekt-Budget-Übersicht'!$H:$H,MATCH(A21,'Projekt-Budget-Übersicht'!$A:$A,0)),""),IF($B$2="SV",IFERROR(INDEX('Projekt-Budget-Übersicht'!$H:$H,MATCH(A21,'Projekt-Budget-Übersicht'!$A:$A,0)),""),IF($B$2="CAD",IFERROR(INDEX('Projekt-Budget-Übersicht'!$I:$I,MATCH(A21,'Projekt-Budget-Übersicht'!$A:$A,0)),""),IF($B$2="ADM",IFERROR(INDEX('Projekt-Budget-Übersicht'!$J:$J,MATCH(A21,'Projekt-Budget-Übersicht'!$A:$A,0)),""),"")))))</f>
        <v/>
      </c>
      <c r="M21" s="11">
        <f>IF($B$2="-","",L21*(F21+I21+K21))</f>
        <v/>
      </c>
      <c r="N21" s="11">
        <f>IFERROR(INDEX('Projekt-Budget-Übersicht'!$E:$E,MATCH(A21,'Projekt-Budget-Übersicht'!$A:$A,0)),"")</f>
        <v/>
      </c>
      <c r="O21" s="11" t="inlineStr"/>
      <c r="P21" s="11" t="inlineStr"/>
    </row>
    <row r="22">
      <c r="A22" s="4" t="inlineStr">
        <is>
          <t>7150 TFS-AHO-Neubau-betrWohnen-Kita-Alberichstraße-Mannheim</t>
        </is>
      </c>
      <c r="B22" s="4" t="inlineStr">
        <is>
          <t>SV</t>
        </is>
      </c>
      <c r="C22" s="4" t="inlineStr">
        <is>
          <t>G</t>
        </is>
      </c>
      <c r="D22" s="4" t="n">
        <v>13</v>
      </c>
      <c r="E22" s="4" t="n">
        <v>146.75</v>
      </c>
      <c r="F22" s="4" t="n">
        <v>1</v>
      </c>
      <c r="G22" s="16" t="n">
        <v>1128.85</v>
      </c>
      <c r="H22" s="5" t="n"/>
      <c r="I22" s="5">
        <f>IF(H22=0,"",F22-H22)</f>
        <v/>
      </c>
      <c r="J22" s="4" t="n"/>
      <c r="K22" s="5">
        <f>IF('J. Dorchies'!J11="E. Bieler",'J. Dorchies'!I11,0)+IF('J. Dorn'!J33="E. Bieler",'J. Dorn'!I33,0)+IF('R. Böttiger'!J14="E. Bieler",'R. Böttiger'!I14,0)</f>
        <v/>
      </c>
      <c r="L22" s="11">
        <f>IF($B$2="-","",IF($B$2="Pauschale",IFERROR(INDEX('Projekt-Budget-Übersicht'!$H:$H,MATCH(A22,'Projekt-Budget-Übersicht'!$A:$A,0)),""),IF($B$2="SV",IFERROR(INDEX('Projekt-Budget-Übersicht'!$H:$H,MATCH(A22,'Projekt-Budget-Übersicht'!$A:$A,0)),""),IF($B$2="CAD",IFERROR(INDEX('Projekt-Budget-Übersicht'!$I:$I,MATCH(A22,'Projekt-Budget-Übersicht'!$A:$A,0)),""),IF($B$2="ADM",IFERROR(INDEX('Projekt-Budget-Übersicht'!$J:$J,MATCH(A22,'Projekt-Budget-Übersicht'!$A:$A,0)),""),"")))))</f>
        <v/>
      </c>
      <c r="M22" s="11">
        <f>IF($B$2="-","",L22*(F22+I22+K22))</f>
        <v/>
      </c>
      <c r="N22" s="11">
        <f>IFERROR(INDEX('Projekt-Budget-Übersicht'!$E:$E,MATCH(A22,'Projekt-Budget-Übersicht'!$A:$A,0)),"")</f>
        <v/>
      </c>
      <c r="O22" s="11" t="inlineStr"/>
      <c r="P22" s="11" t="inlineStr"/>
    </row>
    <row r="23">
      <c r="A23" s="4" t="inlineStr">
        <is>
          <t>7159.01 TE Connectivity-BSK-Geb2701,2702-Siemensstr18-Speyer</t>
        </is>
      </c>
      <c r="B23" s="4" t="inlineStr">
        <is>
          <t>SV</t>
        </is>
      </c>
      <c r="C23" s="4" t="inlineStr">
        <is>
          <t>G</t>
        </is>
      </c>
      <c r="D23" s="4" t="n">
        <v>46</v>
      </c>
      <c r="E23" s="4" t="n">
        <v>76.75</v>
      </c>
      <c r="F23" s="4" t="n">
        <v>1</v>
      </c>
      <c r="G23" s="16" t="n">
        <v>166.85</v>
      </c>
      <c r="H23" s="5" t="n"/>
      <c r="I23" s="5">
        <f>IF(H23=0,"",F23-H23)</f>
        <v/>
      </c>
      <c r="J23" s="4" t="n"/>
      <c r="K23" s="5" t="n">
        <v>0</v>
      </c>
      <c r="L23" s="11">
        <f>IF($B$2="-","",IF($B$2="Pauschale",IFERROR(INDEX('Projekt-Budget-Übersicht'!$H:$H,MATCH(A23,'Projekt-Budget-Übersicht'!$A:$A,0)),""),IF($B$2="SV",IFERROR(INDEX('Projekt-Budget-Übersicht'!$H:$H,MATCH(A23,'Projekt-Budget-Übersicht'!$A:$A,0)),""),IF($B$2="CAD",IFERROR(INDEX('Projekt-Budget-Übersicht'!$I:$I,MATCH(A23,'Projekt-Budget-Übersicht'!$A:$A,0)),""),IF($B$2="ADM",IFERROR(INDEX('Projekt-Budget-Übersicht'!$J:$J,MATCH(A23,'Projekt-Budget-Übersicht'!$A:$A,0)),""),"")))))</f>
        <v/>
      </c>
      <c r="M23" s="11">
        <f>IF($B$2="-","",L23*(F23+I23+K23))</f>
        <v/>
      </c>
      <c r="N23" s="11">
        <f>IFERROR(INDEX('Projekt-Budget-Übersicht'!$E:$E,MATCH(A23,'Projekt-Budget-Übersicht'!$A:$A,0)),"")</f>
        <v/>
      </c>
      <c r="O23" s="11" t="inlineStr"/>
      <c r="P23" s="11" t="inlineStr"/>
    </row>
    <row r="24">
      <c r="A24" s="4" t="inlineStr">
        <is>
          <t>7236 Würth - Stundennachweise</t>
        </is>
      </c>
      <c r="B24" s="4" t="inlineStr">
        <is>
          <t>SV</t>
        </is>
      </c>
      <c r="C24" s="4" t="inlineStr">
        <is>
          <t>G</t>
        </is>
      </c>
      <c r="D24" s="4" t="n">
        <v>0</v>
      </c>
      <c r="E24" s="4" t="n">
        <v>119</v>
      </c>
      <c r="F24" s="4" t="n">
        <v>0.25</v>
      </c>
      <c r="G24" s="4" t="n">
        <v>0</v>
      </c>
      <c r="H24" s="5" t="n"/>
      <c r="I24" s="5">
        <f>IF(H24=0,"",F24-H24)</f>
        <v/>
      </c>
      <c r="J24" s="4" t="n"/>
      <c r="K24" s="5">
        <f>IF('M. Bandlofsky'!J13="E. Bieler",'M. Bandlofsky'!I13,0)</f>
        <v/>
      </c>
      <c r="L24" s="11">
        <f>IF($B$2="-","",IF($B$2="Pauschale",IFERROR(INDEX('Projekt-Budget-Übersicht'!$H:$H,MATCH(A24,'Projekt-Budget-Übersicht'!$A:$A,0)),""),IF($B$2="SV",IFERROR(INDEX('Projekt-Budget-Übersicht'!$H:$H,MATCH(A24,'Projekt-Budget-Übersicht'!$A:$A,0)),""),IF($B$2="CAD",IFERROR(INDEX('Projekt-Budget-Übersicht'!$I:$I,MATCH(A24,'Projekt-Budget-Übersicht'!$A:$A,0)),""),IF($B$2="ADM",IFERROR(INDEX('Projekt-Budget-Übersicht'!$J:$J,MATCH(A24,'Projekt-Budget-Übersicht'!$A:$A,0)),""),"")))))</f>
        <v/>
      </c>
      <c r="M24" s="11">
        <f>IF($B$2="-","",L24*(F24+I24+K24))</f>
        <v/>
      </c>
      <c r="N24" s="11">
        <f>IFERROR(INDEX('Projekt-Budget-Übersicht'!$E:$E,MATCH(A24,'Projekt-Budget-Übersicht'!$A:$A,0)),"")</f>
        <v/>
      </c>
      <c r="O24" s="11" t="inlineStr"/>
      <c r="P24" s="11" t="inlineStr"/>
    </row>
    <row r="25">
      <c r="A25" s="4" t="inlineStr">
        <is>
          <t>7253 JUWI-BSK-WP-Bad-Laasphe-Feudingen</t>
        </is>
      </c>
      <c r="B25" s="4" t="inlineStr">
        <is>
          <t>(p) Pos. 1.00 Brandschutzkonzept</t>
        </is>
      </c>
      <c r="C25" s="4" t="inlineStr">
        <is>
          <t>G</t>
        </is>
      </c>
      <c r="D25" s="4" t="n">
        <v>10</v>
      </c>
      <c r="E25" s="4" t="n">
        <v>16.25</v>
      </c>
      <c r="F25" s="4" t="n">
        <v>0.5</v>
      </c>
      <c r="G25" s="16" t="n">
        <v>162.5</v>
      </c>
      <c r="H25" s="5" t="n"/>
      <c r="I25" s="5">
        <f>IF(H25=0,"",F25-H25)</f>
        <v/>
      </c>
      <c r="J25" s="4" t="n"/>
      <c r="K25" s="5">
        <f>IF('H. Bektas'!J8="E. Bieler",'H. Bektas'!I8,0)+IF('J. Dorchies'!J14="E. Bieler",'J. Dorchies'!I14,0)</f>
        <v/>
      </c>
      <c r="L25" s="11">
        <f>IF($B$2="-","",IF($B$2="Pauschale",IFERROR(INDEX('Projekt-Budget-Übersicht'!$H:$H,MATCH(A25,'Projekt-Budget-Übersicht'!$A:$A,0)),""),IF($B$2="SV",IFERROR(INDEX('Projekt-Budget-Übersicht'!$H:$H,MATCH(A25,'Projekt-Budget-Übersicht'!$A:$A,0)),""),IF($B$2="CAD",IFERROR(INDEX('Projekt-Budget-Übersicht'!$I:$I,MATCH(A25,'Projekt-Budget-Übersicht'!$A:$A,0)),""),IF($B$2="ADM",IFERROR(INDEX('Projekt-Budget-Übersicht'!$J:$J,MATCH(A25,'Projekt-Budget-Übersicht'!$A:$A,0)),""),"")))))</f>
        <v/>
      </c>
      <c r="M25" s="11">
        <f>IF($B$2="-","",L25*(F25+I25+K25))</f>
        <v/>
      </c>
      <c r="N25" s="11">
        <f>IFERROR(INDEX('Projekt-Budget-Übersicht'!$E:$E,MATCH(A25,'Projekt-Budget-Übersicht'!$A:$A,0)),"")</f>
        <v/>
      </c>
      <c r="O25" s="11" t="inlineStr"/>
      <c r="P25" s="11" t="inlineStr"/>
    </row>
    <row r="26">
      <c r="A26" s="4" t="inlineStr">
        <is>
          <t>7328 LAER-formica-BSK-Lageranalage-Eilinger-Kamp-Menden</t>
        </is>
      </c>
      <c r="B26" s="4" t="inlineStr">
        <is>
          <t>SV</t>
        </is>
      </c>
      <c r="C26" s="4" t="inlineStr">
        <is>
          <t>G</t>
        </is>
      </c>
      <c r="D26" s="4" t="n">
        <v>16</v>
      </c>
      <c r="E26" s="4" t="n">
        <v>14.25</v>
      </c>
      <c r="F26" s="4" t="n">
        <v>0.25</v>
      </c>
      <c r="G26" s="17" t="n">
        <v>89.06</v>
      </c>
      <c r="H26" s="5" t="n"/>
      <c r="I26" s="5">
        <f>IF(H26=0,"",F26-H26)</f>
        <v/>
      </c>
      <c r="J26" s="4" t="n"/>
      <c r="K26" s="5">
        <f>IF('H. Bektas'!J9="E. Bieler",'H. Bektas'!I9,0)</f>
        <v/>
      </c>
      <c r="L26" s="11">
        <f>IF($B$2="-","",IF($B$2="Pauschale",IFERROR(INDEX('Projekt-Budget-Übersicht'!$H:$H,MATCH(A26,'Projekt-Budget-Übersicht'!$A:$A,0)),""),IF($B$2="SV",IFERROR(INDEX('Projekt-Budget-Übersicht'!$H:$H,MATCH(A26,'Projekt-Budget-Übersicht'!$A:$A,0)),""),IF($B$2="CAD",IFERROR(INDEX('Projekt-Budget-Übersicht'!$I:$I,MATCH(A26,'Projekt-Budget-Übersicht'!$A:$A,0)),""),IF($B$2="ADM",IFERROR(INDEX('Projekt-Budget-Übersicht'!$J:$J,MATCH(A26,'Projekt-Budget-Übersicht'!$A:$A,0)),""),"")))))</f>
        <v/>
      </c>
      <c r="M26" s="11">
        <f>IF($B$2="-","",L26*(F26+I26+K26))</f>
        <v/>
      </c>
      <c r="N26" s="11">
        <f>IFERROR(INDEX('Projekt-Budget-Übersicht'!$E:$E,MATCH(A26,'Projekt-Budget-Übersicht'!$A:$A,0)),"")</f>
        <v/>
      </c>
      <c r="O26" s="11" t="inlineStr"/>
      <c r="P26" s="11" t="inlineStr"/>
    </row>
    <row r="27">
      <c r="A27" s="4" t="inlineStr">
        <is>
          <t>7361 Energieprojekte-DK-BSK-WP-Thalfingen+Repowering-Anlage-Seligweiler-Bayern</t>
        </is>
      </c>
      <c r="B27" s="4" t="inlineStr">
        <is>
          <t>SV</t>
        </is>
      </c>
      <c r="C27" s="4" t="inlineStr">
        <is>
          <t>G</t>
        </is>
      </c>
      <c r="D27" s="4" t="n">
        <v>19</v>
      </c>
      <c r="E27" s="4" t="n">
        <v>20.75</v>
      </c>
      <c r="F27" s="4" t="n">
        <v>0.25</v>
      </c>
      <c r="G27" s="16" t="n">
        <v>109.21</v>
      </c>
      <c r="H27" s="5" t="n"/>
      <c r="I27" s="5">
        <f>IF(H27=0,"",F27-H27)</f>
        <v/>
      </c>
      <c r="J27" s="4" t="n"/>
      <c r="K27" s="5">
        <f>IF('H. Bektas'!J10="E. Bieler",'H. Bektas'!I10,0)</f>
        <v/>
      </c>
      <c r="L27" s="11">
        <f>IF($B$2="-","",IF($B$2="Pauschale",IFERROR(INDEX('Projekt-Budget-Übersicht'!$H:$H,MATCH(A27,'Projekt-Budget-Übersicht'!$A:$A,0)),""),IF($B$2="SV",IFERROR(INDEX('Projekt-Budget-Übersicht'!$H:$H,MATCH(A27,'Projekt-Budget-Übersicht'!$A:$A,0)),""),IF($B$2="CAD",IFERROR(INDEX('Projekt-Budget-Übersicht'!$I:$I,MATCH(A27,'Projekt-Budget-Übersicht'!$A:$A,0)),""),IF($B$2="ADM",IFERROR(INDEX('Projekt-Budget-Übersicht'!$J:$J,MATCH(A27,'Projekt-Budget-Übersicht'!$A:$A,0)),""),"")))))</f>
        <v/>
      </c>
      <c r="M27" s="11">
        <f>IF($B$2="-","",L27*(F27+I27+K27))</f>
        <v/>
      </c>
      <c r="N27" s="11">
        <f>IFERROR(INDEX('Projekt-Budget-Übersicht'!$E:$E,MATCH(A27,'Projekt-Budget-Übersicht'!$A:$A,0)),"")</f>
        <v/>
      </c>
      <c r="O27" s="11" t="inlineStr"/>
      <c r="P27" s="11" t="inlineStr"/>
    </row>
    <row r="28">
      <c r="A28" s="4" t="inlineStr">
        <is>
          <t>7364 SHE-BSK-WP-Göttingen-Baden-Württemberg</t>
        </is>
      </c>
      <c r="B28" s="4" t="inlineStr">
        <is>
          <t>SV</t>
        </is>
      </c>
      <c r="C28" s="4" t="inlineStr">
        <is>
          <t>G</t>
        </is>
      </c>
      <c r="D28" s="4" t="n">
        <v>19</v>
      </c>
      <c r="E28" s="4" t="n">
        <v>18.25</v>
      </c>
      <c r="F28" s="4" t="n">
        <v>0.25</v>
      </c>
      <c r="G28" s="14" t="n">
        <v>96.05</v>
      </c>
      <c r="H28" s="5" t="n"/>
      <c r="I28" s="5">
        <f>IF(H28=0,"",F28-H28)</f>
        <v/>
      </c>
      <c r="J28" s="4" t="n"/>
      <c r="K28" s="5">
        <f>IF('H. Bektas'!J11="E. Bieler",'H. Bektas'!I11,0)</f>
        <v/>
      </c>
      <c r="L28" s="11">
        <f>IF($B$2="-","",IF($B$2="Pauschale",IFERROR(INDEX('Projekt-Budget-Übersicht'!$H:$H,MATCH(A28,'Projekt-Budget-Übersicht'!$A:$A,0)),""),IF($B$2="SV",IFERROR(INDEX('Projekt-Budget-Übersicht'!$H:$H,MATCH(A28,'Projekt-Budget-Übersicht'!$A:$A,0)),""),IF($B$2="CAD",IFERROR(INDEX('Projekt-Budget-Übersicht'!$I:$I,MATCH(A28,'Projekt-Budget-Übersicht'!$A:$A,0)),""),IF($B$2="ADM",IFERROR(INDEX('Projekt-Budget-Übersicht'!$J:$J,MATCH(A28,'Projekt-Budget-Übersicht'!$A:$A,0)),""),"")))))</f>
        <v/>
      </c>
      <c r="M28" s="11">
        <f>IF($B$2="-","",L28*(F28+I28+K28))</f>
        <v/>
      </c>
      <c r="N28" s="11">
        <f>IFERROR(INDEX('Projekt-Budget-Übersicht'!$E:$E,MATCH(A28,'Projekt-Budget-Übersicht'!$A:$A,0)),"")</f>
        <v/>
      </c>
      <c r="O28" s="11" t="inlineStr"/>
      <c r="P28" s="11" t="inlineStr"/>
    </row>
    <row r="29">
      <c r="A29" s="4" t="inlineStr">
        <is>
          <t>7380.02 Qualitas-BSK-WEA-Geroldshausen-Uengershausen</t>
        </is>
      </c>
      <c r="B29" s="4" t="inlineStr">
        <is>
          <t>SV</t>
        </is>
      </c>
      <c r="C29" s="4" t="inlineStr">
        <is>
          <t>G</t>
        </is>
      </c>
      <c r="D29" s="4" t="n">
        <v>2400</v>
      </c>
      <c r="E29" s="4" t="n">
        <v>18</v>
      </c>
      <c r="F29" s="4" t="n">
        <v>0.25</v>
      </c>
      <c r="G29" s="17" t="n">
        <v>0.75</v>
      </c>
      <c r="H29" s="5" t="n"/>
      <c r="I29" s="5">
        <f>IF(H29=0,"",F29-H29)</f>
        <v/>
      </c>
      <c r="J29" s="4" t="n"/>
      <c r="K29" s="5" t="n">
        <v>0</v>
      </c>
      <c r="L29" s="11">
        <f>IF($B$2="-","",IF($B$2="Pauschale",IFERROR(INDEX('Projekt-Budget-Übersicht'!$H:$H,MATCH(A29,'Projekt-Budget-Übersicht'!$A:$A,0)),""),IF($B$2="SV",IFERROR(INDEX('Projekt-Budget-Übersicht'!$H:$H,MATCH(A29,'Projekt-Budget-Übersicht'!$A:$A,0)),""),IF($B$2="CAD",IFERROR(INDEX('Projekt-Budget-Übersicht'!$I:$I,MATCH(A29,'Projekt-Budget-Übersicht'!$A:$A,0)),""),IF($B$2="ADM",IFERROR(INDEX('Projekt-Budget-Übersicht'!$J:$J,MATCH(A29,'Projekt-Budget-Übersicht'!$A:$A,0)),""),"")))))</f>
        <v/>
      </c>
      <c r="M29" s="11">
        <f>IF($B$2="-","",L29*(F29+I29+K29))</f>
        <v/>
      </c>
      <c r="N29" s="11">
        <f>IFERROR(INDEX('Projekt-Budget-Übersicht'!$E:$E,MATCH(A29,'Projekt-Budget-Übersicht'!$A:$A,0)),"")</f>
        <v/>
      </c>
      <c r="O29" s="11" t="inlineStr"/>
      <c r="P29" s="11" t="inlineStr"/>
    </row>
    <row r="30">
      <c r="A30" s="4" t="inlineStr">
        <is>
          <t>7384 Brandschutzzentrale-Fireschutz-BSH-Bielefeld</t>
        </is>
      </c>
      <c r="B30" s="4" t="inlineStr">
        <is>
          <t>25-07-01 (p) prakt. Unterweisung (MA250060272)</t>
        </is>
      </c>
      <c r="C30" s="4" t="inlineStr">
        <is>
          <t>G</t>
        </is>
      </c>
      <c r="D30" s="4" t="n">
        <v>5</v>
      </c>
      <c r="E30" s="4" t="n">
        <v>3</v>
      </c>
      <c r="F30" s="4" t="n">
        <v>0.5</v>
      </c>
      <c r="G30" s="17" t="n">
        <v>60</v>
      </c>
      <c r="H30" s="5" t="n"/>
      <c r="I30" s="5">
        <f>IF(H30=0,"",F30-H30)</f>
        <v/>
      </c>
      <c r="J30" s="4" t="n"/>
      <c r="K30" s="5">
        <f>IF('D. Brucker'!J11="E. Bieler",'D. Brucker'!I11,0)</f>
        <v/>
      </c>
      <c r="L30" s="11">
        <f>IF($B$2="-","",IF($B$2="Pauschale",IFERROR(INDEX('Projekt-Budget-Übersicht'!$H:$H,MATCH(A30,'Projekt-Budget-Übersicht'!$A:$A,0)),""),IF($B$2="SV",IFERROR(INDEX('Projekt-Budget-Übersicht'!$H:$H,MATCH(A30,'Projekt-Budget-Übersicht'!$A:$A,0)),""),IF($B$2="CAD",IFERROR(INDEX('Projekt-Budget-Übersicht'!$I:$I,MATCH(A30,'Projekt-Budget-Übersicht'!$A:$A,0)),""),IF($B$2="ADM",IFERROR(INDEX('Projekt-Budget-Übersicht'!$J:$J,MATCH(A30,'Projekt-Budget-Übersicht'!$A:$A,0)),""),"")))))</f>
        <v/>
      </c>
      <c r="M30" s="11">
        <f>IF($B$2="-","",L30*(F30+I30+K30))</f>
        <v/>
      </c>
      <c r="N30" s="11">
        <f>IFERROR(INDEX('Projekt-Budget-Übersicht'!$E:$E,MATCH(A30,'Projekt-Budget-Übersicht'!$A:$A,0)),"")</f>
        <v/>
      </c>
      <c r="O30" s="11" t="inlineStr"/>
      <c r="P30" s="11" t="inlineStr"/>
    </row>
    <row r="31">
      <c r="A31" s="4" t="inlineStr">
        <is>
          <t>7414 HJVV-BSK-NB-Wohnanlage-Trier-Ehrang</t>
        </is>
      </c>
      <c r="B31" s="4" t="inlineStr">
        <is>
          <t>SV</t>
        </is>
      </c>
      <c r="C31" s="4" t="inlineStr">
        <is>
          <t>G</t>
        </is>
      </c>
      <c r="D31" s="4" t="n">
        <v>40</v>
      </c>
      <c r="E31" s="4" t="n">
        <v>26</v>
      </c>
      <c r="F31" s="4" t="n">
        <v>1</v>
      </c>
      <c r="G31" s="17" t="n">
        <v>65</v>
      </c>
      <c r="H31" s="5" t="n"/>
      <c r="I31" s="5">
        <f>IF(H31=0,"",F31-H31)</f>
        <v/>
      </c>
      <c r="J31" s="4" t="n"/>
      <c r="K31" s="5">
        <f>IF('D. Brucker'!J14="E. Bieler",'D. Brucker'!I14,0)</f>
        <v/>
      </c>
      <c r="L31" s="11">
        <f>IF($B$2="-","",IF($B$2="Pauschale",IFERROR(INDEX('Projekt-Budget-Übersicht'!$H:$H,MATCH(A31,'Projekt-Budget-Übersicht'!$A:$A,0)),""),IF($B$2="SV",IFERROR(INDEX('Projekt-Budget-Übersicht'!$H:$H,MATCH(A31,'Projekt-Budget-Übersicht'!$A:$A,0)),""),IF($B$2="CAD",IFERROR(INDEX('Projekt-Budget-Übersicht'!$I:$I,MATCH(A31,'Projekt-Budget-Übersicht'!$A:$A,0)),""),IF($B$2="ADM",IFERROR(INDEX('Projekt-Budget-Übersicht'!$J:$J,MATCH(A31,'Projekt-Budget-Übersicht'!$A:$A,0)),""),"")))))</f>
        <v/>
      </c>
      <c r="M31" s="11">
        <f>IF($B$2="-","",L31*(F31+I31+K31))</f>
        <v/>
      </c>
      <c r="N31" s="11">
        <f>IFERROR(INDEX('Projekt-Budget-Übersicht'!$E:$E,MATCH(A31,'Projekt-Budget-Übersicht'!$A:$A,0)),"")</f>
        <v/>
      </c>
      <c r="O31" s="11" t="inlineStr"/>
      <c r="P31" s="11" t="inlineStr"/>
    </row>
    <row r="32">
      <c r="A32" s="4" t="inlineStr">
        <is>
          <t>7419.02 Zech-FRP-FWP-Sporthalle-Pestalozzistr10-Eppelheim</t>
        </is>
      </c>
      <c r="B32" s="4" t="inlineStr">
        <is>
          <t>CAD</t>
        </is>
      </c>
      <c r="C32" s="4" t="inlineStr">
        <is>
          <t>G</t>
        </is>
      </c>
      <c r="D32" s="4" t="n">
        <v>26</v>
      </c>
      <c r="E32" s="4" t="n">
        <v>10.25</v>
      </c>
      <c r="F32" s="4" t="n">
        <v>0.5</v>
      </c>
      <c r="G32" s="17" t="n">
        <v>39.42</v>
      </c>
      <c r="H32" s="5" t="n"/>
      <c r="I32" s="5">
        <f>IF(H32=0,"",F32-H32)</f>
        <v/>
      </c>
      <c r="J32" s="4" t="n"/>
      <c r="K32" s="5">
        <f>IF('O. Haag BS-CAD'!J41="E. Bieler",'O. Haag BS-CAD'!I41,0)</f>
        <v/>
      </c>
      <c r="L32" s="11">
        <f>IF($B$2="-","",IF($B$2="Pauschale",IFERROR(INDEX('Projekt-Budget-Übersicht'!$H:$H,MATCH(A32,'Projekt-Budget-Übersicht'!$A:$A,0)),""),IF($B$2="SV",IFERROR(INDEX('Projekt-Budget-Übersicht'!$H:$H,MATCH(A32,'Projekt-Budget-Übersicht'!$A:$A,0)),""),IF($B$2="CAD",IFERROR(INDEX('Projekt-Budget-Übersicht'!$I:$I,MATCH(A32,'Projekt-Budget-Übersicht'!$A:$A,0)),""),IF($B$2="ADM",IFERROR(INDEX('Projekt-Budget-Übersicht'!$J:$J,MATCH(A32,'Projekt-Budget-Übersicht'!$A:$A,0)),""),"")))))</f>
        <v/>
      </c>
      <c r="M32" s="11">
        <f>IF($B$2="-","",L32*(F32+I32+K32))</f>
        <v/>
      </c>
      <c r="N32" s="11">
        <f>IFERROR(INDEX('Projekt-Budget-Übersicht'!$E:$E,MATCH(A32,'Projekt-Budget-Übersicht'!$A:$A,0)),"")</f>
        <v/>
      </c>
      <c r="O32" s="11" t="inlineStr"/>
      <c r="P32" s="11" t="inlineStr"/>
    </row>
    <row r="33">
      <c r="A33" s="4" t="inlineStr">
        <is>
          <t>7422 Energieprojekte-DK-BSK-WEA-Aschbach-Ilmenau</t>
        </is>
      </c>
      <c r="B33" s="4" t="inlineStr">
        <is>
          <t>SV</t>
        </is>
      </c>
      <c r="C33" s="4" t="inlineStr">
        <is>
          <t>G</t>
        </is>
      </c>
      <c r="D33" s="4" t="n">
        <v>16</v>
      </c>
      <c r="E33" s="4" t="n">
        <v>15.25</v>
      </c>
      <c r="F33" s="4" t="n">
        <v>0.25</v>
      </c>
      <c r="G33" s="14" t="n">
        <v>95.31</v>
      </c>
      <c r="H33" s="5" t="n"/>
      <c r="I33" s="5">
        <f>IF(H33=0,"",F33-H33)</f>
        <v/>
      </c>
      <c r="J33" s="4" t="n"/>
      <c r="K33" s="5">
        <f>IF('H. Bektas'!J16="E. Bieler",'H. Bektas'!I16,0)</f>
        <v/>
      </c>
      <c r="L33" s="11">
        <f>IF($B$2="-","",IF($B$2="Pauschale",IFERROR(INDEX('Projekt-Budget-Übersicht'!$H:$H,MATCH(A33,'Projekt-Budget-Übersicht'!$A:$A,0)),""),IF($B$2="SV",IFERROR(INDEX('Projekt-Budget-Übersicht'!$H:$H,MATCH(A33,'Projekt-Budget-Übersicht'!$A:$A,0)),""),IF($B$2="CAD",IFERROR(INDEX('Projekt-Budget-Übersicht'!$I:$I,MATCH(A33,'Projekt-Budget-Übersicht'!$A:$A,0)),""),IF($B$2="ADM",IFERROR(INDEX('Projekt-Budget-Übersicht'!$J:$J,MATCH(A33,'Projekt-Budget-Übersicht'!$A:$A,0)),""),"")))))</f>
        <v/>
      </c>
      <c r="M33" s="11">
        <f>IF($B$2="-","",L33*(F33+I33+K33))</f>
        <v/>
      </c>
      <c r="N33" s="11">
        <f>IFERROR(INDEX('Projekt-Budget-Übersicht'!$E:$E,MATCH(A33,'Projekt-Budget-Übersicht'!$A:$A,0)),"")</f>
        <v/>
      </c>
      <c r="O33" s="11" t="inlineStr"/>
      <c r="P33" s="11" t="inlineStr"/>
    </row>
    <row r="34">
      <c r="A34" s="4" t="inlineStr">
        <is>
          <t>7426 MPI-BTB-Biophysik-Max-von-Laue-Str3-FFM</t>
        </is>
      </c>
      <c r="B34" s="4" t="inlineStr">
        <is>
          <t>(aN) Pos. 1 Brandschutztechnische Beratung</t>
        </is>
      </c>
      <c r="C34" s="4" t="inlineStr">
        <is>
          <t>G</t>
        </is>
      </c>
      <c r="D34" s="4" t="n">
        <v>26</v>
      </c>
      <c r="E34" s="4" t="n">
        <v>29</v>
      </c>
      <c r="F34" s="4" t="n">
        <v>0.5</v>
      </c>
      <c r="G34" s="16" t="n">
        <v>111.54</v>
      </c>
      <c r="H34" s="5" t="n"/>
      <c r="I34" s="5">
        <f>IF(H34=0,"",F34-H34)</f>
        <v/>
      </c>
      <c r="J34" s="4" t="n"/>
      <c r="K34" s="5">
        <f>IF('M. Bandlofsky'!J14="E. Bieler",'M. Bandlofsky'!I14,0)</f>
        <v/>
      </c>
      <c r="L34" s="11">
        <f>IF($B$2="-","",IF($B$2="Pauschale",IFERROR(INDEX('Projekt-Budget-Übersicht'!$H:$H,MATCH(A34,'Projekt-Budget-Übersicht'!$A:$A,0)),""),IF($B$2="SV",IFERROR(INDEX('Projekt-Budget-Übersicht'!$H:$H,MATCH(A34,'Projekt-Budget-Übersicht'!$A:$A,0)),""),IF($B$2="CAD",IFERROR(INDEX('Projekt-Budget-Übersicht'!$I:$I,MATCH(A34,'Projekt-Budget-Übersicht'!$A:$A,0)),""),IF($B$2="ADM",IFERROR(INDEX('Projekt-Budget-Übersicht'!$J:$J,MATCH(A34,'Projekt-Budget-Übersicht'!$A:$A,0)),""),"")))))</f>
        <v/>
      </c>
      <c r="M34" s="11">
        <f>IF($B$2="-","",L34*(F34+I34+K34))</f>
        <v/>
      </c>
      <c r="N34" s="11">
        <f>IFERROR(INDEX('Projekt-Budget-Übersicht'!$E:$E,MATCH(A34,'Projekt-Budget-Übersicht'!$A:$A,0)),"")</f>
        <v/>
      </c>
      <c r="O34" s="11" t="inlineStr"/>
      <c r="P34" s="11" t="inlineStr"/>
    </row>
    <row r="35">
      <c r="A35" s="4" t="inlineStr">
        <is>
          <t>7435 wiwi-BSK-WEA-Spiesheim-Wörrstadt-Ost</t>
        </is>
      </c>
      <c r="B35" s="4" t="inlineStr">
        <is>
          <t>SV</t>
        </is>
      </c>
      <c r="C35" s="4" t="inlineStr">
        <is>
          <t>G</t>
        </is>
      </c>
      <c r="D35" s="4" t="n">
        <v>17</v>
      </c>
      <c r="E35" s="4" t="n">
        <v>16.25</v>
      </c>
      <c r="F35" s="4" t="n">
        <v>0.25</v>
      </c>
      <c r="G35" s="14" t="n">
        <v>95.59</v>
      </c>
      <c r="H35" s="5" t="n"/>
      <c r="I35" s="5">
        <f>IF(H35=0,"",F35-H35)</f>
        <v/>
      </c>
      <c r="J35" s="4" t="n"/>
      <c r="K35" s="5">
        <f>IF('H. Bektas'!J17="E. Bieler",'H. Bektas'!I17,0)</f>
        <v/>
      </c>
      <c r="L35" s="11">
        <f>IF($B$2="-","",IF($B$2="Pauschale",IFERROR(INDEX('Projekt-Budget-Übersicht'!$H:$H,MATCH(A35,'Projekt-Budget-Übersicht'!$A:$A,0)),""),IF($B$2="SV",IFERROR(INDEX('Projekt-Budget-Übersicht'!$H:$H,MATCH(A35,'Projekt-Budget-Übersicht'!$A:$A,0)),""),IF($B$2="CAD",IFERROR(INDEX('Projekt-Budget-Übersicht'!$I:$I,MATCH(A35,'Projekt-Budget-Übersicht'!$A:$A,0)),""),IF($B$2="ADM",IFERROR(INDEX('Projekt-Budget-Übersicht'!$J:$J,MATCH(A35,'Projekt-Budget-Übersicht'!$A:$A,0)),""),"")))))</f>
        <v/>
      </c>
      <c r="M35" s="11">
        <f>IF($B$2="-","",L35*(F35+I35+K35))</f>
        <v/>
      </c>
      <c r="N35" s="11">
        <f>IFERROR(INDEX('Projekt-Budget-Übersicht'!$E:$E,MATCH(A35,'Projekt-Budget-Übersicht'!$A:$A,0)),"")</f>
        <v/>
      </c>
      <c r="O35" s="11" t="inlineStr"/>
      <c r="P35" s="11" t="inlineStr"/>
    </row>
    <row r="36">
      <c r="A36" s="4" t="inlineStr">
        <is>
          <t>7437 MVV-BSK-UW3-Käfertal-Mannheim</t>
        </is>
      </c>
      <c r="B36" s="4" t="inlineStr">
        <is>
          <t>Erarbeiten des Brandschutzkonzept/Nachweis/Stellungnahme</t>
        </is>
      </c>
      <c r="C36" s="4" t="inlineStr">
        <is>
          <t>G</t>
        </is>
      </c>
      <c r="D36" s="4" t="n">
        <v>31</v>
      </c>
      <c r="E36" s="4" t="n">
        <v>35.25</v>
      </c>
      <c r="F36" s="4" t="n">
        <v>2</v>
      </c>
      <c r="G36" s="16" t="n">
        <v>113.71</v>
      </c>
      <c r="H36" s="5" t="n"/>
      <c r="I36" s="5">
        <f>IF(H36=0,"",F36-H36)</f>
        <v/>
      </c>
      <c r="J36" s="4" t="n"/>
      <c r="K36" s="5">
        <f>IF('J. Dorn'!J35="E. Bieler",'J. Dorn'!I35,0)+IF('M. Bandlofsky'!J16="E. Bieler",'M. Bandlofsky'!I16,0)</f>
        <v/>
      </c>
      <c r="L36" s="11">
        <f>IF($B$2="-","",IF($B$2="Pauschale",IFERROR(INDEX('Projekt-Budget-Übersicht'!$H:$H,MATCH(A36,'Projekt-Budget-Übersicht'!$A:$A,0)),""),IF($B$2="SV",IFERROR(INDEX('Projekt-Budget-Übersicht'!$H:$H,MATCH(A36,'Projekt-Budget-Übersicht'!$A:$A,0)),""),IF($B$2="CAD",IFERROR(INDEX('Projekt-Budget-Übersicht'!$I:$I,MATCH(A36,'Projekt-Budget-Übersicht'!$A:$A,0)),""),IF($B$2="ADM",IFERROR(INDEX('Projekt-Budget-Übersicht'!$J:$J,MATCH(A36,'Projekt-Budget-Übersicht'!$A:$A,0)),""),"")))))</f>
        <v/>
      </c>
      <c r="M36" s="11">
        <f>IF($B$2="-","",L36*(F36+I36+K36))</f>
        <v/>
      </c>
      <c r="N36" s="11">
        <f>IFERROR(INDEX('Projekt-Budget-Übersicht'!$E:$E,MATCH(A36,'Projekt-Budget-Übersicht'!$A:$A,0)),"")</f>
        <v/>
      </c>
      <c r="O36" s="11" t="inlineStr"/>
      <c r="P36" s="11" t="inlineStr"/>
    </row>
    <row r="37">
      <c r="A37" s="4" t="inlineStr">
        <is>
          <t>7441 Baupionier-Garagenpark-Öhringen-BSK</t>
        </is>
      </c>
      <c r="B37" s="4" t="inlineStr">
        <is>
          <t>SV</t>
        </is>
      </c>
      <c r="C37" s="4" t="inlineStr">
        <is>
          <t>G</t>
        </is>
      </c>
      <c r="D37" s="4" t="n">
        <v>17</v>
      </c>
      <c r="E37" s="4" t="n">
        <v>13.5</v>
      </c>
      <c r="F37" s="4" t="n">
        <v>0.5</v>
      </c>
      <c r="G37" s="17" t="n">
        <v>79.41</v>
      </c>
      <c r="H37" s="5" t="n"/>
      <c r="I37" s="5">
        <f>IF(H37=0,"",F37-H37)</f>
        <v/>
      </c>
      <c r="J37" s="4" t="n"/>
      <c r="K37" s="5">
        <f>IF('H. Bektas'!J18="E. Bieler",'H. Bektas'!I18,0)</f>
        <v/>
      </c>
      <c r="L37" s="11">
        <f>IF($B$2="-","",IF($B$2="Pauschale",IFERROR(INDEX('Projekt-Budget-Übersicht'!$H:$H,MATCH(A37,'Projekt-Budget-Übersicht'!$A:$A,0)),""),IF($B$2="SV",IFERROR(INDEX('Projekt-Budget-Übersicht'!$H:$H,MATCH(A37,'Projekt-Budget-Übersicht'!$A:$A,0)),""),IF($B$2="CAD",IFERROR(INDEX('Projekt-Budget-Übersicht'!$I:$I,MATCH(A37,'Projekt-Budget-Übersicht'!$A:$A,0)),""),IF($B$2="ADM",IFERROR(INDEX('Projekt-Budget-Übersicht'!$J:$J,MATCH(A37,'Projekt-Budget-Übersicht'!$A:$A,0)),""),"")))))</f>
        <v/>
      </c>
      <c r="M37" s="11">
        <f>IF($B$2="-","",L37*(F37+I37+K37))</f>
        <v/>
      </c>
      <c r="N37" s="11">
        <f>IFERROR(INDEX('Projekt-Budget-Übersicht'!$E:$E,MATCH(A37,'Projekt-Budget-Übersicht'!$A:$A,0)),"")</f>
        <v/>
      </c>
      <c r="O37" s="11" t="inlineStr"/>
      <c r="P37" s="11" t="inlineStr"/>
    </row>
    <row r="38">
      <c r="A38" s="4" t="inlineStr">
        <is>
          <t>7459 Baupionier-BTB-Prüfung-Details-Garagenparks</t>
        </is>
      </c>
      <c r="B38" s="4" t="inlineStr">
        <is>
          <t>3100-Erarbeiten des Brandschutzkonzept/Nachweis/Stellungnahme</t>
        </is>
      </c>
      <c r="C38" s="4" t="inlineStr">
        <is>
          <t>G</t>
        </is>
      </c>
      <c r="D38" s="4" t="n">
        <v>14</v>
      </c>
      <c r="E38" s="4" t="n">
        <v>15.5</v>
      </c>
      <c r="F38" s="4" t="n">
        <v>0.5</v>
      </c>
      <c r="G38" s="16" t="n">
        <v>110.71</v>
      </c>
      <c r="H38" s="5" t="n"/>
      <c r="I38" s="5">
        <f>IF(H38=0,"",F38-H38)</f>
        <v/>
      </c>
      <c r="J38" s="4" t="n"/>
      <c r="K38" s="5">
        <f>IF('A. Kokott'!J30="E. Bieler",'A. Kokott'!I30,0)+IF('M. Bandlofsky'!J17="E. Bieler",'M. Bandlofsky'!I17,0)</f>
        <v/>
      </c>
      <c r="L38" s="11">
        <f>IF($B$2="-","",IF($B$2="Pauschale",IFERROR(INDEX('Projekt-Budget-Übersicht'!$H:$H,MATCH(A38,'Projekt-Budget-Übersicht'!$A:$A,0)),""),IF($B$2="SV",IFERROR(INDEX('Projekt-Budget-Übersicht'!$H:$H,MATCH(A38,'Projekt-Budget-Übersicht'!$A:$A,0)),""),IF($B$2="CAD",IFERROR(INDEX('Projekt-Budget-Übersicht'!$I:$I,MATCH(A38,'Projekt-Budget-Übersicht'!$A:$A,0)),""),IF($B$2="ADM",IFERROR(INDEX('Projekt-Budget-Übersicht'!$J:$J,MATCH(A38,'Projekt-Budget-Übersicht'!$A:$A,0)),""),"")))))</f>
        <v/>
      </c>
      <c r="M38" s="11">
        <f>IF($B$2="-","",L38*(F38+I38+K38))</f>
        <v/>
      </c>
      <c r="N38" s="11">
        <f>IFERROR(INDEX('Projekt-Budget-Übersicht'!$E:$E,MATCH(A38,'Projekt-Budget-Übersicht'!$A:$A,0)),"")</f>
        <v/>
      </c>
      <c r="O38" s="11" t="inlineStr"/>
      <c r="P38" s="11" t="inlineStr"/>
    </row>
    <row r="39">
      <c r="A39" s="4" t="inlineStr">
        <is>
          <t>7600.01 Altus-BSK-FWP-WP-Padberg</t>
        </is>
      </c>
      <c r="B39" s="4" t="inlineStr">
        <is>
          <t>SV</t>
        </is>
      </c>
      <c r="C39" s="4" t="inlineStr">
        <is>
          <t>G</t>
        </is>
      </c>
      <c r="D39" s="4" t="n">
        <v>0</v>
      </c>
      <c r="E39" s="4" t="n">
        <v>0</v>
      </c>
      <c r="F39" s="4" t="n">
        <v>0.25</v>
      </c>
      <c r="G39" s="4" t="n">
        <v>0</v>
      </c>
      <c r="H39" s="5" t="n"/>
      <c r="I39" s="5">
        <f>IF(H39=0,"",F39-H39)</f>
        <v/>
      </c>
      <c r="J39" s="4" t="n"/>
      <c r="K39" s="5" t="n">
        <v>0</v>
      </c>
      <c r="L39" s="11">
        <f>IF($B$2="-","",IF($B$2="Pauschale",IFERROR(INDEX('Projekt-Budget-Übersicht'!$H:$H,MATCH(A39,'Projekt-Budget-Übersicht'!$A:$A,0)),""),IF($B$2="SV",IFERROR(INDEX('Projekt-Budget-Übersicht'!$H:$H,MATCH(A39,'Projekt-Budget-Übersicht'!$A:$A,0)),""),IF($B$2="CAD",IFERROR(INDEX('Projekt-Budget-Übersicht'!$I:$I,MATCH(A39,'Projekt-Budget-Übersicht'!$A:$A,0)),""),IF($B$2="ADM",IFERROR(INDEX('Projekt-Budget-Übersicht'!$J:$J,MATCH(A39,'Projekt-Budget-Übersicht'!$A:$A,0)),""),"")))))</f>
        <v/>
      </c>
      <c r="M39" s="11">
        <f>IF($B$2="-","",L39*(F39+I39+K39))</f>
        <v/>
      </c>
      <c r="N39" s="11">
        <f>IFERROR(INDEX('Projekt-Budget-Übersicht'!$E:$E,MATCH(A39,'Projekt-Budget-Übersicht'!$A:$A,0)),"")</f>
        <v/>
      </c>
      <c r="O39" s="11" t="inlineStr"/>
      <c r="P39" s="11" t="inlineStr"/>
    </row>
    <row r="40">
      <c r="A40" s="4" t="inlineStr">
        <is>
          <t>7700.01 EAM-BSK-WEA-Herborn</t>
        </is>
      </c>
      <c r="B40" s="4" t="inlineStr">
        <is>
          <t>SV</t>
        </is>
      </c>
      <c r="C40" s="4" t="inlineStr">
        <is>
          <t>G</t>
        </is>
      </c>
      <c r="D40" s="4" t="n">
        <v>16</v>
      </c>
      <c r="E40" s="4" t="n">
        <v>8.25</v>
      </c>
      <c r="F40" s="4" t="n">
        <v>0.25</v>
      </c>
      <c r="G40" s="17" t="n">
        <v>51.56</v>
      </c>
      <c r="H40" s="5" t="n"/>
      <c r="I40" s="5">
        <f>IF(H40=0,"",F40-H40)</f>
        <v/>
      </c>
      <c r="J40" s="4" t="n"/>
      <c r="K40" s="5" t="n">
        <v>0</v>
      </c>
      <c r="L40" s="11">
        <f>IF($B$2="-","",IF($B$2="Pauschale",IFERROR(INDEX('Projekt-Budget-Übersicht'!$H:$H,MATCH(A40,'Projekt-Budget-Übersicht'!$A:$A,0)),""),IF($B$2="SV",IFERROR(INDEX('Projekt-Budget-Übersicht'!$H:$H,MATCH(A40,'Projekt-Budget-Übersicht'!$A:$A,0)),""),IF($B$2="CAD",IFERROR(INDEX('Projekt-Budget-Übersicht'!$I:$I,MATCH(A40,'Projekt-Budget-Übersicht'!$A:$A,0)),""),IF($B$2="ADM",IFERROR(INDEX('Projekt-Budget-Übersicht'!$J:$J,MATCH(A40,'Projekt-Budget-Übersicht'!$A:$A,0)),""),"")))))</f>
        <v/>
      </c>
      <c r="M40" s="11">
        <f>IF($B$2="-","",L40*(F40+I40+K40))</f>
        <v/>
      </c>
      <c r="N40" s="11">
        <f>IFERROR(INDEX('Projekt-Budget-Übersicht'!$E:$E,MATCH(A40,'Projekt-Budget-Übersicht'!$A:$A,0)),"")</f>
        <v/>
      </c>
      <c r="O40" s="11" t="inlineStr"/>
      <c r="P40" s="11" t="inlineStr"/>
    </row>
    <row r="41">
      <c r="A41" s="4" t="inlineStr">
        <is>
          <t>8100 UStrich-Stunden-für-Mosaik-/Kaarst-Projekte</t>
        </is>
      </c>
      <c r="B41" s="4" t="inlineStr">
        <is>
          <t>Pos. 1.003: Abgleich FRP – 400€</t>
        </is>
      </c>
      <c r="C41" s="4" t="inlineStr">
        <is>
          <t>G</t>
        </is>
      </c>
      <c r="D41" s="4" t="n">
        <v>0</v>
      </c>
      <c r="E41" s="4" t="n">
        <v>3.25</v>
      </c>
      <c r="F41" s="4" t="n">
        <v>0.25</v>
      </c>
      <c r="G41" s="4" t="n">
        <v>0</v>
      </c>
      <c r="H41" s="5" t="n"/>
      <c r="I41" s="5">
        <f>IF(H41=0,"",F41-H41)</f>
        <v/>
      </c>
      <c r="J41" s="4" t="n"/>
      <c r="K41" s="5">
        <f>IF('M. Bandlofsky CAD'!J7="E. Bieler",'M. Bandlofsky CAD'!I7,0)</f>
        <v/>
      </c>
      <c r="L41" s="11">
        <f>IF($B$2="-","",IF($B$2="Pauschale",IFERROR(INDEX('Projekt-Budget-Übersicht'!$H:$H,MATCH(A41,'Projekt-Budget-Übersicht'!$A:$A,0)),""),IF($B$2="SV",IFERROR(INDEX('Projekt-Budget-Übersicht'!$H:$H,MATCH(A41,'Projekt-Budget-Übersicht'!$A:$A,0)),""),IF($B$2="CAD",IFERROR(INDEX('Projekt-Budget-Übersicht'!$I:$I,MATCH(A41,'Projekt-Budget-Übersicht'!$A:$A,0)),""),IF($B$2="ADM",IFERROR(INDEX('Projekt-Budget-Übersicht'!$J:$J,MATCH(A41,'Projekt-Budget-Übersicht'!$A:$A,0)),""),"")))))</f>
        <v/>
      </c>
      <c r="M41" s="11">
        <f>IF($B$2="-","",L41*(F41+I41+K41))</f>
        <v/>
      </c>
      <c r="N41" s="11">
        <f>IFERROR(INDEX('Projekt-Budget-Übersicht'!$E:$E,MATCH(A41,'Projekt-Budget-Übersicht'!$A:$A,0)),"")</f>
        <v/>
      </c>
      <c r="O41" s="11" t="inlineStr"/>
      <c r="P41" s="11" t="inlineStr"/>
    </row>
    <row r="42">
      <c r="A42" s="3" t="inlineStr"/>
      <c r="B42" s="3" t="inlineStr">
        <is>
          <t>Summe</t>
        </is>
      </c>
      <c r="C42" s="3" t="inlineStr"/>
      <c r="D42" s="3" t="inlineStr"/>
      <c r="E42" s="3" t="inlineStr"/>
      <c r="F42" s="6" t="n">
        <v>46.5</v>
      </c>
      <c r="G42" s="3" t="inlineStr"/>
      <c r="H42" s="3" t="inlineStr"/>
      <c r="I42" s="3" t="inlineStr"/>
      <c r="J42" s="3" t="inlineStr"/>
      <c r="K42" s="3" t="inlineStr"/>
      <c r="L42" s="3" t="n"/>
      <c r="M42" s="3" t="n"/>
      <c r="N42" s="3" t="n"/>
      <c r="O42" s="3" t="n"/>
      <c r="P42" s="3" t="n"/>
    </row>
    <row r="43">
      <c r="A43" s="3" t="inlineStr"/>
      <c r="B43" s="3" t="inlineStr">
        <is>
          <t>Bonusberechtigte Stunden</t>
        </is>
      </c>
      <c r="C43" s="3" t="inlineStr"/>
      <c r="D43" s="3" t="inlineStr"/>
      <c r="E43" s="3" t="inlineStr"/>
      <c r="F43" s="6">
        <f>G43+H43</f>
        <v/>
      </c>
      <c r="G43" s="6" t="n">
        <v>26.25</v>
      </c>
      <c r="H43" s="6">
        <f>SUM(H8,H9,H10,H11,H12,H13,H14,H15,H16,H17,H18,H19,H20,H21,H22,H23,H24,H25,H26,H27,H28,H29,H30,H31,H32,H33,H34,H35,H36,H37,H38,H39,H40,H41)</f>
        <v/>
      </c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</row>
    <row r="44">
      <c r="A44" s="3" t="inlineStr"/>
      <c r="B44" s="3" t="inlineStr">
        <is>
          <t>Bonusberechtigte Stunden Sonderprojekt</t>
        </is>
      </c>
      <c r="C44" s="3" t="inlineStr"/>
      <c r="D44" s="3" t="inlineStr"/>
      <c r="E44" s="3" t="inlineStr"/>
      <c r="F44" s="6">
        <f>G44+H44</f>
        <v/>
      </c>
      <c r="G44" s="6" t="n">
        <v>1</v>
      </c>
      <c r="H44" s="6">
        <f>SUM(H6,H7)</f>
        <v/>
      </c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</row>
    <row r="45">
      <c r="A45" s="3" t="inlineStr"/>
      <c r="B45" s="3" t="inlineStr">
        <is>
          <t>Zugeordnete Stunden von anderen MA</t>
        </is>
      </c>
      <c r="C45" s="3" t="inlineStr"/>
      <c r="D45" s="3" t="inlineStr"/>
      <c r="E45" s="3" t="inlineStr"/>
      <c r="F45" s="6">
        <f>SUM(K6:K41)</f>
        <v/>
      </c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</row>
    <row r="46">
      <c r="A46" s="18" t="inlineStr"/>
      <c r="B46" s="18" t="inlineStr">
        <is>
          <t>Gesamt Bonus Stunden</t>
        </is>
      </c>
      <c r="C46" s="18" t="inlineStr"/>
      <c r="D46" s="18" t="inlineStr"/>
      <c r="E46" s="18" t="inlineStr"/>
      <c r="F46" s="19">
        <f>F43+F44+F45</f>
        <v/>
      </c>
      <c r="G46" s="18" t="inlineStr"/>
      <c r="H46" s="18" t="inlineStr"/>
      <c r="I46" s="18" t="inlineStr"/>
      <c r="J46" s="18" t="inlineStr"/>
      <c r="K46" s="18" t="inlineStr"/>
      <c r="L46" s="18" t="n"/>
      <c r="M46" s="18" t="n"/>
      <c r="N46" s="18" t="n"/>
      <c r="O46" s="18" t="n"/>
      <c r="P46" s="18" t="n"/>
    </row>
    <row r="48">
      <c r="A48" s="2" t="inlineStr">
        <is>
          <t>--- August 2025 ---</t>
        </is>
      </c>
    </row>
    <row r="49">
      <c r="A49" s="3" t="inlineStr">
        <is>
          <t>Projekt</t>
        </is>
      </c>
      <c r="B49" s="3" t="inlineStr">
        <is>
          <t>Meilenstein</t>
        </is>
      </c>
      <c r="C49" s="3" t="inlineStr">
        <is>
          <t>Typ</t>
        </is>
      </c>
      <c r="D49" s="3" t="inlineStr">
        <is>
          <t>Soll (h)</t>
        </is>
      </c>
      <c r="E49" s="3" t="inlineStr">
        <is>
          <t>Ist (h)</t>
        </is>
      </c>
      <c r="F49" s="3" t="inlineStr">
        <is>
          <t>August 2025 (h)</t>
        </is>
      </c>
      <c r="G49" s="3" t="inlineStr">
        <is>
          <t>%</t>
        </is>
      </c>
      <c r="H49" s="3" t="inlineStr">
        <is>
          <t>Bonus-Anpassung (h)</t>
        </is>
      </c>
      <c r="I49" s="3" t="inlineStr">
        <is>
          <t>Differenz (h)</t>
        </is>
      </c>
      <c r="J49" s="3" t="inlineStr">
        <is>
          <t>Zuordnen an</t>
        </is>
      </c>
      <c r="K49" s="3" t="inlineStr">
        <is>
          <t>Von anderen (h)</t>
        </is>
      </c>
      <c r="L49" s="3" t="inlineStr">
        <is>
          <t>Stundensatz (€/h)</t>
        </is>
      </c>
      <c r="M49" s="3" t="inlineStr">
        <is>
          <t>Umsatz (€)</t>
        </is>
      </c>
      <c r="N49" s="3" t="inlineStr">
        <is>
          <t>Budget Gesamt (€)</t>
        </is>
      </c>
      <c r="O49" s="3" t="inlineStr">
        <is>
          <t>Budget Ist (€)</t>
        </is>
      </c>
      <c r="P49" s="3" t="inlineStr">
        <is>
          <t>Budget Erwirtschaftet (€)</t>
        </is>
      </c>
    </row>
    <row r="50">
      <c r="A50" s="13" t="inlineStr">
        <is>
          <t>5328 Flugfeldklinikum-Böblingen</t>
        </is>
      </c>
      <c r="B50" s="4" t="inlineStr">
        <is>
          <t>5100-Beraten Planer ausführungsreife Lösungen….</t>
        </is>
      </c>
      <c r="C50" s="4" t="inlineStr">
        <is>
          <t>G</t>
        </is>
      </c>
      <c r="D50" s="4" t="n">
        <v>307.5</v>
      </c>
      <c r="E50" s="4" t="n">
        <v>390.25</v>
      </c>
      <c r="F50" s="4" t="n">
        <v>2</v>
      </c>
      <c r="G50" s="16" t="n">
        <v>126.91</v>
      </c>
      <c r="H50" s="5" t="n"/>
      <c r="I50" s="5">
        <f>IF(H50=0,"",F50-H50)</f>
        <v/>
      </c>
      <c r="J50" s="4" t="n"/>
      <c r="K50" s="5">
        <f>IF('C. Trapp SV'!J35="E. Bieler",'C. Trapp SV'!I35,0)+IF('M. Bandlofsky'!J31="E. Bieler",'M. Bandlofsky'!I31,0)</f>
        <v/>
      </c>
      <c r="L50" s="11">
        <f>IF($B$2="-","",IF($B$2="Pauschale",IFERROR(INDEX('Projekt-Budget-Übersicht'!$H:$H,MATCH(A50,'Projekt-Budget-Übersicht'!$A:$A,0)),""),IF($B$2="SV",IFERROR(INDEX('Projekt-Budget-Übersicht'!$H:$H,MATCH(A50,'Projekt-Budget-Übersicht'!$A:$A,0)),""),IF($B$2="CAD",IFERROR(INDEX('Projekt-Budget-Übersicht'!$I:$I,MATCH(A50,'Projekt-Budget-Übersicht'!$A:$A,0)),""),IF($B$2="ADM",IFERROR(INDEX('Projekt-Budget-Übersicht'!$J:$J,MATCH(A50,'Projekt-Budget-Übersicht'!$A:$A,0)),""),"")))))</f>
        <v/>
      </c>
      <c r="M50" s="11">
        <f>IF($B$2="-","",L50*(F50+I50+K50))</f>
        <v/>
      </c>
      <c r="N50" s="11">
        <f>IFERROR(INDEX('Projekt-Budget-Übersicht'!$E:$E,MATCH(A50,'Projekt-Budget-Übersicht'!$A:$A,0)),"")</f>
        <v/>
      </c>
      <c r="O50" s="11" t="inlineStr"/>
      <c r="P50" s="11" t="inlineStr"/>
    </row>
    <row r="51">
      <c r="A51" s="15" t="n"/>
      <c r="B51" s="4" t="inlineStr">
        <is>
          <t>8100-Prüfen der Ausführung auf prinzipielle Übereinstimmung (Stufe 1)....</t>
        </is>
      </c>
      <c r="C51" s="4" t="inlineStr">
        <is>
          <t>G</t>
        </is>
      </c>
      <c r="D51" s="4" t="n">
        <v>610</v>
      </c>
      <c r="E51" s="4" t="n">
        <v>65.5</v>
      </c>
      <c r="F51" s="4" t="n">
        <v>5.75</v>
      </c>
      <c r="G51" s="17" t="n">
        <v>10.74</v>
      </c>
      <c r="H51" s="5" t="n"/>
      <c r="I51" s="5">
        <f>IF(H51=0,"",F51-H51)</f>
        <v/>
      </c>
      <c r="J51" s="4" t="n"/>
      <c r="K51" s="5">
        <f>IF('C. Trapp SV'!J36="E. Bieler",'C. Trapp SV'!I36,0)</f>
        <v/>
      </c>
      <c r="L51" s="11">
        <f>IF($B$2="-","",IF($B$2="Pauschale",IFERROR(INDEX('Projekt-Budget-Übersicht'!$H:$H,MATCH(A51,'Projekt-Budget-Übersicht'!$A:$A,0)),""),IF($B$2="SV",IFERROR(INDEX('Projekt-Budget-Übersicht'!$H:$H,MATCH(A51,'Projekt-Budget-Übersicht'!$A:$A,0)),""),IF($B$2="CAD",IFERROR(INDEX('Projekt-Budget-Übersicht'!$I:$I,MATCH(A51,'Projekt-Budget-Übersicht'!$A:$A,0)),""),IF($B$2="ADM",IFERROR(INDEX('Projekt-Budget-Übersicht'!$J:$J,MATCH(A51,'Projekt-Budget-Übersicht'!$A:$A,0)),""),"")))))</f>
        <v/>
      </c>
      <c r="M51" s="11">
        <f>IF($B$2="-","",L51*(F51+I51+K51))</f>
        <v/>
      </c>
      <c r="N51" s="11">
        <f>IFERROR(INDEX('Projekt-Budget-Übersicht'!$E:$E,MATCH(A51,'Projekt-Budget-Übersicht'!$A:$A,0)),"")</f>
        <v/>
      </c>
      <c r="O51" s="11" t="inlineStr"/>
      <c r="P51" s="11" t="inlineStr"/>
    </row>
    <row r="52">
      <c r="A52" s="4" t="inlineStr">
        <is>
          <t>6643 BTB-FRP-FWP-Ersatzneubau-Krankenhaus-Hohenlohe-Öhringen-Vamed</t>
        </is>
      </c>
      <c r="B52" s="4" t="inlineStr">
        <is>
          <t>5100-Beraten Planer ausführungsreife Lösungen….</t>
        </is>
      </c>
      <c r="C52" s="4" t="inlineStr">
        <is>
          <t>G</t>
        </is>
      </c>
      <c r="D52" s="4" t="n">
        <v>144</v>
      </c>
      <c r="E52" s="4" t="n">
        <v>106.5</v>
      </c>
      <c r="F52" s="4" t="n">
        <v>2</v>
      </c>
      <c r="G52" s="17" t="n">
        <v>73.95999999999999</v>
      </c>
      <c r="H52" s="5" t="n"/>
      <c r="I52" s="5">
        <f>IF(H52=0,"",F52-H52)</f>
        <v/>
      </c>
      <c r="J52" s="4" t="n"/>
      <c r="K52" s="5">
        <f>IF('C. Trapp SV'!J43="E. Bieler",'C. Trapp SV'!I43,0)</f>
        <v/>
      </c>
      <c r="L52" s="11">
        <f>IF($B$2="-","",IF($B$2="Pauschale",IFERROR(INDEX('Projekt-Budget-Übersicht'!$H:$H,MATCH(A52,'Projekt-Budget-Übersicht'!$A:$A,0)),""),IF($B$2="SV",IFERROR(INDEX('Projekt-Budget-Übersicht'!$H:$H,MATCH(A52,'Projekt-Budget-Übersicht'!$A:$A,0)),""),IF($B$2="CAD",IFERROR(INDEX('Projekt-Budget-Übersicht'!$I:$I,MATCH(A52,'Projekt-Budget-Übersicht'!$A:$A,0)),""),IF($B$2="ADM",IFERROR(INDEX('Projekt-Budget-Übersicht'!$J:$J,MATCH(A52,'Projekt-Budget-Übersicht'!$A:$A,0)),""),"")))))</f>
        <v/>
      </c>
      <c r="M52" s="11">
        <f>IF($B$2="-","",L52*(F52+I52+K52))</f>
        <v/>
      </c>
      <c r="N52" s="11">
        <f>IFERROR(INDEX('Projekt-Budget-Übersicht'!$E:$E,MATCH(A52,'Projekt-Budget-Übersicht'!$A:$A,0)),"")</f>
        <v/>
      </c>
      <c r="O52" s="11" t="inlineStr"/>
      <c r="P52" s="11" t="inlineStr"/>
    </row>
    <row r="53">
      <c r="A53" s="3" t="inlineStr"/>
      <c r="B53" s="3" t="inlineStr">
        <is>
          <t>Summe</t>
        </is>
      </c>
      <c r="C53" s="3" t="inlineStr"/>
      <c r="D53" s="3" t="inlineStr"/>
      <c r="E53" s="3" t="inlineStr"/>
      <c r="F53" s="6" t="n">
        <v>9.75</v>
      </c>
      <c r="G53" s="3" t="inlineStr"/>
      <c r="H53" s="3" t="inlineStr"/>
      <c r="I53" s="3" t="inlineStr"/>
      <c r="J53" s="3" t="inlineStr"/>
      <c r="K53" s="3" t="inlineStr"/>
      <c r="L53" s="3" t="n"/>
      <c r="M53" s="3" t="n"/>
      <c r="N53" s="3" t="n"/>
      <c r="O53" s="3" t="n"/>
      <c r="P53" s="3" t="n"/>
    </row>
    <row r="54">
      <c r="A54" s="3" t="inlineStr"/>
      <c r="B54" s="3" t="inlineStr">
        <is>
          <t>Bonusberechtigte Stunden</t>
        </is>
      </c>
      <c r="C54" s="3" t="inlineStr"/>
      <c r="D54" s="3" t="inlineStr"/>
      <c r="E54" s="3" t="inlineStr"/>
      <c r="F54" s="6">
        <f>G54+H54</f>
        <v/>
      </c>
      <c r="G54" s="6" t="n">
        <v>7.75</v>
      </c>
      <c r="H54" s="6">
        <f>SUM(H50,H51,H52)</f>
        <v/>
      </c>
      <c r="I54" s="3" t="inlineStr"/>
      <c r="J54" s="3" t="inlineStr"/>
      <c r="K54" s="3" t="inlineStr"/>
      <c r="L54" s="3" t="inlineStr"/>
      <c r="M54" s="3" t="inlineStr"/>
      <c r="N54" s="3" t="inlineStr"/>
      <c r="O54" s="3" t="inlineStr"/>
      <c r="P54" s="3" t="inlineStr"/>
    </row>
    <row r="55">
      <c r="A55" s="3" t="inlineStr"/>
      <c r="B55" s="3" t="inlineStr">
        <is>
          <t>Bonusberechtigte Stunden Sonderprojekt</t>
        </is>
      </c>
      <c r="C55" s="3" t="inlineStr"/>
      <c r="D55" s="3" t="inlineStr"/>
      <c r="E55" s="3" t="inlineStr"/>
      <c r="F55" s="6" t="n">
        <v>0</v>
      </c>
      <c r="G55" s="6" t="n">
        <v>0</v>
      </c>
      <c r="H55" s="6" t="n">
        <v>0</v>
      </c>
      <c r="I55" s="3" t="inlineStr"/>
      <c r="J55" s="3" t="inlineStr"/>
      <c r="K55" s="3" t="inlineStr"/>
      <c r="L55" s="3" t="inlineStr"/>
      <c r="M55" s="3" t="inlineStr"/>
      <c r="N55" s="3" t="inlineStr"/>
      <c r="O55" s="3" t="inlineStr"/>
      <c r="P55" s="3" t="inlineStr"/>
    </row>
    <row r="56">
      <c r="A56" s="3" t="inlineStr"/>
      <c r="B56" s="3" t="inlineStr">
        <is>
          <t>Zugeordnete Stunden von anderen MA</t>
        </is>
      </c>
      <c r="C56" s="3" t="inlineStr"/>
      <c r="D56" s="3" t="inlineStr"/>
      <c r="E56" s="3" t="inlineStr"/>
      <c r="F56" s="6">
        <f>SUM(K50:K52)</f>
        <v/>
      </c>
      <c r="G56" s="3" t="inlineStr"/>
      <c r="H56" s="3" t="inlineStr"/>
      <c r="I56" s="3" t="inlineStr"/>
      <c r="J56" s="3" t="inlineStr"/>
      <c r="K56" s="3" t="inlineStr"/>
      <c r="L56" s="3" t="inlineStr"/>
      <c r="M56" s="3" t="inlineStr"/>
      <c r="N56" s="3" t="inlineStr"/>
      <c r="O56" s="3" t="inlineStr"/>
      <c r="P56" s="3" t="inlineStr"/>
    </row>
    <row r="57">
      <c r="A57" s="18" t="inlineStr"/>
      <c r="B57" s="18" t="inlineStr">
        <is>
          <t>Gesamt Bonus Stunden</t>
        </is>
      </c>
      <c r="C57" s="18" t="inlineStr"/>
      <c r="D57" s="18" t="inlineStr"/>
      <c r="E57" s="18" t="inlineStr"/>
      <c r="F57" s="19">
        <f>F54+F55+F56</f>
        <v/>
      </c>
      <c r="G57" s="18" t="inlineStr"/>
      <c r="H57" s="18" t="inlineStr"/>
      <c r="I57" s="18" t="inlineStr"/>
      <c r="J57" s="18" t="inlineStr"/>
      <c r="K57" s="18" t="inlineStr"/>
      <c r="L57" s="18" t="n"/>
      <c r="M57" s="18" t="n"/>
      <c r="N57" s="18" t="n"/>
      <c r="O57" s="18" t="n"/>
      <c r="P57" s="18" t="n"/>
    </row>
    <row r="59">
      <c r="A59" s="2" t="inlineStr">
        <is>
          <t>--- September 2025 ---</t>
        </is>
      </c>
    </row>
    <row r="60">
      <c r="A60" s="3" t="inlineStr">
        <is>
          <t>Projekt</t>
        </is>
      </c>
      <c r="B60" s="3" t="inlineStr">
        <is>
          <t>Meilenstein</t>
        </is>
      </c>
      <c r="C60" s="3" t="inlineStr">
        <is>
          <t>Typ</t>
        </is>
      </c>
      <c r="D60" s="3" t="inlineStr">
        <is>
          <t>Soll (h)</t>
        </is>
      </c>
      <c r="E60" s="3" t="inlineStr">
        <is>
          <t>Ist (h)</t>
        </is>
      </c>
      <c r="F60" s="3" t="inlineStr">
        <is>
          <t>September 2025 (h)</t>
        </is>
      </c>
      <c r="G60" s="3" t="inlineStr">
        <is>
          <t>%</t>
        </is>
      </c>
      <c r="H60" s="3" t="inlineStr">
        <is>
          <t>Bonus-Anpassung (h)</t>
        </is>
      </c>
      <c r="I60" s="3" t="inlineStr">
        <is>
          <t>Differenz (h)</t>
        </is>
      </c>
      <c r="J60" s="3" t="inlineStr">
        <is>
          <t>Zuordnen an</t>
        </is>
      </c>
      <c r="K60" s="3" t="inlineStr">
        <is>
          <t>Von anderen (h)</t>
        </is>
      </c>
      <c r="L60" s="3" t="inlineStr">
        <is>
          <t>Stundensatz (€/h)</t>
        </is>
      </c>
      <c r="M60" s="3" t="inlineStr">
        <is>
          <t>Umsatz (€)</t>
        </is>
      </c>
      <c r="N60" s="3" t="inlineStr">
        <is>
          <t>Budget Gesamt (€)</t>
        </is>
      </c>
      <c r="O60" s="3" t="inlineStr">
        <is>
          <t>Budget Ist (€)</t>
        </is>
      </c>
      <c r="P60" s="3" t="inlineStr">
        <is>
          <t>Budget Erwirtschaftet (€)</t>
        </is>
      </c>
    </row>
    <row r="61">
      <c r="A61" s="13" t="inlineStr">
        <is>
          <t>5328 Flugfeldklinikum-Böblingen</t>
        </is>
      </c>
      <c r="B61" s="4" t="inlineStr">
        <is>
          <t>4202-Fortschreiben BSK aufgrund Vorprüfung Behörden</t>
        </is>
      </c>
      <c r="C61" s="4" t="inlineStr">
        <is>
          <t>G</t>
        </is>
      </c>
      <c r="D61" s="4" t="n">
        <v>24</v>
      </c>
      <c r="E61" s="4" t="n">
        <v>64.25</v>
      </c>
      <c r="F61" s="4" t="n">
        <v>1.5</v>
      </c>
      <c r="G61" s="16" t="n">
        <v>267.71</v>
      </c>
      <c r="H61" s="5" t="n"/>
      <c r="I61" s="5">
        <f>IF(H61=0,"",F61-H61)</f>
        <v/>
      </c>
      <c r="J61" s="4" t="n"/>
      <c r="K61" s="5" t="n">
        <v>0</v>
      </c>
      <c r="L61" s="11">
        <f>IF($B$2="-","",IF($B$2="Pauschale",IFERROR(INDEX('Projekt-Budget-Übersicht'!$H:$H,MATCH(A61,'Projekt-Budget-Übersicht'!$A:$A,0)),""),IF($B$2="SV",IFERROR(INDEX('Projekt-Budget-Übersicht'!$H:$H,MATCH(A61,'Projekt-Budget-Übersicht'!$A:$A,0)),""),IF($B$2="CAD",IFERROR(INDEX('Projekt-Budget-Übersicht'!$I:$I,MATCH(A61,'Projekt-Budget-Übersicht'!$A:$A,0)),""),IF($B$2="ADM",IFERROR(INDEX('Projekt-Budget-Übersicht'!$J:$J,MATCH(A61,'Projekt-Budget-Übersicht'!$A:$A,0)),""),"")))))</f>
        <v/>
      </c>
      <c r="M61" s="11">
        <f>IF($B$2="-","",L61*(F61+I61+K61))</f>
        <v/>
      </c>
      <c r="N61" s="11">
        <f>IFERROR(INDEX('Projekt-Budget-Übersicht'!$E:$E,MATCH(A61,'Projekt-Budget-Übersicht'!$A:$A,0)),"")</f>
        <v/>
      </c>
      <c r="O61" s="11" t="inlineStr"/>
      <c r="P61" s="11" t="inlineStr"/>
    </row>
    <row r="62">
      <c r="A62" s="15" t="n"/>
      <c r="B62" s="4" t="inlineStr">
        <is>
          <t>5100-Beraten Planer ausführungsreife Lösungen….</t>
        </is>
      </c>
      <c r="C62" s="4" t="inlineStr">
        <is>
          <t>G</t>
        </is>
      </c>
      <c r="D62" s="4" t="n">
        <v>307.5</v>
      </c>
      <c r="E62" s="4" t="n">
        <v>398.25</v>
      </c>
      <c r="F62" s="4" t="n">
        <v>2</v>
      </c>
      <c r="G62" s="16" t="n">
        <v>129.51</v>
      </c>
      <c r="H62" s="5" t="n"/>
      <c r="I62" s="5">
        <f>IF(H62=0,"",F62-H62)</f>
        <v/>
      </c>
      <c r="J62" s="4" t="n"/>
      <c r="K62" s="5">
        <f>IF('M. Bandlofsky'!J51="E. Bieler",'M. Bandlofsky'!I51,0)</f>
        <v/>
      </c>
      <c r="L62" s="11">
        <f>IF($B$2="-","",IF($B$2="Pauschale",IFERROR(INDEX('Projekt-Budget-Übersicht'!$H:$H,MATCH(A62,'Projekt-Budget-Übersicht'!$A:$A,0)),""),IF($B$2="SV",IFERROR(INDEX('Projekt-Budget-Übersicht'!$H:$H,MATCH(A62,'Projekt-Budget-Übersicht'!$A:$A,0)),""),IF($B$2="CAD",IFERROR(INDEX('Projekt-Budget-Übersicht'!$I:$I,MATCH(A62,'Projekt-Budget-Übersicht'!$A:$A,0)),""),IF($B$2="ADM",IFERROR(INDEX('Projekt-Budget-Übersicht'!$J:$J,MATCH(A62,'Projekt-Budget-Übersicht'!$A:$A,0)),""),"")))))</f>
        <v/>
      </c>
      <c r="M62" s="11">
        <f>IF($B$2="-","",L62*(F62+I62+K62))</f>
        <v/>
      </c>
      <c r="N62" s="11">
        <f>IFERROR(INDEX('Projekt-Budget-Übersicht'!$E:$E,MATCH(A62,'Projekt-Budget-Übersicht'!$A:$A,0)),"")</f>
        <v/>
      </c>
      <c r="O62" s="11" t="inlineStr"/>
      <c r="P62" s="11" t="inlineStr"/>
    </row>
    <row r="63">
      <c r="A63" s="3" t="inlineStr"/>
      <c r="B63" s="3" t="inlineStr">
        <is>
          <t>Summe</t>
        </is>
      </c>
      <c r="C63" s="3" t="inlineStr"/>
      <c r="D63" s="3" t="inlineStr"/>
      <c r="E63" s="3" t="inlineStr"/>
      <c r="F63" s="6" t="n">
        <v>3.5</v>
      </c>
      <c r="G63" s="3" t="inlineStr"/>
      <c r="H63" s="3" t="inlineStr"/>
      <c r="I63" s="3" t="inlineStr"/>
      <c r="J63" s="3" t="inlineStr"/>
      <c r="K63" s="3" t="inlineStr"/>
      <c r="L63" s="3" t="n"/>
      <c r="M63" s="3" t="n"/>
      <c r="N63" s="3" t="n"/>
      <c r="O63" s="3" t="n"/>
      <c r="P63" s="3" t="n"/>
    </row>
    <row r="64">
      <c r="A64" s="3" t="inlineStr"/>
      <c r="B64" s="3" t="inlineStr">
        <is>
          <t>Bonusberechtigte Stunden</t>
        </is>
      </c>
      <c r="C64" s="3" t="inlineStr"/>
      <c r="D64" s="3" t="inlineStr"/>
      <c r="E64" s="3" t="inlineStr"/>
      <c r="F64" s="6">
        <f>G64+H64</f>
        <v/>
      </c>
      <c r="G64" s="6" t="n">
        <v>0</v>
      </c>
      <c r="H64" s="6">
        <f>SUM(H61,H62)</f>
        <v/>
      </c>
      <c r="I64" s="3" t="inlineStr"/>
      <c r="J64" s="3" t="inlineStr"/>
      <c r="K64" s="3" t="inlineStr"/>
      <c r="L64" s="3" t="inlineStr"/>
      <c r="M64" s="3" t="inlineStr"/>
      <c r="N64" s="3" t="inlineStr"/>
      <c r="O64" s="3" t="inlineStr"/>
      <c r="P64" s="3" t="inlineStr"/>
    </row>
    <row r="65">
      <c r="A65" s="3" t="inlineStr"/>
      <c r="B65" s="3" t="inlineStr">
        <is>
          <t>Bonusberechtigte Stunden Sonderprojekt</t>
        </is>
      </c>
      <c r="C65" s="3" t="inlineStr"/>
      <c r="D65" s="3" t="inlineStr"/>
      <c r="E65" s="3" t="inlineStr"/>
      <c r="F65" s="6" t="n">
        <v>0</v>
      </c>
      <c r="G65" s="6" t="n">
        <v>0</v>
      </c>
      <c r="H65" s="6" t="n">
        <v>0</v>
      </c>
      <c r="I65" s="3" t="inlineStr"/>
      <c r="J65" s="3" t="inlineStr"/>
      <c r="K65" s="3" t="inlineStr"/>
      <c r="L65" s="3" t="inlineStr"/>
      <c r="M65" s="3" t="inlineStr"/>
      <c r="N65" s="3" t="inlineStr"/>
      <c r="O65" s="3" t="inlineStr"/>
      <c r="P65" s="3" t="inlineStr"/>
    </row>
    <row r="66">
      <c r="A66" s="3" t="inlineStr"/>
      <c r="B66" s="3" t="inlineStr">
        <is>
          <t>Zugeordnete Stunden von anderen MA</t>
        </is>
      </c>
      <c r="C66" s="3" t="inlineStr"/>
      <c r="D66" s="3" t="inlineStr"/>
      <c r="E66" s="3" t="inlineStr"/>
      <c r="F66" s="6">
        <f>SUM(K61:K62)</f>
        <v/>
      </c>
      <c r="G66" s="3" t="inlineStr"/>
      <c r="H66" s="3" t="inlineStr"/>
      <c r="I66" s="3" t="inlineStr"/>
      <c r="J66" s="3" t="inlineStr"/>
      <c r="K66" s="3" t="inlineStr"/>
      <c r="L66" s="3" t="inlineStr"/>
      <c r="M66" s="3" t="inlineStr"/>
      <c r="N66" s="3" t="inlineStr"/>
      <c r="O66" s="3" t="inlineStr"/>
      <c r="P66" s="3" t="inlineStr"/>
    </row>
    <row r="67">
      <c r="A67" s="18" t="inlineStr"/>
      <c r="B67" s="18" t="inlineStr">
        <is>
          <t>Gesamt Bonus Stunden</t>
        </is>
      </c>
      <c r="C67" s="18" t="inlineStr"/>
      <c r="D67" s="18" t="inlineStr"/>
      <c r="E67" s="18" t="inlineStr"/>
      <c r="F67" s="19">
        <f>F64+F65+F66</f>
        <v/>
      </c>
      <c r="G67" s="18" t="inlineStr"/>
      <c r="H67" s="18" t="inlineStr"/>
      <c r="I67" s="18" t="inlineStr"/>
      <c r="J67" s="18" t="inlineStr"/>
      <c r="K67" s="18" t="inlineStr"/>
      <c r="L67" s="18" t="n"/>
      <c r="M67" s="18" t="n"/>
      <c r="N67" s="18" t="n"/>
      <c r="O67" s="18" t="n"/>
      <c r="P67" s="18" t="n"/>
    </row>
    <row r="69">
      <c r="A69" s="2" t="inlineStr">
        <is>
          <t>--- Übertragshilfe ---</t>
        </is>
      </c>
    </row>
    <row r="70">
      <c r="A70" s="3" t="inlineStr">
        <is>
          <t>Monat</t>
        </is>
      </c>
      <c r="B70" s="3" t="inlineStr">
        <is>
          <t>Mitarbeiter</t>
        </is>
      </c>
      <c r="C70" s="3" t="inlineStr">
        <is>
          <t>Prod. Stunden</t>
        </is>
      </c>
      <c r="D70" s="3" t="inlineStr">
        <is>
          <t>Bonusberechtigte Stunden</t>
        </is>
      </c>
      <c r="E70" s="3" t="inlineStr">
        <is>
          <t>Bonusberechtigte Stunden Sonderprojekt</t>
        </is>
      </c>
      <c r="F70" s="3" t="inlineStr">
        <is>
          <t>Zugeordnet von anderen</t>
        </is>
      </c>
      <c r="G70" s="3" t="inlineStr">
        <is>
          <t>Gesamt Bonus</t>
        </is>
      </c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</row>
    <row r="71">
      <c r="A71" s="4" t="inlineStr">
        <is>
          <t>Juli 2025</t>
        </is>
      </c>
      <c r="B71" s="4" t="inlineStr">
        <is>
          <t>E. Bieler</t>
        </is>
      </c>
      <c r="C71" s="4">
        <f>F42</f>
        <v/>
      </c>
      <c r="D71" s="4">
        <f>F43</f>
        <v/>
      </c>
      <c r="E71" s="4">
        <f>F44</f>
        <v/>
      </c>
      <c r="F71" s="4">
        <f>F45</f>
        <v/>
      </c>
      <c r="G71" s="4">
        <f>F46</f>
        <v/>
      </c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</row>
    <row r="72">
      <c r="A72" s="4" t="inlineStr">
        <is>
          <t>August 2025</t>
        </is>
      </c>
      <c r="B72" s="4" t="inlineStr">
        <is>
          <t>E. Bieler</t>
        </is>
      </c>
      <c r="C72" s="4">
        <f>F53</f>
        <v/>
      </c>
      <c r="D72" s="4">
        <f>F54</f>
        <v/>
      </c>
      <c r="E72" s="4">
        <f>F55</f>
        <v/>
      </c>
      <c r="F72" s="4">
        <f>F56</f>
        <v/>
      </c>
      <c r="G72" s="4">
        <f>F57</f>
        <v/>
      </c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</row>
    <row r="73">
      <c r="A73" s="4" t="inlineStr">
        <is>
          <t>September 2025</t>
        </is>
      </c>
      <c r="B73" s="4" t="inlineStr">
        <is>
          <t>E. Bieler</t>
        </is>
      </c>
      <c r="C73" s="4">
        <f>F63</f>
        <v/>
      </c>
      <c r="D73" s="4">
        <f>F64</f>
        <v/>
      </c>
      <c r="E73" s="4">
        <f>F65</f>
        <v/>
      </c>
      <c r="F73" s="4">
        <f>F66</f>
        <v/>
      </c>
      <c r="G73" s="4">
        <f>F67</f>
        <v/>
      </c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</row>
    <row r="76">
      <c r="A76" s="2" t="inlineStr">
        <is>
          <t>--- Gesamtstunden 2025Q3 ---</t>
        </is>
      </c>
    </row>
    <row r="77">
      <c r="A77" s="12" t="inlineStr">
        <is>
          <t>Gesamt eingetragene Stunden:</t>
        </is>
      </c>
      <c r="B77" s="12" t="n">
        <v>59.75</v>
      </c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</row>
    <row r="78">
      <c r="A78" s="12" t="inlineStr">
        <is>
          <t>Bonusberechtigte Stunden (Quartal):</t>
        </is>
      </c>
      <c r="B78" s="20">
        <f>SUM(F43,F54,F64)</f>
        <v/>
      </c>
      <c r="C78" s="12" t="n"/>
      <c r="D78" s="12" t="n"/>
      <c r="E78" s="12" t="n"/>
      <c r="F78" s="12" t="n"/>
      <c r="G78" s="12" t="n"/>
      <c r="H78" s="12" t="n"/>
      <c r="I78" s="12" t="n"/>
      <c r="J78" s="12" t="n"/>
      <c r="K78" s="12" t="n"/>
      <c r="L78" s="12" t="n"/>
      <c r="M78" s="12" t="n"/>
      <c r="N78" s="12" t="n"/>
      <c r="O78" s="12" t="n"/>
      <c r="P78" s="12" t="n"/>
    </row>
    <row r="79">
      <c r="A79" s="12" t="inlineStr">
        <is>
          <t>Bonusberechtigte Stunden Sonderprojekt (Quartal):</t>
        </is>
      </c>
      <c r="B79" s="20">
        <f>SUM(F44,F55,F65)</f>
        <v/>
      </c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</row>
  </sheetData>
  <mergeCells count="4">
    <mergeCell ref="A17:A18"/>
    <mergeCell ref="A50:A51"/>
    <mergeCell ref="A61:A62"/>
    <mergeCell ref="A6:A7"/>
  </mergeCells>
  <conditionalFormatting sqref="I6">
    <cfRule type="cellIs" priority="1" operator="lessThan" dxfId="0" stopIfTrue="1">
      <formula>0</formula>
    </cfRule>
  </conditionalFormatting>
  <conditionalFormatting sqref="I7">
    <cfRule type="cellIs" priority="2" operator="lessThan" dxfId="0" stopIfTrue="1">
      <formula>0</formula>
    </cfRule>
  </conditionalFormatting>
  <conditionalFormatting sqref="I8">
    <cfRule type="cellIs" priority="3" operator="lessThan" dxfId="0" stopIfTrue="1">
      <formula>0</formula>
    </cfRule>
  </conditionalFormatting>
  <conditionalFormatting sqref="I9">
    <cfRule type="cellIs" priority="4" operator="lessThan" dxfId="0" stopIfTrue="1">
      <formula>0</formula>
    </cfRule>
  </conditionalFormatting>
  <conditionalFormatting sqref="I10">
    <cfRule type="cellIs" priority="5" operator="lessThan" dxfId="0" stopIfTrue="1">
      <formula>0</formula>
    </cfRule>
  </conditionalFormatting>
  <conditionalFormatting sqref="I11">
    <cfRule type="cellIs" priority="6" operator="lessThan" dxfId="0" stopIfTrue="1">
      <formula>0</formula>
    </cfRule>
  </conditionalFormatting>
  <conditionalFormatting sqref="I12">
    <cfRule type="cellIs" priority="7" operator="lessThan" dxfId="0" stopIfTrue="1">
      <formula>0</formula>
    </cfRule>
  </conditionalFormatting>
  <conditionalFormatting sqref="I13">
    <cfRule type="cellIs" priority="8" operator="lessThan" dxfId="0" stopIfTrue="1">
      <formula>0</formula>
    </cfRule>
  </conditionalFormatting>
  <conditionalFormatting sqref="I14">
    <cfRule type="cellIs" priority="9" operator="lessThan" dxfId="0" stopIfTrue="1">
      <formula>0</formula>
    </cfRule>
  </conditionalFormatting>
  <conditionalFormatting sqref="I15">
    <cfRule type="cellIs" priority="10" operator="lessThan" dxfId="0" stopIfTrue="1">
      <formula>0</formula>
    </cfRule>
  </conditionalFormatting>
  <conditionalFormatting sqref="I16">
    <cfRule type="cellIs" priority="11" operator="lessThan" dxfId="0" stopIfTrue="1">
      <formula>0</formula>
    </cfRule>
  </conditionalFormatting>
  <conditionalFormatting sqref="I17">
    <cfRule type="cellIs" priority="12" operator="lessThan" dxfId="0" stopIfTrue="1">
      <formula>0</formula>
    </cfRule>
  </conditionalFormatting>
  <conditionalFormatting sqref="I18">
    <cfRule type="cellIs" priority="13" operator="lessThan" dxfId="0" stopIfTrue="1">
      <formula>0</formula>
    </cfRule>
  </conditionalFormatting>
  <conditionalFormatting sqref="I19">
    <cfRule type="cellIs" priority="14" operator="lessThan" dxfId="0" stopIfTrue="1">
      <formula>0</formula>
    </cfRule>
  </conditionalFormatting>
  <conditionalFormatting sqref="I20">
    <cfRule type="cellIs" priority="15" operator="lessThan" dxfId="0" stopIfTrue="1">
      <formula>0</formula>
    </cfRule>
  </conditionalFormatting>
  <conditionalFormatting sqref="I21">
    <cfRule type="cellIs" priority="16" operator="lessThan" dxfId="0" stopIfTrue="1">
      <formula>0</formula>
    </cfRule>
  </conditionalFormatting>
  <conditionalFormatting sqref="I22">
    <cfRule type="cellIs" priority="17" operator="lessThan" dxfId="0" stopIfTrue="1">
      <formula>0</formula>
    </cfRule>
  </conditionalFormatting>
  <conditionalFormatting sqref="I23">
    <cfRule type="cellIs" priority="18" operator="lessThan" dxfId="0" stopIfTrue="1">
      <formula>0</formula>
    </cfRule>
  </conditionalFormatting>
  <conditionalFormatting sqref="I24">
    <cfRule type="cellIs" priority="19" operator="lessThan" dxfId="0" stopIfTrue="1">
      <formula>0</formula>
    </cfRule>
  </conditionalFormatting>
  <conditionalFormatting sqref="I25">
    <cfRule type="cellIs" priority="20" operator="lessThan" dxfId="0" stopIfTrue="1">
      <formula>0</formula>
    </cfRule>
  </conditionalFormatting>
  <conditionalFormatting sqref="I26">
    <cfRule type="cellIs" priority="21" operator="lessThan" dxfId="0" stopIfTrue="1">
      <formula>0</formula>
    </cfRule>
  </conditionalFormatting>
  <conditionalFormatting sqref="I27">
    <cfRule type="cellIs" priority="22" operator="lessThan" dxfId="0" stopIfTrue="1">
      <formula>0</formula>
    </cfRule>
  </conditionalFormatting>
  <conditionalFormatting sqref="I28">
    <cfRule type="cellIs" priority="23" operator="lessThan" dxfId="0" stopIfTrue="1">
      <formula>0</formula>
    </cfRule>
  </conditionalFormatting>
  <conditionalFormatting sqref="I29">
    <cfRule type="cellIs" priority="24" operator="lessThan" dxfId="0" stopIfTrue="1">
      <formula>0</formula>
    </cfRule>
  </conditionalFormatting>
  <conditionalFormatting sqref="I30">
    <cfRule type="cellIs" priority="25" operator="lessThan" dxfId="0" stopIfTrue="1">
      <formula>0</formula>
    </cfRule>
  </conditionalFormatting>
  <conditionalFormatting sqref="I31">
    <cfRule type="cellIs" priority="26" operator="lessThan" dxfId="0" stopIfTrue="1">
      <formula>0</formula>
    </cfRule>
  </conditionalFormatting>
  <conditionalFormatting sqref="I32">
    <cfRule type="cellIs" priority="27" operator="lessThan" dxfId="0" stopIfTrue="1">
      <formula>0</formula>
    </cfRule>
  </conditionalFormatting>
  <conditionalFormatting sqref="I33">
    <cfRule type="cellIs" priority="28" operator="lessThan" dxfId="0" stopIfTrue="1">
      <formula>0</formula>
    </cfRule>
  </conditionalFormatting>
  <conditionalFormatting sqref="I34">
    <cfRule type="cellIs" priority="29" operator="lessThan" dxfId="0" stopIfTrue="1">
      <formula>0</formula>
    </cfRule>
  </conditionalFormatting>
  <conditionalFormatting sqref="I35">
    <cfRule type="cellIs" priority="30" operator="lessThan" dxfId="0" stopIfTrue="1">
      <formula>0</formula>
    </cfRule>
  </conditionalFormatting>
  <conditionalFormatting sqref="I36">
    <cfRule type="cellIs" priority="31" operator="lessThan" dxfId="0" stopIfTrue="1">
      <formula>0</formula>
    </cfRule>
  </conditionalFormatting>
  <conditionalFormatting sqref="I37">
    <cfRule type="cellIs" priority="32" operator="lessThan" dxfId="0" stopIfTrue="1">
      <formula>0</formula>
    </cfRule>
  </conditionalFormatting>
  <conditionalFormatting sqref="I38">
    <cfRule type="cellIs" priority="33" operator="lessThan" dxfId="0" stopIfTrue="1">
      <formula>0</formula>
    </cfRule>
  </conditionalFormatting>
  <conditionalFormatting sqref="I39">
    <cfRule type="cellIs" priority="34" operator="lessThan" dxfId="0" stopIfTrue="1">
      <formula>0</formula>
    </cfRule>
  </conditionalFormatting>
  <conditionalFormatting sqref="I40">
    <cfRule type="cellIs" priority="35" operator="lessThan" dxfId="0" stopIfTrue="1">
      <formula>0</formula>
    </cfRule>
  </conditionalFormatting>
  <conditionalFormatting sqref="I41">
    <cfRule type="cellIs" priority="36" operator="lessThan" dxfId="0" stopIfTrue="1">
      <formula>0</formula>
    </cfRule>
  </conditionalFormatting>
  <conditionalFormatting sqref="I50">
    <cfRule type="cellIs" priority="37" operator="lessThan" dxfId="0" stopIfTrue="1">
      <formula>0</formula>
    </cfRule>
  </conditionalFormatting>
  <conditionalFormatting sqref="I51">
    <cfRule type="cellIs" priority="38" operator="lessThan" dxfId="0" stopIfTrue="1">
      <formula>0</formula>
    </cfRule>
  </conditionalFormatting>
  <conditionalFormatting sqref="I52">
    <cfRule type="cellIs" priority="39" operator="lessThan" dxfId="0" stopIfTrue="1">
      <formula>0</formula>
    </cfRule>
  </conditionalFormatting>
  <conditionalFormatting sqref="I61">
    <cfRule type="cellIs" priority="40" operator="lessThan" dxfId="0" stopIfTrue="1">
      <formula>0</formula>
    </cfRule>
  </conditionalFormatting>
  <conditionalFormatting sqref="I62">
    <cfRule type="cellIs" priority="41" operator="lessThan" dxfId="0" stopIfTrue="1">
      <formula>0</formula>
    </cfRule>
  </conditionalFormatting>
  <dataValidations count="31">
    <dataValidation sqref="B2" showDropDown="0" showInputMessage="0" showErrorMessage="0" allowBlank="0" type="list">
      <formula1>"SV,CAD,ADM,Pauschale,-"</formula1>
    </dataValidation>
    <dataValidation sqref="J6" showDropDown="0" showInputMessage="0" showErrorMessage="0" allowBlank="1" type="list">
      <formula1>"A. Kokott,C. Trapp SV,D. Brucker,J. Dorchies,J. Dorn,O. Haag BS-CAD,P. Bergner,R. Böttiger,S. Schüler,T. Trautmann,U. Sutter ADM"</formula1>
    </dataValidation>
    <dataValidation sqref="J7" showDropDown="0" showInputMessage="0" showErrorMessage="0" allowBlank="1" type="list">
      <formula1>"A. Kokott,C. Trapp SV,D. Brucker,J. Dorchies,J. Dorn,M. Bandlofsky,O. Haag BS-CAD,P. Bergner,R. Wagen CAD,T. Trautmann,U. Sutter ADM"</formula1>
    </dataValidation>
    <dataValidation sqref="J8" showDropDown="0" showInputMessage="0" showErrorMessage="0" allowBlank="1" type="list">
      <formula1>"T. Trautmann"</formula1>
    </dataValidation>
    <dataValidation sqref="J10" showDropDown="0" showInputMessage="0" showErrorMessage="0" allowBlank="1" type="list">
      <formula1>"J. Dorn,P. Bergner"</formula1>
    </dataValidation>
    <dataValidation sqref="J11" showDropDown="0" showInputMessage="0" showErrorMessage="0" allowBlank="1" type="list">
      <formula1>"C. Trapp SV,M. Bandlofsky"</formula1>
    </dataValidation>
    <dataValidation sqref="J13" showDropDown="0" showInputMessage="0" showErrorMessage="0" allowBlank="1" type="list">
      <formula1>"J. Dorn"</formula1>
    </dataValidation>
    <dataValidation sqref="J17" showDropDown="0" showInputMessage="0" showErrorMessage="0" allowBlank="1" type="list">
      <formula1>"R. Böttiger"</formula1>
    </dataValidation>
    <dataValidation sqref="J18" showDropDown="0" showInputMessage="0" showErrorMessage="0" allowBlank="1" type="list">
      <formula1>"J. Dorn,R. Böttiger"</formula1>
    </dataValidation>
    <dataValidation sqref="J19" showDropDown="0" showInputMessage="0" showErrorMessage="0" allowBlank="1" type="list">
      <formula1>"J. Dorn,R. Böttiger"</formula1>
    </dataValidation>
    <dataValidation sqref="J20" showDropDown="0" showInputMessage="0" showErrorMessage="0" allowBlank="1" type="list">
      <formula1>"A. Kokott,J. Dorchies,J. Dorn,O. Haag BS-CAD,P. Bergner,R. Böttiger"</formula1>
    </dataValidation>
    <dataValidation sqref="J22" showDropDown="0" showInputMessage="0" showErrorMessage="0" allowBlank="1" type="list">
      <formula1>"J. Dorchies,J. Dorn,R. Böttiger"</formula1>
    </dataValidation>
    <dataValidation sqref="J24" showDropDown="0" showInputMessage="0" showErrorMessage="0" allowBlank="1" type="list">
      <formula1>"M. Bandlofsky"</formula1>
    </dataValidation>
    <dataValidation sqref="J25" showDropDown="0" showInputMessage="0" showErrorMessage="0" allowBlank="1" type="list">
      <formula1>"H. Bektas,J. Dorchies"</formula1>
    </dataValidation>
    <dataValidation sqref="J26" showDropDown="0" showInputMessage="0" showErrorMessage="0" allowBlank="1" type="list">
      <formula1>"H. Bektas"</formula1>
    </dataValidation>
    <dataValidation sqref="J27" showDropDown="0" showInputMessage="0" showErrorMessage="0" allowBlank="1" type="list">
      <formula1>"H. Bektas"</formula1>
    </dataValidation>
    <dataValidation sqref="J28" showDropDown="0" showInputMessage="0" showErrorMessage="0" allowBlank="1" type="list">
      <formula1>"H. Bektas"</formula1>
    </dataValidation>
    <dataValidation sqref="J30" showDropDown="0" showInputMessage="0" showErrorMessage="0" allowBlank="1" type="list">
      <formula1>"D. Brucker"</formula1>
    </dataValidation>
    <dataValidation sqref="J31" showDropDown="0" showInputMessage="0" showErrorMessage="0" allowBlank="1" type="list">
      <formula1>"D. Brucker,T. Trautmann"</formula1>
    </dataValidation>
    <dataValidation sqref="J32" showDropDown="0" showInputMessage="0" showErrorMessage="0" allowBlank="1" type="list">
      <formula1>"O. Haag BS-CAD"</formula1>
    </dataValidation>
    <dataValidation sqref="J33" showDropDown="0" showInputMessage="0" showErrorMessage="0" allowBlank="1" type="list">
      <formula1>"H. Bektas"</formula1>
    </dataValidation>
    <dataValidation sqref="J34" showDropDown="0" showInputMessage="0" showErrorMessage="0" allowBlank="1" type="list">
      <formula1>"A. Kokott,J. Dorchies,M. Bandlofsky,T. Trautmann"</formula1>
    </dataValidation>
    <dataValidation sqref="J35" showDropDown="0" showInputMessage="0" showErrorMessage="0" allowBlank="1" type="list">
      <formula1>"H. Bektas"</formula1>
    </dataValidation>
    <dataValidation sqref="J36" showDropDown="0" showInputMessage="0" showErrorMessage="0" allowBlank="1" type="list">
      <formula1>"A. Kokott,J. Dorn,M. Bandlofsky"</formula1>
    </dataValidation>
    <dataValidation sqref="J37" showDropDown="0" showInputMessage="0" showErrorMessage="0" allowBlank="1" type="list">
      <formula1>"H. Bektas"</formula1>
    </dataValidation>
    <dataValidation sqref="J38" showDropDown="0" showInputMessage="0" showErrorMessage="0" allowBlank="1" type="list">
      <formula1>"A. Kokott,M. Bandlofsky"</formula1>
    </dataValidation>
    <dataValidation sqref="J41" showDropDown="0" showInputMessage="0" showErrorMessage="0" allowBlank="1" type="list">
      <formula1>"M. Bandlofsky CAD"</formula1>
    </dataValidation>
    <dataValidation sqref="J50" showDropDown="0" showInputMessage="0" showErrorMessage="0" allowBlank="1" type="list">
      <formula1>"C. Trapp SV,M. Bandlofsky"</formula1>
    </dataValidation>
    <dataValidation sqref="J51" showDropDown="0" showInputMessage="0" showErrorMessage="0" allowBlank="1" type="list">
      <formula1>"C. Trapp SV"</formula1>
    </dataValidation>
    <dataValidation sqref="J52" showDropDown="0" showInputMessage="0" showErrorMessage="0" allowBlank="1" type="list">
      <formula1>"C. Trapp SV"</formula1>
    </dataValidation>
    <dataValidation sqref="J62" showDropDown="0" showInputMessage="0" showErrorMessage="0" allowBlank="1" type="list">
      <formula1>"C. Trapp SV,M. Bandlofsky"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8" customWidth="1" min="3" max="3"/>
    <col width="12" customWidth="1" min="4" max="4"/>
    <col width="12" customWidth="1" min="5" max="5"/>
    <col width="12" customWidth="1" min="6" max="6"/>
    <col width="8" customWidth="1" min="7" max="7"/>
    <col width="16" customWidth="1" min="8" max="8"/>
    <col width="12" customWidth="1" min="9" max="9"/>
    <col width="25" customWidth="1" min="10" max="10"/>
    <col width="15" customWidth="1" min="11" max="11"/>
    <col width="18" customWidth="1" min="12" max="12"/>
    <col width="15" customWidth="1" min="13" max="13"/>
    <col width="18" customWidth="1" min="14" max="14"/>
    <col width="15" customWidth="1" min="15" max="15"/>
    <col width="22" customWidth="1" min="16" max="16"/>
  </cols>
  <sheetData>
    <row r="1">
      <c r="A1" t="inlineStr">
        <is>
          <t>E. Iago Barros de Oliveira - Quartalsreport 2025Q3</t>
        </is>
      </c>
    </row>
    <row r="2">
      <c r="A2" s="12" t="inlineStr">
        <is>
          <t>Position:</t>
        </is>
      </c>
      <c r="B2" t="inlineStr">
        <is>
          <t>SV</t>
        </is>
      </c>
    </row>
    <row r="4">
      <c r="A4" s="2" t="inlineStr">
        <is>
          <t>--- Juli 2025 ---</t>
        </is>
      </c>
    </row>
    <row r="5">
      <c r="A5" s="3" t="inlineStr">
        <is>
          <t>Projekt</t>
        </is>
      </c>
      <c r="B5" s="3" t="inlineStr">
        <is>
          <t>Meilenstein</t>
        </is>
      </c>
      <c r="C5" s="3" t="inlineStr">
        <is>
          <t>Typ</t>
        </is>
      </c>
      <c r="D5" s="3" t="inlineStr">
        <is>
          <t>Soll (h)</t>
        </is>
      </c>
      <c r="E5" s="3" t="inlineStr">
        <is>
          <t>Ist (h)</t>
        </is>
      </c>
      <c r="F5" s="3" t="inlineStr">
        <is>
          <t>Juli 2025 (h)</t>
        </is>
      </c>
      <c r="G5" s="3" t="inlineStr">
        <is>
          <t>%</t>
        </is>
      </c>
      <c r="H5" s="3" t="inlineStr">
        <is>
          <t>Bonus-Anpassung (h)</t>
        </is>
      </c>
      <c r="I5" s="3" t="inlineStr">
        <is>
          <t>Differenz (h)</t>
        </is>
      </c>
      <c r="J5" s="3" t="inlineStr">
        <is>
          <t>Zuordnen an</t>
        </is>
      </c>
      <c r="K5" s="3" t="inlineStr">
        <is>
          <t>Von anderen (h)</t>
        </is>
      </c>
      <c r="L5" s="3" t="inlineStr">
        <is>
          <t>Stundensatz (€/h)</t>
        </is>
      </c>
      <c r="M5" s="3" t="inlineStr">
        <is>
          <t>Umsatz (€)</t>
        </is>
      </c>
      <c r="N5" s="3" t="inlineStr">
        <is>
          <t>Budget Gesamt (€)</t>
        </is>
      </c>
      <c r="O5" s="3" t="inlineStr">
        <is>
          <t>Budget Ist (€)</t>
        </is>
      </c>
      <c r="P5" s="3" t="inlineStr">
        <is>
          <t>Budget Erwirtschaftet (€)</t>
        </is>
      </c>
    </row>
    <row r="6">
      <c r="A6" s="4" t="inlineStr">
        <is>
          <t>0.2420 LUD Allgemeinprojekt</t>
        </is>
      </c>
      <c r="B6" s="4" t="inlineStr">
        <is>
          <t>11 Stunden, die auf Projekte umgetragen werden müssen</t>
        </is>
      </c>
      <c r="C6" s="4" t="inlineStr">
        <is>
          <t>G</t>
        </is>
      </c>
      <c r="D6" s="4" t="n">
        <v>0</v>
      </c>
      <c r="E6" s="4" t="n">
        <v>0</v>
      </c>
      <c r="F6" s="4" t="n">
        <v>12.5</v>
      </c>
      <c r="G6" s="4" t="n">
        <v>0</v>
      </c>
      <c r="H6" s="5" t="n"/>
      <c r="I6" s="5">
        <f>IF(H6=0,"",F6-H6)</f>
        <v/>
      </c>
      <c r="J6" s="4" t="n"/>
      <c r="K6" s="5" t="n">
        <v>0</v>
      </c>
      <c r="L6" s="11">
        <f>IF($B$2="-","",IF($B$2="Pauschale",IFERROR(INDEX('Projekt-Budget-Übersicht'!$H:$H,MATCH(A6,'Projekt-Budget-Übersicht'!$A:$A,0)),""),IF($B$2="SV",IFERROR(INDEX('Projekt-Budget-Übersicht'!$H:$H,MATCH(A6,'Projekt-Budget-Übersicht'!$A:$A,0)),""),IF($B$2="CAD",IFERROR(INDEX('Projekt-Budget-Übersicht'!$I:$I,MATCH(A6,'Projekt-Budget-Übersicht'!$A:$A,0)),""),IF($B$2="ADM",IFERROR(INDEX('Projekt-Budget-Übersicht'!$J:$J,MATCH(A6,'Projekt-Budget-Übersicht'!$A:$A,0)),""),"")))))</f>
        <v/>
      </c>
      <c r="M6" s="11">
        <f>IF($B$2="-","",L6*(F6+I6+K6))</f>
        <v/>
      </c>
      <c r="N6" s="11">
        <f>IFERROR(INDEX('Projekt-Budget-Übersicht'!$E:$E,MATCH(A6,'Projekt-Budget-Übersicht'!$A:$A,0)),"")</f>
        <v/>
      </c>
      <c r="O6" s="11" t="inlineStr"/>
      <c r="P6" s="11" t="inlineStr"/>
    </row>
    <row r="7">
      <c r="A7" s="4" t="inlineStr">
        <is>
          <t>4436.04 BTB Krankenhaus-Bergstraße-Viernheimer-Straße-2-Heppenheim</t>
        </is>
      </c>
      <c r="B7" s="4" t="inlineStr">
        <is>
          <t>2101-Erarbeiten Eckdaten Brandschutzkonzept….</t>
        </is>
      </c>
      <c r="C7" s="4" t="inlineStr">
        <is>
          <t>G</t>
        </is>
      </c>
      <c r="D7" s="4" t="n">
        <v>31.5</v>
      </c>
      <c r="E7" s="4" t="n">
        <v>100.5</v>
      </c>
      <c r="F7" s="4" t="n">
        <v>32</v>
      </c>
      <c r="G7" s="16" t="n">
        <v>319.05</v>
      </c>
      <c r="H7" s="5" t="n"/>
      <c r="I7" s="5">
        <f>IF(H7=0,"",F7-H7)</f>
        <v/>
      </c>
      <c r="J7" s="4" t="n"/>
      <c r="K7" s="5">
        <f>IF('S. Schüler'!J9="E. Iago Barros de Oliveira",'S. Schüler'!I9,0)</f>
        <v/>
      </c>
      <c r="L7" s="11">
        <f>IF($B$2="-","",IF($B$2="Pauschale",IFERROR(INDEX('Projekt-Budget-Übersicht'!$H:$H,MATCH(A7,'Projekt-Budget-Übersicht'!$A:$A,0)),""),IF($B$2="SV",IFERROR(INDEX('Projekt-Budget-Übersicht'!$H:$H,MATCH(A7,'Projekt-Budget-Übersicht'!$A:$A,0)),""),IF($B$2="CAD",IFERROR(INDEX('Projekt-Budget-Übersicht'!$I:$I,MATCH(A7,'Projekt-Budget-Übersicht'!$A:$A,0)),""),IF($B$2="ADM",IFERROR(INDEX('Projekt-Budget-Übersicht'!$J:$J,MATCH(A7,'Projekt-Budget-Übersicht'!$A:$A,0)),""),"")))))</f>
        <v/>
      </c>
      <c r="M7" s="11">
        <f>IF($B$2="-","",L7*(F7+I7+K7))</f>
        <v/>
      </c>
      <c r="N7" s="11">
        <f>IFERROR(INDEX('Projekt-Budget-Übersicht'!$E:$E,MATCH(A7,'Projekt-Budget-Übersicht'!$A:$A,0)),"")</f>
        <v/>
      </c>
      <c r="O7" s="11" t="inlineStr"/>
      <c r="P7" s="11" t="inlineStr"/>
    </row>
    <row r="8">
      <c r="A8" s="3" t="inlineStr"/>
      <c r="B8" s="3" t="inlineStr">
        <is>
          <t>Summe</t>
        </is>
      </c>
      <c r="C8" s="3" t="inlineStr"/>
      <c r="D8" s="3" t="inlineStr"/>
      <c r="E8" s="3" t="inlineStr"/>
      <c r="F8" s="6" t="n">
        <v>44.5</v>
      </c>
      <c r="G8" s="3" t="inlineStr"/>
      <c r="H8" s="3" t="inlineStr"/>
      <c r="I8" s="3" t="inlineStr"/>
      <c r="J8" s="3" t="inlineStr"/>
      <c r="K8" s="3" t="inlineStr"/>
      <c r="L8" s="3" t="n"/>
      <c r="M8" s="3" t="n"/>
      <c r="N8" s="3" t="n"/>
      <c r="O8" s="3" t="n"/>
      <c r="P8" s="3" t="n"/>
    </row>
    <row r="9">
      <c r="A9" s="3" t="inlineStr"/>
      <c r="B9" s="3" t="inlineStr">
        <is>
          <t>Bonusberechtigte Stunden</t>
        </is>
      </c>
      <c r="C9" s="3" t="inlineStr"/>
      <c r="D9" s="3" t="inlineStr"/>
      <c r="E9" s="3" t="inlineStr"/>
      <c r="F9" s="6">
        <f>G9+H9</f>
        <v/>
      </c>
      <c r="G9" s="6" t="n">
        <v>12.5</v>
      </c>
      <c r="H9" s="6">
        <f>SUM(H6,H7)</f>
        <v/>
      </c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</row>
    <row r="10">
      <c r="A10" s="3" t="inlineStr"/>
      <c r="B10" s="3" t="inlineStr">
        <is>
          <t>Bonusberechtigte Stunden Sonderprojekt</t>
        </is>
      </c>
      <c r="C10" s="3" t="inlineStr"/>
      <c r="D10" s="3" t="inlineStr"/>
      <c r="E10" s="3" t="inlineStr"/>
      <c r="F10" s="6" t="n">
        <v>0</v>
      </c>
      <c r="G10" s="6" t="n">
        <v>0</v>
      </c>
      <c r="H10" s="6" t="n">
        <v>0</v>
      </c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</row>
    <row r="11">
      <c r="A11" s="3" t="inlineStr"/>
      <c r="B11" s="3" t="inlineStr">
        <is>
          <t>Zugeordnete Stunden von anderen MA</t>
        </is>
      </c>
      <c r="C11" s="3" t="inlineStr"/>
      <c r="D11" s="3" t="inlineStr"/>
      <c r="E11" s="3" t="inlineStr"/>
      <c r="F11" s="6">
        <f>SUM(K6:K7)</f>
        <v/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</row>
    <row r="12">
      <c r="A12" s="18" t="inlineStr"/>
      <c r="B12" s="18" t="inlineStr">
        <is>
          <t>Gesamt Bonus Stunden</t>
        </is>
      </c>
      <c r="C12" s="18" t="inlineStr"/>
      <c r="D12" s="18" t="inlineStr"/>
      <c r="E12" s="18" t="inlineStr"/>
      <c r="F12" s="19">
        <f>F9+F10+F11</f>
        <v/>
      </c>
      <c r="G12" s="18" t="inlineStr"/>
      <c r="H12" s="18" t="inlineStr"/>
      <c r="I12" s="18" t="inlineStr"/>
      <c r="J12" s="18" t="inlineStr"/>
      <c r="K12" s="18" t="inlineStr"/>
      <c r="L12" s="18" t="n"/>
      <c r="M12" s="18" t="n"/>
      <c r="N12" s="18" t="n"/>
      <c r="O12" s="18" t="n"/>
      <c r="P12" s="18" t="n"/>
    </row>
    <row r="14">
      <c r="A14" s="2" t="inlineStr">
        <is>
          <t>--- Übertragshilfe ---</t>
        </is>
      </c>
    </row>
    <row r="15">
      <c r="A15" s="3" t="inlineStr">
        <is>
          <t>Monat</t>
        </is>
      </c>
      <c r="B15" s="3" t="inlineStr">
        <is>
          <t>Mitarbeiter</t>
        </is>
      </c>
      <c r="C15" s="3" t="inlineStr">
        <is>
          <t>Prod. Stunden</t>
        </is>
      </c>
      <c r="D15" s="3" t="inlineStr">
        <is>
          <t>Bonusberechtigte Stunden</t>
        </is>
      </c>
      <c r="E15" s="3" t="inlineStr">
        <is>
          <t>Bonusberechtigte Stunden Sonderprojekt</t>
        </is>
      </c>
      <c r="F15" s="3" t="inlineStr">
        <is>
          <t>Zugeordnet von anderen</t>
        </is>
      </c>
      <c r="G15" s="3" t="inlineStr">
        <is>
          <t>Gesamt Bonus</t>
        </is>
      </c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</row>
    <row r="16">
      <c r="A16" s="4" t="inlineStr">
        <is>
          <t>Juli 2025</t>
        </is>
      </c>
      <c r="B16" s="4" t="inlineStr">
        <is>
          <t>E. Iago Barros de Oliveira</t>
        </is>
      </c>
      <c r="C16" s="4">
        <f>F8</f>
        <v/>
      </c>
      <c r="D16" s="4">
        <f>F9</f>
        <v/>
      </c>
      <c r="E16" s="4">
        <f>F10</f>
        <v/>
      </c>
      <c r="F16" s="4">
        <f>F11</f>
        <v/>
      </c>
      <c r="G16" s="4">
        <f>F12</f>
        <v/>
      </c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</row>
    <row r="19">
      <c r="A19" s="2" t="inlineStr">
        <is>
          <t>--- Gesamtstunden 2025Q3 ---</t>
        </is>
      </c>
    </row>
    <row r="20">
      <c r="A20" s="12" t="inlineStr">
        <is>
          <t>Gesamt eingetragene Stunden:</t>
        </is>
      </c>
      <c r="B20" s="12" t="n">
        <v>44.5</v>
      </c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</row>
    <row r="21">
      <c r="A21" s="12" t="inlineStr">
        <is>
          <t>Bonusberechtigte Stunden (Quartal):</t>
        </is>
      </c>
      <c r="B21" s="20">
        <f>SUM(F9)</f>
        <v/>
      </c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</row>
    <row r="22">
      <c r="A22" s="12" t="inlineStr">
        <is>
          <t>Bonusberechtigte Stunden Sonderprojekt (Quartal):</t>
        </is>
      </c>
      <c r="B22" s="20">
        <f>SUM(F10)</f>
        <v/>
      </c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</row>
  </sheetData>
  <conditionalFormatting sqref="I6">
    <cfRule type="cellIs" priority="1" operator="lessThan" dxfId="0" stopIfTrue="1">
      <formula>0</formula>
    </cfRule>
  </conditionalFormatting>
  <conditionalFormatting sqref="I7">
    <cfRule type="cellIs" priority="2" operator="lessThan" dxfId="0" stopIfTrue="1">
      <formula>0</formula>
    </cfRule>
  </conditionalFormatting>
  <dataValidations count="2">
    <dataValidation sqref="B2" showDropDown="0" showInputMessage="0" showErrorMessage="0" allowBlank="0" type="list">
      <formula1>"SV,CAD,ADM,Pauschale,-"</formula1>
    </dataValidation>
    <dataValidation sqref="J7" showDropDown="0" showInputMessage="0" showErrorMessage="0" allowBlank="1" type="list">
      <formula1>"S. Schüler"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72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8" customWidth="1" min="3" max="3"/>
    <col width="12" customWidth="1" min="4" max="4"/>
    <col width="12" customWidth="1" min="5" max="5"/>
    <col width="12" customWidth="1" min="6" max="6"/>
    <col width="8" customWidth="1" min="7" max="7"/>
    <col width="16" customWidth="1" min="8" max="8"/>
    <col width="12" customWidth="1" min="9" max="9"/>
    <col width="25" customWidth="1" min="10" max="10"/>
    <col width="15" customWidth="1" min="11" max="11"/>
    <col width="18" customWidth="1" min="12" max="12"/>
    <col width="15" customWidth="1" min="13" max="13"/>
    <col width="18" customWidth="1" min="14" max="14"/>
    <col width="15" customWidth="1" min="15" max="15"/>
    <col width="22" customWidth="1" min="16" max="16"/>
  </cols>
  <sheetData>
    <row r="1">
      <c r="A1" t="inlineStr">
        <is>
          <t>H. Bektas - Quartalsreport 2025Q3</t>
        </is>
      </c>
    </row>
    <row r="2">
      <c r="A2" s="12" t="inlineStr">
        <is>
          <t>Position:</t>
        </is>
      </c>
      <c r="B2" t="inlineStr">
        <is>
          <t>SV</t>
        </is>
      </c>
    </row>
    <row r="4">
      <c r="A4" s="2" t="inlineStr">
        <is>
          <t>--- Juli 2025 ---</t>
        </is>
      </c>
    </row>
    <row r="5">
      <c r="A5" s="3" t="inlineStr">
        <is>
          <t>Projekt</t>
        </is>
      </c>
      <c r="B5" s="3" t="inlineStr">
        <is>
          <t>Meilenstein</t>
        </is>
      </c>
      <c r="C5" s="3" t="inlineStr">
        <is>
          <t>Typ</t>
        </is>
      </c>
      <c r="D5" s="3" t="inlineStr">
        <is>
          <t>Soll (h)</t>
        </is>
      </c>
      <c r="E5" s="3" t="inlineStr">
        <is>
          <t>Ist (h)</t>
        </is>
      </c>
      <c r="F5" s="3" t="inlineStr">
        <is>
          <t>Juli 2025 (h)</t>
        </is>
      </c>
      <c r="G5" s="3" t="inlineStr">
        <is>
          <t>%</t>
        </is>
      </c>
      <c r="H5" s="3" t="inlineStr">
        <is>
          <t>Bonus-Anpassung (h)</t>
        </is>
      </c>
      <c r="I5" s="3" t="inlineStr">
        <is>
          <t>Differenz (h)</t>
        </is>
      </c>
      <c r="J5" s="3" t="inlineStr">
        <is>
          <t>Zuordnen an</t>
        </is>
      </c>
      <c r="K5" s="3" t="inlineStr">
        <is>
          <t>Von anderen (h)</t>
        </is>
      </c>
      <c r="L5" s="3" t="inlineStr">
        <is>
          <t>Stundensatz (€/h)</t>
        </is>
      </c>
      <c r="M5" s="3" t="inlineStr">
        <is>
          <t>Umsatz (€)</t>
        </is>
      </c>
      <c r="N5" s="3" t="inlineStr">
        <is>
          <t>Budget Gesamt (€)</t>
        </is>
      </c>
      <c r="O5" s="3" t="inlineStr">
        <is>
          <t>Budget Ist (€)</t>
        </is>
      </c>
      <c r="P5" s="3" t="inlineStr">
        <is>
          <t>Budget Erwirtschaftet (€)</t>
        </is>
      </c>
    </row>
    <row r="6">
      <c r="A6" s="4" t="inlineStr">
        <is>
          <t>6769.01 Juwi-Anp-BSK-Selser-Berg</t>
        </is>
      </c>
      <c r="B6" s="4" t="inlineStr">
        <is>
          <t>(p) Anp. BSK</t>
        </is>
      </c>
      <c r="C6" s="4" t="inlineStr">
        <is>
          <t>G</t>
        </is>
      </c>
      <c r="D6" s="4" t="n">
        <v>2</v>
      </c>
      <c r="E6" s="4" t="n">
        <v>3.5</v>
      </c>
      <c r="F6" s="4" t="n">
        <v>2</v>
      </c>
      <c r="G6" s="16" t="n">
        <v>175</v>
      </c>
      <c r="H6" s="5" t="n"/>
      <c r="I6" s="5">
        <f>IF(H6=0,"",F6-H6)</f>
        <v/>
      </c>
      <c r="J6" s="4" t="n"/>
      <c r="K6" s="5">
        <f>IF('A. Kokott'!J15="H. Bektas",'A. Kokott'!I15,0)</f>
        <v/>
      </c>
      <c r="L6" s="11">
        <f>IF($B$2="-","",IF($B$2="Pauschale",IFERROR(INDEX('Projekt-Budget-Übersicht'!$H:$H,MATCH(A6,'Projekt-Budget-Übersicht'!$A:$A,0)),""),IF($B$2="SV",IFERROR(INDEX('Projekt-Budget-Übersicht'!$H:$H,MATCH(A6,'Projekt-Budget-Übersicht'!$A:$A,0)),""),IF($B$2="CAD",IFERROR(INDEX('Projekt-Budget-Übersicht'!$I:$I,MATCH(A6,'Projekt-Budget-Übersicht'!$A:$A,0)),""),IF($B$2="ADM",IFERROR(INDEX('Projekt-Budget-Übersicht'!$J:$J,MATCH(A6,'Projekt-Budget-Übersicht'!$A:$A,0)),""),"")))))</f>
        <v/>
      </c>
      <c r="M6" s="11">
        <f>IF($B$2="-","",L6*(F6+I6+K6))</f>
        <v/>
      </c>
      <c r="N6" s="11">
        <f>IFERROR(INDEX('Projekt-Budget-Übersicht'!$E:$E,MATCH(A6,'Projekt-Budget-Übersicht'!$A:$A,0)),"")</f>
        <v/>
      </c>
      <c r="O6" s="11" t="inlineStr"/>
      <c r="P6" s="11" t="inlineStr"/>
    </row>
    <row r="7">
      <c r="A7" s="4" t="inlineStr">
        <is>
          <t>6961.01 Neptune-Rheinhafen-Speyer-allgemeineBeratungsleistungen</t>
        </is>
      </c>
      <c r="B7" s="4" t="inlineStr">
        <is>
          <t>(aN) BTB (SV)</t>
        </is>
      </c>
      <c r="C7" s="4" t="inlineStr">
        <is>
          <t>G</t>
        </is>
      </c>
      <c r="D7" s="4" t="n">
        <v>68</v>
      </c>
      <c r="E7" s="4" t="n">
        <v>47.25</v>
      </c>
      <c r="F7" s="4" t="n">
        <v>24</v>
      </c>
      <c r="G7" s="17" t="n">
        <v>69.48999999999999</v>
      </c>
      <c r="H7" s="5" t="n"/>
      <c r="I7" s="5">
        <f>IF(H7=0,"",F7-H7)</f>
        <v/>
      </c>
      <c r="J7" s="4" t="n"/>
      <c r="K7" s="5">
        <f>IF('A. Kokott'!J16="H. Bektas",'A. Kokott'!I16,0)</f>
        <v/>
      </c>
      <c r="L7" s="11">
        <f>IF($B$2="-","",IF($B$2="Pauschale",IFERROR(INDEX('Projekt-Budget-Übersicht'!$H:$H,MATCH(A7,'Projekt-Budget-Übersicht'!$A:$A,0)),""),IF($B$2="SV",IFERROR(INDEX('Projekt-Budget-Übersicht'!$H:$H,MATCH(A7,'Projekt-Budget-Übersicht'!$A:$A,0)),""),IF($B$2="CAD",IFERROR(INDEX('Projekt-Budget-Übersicht'!$I:$I,MATCH(A7,'Projekt-Budget-Übersicht'!$A:$A,0)),""),IF($B$2="ADM",IFERROR(INDEX('Projekt-Budget-Übersicht'!$J:$J,MATCH(A7,'Projekt-Budget-Übersicht'!$A:$A,0)),""),"")))))</f>
        <v/>
      </c>
      <c r="M7" s="11">
        <f>IF($B$2="-","",L7*(F7+I7+K7))</f>
        <v/>
      </c>
      <c r="N7" s="11">
        <f>IFERROR(INDEX('Projekt-Budget-Übersicht'!$E:$E,MATCH(A7,'Projekt-Budget-Übersicht'!$A:$A,0)),"")</f>
        <v/>
      </c>
      <c r="O7" s="11" t="inlineStr"/>
      <c r="P7" s="11" t="inlineStr"/>
    </row>
    <row r="8">
      <c r="A8" s="4" t="inlineStr">
        <is>
          <t>7253 JUWI-BSK-WP-Bad-Laasphe-Feudingen</t>
        </is>
      </c>
      <c r="B8" s="4" t="inlineStr">
        <is>
          <t>(p) Pos. 1.00 Brandschutzkonzept</t>
        </is>
      </c>
      <c r="C8" s="4" t="inlineStr">
        <is>
          <t>G</t>
        </is>
      </c>
      <c r="D8" s="4" t="n">
        <v>10</v>
      </c>
      <c r="E8" s="4" t="n">
        <v>16.25</v>
      </c>
      <c r="F8" s="4" t="n">
        <v>3</v>
      </c>
      <c r="G8" s="16" t="n">
        <v>162.5</v>
      </c>
      <c r="H8" s="5" t="n"/>
      <c r="I8" s="5">
        <f>IF(H8=0,"",F8-H8)</f>
        <v/>
      </c>
      <c r="J8" s="4" t="n"/>
      <c r="K8" s="5">
        <f>IF('E. Bieler'!J25="H. Bektas",'E. Bieler'!I25,0)+IF('J. Dorchies'!J14="H. Bektas",'J. Dorchies'!I14,0)</f>
        <v/>
      </c>
      <c r="L8" s="11">
        <f>IF($B$2="-","",IF($B$2="Pauschale",IFERROR(INDEX('Projekt-Budget-Übersicht'!$H:$H,MATCH(A8,'Projekt-Budget-Übersicht'!$A:$A,0)),""),IF($B$2="SV",IFERROR(INDEX('Projekt-Budget-Übersicht'!$H:$H,MATCH(A8,'Projekt-Budget-Übersicht'!$A:$A,0)),""),IF($B$2="CAD",IFERROR(INDEX('Projekt-Budget-Übersicht'!$I:$I,MATCH(A8,'Projekt-Budget-Übersicht'!$A:$A,0)),""),IF($B$2="ADM",IFERROR(INDEX('Projekt-Budget-Übersicht'!$J:$J,MATCH(A8,'Projekt-Budget-Übersicht'!$A:$A,0)),""),"")))))</f>
        <v/>
      </c>
      <c r="M8" s="11">
        <f>IF($B$2="-","",L8*(F8+I8+K8))</f>
        <v/>
      </c>
      <c r="N8" s="11">
        <f>IFERROR(INDEX('Projekt-Budget-Übersicht'!$E:$E,MATCH(A8,'Projekt-Budget-Übersicht'!$A:$A,0)),"")</f>
        <v/>
      </c>
      <c r="O8" s="11" t="inlineStr"/>
      <c r="P8" s="11" t="inlineStr"/>
    </row>
    <row r="9">
      <c r="A9" s="4" t="inlineStr">
        <is>
          <t>7328 LAER-formica-BSK-Lageranalage-Eilinger-Kamp-Menden</t>
        </is>
      </c>
      <c r="B9" s="4" t="inlineStr">
        <is>
          <t>SV</t>
        </is>
      </c>
      <c r="C9" s="4" t="inlineStr">
        <is>
          <t>G</t>
        </is>
      </c>
      <c r="D9" s="4" t="n">
        <v>16</v>
      </c>
      <c r="E9" s="4" t="n">
        <v>14.25</v>
      </c>
      <c r="F9" s="4" t="n">
        <v>2</v>
      </c>
      <c r="G9" s="17" t="n">
        <v>89.06</v>
      </c>
      <c r="H9" s="5" t="n"/>
      <c r="I9" s="5">
        <f>IF(H9=0,"",F9-H9)</f>
        <v/>
      </c>
      <c r="J9" s="4" t="n"/>
      <c r="K9" s="5">
        <f>IF('E. Bieler'!J26="H. Bektas",'E. Bieler'!I26,0)</f>
        <v/>
      </c>
      <c r="L9" s="11">
        <f>IF($B$2="-","",IF($B$2="Pauschale",IFERROR(INDEX('Projekt-Budget-Übersicht'!$H:$H,MATCH(A9,'Projekt-Budget-Übersicht'!$A:$A,0)),""),IF($B$2="SV",IFERROR(INDEX('Projekt-Budget-Übersicht'!$H:$H,MATCH(A9,'Projekt-Budget-Übersicht'!$A:$A,0)),""),IF($B$2="CAD",IFERROR(INDEX('Projekt-Budget-Übersicht'!$I:$I,MATCH(A9,'Projekt-Budget-Übersicht'!$A:$A,0)),""),IF($B$2="ADM",IFERROR(INDEX('Projekt-Budget-Übersicht'!$J:$J,MATCH(A9,'Projekt-Budget-Übersicht'!$A:$A,0)),""),"")))))</f>
        <v/>
      </c>
      <c r="M9" s="11">
        <f>IF($B$2="-","",L9*(F9+I9+K9))</f>
        <v/>
      </c>
      <c r="N9" s="11">
        <f>IFERROR(INDEX('Projekt-Budget-Übersicht'!$E:$E,MATCH(A9,'Projekt-Budget-Übersicht'!$A:$A,0)),"")</f>
        <v/>
      </c>
      <c r="O9" s="11" t="inlineStr"/>
      <c r="P9" s="11" t="inlineStr"/>
    </row>
    <row r="10">
      <c r="A10" s="4" t="inlineStr">
        <is>
          <t>7361 Energieprojekte-DK-BSK-WP-Thalfingen+Repowering-Anlage-Seligweiler-Bayern</t>
        </is>
      </c>
      <c r="B10" s="4" t="inlineStr">
        <is>
          <t>SV</t>
        </is>
      </c>
      <c r="C10" s="4" t="inlineStr">
        <is>
          <t>G</t>
        </is>
      </c>
      <c r="D10" s="4" t="n">
        <v>19</v>
      </c>
      <c r="E10" s="4" t="n">
        <v>20.75</v>
      </c>
      <c r="F10" s="4" t="n">
        <v>2.5</v>
      </c>
      <c r="G10" s="16" t="n">
        <v>109.21</v>
      </c>
      <c r="H10" s="5" t="n"/>
      <c r="I10" s="5">
        <f>IF(H10=0,"",F10-H10)</f>
        <v/>
      </c>
      <c r="J10" s="4" t="n"/>
      <c r="K10" s="5">
        <f>IF('E. Bieler'!J27="H. Bektas",'E. Bieler'!I27,0)</f>
        <v/>
      </c>
      <c r="L10" s="11">
        <f>IF($B$2="-","",IF($B$2="Pauschale",IFERROR(INDEX('Projekt-Budget-Übersicht'!$H:$H,MATCH(A10,'Projekt-Budget-Übersicht'!$A:$A,0)),""),IF($B$2="SV",IFERROR(INDEX('Projekt-Budget-Übersicht'!$H:$H,MATCH(A10,'Projekt-Budget-Übersicht'!$A:$A,0)),""),IF($B$2="CAD",IFERROR(INDEX('Projekt-Budget-Übersicht'!$I:$I,MATCH(A10,'Projekt-Budget-Übersicht'!$A:$A,0)),""),IF($B$2="ADM",IFERROR(INDEX('Projekt-Budget-Übersicht'!$J:$J,MATCH(A10,'Projekt-Budget-Übersicht'!$A:$A,0)),""),"")))))</f>
        <v/>
      </c>
      <c r="M10" s="11">
        <f>IF($B$2="-","",L10*(F10+I10+K10))</f>
        <v/>
      </c>
      <c r="N10" s="11">
        <f>IFERROR(INDEX('Projekt-Budget-Übersicht'!$E:$E,MATCH(A10,'Projekt-Budget-Übersicht'!$A:$A,0)),"")</f>
        <v/>
      </c>
      <c r="O10" s="11" t="inlineStr"/>
      <c r="P10" s="11" t="inlineStr"/>
    </row>
    <row r="11">
      <c r="A11" s="4" t="inlineStr">
        <is>
          <t>7364 SHE-BSK-WP-Göttingen-Baden-Württemberg</t>
        </is>
      </c>
      <c r="B11" s="4" t="inlineStr">
        <is>
          <t>SV</t>
        </is>
      </c>
      <c r="C11" s="4" t="inlineStr">
        <is>
          <t>G</t>
        </is>
      </c>
      <c r="D11" s="4" t="n">
        <v>19</v>
      </c>
      <c r="E11" s="4" t="n">
        <v>18.25</v>
      </c>
      <c r="F11" s="4" t="n">
        <v>8</v>
      </c>
      <c r="G11" s="14" t="n">
        <v>96.05</v>
      </c>
      <c r="H11" s="5" t="n"/>
      <c r="I11" s="5">
        <f>IF(H11=0,"",F11-H11)</f>
        <v/>
      </c>
      <c r="J11" s="4" t="n"/>
      <c r="K11" s="5">
        <f>IF('E. Bieler'!J28="H. Bektas",'E. Bieler'!I28,0)</f>
        <v/>
      </c>
      <c r="L11" s="11">
        <f>IF($B$2="-","",IF($B$2="Pauschale",IFERROR(INDEX('Projekt-Budget-Übersicht'!$H:$H,MATCH(A11,'Projekt-Budget-Übersicht'!$A:$A,0)),""),IF($B$2="SV",IFERROR(INDEX('Projekt-Budget-Übersicht'!$H:$H,MATCH(A11,'Projekt-Budget-Übersicht'!$A:$A,0)),""),IF($B$2="CAD",IFERROR(INDEX('Projekt-Budget-Übersicht'!$I:$I,MATCH(A11,'Projekt-Budget-Übersicht'!$A:$A,0)),""),IF($B$2="ADM",IFERROR(INDEX('Projekt-Budget-Übersicht'!$J:$J,MATCH(A11,'Projekt-Budget-Übersicht'!$A:$A,0)),""),"")))))</f>
        <v/>
      </c>
      <c r="M11" s="11">
        <f>IF($B$2="-","",L11*(F11+I11+K11))</f>
        <v/>
      </c>
      <c r="N11" s="11">
        <f>IFERROR(INDEX('Projekt-Budget-Übersicht'!$E:$E,MATCH(A11,'Projekt-Budget-Übersicht'!$A:$A,0)),"")</f>
        <v/>
      </c>
      <c r="O11" s="11" t="inlineStr"/>
      <c r="P11" s="11" t="inlineStr"/>
    </row>
    <row r="12">
      <c r="A12" s="4" t="inlineStr">
        <is>
          <t>7370.02 LAER-formica-BSK-Garagenpark-Willi-Melchers-Straße-Lünen-NB-Hallenreihen</t>
        </is>
      </c>
      <c r="B12" s="4" t="inlineStr">
        <is>
          <t>3100-Erarbeiten des Brandschutzkonzept/Nachweis/Stellungnahme</t>
        </is>
      </c>
      <c r="C12" s="4" t="inlineStr">
        <is>
          <t>G</t>
        </is>
      </c>
      <c r="D12" s="4" t="n">
        <v>20</v>
      </c>
      <c r="E12" s="4" t="n">
        <v>19</v>
      </c>
      <c r="F12" s="4" t="n">
        <v>19</v>
      </c>
      <c r="G12" s="14" t="n">
        <v>95</v>
      </c>
      <c r="H12" s="5" t="n"/>
      <c r="I12" s="5">
        <f>IF(H12=0,"",F12-H12)</f>
        <v/>
      </c>
      <c r="J12" s="4" t="n"/>
      <c r="K12" s="5" t="n">
        <v>0</v>
      </c>
      <c r="L12" s="11">
        <f>IF($B$2="-","",IF($B$2="Pauschale",IFERROR(INDEX('Projekt-Budget-Übersicht'!$H:$H,MATCH(A12,'Projekt-Budget-Übersicht'!$A:$A,0)),""),IF($B$2="SV",IFERROR(INDEX('Projekt-Budget-Übersicht'!$H:$H,MATCH(A12,'Projekt-Budget-Übersicht'!$A:$A,0)),""),IF($B$2="CAD",IFERROR(INDEX('Projekt-Budget-Übersicht'!$I:$I,MATCH(A12,'Projekt-Budget-Übersicht'!$A:$A,0)),""),IF($B$2="ADM",IFERROR(INDEX('Projekt-Budget-Übersicht'!$J:$J,MATCH(A12,'Projekt-Budget-Übersicht'!$A:$A,0)),""),"")))))</f>
        <v/>
      </c>
      <c r="M12" s="11">
        <f>IF($B$2="-","",L12*(F12+I12+K12))</f>
        <v/>
      </c>
      <c r="N12" s="11">
        <f>IFERROR(INDEX('Projekt-Budget-Übersicht'!$E:$E,MATCH(A12,'Projekt-Budget-Übersicht'!$A:$A,0)),"")</f>
        <v/>
      </c>
      <c r="O12" s="11" t="inlineStr"/>
      <c r="P12" s="11" t="inlineStr"/>
    </row>
    <row r="13">
      <c r="A13" s="13" t="inlineStr">
        <is>
          <t xml:space="preserve">7400 JUWI-WP-div-MST </t>
        </is>
      </c>
      <c r="B13" s="4" t="inlineStr">
        <is>
          <t>(aN) Anp. BSK (Abruf offen)</t>
        </is>
      </c>
      <c r="C13" s="4" t="inlineStr">
        <is>
          <t>G</t>
        </is>
      </c>
      <c r="D13" s="4" t="n">
        <v>2</v>
      </c>
      <c r="E13" s="4" t="n">
        <v>2</v>
      </c>
      <c r="F13" s="4" t="n">
        <v>2</v>
      </c>
      <c r="G13" s="14" t="n">
        <v>100</v>
      </c>
      <c r="H13" s="5" t="n"/>
      <c r="I13" s="5">
        <f>IF(H13=0,"",F13-H13)</f>
        <v/>
      </c>
      <c r="J13" s="4" t="n"/>
      <c r="K13" s="5" t="n">
        <v>0</v>
      </c>
      <c r="L13" s="11">
        <f>IF($B$2="-","",IF($B$2="Pauschale",IFERROR(INDEX('Projekt-Budget-Übersicht'!$H:$H,MATCH(A13,'Projekt-Budget-Übersicht'!$A:$A,0)),""),IF($B$2="SV",IFERROR(INDEX('Projekt-Budget-Übersicht'!$H:$H,MATCH(A13,'Projekt-Budget-Übersicht'!$A:$A,0)),""),IF($B$2="CAD",IFERROR(INDEX('Projekt-Budget-Übersicht'!$I:$I,MATCH(A13,'Projekt-Budget-Übersicht'!$A:$A,0)),""),IF($B$2="ADM",IFERROR(INDEX('Projekt-Budget-Übersicht'!$J:$J,MATCH(A13,'Projekt-Budget-Übersicht'!$A:$A,0)),""),"")))))</f>
        <v/>
      </c>
      <c r="M13" s="11">
        <f>IF($B$2="-","",L13*(F13+I13+K13))</f>
        <v/>
      </c>
      <c r="N13" s="11">
        <f>IFERROR(INDEX('Projekt-Budget-Übersicht'!$E:$E,MATCH(A13,'Projekt-Budget-Übersicht'!$A:$A,0)),"")</f>
        <v/>
      </c>
      <c r="O13" s="11" t="inlineStr"/>
      <c r="P13" s="11" t="inlineStr"/>
    </row>
    <row r="14">
      <c r="A14" s="15" t="n"/>
      <c r="B14" s="4" t="inlineStr">
        <is>
          <t>(p) Pos. 1 Anp. BSK gem. RV (Best. 4500010513 25.06.27)</t>
        </is>
      </c>
      <c r="C14" s="4" t="inlineStr">
        <is>
          <t>G</t>
        </is>
      </c>
      <c r="D14" s="4" t="n">
        <v>10</v>
      </c>
      <c r="E14" s="4" t="n">
        <v>9.5</v>
      </c>
      <c r="F14" s="4" t="n">
        <v>8</v>
      </c>
      <c r="G14" s="14" t="n">
        <v>95</v>
      </c>
      <c r="H14" s="5" t="n"/>
      <c r="I14" s="5">
        <f>IF(H14=0,"",F14-H14)</f>
        <v/>
      </c>
      <c r="J14" s="4" t="n"/>
      <c r="K14" s="5" t="n">
        <v>0</v>
      </c>
      <c r="L14" s="11">
        <f>IF($B$2="-","",IF($B$2="Pauschale",IFERROR(INDEX('Projekt-Budget-Übersicht'!$H:$H,MATCH(A14,'Projekt-Budget-Übersicht'!$A:$A,0)),""),IF($B$2="SV",IFERROR(INDEX('Projekt-Budget-Übersicht'!$H:$H,MATCH(A14,'Projekt-Budget-Übersicht'!$A:$A,0)),""),IF($B$2="CAD",IFERROR(INDEX('Projekt-Budget-Übersicht'!$I:$I,MATCH(A14,'Projekt-Budget-Übersicht'!$A:$A,0)),""),IF($B$2="ADM",IFERROR(INDEX('Projekt-Budget-Übersicht'!$J:$J,MATCH(A14,'Projekt-Budget-Übersicht'!$A:$A,0)),""),"")))))</f>
        <v/>
      </c>
      <c r="M14" s="11">
        <f>IF($B$2="-","",L14*(F14+I14+K14))</f>
        <v/>
      </c>
      <c r="N14" s="11">
        <f>IFERROR(INDEX('Projekt-Budget-Übersicht'!$E:$E,MATCH(A14,'Projekt-Budget-Übersicht'!$A:$A,0)),"")</f>
        <v/>
      </c>
      <c r="O14" s="11" t="inlineStr"/>
      <c r="P14" s="11" t="inlineStr"/>
    </row>
    <row r="15">
      <c r="A15" s="4" t="inlineStr">
        <is>
          <t>7405 VWPA-BSK-WEA-Hollfeld-Daniel-Koglin</t>
        </is>
      </c>
      <c r="B15" s="4" t="inlineStr">
        <is>
          <t>SV</t>
        </is>
      </c>
      <c r="C15" s="4" t="inlineStr">
        <is>
          <t>G</t>
        </is>
      </c>
      <c r="D15" s="4" t="n">
        <v>16</v>
      </c>
      <c r="E15" s="4" t="n">
        <v>19</v>
      </c>
      <c r="F15" s="4" t="n">
        <v>7</v>
      </c>
      <c r="G15" s="16" t="n">
        <v>118.75</v>
      </c>
      <c r="H15" s="5" t="n"/>
      <c r="I15" s="5">
        <f>IF(H15=0,"",F15-H15)</f>
        <v/>
      </c>
      <c r="J15" s="4" t="n"/>
      <c r="K15" s="5" t="n">
        <v>0</v>
      </c>
      <c r="L15" s="11">
        <f>IF($B$2="-","",IF($B$2="Pauschale",IFERROR(INDEX('Projekt-Budget-Übersicht'!$H:$H,MATCH(A15,'Projekt-Budget-Übersicht'!$A:$A,0)),""),IF($B$2="SV",IFERROR(INDEX('Projekt-Budget-Übersicht'!$H:$H,MATCH(A15,'Projekt-Budget-Übersicht'!$A:$A,0)),""),IF($B$2="CAD",IFERROR(INDEX('Projekt-Budget-Übersicht'!$I:$I,MATCH(A15,'Projekt-Budget-Übersicht'!$A:$A,0)),""),IF($B$2="ADM",IFERROR(INDEX('Projekt-Budget-Übersicht'!$J:$J,MATCH(A15,'Projekt-Budget-Übersicht'!$A:$A,0)),""),"")))))</f>
        <v/>
      </c>
      <c r="M15" s="11">
        <f>IF($B$2="-","",L15*(F15+I15+K15))</f>
        <v/>
      </c>
      <c r="N15" s="11">
        <f>IFERROR(INDEX('Projekt-Budget-Übersicht'!$E:$E,MATCH(A15,'Projekt-Budget-Übersicht'!$A:$A,0)),"")</f>
        <v/>
      </c>
      <c r="O15" s="11" t="inlineStr"/>
      <c r="P15" s="11" t="inlineStr"/>
    </row>
    <row r="16">
      <c r="A16" s="4" t="inlineStr">
        <is>
          <t>7422 Energieprojekte-DK-BSK-WEA-Aschbach-Ilmenau</t>
        </is>
      </c>
      <c r="B16" s="4" t="inlineStr">
        <is>
          <t>SV</t>
        </is>
      </c>
      <c r="C16" s="4" t="inlineStr">
        <is>
          <t>G</t>
        </is>
      </c>
      <c r="D16" s="4" t="n">
        <v>16</v>
      </c>
      <c r="E16" s="4" t="n">
        <v>15.25</v>
      </c>
      <c r="F16" s="4" t="n">
        <v>7</v>
      </c>
      <c r="G16" s="14" t="n">
        <v>95.31</v>
      </c>
      <c r="H16" s="5" t="n"/>
      <c r="I16" s="5">
        <f>IF(H16=0,"",F16-H16)</f>
        <v/>
      </c>
      <c r="J16" s="4" t="n"/>
      <c r="K16" s="5">
        <f>IF('E. Bieler'!J33="H. Bektas",'E. Bieler'!I33,0)</f>
        <v/>
      </c>
      <c r="L16" s="11">
        <f>IF($B$2="-","",IF($B$2="Pauschale",IFERROR(INDEX('Projekt-Budget-Übersicht'!$H:$H,MATCH(A16,'Projekt-Budget-Übersicht'!$A:$A,0)),""),IF($B$2="SV",IFERROR(INDEX('Projekt-Budget-Übersicht'!$H:$H,MATCH(A16,'Projekt-Budget-Übersicht'!$A:$A,0)),""),IF($B$2="CAD",IFERROR(INDEX('Projekt-Budget-Übersicht'!$I:$I,MATCH(A16,'Projekt-Budget-Übersicht'!$A:$A,0)),""),IF($B$2="ADM",IFERROR(INDEX('Projekt-Budget-Übersicht'!$J:$J,MATCH(A16,'Projekt-Budget-Übersicht'!$A:$A,0)),""),"")))))</f>
        <v/>
      </c>
      <c r="M16" s="11">
        <f>IF($B$2="-","",L16*(F16+I16+K16))</f>
        <v/>
      </c>
      <c r="N16" s="11">
        <f>IFERROR(INDEX('Projekt-Budget-Übersicht'!$E:$E,MATCH(A16,'Projekt-Budget-Übersicht'!$A:$A,0)),"")</f>
        <v/>
      </c>
      <c r="O16" s="11" t="inlineStr"/>
      <c r="P16" s="11" t="inlineStr"/>
    </row>
    <row r="17">
      <c r="A17" s="4" t="inlineStr">
        <is>
          <t>7435 wiwi-BSK-WEA-Spiesheim-Wörrstadt-Ost</t>
        </is>
      </c>
      <c r="B17" s="4" t="inlineStr">
        <is>
          <t>SV</t>
        </is>
      </c>
      <c r="C17" s="4" t="inlineStr">
        <is>
          <t>G</t>
        </is>
      </c>
      <c r="D17" s="4" t="n">
        <v>17</v>
      </c>
      <c r="E17" s="4" t="n">
        <v>16.25</v>
      </c>
      <c r="F17" s="4" t="n">
        <v>16</v>
      </c>
      <c r="G17" s="14" t="n">
        <v>95.59</v>
      </c>
      <c r="H17" s="5" t="n"/>
      <c r="I17" s="5">
        <f>IF(H17=0,"",F17-H17)</f>
        <v/>
      </c>
      <c r="J17" s="4" t="n"/>
      <c r="K17" s="5">
        <f>IF('E. Bieler'!J35="H. Bektas",'E. Bieler'!I35,0)</f>
        <v/>
      </c>
      <c r="L17" s="11">
        <f>IF($B$2="-","",IF($B$2="Pauschale",IFERROR(INDEX('Projekt-Budget-Übersicht'!$H:$H,MATCH(A17,'Projekt-Budget-Übersicht'!$A:$A,0)),""),IF($B$2="SV",IFERROR(INDEX('Projekt-Budget-Übersicht'!$H:$H,MATCH(A17,'Projekt-Budget-Übersicht'!$A:$A,0)),""),IF($B$2="CAD",IFERROR(INDEX('Projekt-Budget-Übersicht'!$I:$I,MATCH(A17,'Projekt-Budget-Übersicht'!$A:$A,0)),""),IF($B$2="ADM",IFERROR(INDEX('Projekt-Budget-Übersicht'!$J:$J,MATCH(A17,'Projekt-Budget-Übersicht'!$A:$A,0)),""),"")))))</f>
        <v/>
      </c>
      <c r="M17" s="11">
        <f>IF($B$2="-","",L17*(F17+I17+K17))</f>
        <v/>
      </c>
      <c r="N17" s="11">
        <f>IFERROR(INDEX('Projekt-Budget-Übersicht'!$E:$E,MATCH(A17,'Projekt-Budget-Übersicht'!$A:$A,0)),"")</f>
        <v/>
      </c>
      <c r="O17" s="11" t="inlineStr"/>
      <c r="P17" s="11" t="inlineStr"/>
    </row>
    <row r="18">
      <c r="A18" s="4" t="inlineStr">
        <is>
          <t>7441 Baupionier-Garagenpark-Öhringen-BSK</t>
        </is>
      </c>
      <c r="B18" s="4" t="inlineStr">
        <is>
          <t>SV</t>
        </is>
      </c>
      <c r="C18" s="4" t="inlineStr">
        <is>
          <t>G</t>
        </is>
      </c>
      <c r="D18" s="4" t="n">
        <v>17</v>
      </c>
      <c r="E18" s="4" t="n">
        <v>13.5</v>
      </c>
      <c r="F18" s="4" t="n">
        <v>13</v>
      </c>
      <c r="G18" s="17" t="n">
        <v>79.41</v>
      </c>
      <c r="H18" s="5" t="n"/>
      <c r="I18" s="5">
        <f>IF(H18=0,"",F18-H18)</f>
        <v/>
      </c>
      <c r="J18" s="4" t="n"/>
      <c r="K18" s="5">
        <f>IF('E. Bieler'!J37="H. Bektas",'E. Bieler'!I37,0)</f>
        <v/>
      </c>
      <c r="L18" s="11">
        <f>IF($B$2="-","",IF($B$2="Pauschale",IFERROR(INDEX('Projekt-Budget-Übersicht'!$H:$H,MATCH(A18,'Projekt-Budget-Übersicht'!$A:$A,0)),""),IF($B$2="SV",IFERROR(INDEX('Projekt-Budget-Übersicht'!$H:$H,MATCH(A18,'Projekt-Budget-Übersicht'!$A:$A,0)),""),IF($B$2="CAD",IFERROR(INDEX('Projekt-Budget-Übersicht'!$I:$I,MATCH(A18,'Projekt-Budget-Übersicht'!$A:$A,0)),""),IF($B$2="ADM",IFERROR(INDEX('Projekt-Budget-Übersicht'!$J:$J,MATCH(A18,'Projekt-Budget-Übersicht'!$A:$A,0)),""),"")))))</f>
        <v/>
      </c>
      <c r="M18" s="11">
        <f>IF($B$2="-","",L18*(F18+I18+K18))</f>
        <v/>
      </c>
      <c r="N18" s="11">
        <f>IFERROR(INDEX('Projekt-Budget-Übersicht'!$E:$E,MATCH(A18,'Projekt-Budget-Übersicht'!$A:$A,0)),"")</f>
        <v/>
      </c>
      <c r="O18" s="11" t="inlineStr"/>
      <c r="P18" s="11" t="inlineStr"/>
    </row>
    <row r="19">
      <c r="A19" s="4" t="inlineStr">
        <is>
          <t>7444 Energieprojekte-DK-BSK-WEA-Schußbachwald</t>
        </is>
      </c>
      <c r="B19" s="4" t="inlineStr">
        <is>
          <t>SV</t>
        </is>
      </c>
      <c r="C19" s="4" t="inlineStr">
        <is>
          <t>G</t>
        </is>
      </c>
      <c r="D19" s="4" t="n">
        <v>16</v>
      </c>
      <c r="E19" s="4" t="n">
        <v>13</v>
      </c>
      <c r="F19" s="4" t="n">
        <v>13</v>
      </c>
      <c r="G19" s="17" t="n">
        <v>81.25</v>
      </c>
      <c r="H19" s="5" t="n"/>
      <c r="I19" s="5">
        <f>IF(H19=0,"",F19-H19)</f>
        <v/>
      </c>
      <c r="J19" s="4" t="n"/>
      <c r="K19" s="5" t="n">
        <v>0</v>
      </c>
      <c r="L19" s="11">
        <f>IF($B$2="-","",IF($B$2="Pauschale",IFERROR(INDEX('Projekt-Budget-Übersicht'!$H:$H,MATCH(A19,'Projekt-Budget-Übersicht'!$A:$A,0)),""),IF($B$2="SV",IFERROR(INDEX('Projekt-Budget-Übersicht'!$H:$H,MATCH(A19,'Projekt-Budget-Übersicht'!$A:$A,0)),""),IF($B$2="CAD",IFERROR(INDEX('Projekt-Budget-Übersicht'!$I:$I,MATCH(A19,'Projekt-Budget-Übersicht'!$A:$A,0)),""),IF($B$2="ADM",IFERROR(INDEX('Projekt-Budget-Übersicht'!$J:$J,MATCH(A19,'Projekt-Budget-Übersicht'!$A:$A,0)),""),"")))))</f>
        <v/>
      </c>
      <c r="M19" s="11">
        <f>IF($B$2="-","",L19*(F19+I19+K19))</f>
        <v/>
      </c>
      <c r="N19" s="11">
        <f>IFERROR(INDEX('Projekt-Budget-Übersicht'!$E:$E,MATCH(A19,'Projekt-Budget-Übersicht'!$A:$A,0)),"")</f>
        <v/>
      </c>
      <c r="O19" s="11" t="inlineStr"/>
      <c r="P19" s="11" t="inlineStr"/>
    </row>
    <row r="20">
      <c r="A20" s="4" t="inlineStr">
        <is>
          <t>7445 Energieprojekte-DK-BSK-WEA-Thüngersheim</t>
        </is>
      </c>
      <c r="B20" s="4" t="inlineStr">
        <is>
          <t>SV</t>
        </is>
      </c>
      <c r="C20" s="4" t="inlineStr">
        <is>
          <t>G</t>
        </is>
      </c>
      <c r="D20" s="4" t="n">
        <v>16</v>
      </c>
      <c r="E20" s="4" t="n">
        <v>16</v>
      </c>
      <c r="F20" s="4" t="n">
        <v>16</v>
      </c>
      <c r="G20" s="14" t="n">
        <v>100</v>
      </c>
      <c r="H20" s="5" t="n"/>
      <c r="I20" s="5">
        <f>IF(H20=0,"",F20-H20)</f>
        <v/>
      </c>
      <c r="J20" s="4" t="n"/>
      <c r="K20" s="5" t="n">
        <v>0</v>
      </c>
      <c r="L20" s="11">
        <f>IF($B$2="-","",IF($B$2="Pauschale",IFERROR(INDEX('Projekt-Budget-Übersicht'!$H:$H,MATCH(A20,'Projekt-Budget-Übersicht'!$A:$A,0)),""),IF($B$2="SV",IFERROR(INDEX('Projekt-Budget-Übersicht'!$H:$H,MATCH(A20,'Projekt-Budget-Übersicht'!$A:$A,0)),""),IF($B$2="CAD",IFERROR(INDEX('Projekt-Budget-Übersicht'!$I:$I,MATCH(A20,'Projekt-Budget-Übersicht'!$A:$A,0)),""),IF($B$2="ADM",IFERROR(INDEX('Projekt-Budget-Übersicht'!$J:$J,MATCH(A20,'Projekt-Budget-Übersicht'!$A:$A,0)),""),"")))))</f>
        <v/>
      </c>
      <c r="M20" s="11">
        <f>IF($B$2="-","",L20*(F20+I20+K20))</f>
        <v/>
      </c>
      <c r="N20" s="11">
        <f>IFERROR(INDEX('Projekt-Budget-Übersicht'!$E:$E,MATCH(A20,'Projekt-Budget-Übersicht'!$A:$A,0)),"")</f>
        <v/>
      </c>
      <c r="O20" s="11" t="inlineStr"/>
      <c r="P20" s="11" t="inlineStr"/>
    </row>
    <row r="21">
      <c r="A21" s="13" t="inlineStr">
        <is>
          <t>7500 Baupionier-PCP-RV-diverse-Garagenparks</t>
        </is>
      </c>
      <c r="B21" s="4" t="inlineStr">
        <is>
          <t>(aN) Pos. 7 Weitere Leistungen auf Nachweis</t>
        </is>
      </c>
      <c r="C21" s="4" t="inlineStr">
        <is>
          <t>G</t>
        </is>
      </c>
      <c r="D21" s="4" t="n">
        <v>3</v>
      </c>
      <c r="E21" s="4" t="n">
        <v>3.5</v>
      </c>
      <c r="F21" s="4" t="n">
        <v>3.5</v>
      </c>
      <c r="G21" s="16" t="n">
        <v>116.67</v>
      </c>
      <c r="H21" s="5" t="n"/>
      <c r="I21" s="5">
        <f>IF(H21=0,"",F21-H21)</f>
        <v/>
      </c>
      <c r="J21" s="4" t="n"/>
      <c r="K21" s="5" t="n">
        <v>0</v>
      </c>
      <c r="L21" s="11">
        <f>IF($B$2="-","",IF($B$2="Pauschale",IFERROR(INDEX('Projekt-Budget-Übersicht'!$H:$H,MATCH(A21,'Projekt-Budget-Übersicht'!$A:$A,0)),""),IF($B$2="SV",IFERROR(INDEX('Projekt-Budget-Übersicht'!$H:$H,MATCH(A21,'Projekt-Budget-Übersicht'!$A:$A,0)),""),IF($B$2="CAD",IFERROR(INDEX('Projekt-Budget-Übersicht'!$I:$I,MATCH(A21,'Projekt-Budget-Übersicht'!$A:$A,0)),""),IF($B$2="ADM",IFERROR(INDEX('Projekt-Budget-Übersicht'!$J:$J,MATCH(A21,'Projekt-Budget-Übersicht'!$A:$A,0)),""),"")))))</f>
        <v/>
      </c>
      <c r="M21" s="11">
        <f>IF($B$2="-","",L21*(F21+I21+K21))</f>
        <v/>
      </c>
      <c r="N21" s="11">
        <f>IFERROR(INDEX('Projekt-Budget-Übersicht'!$E:$E,MATCH(A21,'Projekt-Budget-Übersicht'!$A:$A,0)),"")</f>
        <v/>
      </c>
      <c r="O21" s="11" t="inlineStr"/>
      <c r="P21" s="11" t="inlineStr"/>
    </row>
    <row r="22">
      <c r="A22" s="15" t="n"/>
      <c r="B22" s="4" t="inlineStr">
        <is>
          <t>SV</t>
        </is>
      </c>
      <c r="C22" s="4" t="inlineStr">
        <is>
          <t>G</t>
        </is>
      </c>
      <c r="D22" s="4" t="n">
        <v>0</v>
      </c>
      <c r="E22" s="4" t="n">
        <v>-8</v>
      </c>
      <c r="F22" s="4" t="n">
        <v>16</v>
      </c>
      <c r="G22" s="4" t="n">
        <v>0</v>
      </c>
      <c r="H22" s="5" t="n"/>
      <c r="I22" s="5">
        <f>IF(H22=0,"",F22-H22)</f>
        <v/>
      </c>
      <c r="J22" s="4" t="n"/>
      <c r="K22" s="5">
        <f>IF('S. Schüler'!J41="H. Bektas",'S. Schüler'!I41,0)</f>
        <v/>
      </c>
      <c r="L22" s="11">
        <f>IF($B$2="-","",IF($B$2="Pauschale",IFERROR(INDEX('Projekt-Budget-Übersicht'!$H:$H,MATCH(A22,'Projekt-Budget-Übersicht'!$A:$A,0)),""),IF($B$2="SV",IFERROR(INDEX('Projekt-Budget-Übersicht'!$H:$H,MATCH(A22,'Projekt-Budget-Übersicht'!$A:$A,0)),""),IF($B$2="CAD",IFERROR(INDEX('Projekt-Budget-Übersicht'!$I:$I,MATCH(A22,'Projekt-Budget-Übersicht'!$A:$A,0)),""),IF($B$2="ADM",IFERROR(INDEX('Projekt-Budget-Übersicht'!$J:$J,MATCH(A22,'Projekt-Budget-Übersicht'!$A:$A,0)),""),"")))))</f>
        <v/>
      </c>
      <c r="M22" s="11">
        <f>IF($B$2="-","",L22*(F22+I22+K22))</f>
        <v/>
      </c>
      <c r="N22" s="11">
        <f>IFERROR(INDEX('Projekt-Budget-Übersicht'!$E:$E,MATCH(A22,'Projekt-Budget-Übersicht'!$A:$A,0)),"")</f>
        <v/>
      </c>
      <c r="O22" s="11" t="inlineStr"/>
      <c r="P22" s="11" t="inlineStr"/>
    </row>
    <row r="23">
      <c r="A23" s="3" t="inlineStr"/>
      <c r="B23" s="3" t="inlineStr">
        <is>
          <t>Summe</t>
        </is>
      </c>
      <c r="C23" s="3" t="inlineStr"/>
      <c r="D23" s="3" t="inlineStr"/>
      <c r="E23" s="3" t="inlineStr"/>
      <c r="F23" s="6" t="n">
        <v>162</v>
      </c>
      <c r="G23" s="3" t="inlineStr"/>
      <c r="H23" s="3" t="inlineStr"/>
      <c r="I23" s="3" t="inlineStr"/>
      <c r="J23" s="3" t="inlineStr"/>
      <c r="K23" s="3" t="inlineStr"/>
      <c r="L23" s="3" t="n"/>
      <c r="M23" s="3" t="n"/>
      <c r="N23" s="3" t="n"/>
      <c r="O23" s="3" t="n"/>
      <c r="P23" s="3" t="n"/>
    </row>
    <row r="24">
      <c r="A24" s="3" t="inlineStr"/>
      <c r="B24" s="3" t="inlineStr">
        <is>
          <t>Bonusberechtigte Stunden</t>
        </is>
      </c>
      <c r="C24" s="3" t="inlineStr"/>
      <c r="D24" s="3" t="inlineStr"/>
      <c r="E24" s="3" t="inlineStr"/>
      <c r="F24" s="6">
        <f>G24+H24</f>
        <v/>
      </c>
      <c r="G24" s="6" t="n">
        <v>144</v>
      </c>
      <c r="H24" s="6">
        <f>SUM(H6,H7,H8,H9,H10,H11,H12,H13,H14,H15,H16,H17,H18,H19,H20,H21,H22)</f>
        <v/>
      </c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</row>
    <row r="25">
      <c r="A25" s="3" t="inlineStr"/>
      <c r="B25" s="3" t="inlineStr">
        <is>
          <t>Bonusberechtigte Stunden Sonderprojekt</t>
        </is>
      </c>
      <c r="C25" s="3" t="inlineStr"/>
      <c r="D25" s="3" t="inlineStr"/>
      <c r="E25" s="3" t="inlineStr"/>
      <c r="F25" s="6" t="n">
        <v>0</v>
      </c>
      <c r="G25" s="6" t="n">
        <v>0</v>
      </c>
      <c r="H25" s="6" t="n">
        <v>0</v>
      </c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</row>
    <row r="26">
      <c r="A26" s="3" t="inlineStr"/>
      <c r="B26" s="3" t="inlineStr">
        <is>
          <t>Zugeordnete Stunden von anderen MA</t>
        </is>
      </c>
      <c r="C26" s="3" t="inlineStr"/>
      <c r="D26" s="3" t="inlineStr"/>
      <c r="E26" s="3" t="inlineStr"/>
      <c r="F26" s="6">
        <f>SUM(K6:K22)</f>
        <v/>
      </c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</row>
    <row r="27">
      <c r="A27" s="18" t="inlineStr"/>
      <c r="B27" s="18" t="inlineStr">
        <is>
          <t>Gesamt Bonus Stunden</t>
        </is>
      </c>
      <c r="C27" s="18" t="inlineStr"/>
      <c r="D27" s="18" t="inlineStr"/>
      <c r="E27" s="18" t="inlineStr"/>
      <c r="F27" s="19">
        <f>F24+F25+F26</f>
        <v/>
      </c>
      <c r="G27" s="18" t="inlineStr"/>
      <c r="H27" s="18" t="inlineStr"/>
      <c r="I27" s="18" t="inlineStr"/>
      <c r="J27" s="18" t="inlineStr"/>
      <c r="K27" s="18" t="inlineStr"/>
      <c r="L27" s="18" t="n"/>
      <c r="M27" s="18" t="n"/>
      <c r="N27" s="18" t="n"/>
      <c r="O27" s="18" t="n"/>
      <c r="P27" s="18" t="n"/>
    </row>
    <row r="29">
      <c r="A29" s="2" t="inlineStr">
        <is>
          <t>--- August 2025 ---</t>
        </is>
      </c>
    </row>
    <row r="30">
      <c r="A30" s="3" t="inlineStr">
        <is>
          <t>Projekt</t>
        </is>
      </c>
      <c r="B30" s="3" t="inlineStr">
        <is>
          <t>Meilenstein</t>
        </is>
      </c>
      <c r="C30" s="3" t="inlineStr">
        <is>
          <t>Typ</t>
        </is>
      </c>
      <c r="D30" s="3" t="inlineStr">
        <is>
          <t>Soll (h)</t>
        </is>
      </c>
      <c r="E30" s="3" t="inlineStr">
        <is>
          <t>Ist (h)</t>
        </is>
      </c>
      <c r="F30" s="3" t="inlineStr">
        <is>
          <t>August 2025 (h)</t>
        </is>
      </c>
      <c r="G30" s="3" t="inlineStr">
        <is>
          <t>%</t>
        </is>
      </c>
      <c r="H30" s="3" t="inlineStr">
        <is>
          <t>Bonus-Anpassung (h)</t>
        </is>
      </c>
      <c r="I30" s="3" t="inlineStr">
        <is>
          <t>Differenz (h)</t>
        </is>
      </c>
      <c r="J30" s="3" t="inlineStr">
        <is>
          <t>Zuordnen an</t>
        </is>
      </c>
      <c r="K30" s="3" t="inlineStr">
        <is>
          <t>Von anderen (h)</t>
        </is>
      </c>
      <c r="L30" s="3" t="inlineStr">
        <is>
          <t>Stundensatz (€/h)</t>
        </is>
      </c>
      <c r="M30" s="3" t="inlineStr">
        <is>
          <t>Umsatz (€)</t>
        </is>
      </c>
      <c r="N30" s="3" t="inlineStr">
        <is>
          <t>Budget Gesamt (€)</t>
        </is>
      </c>
      <c r="O30" s="3" t="inlineStr">
        <is>
          <t>Budget Ist (€)</t>
        </is>
      </c>
      <c r="P30" s="3" t="inlineStr">
        <is>
          <t>Budget Erwirtschaftet (€)</t>
        </is>
      </c>
    </row>
    <row r="31">
      <c r="A31" s="4" t="inlineStr">
        <is>
          <t>6952.01 WindBauer-BSK-WEA-Bartow-Pfalz</t>
        </is>
      </c>
      <c r="B31" s="4" t="inlineStr">
        <is>
          <t>SV</t>
        </is>
      </c>
      <c r="C31" s="4" t="inlineStr">
        <is>
          <t>G</t>
        </is>
      </c>
      <c r="D31" s="4" t="n">
        <v>16</v>
      </c>
      <c r="E31" s="4" t="n">
        <v>14</v>
      </c>
      <c r="F31" s="4" t="n">
        <v>14</v>
      </c>
      <c r="G31" s="17" t="n">
        <v>87.5</v>
      </c>
      <c r="H31" s="5" t="n"/>
      <c r="I31" s="5">
        <f>IF(H31=0,"",F31-H31)</f>
        <v/>
      </c>
      <c r="J31" s="4" t="n"/>
      <c r="K31" s="5" t="n">
        <v>0</v>
      </c>
      <c r="L31" s="11">
        <f>IF($B$2="-","",IF($B$2="Pauschale",IFERROR(INDEX('Projekt-Budget-Übersicht'!$H:$H,MATCH(A31,'Projekt-Budget-Übersicht'!$A:$A,0)),""),IF($B$2="SV",IFERROR(INDEX('Projekt-Budget-Übersicht'!$H:$H,MATCH(A31,'Projekt-Budget-Übersicht'!$A:$A,0)),""),IF($B$2="CAD",IFERROR(INDEX('Projekt-Budget-Übersicht'!$I:$I,MATCH(A31,'Projekt-Budget-Übersicht'!$A:$A,0)),""),IF($B$2="ADM",IFERROR(INDEX('Projekt-Budget-Übersicht'!$J:$J,MATCH(A31,'Projekt-Budget-Übersicht'!$A:$A,0)),""),"")))))</f>
        <v/>
      </c>
      <c r="M31" s="11">
        <f>IF($B$2="-","",L31*(F31+I31+K31))</f>
        <v/>
      </c>
      <c r="N31" s="11">
        <f>IFERROR(INDEX('Projekt-Budget-Übersicht'!$E:$E,MATCH(A31,'Projekt-Budget-Übersicht'!$A:$A,0)),"")</f>
        <v/>
      </c>
      <c r="O31" s="11" t="inlineStr"/>
      <c r="P31" s="11" t="inlineStr"/>
    </row>
    <row r="32">
      <c r="A32" s="4" t="inlineStr">
        <is>
          <t>7000.01 RES-NAT-BSK-WEA-Oberrot</t>
        </is>
      </c>
      <c r="B32" s="4" t="inlineStr">
        <is>
          <t>SV</t>
        </is>
      </c>
      <c r="C32" s="4" t="inlineStr">
        <is>
          <t>G</t>
        </is>
      </c>
      <c r="D32" s="4" t="n">
        <v>2</v>
      </c>
      <c r="E32" s="4" t="n">
        <v>2</v>
      </c>
      <c r="F32" s="4" t="n">
        <v>2</v>
      </c>
      <c r="G32" s="14" t="n">
        <v>100</v>
      </c>
      <c r="H32" s="5" t="n"/>
      <c r="I32" s="5">
        <f>IF(H32=0,"",F32-H32)</f>
        <v/>
      </c>
      <c r="J32" s="4" t="n"/>
      <c r="K32" s="5" t="n">
        <v>0</v>
      </c>
      <c r="L32" s="11">
        <f>IF($B$2="-","",IF($B$2="Pauschale",IFERROR(INDEX('Projekt-Budget-Übersicht'!$H:$H,MATCH(A32,'Projekt-Budget-Übersicht'!$A:$A,0)),""),IF($B$2="SV",IFERROR(INDEX('Projekt-Budget-Übersicht'!$H:$H,MATCH(A32,'Projekt-Budget-Übersicht'!$A:$A,0)),""),IF($B$2="CAD",IFERROR(INDEX('Projekt-Budget-Übersicht'!$I:$I,MATCH(A32,'Projekt-Budget-Übersicht'!$A:$A,0)),""),IF($B$2="ADM",IFERROR(INDEX('Projekt-Budget-Übersicht'!$J:$J,MATCH(A32,'Projekt-Budget-Übersicht'!$A:$A,0)),""),"")))))</f>
        <v/>
      </c>
      <c r="M32" s="11">
        <f>IF($B$2="-","",L32*(F32+I32+K32))</f>
        <v/>
      </c>
      <c r="N32" s="11">
        <f>IFERROR(INDEX('Projekt-Budget-Übersicht'!$E:$E,MATCH(A32,'Projekt-Budget-Übersicht'!$A:$A,0)),"")</f>
        <v/>
      </c>
      <c r="O32" s="11" t="inlineStr"/>
      <c r="P32" s="11" t="inlineStr"/>
    </row>
    <row r="33">
      <c r="A33" s="4" t="inlineStr">
        <is>
          <t>7227.01 JUWI-RV-BSK-WP-Großenkneten-Erweiterung</t>
        </is>
      </c>
      <c r="B33" s="4" t="inlineStr">
        <is>
          <t>(p) Pos. 1 Brandschutzkonzept</t>
        </is>
      </c>
      <c r="C33" s="4" t="inlineStr">
        <is>
          <t>G</t>
        </is>
      </c>
      <c r="D33" s="4" t="n">
        <v>10</v>
      </c>
      <c r="E33" s="4" t="n">
        <v>9.5</v>
      </c>
      <c r="F33" s="4" t="n">
        <v>9</v>
      </c>
      <c r="G33" s="14" t="n">
        <v>95</v>
      </c>
      <c r="H33" s="5" t="n"/>
      <c r="I33" s="5">
        <f>IF(H33=0,"",F33-H33)</f>
        <v/>
      </c>
      <c r="J33" s="4" t="n"/>
      <c r="K33" s="5" t="n">
        <v>0</v>
      </c>
      <c r="L33" s="11">
        <f>IF($B$2="-","",IF($B$2="Pauschale",IFERROR(INDEX('Projekt-Budget-Übersicht'!$H:$H,MATCH(A33,'Projekt-Budget-Übersicht'!$A:$A,0)),""),IF($B$2="SV",IFERROR(INDEX('Projekt-Budget-Übersicht'!$H:$H,MATCH(A33,'Projekt-Budget-Übersicht'!$A:$A,0)),""),IF($B$2="CAD",IFERROR(INDEX('Projekt-Budget-Übersicht'!$I:$I,MATCH(A33,'Projekt-Budget-Übersicht'!$A:$A,0)),""),IF($B$2="ADM",IFERROR(INDEX('Projekt-Budget-Übersicht'!$J:$J,MATCH(A33,'Projekt-Budget-Übersicht'!$A:$A,0)),""),"")))))</f>
        <v/>
      </c>
      <c r="M33" s="11">
        <f>IF($B$2="-","",L33*(F33+I33+K33))</f>
        <v/>
      </c>
      <c r="N33" s="11">
        <f>IFERROR(INDEX('Projekt-Budget-Übersicht'!$E:$E,MATCH(A33,'Projekt-Budget-Übersicht'!$A:$A,0)),"")</f>
        <v/>
      </c>
      <c r="O33" s="11" t="inlineStr"/>
      <c r="P33" s="11" t="inlineStr"/>
    </row>
    <row r="34">
      <c r="A34" s="4" t="inlineStr">
        <is>
          <t>7410 Eurowind-RV</t>
        </is>
      </c>
      <c r="B34" s="4" t="inlineStr">
        <is>
          <t>SV</t>
        </is>
      </c>
      <c r="C34" s="4" t="inlineStr">
        <is>
          <t>G</t>
        </is>
      </c>
      <c r="D34" s="4" t="n">
        <v>0</v>
      </c>
      <c r="E34" s="4" t="n">
        <v>0</v>
      </c>
      <c r="F34" s="4" t="n">
        <v>18</v>
      </c>
      <c r="G34" s="4" t="n">
        <v>0</v>
      </c>
      <c r="H34" s="5" t="n"/>
      <c r="I34" s="5">
        <f>IF(H34=0,"",F34-H34)</f>
        <v/>
      </c>
      <c r="J34" s="4" t="n"/>
      <c r="K34" s="5" t="n">
        <v>0</v>
      </c>
      <c r="L34" s="11">
        <f>IF($B$2="-","",IF($B$2="Pauschale",IFERROR(INDEX('Projekt-Budget-Übersicht'!$H:$H,MATCH(A34,'Projekt-Budget-Übersicht'!$A:$A,0)),""),IF($B$2="SV",IFERROR(INDEX('Projekt-Budget-Übersicht'!$H:$H,MATCH(A34,'Projekt-Budget-Übersicht'!$A:$A,0)),""),IF($B$2="CAD",IFERROR(INDEX('Projekt-Budget-Übersicht'!$I:$I,MATCH(A34,'Projekt-Budget-Übersicht'!$A:$A,0)),""),IF($B$2="ADM",IFERROR(INDEX('Projekt-Budget-Übersicht'!$J:$J,MATCH(A34,'Projekt-Budget-Übersicht'!$A:$A,0)),""),"")))))</f>
        <v/>
      </c>
      <c r="M34" s="11">
        <f>IF($B$2="-","",L34*(F34+I34+K34))</f>
        <v/>
      </c>
      <c r="N34" s="11">
        <f>IFERROR(INDEX('Projekt-Budget-Übersicht'!$E:$E,MATCH(A34,'Projekt-Budget-Übersicht'!$A:$A,0)),"")</f>
        <v/>
      </c>
      <c r="O34" s="11" t="inlineStr"/>
      <c r="P34" s="11" t="inlineStr"/>
    </row>
    <row r="35">
      <c r="A35" s="4" t="inlineStr">
        <is>
          <t>7419.03 Zech-BSO-Sporthalle-Pestalozzistr10-Eppelheim</t>
        </is>
      </c>
      <c r="B35" s="4" t="inlineStr">
        <is>
          <t>SV</t>
        </is>
      </c>
      <c r="C35" s="4" t="inlineStr">
        <is>
          <t>G</t>
        </is>
      </c>
      <c r="D35" s="4" t="n">
        <v>8</v>
      </c>
      <c r="E35" s="4" t="n">
        <v>7.75</v>
      </c>
      <c r="F35" s="4" t="n">
        <v>6</v>
      </c>
      <c r="G35" s="14" t="n">
        <v>96.88</v>
      </c>
      <c r="H35" s="5" t="n"/>
      <c r="I35" s="5">
        <f>IF(H35=0,"",F35-H35)</f>
        <v/>
      </c>
      <c r="J35" s="4" t="n"/>
      <c r="K35" s="5">
        <f>IF('R. Böttiger'!J42="H. Bektas",'R. Böttiger'!I42,0)+IF('T. Trautmann'!J59="H. Bektas",'T. Trautmann'!I59,0)</f>
        <v/>
      </c>
      <c r="L35" s="11">
        <f>IF($B$2="-","",IF($B$2="Pauschale",IFERROR(INDEX('Projekt-Budget-Übersicht'!$H:$H,MATCH(A35,'Projekt-Budget-Übersicht'!$A:$A,0)),""),IF($B$2="SV",IFERROR(INDEX('Projekt-Budget-Übersicht'!$H:$H,MATCH(A35,'Projekt-Budget-Übersicht'!$A:$A,0)),""),IF($B$2="CAD",IFERROR(INDEX('Projekt-Budget-Übersicht'!$I:$I,MATCH(A35,'Projekt-Budget-Übersicht'!$A:$A,0)),""),IF($B$2="ADM",IFERROR(INDEX('Projekt-Budget-Übersicht'!$J:$J,MATCH(A35,'Projekt-Budget-Übersicht'!$A:$A,0)),""),"")))))</f>
        <v/>
      </c>
      <c r="M35" s="11">
        <f>IF($B$2="-","",L35*(F35+I35+K35))</f>
        <v/>
      </c>
      <c r="N35" s="11">
        <f>IFERROR(INDEX('Projekt-Budget-Übersicht'!$E:$E,MATCH(A35,'Projekt-Budget-Übersicht'!$A:$A,0)),"")</f>
        <v/>
      </c>
      <c r="O35" s="11" t="inlineStr"/>
      <c r="P35" s="11" t="inlineStr"/>
    </row>
    <row r="36">
      <c r="A36" s="4" t="inlineStr">
        <is>
          <t>7477 WindBauer-BSK-WEA-Waldhausen</t>
        </is>
      </c>
      <c r="B36" s="4" t="inlineStr">
        <is>
          <t>SV</t>
        </is>
      </c>
      <c r="C36" s="4" t="inlineStr">
        <is>
          <t>G</t>
        </is>
      </c>
      <c r="D36" s="4" t="n">
        <v>18</v>
      </c>
      <c r="E36" s="4" t="n">
        <v>16</v>
      </c>
      <c r="F36" s="4" t="n">
        <v>16</v>
      </c>
      <c r="G36" s="17" t="n">
        <v>88.89</v>
      </c>
      <c r="H36" s="5" t="n"/>
      <c r="I36" s="5">
        <f>IF(H36=0,"",F36-H36)</f>
        <v/>
      </c>
      <c r="J36" s="4" t="n"/>
      <c r="K36" s="5" t="n">
        <v>0</v>
      </c>
      <c r="L36" s="11">
        <f>IF($B$2="-","",IF($B$2="Pauschale",IFERROR(INDEX('Projekt-Budget-Übersicht'!$H:$H,MATCH(A36,'Projekt-Budget-Übersicht'!$A:$A,0)),""),IF($B$2="SV",IFERROR(INDEX('Projekt-Budget-Übersicht'!$H:$H,MATCH(A36,'Projekt-Budget-Übersicht'!$A:$A,0)),""),IF($B$2="CAD",IFERROR(INDEX('Projekt-Budget-Übersicht'!$I:$I,MATCH(A36,'Projekt-Budget-Übersicht'!$A:$A,0)),""),IF($B$2="ADM",IFERROR(INDEX('Projekt-Budget-Übersicht'!$J:$J,MATCH(A36,'Projekt-Budget-Übersicht'!$A:$A,0)),""),"")))))</f>
        <v/>
      </c>
      <c r="M36" s="11">
        <f>IF($B$2="-","",L36*(F36+I36+K36))</f>
        <v/>
      </c>
      <c r="N36" s="11">
        <f>IFERROR(INDEX('Projekt-Budget-Übersicht'!$E:$E,MATCH(A36,'Projekt-Budget-Übersicht'!$A:$A,0)),"")</f>
        <v/>
      </c>
      <c r="O36" s="11" t="inlineStr"/>
      <c r="P36" s="11" t="inlineStr"/>
    </row>
    <row r="37">
      <c r="A37" s="4" t="inlineStr">
        <is>
          <t>7478 WindBauer-BSK-WEA-Hofstett</t>
        </is>
      </c>
      <c r="B37" s="4" t="inlineStr">
        <is>
          <t>SV</t>
        </is>
      </c>
      <c r="C37" s="4" t="inlineStr">
        <is>
          <t>G</t>
        </is>
      </c>
      <c r="D37" s="4" t="n">
        <v>18</v>
      </c>
      <c r="E37" s="4" t="n">
        <v>7</v>
      </c>
      <c r="F37" s="4" t="n">
        <v>7</v>
      </c>
      <c r="G37" s="17" t="n">
        <v>38.89</v>
      </c>
      <c r="H37" s="5" t="n"/>
      <c r="I37" s="5">
        <f>IF(H37=0,"",F37-H37)</f>
        <v/>
      </c>
      <c r="J37" s="4" t="n"/>
      <c r="K37" s="5" t="n">
        <v>0</v>
      </c>
      <c r="L37" s="11">
        <f>IF($B$2="-","",IF($B$2="Pauschale",IFERROR(INDEX('Projekt-Budget-Übersicht'!$H:$H,MATCH(A37,'Projekt-Budget-Übersicht'!$A:$A,0)),""),IF($B$2="SV",IFERROR(INDEX('Projekt-Budget-Übersicht'!$H:$H,MATCH(A37,'Projekt-Budget-Übersicht'!$A:$A,0)),""),IF($B$2="CAD",IFERROR(INDEX('Projekt-Budget-Übersicht'!$I:$I,MATCH(A37,'Projekt-Budget-Übersicht'!$A:$A,0)),""),IF($B$2="ADM",IFERROR(INDEX('Projekt-Budget-Übersicht'!$J:$J,MATCH(A37,'Projekt-Budget-Übersicht'!$A:$A,0)),""),"")))))</f>
        <v/>
      </c>
      <c r="M37" s="11">
        <f>IF($B$2="-","",L37*(F37+I37+K37))</f>
        <v/>
      </c>
      <c r="N37" s="11">
        <f>IFERROR(INDEX('Projekt-Budget-Übersicht'!$E:$E,MATCH(A37,'Projekt-Budget-Übersicht'!$A:$A,0)),"")</f>
        <v/>
      </c>
      <c r="O37" s="11" t="inlineStr"/>
      <c r="P37" s="11" t="inlineStr"/>
    </row>
    <row r="38">
      <c r="A38" s="4" t="inlineStr">
        <is>
          <t>7500 Baupionier-PCP-RV-diverse-Garagenparks</t>
        </is>
      </c>
      <c r="B38" s="4" t="inlineStr">
        <is>
          <t>SV</t>
        </is>
      </c>
      <c r="C38" s="4" t="inlineStr">
        <is>
          <t>G</t>
        </is>
      </c>
      <c r="D38" s="4" t="n">
        <v>0</v>
      </c>
      <c r="E38" s="4" t="n">
        <v>0</v>
      </c>
      <c r="F38" s="4" t="n">
        <v>8</v>
      </c>
      <c r="G38" s="4" t="n">
        <v>0</v>
      </c>
      <c r="H38" s="5" t="n"/>
      <c r="I38" s="5">
        <f>IF(H38=0,"",F38-H38)</f>
        <v/>
      </c>
      <c r="J38" s="4" t="n"/>
      <c r="K38" s="5" t="n">
        <v>0</v>
      </c>
      <c r="L38" s="11">
        <f>IF($B$2="-","",IF($B$2="Pauschale",IFERROR(INDEX('Projekt-Budget-Übersicht'!$H:$H,MATCH(A38,'Projekt-Budget-Übersicht'!$A:$A,0)),""),IF($B$2="SV",IFERROR(INDEX('Projekt-Budget-Übersicht'!$H:$H,MATCH(A38,'Projekt-Budget-Übersicht'!$A:$A,0)),""),IF($B$2="CAD",IFERROR(INDEX('Projekt-Budget-Übersicht'!$I:$I,MATCH(A38,'Projekt-Budget-Übersicht'!$A:$A,0)),""),IF($B$2="ADM",IFERROR(INDEX('Projekt-Budget-Übersicht'!$J:$J,MATCH(A38,'Projekt-Budget-Übersicht'!$A:$A,0)),""),"")))))</f>
        <v/>
      </c>
      <c r="M38" s="11">
        <f>IF($B$2="-","",L38*(F38+I38+K38))</f>
        <v/>
      </c>
      <c r="N38" s="11">
        <f>IFERROR(INDEX('Projekt-Budget-Übersicht'!$E:$E,MATCH(A38,'Projekt-Budget-Übersicht'!$A:$A,0)),"")</f>
        <v/>
      </c>
      <c r="O38" s="11" t="inlineStr"/>
      <c r="P38" s="11" t="inlineStr"/>
    </row>
    <row r="39">
      <c r="A39" s="3" t="inlineStr"/>
      <c r="B39" s="3" t="inlineStr">
        <is>
          <t>Summe</t>
        </is>
      </c>
      <c r="C39" s="3" t="inlineStr"/>
      <c r="D39" s="3" t="inlineStr"/>
      <c r="E39" s="3" t="inlineStr"/>
      <c r="F39" s="6" t="n">
        <v>80</v>
      </c>
      <c r="G39" s="3" t="inlineStr"/>
      <c r="H39" s="3" t="inlineStr"/>
      <c r="I39" s="3" t="inlineStr"/>
      <c r="J39" s="3" t="inlineStr"/>
      <c r="K39" s="3" t="inlineStr"/>
      <c r="L39" s="3" t="n"/>
      <c r="M39" s="3" t="n"/>
      <c r="N39" s="3" t="n"/>
      <c r="O39" s="3" t="n"/>
      <c r="P39" s="3" t="n"/>
    </row>
    <row r="40">
      <c r="A40" s="3" t="inlineStr"/>
      <c r="B40" s="3" t="inlineStr">
        <is>
          <t>Bonusberechtigte Stunden</t>
        </is>
      </c>
      <c r="C40" s="3" t="inlineStr"/>
      <c r="D40" s="3" t="inlineStr"/>
      <c r="E40" s="3" t="inlineStr"/>
      <c r="F40" s="6">
        <f>G40+H40</f>
        <v/>
      </c>
      <c r="G40" s="6" t="n">
        <v>80</v>
      </c>
      <c r="H40" s="6">
        <f>SUM(H31,H32,H33,H34,H35,H36,H37,H38)</f>
        <v/>
      </c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inlineStr"/>
    </row>
    <row r="41">
      <c r="A41" s="3" t="inlineStr"/>
      <c r="B41" s="3" t="inlineStr">
        <is>
          <t>Bonusberechtigte Stunden Sonderprojekt</t>
        </is>
      </c>
      <c r="C41" s="3" t="inlineStr"/>
      <c r="D41" s="3" t="inlineStr"/>
      <c r="E41" s="3" t="inlineStr"/>
      <c r="F41" s="6" t="n">
        <v>0</v>
      </c>
      <c r="G41" s="6" t="n">
        <v>0</v>
      </c>
      <c r="H41" s="6" t="n">
        <v>0</v>
      </c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</row>
    <row r="42">
      <c r="A42" s="3" t="inlineStr"/>
      <c r="B42" s="3" t="inlineStr">
        <is>
          <t>Zugeordnete Stunden von anderen MA</t>
        </is>
      </c>
      <c r="C42" s="3" t="inlineStr"/>
      <c r="D42" s="3" t="inlineStr"/>
      <c r="E42" s="3" t="inlineStr"/>
      <c r="F42" s="6">
        <f>SUM(K31:K38)</f>
        <v/>
      </c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/>
    </row>
    <row r="43">
      <c r="A43" s="18" t="inlineStr"/>
      <c r="B43" s="18" t="inlineStr">
        <is>
          <t>Gesamt Bonus Stunden</t>
        </is>
      </c>
      <c r="C43" s="18" t="inlineStr"/>
      <c r="D43" s="18" t="inlineStr"/>
      <c r="E43" s="18" t="inlineStr"/>
      <c r="F43" s="19">
        <f>F40+F41+F42</f>
        <v/>
      </c>
      <c r="G43" s="18" t="inlineStr"/>
      <c r="H43" s="18" t="inlineStr"/>
      <c r="I43" s="18" t="inlineStr"/>
      <c r="J43" s="18" t="inlineStr"/>
      <c r="K43" s="18" t="inlineStr"/>
      <c r="L43" s="18" t="n"/>
      <c r="M43" s="18" t="n"/>
      <c r="N43" s="18" t="n"/>
      <c r="O43" s="18" t="n"/>
      <c r="P43" s="18" t="n"/>
    </row>
    <row r="45">
      <c r="A45" s="2" t="inlineStr">
        <is>
          <t>--- September 2025 ---</t>
        </is>
      </c>
    </row>
    <row r="46">
      <c r="A46" s="3" t="inlineStr">
        <is>
          <t>Projekt</t>
        </is>
      </c>
      <c r="B46" s="3" t="inlineStr">
        <is>
          <t>Meilenstein</t>
        </is>
      </c>
      <c r="C46" s="3" t="inlineStr">
        <is>
          <t>Typ</t>
        </is>
      </c>
      <c r="D46" s="3" t="inlineStr">
        <is>
          <t>Soll (h)</t>
        </is>
      </c>
      <c r="E46" s="3" t="inlineStr">
        <is>
          <t>Ist (h)</t>
        </is>
      </c>
      <c r="F46" s="3" t="inlineStr">
        <is>
          <t>September 2025 (h)</t>
        </is>
      </c>
      <c r="G46" s="3" t="inlineStr">
        <is>
          <t>%</t>
        </is>
      </c>
      <c r="H46" s="3" t="inlineStr">
        <is>
          <t>Bonus-Anpassung (h)</t>
        </is>
      </c>
      <c r="I46" s="3" t="inlineStr">
        <is>
          <t>Differenz (h)</t>
        </is>
      </c>
      <c r="J46" s="3" t="inlineStr">
        <is>
          <t>Zuordnen an</t>
        </is>
      </c>
      <c r="K46" s="3" t="inlineStr">
        <is>
          <t>Von anderen (h)</t>
        </is>
      </c>
      <c r="L46" s="3" t="inlineStr">
        <is>
          <t>Stundensatz (€/h)</t>
        </is>
      </c>
      <c r="M46" s="3" t="inlineStr">
        <is>
          <t>Umsatz (€)</t>
        </is>
      </c>
      <c r="N46" s="3" t="inlineStr">
        <is>
          <t>Budget Gesamt (€)</t>
        </is>
      </c>
      <c r="O46" s="3" t="inlineStr">
        <is>
          <t>Budget Ist (€)</t>
        </is>
      </c>
      <c r="P46" s="3" t="inlineStr">
        <is>
          <t>Budget Erwirtschaftet (€)</t>
        </is>
      </c>
    </row>
    <row r="47">
      <c r="A47" s="4" t="inlineStr">
        <is>
          <t>6045.03 wpd-BSK-Windpark-Dreihausen-Nordeck</t>
        </is>
      </c>
      <c r="B47" s="4" t="inlineStr">
        <is>
          <t>SV</t>
        </is>
      </c>
      <c r="C47" s="4" t="inlineStr">
        <is>
          <t>G</t>
        </is>
      </c>
      <c r="D47" s="4" t="n">
        <v>8</v>
      </c>
      <c r="E47" s="4" t="n">
        <v>8</v>
      </c>
      <c r="F47" s="4" t="n">
        <v>8</v>
      </c>
      <c r="G47" s="14" t="n">
        <v>100</v>
      </c>
      <c r="H47" s="5" t="n"/>
      <c r="I47" s="5">
        <f>IF(H47=0,"",F47-H47)</f>
        <v/>
      </c>
      <c r="J47" s="4" t="n"/>
      <c r="K47" s="5" t="n">
        <v>0</v>
      </c>
      <c r="L47" s="11">
        <f>IF($B$2="-","",IF($B$2="Pauschale",IFERROR(INDEX('Projekt-Budget-Übersicht'!$H:$H,MATCH(A47,'Projekt-Budget-Übersicht'!$A:$A,0)),""),IF($B$2="SV",IFERROR(INDEX('Projekt-Budget-Übersicht'!$H:$H,MATCH(A47,'Projekt-Budget-Übersicht'!$A:$A,0)),""),IF($B$2="CAD",IFERROR(INDEX('Projekt-Budget-Übersicht'!$I:$I,MATCH(A47,'Projekt-Budget-Übersicht'!$A:$A,0)),""),IF($B$2="ADM",IFERROR(INDEX('Projekt-Budget-Übersicht'!$J:$J,MATCH(A47,'Projekt-Budget-Übersicht'!$A:$A,0)),""),"")))))</f>
        <v/>
      </c>
      <c r="M47" s="11">
        <f>IF($B$2="-","",L47*(F47+I47+K47))</f>
        <v/>
      </c>
      <c r="N47" s="11">
        <f>IFERROR(INDEX('Projekt-Budget-Übersicht'!$E:$E,MATCH(A47,'Projekt-Budget-Übersicht'!$A:$A,0)),"")</f>
        <v/>
      </c>
      <c r="O47" s="11" t="inlineStr"/>
      <c r="P47" s="11" t="inlineStr"/>
    </row>
    <row r="48">
      <c r="A48" s="4" t="inlineStr">
        <is>
          <t>6961.01 Neptune-Rheinhafen-Speyer-allgemeineBeratungsleistungen</t>
        </is>
      </c>
      <c r="B48" s="4" t="inlineStr">
        <is>
          <t>(aN) BTB (SV)</t>
        </is>
      </c>
      <c r="C48" s="4" t="inlineStr">
        <is>
          <t>G</t>
        </is>
      </c>
      <c r="D48" s="4" t="n">
        <v>68</v>
      </c>
      <c r="E48" s="4" t="n">
        <v>72.25</v>
      </c>
      <c r="F48" s="4" t="n">
        <v>25</v>
      </c>
      <c r="G48" s="16" t="n">
        <v>106.25</v>
      </c>
      <c r="H48" s="5" t="n"/>
      <c r="I48" s="5">
        <f>IF(H48=0,"",F48-H48)</f>
        <v/>
      </c>
      <c r="J48" s="4" t="n"/>
      <c r="K48" s="5" t="n">
        <v>0</v>
      </c>
      <c r="L48" s="11">
        <f>IF($B$2="-","",IF($B$2="Pauschale",IFERROR(INDEX('Projekt-Budget-Übersicht'!$H:$H,MATCH(A48,'Projekt-Budget-Übersicht'!$A:$A,0)),""),IF($B$2="SV",IFERROR(INDEX('Projekt-Budget-Übersicht'!$H:$H,MATCH(A48,'Projekt-Budget-Übersicht'!$A:$A,0)),""),IF($B$2="CAD",IFERROR(INDEX('Projekt-Budget-Übersicht'!$I:$I,MATCH(A48,'Projekt-Budget-Übersicht'!$A:$A,0)),""),IF($B$2="ADM",IFERROR(INDEX('Projekt-Budget-Übersicht'!$J:$J,MATCH(A48,'Projekt-Budget-Übersicht'!$A:$A,0)),""),"")))))</f>
        <v/>
      </c>
      <c r="M48" s="11">
        <f>IF($B$2="-","",L48*(F48+I48+K48))</f>
        <v/>
      </c>
      <c r="N48" s="11">
        <f>IFERROR(INDEX('Projekt-Budget-Übersicht'!$E:$E,MATCH(A48,'Projekt-Budget-Übersicht'!$A:$A,0)),"")</f>
        <v/>
      </c>
      <c r="O48" s="11" t="inlineStr"/>
      <c r="P48" s="11" t="inlineStr"/>
    </row>
    <row r="49">
      <c r="A49" s="4" t="inlineStr">
        <is>
          <t>7090.02 Baupionier-BSK-Garagenpark-Erlangen</t>
        </is>
      </c>
      <c r="B49" s="4" t="inlineStr">
        <is>
          <t>SV</t>
        </is>
      </c>
      <c r="C49" s="4" t="inlineStr">
        <is>
          <t>G</t>
        </is>
      </c>
      <c r="D49" s="4" t="n">
        <v>12</v>
      </c>
      <c r="E49" s="4" t="n">
        <v>17.25</v>
      </c>
      <c r="F49" s="4" t="n">
        <v>5</v>
      </c>
      <c r="G49" s="16" t="n">
        <v>143.75</v>
      </c>
      <c r="H49" s="5" t="n"/>
      <c r="I49" s="5">
        <f>IF(H49=0,"",F49-H49)</f>
        <v/>
      </c>
      <c r="J49" s="4" t="n"/>
      <c r="K49" s="5" t="n">
        <v>0</v>
      </c>
      <c r="L49" s="11">
        <f>IF($B$2="-","",IF($B$2="Pauschale",IFERROR(INDEX('Projekt-Budget-Übersicht'!$H:$H,MATCH(A49,'Projekt-Budget-Übersicht'!$A:$A,0)),""),IF($B$2="SV",IFERROR(INDEX('Projekt-Budget-Übersicht'!$H:$H,MATCH(A49,'Projekt-Budget-Übersicht'!$A:$A,0)),""),IF($B$2="CAD",IFERROR(INDEX('Projekt-Budget-Übersicht'!$I:$I,MATCH(A49,'Projekt-Budget-Übersicht'!$A:$A,0)),""),IF($B$2="ADM",IFERROR(INDEX('Projekt-Budget-Übersicht'!$J:$J,MATCH(A49,'Projekt-Budget-Übersicht'!$A:$A,0)),""),"")))))</f>
        <v/>
      </c>
      <c r="M49" s="11">
        <f>IF($B$2="-","",L49*(F49+I49+K49))</f>
        <v/>
      </c>
      <c r="N49" s="11">
        <f>IFERROR(INDEX('Projekt-Budget-Übersicht'!$E:$E,MATCH(A49,'Projekt-Budget-Übersicht'!$A:$A,0)),"")</f>
        <v/>
      </c>
      <c r="O49" s="11" t="inlineStr"/>
      <c r="P49" s="11" t="inlineStr"/>
    </row>
    <row r="50">
      <c r="A50" s="4" t="inlineStr">
        <is>
          <t>7117.01 Juwi-WEA-Polch-II-Tektur</t>
        </is>
      </c>
      <c r="B50" s="4" t="inlineStr">
        <is>
          <t>(aN) Tektur BSK Polch II (Abruf RV 2024)</t>
        </is>
      </c>
      <c r="C50" s="4" t="inlineStr">
        <is>
          <t>G</t>
        </is>
      </c>
      <c r="D50" s="4" t="n">
        <v>4</v>
      </c>
      <c r="E50" s="4" t="n">
        <v>4.75</v>
      </c>
      <c r="F50" s="4" t="n">
        <v>3</v>
      </c>
      <c r="G50" s="16" t="n">
        <v>118.75</v>
      </c>
      <c r="H50" s="5" t="n"/>
      <c r="I50" s="5">
        <f>IF(H50=0,"",F50-H50)</f>
        <v/>
      </c>
      <c r="J50" s="4" t="n"/>
      <c r="K50" s="5">
        <f>IF('A. Kokott'!J105="H. Bektas",'A. Kokott'!I105,0)</f>
        <v/>
      </c>
      <c r="L50" s="11">
        <f>IF($B$2="-","",IF($B$2="Pauschale",IFERROR(INDEX('Projekt-Budget-Übersicht'!$H:$H,MATCH(A50,'Projekt-Budget-Übersicht'!$A:$A,0)),""),IF($B$2="SV",IFERROR(INDEX('Projekt-Budget-Übersicht'!$H:$H,MATCH(A50,'Projekt-Budget-Übersicht'!$A:$A,0)),""),IF($B$2="CAD",IFERROR(INDEX('Projekt-Budget-Übersicht'!$I:$I,MATCH(A50,'Projekt-Budget-Übersicht'!$A:$A,0)),""),IF($B$2="ADM",IFERROR(INDEX('Projekt-Budget-Übersicht'!$J:$J,MATCH(A50,'Projekt-Budget-Übersicht'!$A:$A,0)),""),"")))))</f>
        <v/>
      </c>
      <c r="M50" s="11">
        <f>IF($B$2="-","",L50*(F50+I50+K50))</f>
        <v/>
      </c>
      <c r="N50" s="11">
        <f>IFERROR(INDEX('Projekt-Budget-Übersicht'!$E:$E,MATCH(A50,'Projekt-Budget-Übersicht'!$A:$A,0)),"")</f>
        <v/>
      </c>
      <c r="O50" s="11" t="inlineStr"/>
      <c r="P50" s="11" t="inlineStr"/>
    </row>
    <row r="51">
      <c r="A51" s="4" t="inlineStr">
        <is>
          <t>7187.03 Altus-Anp-BSK-WP-Süd-Bovenden-an-der-Lieth</t>
        </is>
      </c>
      <c r="B51" s="4" t="inlineStr">
        <is>
          <t>SV</t>
        </is>
      </c>
      <c r="C51" s="4" t="inlineStr">
        <is>
          <t>G</t>
        </is>
      </c>
      <c r="D51" s="4" t="n">
        <v>3</v>
      </c>
      <c r="E51" s="4" t="n">
        <v>3.5</v>
      </c>
      <c r="F51" s="4" t="n">
        <v>3</v>
      </c>
      <c r="G51" s="16" t="n">
        <v>116.67</v>
      </c>
      <c r="H51" s="5" t="n"/>
      <c r="I51" s="5">
        <f>IF(H51=0,"",F51-H51)</f>
        <v/>
      </c>
      <c r="J51" s="4" t="n"/>
      <c r="K51" s="5">
        <f>IF('A. Kokott'!J106="H. Bektas",'A. Kokott'!I106,0)</f>
        <v/>
      </c>
      <c r="L51" s="11">
        <f>IF($B$2="-","",IF($B$2="Pauschale",IFERROR(INDEX('Projekt-Budget-Übersicht'!$H:$H,MATCH(A51,'Projekt-Budget-Übersicht'!$A:$A,0)),""),IF($B$2="SV",IFERROR(INDEX('Projekt-Budget-Übersicht'!$H:$H,MATCH(A51,'Projekt-Budget-Übersicht'!$A:$A,0)),""),IF($B$2="CAD",IFERROR(INDEX('Projekt-Budget-Übersicht'!$I:$I,MATCH(A51,'Projekt-Budget-Übersicht'!$A:$A,0)),""),IF($B$2="ADM",IFERROR(INDEX('Projekt-Budget-Übersicht'!$J:$J,MATCH(A51,'Projekt-Budget-Übersicht'!$A:$A,0)),""),"")))))</f>
        <v/>
      </c>
      <c r="M51" s="11">
        <f>IF($B$2="-","",L51*(F51+I51+K51))</f>
        <v/>
      </c>
      <c r="N51" s="11">
        <f>IFERROR(INDEX('Projekt-Budget-Übersicht'!$E:$E,MATCH(A51,'Projekt-Budget-Übersicht'!$A:$A,0)),"")</f>
        <v/>
      </c>
      <c r="O51" s="11" t="inlineStr"/>
      <c r="P51" s="11" t="inlineStr"/>
    </row>
    <row r="52">
      <c r="A52" s="4" t="inlineStr">
        <is>
          <t>7441 Baupionier-Garagenpark-Öhringen-BSK</t>
        </is>
      </c>
      <c r="B52" s="4" t="inlineStr">
        <is>
          <t>SV</t>
        </is>
      </c>
      <c r="C52" s="4" t="inlineStr">
        <is>
          <t>G</t>
        </is>
      </c>
      <c r="D52" s="4" t="n">
        <v>17</v>
      </c>
      <c r="E52" s="4" t="n">
        <v>16.5</v>
      </c>
      <c r="F52" s="4" t="n">
        <v>3</v>
      </c>
      <c r="G52" s="14" t="n">
        <v>97.06</v>
      </c>
      <c r="H52" s="5" t="n"/>
      <c r="I52" s="5">
        <f>IF(H52=0,"",F52-H52)</f>
        <v/>
      </c>
      <c r="J52" s="4" t="n"/>
      <c r="K52" s="5" t="n">
        <v>0</v>
      </c>
      <c r="L52" s="11">
        <f>IF($B$2="-","",IF($B$2="Pauschale",IFERROR(INDEX('Projekt-Budget-Übersicht'!$H:$H,MATCH(A52,'Projekt-Budget-Übersicht'!$A:$A,0)),""),IF($B$2="SV",IFERROR(INDEX('Projekt-Budget-Übersicht'!$H:$H,MATCH(A52,'Projekt-Budget-Übersicht'!$A:$A,0)),""),IF($B$2="CAD",IFERROR(INDEX('Projekt-Budget-Übersicht'!$I:$I,MATCH(A52,'Projekt-Budget-Übersicht'!$A:$A,0)),""),IF($B$2="ADM",IFERROR(INDEX('Projekt-Budget-Übersicht'!$J:$J,MATCH(A52,'Projekt-Budget-Übersicht'!$A:$A,0)),""),"")))))</f>
        <v/>
      </c>
      <c r="M52" s="11">
        <f>IF($B$2="-","",L52*(F52+I52+K52))</f>
        <v/>
      </c>
      <c r="N52" s="11">
        <f>IFERROR(INDEX('Projekt-Budget-Übersicht'!$E:$E,MATCH(A52,'Projekt-Budget-Übersicht'!$A:$A,0)),"")</f>
        <v/>
      </c>
      <c r="O52" s="11" t="inlineStr"/>
      <c r="P52" s="11" t="inlineStr"/>
    </row>
    <row r="53">
      <c r="A53" s="4" t="inlineStr">
        <is>
          <t>7477 WindBauer-BSK-WEA-Waldhausen</t>
        </is>
      </c>
      <c r="B53" s="4" t="inlineStr">
        <is>
          <t>SV</t>
        </is>
      </c>
      <c r="C53" s="4" t="inlineStr">
        <is>
          <t>G</t>
        </is>
      </c>
      <c r="D53" s="4" t="n">
        <v>18</v>
      </c>
      <c r="E53" s="4" t="n">
        <v>18</v>
      </c>
      <c r="F53" s="4" t="n">
        <v>2</v>
      </c>
      <c r="G53" s="14" t="n">
        <v>100</v>
      </c>
      <c r="H53" s="5" t="n"/>
      <c r="I53" s="5">
        <f>IF(H53=0,"",F53-H53)</f>
        <v/>
      </c>
      <c r="J53" s="4" t="n"/>
      <c r="K53" s="5" t="n">
        <v>0</v>
      </c>
      <c r="L53" s="11">
        <f>IF($B$2="-","",IF($B$2="Pauschale",IFERROR(INDEX('Projekt-Budget-Übersicht'!$H:$H,MATCH(A53,'Projekt-Budget-Übersicht'!$A:$A,0)),""),IF($B$2="SV",IFERROR(INDEX('Projekt-Budget-Übersicht'!$H:$H,MATCH(A53,'Projekt-Budget-Übersicht'!$A:$A,0)),""),IF($B$2="CAD",IFERROR(INDEX('Projekt-Budget-Übersicht'!$I:$I,MATCH(A53,'Projekt-Budget-Übersicht'!$A:$A,0)),""),IF($B$2="ADM",IFERROR(INDEX('Projekt-Budget-Übersicht'!$J:$J,MATCH(A53,'Projekt-Budget-Übersicht'!$A:$A,0)),""),"")))))</f>
        <v/>
      </c>
      <c r="M53" s="11">
        <f>IF($B$2="-","",L53*(F53+I53+K53))</f>
        <v/>
      </c>
      <c r="N53" s="11">
        <f>IFERROR(INDEX('Projekt-Budget-Übersicht'!$E:$E,MATCH(A53,'Projekt-Budget-Übersicht'!$A:$A,0)),"")</f>
        <v/>
      </c>
      <c r="O53" s="11" t="inlineStr"/>
      <c r="P53" s="11" t="inlineStr"/>
    </row>
    <row r="54">
      <c r="A54" s="4" t="inlineStr">
        <is>
          <t>7478 WindBauer-BSK-WEA-Hofstett</t>
        </is>
      </c>
      <c r="B54" s="4" t="inlineStr">
        <is>
          <t>SV</t>
        </is>
      </c>
      <c r="C54" s="4" t="inlineStr">
        <is>
          <t>G</t>
        </is>
      </c>
      <c r="D54" s="4" t="n">
        <v>18</v>
      </c>
      <c r="E54" s="4" t="n">
        <v>16</v>
      </c>
      <c r="F54" s="4" t="n">
        <v>9</v>
      </c>
      <c r="G54" s="17" t="n">
        <v>88.89</v>
      </c>
      <c r="H54" s="5" t="n"/>
      <c r="I54" s="5">
        <f>IF(H54=0,"",F54-H54)</f>
        <v/>
      </c>
      <c r="J54" s="4" t="n"/>
      <c r="K54" s="5" t="n">
        <v>0</v>
      </c>
      <c r="L54" s="11">
        <f>IF($B$2="-","",IF($B$2="Pauschale",IFERROR(INDEX('Projekt-Budget-Übersicht'!$H:$H,MATCH(A54,'Projekt-Budget-Übersicht'!$A:$A,0)),""),IF($B$2="SV",IFERROR(INDEX('Projekt-Budget-Übersicht'!$H:$H,MATCH(A54,'Projekt-Budget-Übersicht'!$A:$A,0)),""),IF($B$2="CAD",IFERROR(INDEX('Projekt-Budget-Übersicht'!$I:$I,MATCH(A54,'Projekt-Budget-Übersicht'!$A:$A,0)),""),IF($B$2="ADM",IFERROR(INDEX('Projekt-Budget-Übersicht'!$J:$J,MATCH(A54,'Projekt-Budget-Übersicht'!$A:$A,0)),""),"")))))</f>
        <v/>
      </c>
      <c r="M54" s="11">
        <f>IF($B$2="-","",L54*(F54+I54+K54))</f>
        <v/>
      </c>
      <c r="N54" s="11">
        <f>IFERROR(INDEX('Projekt-Budget-Übersicht'!$E:$E,MATCH(A54,'Projekt-Budget-Übersicht'!$A:$A,0)),"")</f>
        <v/>
      </c>
      <c r="O54" s="11" t="inlineStr"/>
      <c r="P54" s="11" t="inlineStr"/>
    </row>
    <row r="55">
      <c r="A55" s="4" t="inlineStr">
        <is>
          <t>7486 wiwi-BSK-WEA-Mainz-Hechtsheim</t>
        </is>
      </c>
      <c r="B55" s="4" t="inlineStr">
        <is>
          <t>SV</t>
        </is>
      </c>
      <c r="C55" s="4" t="inlineStr">
        <is>
          <t>G</t>
        </is>
      </c>
      <c r="D55" s="4" t="n">
        <v>12</v>
      </c>
      <c r="E55" s="4" t="n">
        <v>11.5</v>
      </c>
      <c r="F55" s="4" t="n">
        <v>11.5</v>
      </c>
      <c r="G55" s="14" t="n">
        <v>95.83</v>
      </c>
      <c r="H55" s="5" t="n"/>
      <c r="I55" s="5">
        <f>IF(H55=0,"",F55-H55)</f>
        <v/>
      </c>
      <c r="J55" s="4" t="n"/>
      <c r="K55" s="5" t="n">
        <v>0</v>
      </c>
      <c r="L55" s="11">
        <f>IF($B$2="-","",IF($B$2="Pauschale",IFERROR(INDEX('Projekt-Budget-Übersicht'!$H:$H,MATCH(A55,'Projekt-Budget-Übersicht'!$A:$A,0)),""),IF($B$2="SV",IFERROR(INDEX('Projekt-Budget-Übersicht'!$H:$H,MATCH(A55,'Projekt-Budget-Übersicht'!$A:$A,0)),""),IF($B$2="CAD",IFERROR(INDEX('Projekt-Budget-Übersicht'!$I:$I,MATCH(A55,'Projekt-Budget-Übersicht'!$A:$A,0)),""),IF($B$2="ADM",IFERROR(INDEX('Projekt-Budget-Übersicht'!$J:$J,MATCH(A55,'Projekt-Budget-Übersicht'!$A:$A,0)),""),"")))))</f>
        <v/>
      </c>
      <c r="M55" s="11">
        <f>IF($B$2="-","",L55*(F55+I55+K55))</f>
        <v/>
      </c>
      <c r="N55" s="11">
        <f>IFERROR(INDEX('Projekt-Budget-Übersicht'!$E:$E,MATCH(A55,'Projekt-Budget-Übersicht'!$A:$A,0)),"")</f>
        <v/>
      </c>
      <c r="O55" s="11" t="inlineStr"/>
      <c r="P55" s="11" t="inlineStr"/>
    </row>
    <row r="56">
      <c r="A56" s="3" t="inlineStr"/>
      <c r="B56" s="3" t="inlineStr">
        <is>
          <t>Summe</t>
        </is>
      </c>
      <c r="C56" s="3" t="inlineStr"/>
      <c r="D56" s="3" t="inlineStr"/>
      <c r="E56" s="3" t="inlineStr"/>
      <c r="F56" s="6" t="n">
        <v>69.5</v>
      </c>
      <c r="G56" s="3" t="inlineStr"/>
      <c r="H56" s="3" t="inlineStr"/>
      <c r="I56" s="3" t="inlineStr"/>
      <c r="J56" s="3" t="inlineStr"/>
      <c r="K56" s="3" t="inlineStr"/>
      <c r="L56" s="3" t="n"/>
      <c r="M56" s="3" t="n"/>
      <c r="N56" s="3" t="n"/>
      <c r="O56" s="3" t="n"/>
      <c r="P56" s="3" t="n"/>
    </row>
    <row r="57">
      <c r="A57" s="3" t="inlineStr"/>
      <c r="B57" s="3" t="inlineStr">
        <is>
          <t>Bonusberechtigte Stunden</t>
        </is>
      </c>
      <c r="C57" s="3" t="inlineStr"/>
      <c r="D57" s="3" t="inlineStr"/>
      <c r="E57" s="3" t="inlineStr"/>
      <c r="F57" s="6">
        <f>G57+H57</f>
        <v/>
      </c>
      <c r="G57" s="6" t="n">
        <v>33.5</v>
      </c>
      <c r="H57" s="6">
        <f>SUM(H47,H48,H49,H50,H51,H52,H53,H54,H55)</f>
        <v/>
      </c>
      <c r="I57" s="3" t="inlineStr"/>
      <c r="J57" s="3" t="inlineStr"/>
      <c r="K57" s="3" t="inlineStr"/>
      <c r="L57" s="3" t="inlineStr"/>
      <c r="M57" s="3" t="inlineStr"/>
      <c r="N57" s="3" t="inlineStr"/>
      <c r="O57" s="3" t="inlineStr"/>
      <c r="P57" s="3" t="inlineStr"/>
    </row>
    <row r="58">
      <c r="A58" s="3" t="inlineStr"/>
      <c r="B58" s="3" t="inlineStr">
        <is>
          <t>Bonusberechtigte Stunden Sonderprojekt</t>
        </is>
      </c>
      <c r="C58" s="3" t="inlineStr"/>
      <c r="D58" s="3" t="inlineStr"/>
      <c r="E58" s="3" t="inlineStr"/>
      <c r="F58" s="6" t="n">
        <v>0</v>
      </c>
      <c r="G58" s="6" t="n">
        <v>0</v>
      </c>
      <c r="H58" s="6" t="n">
        <v>0</v>
      </c>
      <c r="I58" s="3" t="inlineStr"/>
      <c r="J58" s="3" t="inlineStr"/>
      <c r="K58" s="3" t="inlineStr"/>
      <c r="L58" s="3" t="inlineStr"/>
      <c r="M58" s="3" t="inlineStr"/>
      <c r="N58" s="3" t="inlineStr"/>
      <c r="O58" s="3" t="inlineStr"/>
      <c r="P58" s="3" t="inlineStr"/>
    </row>
    <row r="59">
      <c r="A59" s="3" t="inlineStr"/>
      <c r="B59" s="3" t="inlineStr">
        <is>
          <t>Zugeordnete Stunden von anderen MA</t>
        </is>
      </c>
      <c r="C59" s="3" t="inlineStr"/>
      <c r="D59" s="3" t="inlineStr"/>
      <c r="E59" s="3" t="inlineStr"/>
      <c r="F59" s="6">
        <f>SUM(K47:K55)</f>
        <v/>
      </c>
      <c r="G59" s="3" t="inlineStr"/>
      <c r="H59" s="3" t="inlineStr"/>
      <c r="I59" s="3" t="inlineStr"/>
      <c r="J59" s="3" t="inlineStr"/>
      <c r="K59" s="3" t="inlineStr"/>
      <c r="L59" s="3" t="inlineStr"/>
      <c r="M59" s="3" t="inlineStr"/>
      <c r="N59" s="3" t="inlineStr"/>
      <c r="O59" s="3" t="inlineStr"/>
      <c r="P59" s="3" t="inlineStr"/>
    </row>
    <row r="60">
      <c r="A60" s="18" t="inlineStr"/>
      <c r="B60" s="18" t="inlineStr">
        <is>
          <t>Gesamt Bonus Stunden</t>
        </is>
      </c>
      <c r="C60" s="18" t="inlineStr"/>
      <c r="D60" s="18" t="inlineStr"/>
      <c r="E60" s="18" t="inlineStr"/>
      <c r="F60" s="19">
        <f>F57+F58+F59</f>
        <v/>
      </c>
      <c r="G60" s="18" t="inlineStr"/>
      <c r="H60" s="18" t="inlineStr"/>
      <c r="I60" s="18" t="inlineStr"/>
      <c r="J60" s="18" t="inlineStr"/>
      <c r="K60" s="18" t="inlineStr"/>
      <c r="L60" s="18" t="n"/>
      <c r="M60" s="18" t="n"/>
      <c r="N60" s="18" t="n"/>
      <c r="O60" s="18" t="n"/>
      <c r="P60" s="18" t="n"/>
    </row>
    <row r="62">
      <c r="A62" s="2" t="inlineStr">
        <is>
          <t>--- Übertragshilfe ---</t>
        </is>
      </c>
    </row>
    <row r="63">
      <c r="A63" s="3" t="inlineStr">
        <is>
          <t>Monat</t>
        </is>
      </c>
      <c r="B63" s="3" t="inlineStr">
        <is>
          <t>Mitarbeiter</t>
        </is>
      </c>
      <c r="C63" s="3" t="inlineStr">
        <is>
          <t>Prod. Stunden</t>
        </is>
      </c>
      <c r="D63" s="3" t="inlineStr">
        <is>
          <t>Bonusberechtigte Stunden</t>
        </is>
      </c>
      <c r="E63" s="3" t="inlineStr">
        <is>
          <t>Bonusberechtigte Stunden Sonderprojekt</t>
        </is>
      </c>
      <c r="F63" s="3" t="inlineStr">
        <is>
          <t>Zugeordnet von anderen</t>
        </is>
      </c>
      <c r="G63" s="3" t="inlineStr">
        <is>
          <t>Gesamt Bonus</t>
        </is>
      </c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</row>
    <row r="64">
      <c r="A64" s="4" t="inlineStr">
        <is>
          <t>Juli 2025</t>
        </is>
      </c>
      <c r="B64" s="4" t="inlineStr">
        <is>
          <t>H. Bektas</t>
        </is>
      </c>
      <c r="C64" s="4">
        <f>F23</f>
        <v/>
      </c>
      <c r="D64" s="4">
        <f>F24</f>
        <v/>
      </c>
      <c r="E64" s="4">
        <f>F25</f>
        <v/>
      </c>
      <c r="F64" s="4">
        <f>F26</f>
        <v/>
      </c>
      <c r="G64" s="4">
        <f>F27</f>
        <v/>
      </c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</row>
    <row r="65">
      <c r="A65" s="4" t="inlineStr">
        <is>
          <t>August 2025</t>
        </is>
      </c>
      <c r="B65" s="4" t="inlineStr">
        <is>
          <t>H. Bektas</t>
        </is>
      </c>
      <c r="C65" s="4">
        <f>F39</f>
        <v/>
      </c>
      <c r="D65" s="4">
        <f>F40</f>
        <v/>
      </c>
      <c r="E65" s="4">
        <f>F41</f>
        <v/>
      </c>
      <c r="F65" s="4">
        <f>F42</f>
        <v/>
      </c>
      <c r="G65" s="4">
        <f>F43</f>
        <v/>
      </c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</row>
    <row r="66">
      <c r="A66" s="4" t="inlineStr">
        <is>
          <t>September 2025</t>
        </is>
      </c>
      <c r="B66" s="4" t="inlineStr">
        <is>
          <t>H. Bektas</t>
        </is>
      </c>
      <c r="C66" s="4">
        <f>F56</f>
        <v/>
      </c>
      <c r="D66" s="4">
        <f>F57</f>
        <v/>
      </c>
      <c r="E66" s="4">
        <f>F58</f>
        <v/>
      </c>
      <c r="F66" s="4">
        <f>F59</f>
        <v/>
      </c>
      <c r="G66" s="4">
        <f>F60</f>
        <v/>
      </c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</row>
    <row r="69">
      <c r="A69" s="2" t="inlineStr">
        <is>
          <t>--- Gesamtstunden 2025Q3 ---</t>
        </is>
      </c>
    </row>
    <row r="70">
      <c r="A70" s="12" t="inlineStr">
        <is>
          <t>Gesamt eingetragene Stunden:</t>
        </is>
      </c>
      <c r="B70" s="12" t="n">
        <v>311.5</v>
      </c>
      <c r="C70" s="12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2" t="n"/>
      <c r="P70" s="12" t="n"/>
    </row>
    <row r="71">
      <c r="A71" s="12" t="inlineStr">
        <is>
          <t>Bonusberechtigte Stunden (Quartal):</t>
        </is>
      </c>
      <c r="B71" s="20">
        <f>SUM(F24,F40,F57)</f>
        <v/>
      </c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</row>
    <row r="72">
      <c r="A72" s="12" t="inlineStr">
        <is>
          <t>Bonusberechtigte Stunden Sonderprojekt (Quartal):</t>
        </is>
      </c>
      <c r="B72" s="20">
        <f>SUM(F25,F41,F58)</f>
        <v/>
      </c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  <c r="M72" s="12" t="n"/>
      <c r="N72" s="12" t="n"/>
      <c r="O72" s="12" t="n"/>
      <c r="P72" s="12" t="n"/>
    </row>
  </sheetData>
  <mergeCells count="2">
    <mergeCell ref="A13:A14"/>
    <mergeCell ref="A21:A22"/>
  </mergeCells>
  <conditionalFormatting sqref="I6">
    <cfRule type="cellIs" priority="1" operator="lessThan" dxfId="0" stopIfTrue="1">
      <formula>0</formula>
    </cfRule>
  </conditionalFormatting>
  <conditionalFormatting sqref="I7">
    <cfRule type="cellIs" priority="2" operator="lessThan" dxfId="0" stopIfTrue="1">
      <formula>0</formula>
    </cfRule>
  </conditionalFormatting>
  <conditionalFormatting sqref="I8">
    <cfRule type="cellIs" priority="3" operator="lessThan" dxfId="0" stopIfTrue="1">
      <formula>0</formula>
    </cfRule>
  </conditionalFormatting>
  <conditionalFormatting sqref="I9">
    <cfRule type="cellIs" priority="4" operator="lessThan" dxfId="0" stopIfTrue="1">
      <formula>0</formula>
    </cfRule>
  </conditionalFormatting>
  <conditionalFormatting sqref="I10">
    <cfRule type="cellIs" priority="5" operator="lessThan" dxfId="0" stopIfTrue="1">
      <formula>0</formula>
    </cfRule>
  </conditionalFormatting>
  <conditionalFormatting sqref="I11">
    <cfRule type="cellIs" priority="6" operator="lessThan" dxfId="0" stopIfTrue="1">
      <formula>0</formula>
    </cfRule>
  </conditionalFormatting>
  <conditionalFormatting sqref="I12">
    <cfRule type="cellIs" priority="7" operator="lessThan" dxfId="0" stopIfTrue="1">
      <formula>0</formula>
    </cfRule>
  </conditionalFormatting>
  <conditionalFormatting sqref="I13">
    <cfRule type="cellIs" priority="8" operator="lessThan" dxfId="0" stopIfTrue="1">
      <formula>0</formula>
    </cfRule>
  </conditionalFormatting>
  <conditionalFormatting sqref="I14">
    <cfRule type="cellIs" priority="9" operator="lessThan" dxfId="0" stopIfTrue="1">
      <formula>0</formula>
    </cfRule>
  </conditionalFormatting>
  <conditionalFormatting sqref="I15">
    <cfRule type="cellIs" priority="10" operator="lessThan" dxfId="0" stopIfTrue="1">
      <formula>0</formula>
    </cfRule>
  </conditionalFormatting>
  <conditionalFormatting sqref="I16">
    <cfRule type="cellIs" priority="11" operator="lessThan" dxfId="0" stopIfTrue="1">
      <formula>0</formula>
    </cfRule>
  </conditionalFormatting>
  <conditionalFormatting sqref="I17">
    <cfRule type="cellIs" priority="12" operator="lessThan" dxfId="0" stopIfTrue="1">
      <formula>0</formula>
    </cfRule>
  </conditionalFormatting>
  <conditionalFormatting sqref="I18">
    <cfRule type="cellIs" priority="13" operator="lessThan" dxfId="0" stopIfTrue="1">
      <formula>0</formula>
    </cfRule>
  </conditionalFormatting>
  <conditionalFormatting sqref="I19">
    <cfRule type="cellIs" priority="14" operator="lessThan" dxfId="0" stopIfTrue="1">
      <formula>0</formula>
    </cfRule>
  </conditionalFormatting>
  <conditionalFormatting sqref="I20">
    <cfRule type="cellIs" priority="15" operator="lessThan" dxfId="0" stopIfTrue="1">
      <formula>0</formula>
    </cfRule>
  </conditionalFormatting>
  <conditionalFormatting sqref="I21">
    <cfRule type="cellIs" priority="16" operator="lessThan" dxfId="0" stopIfTrue="1">
      <formula>0</formula>
    </cfRule>
  </conditionalFormatting>
  <conditionalFormatting sqref="I22">
    <cfRule type="cellIs" priority="17" operator="lessThan" dxfId="0" stopIfTrue="1">
      <formula>0</formula>
    </cfRule>
  </conditionalFormatting>
  <conditionalFormatting sqref="I31">
    <cfRule type="cellIs" priority="18" operator="lessThan" dxfId="0" stopIfTrue="1">
      <formula>0</formula>
    </cfRule>
  </conditionalFormatting>
  <conditionalFormatting sqref="I32">
    <cfRule type="cellIs" priority="19" operator="lessThan" dxfId="0" stopIfTrue="1">
      <formula>0</formula>
    </cfRule>
  </conditionalFormatting>
  <conditionalFormatting sqref="I33">
    <cfRule type="cellIs" priority="20" operator="lessThan" dxfId="0" stopIfTrue="1">
      <formula>0</formula>
    </cfRule>
  </conditionalFormatting>
  <conditionalFormatting sqref="I34">
    <cfRule type="cellIs" priority="21" operator="lessThan" dxfId="0" stopIfTrue="1">
      <formula>0</formula>
    </cfRule>
  </conditionalFormatting>
  <conditionalFormatting sqref="I35">
    <cfRule type="cellIs" priority="22" operator="lessThan" dxfId="0" stopIfTrue="1">
      <formula>0</formula>
    </cfRule>
  </conditionalFormatting>
  <conditionalFormatting sqref="I36">
    <cfRule type="cellIs" priority="23" operator="lessThan" dxfId="0" stopIfTrue="1">
      <formula>0</formula>
    </cfRule>
  </conditionalFormatting>
  <conditionalFormatting sqref="I37">
    <cfRule type="cellIs" priority="24" operator="lessThan" dxfId="0" stopIfTrue="1">
      <formula>0</formula>
    </cfRule>
  </conditionalFormatting>
  <conditionalFormatting sqref="I38">
    <cfRule type="cellIs" priority="25" operator="lessThan" dxfId="0" stopIfTrue="1">
      <formula>0</formula>
    </cfRule>
  </conditionalFormatting>
  <conditionalFormatting sqref="I47">
    <cfRule type="cellIs" priority="26" operator="lessThan" dxfId="0" stopIfTrue="1">
      <formula>0</formula>
    </cfRule>
  </conditionalFormatting>
  <conditionalFormatting sqref="I48">
    <cfRule type="cellIs" priority="27" operator="lessThan" dxfId="0" stopIfTrue="1">
      <formula>0</formula>
    </cfRule>
  </conditionalFormatting>
  <conditionalFormatting sqref="I49">
    <cfRule type="cellIs" priority="28" operator="lessThan" dxfId="0" stopIfTrue="1">
      <formula>0</formula>
    </cfRule>
  </conditionalFormatting>
  <conditionalFormatting sqref="I50">
    <cfRule type="cellIs" priority="29" operator="lessThan" dxfId="0" stopIfTrue="1">
      <formula>0</formula>
    </cfRule>
  </conditionalFormatting>
  <conditionalFormatting sqref="I51">
    <cfRule type="cellIs" priority="30" operator="lessThan" dxfId="0" stopIfTrue="1">
      <formula>0</formula>
    </cfRule>
  </conditionalFormatting>
  <conditionalFormatting sqref="I52">
    <cfRule type="cellIs" priority="31" operator="lessThan" dxfId="0" stopIfTrue="1">
      <formula>0</formula>
    </cfRule>
  </conditionalFormatting>
  <conditionalFormatting sqref="I53">
    <cfRule type="cellIs" priority="32" operator="lessThan" dxfId="0" stopIfTrue="1">
      <formula>0</formula>
    </cfRule>
  </conditionalFormatting>
  <conditionalFormatting sqref="I54">
    <cfRule type="cellIs" priority="33" operator="lessThan" dxfId="0" stopIfTrue="1">
      <formula>0</formula>
    </cfRule>
  </conditionalFormatting>
  <conditionalFormatting sqref="I55">
    <cfRule type="cellIs" priority="34" operator="lessThan" dxfId="0" stopIfTrue="1">
      <formula>0</formula>
    </cfRule>
  </conditionalFormatting>
  <dataValidations count="20">
    <dataValidation sqref="B2" showDropDown="0" showInputMessage="0" showErrorMessage="0" allowBlank="0" type="list">
      <formula1>"SV,CAD,ADM,Pauschale,-"</formula1>
    </dataValidation>
    <dataValidation sqref="J6" showDropDown="0" showInputMessage="0" showErrorMessage="0" allowBlank="1" type="list">
      <formula1>"A. Kokott"</formula1>
    </dataValidation>
    <dataValidation sqref="J7" showDropDown="0" showInputMessage="0" showErrorMessage="0" allowBlank="1" type="list">
      <formula1>"A. Kokott"</formula1>
    </dataValidation>
    <dataValidation sqref="J8" showDropDown="0" showInputMessage="0" showErrorMessage="0" allowBlank="1" type="list">
      <formula1>"E. Bieler,J. Dorchies"</formula1>
    </dataValidation>
    <dataValidation sqref="J9" showDropDown="0" showInputMessage="0" showErrorMessage="0" allowBlank="1" type="list">
      <formula1>"E. Bieler"</formula1>
    </dataValidation>
    <dataValidation sqref="J10" showDropDown="0" showInputMessage="0" showErrorMessage="0" allowBlank="1" type="list">
      <formula1>"E. Bieler"</formula1>
    </dataValidation>
    <dataValidation sqref="J11" showDropDown="0" showInputMessage="0" showErrorMessage="0" allowBlank="1" type="list">
      <formula1>"E. Bieler"</formula1>
    </dataValidation>
    <dataValidation sqref="J12" showDropDown="0" showInputMessage="0" showErrorMessage="0" allowBlank="1" type="list">
      <formula1>"A. Kokott,J. Dorn"</formula1>
    </dataValidation>
    <dataValidation sqref="J14" showDropDown="0" showInputMessage="0" showErrorMessage="0" allowBlank="1" type="list">
      <formula1>"A. Kokott"</formula1>
    </dataValidation>
    <dataValidation sqref="J16" showDropDown="0" showInputMessage="0" showErrorMessage="0" allowBlank="1" type="list">
      <formula1>"E. Bieler"</formula1>
    </dataValidation>
    <dataValidation sqref="J17" showDropDown="0" showInputMessage="0" showErrorMessage="0" allowBlank="1" type="list">
      <formula1>"E. Bieler"</formula1>
    </dataValidation>
    <dataValidation sqref="J18" showDropDown="0" showInputMessage="0" showErrorMessage="0" allowBlank="1" type="list">
      <formula1>"E. Bieler"</formula1>
    </dataValidation>
    <dataValidation sqref="J22" showDropDown="0" showInputMessage="0" showErrorMessage="0" allowBlank="1" type="list">
      <formula1>"S. Schüler"</formula1>
    </dataValidation>
    <dataValidation sqref="J35" showDropDown="0" showInputMessage="0" showErrorMessage="0" allowBlank="1" type="list">
      <formula1>"R. Böttiger,T. Trautmann"</formula1>
    </dataValidation>
    <dataValidation sqref="J38" showDropDown="0" showInputMessage="0" showErrorMessage="0" allowBlank="1" type="list">
      <formula1>"S. Schüler"</formula1>
    </dataValidation>
    <dataValidation sqref="J48" showDropDown="0" showInputMessage="0" showErrorMessage="0" allowBlank="1" type="list">
      <formula1>"A. Kokott"</formula1>
    </dataValidation>
    <dataValidation sqref="J49" showDropDown="0" showInputMessage="0" showErrorMessage="0" allowBlank="1" type="list">
      <formula1>"J. Dorchies"</formula1>
    </dataValidation>
    <dataValidation sqref="J50" showDropDown="0" showInputMessage="0" showErrorMessage="0" allowBlank="1" type="list">
      <formula1>"A. Kokott"</formula1>
    </dataValidation>
    <dataValidation sqref="J51" showDropDown="0" showInputMessage="0" showErrorMessage="0" allowBlank="1" type="list">
      <formula1>"A. Kokott"</formula1>
    </dataValidation>
    <dataValidation sqref="J52" showDropDown="0" showInputMessage="0" showErrorMessage="0" allowBlank="1" type="list">
      <formula1>"E. Bieler"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8" customWidth="1" min="3" max="3"/>
    <col width="12" customWidth="1" min="4" max="4"/>
    <col width="12" customWidth="1" min="5" max="5"/>
    <col width="12" customWidth="1" min="6" max="6"/>
    <col width="8" customWidth="1" min="7" max="7"/>
    <col width="16" customWidth="1" min="8" max="8"/>
    <col width="12" customWidth="1" min="9" max="9"/>
    <col width="25" customWidth="1" min="10" max="10"/>
    <col width="15" customWidth="1" min="11" max="11"/>
    <col width="18" customWidth="1" min="12" max="12"/>
    <col width="15" customWidth="1" min="13" max="13"/>
    <col width="18" customWidth="1" min="14" max="14"/>
    <col width="15" customWidth="1" min="15" max="15"/>
    <col width="22" customWidth="1" min="16" max="16"/>
  </cols>
  <sheetData>
    <row r="1">
      <c r="A1" t="inlineStr">
        <is>
          <t>J. Dorchies - Quartalsreport 2025Q3</t>
        </is>
      </c>
    </row>
    <row r="2">
      <c r="A2" s="12" t="inlineStr">
        <is>
          <t>Position:</t>
        </is>
      </c>
      <c r="B2" t="inlineStr">
        <is>
          <t>SV</t>
        </is>
      </c>
    </row>
    <row r="4">
      <c r="A4" s="2" t="inlineStr">
        <is>
          <t>--- Juli 2025 ---</t>
        </is>
      </c>
    </row>
    <row r="5">
      <c r="A5" s="3" t="inlineStr">
        <is>
          <t>Projekt</t>
        </is>
      </c>
      <c r="B5" s="3" t="inlineStr">
        <is>
          <t>Meilenstein</t>
        </is>
      </c>
      <c r="C5" s="3" t="inlineStr">
        <is>
          <t>Typ</t>
        </is>
      </c>
      <c r="D5" s="3" t="inlineStr">
        <is>
          <t>Soll (h)</t>
        </is>
      </c>
      <c r="E5" s="3" t="inlineStr">
        <is>
          <t>Ist (h)</t>
        </is>
      </c>
      <c r="F5" s="3" t="inlineStr">
        <is>
          <t>Juli 2025 (h)</t>
        </is>
      </c>
      <c r="G5" s="3" t="inlineStr">
        <is>
          <t>%</t>
        </is>
      </c>
      <c r="H5" s="3" t="inlineStr">
        <is>
          <t>Bonus-Anpassung (h)</t>
        </is>
      </c>
      <c r="I5" s="3" t="inlineStr">
        <is>
          <t>Differenz (h)</t>
        </is>
      </c>
      <c r="J5" s="3" t="inlineStr">
        <is>
          <t>Zuordnen an</t>
        </is>
      </c>
      <c r="K5" s="3" t="inlineStr">
        <is>
          <t>Von anderen (h)</t>
        </is>
      </c>
      <c r="L5" s="3" t="inlineStr">
        <is>
          <t>Stundensatz (€/h)</t>
        </is>
      </c>
      <c r="M5" s="3" t="inlineStr">
        <is>
          <t>Umsatz (€)</t>
        </is>
      </c>
      <c r="N5" s="3" t="inlineStr">
        <is>
          <t>Budget Gesamt (€)</t>
        </is>
      </c>
      <c r="O5" s="3" t="inlineStr">
        <is>
          <t>Budget Ist (€)</t>
        </is>
      </c>
      <c r="P5" s="3" t="inlineStr">
        <is>
          <t>Budget Erwirtschaftet (€)</t>
        </is>
      </c>
    </row>
    <row r="6">
      <c r="A6" s="13" t="inlineStr">
        <is>
          <t>0000 Sonderprojekt für Bonus</t>
        </is>
      </c>
      <c r="B6" s="4" t="inlineStr">
        <is>
          <t>Angebote-Ausschreibungen-Kalkulationen (max. 8h/Monat pro MA)</t>
        </is>
      </c>
      <c r="C6" s="4" t="inlineStr">
        <is>
          <t>M</t>
        </is>
      </c>
      <c r="D6" s="4" t="n">
        <v>8</v>
      </c>
      <c r="E6" s="4" t="n">
        <v>4.5</v>
      </c>
      <c r="F6" s="4" t="n">
        <v>4.5</v>
      </c>
      <c r="G6" s="17" t="n">
        <v>56.25</v>
      </c>
      <c r="H6" s="5" t="n"/>
      <c r="I6" s="5">
        <f>IF(H6=0,"",F6-H6)</f>
        <v/>
      </c>
      <c r="J6" s="4" t="n"/>
      <c r="K6" s="5">
        <f>IF('A. Kokott'!J6="J. Dorchies",'A. Kokott'!I6,0)+IF('D. Brucker'!J6="J. Dorchies",'D. Brucker'!I6,0)+IF('E. Bieler'!J6="J. Dorchies",'E. Bieler'!I6,0)+IF('O. Haag BS-CAD'!J6="J. Dorchies",'O. Haag BS-CAD'!I6,0)+IF('S. Schüler'!J6="J. Dorchies",'S. Schüler'!I6,0)+IF('T. Trautmann'!J6="J. Dorchies",'T. Trautmann'!I6,0)+IF('U. Sutter ADM'!J6="J. Dorchies",'U. Sutter ADM'!I6,0)</f>
        <v/>
      </c>
      <c r="L6" s="11">
        <f>IF($B$2="-","",IF($B$2="Pauschale",IFERROR(INDEX('Projekt-Budget-Übersicht'!$H:$H,MATCH(A6,'Projekt-Budget-Übersicht'!$A:$A,0)),""),IF($B$2="SV",IFERROR(INDEX('Projekt-Budget-Übersicht'!$H:$H,MATCH(A6,'Projekt-Budget-Übersicht'!$A:$A,0)),""),IF($B$2="CAD",IFERROR(INDEX('Projekt-Budget-Übersicht'!$I:$I,MATCH(A6,'Projekt-Budget-Übersicht'!$A:$A,0)),""),IF($B$2="ADM",IFERROR(INDEX('Projekt-Budget-Übersicht'!$J:$J,MATCH(A6,'Projekt-Budget-Übersicht'!$A:$A,0)),""),"")))))</f>
        <v/>
      </c>
      <c r="M6" s="11">
        <f>IF($B$2="-","",L6*(F6+I6+K6))</f>
        <v/>
      </c>
      <c r="N6" s="11">
        <f>IFERROR(INDEX('Projekt-Budget-Übersicht'!$E:$E,MATCH(A6,'Projekt-Budget-Übersicht'!$A:$A,0)),"")</f>
        <v/>
      </c>
      <c r="O6" s="11" t="inlineStr"/>
      <c r="P6" s="11" t="inlineStr"/>
    </row>
    <row r="7">
      <c r="A7" s="15" t="n"/>
      <c r="B7" s="4" t="inlineStr">
        <is>
          <t>Einarbeitung neuer Mitarbeiter (max. 8h/Monat pro MA)</t>
        </is>
      </c>
      <c r="C7" s="4" t="inlineStr">
        <is>
          <t>M</t>
        </is>
      </c>
      <c r="D7" s="4" t="n">
        <v>8</v>
      </c>
      <c r="E7" s="4" t="n">
        <v>4</v>
      </c>
      <c r="F7" s="4" t="n">
        <v>4</v>
      </c>
      <c r="G7" s="17" t="n">
        <v>50</v>
      </c>
      <c r="H7" s="5" t="n"/>
      <c r="I7" s="5">
        <f>IF(H7=0,"",F7-H7)</f>
        <v/>
      </c>
      <c r="J7" s="4" t="n"/>
      <c r="K7" s="5">
        <f>IF('A. Kokott'!J7="J. Dorchies",'A. Kokott'!I7,0)+IF('C. Trapp SV'!J6="J. Dorchies",'C. Trapp SV'!I6,0)+IF('D. Brucker'!J7="J. Dorchies",'D. Brucker'!I7,0)+IF('E. Bieler'!J7="J. Dorchies",'E. Bieler'!I7,0)+IF('J. Dorn'!J6="J. Dorchies",'J. Dorn'!I6,0)+IF('M. Bandlofsky'!J6="J. Dorchies",'M. Bandlofsky'!I6,0)+IF('T. Trautmann'!J7="J. Dorchies",'T. Trautmann'!I7,0)+IF('U. Sutter ADM'!J7="J. Dorchies",'U. Sutter ADM'!I7,0)</f>
        <v/>
      </c>
      <c r="L7" s="11">
        <f>IF($B$2="-","",IF($B$2="Pauschale",IFERROR(INDEX('Projekt-Budget-Übersicht'!$H:$H,MATCH(A7,'Projekt-Budget-Übersicht'!$A:$A,0)),""),IF($B$2="SV",IFERROR(INDEX('Projekt-Budget-Übersicht'!$H:$H,MATCH(A7,'Projekt-Budget-Übersicht'!$A:$A,0)),""),IF($B$2="CAD",IFERROR(INDEX('Projekt-Budget-Übersicht'!$I:$I,MATCH(A7,'Projekt-Budget-Übersicht'!$A:$A,0)),""),IF($B$2="ADM",IFERROR(INDEX('Projekt-Budget-Übersicht'!$J:$J,MATCH(A7,'Projekt-Budget-Übersicht'!$A:$A,0)),""),"")))))</f>
        <v/>
      </c>
      <c r="M7" s="11">
        <f>IF($B$2="-","",L7*(F7+I7+K7))</f>
        <v/>
      </c>
      <c r="N7" s="11">
        <f>IFERROR(INDEX('Projekt-Budget-Übersicht'!$E:$E,MATCH(A7,'Projekt-Budget-Übersicht'!$A:$A,0)),"")</f>
        <v/>
      </c>
      <c r="O7" s="11" t="inlineStr"/>
      <c r="P7" s="11" t="inlineStr"/>
    </row>
    <row r="8">
      <c r="A8" s="4" t="inlineStr">
        <is>
          <t>1257.03 LP3-8-Germersheim-Army-Depot-Gebäude-7915</t>
        </is>
      </c>
      <c r="B8" s="4" t="inlineStr">
        <is>
          <t>5100-Beraten Planer ausführungsreife Lösungen….</t>
        </is>
      </c>
      <c r="C8" s="4" t="inlineStr">
        <is>
          <t>G</t>
        </is>
      </c>
      <c r="D8" s="4" t="n">
        <v>42</v>
      </c>
      <c r="E8" s="4" t="n">
        <v>20</v>
      </c>
      <c r="F8" s="4" t="n">
        <v>0.75</v>
      </c>
      <c r="G8" s="17" t="n">
        <v>47.62</v>
      </c>
      <c r="H8" s="5" t="n"/>
      <c r="I8" s="5">
        <f>IF(H8=0,"",F8-H8)</f>
        <v/>
      </c>
      <c r="J8" s="4" t="n"/>
      <c r="K8" s="5">
        <f>IF('S. Schüler'!J7="J. Dorchies",'S. Schüler'!I7,0)</f>
        <v/>
      </c>
      <c r="L8" s="11">
        <f>IF($B$2="-","",IF($B$2="Pauschale",IFERROR(INDEX('Projekt-Budget-Übersicht'!$H:$H,MATCH(A8,'Projekt-Budget-Übersicht'!$A:$A,0)),""),IF($B$2="SV",IFERROR(INDEX('Projekt-Budget-Übersicht'!$H:$H,MATCH(A8,'Projekt-Budget-Übersicht'!$A:$A,0)),""),IF($B$2="CAD",IFERROR(INDEX('Projekt-Budget-Übersicht'!$I:$I,MATCH(A8,'Projekt-Budget-Übersicht'!$A:$A,0)),""),IF($B$2="ADM",IFERROR(INDEX('Projekt-Budget-Übersicht'!$J:$J,MATCH(A8,'Projekt-Budget-Übersicht'!$A:$A,0)),""),"")))))</f>
        <v/>
      </c>
      <c r="M8" s="11">
        <f>IF($B$2="-","",L8*(F8+I8+K8))</f>
        <v/>
      </c>
      <c r="N8" s="11">
        <f>IFERROR(INDEX('Projekt-Budget-Übersicht'!$E:$E,MATCH(A8,'Projekt-Budget-Übersicht'!$A:$A,0)),"")</f>
        <v/>
      </c>
      <c r="O8" s="11" t="inlineStr"/>
      <c r="P8" s="11" t="inlineStr"/>
    </row>
    <row r="9">
      <c r="A9" s="4" t="inlineStr">
        <is>
          <t>6527.01 IO-Anp-BSK-Mühlenfeldstr1-Holzminden-Symotion</t>
        </is>
      </c>
      <c r="B9" s="4" t="inlineStr">
        <is>
          <t>SV</t>
        </is>
      </c>
      <c r="C9" s="4" t="inlineStr">
        <is>
          <t>G</t>
        </is>
      </c>
      <c r="D9" s="4" t="n">
        <v>6</v>
      </c>
      <c r="E9" s="4" t="n">
        <v>33.75</v>
      </c>
      <c r="F9" s="4" t="n">
        <v>0.75</v>
      </c>
      <c r="G9" s="16" t="n">
        <v>562.5</v>
      </c>
      <c r="H9" s="5" t="n"/>
      <c r="I9" s="5">
        <f>IF(H9=0,"",F9-H9)</f>
        <v/>
      </c>
      <c r="J9" s="4" t="n"/>
      <c r="K9" s="5">
        <f>IF('A. Kokott'!J14="J. Dorchies",'A. Kokott'!I14,0)+IF('E. Bieler'!J20="J. Dorchies",'E. Bieler'!I20,0)+IF('J. Dorn'!J23="J. Dorchies",'J. Dorn'!I23,0)+IF('P. Bergner'!J7="J. Dorchies",'P. Bergner'!I7,0)+IF('R. Böttiger'!J13="J. Dorchies",'R. Böttiger'!I13,0)</f>
        <v/>
      </c>
      <c r="L9" s="11">
        <f>IF($B$2="-","",IF($B$2="Pauschale",IFERROR(INDEX('Projekt-Budget-Übersicht'!$H:$H,MATCH(A9,'Projekt-Budget-Übersicht'!$A:$A,0)),""),IF($B$2="SV",IFERROR(INDEX('Projekt-Budget-Übersicht'!$H:$H,MATCH(A9,'Projekt-Budget-Übersicht'!$A:$A,0)),""),IF($B$2="CAD",IFERROR(INDEX('Projekt-Budget-Übersicht'!$I:$I,MATCH(A9,'Projekt-Budget-Übersicht'!$A:$A,0)),""),IF($B$2="ADM",IFERROR(INDEX('Projekt-Budget-Übersicht'!$J:$J,MATCH(A9,'Projekt-Budget-Übersicht'!$A:$A,0)),""),"")))))</f>
        <v/>
      </c>
      <c r="M9" s="11">
        <f>IF($B$2="-","",L9*(F9+I9+K9))</f>
        <v/>
      </c>
      <c r="N9" s="11">
        <f>IFERROR(INDEX('Projekt-Budget-Übersicht'!$E:$E,MATCH(A9,'Projekt-Budget-Übersicht'!$A:$A,0)),"")</f>
        <v/>
      </c>
      <c r="O9" s="11" t="inlineStr"/>
      <c r="P9" s="11" t="inlineStr"/>
    </row>
    <row r="10">
      <c r="A10" s="4" t="inlineStr">
        <is>
          <t>7090.02 Baupionier-BSK-Garagenpark-Erlangen</t>
        </is>
      </c>
      <c r="B10" s="4" t="inlineStr">
        <is>
          <t>SV</t>
        </is>
      </c>
      <c r="C10" s="4" t="inlineStr">
        <is>
          <t>G</t>
        </is>
      </c>
      <c r="D10" s="4" t="n">
        <v>12</v>
      </c>
      <c r="E10" s="4" t="n">
        <v>12.25</v>
      </c>
      <c r="F10" s="4" t="n">
        <v>0.25</v>
      </c>
      <c r="G10" s="16" t="n">
        <v>102.08</v>
      </c>
      <c r="H10" s="5" t="n"/>
      <c r="I10" s="5">
        <f>IF(H10=0,"",F10-H10)</f>
        <v/>
      </c>
      <c r="J10" s="4" t="n"/>
      <c r="K10" s="5" t="n">
        <v>0</v>
      </c>
      <c r="L10" s="11">
        <f>IF($B$2="-","",IF($B$2="Pauschale",IFERROR(INDEX('Projekt-Budget-Übersicht'!$H:$H,MATCH(A10,'Projekt-Budget-Übersicht'!$A:$A,0)),""),IF($B$2="SV",IFERROR(INDEX('Projekt-Budget-Übersicht'!$H:$H,MATCH(A10,'Projekt-Budget-Übersicht'!$A:$A,0)),""),IF($B$2="CAD",IFERROR(INDEX('Projekt-Budget-Übersicht'!$I:$I,MATCH(A10,'Projekt-Budget-Übersicht'!$A:$A,0)),""),IF($B$2="ADM",IFERROR(INDEX('Projekt-Budget-Übersicht'!$J:$J,MATCH(A10,'Projekt-Budget-Übersicht'!$A:$A,0)),""),"")))))</f>
        <v/>
      </c>
      <c r="M10" s="11">
        <f>IF($B$2="-","",L10*(F10+I10+K10))</f>
        <v/>
      </c>
      <c r="N10" s="11">
        <f>IFERROR(INDEX('Projekt-Budget-Übersicht'!$E:$E,MATCH(A10,'Projekt-Budget-Übersicht'!$A:$A,0)),"")</f>
        <v/>
      </c>
      <c r="O10" s="11" t="inlineStr"/>
      <c r="P10" s="11" t="inlineStr"/>
    </row>
    <row r="11">
      <c r="A11" s="4" t="inlineStr">
        <is>
          <t>7150 TFS-AHO-Neubau-betrWohnen-Kita-Alberichstraße-Mannheim</t>
        </is>
      </c>
      <c r="B11" s="4" t="inlineStr">
        <is>
          <t>SV</t>
        </is>
      </c>
      <c r="C11" s="4" t="inlineStr">
        <is>
          <t>G</t>
        </is>
      </c>
      <c r="D11" s="4" t="n">
        <v>13</v>
      </c>
      <c r="E11" s="4" t="n">
        <v>146.75</v>
      </c>
      <c r="F11" s="4" t="n">
        <v>0.5</v>
      </c>
      <c r="G11" s="16" t="n">
        <v>1128.85</v>
      </c>
      <c r="H11" s="5" t="n"/>
      <c r="I11" s="5">
        <f>IF(H11=0,"",F11-H11)</f>
        <v/>
      </c>
      <c r="J11" s="4" t="n"/>
      <c r="K11" s="5">
        <f>IF('E. Bieler'!J22="J. Dorchies",'E. Bieler'!I22,0)+IF('J. Dorn'!J33="J. Dorchies",'J. Dorn'!I33,0)+IF('R. Böttiger'!J14="J. Dorchies",'R. Böttiger'!I14,0)</f>
        <v/>
      </c>
      <c r="L11" s="11">
        <f>IF($B$2="-","",IF($B$2="Pauschale",IFERROR(INDEX('Projekt-Budget-Übersicht'!$H:$H,MATCH(A11,'Projekt-Budget-Übersicht'!$A:$A,0)),""),IF($B$2="SV",IFERROR(INDEX('Projekt-Budget-Übersicht'!$H:$H,MATCH(A11,'Projekt-Budget-Übersicht'!$A:$A,0)),""),IF($B$2="CAD",IFERROR(INDEX('Projekt-Budget-Übersicht'!$I:$I,MATCH(A11,'Projekt-Budget-Übersicht'!$A:$A,0)),""),IF($B$2="ADM",IFERROR(INDEX('Projekt-Budget-Übersicht'!$J:$J,MATCH(A11,'Projekt-Budget-Übersicht'!$A:$A,0)),""),"")))))</f>
        <v/>
      </c>
      <c r="M11" s="11">
        <f>IF($B$2="-","",L11*(F11+I11+K11))</f>
        <v/>
      </c>
      <c r="N11" s="11">
        <f>IFERROR(INDEX('Projekt-Budget-Übersicht'!$E:$E,MATCH(A11,'Projekt-Budget-Übersicht'!$A:$A,0)),"")</f>
        <v/>
      </c>
      <c r="O11" s="11" t="inlineStr"/>
      <c r="P11" s="11" t="inlineStr"/>
    </row>
    <row r="12">
      <c r="A12" s="4" t="inlineStr">
        <is>
          <t>7159.01 TE Connectivity-BSK-Geb2701,2702-Siemensstr18-Speyer</t>
        </is>
      </c>
      <c r="B12" s="4" t="inlineStr">
        <is>
          <t>ADM</t>
        </is>
      </c>
      <c r="C12" s="4" t="inlineStr">
        <is>
          <t>G</t>
        </is>
      </c>
      <c r="D12" s="4" t="n">
        <v>1</v>
      </c>
      <c r="E12" s="4" t="n">
        <v>1.08</v>
      </c>
      <c r="F12" s="4" t="n">
        <v>0.33</v>
      </c>
      <c r="G12" s="16" t="n">
        <v>108</v>
      </c>
      <c r="H12" s="5" t="n"/>
      <c r="I12" s="5">
        <f>IF(H12=0,"",F12-H12)</f>
        <v/>
      </c>
      <c r="J12" s="4" t="n"/>
      <c r="K12" s="5" t="n">
        <v>0</v>
      </c>
      <c r="L12" s="11">
        <f>IF($B$2="-","",IF($B$2="Pauschale",IFERROR(INDEX('Projekt-Budget-Übersicht'!$H:$H,MATCH(A12,'Projekt-Budget-Übersicht'!$A:$A,0)),""),IF($B$2="SV",IFERROR(INDEX('Projekt-Budget-Übersicht'!$H:$H,MATCH(A12,'Projekt-Budget-Übersicht'!$A:$A,0)),""),IF($B$2="CAD",IFERROR(INDEX('Projekt-Budget-Übersicht'!$I:$I,MATCH(A12,'Projekt-Budget-Übersicht'!$A:$A,0)),""),IF($B$2="ADM",IFERROR(INDEX('Projekt-Budget-Übersicht'!$J:$J,MATCH(A12,'Projekt-Budget-Übersicht'!$A:$A,0)),""),"")))))</f>
        <v/>
      </c>
      <c r="M12" s="11">
        <f>IF($B$2="-","",L12*(F12+I12+K12))</f>
        <v/>
      </c>
      <c r="N12" s="11">
        <f>IFERROR(INDEX('Projekt-Budget-Übersicht'!$E:$E,MATCH(A12,'Projekt-Budget-Übersicht'!$A:$A,0)),"")</f>
        <v/>
      </c>
      <c r="O12" s="11" t="inlineStr"/>
      <c r="P12" s="11" t="inlineStr"/>
    </row>
    <row r="13">
      <c r="A13" s="4" t="inlineStr">
        <is>
          <t>7208.01 PCP-Baupionier-AnpBSK-Garagenpark-Malsch</t>
        </is>
      </c>
      <c r="B13" s="4" t="inlineStr">
        <is>
          <t>(p) Anpassung BSK (ANG per eMail)</t>
        </is>
      </c>
      <c r="C13" s="4" t="inlineStr">
        <is>
          <t>G</t>
        </is>
      </c>
      <c r="D13" s="4" t="n">
        <v>0</v>
      </c>
      <c r="E13" s="4" t="n">
        <v>0</v>
      </c>
      <c r="F13" s="4" t="n">
        <v>0.25</v>
      </c>
      <c r="G13" s="4" t="n">
        <v>0</v>
      </c>
      <c r="H13" s="5" t="n"/>
      <c r="I13" s="5">
        <f>IF(H13=0,"",F13-H13)</f>
        <v/>
      </c>
      <c r="J13" s="4" t="n"/>
      <c r="K13" s="5" t="n">
        <v>0</v>
      </c>
      <c r="L13" s="11">
        <f>IF($B$2="-","",IF($B$2="Pauschale",IFERROR(INDEX('Projekt-Budget-Übersicht'!$H:$H,MATCH(A13,'Projekt-Budget-Übersicht'!$A:$A,0)),""),IF($B$2="SV",IFERROR(INDEX('Projekt-Budget-Übersicht'!$H:$H,MATCH(A13,'Projekt-Budget-Übersicht'!$A:$A,0)),""),IF($B$2="CAD",IFERROR(INDEX('Projekt-Budget-Übersicht'!$I:$I,MATCH(A13,'Projekt-Budget-Übersicht'!$A:$A,0)),""),IF($B$2="ADM",IFERROR(INDEX('Projekt-Budget-Übersicht'!$J:$J,MATCH(A13,'Projekt-Budget-Übersicht'!$A:$A,0)),""),"")))))</f>
        <v/>
      </c>
      <c r="M13" s="11">
        <f>IF($B$2="-","",L13*(F13+I13+K13))</f>
        <v/>
      </c>
      <c r="N13" s="11">
        <f>IFERROR(INDEX('Projekt-Budget-Übersicht'!$E:$E,MATCH(A13,'Projekt-Budget-Übersicht'!$A:$A,0)),"")</f>
        <v/>
      </c>
      <c r="O13" s="11" t="inlineStr"/>
      <c r="P13" s="11" t="inlineStr"/>
    </row>
    <row r="14">
      <c r="A14" s="4" t="inlineStr">
        <is>
          <t>7253 JUWI-BSK-WP-Bad-Laasphe-Feudingen</t>
        </is>
      </c>
      <c r="B14" s="4" t="inlineStr">
        <is>
          <t>(p) Pos. 1.00 Brandschutzkonzept</t>
        </is>
      </c>
      <c r="C14" s="4" t="inlineStr">
        <is>
          <t>G</t>
        </is>
      </c>
      <c r="D14" s="4" t="n">
        <v>10</v>
      </c>
      <c r="E14" s="4" t="n">
        <v>16.25</v>
      </c>
      <c r="F14" s="4" t="n">
        <v>0.5</v>
      </c>
      <c r="G14" s="16" t="n">
        <v>162.5</v>
      </c>
      <c r="H14" s="5" t="n"/>
      <c r="I14" s="5">
        <f>IF(H14=0,"",F14-H14)</f>
        <v/>
      </c>
      <c r="J14" s="4" t="n"/>
      <c r="K14" s="5">
        <f>IF('E. Bieler'!J25="J. Dorchies",'E. Bieler'!I25,0)+IF('H. Bektas'!J8="J. Dorchies",'H. Bektas'!I8,0)</f>
        <v/>
      </c>
      <c r="L14" s="11">
        <f>IF($B$2="-","",IF($B$2="Pauschale",IFERROR(INDEX('Projekt-Budget-Übersicht'!$H:$H,MATCH(A14,'Projekt-Budget-Übersicht'!$A:$A,0)),""),IF($B$2="SV",IFERROR(INDEX('Projekt-Budget-Übersicht'!$H:$H,MATCH(A14,'Projekt-Budget-Übersicht'!$A:$A,0)),""),IF($B$2="CAD",IFERROR(INDEX('Projekt-Budget-Übersicht'!$I:$I,MATCH(A14,'Projekt-Budget-Übersicht'!$A:$A,0)),""),IF($B$2="ADM",IFERROR(INDEX('Projekt-Budget-Übersicht'!$J:$J,MATCH(A14,'Projekt-Budget-Übersicht'!$A:$A,0)),""),"")))))</f>
        <v/>
      </c>
      <c r="M14" s="11">
        <f>IF($B$2="-","",L14*(F14+I14+K14))</f>
        <v/>
      </c>
      <c r="N14" s="11">
        <f>IFERROR(INDEX('Projekt-Budget-Übersicht'!$E:$E,MATCH(A14,'Projekt-Budget-Übersicht'!$A:$A,0)),"")</f>
        <v/>
      </c>
      <c r="O14" s="11" t="inlineStr"/>
      <c r="P14" s="11" t="inlineStr"/>
    </row>
    <row r="15">
      <c r="A15" s="3" t="inlineStr"/>
      <c r="B15" s="3" t="inlineStr">
        <is>
          <t>Summe</t>
        </is>
      </c>
      <c r="C15" s="3" t="inlineStr"/>
      <c r="D15" s="3" t="inlineStr"/>
      <c r="E15" s="3" t="inlineStr"/>
      <c r="F15" s="6" t="n">
        <v>11.83</v>
      </c>
      <c r="G15" s="3" t="inlineStr"/>
      <c r="H15" s="3" t="inlineStr"/>
      <c r="I15" s="3" t="inlineStr"/>
      <c r="J15" s="3" t="inlineStr"/>
      <c r="K15" s="3" t="inlineStr"/>
      <c r="L15" s="3" t="n"/>
      <c r="M15" s="3" t="n"/>
      <c r="N15" s="3" t="n"/>
      <c r="O15" s="3" t="n"/>
      <c r="P15" s="3" t="n"/>
    </row>
    <row r="16">
      <c r="A16" s="3" t="inlineStr"/>
      <c r="B16" s="3" t="inlineStr">
        <is>
          <t>Bonusberechtigte Stunden</t>
        </is>
      </c>
      <c r="C16" s="3" t="inlineStr"/>
      <c r="D16" s="3" t="inlineStr"/>
      <c r="E16" s="3" t="inlineStr"/>
      <c r="F16" s="6">
        <f>G16+H16</f>
        <v/>
      </c>
      <c r="G16" s="6" t="n">
        <v>1</v>
      </c>
      <c r="H16" s="6">
        <f>SUM(H8,H9,H10,H11,H12,H13,H14)</f>
        <v/>
      </c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</row>
    <row r="17">
      <c r="A17" s="3" t="inlineStr"/>
      <c r="B17" s="3" t="inlineStr">
        <is>
          <t>Bonusberechtigte Stunden Sonderprojekt</t>
        </is>
      </c>
      <c r="C17" s="3" t="inlineStr"/>
      <c r="D17" s="3" t="inlineStr"/>
      <c r="E17" s="3" t="inlineStr"/>
      <c r="F17" s="6">
        <f>G17+H17</f>
        <v/>
      </c>
      <c r="G17" s="6" t="n">
        <v>8.5</v>
      </c>
      <c r="H17" s="6">
        <f>SUM(H6,H7)</f>
        <v/>
      </c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</row>
    <row r="18">
      <c r="A18" s="3" t="inlineStr"/>
      <c r="B18" s="3" t="inlineStr">
        <is>
          <t>Zugeordnete Stunden von anderen MA</t>
        </is>
      </c>
      <c r="C18" s="3" t="inlineStr"/>
      <c r="D18" s="3" t="inlineStr"/>
      <c r="E18" s="3" t="inlineStr"/>
      <c r="F18" s="6">
        <f>SUM(K6:K14)</f>
        <v/>
      </c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</row>
    <row r="19">
      <c r="A19" s="18" t="inlineStr"/>
      <c r="B19" s="18" t="inlineStr">
        <is>
          <t>Gesamt Bonus Stunden</t>
        </is>
      </c>
      <c r="C19" s="18" t="inlineStr"/>
      <c r="D19" s="18" t="inlineStr"/>
      <c r="E19" s="18" t="inlineStr"/>
      <c r="F19" s="19">
        <f>F16+F17+F18</f>
        <v/>
      </c>
      <c r="G19" s="18" t="inlineStr"/>
      <c r="H19" s="18" t="inlineStr"/>
      <c r="I19" s="18" t="inlineStr"/>
      <c r="J19" s="18" t="inlineStr"/>
      <c r="K19" s="18" t="inlineStr"/>
      <c r="L19" s="18" t="n"/>
      <c r="M19" s="18" t="n"/>
      <c r="N19" s="18" t="n"/>
      <c r="O19" s="18" t="n"/>
      <c r="P19" s="18" t="n"/>
    </row>
    <row r="21">
      <c r="A21" s="2" t="inlineStr">
        <is>
          <t>--- August 2025 ---</t>
        </is>
      </c>
    </row>
    <row r="22">
      <c r="A22" s="3" t="inlineStr">
        <is>
          <t>Projekt</t>
        </is>
      </c>
      <c r="B22" s="3" t="inlineStr">
        <is>
          <t>Meilenstein</t>
        </is>
      </c>
      <c r="C22" s="3" t="inlineStr">
        <is>
          <t>Typ</t>
        </is>
      </c>
      <c r="D22" s="3" t="inlineStr">
        <is>
          <t>Soll (h)</t>
        </is>
      </c>
      <c r="E22" s="3" t="inlineStr">
        <is>
          <t>Ist (h)</t>
        </is>
      </c>
      <c r="F22" s="3" t="inlineStr">
        <is>
          <t>August 2025 (h)</t>
        </is>
      </c>
      <c r="G22" s="3" t="inlineStr">
        <is>
          <t>%</t>
        </is>
      </c>
      <c r="H22" s="3" t="inlineStr">
        <is>
          <t>Bonus-Anpassung (h)</t>
        </is>
      </c>
      <c r="I22" s="3" t="inlineStr">
        <is>
          <t>Differenz (h)</t>
        </is>
      </c>
      <c r="J22" s="3" t="inlineStr">
        <is>
          <t>Zuordnen an</t>
        </is>
      </c>
      <c r="K22" s="3" t="inlineStr">
        <is>
          <t>Von anderen (h)</t>
        </is>
      </c>
      <c r="L22" s="3" t="inlineStr">
        <is>
          <t>Stundensatz (€/h)</t>
        </is>
      </c>
      <c r="M22" s="3" t="inlineStr">
        <is>
          <t>Umsatz (€)</t>
        </is>
      </c>
      <c r="N22" s="3" t="inlineStr">
        <is>
          <t>Budget Gesamt (€)</t>
        </is>
      </c>
      <c r="O22" s="3" t="inlineStr">
        <is>
          <t>Budget Ist (€)</t>
        </is>
      </c>
      <c r="P22" s="3" t="inlineStr">
        <is>
          <t>Budget Erwirtschaftet (€)</t>
        </is>
      </c>
    </row>
    <row r="23">
      <c r="A23" s="4" t="inlineStr">
        <is>
          <t>7426 MPI-BTB-Biophysik-Max-von-Laue-Str3-FFM</t>
        </is>
      </c>
      <c r="B23" s="4" t="inlineStr">
        <is>
          <t>(aN) Pos. 1 Brandschutztechnische Beratung</t>
        </is>
      </c>
      <c r="C23" s="4" t="inlineStr">
        <is>
          <t>G</t>
        </is>
      </c>
      <c r="D23" s="4" t="n">
        <v>26</v>
      </c>
      <c r="E23" s="4" t="n">
        <v>41.25</v>
      </c>
      <c r="F23" s="4" t="n">
        <v>0.5</v>
      </c>
      <c r="G23" s="16" t="n">
        <v>158.65</v>
      </c>
      <c r="H23" s="5" t="n"/>
      <c r="I23" s="5">
        <f>IF(H23=0,"",F23-H23)</f>
        <v/>
      </c>
      <c r="J23" s="4" t="n"/>
      <c r="K23" s="5">
        <f>IF('M. Bandlofsky'!J35="J. Dorchies",'M. Bandlofsky'!I35,0)+IF('T. Trautmann'!J61="J. Dorchies",'T. Trautmann'!I61,0)</f>
        <v/>
      </c>
      <c r="L23" s="11">
        <f>IF($B$2="-","",IF($B$2="Pauschale",IFERROR(INDEX('Projekt-Budget-Übersicht'!$H:$H,MATCH(A23,'Projekt-Budget-Übersicht'!$A:$A,0)),""),IF($B$2="SV",IFERROR(INDEX('Projekt-Budget-Übersicht'!$H:$H,MATCH(A23,'Projekt-Budget-Übersicht'!$A:$A,0)),""),IF($B$2="CAD",IFERROR(INDEX('Projekt-Budget-Übersicht'!$I:$I,MATCH(A23,'Projekt-Budget-Übersicht'!$A:$A,0)),""),IF($B$2="ADM",IFERROR(INDEX('Projekt-Budget-Übersicht'!$J:$J,MATCH(A23,'Projekt-Budget-Übersicht'!$A:$A,0)),""),"")))))</f>
        <v/>
      </c>
      <c r="M23" s="11">
        <f>IF($B$2="-","",L23*(F23+I23+K23))</f>
        <v/>
      </c>
      <c r="N23" s="11">
        <f>IFERROR(INDEX('Projekt-Budget-Übersicht'!$E:$E,MATCH(A23,'Projekt-Budget-Übersicht'!$A:$A,0)),"")</f>
        <v/>
      </c>
      <c r="O23" s="11" t="inlineStr"/>
      <c r="P23" s="11" t="inlineStr"/>
    </row>
    <row r="24">
      <c r="A24" s="3" t="inlineStr"/>
      <c r="B24" s="3" t="inlineStr">
        <is>
          <t>Summe</t>
        </is>
      </c>
      <c r="C24" s="3" t="inlineStr"/>
      <c r="D24" s="3" t="inlineStr"/>
      <c r="E24" s="3" t="inlineStr"/>
      <c r="F24" s="6" t="n">
        <v>0.5</v>
      </c>
      <c r="G24" s="3" t="inlineStr"/>
      <c r="H24" s="3" t="inlineStr"/>
      <c r="I24" s="3" t="inlineStr"/>
      <c r="J24" s="3" t="inlineStr"/>
      <c r="K24" s="3" t="inlineStr"/>
      <c r="L24" s="3" t="n"/>
      <c r="M24" s="3" t="n"/>
      <c r="N24" s="3" t="n"/>
      <c r="O24" s="3" t="n"/>
      <c r="P24" s="3" t="n"/>
    </row>
    <row r="25">
      <c r="A25" s="3" t="inlineStr"/>
      <c r="B25" s="3" t="inlineStr">
        <is>
          <t>Bonusberechtigte Stunden</t>
        </is>
      </c>
      <c r="C25" s="3" t="inlineStr"/>
      <c r="D25" s="3" t="inlineStr"/>
      <c r="E25" s="3" t="inlineStr"/>
      <c r="F25" s="6">
        <f>G25+H25</f>
        <v/>
      </c>
      <c r="G25" s="6" t="n">
        <v>0</v>
      </c>
      <c r="H25" s="6">
        <f>SUM(H23)</f>
        <v/>
      </c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</row>
    <row r="26">
      <c r="A26" s="3" t="inlineStr"/>
      <c r="B26" s="3" t="inlineStr">
        <is>
          <t>Bonusberechtigte Stunden Sonderprojekt</t>
        </is>
      </c>
      <c r="C26" s="3" t="inlineStr"/>
      <c r="D26" s="3" t="inlineStr"/>
      <c r="E26" s="3" t="inlineStr"/>
      <c r="F26" s="6" t="n">
        <v>0</v>
      </c>
      <c r="G26" s="6" t="n">
        <v>0</v>
      </c>
      <c r="H26" s="6" t="n">
        <v>0</v>
      </c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</row>
    <row r="27">
      <c r="A27" s="3" t="inlineStr"/>
      <c r="B27" s="3" t="inlineStr">
        <is>
          <t>Zugeordnete Stunden von anderen MA</t>
        </is>
      </c>
      <c r="C27" s="3" t="inlineStr"/>
      <c r="D27" s="3" t="inlineStr"/>
      <c r="E27" s="3" t="inlineStr"/>
      <c r="F27" s="6">
        <f>SUM(K23:K23)</f>
        <v/>
      </c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</row>
    <row r="28">
      <c r="A28" s="18" t="inlineStr"/>
      <c r="B28" s="18" t="inlineStr">
        <is>
          <t>Gesamt Bonus Stunden</t>
        </is>
      </c>
      <c r="C28" s="18" t="inlineStr"/>
      <c r="D28" s="18" t="inlineStr"/>
      <c r="E28" s="18" t="inlineStr"/>
      <c r="F28" s="19">
        <f>F25+F26+F27</f>
        <v/>
      </c>
      <c r="G28" s="18" t="inlineStr"/>
      <c r="H28" s="18" t="inlineStr"/>
      <c r="I28" s="18" t="inlineStr"/>
      <c r="J28" s="18" t="inlineStr"/>
      <c r="K28" s="18" t="inlineStr"/>
      <c r="L28" s="18" t="n"/>
      <c r="M28" s="18" t="n"/>
      <c r="N28" s="18" t="n"/>
      <c r="O28" s="18" t="n"/>
      <c r="P28" s="18" t="n"/>
    </row>
    <row r="30">
      <c r="A30" s="2" t="inlineStr">
        <is>
          <t>--- Übertragshilfe ---</t>
        </is>
      </c>
    </row>
    <row r="31">
      <c r="A31" s="3" t="inlineStr">
        <is>
          <t>Monat</t>
        </is>
      </c>
      <c r="B31" s="3" t="inlineStr">
        <is>
          <t>Mitarbeiter</t>
        </is>
      </c>
      <c r="C31" s="3" t="inlineStr">
        <is>
          <t>Prod. Stunden</t>
        </is>
      </c>
      <c r="D31" s="3" t="inlineStr">
        <is>
          <t>Bonusberechtigte Stunden</t>
        </is>
      </c>
      <c r="E31" s="3" t="inlineStr">
        <is>
          <t>Bonusberechtigte Stunden Sonderprojekt</t>
        </is>
      </c>
      <c r="F31" s="3" t="inlineStr">
        <is>
          <t>Zugeordnet von anderen</t>
        </is>
      </c>
      <c r="G31" s="3" t="inlineStr">
        <is>
          <t>Gesamt Bonus</t>
        </is>
      </c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</row>
    <row r="32">
      <c r="A32" s="4" t="inlineStr">
        <is>
          <t>Juli 2025</t>
        </is>
      </c>
      <c r="B32" s="4" t="inlineStr">
        <is>
          <t>J. Dorchies</t>
        </is>
      </c>
      <c r="C32" s="4">
        <f>F15</f>
        <v/>
      </c>
      <c r="D32" s="4">
        <f>F16</f>
        <v/>
      </c>
      <c r="E32" s="4">
        <f>F17</f>
        <v/>
      </c>
      <c r="F32" s="4">
        <f>F18</f>
        <v/>
      </c>
      <c r="G32" s="4">
        <f>F19</f>
        <v/>
      </c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</row>
    <row r="33">
      <c r="A33" s="4" t="inlineStr">
        <is>
          <t>August 2025</t>
        </is>
      </c>
      <c r="B33" s="4" t="inlineStr">
        <is>
          <t>J. Dorchies</t>
        </is>
      </c>
      <c r="C33" s="4">
        <f>F24</f>
        <v/>
      </c>
      <c r="D33" s="4">
        <f>F25</f>
        <v/>
      </c>
      <c r="E33" s="4">
        <f>F26</f>
        <v/>
      </c>
      <c r="F33" s="4">
        <f>F27</f>
        <v/>
      </c>
      <c r="G33" s="4">
        <f>F28</f>
        <v/>
      </c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</row>
    <row r="36">
      <c r="A36" s="2" t="inlineStr">
        <is>
          <t>--- Gesamtstunden 2025Q3 ---</t>
        </is>
      </c>
    </row>
    <row r="37">
      <c r="A37" s="12" t="inlineStr">
        <is>
          <t>Gesamt eingetragene Stunden:</t>
        </is>
      </c>
      <c r="B37" s="12" t="n">
        <v>12.33</v>
      </c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</row>
    <row r="38">
      <c r="A38" s="12" t="inlineStr">
        <is>
          <t>Bonusberechtigte Stunden (Quartal):</t>
        </is>
      </c>
      <c r="B38" s="20">
        <f>SUM(F16,F25)</f>
        <v/>
      </c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</row>
    <row r="39">
      <c r="A39" s="12" t="inlineStr">
        <is>
          <t>Bonusberechtigte Stunden Sonderprojekt (Quartal):</t>
        </is>
      </c>
      <c r="B39" s="20">
        <f>SUM(F17,F26)</f>
        <v/>
      </c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</row>
  </sheetData>
  <mergeCells count="1">
    <mergeCell ref="A6:A7"/>
  </mergeCells>
  <conditionalFormatting sqref="I6">
    <cfRule type="cellIs" priority="1" operator="lessThan" dxfId="0" stopIfTrue="1">
      <formula>0</formula>
    </cfRule>
  </conditionalFormatting>
  <conditionalFormatting sqref="I7">
    <cfRule type="cellIs" priority="2" operator="lessThan" dxfId="0" stopIfTrue="1">
      <formula>0</formula>
    </cfRule>
  </conditionalFormatting>
  <conditionalFormatting sqref="I8">
    <cfRule type="cellIs" priority="3" operator="lessThan" dxfId="0" stopIfTrue="1">
      <formula>0</formula>
    </cfRule>
  </conditionalFormatting>
  <conditionalFormatting sqref="I9">
    <cfRule type="cellIs" priority="4" operator="lessThan" dxfId="0" stopIfTrue="1">
      <formula>0</formula>
    </cfRule>
  </conditionalFormatting>
  <conditionalFormatting sqref="I10">
    <cfRule type="cellIs" priority="5" operator="lessThan" dxfId="0" stopIfTrue="1">
      <formula>0</formula>
    </cfRule>
  </conditionalFormatting>
  <conditionalFormatting sqref="I11">
    <cfRule type="cellIs" priority="6" operator="lessThan" dxfId="0" stopIfTrue="1">
      <formula>0</formula>
    </cfRule>
  </conditionalFormatting>
  <conditionalFormatting sqref="I12">
    <cfRule type="cellIs" priority="7" operator="lessThan" dxfId="0" stopIfTrue="1">
      <formula>0</formula>
    </cfRule>
  </conditionalFormatting>
  <conditionalFormatting sqref="I13">
    <cfRule type="cellIs" priority="8" operator="lessThan" dxfId="0" stopIfTrue="1">
      <formula>0</formula>
    </cfRule>
  </conditionalFormatting>
  <conditionalFormatting sqref="I14">
    <cfRule type="cellIs" priority="9" operator="lessThan" dxfId="0" stopIfTrue="1">
      <formula>0</formula>
    </cfRule>
  </conditionalFormatting>
  <conditionalFormatting sqref="I23">
    <cfRule type="cellIs" priority="10" operator="lessThan" dxfId="0" stopIfTrue="1">
      <formula>0</formula>
    </cfRule>
  </conditionalFormatting>
  <dataValidations count="9">
    <dataValidation sqref="B2" showDropDown="0" showInputMessage="0" showErrorMessage="0" allowBlank="0" type="list">
      <formula1>"SV,CAD,ADM,Pauschale,-"</formula1>
    </dataValidation>
    <dataValidation sqref="J6" showDropDown="0" showInputMessage="0" showErrorMessage="0" allowBlank="1" type="list">
      <formula1>"A. Kokott,C. Trapp SV,D. Brucker,E. Bieler,J. Dorn,O. Haag BS-CAD,P. Bergner,R. Böttiger,S. Schüler,T. Trautmann,U. Sutter ADM"</formula1>
    </dataValidation>
    <dataValidation sqref="J7" showDropDown="0" showInputMessage="0" showErrorMessage="0" allowBlank="1" type="list">
      <formula1>"A. Kokott,C. Trapp SV,D. Brucker,E. Bieler,J. Dorn,M. Bandlofsky,O. Haag BS-CAD,P. Bergner,R. Wagen CAD,T. Trautmann,U. Sutter ADM"</formula1>
    </dataValidation>
    <dataValidation sqref="J8" showDropDown="0" showInputMessage="0" showErrorMessage="0" allowBlank="1" type="list">
      <formula1>"S. Schüler"</formula1>
    </dataValidation>
    <dataValidation sqref="J9" showDropDown="0" showInputMessage="0" showErrorMessage="0" allowBlank="1" type="list">
      <formula1>"A. Kokott,E. Bieler,J. Dorn,O. Haag BS-CAD,P. Bergner,R. Böttiger"</formula1>
    </dataValidation>
    <dataValidation sqref="J10" showDropDown="0" showInputMessage="0" showErrorMessage="0" allowBlank="1" type="list">
      <formula1>"H. Bektas"</formula1>
    </dataValidation>
    <dataValidation sqref="J11" showDropDown="0" showInputMessage="0" showErrorMessage="0" allowBlank="1" type="list">
      <formula1>"E. Bieler,J. Dorn,R. Böttiger"</formula1>
    </dataValidation>
    <dataValidation sqref="J14" showDropDown="0" showInputMessage="0" showErrorMessage="0" allowBlank="1" type="list">
      <formula1>"E. Bieler,H. Bektas"</formula1>
    </dataValidation>
    <dataValidation sqref="J23" showDropDown="0" showInputMessage="0" showErrorMessage="0" allowBlank="1" type="list">
      <formula1>"A. Kokott,E. Bieler,M. Bandlofsky,T. Trautmann"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19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8" customWidth="1" min="3" max="3"/>
    <col width="12" customWidth="1" min="4" max="4"/>
    <col width="12" customWidth="1" min="5" max="5"/>
    <col width="12" customWidth="1" min="6" max="6"/>
    <col width="8" customWidth="1" min="7" max="7"/>
    <col width="16" customWidth="1" min="8" max="8"/>
    <col width="12" customWidth="1" min="9" max="9"/>
    <col width="25" customWidth="1" min="10" max="10"/>
    <col width="15" customWidth="1" min="11" max="11"/>
    <col width="18" customWidth="1" min="12" max="12"/>
    <col width="15" customWidth="1" min="13" max="13"/>
    <col width="18" customWidth="1" min="14" max="14"/>
    <col width="15" customWidth="1" min="15" max="15"/>
    <col width="22" customWidth="1" min="16" max="16"/>
  </cols>
  <sheetData>
    <row r="1">
      <c r="A1" t="inlineStr">
        <is>
          <t>J. Dorn - Quartalsreport 2025Q3</t>
        </is>
      </c>
    </row>
    <row r="2">
      <c r="A2" s="12" t="inlineStr">
        <is>
          <t>Position:</t>
        </is>
      </c>
      <c r="B2" t="inlineStr">
        <is>
          <t>SV</t>
        </is>
      </c>
    </row>
    <row r="4">
      <c r="A4" s="2" t="inlineStr">
        <is>
          <t>--- Juli 2025 ---</t>
        </is>
      </c>
    </row>
    <row r="5">
      <c r="A5" s="3" t="inlineStr">
        <is>
          <t>Projekt</t>
        </is>
      </c>
      <c r="B5" s="3" t="inlineStr">
        <is>
          <t>Meilenstein</t>
        </is>
      </c>
      <c r="C5" s="3" t="inlineStr">
        <is>
          <t>Typ</t>
        </is>
      </c>
      <c r="D5" s="3" t="inlineStr">
        <is>
          <t>Soll (h)</t>
        </is>
      </c>
      <c r="E5" s="3" t="inlineStr">
        <is>
          <t>Ist (h)</t>
        </is>
      </c>
      <c r="F5" s="3" t="inlineStr">
        <is>
          <t>Juli 2025 (h)</t>
        </is>
      </c>
      <c r="G5" s="3" t="inlineStr">
        <is>
          <t>%</t>
        </is>
      </c>
      <c r="H5" s="3" t="inlineStr">
        <is>
          <t>Bonus-Anpassung (h)</t>
        </is>
      </c>
      <c r="I5" s="3" t="inlineStr">
        <is>
          <t>Differenz (h)</t>
        </is>
      </c>
      <c r="J5" s="3" t="inlineStr">
        <is>
          <t>Zuordnen an</t>
        </is>
      </c>
      <c r="K5" s="3" t="inlineStr">
        <is>
          <t>Von anderen (h)</t>
        </is>
      </c>
      <c r="L5" s="3" t="inlineStr">
        <is>
          <t>Stundensatz (€/h)</t>
        </is>
      </c>
      <c r="M5" s="3" t="inlineStr">
        <is>
          <t>Umsatz (€)</t>
        </is>
      </c>
      <c r="N5" s="3" t="inlineStr">
        <is>
          <t>Budget Gesamt (€)</t>
        </is>
      </c>
      <c r="O5" s="3" t="inlineStr">
        <is>
          <t>Budget Ist (€)</t>
        </is>
      </c>
      <c r="P5" s="3" t="inlineStr">
        <is>
          <t>Budget Erwirtschaftet (€)</t>
        </is>
      </c>
    </row>
    <row r="6">
      <c r="A6" s="13" t="inlineStr">
        <is>
          <t>0000 Sonderprojekt für Bonus</t>
        </is>
      </c>
      <c r="B6" s="4" t="inlineStr">
        <is>
          <t>Einarbeitung neuer Mitarbeiter (max. 8h/Monat pro MA)</t>
        </is>
      </c>
      <c r="C6" s="4" t="inlineStr">
        <is>
          <t>M</t>
        </is>
      </c>
      <c r="D6" s="4" t="n">
        <v>8</v>
      </c>
      <c r="E6" s="4" t="n">
        <v>1.25</v>
      </c>
      <c r="F6" s="4" t="n">
        <v>1.25</v>
      </c>
      <c r="G6" s="17" t="n">
        <v>15.62</v>
      </c>
      <c r="H6" s="5" t="n"/>
      <c r="I6" s="5">
        <f>IF(H6=0,"",F6-H6)</f>
        <v/>
      </c>
      <c r="J6" s="4" t="n"/>
      <c r="K6" s="5">
        <f>IF('A. Kokott'!J7="J. Dorn",'A. Kokott'!I7,0)+IF('C. Trapp SV'!J6="J. Dorn",'C. Trapp SV'!I6,0)+IF('D. Brucker'!J7="J. Dorn",'D. Brucker'!I7,0)+IF('E. Bieler'!J7="J. Dorn",'E. Bieler'!I7,0)+IF('J. Dorchies'!J7="J. Dorn",'J. Dorchies'!I7,0)+IF('M. Bandlofsky'!J6="J. Dorn",'M. Bandlofsky'!I6,0)+IF('T. Trautmann'!J7="J. Dorn",'T. Trautmann'!I7,0)+IF('U. Sutter ADM'!J7="J. Dorn",'U. Sutter ADM'!I7,0)</f>
        <v/>
      </c>
      <c r="L6" s="11">
        <f>IF($B$2="-","",IF($B$2="Pauschale",IFERROR(INDEX('Projekt-Budget-Übersicht'!$H:$H,MATCH(A6,'Projekt-Budget-Übersicht'!$A:$A,0)),""),IF($B$2="SV",IFERROR(INDEX('Projekt-Budget-Übersicht'!$H:$H,MATCH(A6,'Projekt-Budget-Übersicht'!$A:$A,0)),""),IF($B$2="CAD",IFERROR(INDEX('Projekt-Budget-Übersicht'!$I:$I,MATCH(A6,'Projekt-Budget-Übersicht'!$A:$A,0)),""),IF($B$2="ADM",IFERROR(INDEX('Projekt-Budget-Übersicht'!$J:$J,MATCH(A6,'Projekt-Budget-Übersicht'!$A:$A,0)),""),"")))))</f>
        <v/>
      </c>
      <c r="M6" s="11">
        <f>IF($B$2="-","",L6*(F6+I6+K6))</f>
        <v/>
      </c>
      <c r="N6" s="11">
        <f>IFERROR(INDEX('Projekt-Budget-Übersicht'!$E:$E,MATCH(A6,'Projekt-Budget-Übersicht'!$A:$A,0)),"")</f>
        <v/>
      </c>
      <c r="O6" s="11" t="inlineStr"/>
      <c r="P6" s="11" t="inlineStr"/>
    </row>
    <row r="7">
      <c r="A7" s="15" t="n"/>
      <c r="B7" s="4" t="inlineStr">
        <is>
          <t>Erstellung Vorlagen (übergreifend) (max. 8h/Monat pro MA)</t>
        </is>
      </c>
      <c r="C7" s="4" t="inlineStr">
        <is>
          <t>M</t>
        </is>
      </c>
      <c r="D7" s="4" t="n">
        <v>8</v>
      </c>
      <c r="E7" s="4" t="n">
        <v>0.25</v>
      </c>
      <c r="F7" s="4" t="n">
        <v>0.25</v>
      </c>
      <c r="G7" s="17" t="n">
        <v>3.12</v>
      </c>
      <c r="H7" s="5" t="n"/>
      <c r="I7" s="5">
        <f>IF(H7=0,"",F7-H7)</f>
        <v/>
      </c>
      <c r="J7" s="4" t="n"/>
      <c r="K7" s="5">
        <f>IF('T. Trautmann'!J8="J. Dorn",'T. Trautmann'!I8,0)</f>
        <v/>
      </c>
      <c r="L7" s="11">
        <f>IF($B$2="-","",IF($B$2="Pauschale",IFERROR(INDEX('Projekt-Budget-Übersicht'!$H:$H,MATCH(A7,'Projekt-Budget-Übersicht'!$A:$A,0)),""),IF($B$2="SV",IFERROR(INDEX('Projekt-Budget-Übersicht'!$H:$H,MATCH(A7,'Projekt-Budget-Übersicht'!$A:$A,0)),""),IF($B$2="CAD",IFERROR(INDEX('Projekt-Budget-Übersicht'!$I:$I,MATCH(A7,'Projekt-Budget-Übersicht'!$A:$A,0)),""),IF($B$2="ADM",IFERROR(INDEX('Projekt-Budget-Übersicht'!$J:$J,MATCH(A7,'Projekt-Budget-Übersicht'!$A:$A,0)),""),"")))))</f>
        <v/>
      </c>
      <c r="M7" s="11">
        <f>IF($B$2="-","",L7*(F7+I7+K7))</f>
        <v/>
      </c>
      <c r="N7" s="11">
        <f>IFERROR(INDEX('Projekt-Budget-Übersicht'!$E:$E,MATCH(A7,'Projekt-Budget-Übersicht'!$A:$A,0)),"")</f>
        <v/>
      </c>
      <c r="O7" s="11" t="inlineStr"/>
      <c r="P7" s="11" t="inlineStr"/>
    </row>
    <row r="8">
      <c r="A8" s="4" t="inlineStr">
        <is>
          <t>4899.08 Berkel-BAB-Erbachstr18-Labor-Büro-Ludwigshafen-Berkel</t>
        </is>
      </c>
      <c r="B8" s="4" t="inlineStr">
        <is>
          <t>(p) Pos. 1 KOF</t>
        </is>
      </c>
      <c r="C8" s="4" t="inlineStr">
        <is>
          <t>G</t>
        </is>
      </c>
      <c r="D8" s="4" t="n">
        <v>19</v>
      </c>
      <c r="E8" s="4" t="n">
        <v>9.75</v>
      </c>
      <c r="F8" s="4" t="n">
        <v>1.75</v>
      </c>
      <c r="G8" s="17" t="n">
        <v>51.32</v>
      </c>
      <c r="H8" s="5" t="n"/>
      <c r="I8" s="5">
        <f>IF(H8=0,"",F8-H8)</f>
        <v/>
      </c>
      <c r="J8" s="4" t="n"/>
      <c r="K8" s="5" t="n">
        <v>0</v>
      </c>
      <c r="L8" s="11">
        <f>IF($B$2="-","",IF($B$2="Pauschale",IFERROR(INDEX('Projekt-Budget-Übersicht'!$H:$H,MATCH(A8,'Projekt-Budget-Übersicht'!$A:$A,0)),""),IF($B$2="SV",IFERROR(INDEX('Projekt-Budget-Übersicht'!$H:$H,MATCH(A8,'Projekt-Budget-Übersicht'!$A:$A,0)),""),IF($B$2="CAD",IFERROR(INDEX('Projekt-Budget-Übersicht'!$I:$I,MATCH(A8,'Projekt-Budget-Übersicht'!$A:$A,0)),""),IF($B$2="ADM",IFERROR(INDEX('Projekt-Budget-Übersicht'!$J:$J,MATCH(A8,'Projekt-Budget-Übersicht'!$A:$A,0)),""),"")))))</f>
        <v/>
      </c>
      <c r="M8" s="11">
        <f>IF($B$2="-","",L8*(F8+I8+K8))</f>
        <v/>
      </c>
      <c r="N8" s="11">
        <f>IFERROR(INDEX('Projekt-Budget-Übersicht'!$E:$E,MATCH(A8,'Projekt-Budget-Übersicht'!$A:$A,0)),"")</f>
        <v/>
      </c>
      <c r="O8" s="11" t="inlineStr"/>
      <c r="P8" s="11" t="inlineStr"/>
    </row>
    <row r="9">
      <c r="A9" s="4" t="inlineStr">
        <is>
          <t>5156.03 LP8-LBBTR-SPES-N-Airbase-Spangdahlem</t>
        </is>
      </c>
      <c r="B9" s="4" t="inlineStr">
        <is>
          <t>(p) Pos. 8 LPH 8 Objektüberwachung</t>
        </is>
      </c>
      <c r="C9" s="4" t="inlineStr">
        <is>
          <t>G</t>
        </is>
      </c>
      <c r="D9" s="4" t="n">
        <v>295.5</v>
      </c>
      <c r="E9" s="4" t="n">
        <v>108.25</v>
      </c>
      <c r="F9" s="4" t="n">
        <v>10.75</v>
      </c>
      <c r="G9" s="17" t="n">
        <v>36.63</v>
      </c>
      <c r="H9" s="5" t="n"/>
      <c r="I9" s="5">
        <f>IF(H9=0,"",F9-H9)</f>
        <v/>
      </c>
      <c r="J9" s="4" t="n"/>
      <c r="K9" s="5">
        <f>IF('E. Bieler'!J10="J. Dorn",'E. Bieler'!I10,0)+IF('P. Bergner'!J6="J. Dorn",'P. Bergner'!I6,0)</f>
        <v/>
      </c>
      <c r="L9" s="11">
        <f>IF($B$2="-","",IF($B$2="Pauschale",IFERROR(INDEX('Projekt-Budget-Übersicht'!$H:$H,MATCH(A9,'Projekt-Budget-Übersicht'!$A:$A,0)),""),IF($B$2="SV",IFERROR(INDEX('Projekt-Budget-Übersicht'!$H:$H,MATCH(A9,'Projekt-Budget-Übersicht'!$A:$A,0)),""),IF($B$2="CAD",IFERROR(INDEX('Projekt-Budget-Übersicht'!$I:$I,MATCH(A9,'Projekt-Budget-Übersicht'!$A:$A,0)),""),IF($B$2="ADM",IFERROR(INDEX('Projekt-Budget-Übersicht'!$J:$J,MATCH(A9,'Projekt-Budget-Übersicht'!$A:$A,0)),""),"")))))</f>
        <v/>
      </c>
      <c r="M9" s="11">
        <f>IF($B$2="-","",L9*(F9+I9+K9))</f>
        <v/>
      </c>
      <c r="N9" s="11">
        <f>IFERROR(INDEX('Projekt-Budget-Übersicht'!$E:$E,MATCH(A9,'Projekt-Budget-Übersicht'!$A:$A,0)),"")</f>
        <v/>
      </c>
      <c r="O9" s="11" t="inlineStr"/>
      <c r="P9" s="11" t="inlineStr"/>
    </row>
    <row r="10">
      <c r="A10" s="4" t="inlineStr">
        <is>
          <t>5328.06 Flugfeldklinikum-Böblingen-Fortschr-BSK-FFK</t>
        </is>
      </c>
      <c r="B10" s="4" t="inlineStr">
        <is>
          <t>5100-Beraten Planer ausführungsreife Lösungen….</t>
        </is>
      </c>
      <c r="C10" s="4" t="inlineStr">
        <is>
          <t>G</t>
        </is>
      </c>
      <c r="D10" s="4" t="n">
        <v>20</v>
      </c>
      <c r="E10" s="4" t="n">
        <v>2.75</v>
      </c>
      <c r="F10" s="4" t="n">
        <v>0.25</v>
      </c>
      <c r="G10" s="17" t="n">
        <v>13.75</v>
      </c>
      <c r="H10" s="5" t="n"/>
      <c r="I10" s="5">
        <f>IF(H10=0,"",F10-H10)</f>
        <v/>
      </c>
      <c r="J10" s="4" t="n"/>
      <c r="K10" s="5">
        <f>IF('U. Sutter ADM'!J14="J. Dorn",'U. Sutter ADM'!I14,0)</f>
        <v/>
      </c>
      <c r="L10" s="11">
        <f>IF($B$2="-","",IF($B$2="Pauschale",IFERROR(INDEX('Projekt-Budget-Übersicht'!$H:$H,MATCH(A10,'Projekt-Budget-Übersicht'!$A:$A,0)),""),IF($B$2="SV",IFERROR(INDEX('Projekt-Budget-Übersicht'!$H:$H,MATCH(A10,'Projekt-Budget-Übersicht'!$A:$A,0)),""),IF($B$2="CAD",IFERROR(INDEX('Projekt-Budget-Übersicht'!$I:$I,MATCH(A10,'Projekt-Budget-Übersicht'!$A:$A,0)),""),IF($B$2="ADM",IFERROR(INDEX('Projekt-Budget-Übersicht'!$J:$J,MATCH(A10,'Projekt-Budget-Übersicht'!$A:$A,0)),""),"")))))</f>
        <v/>
      </c>
      <c r="M10" s="11">
        <f>IF($B$2="-","",L10*(F10+I10+K10))</f>
        <v/>
      </c>
      <c r="N10" s="11">
        <f>IFERROR(INDEX('Projekt-Budget-Übersicht'!$E:$E,MATCH(A10,'Projekt-Budget-Übersicht'!$A:$A,0)),"")</f>
        <v/>
      </c>
      <c r="O10" s="11" t="inlineStr"/>
      <c r="P10" s="11" t="inlineStr"/>
    </row>
    <row r="11">
      <c r="A11" s="4" t="inlineStr">
        <is>
          <t>5664.171 KOF-Anbau-G1-Lauterstraße-50-Wolfstein</t>
        </is>
      </c>
      <c r="B11" s="4" t="inlineStr">
        <is>
          <t>8100-Prüfen der Ausführung auf prinzipielle Übereinstimmung (Stufe 1)....</t>
        </is>
      </c>
      <c r="C11" s="4" t="inlineStr">
        <is>
          <t>G</t>
        </is>
      </c>
      <c r="D11" s="4" t="n">
        <v>30</v>
      </c>
      <c r="E11" s="4" t="n">
        <v>17.25</v>
      </c>
      <c r="F11" s="4" t="n">
        <v>10</v>
      </c>
      <c r="G11" s="17" t="n">
        <v>57.5</v>
      </c>
      <c r="H11" s="5" t="n"/>
      <c r="I11" s="5">
        <f>IF(H11=0,"",F11-H11)</f>
        <v/>
      </c>
      <c r="J11" s="4" t="n"/>
      <c r="K11" s="5" t="n">
        <v>0</v>
      </c>
      <c r="L11" s="11">
        <f>IF($B$2="-","",IF($B$2="Pauschale",IFERROR(INDEX('Projekt-Budget-Übersicht'!$H:$H,MATCH(A11,'Projekt-Budget-Übersicht'!$A:$A,0)),""),IF($B$2="SV",IFERROR(INDEX('Projekt-Budget-Übersicht'!$H:$H,MATCH(A11,'Projekt-Budget-Übersicht'!$A:$A,0)),""),IF($B$2="CAD",IFERROR(INDEX('Projekt-Budget-Übersicht'!$I:$I,MATCH(A11,'Projekt-Budget-Übersicht'!$A:$A,0)),""),IF($B$2="ADM",IFERROR(INDEX('Projekt-Budget-Übersicht'!$J:$J,MATCH(A11,'Projekt-Budget-Übersicht'!$A:$A,0)),""),"")))))</f>
        <v/>
      </c>
      <c r="M11" s="11">
        <f>IF($B$2="-","",L11*(F11+I11+K11))</f>
        <v/>
      </c>
      <c r="N11" s="11">
        <f>IFERROR(INDEX('Projekt-Budget-Übersicht'!$E:$E,MATCH(A11,'Projekt-Budget-Übersicht'!$A:$A,0)),"")</f>
        <v/>
      </c>
      <c r="O11" s="11" t="inlineStr"/>
      <c r="P11" s="11" t="inlineStr"/>
    </row>
    <row r="12">
      <c r="A12" s="4" t="inlineStr">
        <is>
          <t>5664.19 (5667.04)  KOB-BAB-Umbau-Sprinkleranlage-Lauterstr50-Wolfstein</t>
        </is>
      </c>
      <c r="B12" s="4" t="inlineStr">
        <is>
          <t>3100-Erarbeiten des Brandschutzkonzept/Nachweis/Stellungnahme (SV)</t>
        </is>
      </c>
      <c r="C12" s="4" t="inlineStr">
        <is>
          <t>G</t>
        </is>
      </c>
      <c r="D12" s="4" t="n">
        <v>16</v>
      </c>
      <c r="E12" s="4" t="n">
        <v>15.5</v>
      </c>
      <c r="F12" s="4" t="n">
        <v>4.25</v>
      </c>
      <c r="G12" s="14" t="n">
        <v>96.88</v>
      </c>
      <c r="H12" s="5" t="n"/>
      <c r="I12" s="5">
        <f>IF(H12=0,"",F12-H12)</f>
        <v/>
      </c>
      <c r="J12" s="4" t="n"/>
      <c r="K12" s="5" t="n">
        <v>0</v>
      </c>
      <c r="L12" s="11">
        <f>IF($B$2="-","",IF($B$2="Pauschale",IFERROR(INDEX('Projekt-Budget-Übersicht'!$H:$H,MATCH(A12,'Projekt-Budget-Übersicht'!$A:$A,0)),""),IF($B$2="SV",IFERROR(INDEX('Projekt-Budget-Übersicht'!$H:$H,MATCH(A12,'Projekt-Budget-Übersicht'!$A:$A,0)),""),IF($B$2="CAD",IFERROR(INDEX('Projekt-Budget-Übersicht'!$I:$I,MATCH(A12,'Projekt-Budget-Übersicht'!$A:$A,0)),""),IF($B$2="ADM",IFERROR(INDEX('Projekt-Budget-Übersicht'!$J:$J,MATCH(A12,'Projekt-Budget-Übersicht'!$A:$A,0)),""),"")))))</f>
        <v/>
      </c>
      <c r="M12" s="11">
        <f>IF($B$2="-","",L12*(F12+I12+K12))</f>
        <v/>
      </c>
      <c r="N12" s="11">
        <f>IFERROR(INDEX('Projekt-Budget-Übersicht'!$E:$E,MATCH(A12,'Projekt-Budget-Übersicht'!$A:$A,0)),"")</f>
        <v/>
      </c>
      <c r="O12" s="11" t="inlineStr"/>
      <c r="P12" s="11" t="inlineStr"/>
    </row>
    <row r="13">
      <c r="A13" s="4" t="inlineStr">
        <is>
          <t>5664.21 Stundensammler-KOB-BTB-Chemikalienlager-Lauterstr50-Wolfstein</t>
        </is>
      </c>
      <c r="B13" s="4" t="inlineStr">
        <is>
          <t>SV</t>
        </is>
      </c>
      <c r="C13" s="4" t="inlineStr">
        <is>
          <t>G</t>
        </is>
      </c>
      <c r="D13" s="4" t="n">
        <v>30</v>
      </c>
      <c r="E13" s="4" t="n">
        <v>11.5</v>
      </c>
      <c r="F13" s="4" t="n">
        <v>2.5</v>
      </c>
      <c r="G13" s="17" t="n">
        <v>38.33</v>
      </c>
      <c r="H13" s="5" t="n"/>
      <c r="I13" s="5">
        <f>IF(H13=0,"",F13-H13)</f>
        <v/>
      </c>
      <c r="J13" s="4" t="n"/>
      <c r="K13" s="5" t="n">
        <v>0</v>
      </c>
      <c r="L13" s="11">
        <f>IF($B$2="-","",IF($B$2="Pauschale",IFERROR(INDEX('Projekt-Budget-Übersicht'!$H:$H,MATCH(A13,'Projekt-Budget-Übersicht'!$A:$A,0)),""),IF($B$2="SV",IFERROR(INDEX('Projekt-Budget-Übersicht'!$H:$H,MATCH(A13,'Projekt-Budget-Übersicht'!$A:$A,0)),""),IF($B$2="CAD",IFERROR(INDEX('Projekt-Budget-Übersicht'!$I:$I,MATCH(A13,'Projekt-Budget-Übersicht'!$A:$A,0)),""),IF($B$2="ADM",IFERROR(INDEX('Projekt-Budget-Übersicht'!$J:$J,MATCH(A13,'Projekt-Budget-Übersicht'!$A:$A,0)),""),"")))))</f>
        <v/>
      </c>
      <c r="M13" s="11">
        <f>IF($B$2="-","",L13*(F13+I13+K13))</f>
        <v/>
      </c>
      <c r="N13" s="11">
        <f>IFERROR(INDEX('Projekt-Budget-Übersicht'!$E:$E,MATCH(A13,'Projekt-Budget-Übersicht'!$A:$A,0)),"")</f>
        <v/>
      </c>
      <c r="O13" s="11" t="inlineStr"/>
      <c r="P13" s="11" t="inlineStr"/>
    </row>
    <row r="14">
      <c r="A14" s="4" t="inlineStr">
        <is>
          <t>5876 Eppelheimer-Straße-12-Heidelberg-Hotel-Easy-Living</t>
        </is>
      </c>
      <c r="B14" s="4" t="inlineStr">
        <is>
          <t>8000-Objektüberwachung</t>
        </is>
      </c>
      <c r="C14" s="4" t="inlineStr">
        <is>
          <t>G</t>
        </is>
      </c>
      <c r="D14" s="4" t="n">
        <v>110</v>
      </c>
      <c r="E14" s="4" t="n">
        <v>45.75</v>
      </c>
      <c r="F14" s="4" t="n">
        <v>3.5</v>
      </c>
      <c r="G14" s="17" t="n">
        <v>41.59</v>
      </c>
      <c r="H14" s="5" t="n"/>
      <c r="I14" s="5">
        <f>IF(H14=0,"",F14-H14)</f>
        <v/>
      </c>
      <c r="J14" s="4" t="n"/>
      <c r="K14" s="5">
        <f>IF('E. Bieler'!J13="J. Dorn",'E. Bieler'!I13,0)</f>
        <v/>
      </c>
      <c r="L14" s="11">
        <f>IF($B$2="-","",IF($B$2="Pauschale",IFERROR(INDEX('Projekt-Budget-Übersicht'!$H:$H,MATCH(A14,'Projekt-Budget-Übersicht'!$A:$A,0)),""),IF($B$2="SV",IFERROR(INDEX('Projekt-Budget-Übersicht'!$H:$H,MATCH(A14,'Projekt-Budget-Übersicht'!$A:$A,0)),""),IF($B$2="CAD",IFERROR(INDEX('Projekt-Budget-Übersicht'!$I:$I,MATCH(A14,'Projekt-Budget-Übersicht'!$A:$A,0)),""),IF($B$2="ADM",IFERROR(INDEX('Projekt-Budget-Übersicht'!$J:$J,MATCH(A14,'Projekt-Budget-Übersicht'!$A:$A,0)),""),"")))))</f>
        <v/>
      </c>
      <c r="M14" s="11">
        <f>IF($B$2="-","",L14*(F14+I14+K14))</f>
        <v/>
      </c>
      <c r="N14" s="11">
        <f>IFERROR(INDEX('Projekt-Budget-Übersicht'!$E:$E,MATCH(A14,'Projekt-Budget-Übersicht'!$A:$A,0)),"")</f>
        <v/>
      </c>
      <c r="O14" s="11" t="inlineStr"/>
      <c r="P14" s="11" t="inlineStr"/>
    </row>
    <row r="15">
      <c r="A15" s="4" t="inlineStr">
        <is>
          <t>5987.03 E&amp;S-BSK-BT-C-Czernyring15-Heidelberg</t>
        </is>
      </c>
      <c r="B15" s="4" t="inlineStr">
        <is>
          <t>2302-Beratungsleistungen in der Planungsphase SV</t>
        </is>
      </c>
      <c r="C15" s="4" t="inlineStr">
        <is>
          <t>G</t>
        </is>
      </c>
      <c r="D15" s="4" t="n">
        <v>16</v>
      </c>
      <c r="E15" s="4" t="n">
        <v>8</v>
      </c>
      <c r="F15" s="4" t="n">
        <v>2.5</v>
      </c>
      <c r="G15" s="17" t="n">
        <v>50</v>
      </c>
      <c r="H15" s="5" t="n"/>
      <c r="I15" s="5">
        <f>IF(H15=0,"",F15-H15)</f>
        <v/>
      </c>
      <c r="J15" s="4" t="n"/>
      <c r="K15" s="5" t="n">
        <v>0</v>
      </c>
      <c r="L15" s="11">
        <f>IF($B$2="-","",IF($B$2="Pauschale",IFERROR(INDEX('Projekt-Budget-Übersicht'!$H:$H,MATCH(A15,'Projekt-Budget-Übersicht'!$A:$A,0)),""),IF($B$2="SV",IFERROR(INDEX('Projekt-Budget-Übersicht'!$H:$H,MATCH(A15,'Projekt-Budget-Übersicht'!$A:$A,0)),""),IF($B$2="CAD",IFERROR(INDEX('Projekt-Budget-Übersicht'!$I:$I,MATCH(A15,'Projekt-Budget-Übersicht'!$A:$A,0)),""),IF($B$2="ADM",IFERROR(INDEX('Projekt-Budget-Übersicht'!$J:$J,MATCH(A15,'Projekt-Budget-Übersicht'!$A:$A,0)),""),"")))))</f>
        <v/>
      </c>
      <c r="M15" s="11">
        <f>IF($B$2="-","",L15*(F15+I15+K15))</f>
        <v/>
      </c>
      <c r="N15" s="11">
        <f>IFERROR(INDEX('Projekt-Budget-Übersicht'!$E:$E,MATCH(A15,'Projekt-Budget-Übersicht'!$A:$A,0)),"")</f>
        <v/>
      </c>
      <c r="O15" s="11" t="inlineStr"/>
      <c r="P15" s="11" t="inlineStr"/>
    </row>
    <row r="16">
      <c r="A16" s="4" t="inlineStr">
        <is>
          <t>5987.04 E&amp;S-BTB+BSK-BT-A+B-Czernyring15-Heidelberg</t>
        </is>
      </c>
      <c r="B16" s="4" t="inlineStr">
        <is>
          <t>(aN) Pos. 1 BTB Planungsph. BT B</t>
        </is>
      </c>
      <c r="C16" s="4" t="inlineStr">
        <is>
          <t>G</t>
        </is>
      </c>
      <c r="D16" s="4" t="n">
        <v>15</v>
      </c>
      <c r="E16" s="4" t="n">
        <v>13.5</v>
      </c>
      <c r="F16" s="4" t="n">
        <v>3.25</v>
      </c>
      <c r="G16" s="14" t="n">
        <v>90</v>
      </c>
      <c r="H16" s="5" t="n"/>
      <c r="I16" s="5">
        <f>IF(H16=0,"",F16-H16)</f>
        <v/>
      </c>
      <c r="J16" s="4" t="n"/>
      <c r="K16" s="5" t="n">
        <v>0</v>
      </c>
      <c r="L16" s="11">
        <f>IF($B$2="-","",IF($B$2="Pauschale",IFERROR(INDEX('Projekt-Budget-Übersicht'!$H:$H,MATCH(A16,'Projekt-Budget-Übersicht'!$A:$A,0)),""),IF($B$2="SV",IFERROR(INDEX('Projekt-Budget-Übersicht'!$H:$H,MATCH(A16,'Projekt-Budget-Übersicht'!$A:$A,0)),""),IF($B$2="CAD",IFERROR(INDEX('Projekt-Budget-Übersicht'!$I:$I,MATCH(A16,'Projekt-Budget-Übersicht'!$A:$A,0)),""),IF($B$2="ADM",IFERROR(INDEX('Projekt-Budget-Übersicht'!$J:$J,MATCH(A16,'Projekt-Budget-Übersicht'!$A:$A,0)),""),"")))))</f>
        <v/>
      </c>
      <c r="M16" s="11">
        <f>IF($B$2="-","",L16*(F16+I16+K16))</f>
        <v/>
      </c>
      <c r="N16" s="11">
        <f>IFERROR(INDEX('Projekt-Budget-Übersicht'!$E:$E,MATCH(A16,'Projekt-Budget-Übersicht'!$A:$A,0)),"")</f>
        <v/>
      </c>
      <c r="O16" s="11" t="inlineStr"/>
      <c r="P16" s="11" t="inlineStr"/>
    </row>
    <row r="17">
      <c r="A17" s="4" t="inlineStr">
        <is>
          <t>6106.01 KreisBergstrasse-AHO-NB-LGL-Lessinggymnasium-Biedensandstr55-Lampertheim</t>
        </is>
      </c>
      <c r="B17" s="4" t="inlineStr">
        <is>
          <t>RL</t>
        </is>
      </c>
      <c r="C17" s="4" t="inlineStr">
        <is>
          <t>G</t>
        </is>
      </c>
      <c r="D17" s="4" t="n">
        <v>160</v>
      </c>
      <c r="E17" s="4" t="n">
        <v>72.25</v>
      </c>
      <c r="F17" s="4" t="n">
        <v>22.25</v>
      </c>
      <c r="G17" s="17" t="n">
        <v>45.16</v>
      </c>
      <c r="H17" s="5" t="n"/>
      <c r="I17" s="5">
        <f>IF(H17=0,"",F17-H17)</f>
        <v/>
      </c>
      <c r="J17" s="4" t="n"/>
      <c r="K17" s="5" t="n">
        <v>0</v>
      </c>
      <c r="L17" s="11">
        <f>IF($B$2="-","",IF($B$2="Pauschale",IFERROR(INDEX('Projekt-Budget-Übersicht'!$H:$H,MATCH(A17,'Projekt-Budget-Übersicht'!$A:$A,0)),""),IF($B$2="SV",IFERROR(INDEX('Projekt-Budget-Übersicht'!$H:$H,MATCH(A17,'Projekt-Budget-Übersicht'!$A:$A,0)),""),IF($B$2="CAD",IFERROR(INDEX('Projekt-Budget-Übersicht'!$I:$I,MATCH(A17,'Projekt-Budget-Übersicht'!$A:$A,0)),""),IF($B$2="ADM",IFERROR(INDEX('Projekt-Budget-Übersicht'!$J:$J,MATCH(A17,'Projekt-Budget-Übersicht'!$A:$A,0)),""),"")))))</f>
        <v/>
      </c>
      <c r="M17" s="11">
        <f>IF($B$2="-","",L17*(F17+I17+K17))</f>
        <v/>
      </c>
      <c r="N17" s="11">
        <f>IFERROR(INDEX('Projekt-Budget-Übersicht'!$E:$E,MATCH(A17,'Projekt-Budget-Übersicht'!$A:$A,0)),"")</f>
        <v/>
      </c>
      <c r="O17" s="11" t="inlineStr"/>
      <c r="P17" s="11" t="inlineStr"/>
    </row>
    <row r="18">
      <c r="A18" s="13" t="inlineStr">
        <is>
          <t>6151.01 SWSTU-BSK-Kesselstr23-Stuttgart</t>
        </is>
      </c>
      <c r="B18" s="4" t="inlineStr">
        <is>
          <t>(aN) Anpassung BSK (SV)</t>
        </is>
      </c>
      <c r="C18" s="4" t="inlineStr">
        <is>
          <t>G</t>
        </is>
      </c>
      <c r="D18" s="4" t="n">
        <v>38</v>
      </c>
      <c r="E18" s="4" t="n">
        <v>13.25</v>
      </c>
      <c r="F18" s="4" t="n">
        <v>2</v>
      </c>
      <c r="G18" s="17" t="n">
        <v>34.87</v>
      </c>
      <c r="H18" s="5" t="n"/>
      <c r="I18" s="5">
        <f>IF(H18=0,"",F18-H18)</f>
        <v/>
      </c>
      <c r="J18" s="4" t="n"/>
      <c r="K18" s="5" t="n">
        <v>0</v>
      </c>
      <c r="L18" s="11">
        <f>IF($B$2="-","",IF($B$2="Pauschale",IFERROR(INDEX('Projekt-Budget-Übersicht'!$H:$H,MATCH(A18,'Projekt-Budget-Übersicht'!$A:$A,0)),""),IF($B$2="SV",IFERROR(INDEX('Projekt-Budget-Übersicht'!$H:$H,MATCH(A18,'Projekt-Budget-Übersicht'!$A:$A,0)),""),IF($B$2="CAD",IFERROR(INDEX('Projekt-Budget-Übersicht'!$I:$I,MATCH(A18,'Projekt-Budget-Übersicht'!$A:$A,0)),""),IF($B$2="ADM",IFERROR(INDEX('Projekt-Budget-Übersicht'!$J:$J,MATCH(A18,'Projekt-Budget-Übersicht'!$A:$A,0)),""),"")))))</f>
        <v/>
      </c>
      <c r="M18" s="11">
        <f>IF($B$2="-","",L18*(F18+I18+K18))</f>
        <v/>
      </c>
      <c r="N18" s="11">
        <f>IFERROR(INDEX('Projekt-Budget-Übersicht'!$E:$E,MATCH(A18,'Projekt-Budget-Übersicht'!$A:$A,0)),"")</f>
        <v/>
      </c>
      <c r="O18" s="11" t="inlineStr"/>
      <c r="P18" s="11" t="inlineStr"/>
    </row>
    <row r="19">
      <c r="A19" s="15" t="n"/>
      <c r="B19" s="4" t="inlineStr">
        <is>
          <t>8104-Statusbericht Bewertung auf Möglichkeiten zur Inbetriebnahme….</t>
        </is>
      </c>
      <c r="C19" s="4" t="inlineStr">
        <is>
          <t>G</t>
        </is>
      </c>
      <c r="D19" s="4" t="n">
        <v>20</v>
      </c>
      <c r="E19" s="4" t="n">
        <v>17.5</v>
      </c>
      <c r="F19" s="4" t="n">
        <v>3</v>
      </c>
      <c r="G19" s="17" t="n">
        <v>87.5</v>
      </c>
      <c r="H19" s="5" t="n"/>
      <c r="I19" s="5">
        <f>IF(H19=0,"",F19-H19)</f>
        <v/>
      </c>
      <c r="J19" s="4" t="n"/>
      <c r="K19" s="5" t="n">
        <v>0</v>
      </c>
      <c r="L19" s="11">
        <f>IF($B$2="-","",IF($B$2="Pauschale",IFERROR(INDEX('Projekt-Budget-Übersicht'!$H:$H,MATCH(A19,'Projekt-Budget-Übersicht'!$A:$A,0)),""),IF($B$2="SV",IFERROR(INDEX('Projekt-Budget-Übersicht'!$H:$H,MATCH(A19,'Projekt-Budget-Übersicht'!$A:$A,0)),""),IF($B$2="CAD",IFERROR(INDEX('Projekt-Budget-Übersicht'!$I:$I,MATCH(A19,'Projekt-Budget-Übersicht'!$A:$A,0)),""),IF($B$2="ADM",IFERROR(INDEX('Projekt-Budget-Übersicht'!$J:$J,MATCH(A19,'Projekt-Budget-Übersicht'!$A:$A,0)),""),"")))))</f>
        <v/>
      </c>
      <c r="M19" s="11">
        <f>IF($B$2="-","",L19*(F19+I19+K19))</f>
        <v/>
      </c>
      <c r="N19" s="11">
        <f>IFERROR(INDEX('Projekt-Budget-Übersicht'!$E:$E,MATCH(A19,'Projekt-Budget-Übersicht'!$A:$A,0)),"")</f>
        <v/>
      </c>
      <c r="O19" s="11" t="inlineStr"/>
      <c r="P19" s="11" t="inlineStr"/>
    </row>
    <row r="20">
      <c r="A20" s="4" t="inlineStr">
        <is>
          <t>6313.05 rh-Construction-LG-EnSol-BSK-BAB-Limespark-Sulzbach</t>
        </is>
      </c>
      <c r="B20" s="4" t="inlineStr">
        <is>
          <t>(p) Pos. 3 Brandschutzberatung in der Ausführungsplanung</t>
        </is>
      </c>
      <c r="C20" s="4" t="inlineStr">
        <is>
          <t>G</t>
        </is>
      </c>
      <c r="D20" s="4" t="n">
        <v>16</v>
      </c>
      <c r="E20" s="4" t="n">
        <v>22.25</v>
      </c>
      <c r="F20" s="4" t="n">
        <v>0.5</v>
      </c>
      <c r="G20" s="16" t="n">
        <v>139.06</v>
      </c>
      <c r="H20" s="5" t="n"/>
      <c r="I20" s="5">
        <f>IF(H20=0,"",F20-H20)</f>
        <v/>
      </c>
      <c r="J20" s="4" t="n"/>
      <c r="K20" s="5">
        <f>IF('E. Bieler'!J18="J. Dorn",'E. Bieler'!I18,0)+IF('R. Böttiger'!J8="J. Dorn",'R. Böttiger'!I8,0)</f>
        <v/>
      </c>
      <c r="L20" s="11">
        <f>IF($B$2="-","",IF($B$2="Pauschale",IFERROR(INDEX('Projekt-Budget-Übersicht'!$H:$H,MATCH(A20,'Projekt-Budget-Übersicht'!$A:$A,0)),""),IF($B$2="SV",IFERROR(INDEX('Projekt-Budget-Übersicht'!$H:$H,MATCH(A20,'Projekt-Budget-Übersicht'!$A:$A,0)),""),IF($B$2="CAD",IFERROR(INDEX('Projekt-Budget-Übersicht'!$I:$I,MATCH(A20,'Projekt-Budget-Übersicht'!$A:$A,0)),""),IF($B$2="ADM",IFERROR(INDEX('Projekt-Budget-Übersicht'!$J:$J,MATCH(A20,'Projekt-Budget-Übersicht'!$A:$A,0)),""),"")))))</f>
        <v/>
      </c>
      <c r="M20" s="11">
        <f>IF($B$2="-","",L20*(F20+I20+K20))</f>
        <v/>
      </c>
      <c r="N20" s="11">
        <f>IFERROR(INDEX('Projekt-Budget-Übersicht'!$E:$E,MATCH(A20,'Projekt-Budget-Übersicht'!$A:$A,0)),"")</f>
        <v/>
      </c>
      <c r="O20" s="11" t="inlineStr"/>
      <c r="P20" s="11" t="inlineStr"/>
    </row>
    <row r="21">
      <c r="A21" s="4" t="inlineStr">
        <is>
          <t>6344 Brodenheckstraße-Bitburg-Amtsgericht</t>
        </is>
      </c>
      <c r="B21" s="4" t="inlineStr">
        <is>
          <t>3312-Beratungsleistungen in der Planungsphase...</t>
        </is>
      </c>
      <c r="C21" s="4" t="inlineStr">
        <is>
          <t>G</t>
        </is>
      </c>
      <c r="D21" s="4" t="n">
        <v>16</v>
      </c>
      <c r="E21" s="4" t="n">
        <v>9.25</v>
      </c>
      <c r="F21" s="4" t="n">
        <v>0.25</v>
      </c>
      <c r="G21" s="17" t="n">
        <v>57.81</v>
      </c>
      <c r="H21" s="5" t="n"/>
      <c r="I21" s="5">
        <f>IF(H21=0,"",F21-H21)</f>
        <v/>
      </c>
      <c r="J21" s="4" t="n"/>
      <c r="K21" s="5" t="n">
        <v>0</v>
      </c>
      <c r="L21" s="11">
        <f>IF($B$2="-","",IF($B$2="Pauschale",IFERROR(INDEX('Projekt-Budget-Übersicht'!$H:$H,MATCH(A21,'Projekt-Budget-Übersicht'!$A:$A,0)),""),IF($B$2="SV",IFERROR(INDEX('Projekt-Budget-Übersicht'!$H:$H,MATCH(A21,'Projekt-Budget-Übersicht'!$A:$A,0)),""),IF($B$2="CAD",IFERROR(INDEX('Projekt-Budget-Übersicht'!$I:$I,MATCH(A21,'Projekt-Budget-Übersicht'!$A:$A,0)),""),IF($B$2="ADM",IFERROR(INDEX('Projekt-Budget-Übersicht'!$J:$J,MATCH(A21,'Projekt-Budget-Übersicht'!$A:$A,0)),""),"")))))</f>
        <v/>
      </c>
      <c r="M21" s="11">
        <f>IF($B$2="-","",L21*(F21+I21+K21))</f>
        <v/>
      </c>
      <c r="N21" s="11">
        <f>IFERROR(INDEX('Projekt-Budget-Übersicht'!$E:$E,MATCH(A21,'Projekt-Budget-Übersicht'!$A:$A,0)),"")</f>
        <v/>
      </c>
      <c r="O21" s="11" t="inlineStr"/>
      <c r="P21" s="11" t="inlineStr"/>
    </row>
    <row r="22">
      <c r="A22" s="4" t="inlineStr">
        <is>
          <t>6497 SunYardOffice-Heidelberg</t>
        </is>
      </c>
      <c r="B22" s="4" t="inlineStr">
        <is>
          <t>4000-Genehmigungsplanung</t>
        </is>
      </c>
      <c r="C22" s="4" t="inlineStr">
        <is>
          <t>G</t>
        </is>
      </c>
      <c r="D22" s="4" t="n">
        <v>0</v>
      </c>
      <c r="E22" s="4" t="n">
        <v>-19</v>
      </c>
      <c r="F22" s="4" t="n">
        <v>1.5</v>
      </c>
      <c r="G22" s="4" t="n">
        <v>0</v>
      </c>
      <c r="H22" s="5" t="n"/>
      <c r="I22" s="5">
        <f>IF(H22=0,"",F22-H22)</f>
        <v/>
      </c>
      <c r="J22" s="4" t="n"/>
      <c r="K22" s="5">
        <f>IF('M. Bandlofsky'!J12="J. Dorn",'M. Bandlofsky'!I12,0)</f>
        <v/>
      </c>
      <c r="L22" s="11">
        <f>IF($B$2="-","",IF($B$2="Pauschale",IFERROR(INDEX('Projekt-Budget-Übersicht'!$H:$H,MATCH(A22,'Projekt-Budget-Übersicht'!$A:$A,0)),""),IF($B$2="SV",IFERROR(INDEX('Projekt-Budget-Übersicht'!$H:$H,MATCH(A22,'Projekt-Budget-Übersicht'!$A:$A,0)),""),IF($B$2="CAD",IFERROR(INDEX('Projekt-Budget-Übersicht'!$I:$I,MATCH(A22,'Projekt-Budget-Übersicht'!$A:$A,0)),""),IF($B$2="ADM",IFERROR(INDEX('Projekt-Budget-Übersicht'!$J:$J,MATCH(A22,'Projekt-Budget-Übersicht'!$A:$A,0)),""),"")))))</f>
        <v/>
      </c>
      <c r="M22" s="11">
        <f>IF($B$2="-","",L22*(F22+I22+K22))</f>
        <v/>
      </c>
      <c r="N22" s="11">
        <f>IFERROR(INDEX('Projekt-Budget-Übersicht'!$E:$E,MATCH(A22,'Projekt-Budget-Übersicht'!$A:$A,0)),"")</f>
        <v/>
      </c>
      <c r="O22" s="11" t="inlineStr"/>
      <c r="P22" s="11" t="inlineStr"/>
    </row>
    <row r="23">
      <c r="A23" s="4" t="inlineStr">
        <is>
          <t>6527.01 IO-Anp-BSK-Mühlenfeldstr1-Holzminden-Symotion</t>
        </is>
      </c>
      <c r="B23" s="4" t="inlineStr">
        <is>
          <t>SV</t>
        </is>
      </c>
      <c r="C23" s="4" t="inlineStr">
        <is>
          <t>G</t>
        </is>
      </c>
      <c r="D23" s="4" t="n">
        <v>6</v>
      </c>
      <c r="E23" s="4" t="n">
        <v>33.75</v>
      </c>
      <c r="F23" s="4" t="n">
        <v>0.75</v>
      </c>
      <c r="G23" s="16" t="n">
        <v>562.5</v>
      </c>
      <c r="H23" s="5" t="n"/>
      <c r="I23" s="5">
        <f>IF(H23=0,"",F23-H23)</f>
        <v/>
      </c>
      <c r="J23" s="4" t="n"/>
      <c r="K23" s="5">
        <f>IF('A. Kokott'!J14="J. Dorn",'A. Kokott'!I14,0)+IF('E. Bieler'!J20="J. Dorn",'E. Bieler'!I20,0)+IF('J. Dorchies'!J9="J. Dorn",'J. Dorchies'!I9,0)+IF('P. Bergner'!J7="J. Dorn",'P. Bergner'!I7,0)+IF('R. Böttiger'!J13="J. Dorn",'R. Böttiger'!I13,0)</f>
        <v/>
      </c>
      <c r="L23" s="11">
        <f>IF($B$2="-","",IF($B$2="Pauschale",IFERROR(INDEX('Projekt-Budget-Übersicht'!$H:$H,MATCH(A23,'Projekt-Budget-Übersicht'!$A:$A,0)),""),IF($B$2="SV",IFERROR(INDEX('Projekt-Budget-Übersicht'!$H:$H,MATCH(A23,'Projekt-Budget-Übersicht'!$A:$A,0)),""),IF($B$2="CAD",IFERROR(INDEX('Projekt-Budget-Übersicht'!$I:$I,MATCH(A23,'Projekt-Budget-Übersicht'!$A:$A,0)),""),IF($B$2="ADM",IFERROR(INDEX('Projekt-Budget-Übersicht'!$J:$J,MATCH(A23,'Projekt-Budget-Übersicht'!$A:$A,0)),""),"")))))</f>
        <v/>
      </c>
      <c r="M23" s="11">
        <f>IF($B$2="-","",L23*(F23+I23+K23))</f>
        <v/>
      </c>
      <c r="N23" s="11">
        <f>IFERROR(INDEX('Projekt-Budget-Übersicht'!$E:$E,MATCH(A23,'Projekt-Budget-Übersicht'!$A:$A,0)),"")</f>
        <v/>
      </c>
      <c r="O23" s="11" t="inlineStr"/>
      <c r="P23" s="11" t="inlineStr"/>
    </row>
    <row r="24">
      <c r="A24" s="4" t="inlineStr">
        <is>
          <t>6559.01 Reisinger-KOF-EDAG-EMV-Halle-Fulda</t>
        </is>
      </c>
      <c r="B24" s="4" t="inlineStr">
        <is>
          <t>SV</t>
        </is>
      </c>
      <c r="C24" s="4" t="inlineStr">
        <is>
          <t>G</t>
        </is>
      </c>
      <c r="D24" s="4" t="n">
        <v>25</v>
      </c>
      <c r="E24" s="4" t="n">
        <v>5.25</v>
      </c>
      <c r="F24" s="4" t="n">
        <v>3.75</v>
      </c>
      <c r="G24" s="17" t="n">
        <v>21</v>
      </c>
      <c r="H24" s="5" t="n"/>
      <c r="I24" s="5">
        <f>IF(H24=0,"",F24-H24)</f>
        <v/>
      </c>
      <c r="J24" s="4" t="n"/>
      <c r="K24" s="5" t="n">
        <v>0</v>
      </c>
      <c r="L24" s="11">
        <f>IF($B$2="-","",IF($B$2="Pauschale",IFERROR(INDEX('Projekt-Budget-Übersicht'!$H:$H,MATCH(A24,'Projekt-Budget-Übersicht'!$A:$A,0)),""),IF($B$2="SV",IFERROR(INDEX('Projekt-Budget-Übersicht'!$H:$H,MATCH(A24,'Projekt-Budget-Übersicht'!$A:$A,0)),""),IF($B$2="CAD",IFERROR(INDEX('Projekt-Budget-Übersicht'!$I:$I,MATCH(A24,'Projekt-Budget-Übersicht'!$A:$A,0)),""),IF($B$2="ADM",IFERROR(INDEX('Projekt-Budget-Übersicht'!$J:$J,MATCH(A24,'Projekt-Budget-Übersicht'!$A:$A,0)),""),"")))))</f>
        <v/>
      </c>
      <c r="M24" s="11">
        <f>IF($B$2="-","",L24*(F24+I24+K24))</f>
        <v/>
      </c>
      <c r="N24" s="11">
        <f>IFERROR(INDEX('Projekt-Budget-Übersicht'!$E:$E,MATCH(A24,'Projekt-Budget-Übersicht'!$A:$A,0)),"")</f>
        <v/>
      </c>
      <c r="O24" s="11" t="inlineStr"/>
      <c r="P24" s="11" t="inlineStr"/>
    </row>
    <row r="25">
      <c r="A25" s="4" t="inlineStr">
        <is>
          <t>6564.01 ROB-MCR-Weilerbach-Züblin-TP1</t>
        </is>
      </c>
      <c r="B25" s="4" t="inlineStr">
        <is>
          <t>5000-Ausführungsplanung</t>
        </is>
      </c>
      <c r="C25" s="4" t="inlineStr">
        <is>
          <t>G</t>
        </is>
      </c>
      <c r="D25" s="4" t="n">
        <v>1560</v>
      </c>
      <c r="E25" s="4" t="n">
        <v>1564.25</v>
      </c>
      <c r="F25" s="4" t="n">
        <v>1</v>
      </c>
      <c r="G25" s="16" t="n">
        <v>100.27</v>
      </c>
      <c r="H25" s="5" t="n"/>
      <c r="I25" s="5">
        <f>IF(H25=0,"",F25-H25)</f>
        <v/>
      </c>
      <c r="J25" s="4" t="n"/>
      <c r="K25" s="5" t="n">
        <v>0</v>
      </c>
      <c r="L25" s="11">
        <f>IF($B$2="-","",IF($B$2="Pauschale",IFERROR(INDEX('Projekt-Budget-Übersicht'!$H:$H,MATCH(A25,'Projekt-Budget-Übersicht'!$A:$A,0)),""),IF($B$2="SV",IFERROR(INDEX('Projekt-Budget-Übersicht'!$H:$H,MATCH(A25,'Projekt-Budget-Übersicht'!$A:$A,0)),""),IF($B$2="CAD",IFERROR(INDEX('Projekt-Budget-Übersicht'!$I:$I,MATCH(A25,'Projekt-Budget-Übersicht'!$A:$A,0)),""),IF($B$2="ADM",IFERROR(INDEX('Projekt-Budget-Übersicht'!$J:$J,MATCH(A25,'Projekt-Budget-Übersicht'!$A:$A,0)),""),"")))))</f>
        <v/>
      </c>
      <c r="M25" s="11">
        <f>IF($B$2="-","",L25*(F25+I25+K25))</f>
        <v/>
      </c>
      <c r="N25" s="11">
        <f>IFERROR(INDEX('Projekt-Budget-Übersicht'!$E:$E,MATCH(A25,'Projekt-Budget-Übersicht'!$A:$A,0)),"")</f>
        <v/>
      </c>
      <c r="O25" s="11" t="inlineStr"/>
      <c r="P25" s="11" t="inlineStr"/>
    </row>
    <row r="26">
      <c r="A26" s="13" t="inlineStr">
        <is>
          <t>6680.01 GSKOK-Heidelberg-Kopfklinik-Neurologie-BTB</t>
        </is>
      </c>
      <c r="B26" s="4" t="inlineStr">
        <is>
          <t>3312-Beratungsleistungen in der Planungsphase...</t>
        </is>
      </c>
      <c r="C26" s="4" t="inlineStr">
        <is>
          <t>G</t>
        </is>
      </c>
      <c r="D26" s="4" t="n">
        <v>6</v>
      </c>
      <c r="E26" s="4" t="n">
        <v>15.25</v>
      </c>
      <c r="F26" s="4" t="n">
        <v>0.25</v>
      </c>
      <c r="G26" s="16" t="n">
        <v>254.17</v>
      </c>
      <c r="H26" s="5" t="n"/>
      <c r="I26" s="5">
        <f>IF(H26=0,"",F26-H26)</f>
        <v/>
      </c>
      <c r="J26" s="4" t="n"/>
      <c r="K26" s="5" t="n">
        <v>0</v>
      </c>
      <c r="L26" s="11">
        <f>IF($B$2="-","",IF($B$2="Pauschale",IFERROR(INDEX('Projekt-Budget-Übersicht'!$H:$H,MATCH(A26,'Projekt-Budget-Übersicht'!$A:$A,0)),""),IF($B$2="SV",IFERROR(INDEX('Projekt-Budget-Übersicht'!$H:$H,MATCH(A26,'Projekt-Budget-Übersicht'!$A:$A,0)),""),IF($B$2="CAD",IFERROR(INDEX('Projekt-Budget-Übersicht'!$I:$I,MATCH(A26,'Projekt-Budget-Übersicht'!$A:$A,0)),""),IF($B$2="ADM",IFERROR(INDEX('Projekt-Budget-Übersicht'!$J:$J,MATCH(A26,'Projekt-Budget-Übersicht'!$A:$A,0)),""),"")))))</f>
        <v/>
      </c>
      <c r="M26" s="11">
        <f>IF($B$2="-","",L26*(F26+I26+K26))</f>
        <v/>
      </c>
      <c r="N26" s="11">
        <f>IFERROR(INDEX('Projekt-Budget-Übersicht'!$E:$E,MATCH(A26,'Projekt-Budget-Übersicht'!$A:$A,0)),"")</f>
        <v/>
      </c>
      <c r="O26" s="11" t="inlineStr"/>
      <c r="P26" s="11" t="inlineStr"/>
    </row>
    <row r="27">
      <c r="A27" s="15" t="n"/>
      <c r="B27" s="4" t="inlineStr">
        <is>
          <t>5000-Ausführungsplanung</t>
        </is>
      </c>
      <c r="C27" s="4" t="inlineStr">
        <is>
          <t>G</t>
        </is>
      </c>
      <c r="D27" s="4" t="n">
        <v>10</v>
      </c>
      <c r="E27" s="4" t="n">
        <v>1.25</v>
      </c>
      <c r="F27" s="4" t="n">
        <v>0.25</v>
      </c>
      <c r="G27" s="17" t="n">
        <v>12.5</v>
      </c>
      <c r="H27" s="5" t="n"/>
      <c r="I27" s="5">
        <f>IF(H27=0,"",F27-H27)</f>
        <v/>
      </c>
      <c r="J27" s="4" t="n"/>
      <c r="K27" s="5" t="n">
        <v>0</v>
      </c>
      <c r="L27" s="11">
        <f>IF($B$2="-","",IF($B$2="Pauschale",IFERROR(INDEX('Projekt-Budget-Übersicht'!$H:$H,MATCH(A27,'Projekt-Budget-Übersicht'!$A:$A,0)),""),IF($B$2="SV",IFERROR(INDEX('Projekt-Budget-Übersicht'!$H:$H,MATCH(A27,'Projekt-Budget-Übersicht'!$A:$A,0)),""),IF($B$2="CAD",IFERROR(INDEX('Projekt-Budget-Übersicht'!$I:$I,MATCH(A27,'Projekt-Budget-Übersicht'!$A:$A,0)),""),IF($B$2="ADM",IFERROR(INDEX('Projekt-Budget-Übersicht'!$J:$J,MATCH(A27,'Projekt-Budget-Übersicht'!$A:$A,0)),""),"")))))</f>
        <v/>
      </c>
      <c r="M27" s="11">
        <f>IF($B$2="-","",L27*(F27+I27+K27))</f>
        <v/>
      </c>
      <c r="N27" s="11">
        <f>IFERROR(INDEX('Projekt-Budget-Übersicht'!$E:$E,MATCH(A27,'Projekt-Budget-Übersicht'!$A:$A,0)),"")</f>
        <v/>
      </c>
      <c r="O27" s="11" t="inlineStr"/>
      <c r="P27" s="11" t="inlineStr"/>
    </row>
    <row r="28">
      <c r="A28" s="13" t="inlineStr">
        <is>
          <t>6702 BSK-KOHN-Bayernstr100-Nürnberg</t>
        </is>
      </c>
      <c r="B28" s="4" t="inlineStr">
        <is>
          <t>3.1.2 Konkretisieren Brandschutzanforderungen</t>
        </is>
      </c>
      <c r="C28" s="4" t="inlineStr">
        <is>
          <t>G</t>
        </is>
      </c>
      <c r="D28" s="4" t="n">
        <v>0</v>
      </c>
      <c r="E28" s="4" t="n">
        <v>-0.5</v>
      </c>
      <c r="F28" s="4" t="n">
        <v>0.5</v>
      </c>
      <c r="G28" s="4" t="n">
        <v>0</v>
      </c>
      <c r="H28" s="5" t="n"/>
      <c r="I28" s="5">
        <f>IF(H28=0,"",F28-H28)</f>
        <v/>
      </c>
      <c r="J28" s="4" t="n"/>
      <c r="K28" s="5" t="n">
        <v>0</v>
      </c>
      <c r="L28" s="11">
        <f>IF($B$2="-","",IF($B$2="Pauschale",IFERROR(INDEX('Projekt-Budget-Übersicht'!$H:$H,MATCH(A28,'Projekt-Budget-Übersicht'!$A:$A,0)),""),IF($B$2="SV",IFERROR(INDEX('Projekt-Budget-Übersicht'!$H:$H,MATCH(A28,'Projekt-Budget-Übersicht'!$A:$A,0)),""),IF($B$2="CAD",IFERROR(INDEX('Projekt-Budget-Übersicht'!$I:$I,MATCH(A28,'Projekt-Budget-Übersicht'!$A:$A,0)),""),IF($B$2="ADM",IFERROR(INDEX('Projekt-Budget-Übersicht'!$J:$J,MATCH(A28,'Projekt-Budget-Übersicht'!$A:$A,0)),""),"")))))</f>
        <v/>
      </c>
      <c r="M28" s="11">
        <f>IF($B$2="-","",L28*(F28+I28+K28))</f>
        <v/>
      </c>
      <c r="N28" s="11">
        <f>IFERROR(INDEX('Projekt-Budget-Übersicht'!$E:$E,MATCH(A28,'Projekt-Budget-Übersicht'!$A:$A,0)),"")</f>
        <v/>
      </c>
      <c r="O28" s="11" t="inlineStr"/>
      <c r="P28" s="11" t="inlineStr"/>
    </row>
    <row r="29">
      <c r="A29" s="15" t="n"/>
      <c r="B29" s="4" t="inlineStr">
        <is>
          <t>3.2.2 Konkretisieren Brandschutzanforderungen</t>
        </is>
      </c>
      <c r="C29" s="4" t="inlineStr">
        <is>
          <t>G</t>
        </is>
      </c>
      <c r="D29" s="4" t="n">
        <v>0</v>
      </c>
      <c r="E29" s="4" t="n">
        <v>0</v>
      </c>
      <c r="F29" s="4" t="n">
        <v>2</v>
      </c>
      <c r="G29" s="4" t="n">
        <v>0</v>
      </c>
      <c r="H29" s="5" t="n"/>
      <c r="I29" s="5">
        <f>IF(H29=0,"",F29-H29)</f>
        <v/>
      </c>
      <c r="J29" s="4" t="n"/>
      <c r="K29" s="5" t="n">
        <v>0</v>
      </c>
      <c r="L29" s="11">
        <f>IF($B$2="-","",IF($B$2="Pauschale",IFERROR(INDEX('Projekt-Budget-Übersicht'!$H:$H,MATCH(A29,'Projekt-Budget-Übersicht'!$A:$A,0)),""),IF($B$2="SV",IFERROR(INDEX('Projekt-Budget-Übersicht'!$H:$H,MATCH(A29,'Projekt-Budget-Übersicht'!$A:$A,0)),""),IF($B$2="CAD",IFERROR(INDEX('Projekt-Budget-Übersicht'!$I:$I,MATCH(A29,'Projekt-Budget-Übersicht'!$A:$A,0)),""),IF($B$2="ADM",IFERROR(INDEX('Projekt-Budget-Übersicht'!$J:$J,MATCH(A29,'Projekt-Budget-Übersicht'!$A:$A,0)),""),"")))))</f>
        <v/>
      </c>
      <c r="M29" s="11">
        <f>IF($B$2="-","",L29*(F29+I29+K29))</f>
        <v/>
      </c>
      <c r="N29" s="11">
        <f>IFERROR(INDEX('Projekt-Budget-Übersicht'!$E:$E,MATCH(A29,'Projekt-Budget-Übersicht'!$A:$A,0)),"")</f>
        <v/>
      </c>
      <c r="O29" s="11" t="inlineStr"/>
      <c r="P29" s="11" t="inlineStr"/>
    </row>
    <row r="30">
      <c r="A30" s="13" t="inlineStr">
        <is>
          <t>6974 IO-Diehl-Fast-Track-V2-AHO-Liegenschaft-Maasberg-Mariahütte</t>
        </is>
      </c>
      <c r="B30" s="4" t="inlineStr">
        <is>
          <t>LP 3 vorab, BAU offen</t>
        </is>
      </c>
      <c r="C30" s="4" t="inlineStr">
        <is>
          <t>G</t>
        </is>
      </c>
      <c r="D30" s="4" t="n">
        <v>0</v>
      </c>
      <c r="E30" s="4" t="n">
        <v>0</v>
      </c>
      <c r="F30" s="4" t="n">
        <v>0.75</v>
      </c>
      <c r="G30" s="4" t="n">
        <v>0</v>
      </c>
      <c r="H30" s="5" t="n"/>
      <c r="I30" s="5">
        <f>IF(H30=0,"",F30-H30)</f>
        <v/>
      </c>
      <c r="J30" s="4" t="n"/>
      <c r="K30" s="5" t="n">
        <v>0</v>
      </c>
      <c r="L30" s="11">
        <f>IF($B$2="-","",IF($B$2="Pauschale",IFERROR(INDEX('Projekt-Budget-Übersicht'!$H:$H,MATCH(A30,'Projekt-Budget-Übersicht'!$A:$A,0)),""),IF($B$2="SV",IFERROR(INDEX('Projekt-Budget-Übersicht'!$H:$H,MATCH(A30,'Projekt-Budget-Übersicht'!$A:$A,0)),""),IF($B$2="CAD",IFERROR(INDEX('Projekt-Budget-Übersicht'!$I:$I,MATCH(A30,'Projekt-Budget-Übersicht'!$A:$A,0)),""),IF($B$2="ADM",IFERROR(INDEX('Projekt-Budget-Übersicht'!$J:$J,MATCH(A30,'Projekt-Budget-Übersicht'!$A:$A,0)),""),"")))))</f>
        <v/>
      </c>
      <c r="M30" s="11">
        <f>IF($B$2="-","",L30*(F30+I30+K30))</f>
        <v/>
      </c>
      <c r="N30" s="11">
        <f>IFERROR(INDEX('Projekt-Budget-Übersicht'!$E:$E,MATCH(A30,'Projekt-Budget-Übersicht'!$A:$A,0)),"")</f>
        <v/>
      </c>
      <c r="O30" s="11" t="inlineStr"/>
      <c r="P30" s="11" t="inlineStr"/>
    </row>
    <row r="31">
      <c r="A31" s="21" t="n"/>
      <c r="B31" s="4" t="inlineStr">
        <is>
          <t>LP 5 RL</t>
        </is>
      </c>
      <c r="C31" s="4" t="inlineStr">
        <is>
          <t>G</t>
        </is>
      </c>
      <c r="D31" s="4" t="n">
        <v>0</v>
      </c>
      <c r="E31" s="4" t="n">
        <v>-1.75</v>
      </c>
      <c r="F31" s="4" t="n">
        <v>0.5</v>
      </c>
      <c r="G31" s="4" t="n">
        <v>0</v>
      </c>
      <c r="H31" s="5" t="n"/>
      <c r="I31" s="5">
        <f>IF(H31=0,"",F31-H31)</f>
        <v/>
      </c>
      <c r="J31" s="4" t="n"/>
      <c r="K31" s="5" t="n">
        <v>0</v>
      </c>
      <c r="L31" s="11">
        <f>IF($B$2="-","",IF($B$2="Pauschale",IFERROR(INDEX('Projekt-Budget-Übersicht'!$H:$H,MATCH(A31,'Projekt-Budget-Übersicht'!$A:$A,0)),""),IF($B$2="SV",IFERROR(INDEX('Projekt-Budget-Übersicht'!$H:$H,MATCH(A31,'Projekt-Budget-Übersicht'!$A:$A,0)),""),IF($B$2="CAD",IFERROR(INDEX('Projekt-Budget-Übersicht'!$I:$I,MATCH(A31,'Projekt-Budget-Übersicht'!$A:$A,0)),""),IF($B$2="ADM",IFERROR(INDEX('Projekt-Budget-Übersicht'!$J:$J,MATCH(A31,'Projekt-Budget-Übersicht'!$A:$A,0)),""),"")))))</f>
        <v/>
      </c>
      <c r="M31" s="11">
        <f>IF($B$2="-","",L31*(F31+I31+K31))</f>
        <v/>
      </c>
      <c r="N31" s="11">
        <f>IFERROR(INDEX('Projekt-Budget-Übersicht'!$E:$E,MATCH(A31,'Projekt-Budget-Übersicht'!$A:$A,0)),"")</f>
        <v/>
      </c>
      <c r="O31" s="11" t="inlineStr"/>
      <c r="P31" s="11" t="inlineStr"/>
    </row>
    <row r="32">
      <c r="A32" s="15" t="n"/>
      <c r="B32" s="4" t="inlineStr">
        <is>
          <t>SV</t>
        </is>
      </c>
      <c r="C32" s="4" t="inlineStr">
        <is>
          <t>G</t>
        </is>
      </c>
      <c r="D32" s="4" t="n">
        <v>0</v>
      </c>
      <c r="E32" s="4" t="n">
        <v>-16.5</v>
      </c>
      <c r="F32" s="4" t="n">
        <v>4</v>
      </c>
      <c r="G32" s="4" t="n">
        <v>0</v>
      </c>
      <c r="H32" s="5" t="n"/>
      <c r="I32" s="5">
        <f>IF(H32=0,"",F32-H32)</f>
        <v/>
      </c>
      <c r="J32" s="4" t="n"/>
      <c r="K32" s="5" t="n">
        <v>0</v>
      </c>
      <c r="L32" s="11">
        <f>IF($B$2="-","",IF($B$2="Pauschale",IFERROR(INDEX('Projekt-Budget-Übersicht'!$H:$H,MATCH(A32,'Projekt-Budget-Übersicht'!$A:$A,0)),""),IF($B$2="SV",IFERROR(INDEX('Projekt-Budget-Übersicht'!$H:$H,MATCH(A32,'Projekt-Budget-Übersicht'!$A:$A,0)),""),IF($B$2="CAD",IFERROR(INDEX('Projekt-Budget-Übersicht'!$I:$I,MATCH(A32,'Projekt-Budget-Übersicht'!$A:$A,0)),""),IF($B$2="ADM",IFERROR(INDEX('Projekt-Budget-Übersicht'!$J:$J,MATCH(A32,'Projekt-Budget-Übersicht'!$A:$A,0)),""),"")))))</f>
        <v/>
      </c>
      <c r="M32" s="11">
        <f>IF($B$2="-","",L32*(F32+I32+K32))</f>
        <v/>
      </c>
      <c r="N32" s="11">
        <f>IFERROR(INDEX('Projekt-Budget-Übersicht'!$E:$E,MATCH(A32,'Projekt-Budget-Übersicht'!$A:$A,0)),"")</f>
        <v/>
      </c>
      <c r="O32" s="11" t="inlineStr"/>
      <c r="P32" s="11" t="inlineStr"/>
    </row>
    <row r="33">
      <c r="A33" s="4" t="inlineStr">
        <is>
          <t>7150 TFS-AHO-Neubau-betrWohnen-Kita-Alberichstraße-Mannheim</t>
        </is>
      </c>
      <c r="B33" s="4" t="inlineStr">
        <is>
          <t>SV</t>
        </is>
      </c>
      <c r="C33" s="4" t="inlineStr">
        <is>
          <t>G</t>
        </is>
      </c>
      <c r="D33" s="4" t="n">
        <v>13</v>
      </c>
      <c r="E33" s="4" t="n">
        <v>146.75</v>
      </c>
      <c r="F33" s="4" t="n">
        <v>5.25</v>
      </c>
      <c r="G33" s="16" t="n">
        <v>1128.85</v>
      </c>
      <c r="H33" s="5" t="n"/>
      <c r="I33" s="5">
        <f>IF(H33=0,"",F33-H33)</f>
        <v/>
      </c>
      <c r="J33" s="4" t="n"/>
      <c r="K33" s="5">
        <f>IF('E. Bieler'!J22="J. Dorn",'E. Bieler'!I22,0)+IF('J. Dorchies'!J11="J. Dorn",'J. Dorchies'!I11,0)+IF('R. Böttiger'!J14="J. Dorn",'R. Böttiger'!I14,0)</f>
        <v/>
      </c>
      <c r="L33" s="11">
        <f>IF($B$2="-","",IF($B$2="Pauschale",IFERROR(INDEX('Projekt-Budget-Übersicht'!$H:$H,MATCH(A33,'Projekt-Budget-Übersicht'!$A:$A,0)),""),IF($B$2="SV",IFERROR(INDEX('Projekt-Budget-Übersicht'!$H:$H,MATCH(A33,'Projekt-Budget-Übersicht'!$A:$A,0)),""),IF($B$2="CAD",IFERROR(INDEX('Projekt-Budget-Übersicht'!$I:$I,MATCH(A33,'Projekt-Budget-Übersicht'!$A:$A,0)),""),IF($B$2="ADM",IFERROR(INDEX('Projekt-Budget-Übersicht'!$J:$J,MATCH(A33,'Projekt-Budget-Übersicht'!$A:$A,0)),""),"")))))</f>
        <v/>
      </c>
      <c r="M33" s="11">
        <f>IF($B$2="-","",L33*(F33+I33+K33))</f>
        <v/>
      </c>
      <c r="N33" s="11">
        <f>IFERROR(INDEX('Projekt-Budget-Übersicht'!$E:$E,MATCH(A33,'Projekt-Budget-Übersicht'!$A:$A,0)),"")</f>
        <v/>
      </c>
      <c r="O33" s="11" t="inlineStr"/>
      <c r="P33" s="11" t="inlineStr"/>
    </row>
    <row r="34">
      <c r="A34" s="4" t="inlineStr">
        <is>
          <t>7184 Lichtblick-BSN-Frisörsalon-Abstellräume-Ramsaystr17-Hanau</t>
        </is>
      </c>
      <c r="B34" s="4" t="inlineStr">
        <is>
          <t>(p) Pos. 1 Erstellung eines Brandschutznachweises GK 4</t>
        </is>
      </c>
      <c r="C34" s="4" t="inlineStr">
        <is>
          <t>G</t>
        </is>
      </c>
      <c r="D34" s="4" t="n">
        <v>20</v>
      </c>
      <c r="E34" s="4" t="n">
        <v>30.5</v>
      </c>
      <c r="F34" s="4" t="n">
        <v>1</v>
      </c>
      <c r="G34" s="16" t="n">
        <v>152.5</v>
      </c>
      <c r="H34" s="5" t="n"/>
      <c r="I34" s="5">
        <f>IF(H34=0,"",F34-H34)</f>
        <v/>
      </c>
      <c r="J34" s="4" t="n"/>
      <c r="K34" s="5">
        <f>IF('S. Schüler'!J28="J. Dorn",'S. Schüler'!I28,0)</f>
        <v/>
      </c>
      <c r="L34" s="11">
        <f>IF($B$2="-","",IF($B$2="Pauschale",IFERROR(INDEX('Projekt-Budget-Übersicht'!$H:$H,MATCH(A34,'Projekt-Budget-Übersicht'!$A:$A,0)),""),IF($B$2="SV",IFERROR(INDEX('Projekt-Budget-Übersicht'!$H:$H,MATCH(A34,'Projekt-Budget-Übersicht'!$A:$A,0)),""),IF($B$2="CAD",IFERROR(INDEX('Projekt-Budget-Übersicht'!$I:$I,MATCH(A34,'Projekt-Budget-Übersicht'!$A:$A,0)),""),IF($B$2="ADM",IFERROR(INDEX('Projekt-Budget-Übersicht'!$J:$J,MATCH(A34,'Projekt-Budget-Übersicht'!$A:$A,0)),""),"")))))</f>
        <v/>
      </c>
      <c r="M34" s="11">
        <f>IF($B$2="-","",L34*(F34+I34+K34))</f>
        <v/>
      </c>
      <c r="N34" s="11">
        <f>IFERROR(INDEX('Projekt-Budget-Übersicht'!$E:$E,MATCH(A34,'Projekt-Budget-Übersicht'!$A:$A,0)),"")</f>
        <v/>
      </c>
      <c r="O34" s="11" t="inlineStr"/>
      <c r="P34" s="11" t="inlineStr"/>
    </row>
    <row r="35">
      <c r="A35" s="4" t="inlineStr">
        <is>
          <t>7437 MVV-BSK-UW3-Käfertal-Mannheim</t>
        </is>
      </c>
      <c r="B35" s="4" t="inlineStr">
        <is>
          <t>Erarbeiten des Brandschutzkonzept/Nachweis/Stellungnahme</t>
        </is>
      </c>
      <c r="C35" s="4" t="inlineStr">
        <is>
          <t>G</t>
        </is>
      </c>
      <c r="D35" s="4" t="n">
        <v>31</v>
      </c>
      <c r="E35" s="4" t="n">
        <v>35.25</v>
      </c>
      <c r="F35" s="4" t="n">
        <v>1</v>
      </c>
      <c r="G35" s="16" t="n">
        <v>113.71</v>
      </c>
      <c r="H35" s="5" t="n"/>
      <c r="I35" s="5">
        <f>IF(H35=0,"",F35-H35)</f>
        <v/>
      </c>
      <c r="J35" s="4" t="n"/>
      <c r="K35" s="5">
        <f>IF('E. Bieler'!J36="J. Dorn",'E. Bieler'!I36,0)+IF('M. Bandlofsky'!J16="J. Dorn",'M. Bandlofsky'!I16,0)</f>
        <v/>
      </c>
      <c r="L35" s="11">
        <f>IF($B$2="-","",IF($B$2="Pauschale",IFERROR(INDEX('Projekt-Budget-Übersicht'!$H:$H,MATCH(A35,'Projekt-Budget-Übersicht'!$A:$A,0)),""),IF($B$2="SV",IFERROR(INDEX('Projekt-Budget-Übersicht'!$H:$H,MATCH(A35,'Projekt-Budget-Übersicht'!$A:$A,0)),""),IF($B$2="CAD",IFERROR(INDEX('Projekt-Budget-Übersicht'!$I:$I,MATCH(A35,'Projekt-Budget-Übersicht'!$A:$A,0)),""),IF($B$2="ADM",IFERROR(INDEX('Projekt-Budget-Übersicht'!$J:$J,MATCH(A35,'Projekt-Budget-Übersicht'!$A:$A,0)),""),"")))))</f>
        <v/>
      </c>
      <c r="M35" s="11">
        <f>IF($B$2="-","",L35*(F35+I35+K35))</f>
        <v/>
      </c>
      <c r="N35" s="11">
        <f>IFERROR(INDEX('Projekt-Budget-Übersicht'!$E:$E,MATCH(A35,'Projekt-Budget-Übersicht'!$A:$A,0)),"")</f>
        <v/>
      </c>
      <c r="O35" s="11" t="inlineStr"/>
      <c r="P35" s="11" t="inlineStr"/>
    </row>
    <row r="36">
      <c r="A36" s="4" t="inlineStr">
        <is>
          <t>7800.01 LBB-RV-KL-MunLgr-KRI-TP04-MAH-Wasenbacher-Höhe-Kriegsfeld</t>
        </is>
      </c>
      <c r="B36" s="4" t="inlineStr">
        <is>
          <t>(p) LP 1+2 RL (SV)</t>
        </is>
      </c>
      <c r="C36" s="4" t="inlineStr">
        <is>
          <t>G</t>
        </is>
      </c>
      <c r="D36" s="4" t="n">
        <v>47</v>
      </c>
      <c r="E36" s="4" t="n">
        <v>59.5</v>
      </c>
      <c r="F36" s="4" t="n">
        <v>0.5</v>
      </c>
      <c r="G36" s="16" t="n">
        <v>126.6</v>
      </c>
      <c r="H36" s="5" t="n"/>
      <c r="I36" s="5">
        <f>IF(H36=0,"",F36-H36)</f>
        <v/>
      </c>
      <c r="J36" s="4" t="n"/>
      <c r="K36" s="5">
        <f>IF('R. Böttiger'!J20="J. Dorn",'R. Böttiger'!I20,0)</f>
        <v/>
      </c>
      <c r="L36" s="11">
        <f>IF($B$2="-","",IF($B$2="Pauschale",IFERROR(INDEX('Projekt-Budget-Übersicht'!$H:$H,MATCH(A36,'Projekt-Budget-Übersicht'!$A:$A,0)),""),IF($B$2="SV",IFERROR(INDEX('Projekt-Budget-Übersicht'!$H:$H,MATCH(A36,'Projekt-Budget-Übersicht'!$A:$A,0)),""),IF($B$2="CAD",IFERROR(INDEX('Projekt-Budget-Übersicht'!$I:$I,MATCH(A36,'Projekt-Budget-Übersicht'!$A:$A,0)),""),IF($B$2="ADM",IFERROR(INDEX('Projekt-Budget-Übersicht'!$J:$J,MATCH(A36,'Projekt-Budget-Übersicht'!$A:$A,0)),""),"")))))</f>
        <v/>
      </c>
      <c r="M36" s="11">
        <f>IF($B$2="-","",L36*(F36+I36+K36))</f>
        <v/>
      </c>
      <c r="N36" s="11">
        <f>IFERROR(INDEX('Projekt-Budget-Übersicht'!$E:$E,MATCH(A36,'Projekt-Budget-Übersicht'!$A:$A,0)),"")</f>
        <v/>
      </c>
      <c r="O36" s="11" t="inlineStr"/>
      <c r="P36" s="11" t="inlineStr"/>
    </row>
    <row r="37">
      <c r="A37" s="3" t="inlineStr"/>
      <c r="B37" s="3" t="inlineStr">
        <is>
          <t>Summe</t>
        </is>
      </c>
      <c r="C37" s="3" t="inlineStr"/>
      <c r="D37" s="3" t="inlineStr"/>
      <c r="E37" s="3" t="inlineStr"/>
      <c r="F37" s="6" t="n">
        <v>91.25</v>
      </c>
      <c r="G37" s="3" t="inlineStr"/>
      <c r="H37" s="3" t="inlineStr"/>
      <c r="I37" s="3" t="inlineStr"/>
      <c r="J37" s="3" t="inlineStr"/>
      <c r="K37" s="3" t="inlineStr"/>
      <c r="L37" s="3" t="n"/>
      <c r="M37" s="3" t="n"/>
      <c r="N37" s="3" t="n"/>
      <c r="O37" s="3" t="n"/>
      <c r="P37" s="3" t="n"/>
    </row>
    <row r="38">
      <c r="A38" s="3" t="inlineStr"/>
      <c r="B38" s="3" t="inlineStr">
        <is>
          <t>Bonusberechtigte Stunden</t>
        </is>
      </c>
      <c r="C38" s="3" t="inlineStr"/>
      <c r="D38" s="3" t="inlineStr"/>
      <c r="E38" s="3" t="inlineStr"/>
      <c r="F38" s="6">
        <f>G38+H38</f>
        <v/>
      </c>
      <c r="G38" s="6" t="n">
        <v>79.5</v>
      </c>
      <c r="H38" s="6">
        <f>SUM(H8,H9,H10,H11,H12,H13,H14,H15,H16,H17,H18,H19,H20,H21,H22,H23,H24,H25,H26,H27,H28,H29,H30,H31,H32,H33,H34,H35,H36)</f>
        <v/>
      </c>
      <c r="I38" s="3" t="inlineStr"/>
      <c r="J38" s="3" t="inlineStr"/>
      <c r="K38" s="3" t="inlineStr"/>
      <c r="L38" s="3" t="inlineStr"/>
      <c r="M38" s="3" t="inlineStr"/>
      <c r="N38" s="3" t="inlineStr"/>
      <c r="O38" s="3" t="inlineStr"/>
      <c r="P38" s="3" t="inlineStr"/>
    </row>
    <row r="39">
      <c r="A39" s="3" t="inlineStr"/>
      <c r="B39" s="3" t="inlineStr">
        <is>
          <t>Bonusberechtigte Stunden Sonderprojekt</t>
        </is>
      </c>
      <c r="C39" s="3" t="inlineStr"/>
      <c r="D39" s="3" t="inlineStr"/>
      <c r="E39" s="3" t="inlineStr"/>
      <c r="F39" s="6">
        <f>G39+H39</f>
        <v/>
      </c>
      <c r="G39" s="6" t="n">
        <v>1.5</v>
      </c>
      <c r="H39" s="6">
        <f>SUM(H6,H7)</f>
        <v/>
      </c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</row>
    <row r="40">
      <c r="A40" s="3" t="inlineStr"/>
      <c r="B40" s="3" t="inlineStr">
        <is>
          <t>Zugeordnete Stunden von anderen MA</t>
        </is>
      </c>
      <c r="C40" s="3" t="inlineStr"/>
      <c r="D40" s="3" t="inlineStr"/>
      <c r="E40" s="3" t="inlineStr"/>
      <c r="F40" s="6">
        <f>SUM(K6:K36)</f>
        <v/>
      </c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inlineStr"/>
    </row>
    <row r="41">
      <c r="A41" s="18" t="inlineStr"/>
      <c r="B41" s="18" t="inlineStr">
        <is>
          <t>Gesamt Bonus Stunden</t>
        </is>
      </c>
      <c r="C41" s="18" t="inlineStr"/>
      <c r="D41" s="18" t="inlineStr"/>
      <c r="E41" s="18" t="inlineStr"/>
      <c r="F41" s="19">
        <f>F38+F39+F40</f>
        <v/>
      </c>
      <c r="G41" s="18" t="inlineStr"/>
      <c r="H41" s="18" t="inlineStr"/>
      <c r="I41" s="18" t="inlineStr"/>
      <c r="J41" s="18" t="inlineStr"/>
      <c r="K41" s="18" t="inlineStr"/>
      <c r="L41" s="18" t="n"/>
      <c r="M41" s="18" t="n"/>
      <c r="N41" s="18" t="n"/>
      <c r="O41" s="18" t="n"/>
      <c r="P41" s="18" t="n"/>
    </row>
    <row r="43">
      <c r="A43" s="2" t="inlineStr">
        <is>
          <t>--- August 2025 ---</t>
        </is>
      </c>
    </row>
    <row r="44">
      <c r="A44" s="3" t="inlineStr">
        <is>
          <t>Projekt</t>
        </is>
      </c>
      <c r="B44" s="3" t="inlineStr">
        <is>
          <t>Meilenstein</t>
        </is>
      </c>
      <c r="C44" s="3" t="inlineStr">
        <is>
          <t>Typ</t>
        </is>
      </c>
      <c r="D44" s="3" t="inlineStr">
        <is>
          <t>Soll (h)</t>
        </is>
      </c>
      <c r="E44" s="3" t="inlineStr">
        <is>
          <t>Ist (h)</t>
        </is>
      </c>
      <c r="F44" s="3" t="inlineStr">
        <is>
          <t>August 2025 (h)</t>
        </is>
      </c>
      <c r="G44" s="3" t="inlineStr">
        <is>
          <t>%</t>
        </is>
      </c>
      <c r="H44" s="3" t="inlineStr">
        <is>
          <t>Bonus-Anpassung (h)</t>
        </is>
      </c>
      <c r="I44" s="3" t="inlineStr">
        <is>
          <t>Differenz (h)</t>
        </is>
      </c>
      <c r="J44" s="3" t="inlineStr">
        <is>
          <t>Zuordnen an</t>
        </is>
      </c>
      <c r="K44" s="3" t="inlineStr">
        <is>
          <t>Von anderen (h)</t>
        </is>
      </c>
      <c r="L44" s="3" t="inlineStr">
        <is>
          <t>Stundensatz (€/h)</t>
        </is>
      </c>
      <c r="M44" s="3" t="inlineStr">
        <is>
          <t>Umsatz (€)</t>
        </is>
      </c>
      <c r="N44" s="3" t="inlineStr">
        <is>
          <t>Budget Gesamt (€)</t>
        </is>
      </c>
      <c r="O44" s="3" t="inlineStr">
        <is>
          <t>Budget Ist (€)</t>
        </is>
      </c>
      <c r="P44" s="3" t="inlineStr">
        <is>
          <t>Budget Erwirtschaftet (€)</t>
        </is>
      </c>
    </row>
    <row r="45">
      <c r="A45" s="13" t="inlineStr">
        <is>
          <t>0000 Sonderprojekt für Bonus</t>
        </is>
      </c>
      <c r="B45" s="4" t="inlineStr">
        <is>
          <t>Angebote-Ausschreibungen-Kalkulationen (max. 8h/Monat pro MA)</t>
        </is>
      </c>
      <c r="C45" s="4" t="inlineStr">
        <is>
          <t>M</t>
        </is>
      </c>
      <c r="D45" s="4" t="n">
        <v>8</v>
      </c>
      <c r="E45" s="4" t="n">
        <v>0.5</v>
      </c>
      <c r="F45" s="4" t="n">
        <v>0.5</v>
      </c>
      <c r="G45" s="17" t="n">
        <v>6.25</v>
      </c>
      <c r="H45" s="5" t="n"/>
      <c r="I45" s="5">
        <f>IF(H45=0,"",F45-H45)</f>
        <v/>
      </c>
      <c r="J45" s="4" t="n"/>
      <c r="K45" s="5">
        <f>IF('A. Kokott'!J39="J. Dorn",'A. Kokott'!I39,0)+IF('O. Haag BS-CAD'!J51="J. Dorn",'O. Haag BS-CAD'!I51,0)+IF('P. Bergner'!J21="J. Dorn",'P. Bergner'!I21,0)+IF('R. Böttiger'!J31="J. Dorn",'R. Böttiger'!I31,0)+IF('T. Trautmann'!J28="J. Dorn",'T. Trautmann'!I28,0)+IF('U. Sutter ADM'!J28="J. Dorn",'U. Sutter ADM'!I28,0)</f>
        <v/>
      </c>
      <c r="L45" s="11">
        <f>IF($B$2="-","",IF($B$2="Pauschale",IFERROR(INDEX('Projekt-Budget-Übersicht'!$H:$H,MATCH(A45,'Projekt-Budget-Übersicht'!$A:$A,0)),""),IF($B$2="SV",IFERROR(INDEX('Projekt-Budget-Übersicht'!$H:$H,MATCH(A45,'Projekt-Budget-Übersicht'!$A:$A,0)),""),IF($B$2="CAD",IFERROR(INDEX('Projekt-Budget-Übersicht'!$I:$I,MATCH(A45,'Projekt-Budget-Übersicht'!$A:$A,0)),""),IF($B$2="ADM",IFERROR(INDEX('Projekt-Budget-Übersicht'!$J:$J,MATCH(A45,'Projekt-Budget-Übersicht'!$A:$A,0)),""),"")))))</f>
        <v/>
      </c>
      <c r="M45" s="11">
        <f>IF($B$2="-","",L45*(F45+I45+K45))</f>
        <v/>
      </c>
      <c r="N45" s="11">
        <f>IFERROR(INDEX('Projekt-Budget-Übersicht'!$E:$E,MATCH(A45,'Projekt-Budget-Übersicht'!$A:$A,0)),"")</f>
        <v/>
      </c>
      <c r="O45" s="11" t="inlineStr"/>
      <c r="P45" s="11" t="inlineStr"/>
    </row>
    <row r="46">
      <c r="A46" s="15" t="n"/>
      <c r="B46" s="4" t="inlineStr">
        <is>
          <t>Erstellung Vorlagen (übergreifend) (max. 8h/Monat pro MA)</t>
        </is>
      </c>
      <c r="C46" s="4" t="inlineStr">
        <is>
          <t>M</t>
        </is>
      </c>
      <c r="D46" s="4" t="n">
        <v>8</v>
      </c>
      <c r="E46" s="4" t="n">
        <v>1</v>
      </c>
      <c r="F46" s="4" t="n">
        <v>1</v>
      </c>
      <c r="G46" s="17" t="n">
        <v>12.5</v>
      </c>
      <c r="H46" s="5" t="n"/>
      <c r="I46" s="5">
        <f>IF(H46=0,"",F46-H46)</f>
        <v/>
      </c>
      <c r="J46" s="4" t="n"/>
      <c r="K46" s="5">
        <f>IF('C. Trapp SV'!J32="J. Dorn",'C. Trapp SV'!I32,0)+IF('T. Trautmann'!J30="J. Dorn",'T. Trautmann'!I30,0)</f>
        <v/>
      </c>
      <c r="L46" s="11">
        <f>IF($B$2="-","",IF($B$2="Pauschale",IFERROR(INDEX('Projekt-Budget-Übersicht'!$H:$H,MATCH(A46,'Projekt-Budget-Übersicht'!$A:$A,0)),""),IF($B$2="SV",IFERROR(INDEX('Projekt-Budget-Übersicht'!$H:$H,MATCH(A46,'Projekt-Budget-Übersicht'!$A:$A,0)),""),IF($B$2="CAD",IFERROR(INDEX('Projekt-Budget-Übersicht'!$I:$I,MATCH(A46,'Projekt-Budget-Übersicht'!$A:$A,0)),""),IF($B$2="ADM",IFERROR(INDEX('Projekt-Budget-Übersicht'!$J:$J,MATCH(A46,'Projekt-Budget-Übersicht'!$A:$A,0)),""),"")))))</f>
        <v/>
      </c>
      <c r="M46" s="11">
        <f>IF($B$2="-","",L46*(F46+I46+K46))</f>
        <v/>
      </c>
      <c r="N46" s="11">
        <f>IFERROR(INDEX('Projekt-Budget-Übersicht'!$E:$E,MATCH(A46,'Projekt-Budget-Übersicht'!$A:$A,0)),"")</f>
        <v/>
      </c>
      <c r="O46" s="11" t="inlineStr"/>
      <c r="P46" s="11" t="inlineStr"/>
    </row>
    <row r="47">
      <c r="A47" s="4" t="inlineStr">
        <is>
          <t>4899.08 Berkel-BAB-Erbachstr18-Labor-Büro-Ludwigshafen-Berkel</t>
        </is>
      </c>
      <c r="B47" s="4" t="inlineStr">
        <is>
          <t>(p) Pos. 1 KOF</t>
        </is>
      </c>
      <c r="C47" s="4" t="inlineStr">
        <is>
          <t>G</t>
        </is>
      </c>
      <c r="D47" s="4" t="n">
        <v>19</v>
      </c>
      <c r="E47" s="4" t="n">
        <v>13.25</v>
      </c>
      <c r="F47" s="4" t="n">
        <v>3.5</v>
      </c>
      <c r="G47" s="17" t="n">
        <v>69.73999999999999</v>
      </c>
      <c r="H47" s="5" t="n"/>
      <c r="I47" s="5">
        <f>IF(H47=0,"",F47-H47)</f>
        <v/>
      </c>
      <c r="J47" s="4" t="n"/>
      <c r="K47" s="5" t="n">
        <v>0</v>
      </c>
      <c r="L47" s="11">
        <f>IF($B$2="-","",IF($B$2="Pauschale",IFERROR(INDEX('Projekt-Budget-Übersicht'!$H:$H,MATCH(A47,'Projekt-Budget-Übersicht'!$A:$A,0)),""),IF($B$2="SV",IFERROR(INDEX('Projekt-Budget-Übersicht'!$H:$H,MATCH(A47,'Projekt-Budget-Übersicht'!$A:$A,0)),""),IF($B$2="CAD",IFERROR(INDEX('Projekt-Budget-Übersicht'!$I:$I,MATCH(A47,'Projekt-Budget-Übersicht'!$A:$A,0)),""),IF($B$2="ADM",IFERROR(INDEX('Projekt-Budget-Übersicht'!$J:$J,MATCH(A47,'Projekt-Budget-Übersicht'!$A:$A,0)),""),"")))))</f>
        <v/>
      </c>
      <c r="M47" s="11">
        <f>IF($B$2="-","",L47*(F47+I47+K47))</f>
        <v/>
      </c>
      <c r="N47" s="11">
        <f>IFERROR(INDEX('Projekt-Budget-Übersicht'!$E:$E,MATCH(A47,'Projekt-Budget-Übersicht'!$A:$A,0)),"")</f>
        <v/>
      </c>
      <c r="O47" s="11" t="inlineStr"/>
      <c r="P47" s="11" t="inlineStr"/>
    </row>
    <row r="48">
      <c r="A48" s="4" t="inlineStr">
        <is>
          <t>5156.03 LP8-LBBTR-SPES-N-Airbase-Spangdahlem</t>
        </is>
      </c>
      <c r="B48" s="4" t="inlineStr">
        <is>
          <t>(p) Pos. 8 LPH 8 Objektüberwachung</t>
        </is>
      </c>
      <c r="C48" s="4" t="inlineStr">
        <is>
          <t>G</t>
        </is>
      </c>
      <c r="D48" s="4" t="n">
        <v>295.5</v>
      </c>
      <c r="E48" s="4" t="n">
        <v>113</v>
      </c>
      <c r="F48" s="4" t="n">
        <v>4.75</v>
      </c>
      <c r="G48" s="17" t="n">
        <v>38.24</v>
      </c>
      <c r="H48" s="5" t="n"/>
      <c r="I48" s="5">
        <f>IF(H48=0,"",F48-H48)</f>
        <v/>
      </c>
      <c r="J48" s="4" t="n"/>
      <c r="K48" s="5" t="n">
        <v>0</v>
      </c>
      <c r="L48" s="11">
        <f>IF($B$2="-","",IF($B$2="Pauschale",IFERROR(INDEX('Projekt-Budget-Übersicht'!$H:$H,MATCH(A48,'Projekt-Budget-Übersicht'!$A:$A,0)),""),IF($B$2="SV",IFERROR(INDEX('Projekt-Budget-Übersicht'!$H:$H,MATCH(A48,'Projekt-Budget-Übersicht'!$A:$A,0)),""),IF($B$2="CAD",IFERROR(INDEX('Projekt-Budget-Übersicht'!$I:$I,MATCH(A48,'Projekt-Budget-Übersicht'!$A:$A,0)),""),IF($B$2="ADM",IFERROR(INDEX('Projekt-Budget-Übersicht'!$J:$J,MATCH(A48,'Projekt-Budget-Übersicht'!$A:$A,0)),""),"")))))</f>
        <v/>
      </c>
      <c r="M48" s="11">
        <f>IF($B$2="-","",L48*(F48+I48+K48))</f>
        <v/>
      </c>
      <c r="N48" s="11">
        <f>IFERROR(INDEX('Projekt-Budget-Übersicht'!$E:$E,MATCH(A48,'Projekt-Budget-Übersicht'!$A:$A,0)),"")</f>
        <v/>
      </c>
      <c r="O48" s="11" t="inlineStr"/>
      <c r="P48" s="11" t="inlineStr"/>
    </row>
    <row r="49">
      <c r="A49" s="4" t="inlineStr">
        <is>
          <t>5640.06 Erhard+Stern-BAB-EppelheimerStr8-Heidelberg</t>
        </is>
      </c>
      <c r="B49" s="4" t="inlineStr">
        <is>
          <t>8100-Prüfen der Ausführung auf prinzipielle Übereinstimmung (Stufe 1)....</t>
        </is>
      </c>
      <c r="C49" s="4" t="inlineStr">
        <is>
          <t>G</t>
        </is>
      </c>
      <c r="D49" s="4" t="n">
        <v>30</v>
      </c>
      <c r="E49" s="4" t="n">
        <v>87.5</v>
      </c>
      <c r="F49" s="4" t="n">
        <v>5.5</v>
      </c>
      <c r="G49" s="16" t="n">
        <v>291.67</v>
      </c>
      <c r="H49" s="5" t="n"/>
      <c r="I49" s="5">
        <f>IF(H49=0,"",F49-H49)</f>
        <v/>
      </c>
      <c r="J49" s="4" t="n"/>
      <c r="K49" s="5" t="n">
        <v>0</v>
      </c>
      <c r="L49" s="11">
        <f>IF($B$2="-","",IF($B$2="Pauschale",IFERROR(INDEX('Projekt-Budget-Übersicht'!$H:$H,MATCH(A49,'Projekt-Budget-Übersicht'!$A:$A,0)),""),IF($B$2="SV",IFERROR(INDEX('Projekt-Budget-Übersicht'!$H:$H,MATCH(A49,'Projekt-Budget-Übersicht'!$A:$A,0)),""),IF($B$2="CAD",IFERROR(INDEX('Projekt-Budget-Übersicht'!$I:$I,MATCH(A49,'Projekt-Budget-Übersicht'!$A:$A,0)),""),IF($B$2="ADM",IFERROR(INDEX('Projekt-Budget-Übersicht'!$J:$J,MATCH(A49,'Projekt-Budget-Übersicht'!$A:$A,0)),""),"")))))</f>
        <v/>
      </c>
      <c r="M49" s="11">
        <f>IF($B$2="-","",L49*(F49+I49+K49))</f>
        <v/>
      </c>
      <c r="N49" s="11">
        <f>IFERROR(INDEX('Projekt-Budget-Übersicht'!$E:$E,MATCH(A49,'Projekt-Budget-Übersicht'!$A:$A,0)),"")</f>
        <v/>
      </c>
      <c r="O49" s="11" t="inlineStr"/>
      <c r="P49" s="11" t="inlineStr"/>
    </row>
    <row r="50">
      <c r="A50" s="4" t="inlineStr">
        <is>
          <t>5664.171 KOF-Anbau-G1-Lauterstraße-50-Wolfstein</t>
        </is>
      </c>
      <c r="B50" s="4" t="inlineStr">
        <is>
          <t>8100-Prüfen der Ausführung auf prinzipielle Übereinstimmung (Stufe 1)....</t>
        </is>
      </c>
      <c r="C50" s="4" t="inlineStr">
        <is>
          <t>G</t>
        </is>
      </c>
      <c r="D50" s="4" t="n">
        <v>30</v>
      </c>
      <c r="E50" s="4" t="n">
        <v>25.25</v>
      </c>
      <c r="F50" s="4" t="n">
        <v>8</v>
      </c>
      <c r="G50" s="17" t="n">
        <v>84.17</v>
      </c>
      <c r="H50" s="5" t="n"/>
      <c r="I50" s="5">
        <f>IF(H50=0,"",F50-H50)</f>
        <v/>
      </c>
      <c r="J50" s="4" t="n"/>
      <c r="K50" s="5" t="n">
        <v>0</v>
      </c>
      <c r="L50" s="11">
        <f>IF($B$2="-","",IF($B$2="Pauschale",IFERROR(INDEX('Projekt-Budget-Übersicht'!$H:$H,MATCH(A50,'Projekt-Budget-Übersicht'!$A:$A,0)),""),IF($B$2="SV",IFERROR(INDEX('Projekt-Budget-Übersicht'!$H:$H,MATCH(A50,'Projekt-Budget-Übersicht'!$A:$A,0)),""),IF($B$2="CAD",IFERROR(INDEX('Projekt-Budget-Übersicht'!$I:$I,MATCH(A50,'Projekt-Budget-Übersicht'!$A:$A,0)),""),IF($B$2="ADM",IFERROR(INDEX('Projekt-Budget-Übersicht'!$J:$J,MATCH(A50,'Projekt-Budget-Übersicht'!$A:$A,0)),""),"")))))</f>
        <v/>
      </c>
      <c r="M50" s="11">
        <f>IF($B$2="-","",L50*(F50+I50+K50))</f>
        <v/>
      </c>
      <c r="N50" s="11">
        <f>IFERROR(INDEX('Projekt-Budget-Übersicht'!$E:$E,MATCH(A50,'Projekt-Budget-Übersicht'!$A:$A,0)),"")</f>
        <v/>
      </c>
      <c r="O50" s="11" t="inlineStr"/>
      <c r="P50" s="11" t="inlineStr"/>
    </row>
    <row r="51">
      <c r="A51" s="4" t="inlineStr">
        <is>
          <t>5664.19 (5667.04)  KOB-BAB-Umbau-Sprinkleranlage-Lauterstr50-Wolfstein</t>
        </is>
      </c>
      <c r="B51" s="4" t="inlineStr">
        <is>
          <t>3100-Erarbeiten des Brandschutzkonzept/Nachweis/Stellungnahme (SV)</t>
        </is>
      </c>
      <c r="C51" s="4" t="inlineStr">
        <is>
          <t>G</t>
        </is>
      </c>
      <c r="D51" s="4" t="n">
        <v>16</v>
      </c>
      <c r="E51" s="4" t="n">
        <v>18</v>
      </c>
      <c r="F51" s="4" t="n">
        <v>1.75</v>
      </c>
      <c r="G51" s="16" t="n">
        <v>112.5</v>
      </c>
      <c r="H51" s="5" t="n"/>
      <c r="I51" s="5">
        <f>IF(H51=0,"",F51-H51)</f>
        <v/>
      </c>
      <c r="J51" s="4" t="n"/>
      <c r="K51" s="5">
        <f>IF('A. Kokott'!J49="J. Dorn",'A. Kokott'!I49,0)+IF('T. Trautmann'!J41="J. Dorn",'T. Trautmann'!I41,0)</f>
        <v/>
      </c>
      <c r="L51" s="11">
        <f>IF($B$2="-","",IF($B$2="Pauschale",IFERROR(INDEX('Projekt-Budget-Übersicht'!$H:$H,MATCH(A51,'Projekt-Budget-Übersicht'!$A:$A,0)),""),IF($B$2="SV",IFERROR(INDEX('Projekt-Budget-Übersicht'!$H:$H,MATCH(A51,'Projekt-Budget-Übersicht'!$A:$A,0)),""),IF($B$2="CAD",IFERROR(INDEX('Projekt-Budget-Übersicht'!$I:$I,MATCH(A51,'Projekt-Budget-Übersicht'!$A:$A,0)),""),IF($B$2="ADM",IFERROR(INDEX('Projekt-Budget-Übersicht'!$J:$J,MATCH(A51,'Projekt-Budget-Übersicht'!$A:$A,0)),""),"")))))</f>
        <v/>
      </c>
      <c r="M51" s="11">
        <f>IF($B$2="-","",L51*(F51+I51+K51))</f>
        <v/>
      </c>
      <c r="N51" s="11">
        <f>IFERROR(INDEX('Projekt-Budget-Übersicht'!$E:$E,MATCH(A51,'Projekt-Budget-Übersicht'!$A:$A,0)),"")</f>
        <v/>
      </c>
      <c r="O51" s="11" t="inlineStr"/>
      <c r="P51" s="11" t="inlineStr"/>
    </row>
    <row r="52">
      <c r="A52" s="4" t="inlineStr">
        <is>
          <t>5664.20 KOB-BAB-Trinkwassertrennung-Lauterstraße-50-Wolfstein</t>
        </is>
      </c>
      <c r="B52" s="4" t="inlineStr">
        <is>
          <t>(aN) Pos. 1 Brandschutztechnische Beratung (SV 30h) 3.000€</t>
        </is>
      </c>
      <c r="C52" s="4" t="inlineStr">
        <is>
          <t>G</t>
        </is>
      </c>
      <c r="D52" s="4" t="n">
        <v>30</v>
      </c>
      <c r="E52" s="4" t="n">
        <v>12.5</v>
      </c>
      <c r="F52" s="4" t="n">
        <v>10.75</v>
      </c>
      <c r="G52" s="17" t="n">
        <v>41.67</v>
      </c>
      <c r="H52" s="5" t="n"/>
      <c r="I52" s="5">
        <f>IF(H52=0,"",F52-H52)</f>
        <v/>
      </c>
      <c r="J52" s="4" t="n"/>
      <c r="K52" s="5">
        <f>IF('T. Trautmann'!J42="J. Dorn",'T. Trautmann'!I42,0)</f>
        <v/>
      </c>
      <c r="L52" s="11">
        <f>IF($B$2="-","",IF($B$2="Pauschale",IFERROR(INDEX('Projekt-Budget-Übersicht'!$H:$H,MATCH(A52,'Projekt-Budget-Übersicht'!$A:$A,0)),""),IF($B$2="SV",IFERROR(INDEX('Projekt-Budget-Übersicht'!$H:$H,MATCH(A52,'Projekt-Budget-Übersicht'!$A:$A,0)),""),IF($B$2="CAD",IFERROR(INDEX('Projekt-Budget-Übersicht'!$I:$I,MATCH(A52,'Projekt-Budget-Übersicht'!$A:$A,0)),""),IF($B$2="ADM",IFERROR(INDEX('Projekt-Budget-Übersicht'!$J:$J,MATCH(A52,'Projekt-Budget-Übersicht'!$A:$A,0)),""),"")))))</f>
        <v/>
      </c>
      <c r="M52" s="11">
        <f>IF($B$2="-","",L52*(F52+I52+K52))</f>
        <v/>
      </c>
      <c r="N52" s="11">
        <f>IFERROR(INDEX('Projekt-Budget-Übersicht'!$E:$E,MATCH(A52,'Projekt-Budget-Übersicht'!$A:$A,0)),"")</f>
        <v/>
      </c>
      <c r="O52" s="11" t="inlineStr"/>
      <c r="P52" s="11" t="inlineStr"/>
    </row>
    <row r="53">
      <c r="A53" s="4" t="inlineStr">
        <is>
          <t>5876 Eppelheimer-Straße-12-Heidelberg-Hotel-Easy-Living</t>
        </is>
      </c>
      <c r="B53" s="4" t="inlineStr">
        <is>
          <t>8000-Objektüberwachung</t>
        </is>
      </c>
      <c r="C53" s="4" t="inlineStr">
        <is>
          <t>G</t>
        </is>
      </c>
      <c r="D53" s="4" t="n">
        <v>110</v>
      </c>
      <c r="E53" s="4" t="n">
        <v>46.5</v>
      </c>
      <c r="F53" s="4" t="n">
        <v>0.75</v>
      </c>
      <c r="G53" s="17" t="n">
        <v>42.27</v>
      </c>
      <c r="H53" s="5" t="n"/>
      <c r="I53" s="5">
        <f>IF(H53=0,"",F53-H53)</f>
        <v/>
      </c>
      <c r="J53" s="4" t="n"/>
      <c r="K53" s="5" t="n">
        <v>0</v>
      </c>
      <c r="L53" s="11">
        <f>IF($B$2="-","",IF($B$2="Pauschale",IFERROR(INDEX('Projekt-Budget-Übersicht'!$H:$H,MATCH(A53,'Projekt-Budget-Übersicht'!$A:$A,0)),""),IF($B$2="SV",IFERROR(INDEX('Projekt-Budget-Übersicht'!$H:$H,MATCH(A53,'Projekt-Budget-Übersicht'!$A:$A,0)),""),IF($B$2="CAD",IFERROR(INDEX('Projekt-Budget-Übersicht'!$I:$I,MATCH(A53,'Projekt-Budget-Übersicht'!$A:$A,0)),""),IF($B$2="ADM",IFERROR(INDEX('Projekt-Budget-Übersicht'!$J:$J,MATCH(A53,'Projekt-Budget-Übersicht'!$A:$A,0)),""),"")))))</f>
        <v/>
      </c>
      <c r="M53" s="11">
        <f>IF($B$2="-","",L53*(F53+I53+K53))</f>
        <v/>
      </c>
      <c r="N53" s="11">
        <f>IFERROR(INDEX('Projekt-Budget-Übersicht'!$E:$E,MATCH(A53,'Projekt-Budget-Übersicht'!$A:$A,0)),"")</f>
        <v/>
      </c>
      <c r="O53" s="11" t="inlineStr"/>
      <c r="P53" s="11" t="inlineStr"/>
    </row>
    <row r="54">
      <c r="A54" s="4" t="inlineStr">
        <is>
          <t>6106.01 KreisBergstrasse-AHO-NB-LGL-Lessinggymnasium-Biedensandstr55-Lampertheim</t>
        </is>
      </c>
      <c r="B54" s="4" t="inlineStr">
        <is>
          <t>RL</t>
        </is>
      </c>
      <c r="C54" s="4" t="inlineStr">
        <is>
          <t>G</t>
        </is>
      </c>
      <c r="D54" s="4" t="n">
        <v>160</v>
      </c>
      <c r="E54" s="4" t="n">
        <v>111.25</v>
      </c>
      <c r="F54" s="4" t="n">
        <v>39</v>
      </c>
      <c r="G54" s="17" t="n">
        <v>69.53</v>
      </c>
      <c r="H54" s="5" t="n"/>
      <c r="I54" s="5">
        <f>IF(H54=0,"",F54-H54)</f>
        <v/>
      </c>
      <c r="J54" s="4" t="n"/>
      <c r="K54" s="5" t="n">
        <v>0</v>
      </c>
      <c r="L54" s="11">
        <f>IF($B$2="-","",IF($B$2="Pauschale",IFERROR(INDEX('Projekt-Budget-Übersicht'!$H:$H,MATCH(A54,'Projekt-Budget-Übersicht'!$A:$A,0)),""),IF($B$2="SV",IFERROR(INDEX('Projekt-Budget-Übersicht'!$H:$H,MATCH(A54,'Projekt-Budget-Übersicht'!$A:$A,0)),""),IF($B$2="CAD",IFERROR(INDEX('Projekt-Budget-Übersicht'!$I:$I,MATCH(A54,'Projekt-Budget-Übersicht'!$A:$A,0)),""),IF($B$2="ADM",IFERROR(INDEX('Projekt-Budget-Übersicht'!$J:$J,MATCH(A54,'Projekt-Budget-Übersicht'!$A:$A,0)),""),"")))))</f>
        <v/>
      </c>
      <c r="M54" s="11">
        <f>IF($B$2="-","",L54*(F54+I54+K54))</f>
        <v/>
      </c>
      <c r="N54" s="11">
        <f>IFERROR(INDEX('Projekt-Budget-Übersicht'!$E:$E,MATCH(A54,'Projekt-Budget-Übersicht'!$A:$A,0)),"")</f>
        <v/>
      </c>
      <c r="O54" s="11" t="inlineStr"/>
      <c r="P54" s="11" t="inlineStr"/>
    </row>
    <row r="55">
      <c r="A55" s="4" t="inlineStr">
        <is>
          <t>6151.01 SWSTU-BSK-Kesselstr23-Stuttgart</t>
        </is>
      </c>
      <c r="B55" s="4" t="inlineStr">
        <is>
          <t>8104-Statusbericht Bewertung auf Möglichkeiten zur Inbetriebnahme….</t>
        </is>
      </c>
      <c r="C55" s="4" t="inlineStr">
        <is>
          <t>G</t>
        </is>
      </c>
      <c r="D55" s="4" t="n">
        <v>20</v>
      </c>
      <c r="E55" s="4" t="n">
        <v>17.75</v>
      </c>
      <c r="F55" s="4" t="n">
        <v>0.25</v>
      </c>
      <c r="G55" s="17" t="n">
        <v>88.75</v>
      </c>
      <c r="H55" s="5" t="n"/>
      <c r="I55" s="5">
        <f>IF(H55=0,"",F55-H55)</f>
        <v/>
      </c>
      <c r="J55" s="4" t="n"/>
      <c r="K55" s="5" t="n">
        <v>0</v>
      </c>
      <c r="L55" s="11">
        <f>IF($B$2="-","",IF($B$2="Pauschale",IFERROR(INDEX('Projekt-Budget-Übersicht'!$H:$H,MATCH(A55,'Projekt-Budget-Übersicht'!$A:$A,0)),""),IF($B$2="SV",IFERROR(INDEX('Projekt-Budget-Übersicht'!$H:$H,MATCH(A55,'Projekt-Budget-Übersicht'!$A:$A,0)),""),IF($B$2="CAD",IFERROR(INDEX('Projekt-Budget-Übersicht'!$I:$I,MATCH(A55,'Projekt-Budget-Übersicht'!$A:$A,0)),""),IF($B$2="ADM",IFERROR(INDEX('Projekt-Budget-Übersicht'!$J:$J,MATCH(A55,'Projekt-Budget-Übersicht'!$A:$A,0)),""),"")))))</f>
        <v/>
      </c>
      <c r="M55" s="11">
        <f>IF($B$2="-","",L55*(F55+I55+K55))</f>
        <v/>
      </c>
      <c r="N55" s="11">
        <f>IFERROR(INDEX('Projekt-Budget-Übersicht'!$E:$E,MATCH(A55,'Projekt-Budget-Übersicht'!$A:$A,0)),"")</f>
        <v/>
      </c>
      <c r="O55" s="11" t="inlineStr"/>
      <c r="P55" s="11" t="inlineStr"/>
    </row>
    <row r="56">
      <c r="A56" s="4" t="inlineStr">
        <is>
          <t>6151.05 SWSTU-NAT-BSK-Kesselstr23-Stuttgart</t>
        </is>
      </c>
      <c r="B56" s="4" t="inlineStr">
        <is>
          <t>(aN) Anpassung BSK (SV)</t>
        </is>
      </c>
      <c r="C56" s="4" t="inlineStr">
        <is>
          <t>G</t>
        </is>
      </c>
      <c r="D56" s="4" t="n">
        <v>23</v>
      </c>
      <c r="E56" s="4" t="n">
        <v>28</v>
      </c>
      <c r="F56" s="4" t="n">
        <v>21.75</v>
      </c>
      <c r="G56" s="16" t="n">
        <v>121.74</v>
      </c>
      <c r="H56" s="5" t="n"/>
      <c r="I56" s="5">
        <f>IF(H56=0,"",F56-H56)</f>
        <v/>
      </c>
      <c r="J56" s="4" t="n"/>
      <c r="K56" s="5" t="n">
        <v>0</v>
      </c>
      <c r="L56" s="11">
        <f>IF($B$2="-","",IF($B$2="Pauschale",IFERROR(INDEX('Projekt-Budget-Übersicht'!$H:$H,MATCH(A56,'Projekt-Budget-Übersicht'!$A:$A,0)),""),IF($B$2="SV",IFERROR(INDEX('Projekt-Budget-Übersicht'!$H:$H,MATCH(A56,'Projekt-Budget-Übersicht'!$A:$A,0)),""),IF($B$2="CAD",IFERROR(INDEX('Projekt-Budget-Übersicht'!$I:$I,MATCH(A56,'Projekt-Budget-Übersicht'!$A:$A,0)),""),IF($B$2="ADM",IFERROR(INDEX('Projekt-Budget-Übersicht'!$J:$J,MATCH(A56,'Projekt-Budget-Übersicht'!$A:$A,0)),""),"")))))</f>
        <v/>
      </c>
      <c r="M56" s="11">
        <f>IF($B$2="-","",L56*(F56+I56+K56))</f>
        <v/>
      </c>
      <c r="N56" s="11">
        <f>IFERROR(INDEX('Projekt-Budget-Übersicht'!$E:$E,MATCH(A56,'Projekt-Budget-Übersicht'!$A:$A,0)),"")</f>
        <v/>
      </c>
      <c r="O56" s="11" t="inlineStr"/>
      <c r="P56" s="11" t="inlineStr"/>
    </row>
    <row r="57">
      <c r="A57" s="4" t="inlineStr">
        <is>
          <t>6271 Schwarzwaldstraße-Sinsheim-NB-FW-Gebäude</t>
        </is>
      </c>
      <c r="B57" s="4" t="inlineStr">
        <is>
          <t>5000-Ausführungsplanung</t>
        </is>
      </c>
      <c r="C57" s="4" t="inlineStr">
        <is>
          <t>G</t>
        </is>
      </c>
      <c r="D57" s="4" t="n">
        <v>34</v>
      </c>
      <c r="E57" s="4" t="n">
        <v>10.75</v>
      </c>
      <c r="F57" s="4" t="n">
        <v>0.5</v>
      </c>
      <c r="G57" s="17" t="n">
        <v>31.62</v>
      </c>
      <c r="H57" s="5" t="n"/>
      <c r="I57" s="5">
        <f>IF(H57=0,"",F57-H57)</f>
        <v/>
      </c>
      <c r="J57" s="4" t="n"/>
      <c r="K57" s="5" t="n">
        <v>0</v>
      </c>
      <c r="L57" s="11">
        <f>IF($B$2="-","",IF($B$2="Pauschale",IFERROR(INDEX('Projekt-Budget-Übersicht'!$H:$H,MATCH(A57,'Projekt-Budget-Übersicht'!$A:$A,0)),""),IF($B$2="SV",IFERROR(INDEX('Projekt-Budget-Übersicht'!$H:$H,MATCH(A57,'Projekt-Budget-Übersicht'!$A:$A,0)),""),IF($B$2="CAD",IFERROR(INDEX('Projekt-Budget-Übersicht'!$I:$I,MATCH(A57,'Projekt-Budget-Übersicht'!$A:$A,0)),""),IF($B$2="ADM",IFERROR(INDEX('Projekt-Budget-Übersicht'!$J:$J,MATCH(A57,'Projekt-Budget-Übersicht'!$A:$A,0)),""),"")))))</f>
        <v/>
      </c>
      <c r="M57" s="11">
        <f>IF($B$2="-","",L57*(F57+I57+K57))</f>
        <v/>
      </c>
      <c r="N57" s="11">
        <f>IFERROR(INDEX('Projekt-Budget-Übersicht'!$E:$E,MATCH(A57,'Projekt-Budget-Übersicht'!$A:$A,0)),"")</f>
        <v/>
      </c>
      <c r="O57" s="11" t="inlineStr"/>
      <c r="P57" s="11" t="inlineStr"/>
    </row>
    <row r="58">
      <c r="A58" s="4" t="inlineStr">
        <is>
          <t>6313.06 BSK-Fitseveneleven-Limespark-Sulzbach-1.OG</t>
        </is>
      </c>
      <c r="B58" s="4" t="inlineStr">
        <is>
          <t>8000-Objektüberwachung</t>
        </is>
      </c>
      <c r="C58" s="4" t="inlineStr">
        <is>
          <t>G</t>
        </is>
      </c>
      <c r="D58" s="4" t="n">
        <v>16</v>
      </c>
      <c r="E58" s="4" t="n">
        <v>36.75</v>
      </c>
      <c r="F58" s="4" t="n">
        <v>0.5</v>
      </c>
      <c r="G58" s="16" t="n">
        <v>229.69</v>
      </c>
      <c r="H58" s="5" t="n"/>
      <c r="I58" s="5">
        <f>IF(H58=0,"",F58-H58)</f>
        <v/>
      </c>
      <c r="J58" s="4" t="n"/>
      <c r="K58" s="5">
        <f>IF('R. Böttiger'!J35="J. Dorn",'R. Böttiger'!I35,0)</f>
        <v/>
      </c>
      <c r="L58" s="11">
        <f>IF($B$2="-","",IF($B$2="Pauschale",IFERROR(INDEX('Projekt-Budget-Übersicht'!$H:$H,MATCH(A58,'Projekt-Budget-Übersicht'!$A:$A,0)),""),IF($B$2="SV",IFERROR(INDEX('Projekt-Budget-Übersicht'!$H:$H,MATCH(A58,'Projekt-Budget-Übersicht'!$A:$A,0)),""),IF($B$2="CAD",IFERROR(INDEX('Projekt-Budget-Übersicht'!$I:$I,MATCH(A58,'Projekt-Budget-Übersicht'!$A:$A,0)),""),IF($B$2="ADM",IFERROR(INDEX('Projekt-Budget-Übersicht'!$J:$J,MATCH(A58,'Projekt-Budget-Übersicht'!$A:$A,0)),""),"")))))</f>
        <v/>
      </c>
      <c r="M58" s="11">
        <f>IF($B$2="-","",L58*(F58+I58+K58))</f>
        <v/>
      </c>
      <c r="N58" s="11">
        <f>IFERROR(INDEX('Projekt-Budget-Übersicht'!$E:$E,MATCH(A58,'Projekt-Budget-Übersicht'!$A:$A,0)),"")</f>
        <v/>
      </c>
      <c r="O58" s="11" t="inlineStr"/>
      <c r="P58" s="11" t="inlineStr"/>
    </row>
    <row r="59">
      <c r="A59" s="4" t="inlineStr">
        <is>
          <t>6344 Brodenheckstraße-Bitburg-Amtsgericht</t>
        </is>
      </c>
      <c r="B59" s="4" t="inlineStr">
        <is>
          <t>4000-Genehmigungsplanung</t>
        </is>
      </c>
      <c r="C59" s="4" t="inlineStr">
        <is>
          <t>G</t>
        </is>
      </c>
      <c r="D59" s="4" t="n">
        <v>37</v>
      </c>
      <c r="E59" s="4" t="n">
        <v>17.5</v>
      </c>
      <c r="F59" s="4" t="n">
        <v>1.25</v>
      </c>
      <c r="G59" s="17" t="n">
        <v>47.3</v>
      </c>
      <c r="H59" s="5" t="n"/>
      <c r="I59" s="5">
        <f>IF(H59=0,"",F59-H59)</f>
        <v/>
      </c>
      <c r="J59" s="4" t="n"/>
      <c r="K59" s="5" t="n">
        <v>0</v>
      </c>
      <c r="L59" s="11">
        <f>IF($B$2="-","",IF($B$2="Pauschale",IFERROR(INDEX('Projekt-Budget-Übersicht'!$H:$H,MATCH(A59,'Projekt-Budget-Übersicht'!$A:$A,0)),""),IF($B$2="SV",IFERROR(INDEX('Projekt-Budget-Übersicht'!$H:$H,MATCH(A59,'Projekt-Budget-Übersicht'!$A:$A,0)),""),IF($B$2="CAD",IFERROR(INDEX('Projekt-Budget-Übersicht'!$I:$I,MATCH(A59,'Projekt-Budget-Übersicht'!$A:$A,0)),""),IF($B$2="ADM",IFERROR(INDEX('Projekt-Budget-Übersicht'!$J:$J,MATCH(A59,'Projekt-Budget-Übersicht'!$A:$A,0)),""),"")))))</f>
        <v/>
      </c>
      <c r="M59" s="11">
        <f>IF($B$2="-","",L59*(F59+I59+K59))</f>
        <v/>
      </c>
      <c r="N59" s="11">
        <f>IFERROR(INDEX('Projekt-Budget-Übersicht'!$E:$E,MATCH(A59,'Projekt-Budget-Übersicht'!$A:$A,0)),"")</f>
        <v/>
      </c>
      <c r="O59" s="11" t="inlineStr"/>
      <c r="P59" s="11" t="inlineStr"/>
    </row>
    <row r="60">
      <c r="A60" s="4" t="inlineStr">
        <is>
          <t>6497 SunYardOffice-Heidelberg</t>
        </is>
      </c>
      <c r="B60" s="4" t="inlineStr">
        <is>
          <t>4000-Genehmigungsplanung</t>
        </is>
      </c>
      <c r="C60" s="4" t="inlineStr">
        <is>
          <t>G</t>
        </is>
      </c>
      <c r="D60" s="4" t="n">
        <v>0</v>
      </c>
      <c r="E60" s="4" t="n">
        <v>-18.25</v>
      </c>
      <c r="F60" s="4" t="n">
        <v>0.75</v>
      </c>
      <c r="G60" s="4" t="n">
        <v>0</v>
      </c>
      <c r="H60" s="5" t="n"/>
      <c r="I60" s="5">
        <f>IF(H60=0,"",F60-H60)</f>
        <v/>
      </c>
      <c r="J60" s="4" t="n"/>
      <c r="K60" s="5" t="n">
        <v>0</v>
      </c>
      <c r="L60" s="11">
        <f>IF($B$2="-","",IF($B$2="Pauschale",IFERROR(INDEX('Projekt-Budget-Übersicht'!$H:$H,MATCH(A60,'Projekt-Budget-Übersicht'!$A:$A,0)),""),IF($B$2="SV",IFERROR(INDEX('Projekt-Budget-Übersicht'!$H:$H,MATCH(A60,'Projekt-Budget-Übersicht'!$A:$A,0)),""),IF($B$2="CAD",IFERROR(INDEX('Projekt-Budget-Übersicht'!$I:$I,MATCH(A60,'Projekt-Budget-Übersicht'!$A:$A,0)),""),IF($B$2="ADM",IFERROR(INDEX('Projekt-Budget-Übersicht'!$J:$J,MATCH(A60,'Projekt-Budget-Übersicht'!$A:$A,0)),""),"")))))</f>
        <v/>
      </c>
      <c r="M60" s="11">
        <f>IF($B$2="-","",L60*(F60+I60+K60))</f>
        <v/>
      </c>
      <c r="N60" s="11">
        <f>IFERROR(INDEX('Projekt-Budget-Übersicht'!$E:$E,MATCH(A60,'Projekt-Budget-Übersicht'!$A:$A,0)),"")</f>
        <v/>
      </c>
      <c r="O60" s="11" t="inlineStr"/>
      <c r="P60" s="11" t="inlineStr"/>
    </row>
    <row r="61">
      <c r="A61" s="4" t="inlineStr">
        <is>
          <t>6527.01 IO-Anp-BSK-Mühlenfeldstr1-Holzminden-Symotion</t>
        </is>
      </c>
      <c r="B61" s="4" t="inlineStr">
        <is>
          <t>SV</t>
        </is>
      </c>
      <c r="C61" s="4" t="inlineStr">
        <is>
          <t>G</t>
        </is>
      </c>
      <c r="D61" s="4" t="n">
        <v>6</v>
      </c>
      <c r="E61" s="4" t="n">
        <v>41.25</v>
      </c>
      <c r="F61" s="4" t="n">
        <v>7.5</v>
      </c>
      <c r="G61" s="16" t="n">
        <v>687.5</v>
      </c>
      <c r="H61" s="5" t="n"/>
      <c r="I61" s="5">
        <f>IF(H61=0,"",F61-H61)</f>
        <v/>
      </c>
      <c r="J61" s="4" t="n"/>
      <c r="K61" s="5" t="n">
        <v>0</v>
      </c>
      <c r="L61" s="11">
        <f>IF($B$2="-","",IF($B$2="Pauschale",IFERROR(INDEX('Projekt-Budget-Übersicht'!$H:$H,MATCH(A61,'Projekt-Budget-Übersicht'!$A:$A,0)),""),IF($B$2="SV",IFERROR(INDEX('Projekt-Budget-Übersicht'!$H:$H,MATCH(A61,'Projekt-Budget-Übersicht'!$A:$A,0)),""),IF($B$2="CAD",IFERROR(INDEX('Projekt-Budget-Übersicht'!$I:$I,MATCH(A61,'Projekt-Budget-Übersicht'!$A:$A,0)),""),IF($B$2="ADM",IFERROR(INDEX('Projekt-Budget-Übersicht'!$J:$J,MATCH(A61,'Projekt-Budget-Übersicht'!$A:$A,0)),""),"")))))</f>
        <v/>
      </c>
      <c r="M61" s="11">
        <f>IF($B$2="-","",L61*(F61+I61+K61))</f>
        <v/>
      </c>
      <c r="N61" s="11">
        <f>IFERROR(INDEX('Projekt-Budget-Übersicht'!$E:$E,MATCH(A61,'Projekt-Budget-Übersicht'!$A:$A,0)),"")</f>
        <v/>
      </c>
      <c r="O61" s="11" t="inlineStr"/>
      <c r="P61" s="11" t="inlineStr"/>
    </row>
    <row r="62">
      <c r="A62" s="4" t="inlineStr">
        <is>
          <t>6564.01 ROB-MCR-Weilerbach-Züblin-TP1</t>
        </is>
      </c>
      <c r="B62" s="4" t="inlineStr">
        <is>
          <t>5000-Ausführungsplanung</t>
        </is>
      </c>
      <c r="C62" s="4" t="inlineStr">
        <is>
          <t>G</t>
        </is>
      </c>
      <c r="D62" s="4" t="n">
        <v>1560</v>
      </c>
      <c r="E62" s="4" t="n">
        <v>1568</v>
      </c>
      <c r="F62" s="4" t="n">
        <v>3.75</v>
      </c>
      <c r="G62" s="16" t="n">
        <v>100.51</v>
      </c>
      <c r="H62" s="5" t="n"/>
      <c r="I62" s="5">
        <f>IF(H62=0,"",F62-H62)</f>
        <v/>
      </c>
      <c r="J62" s="4" t="n"/>
      <c r="K62" s="5" t="n">
        <v>0</v>
      </c>
      <c r="L62" s="11">
        <f>IF($B$2="-","",IF($B$2="Pauschale",IFERROR(INDEX('Projekt-Budget-Übersicht'!$H:$H,MATCH(A62,'Projekt-Budget-Übersicht'!$A:$A,0)),""),IF($B$2="SV",IFERROR(INDEX('Projekt-Budget-Übersicht'!$H:$H,MATCH(A62,'Projekt-Budget-Übersicht'!$A:$A,0)),""),IF($B$2="CAD",IFERROR(INDEX('Projekt-Budget-Übersicht'!$I:$I,MATCH(A62,'Projekt-Budget-Übersicht'!$A:$A,0)),""),IF($B$2="ADM",IFERROR(INDEX('Projekt-Budget-Übersicht'!$J:$J,MATCH(A62,'Projekt-Budget-Übersicht'!$A:$A,0)),""),"")))))</f>
        <v/>
      </c>
      <c r="M62" s="11">
        <f>IF($B$2="-","",L62*(F62+I62+K62))</f>
        <v/>
      </c>
      <c r="N62" s="11">
        <f>IFERROR(INDEX('Projekt-Budget-Übersicht'!$E:$E,MATCH(A62,'Projekt-Budget-Übersicht'!$A:$A,0)),"")</f>
        <v/>
      </c>
      <c r="O62" s="11" t="inlineStr"/>
      <c r="P62" s="11" t="inlineStr"/>
    </row>
    <row r="63">
      <c r="A63" s="4" t="inlineStr">
        <is>
          <t>6591.01 IO-BTB-LP5+8-SchaffhausenerStr26-34-Berlin</t>
        </is>
      </c>
      <c r="B63" s="4" t="inlineStr">
        <is>
          <t>SV</t>
        </is>
      </c>
      <c r="C63" s="4" t="inlineStr">
        <is>
          <t>G</t>
        </is>
      </c>
      <c r="D63" s="4" t="n">
        <v>18.75</v>
      </c>
      <c r="E63" s="4" t="n">
        <v>53</v>
      </c>
      <c r="F63" s="4" t="n">
        <v>3.25</v>
      </c>
      <c r="G63" s="16" t="n">
        <v>282.67</v>
      </c>
      <c r="H63" s="5" t="n"/>
      <c r="I63" s="5">
        <f>IF(H63=0,"",F63-H63)</f>
        <v/>
      </c>
      <c r="J63" s="4" t="n"/>
      <c r="K63" s="5" t="n">
        <v>0</v>
      </c>
      <c r="L63" s="11">
        <f>IF($B$2="-","",IF($B$2="Pauschale",IFERROR(INDEX('Projekt-Budget-Übersicht'!$H:$H,MATCH(A63,'Projekt-Budget-Übersicht'!$A:$A,0)),""),IF($B$2="SV",IFERROR(INDEX('Projekt-Budget-Übersicht'!$H:$H,MATCH(A63,'Projekt-Budget-Übersicht'!$A:$A,0)),""),IF($B$2="CAD",IFERROR(INDEX('Projekt-Budget-Übersicht'!$I:$I,MATCH(A63,'Projekt-Budget-Übersicht'!$A:$A,0)),""),IF($B$2="ADM",IFERROR(INDEX('Projekt-Budget-Übersicht'!$J:$J,MATCH(A63,'Projekt-Budget-Übersicht'!$A:$A,0)),""),"")))))</f>
        <v/>
      </c>
      <c r="M63" s="11">
        <f>IF($B$2="-","",L63*(F63+I63+K63))</f>
        <v/>
      </c>
      <c r="N63" s="11">
        <f>IFERROR(INDEX('Projekt-Budget-Übersicht'!$E:$E,MATCH(A63,'Projekt-Budget-Übersicht'!$A:$A,0)),"")</f>
        <v/>
      </c>
      <c r="O63" s="11" t="inlineStr"/>
      <c r="P63" s="11" t="inlineStr"/>
    </row>
    <row r="64">
      <c r="A64" s="4" t="inlineStr">
        <is>
          <t>6649.03 formica-Anp-BSK-Otto-Hahn-Str-Hilden-Laer</t>
        </is>
      </c>
      <c r="B64" s="4" t="inlineStr">
        <is>
          <t>SV</t>
        </is>
      </c>
      <c r="C64" s="4" t="inlineStr">
        <is>
          <t>G</t>
        </is>
      </c>
      <c r="D64" s="4" t="n">
        <v>0</v>
      </c>
      <c r="E64" s="4" t="n">
        <v>-1</v>
      </c>
      <c r="F64" s="4" t="n">
        <v>7.25</v>
      </c>
      <c r="G64" s="4" t="n">
        <v>0</v>
      </c>
      <c r="H64" s="5" t="n"/>
      <c r="I64" s="5">
        <f>IF(H64=0,"",F64-H64)</f>
        <v/>
      </c>
      <c r="J64" s="4" t="n"/>
      <c r="K64" s="5">
        <f>IF('A. Kokott'!J51="J. Dorn",'A. Kokott'!I51,0)+IF('T. Trautmann'!J50="J. Dorn",'T. Trautmann'!I50,0)</f>
        <v/>
      </c>
      <c r="L64" s="11">
        <f>IF($B$2="-","",IF($B$2="Pauschale",IFERROR(INDEX('Projekt-Budget-Übersicht'!$H:$H,MATCH(A64,'Projekt-Budget-Übersicht'!$A:$A,0)),""),IF($B$2="SV",IFERROR(INDEX('Projekt-Budget-Übersicht'!$H:$H,MATCH(A64,'Projekt-Budget-Übersicht'!$A:$A,0)),""),IF($B$2="CAD",IFERROR(INDEX('Projekt-Budget-Übersicht'!$I:$I,MATCH(A64,'Projekt-Budget-Übersicht'!$A:$A,0)),""),IF($B$2="ADM",IFERROR(INDEX('Projekt-Budget-Übersicht'!$J:$J,MATCH(A64,'Projekt-Budget-Übersicht'!$A:$A,0)),""),"")))))</f>
        <v/>
      </c>
      <c r="M64" s="11">
        <f>IF($B$2="-","",L64*(F64+I64+K64))</f>
        <v/>
      </c>
      <c r="N64" s="11">
        <f>IFERROR(INDEX('Projekt-Budget-Übersicht'!$E:$E,MATCH(A64,'Projekt-Budget-Übersicht'!$A:$A,0)),"")</f>
        <v/>
      </c>
      <c r="O64" s="11" t="inlineStr"/>
      <c r="P64" s="11" t="inlineStr"/>
    </row>
    <row r="65">
      <c r="A65" s="4" t="inlineStr">
        <is>
          <t>6680.01 GSKOK-Heidelberg-Kopfklinik-Neurologie-BTB</t>
        </is>
      </c>
      <c r="B65" s="4" t="inlineStr">
        <is>
          <t>5000-Ausführungsplanung</t>
        </is>
      </c>
      <c r="C65" s="4" t="inlineStr">
        <is>
          <t>G</t>
        </is>
      </c>
      <c r="D65" s="4" t="n">
        <v>10</v>
      </c>
      <c r="E65" s="4" t="n">
        <v>2.25</v>
      </c>
      <c r="F65" s="4" t="n">
        <v>1</v>
      </c>
      <c r="G65" s="17" t="n">
        <v>22.5</v>
      </c>
      <c r="H65" s="5" t="n"/>
      <c r="I65" s="5">
        <f>IF(H65=0,"",F65-H65)</f>
        <v/>
      </c>
      <c r="J65" s="4" t="n"/>
      <c r="K65" s="5" t="n">
        <v>0</v>
      </c>
      <c r="L65" s="11">
        <f>IF($B$2="-","",IF($B$2="Pauschale",IFERROR(INDEX('Projekt-Budget-Übersicht'!$H:$H,MATCH(A65,'Projekt-Budget-Übersicht'!$A:$A,0)),""),IF($B$2="SV",IFERROR(INDEX('Projekt-Budget-Übersicht'!$H:$H,MATCH(A65,'Projekt-Budget-Übersicht'!$A:$A,0)),""),IF($B$2="CAD",IFERROR(INDEX('Projekt-Budget-Übersicht'!$I:$I,MATCH(A65,'Projekt-Budget-Übersicht'!$A:$A,0)),""),IF($B$2="ADM",IFERROR(INDEX('Projekt-Budget-Übersicht'!$J:$J,MATCH(A65,'Projekt-Budget-Übersicht'!$A:$A,0)),""),"")))))</f>
        <v/>
      </c>
      <c r="M65" s="11">
        <f>IF($B$2="-","",L65*(F65+I65+K65))</f>
        <v/>
      </c>
      <c r="N65" s="11">
        <f>IFERROR(INDEX('Projekt-Budget-Übersicht'!$E:$E,MATCH(A65,'Projekt-Budget-Übersicht'!$A:$A,0)),"")</f>
        <v/>
      </c>
      <c r="O65" s="11" t="inlineStr"/>
      <c r="P65" s="11" t="inlineStr"/>
    </row>
    <row r="66">
      <c r="A66" s="4" t="inlineStr">
        <is>
          <t>6697.01 LBB-LS3-AHO-Niederauerbach-Kaserne-a1-Zweibrücken</t>
        </is>
      </c>
      <c r="B66" s="4" t="inlineStr">
        <is>
          <t>(p) LP 5 GL</t>
        </is>
      </c>
      <c r="C66" s="4" t="inlineStr">
        <is>
          <t>G</t>
        </is>
      </c>
      <c r="D66" s="4" t="n">
        <v>66</v>
      </c>
      <c r="E66" s="4" t="n">
        <v>3</v>
      </c>
      <c r="F66" s="4" t="n">
        <v>0.5</v>
      </c>
      <c r="G66" s="17" t="n">
        <v>4.55</v>
      </c>
      <c r="H66" s="5" t="n"/>
      <c r="I66" s="5">
        <f>IF(H66=0,"",F66-H66)</f>
        <v/>
      </c>
      <c r="J66" s="4" t="n"/>
      <c r="K66" s="5" t="n">
        <v>0</v>
      </c>
      <c r="L66" s="11">
        <f>IF($B$2="-","",IF($B$2="Pauschale",IFERROR(INDEX('Projekt-Budget-Übersicht'!$H:$H,MATCH(A66,'Projekt-Budget-Übersicht'!$A:$A,0)),""),IF($B$2="SV",IFERROR(INDEX('Projekt-Budget-Übersicht'!$H:$H,MATCH(A66,'Projekt-Budget-Übersicht'!$A:$A,0)),""),IF($B$2="CAD",IFERROR(INDEX('Projekt-Budget-Übersicht'!$I:$I,MATCH(A66,'Projekt-Budget-Übersicht'!$A:$A,0)),""),IF($B$2="ADM",IFERROR(INDEX('Projekt-Budget-Übersicht'!$J:$J,MATCH(A66,'Projekt-Budget-Übersicht'!$A:$A,0)),""),"")))))</f>
        <v/>
      </c>
      <c r="M66" s="11">
        <f>IF($B$2="-","",L66*(F66+I66+K66))</f>
        <v/>
      </c>
      <c r="N66" s="11">
        <f>IFERROR(INDEX('Projekt-Budget-Übersicht'!$E:$E,MATCH(A66,'Projekt-Budget-Übersicht'!$A:$A,0)),"")</f>
        <v/>
      </c>
      <c r="O66" s="11" t="inlineStr"/>
      <c r="P66" s="11" t="inlineStr"/>
    </row>
    <row r="67">
      <c r="A67" s="4" t="inlineStr">
        <is>
          <t>6702 BSK-KOHN-Bayernstr100-Nürnberg</t>
        </is>
      </c>
      <c r="B67" s="4" t="inlineStr">
        <is>
          <t>3.1.2 Konkretisieren Brandschutzanforderungen</t>
        </is>
      </c>
      <c r="C67" s="4" t="inlineStr">
        <is>
          <t>G</t>
        </is>
      </c>
      <c r="D67" s="4" t="n">
        <v>0</v>
      </c>
      <c r="E67" s="4" t="n">
        <v>0</v>
      </c>
      <c r="F67" s="4" t="n">
        <v>0.5</v>
      </c>
      <c r="G67" s="4" t="n">
        <v>0</v>
      </c>
      <c r="H67" s="5" t="n"/>
      <c r="I67" s="5">
        <f>IF(H67=0,"",F67-H67)</f>
        <v/>
      </c>
      <c r="J67" s="4" t="n"/>
      <c r="K67" s="5" t="n">
        <v>0</v>
      </c>
      <c r="L67" s="11">
        <f>IF($B$2="-","",IF($B$2="Pauschale",IFERROR(INDEX('Projekt-Budget-Übersicht'!$H:$H,MATCH(A67,'Projekt-Budget-Übersicht'!$A:$A,0)),""),IF($B$2="SV",IFERROR(INDEX('Projekt-Budget-Übersicht'!$H:$H,MATCH(A67,'Projekt-Budget-Übersicht'!$A:$A,0)),""),IF($B$2="CAD",IFERROR(INDEX('Projekt-Budget-Übersicht'!$I:$I,MATCH(A67,'Projekt-Budget-Übersicht'!$A:$A,0)),""),IF($B$2="ADM",IFERROR(INDEX('Projekt-Budget-Übersicht'!$J:$J,MATCH(A67,'Projekt-Budget-Übersicht'!$A:$A,0)),""),"")))))</f>
        <v/>
      </c>
      <c r="M67" s="11">
        <f>IF($B$2="-","",L67*(F67+I67+K67))</f>
        <v/>
      </c>
      <c r="N67" s="11">
        <f>IFERROR(INDEX('Projekt-Budget-Übersicht'!$E:$E,MATCH(A67,'Projekt-Budget-Übersicht'!$A:$A,0)),"")</f>
        <v/>
      </c>
      <c r="O67" s="11" t="inlineStr"/>
      <c r="P67" s="11" t="inlineStr"/>
    </row>
    <row r="68">
      <c r="A68" s="13" t="inlineStr">
        <is>
          <t>6974 IO-Diehl-Fast-Track-V2-AHO-Liegenschaft-Maasberg-Mariahütte</t>
        </is>
      </c>
      <c r="B68" s="4" t="inlineStr">
        <is>
          <t>LP 4 vorab, BAU offen</t>
        </is>
      </c>
      <c r="C68" s="4" t="inlineStr">
        <is>
          <t>G</t>
        </is>
      </c>
      <c r="D68" s="4" t="n">
        <v>0</v>
      </c>
      <c r="E68" s="4" t="n">
        <v>-0.25</v>
      </c>
      <c r="F68" s="4" t="n">
        <v>1.25</v>
      </c>
      <c r="G68" s="4" t="n">
        <v>0</v>
      </c>
      <c r="H68" s="5" t="n"/>
      <c r="I68" s="5">
        <f>IF(H68=0,"",F68-H68)</f>
        <v/>
      </c>
      <c r="J68" s="4" t="n"/>
      <c r="K68" s="5" t="n">
        <v>0</v>
      </c>
      <c r="L68" s="11">
        <f>IF($B$2="-","",IF($B$2="Pauschale",IFERROR(INDEX('Projekt-Budget-Übersicht'!$H:$H,MATCH(A68,'Projekt-Budget-Übersicht'!$A:$A,0)),""),IF($B$2="SV",IFERROR(INDEX('Projekt-Budget-Übersicht'!$H:$H,MATCH(A68,'Projekt-Budget-Übersicht'!$A:$A,0)),""),IF($B$2="CAD",IFERROR(INDEX('Projekt-Budget-Übersicht'!$I:$I,MATCH(A68,'Projekt-Budget-Übersicht'!$A:$A,0)),""),IF($B$2="ADM",IFERROR(INDEX('Projekt-Budget-Übersicht'!$J:$J,MATCH(A68,'Projekt-Budget-Übersicht'!$A:$A,0)),""),"")))))</f>
        <v/>
      </c>
      <c r="M68" s="11">
        <f>IF($B$2="-","",L68*(F68+I68+K68))</f>
        <v/>
      </c>
      <c r="N68" s="11">
        <f>IFERROR(INDEX('Projekt-Budget-Übersicht'!$E:$E,MATCH(A68,'Projekt-Budget-Übersicht'!$A:$A,0)),"")</f>
        <v/>
      </c>
      <c r="O68" s="11" t="inlineStr"/>
      <c r="P68" s="11" t="inlineStr"/>
    </row>
    <row r="69">
      <c r="A69" s="21" t="n"/>
      <c r="B69" s="4" t="inlineStr">
        <is>
          <t>LP 5 RL</t>
        </is>
      </c>
      <c r="C69" s="4" t="inlineStr">
        <is>
          <t>G</t>
        </is>
      </c>
      <c r="D69" s="4" t="n">
        <v>0</v>
      </c>
      <c r="E69" s="4" t="n">
        <v>-1.25</v>
      </c>
      <c r="F69" s="4" t="n">
        <v>0.5</v>
      </c>
      <c r="G69" s="4" t="n">
        <v>0</v>
      </c>
      <c r="H69" s="5" t="n"/>
      <c r="I69" s="5">
        <f>IF(H69=0,"",F69-H69)</f>
        <v/>
      </c>
      <c r="J69" s="4" t="n"/>
      <c r="K69" s="5" t="n">
        <v>0</v>
      </c>
      <c r="L69" s="11">
        <f>IF($B$2="-","",IF($B$2="Pauschale",IFERROR(INDEX('Projekt-Budget-Übersicht'!$H:$H,MATCH(A69,'Projekt-Budget-Übersicht'!$A:$A,0)),""),IF($B$2="SV",IFERROR(INDEX('Projekt-Budget-Übersicht'!$H:$H,MATCH(A69,'Projekt-Budget-Übersicht'!$A:$A,0)),""),IF($B$2="CAD",IFERROR(INDEX('Projekt-Budget-Übersicht'!$I:$I,MATCH(A69,'Projekt-Budget-Übersicht'!$A:$A,0)),""),IF($B$2="ADM",IFERROR(INDEX('Projekt-Budget-Übersicht'!$J:$J,MATCH(A69,'Projekt-Budget-Übersicht'!$A:$A,0)),""),"")))))</f>
        <v/>
      </c>
      <c r="M69" s="11">
        <f>IF($B$2="-","",L69*(F69+I69+K69))</f>
        <v/>
      </c>
      <c r="N69" s="11">
        <f>IFERROR(INDEX('Projekt-Budget-Übersicht'!$E:$E,MATCH(A69,'Projekt-Budget-Übersicht'!$A:$A,0)),"")</f>
        <v/>
      </c>
      <c r="O69" s="11" t="inlineStr"/>
      <c r="P69" s="11" t="inlineStr"/>
    </row>
    <row r="70">
      <c r="A70" s="15" t="n"/>
      <c r="B70" s="4" t="inlineStr">
        <is>
          <t>SV</t>
        </is>
      </c>
      <c r="C70" s="4" t="inlineStr">
        <is>
          <t>G</t>
        </is>
      </c>
      <c r="D70" s="4" t="n">
        <v>0</v>
      </c>
      <c r="E70" s="4" t="n">
        <v>-6</v>
      </c>
      <c r="F70" s="4" t="n">
        <v>10.5</v>
      </c>
      <c r="G70" s="4" t="n">
        <v>0</v>
      </c>
      <c r="H70" s="5" t="n"/>
      <c r="I70" s="5">
        <f>IF(H70=0,"",F70-H70)</f>
        <v/>
      </c>
      <c r="J70" s="4" t="n"/>
      <c r="K70" s="5" t="n">
        <v>0</v>
      </c>
      <c r="L70" s="11">
        <f>IF($B$2="-","",IF($B$2="Pauschale",IFERROR(INDEX('Projekt-Budget-Übersicht'!$H:$H,MATCH(A70,'Projekt-Budget-Übersicht'!$A:$A,0)),""),IF($B$2="SV",IFERROR(INDEX('Projekt-Budget-Übersicht'!$H:$H,MATCH(A70,'Projekt-Budget-Übersicht'!$A:$A,0)),""),IF($B$2="CAD",IFERROR(INDEX('Projekt-Budget-Übersicht'!$I:$I,MATCH(A70,'Projekt-Budget-Übersicht'!$A:$A,0)),""),IF($B$2="ADM",IFERROR(INDEX('Projekt-Budget-Übersicht'!$J:$J,MATCH(A70,'Projekt-Budget-Übersicht'!$A:$A,0)),""),"")))))</f>
        <v/>
      </c>
      <c r="M70" s="11">
        <f>IF($B$2="-","",L70*(F70+I70+K70))</f>
        <v/>
      </c>
      <c r="N70" s="11">
        <f>IFERROR(INDEX('Projekt-Budget-Übersicht'!$E:$E,MATCH(A70,'Projekt-Budget-Übersicht'!$A:$A,0)),"")</f>
        <v/>
      </c>
      <c r="O70" s="11" t="inlineStr"/>
      <c r="P70" s="11" t="inlineStr"/>
    </row>
    <row r="71">
      <c r="A71" s="4" t="inlineStr">
        <is>
          <t>7099 GemObersulm-AHO-Grundschule-Affaltrach-Obersulm</t>
        </is>
      </c>
      <c r="B71" s="4" t="inlineStr">
        <is>
          <t>(p) LP 3 RL (SV)</t>
        </is>
      </c>
      <c r="C71" s="4" t="inlineStr">
        <is>
          <t>G</t>
        </is>
      </c>
      <c r="D71" s="4" t="n">
        <v>46</v>
      </c>
      <c r="E71" s="4" t="n">
        <v>2.5</v>
      </c>
      <c r="F71" s="4" t="n">
        <v>2.5</v>
      </c>
      <c r="G71" s="17" t="n">
        <v>5.43</v>
      </c>
      <c r="H71" s="5" t="n"/>
      <c r="I71" s="5">
        <f>IF(H71=0,"",F71-H71)</f>
        <v/>
      </c>
      <c r="J71" s="4" t="n"/>
      <c r="K71" s="5">
        <f>IF('O. Haag BS-CAD'!J71="J. Dorn",'O. Haag BS-CAD'!I71,0)</f>
        <v/>
      </c>
      <c r="L71" s="11">
        <f>IF($B$2="-","",IF($B$2="Pauschale",IFERROR(INDEX('Projekt-Budget-Übersicht'!$H:$H,MATCH(A71,'Projekt-Budget-Übersicht'!$A:$A,0)),""),IF($B$2="SV",IFERROR(INDEX('Projekt-Budget-Übersicht'!$H:$H,MATCH(A71,'Projekt-Budget-Übersicht'!$A:$A,0)),""),IF($B$2="CAD",IFERROR(INDEX('Projekt-Budget-Übersicht'!$I:$I,MATCH(A71,'Projekt-Budget-Übersicht'!$A:$A,0)),""),IF($B$2="ADM",IFERROR(INDEX('Projekt-Budget-Übersicht'!$J:$J,MATCH(A71,'Projekt-Budget-Übersicht'!$A:$A,0)),""),"")))))</f>
        <v/>
      </c>
      <c r="M71" s="11">
        <f>IF($B$2="-","",L71*(F71+I71+K71))</f>
        <v/>
      </c>
      <c r="N71" s="11">
        <f>IFERROR(INDEX('Projekt-Budget-Übersicht'!$E:$E,MATCH(A71,'Projekt-Budget-Übersicht'!$A:$A,0)),"")</f>
        <v/>
      </c>
      <c r="O71" s="11" t="inlineStr"/>
      <c r="P71" s="11" t="inlineStr"/>
    </row>
    <row r="72">
      <c r="A72" s="4" t="inlineStr">
        <is>
          <t>7370.02 LAER-formica-BSK-Garagenpark-Willi-Melchers-Straße-Lünen-NB-Hallenreihen</t>
        </is>
      </c>
      <c r="B72" s="4" t="inlineStr">
        <is>
          <t>3100-Erarbeiten des Brandschutzkonzept/Nachweis/Stellungnahme</t>
        </is>
      </c>
      <c r="C72" s="4" t="inlineStr">
        <is>
          <t>G</t>
        </is>
      </c>
      <c r="D72" s="4" t="n">
        <v>20</v>
      </c>
      <c r="E72" s="4" t="n">
        <v>21</v>
      </c>
      <c r="F72" s="4" t="n">
        <v>1.5</v>
      </c>
      <c r="G72" s="16" t="n">
        <v>105</v>
      </c>
      <c r="H72" s="5" t="n"/>
      <c r="I72" s="5">
        <f>IF(H72=0,"",F72-H72)</f>
        <v/>
      </c>
      <c r="J72" s="4" t="n"/>
      <c r="K72" s="5">
        <f>IF('A. Kokott'!J59="J. Dorn",'A. Kokott'!I59,0)</f>
        <v/>
      </c>
      <c r="L72" s="11">
        <f>IF($B$2="-","",IF($B$2="Pauschale",IFERROR(INDEX('Projekt-Budget-Übersicht'!$H:$H,MATCH(A72,'Projekt-Budget-Übersicht'!$A:$A,0)),""),IF($B$2="SV",IFERROR(INDEX('Projekt-Budget-Übersicht'!$H:$H,MATCH(A72,'Projekt-Budget-Übersicht'!$A:$A,0)),""),IF($B$2="CAD",IFERROR(INDEX('Projekt-Budget-Übersicht'!$I:$I,MATCH(A72,'Projekt-Budget-Übersicht'!$A:$A,0)),""),IF($B$2="ADM",IFERROR(INDEX('Projekt-Budget-Übersicht'!$J:$J,MATCH(A72,'Projekt-Budget-Übersicht'!$A:$A,0)),""),"")))))</f>
        <v/>
      </c>
      <c r="M72" s="11">
        <f>IF($B$2="-","",L72*(F72+I72+K72))</f>
        <v/>
      </c>
      <c r="N72" s="11">
        <f>IFERROR(INDEX('Projekt-Budget-Übersicht'!$E:$E,MATCH(A72,'Projekt-Budget-Übersicht'!$A:$A,0)),"")</f>
        <v/>
      </c>
      <c r="O72" s="11" t="inlineStr"/>
      <c r="P72" s="11" t="inlineStr"/>
    </row>
    <row r="73">
      <c r="A73" s="4" t="inlineStr">
        <is>
          <t>7800.01 LBB-RV-KL-MunLgr-KRI-TP04-MAH-Wasenbacher-Höhe-Kriegsfeld</t>
        </is>
      </c>
      <c r="B73" s="4" t="inlineStr">
        <is>
          <t>(p) LP 1+2 RL (SV)</t>
        </is>
      </c>
      <c r="C73" s="4" t="inlineStr">
        <is>
          <t>G</t>
        </is>
      </c>
      <c r="D73" s="4" t="n">
        <v>47</v>
      </c>
      <c r="E73" s="4" t="n">
        <v>88</v>
      </c>
      <c r="F73" s="4" t="n">
        <v>1.5</v>
      </c>
      <c r="G73" s="16" t="n">
        <v>187.23</v>
      </c>
      <c r="H73" s="5" t="n"/>
      <c r="I73" s="5">
        <f>IF(H73=0,"",F73-H73)</f>
        <v/>
      </c>
      <c r="J73" s="4" t="n"/>
      <c r="K73" s="5">
        <f>IF('R. Böttiger'!J44="J. Dorn",'R. Böttiger'!I44,0)</f>
        <v/>
      </c>
      <c r="L73" s="11">
        <f>IF($B$2="-","",IF($B$2="Pauschale",IFERROR(INDEX('Projekt-Budget-Übersicht'!$H:$H,MATCH(A73,'Projekt-Budget-Übersicht'!$A:$A,0)),""),IF($B$2="SV",IFERROR(INDEX('Projekt-Budget-Übersicht'!$H:$H,MATCH(A73,'Projekt-Budget-Übersicht'!$A:$A,0)),""),IF($B$2="CAD",IFERROR(INDEX('Projekt-Budget-Übersicht'!$I:$I,MATCH(A73,'Projekt-Budget-Übersicht'!$A:$A,0)),""),IF($B$2="ADM",IFERROR(INDEX('Projekt-Budget-Übersicht'!$J:$J,MATCH(A73,'Projekt-Budget-Übersicht'!$A:$A,0)),""),"")))))</f>
        <v/>
      </c>
      <c r="M73" s="11">
        <f>IF($B$2="-","",L73*(F73+I73+K73))</f>
        <v/>
      </c>
      <c r="N73" s="11">
        <f>IFERROR(INDEX('Projekt-Budget-Übersicht'!$E:$E,MATCH(A73,'Projekt-Budget-Übersicht'!$A:$A,0)),"")</f>
        <v/>
      </c>
      <c r="O73" s="11" t="inlineStr"/>
      <c r="P73" s="11" t="inlineStr"/>
    </row>
    <row r="74">
      <c r="A74" s="4" t="inlineStr">
        <is>
          <t>7800.02 LBB-RV-KL-MunLgr-KRI-TP06-MLH-WasenbacherHöhe-Kriegsfeld</t>
        </is>
      </c>
      <c r="B74" s="4" t="inlineStr">
        <is>
          <t>(p) LP 1+2 RL (SV)</t>
        </is>
      </c>
      <c r="C74" s="4" t="inlineStr">
        <is>
          <t>G</t>
        </is>
      </c>
      <c r="D74" s="4" t="n">
        <v>3</v>
      </c>
      <c r="E74" s="4" t="n">
        <v>64.25</v>
      </c>
      <c r="F74" s="4" t="n">
        <v>1.75</v>
      </c>
      <c r="G74" s="16" t="n">
        <v>2141.67</v>
      </c>
      <c r="H74" s="5" t="n"/>
      <c r="I74" s="5">
        <f>IF(H74=0,"",F74-H74)</f>
        <v/>
      </c>
      <c r="J74" s="4" t="n"/>
      <c r="K74" s="5">
        <f>IF('R. Böttiger'!J46="J. Dorn",'R. Böttiger'!I46,0)</f>
        <v/>
      </c>
      <c r="L74" s="11">
        <f>IF($B$2="-","",IF($B$2="Pauschale",IFERROR(INDEX('Projekt-Budget-Übersicht'!$H:$H,MATCH(A74,'Projekt-Budget-Übersicht'!$A:$A,0)),""),IF($B$2="SV",IFERROR(INDEX('Projekt-Budget-Übersicht'!$H:$H,MATCH(A74,'Projekt-Budget-Übersicht'!$A:$A,0)),""),IF($B$2="CAD",IFERROR(INDEX('Projekt-Budget-Übersicht'!$I:$I,MATCH(A74,'Projekt-Budget-Übersicht'!$A:$A,0)),""),IF($B$2="ADM",IFERROR(INDEX('Projekt-Budget-Übersicht'!$J:$J,MATCH(A74,'Projekt-Budget-Übersicht'!$A:$A,0)),""),"")))))</f>
        <v/>
      </c>
      <c r="M74" s="11">
        <f>IF($B$2="-","",L74*(F74+I74+K74))</f>
        <v/>
      </c>
      <c r="N74" s="11">
        <f>IFERROR(INDEX('Projekt-Budget-Übersicht'!$E:$E,MATCH(A74,'Projekt-Budget-Übersicht'!$A:$A,0)),"")</f>
        <v/>
      </c>
      <c r="O74" s="11" t="inlineStr"/>
      <c r="P74" s="11" t="inlineStr"/>
    </row>
    <row r="75">
      <c r="A75" s="3" t="inlineStr"/>
      <c r="B75" s="3" t="inlineStr">
        <is>
          <t>Summe</t>
        </is>
      </c>
      <c r="C75" s="3" t="inlineStr"/>
      <c r="D75" s="3" t="inlineStr"/>
      <c r="E75" s="3" t="inlineStr"/>
      <c r="F75" s="6" t="n">
        <v>143.75</v>
      </c>
      <c r="G75" s="3" t="inlineStr"/>
      <c r="H75" s="3" t="inlineStr"/>
      <c r="I75" s="3" t="inlineStr"/>
      <c r="J75" s="3" t="inlineStr"/>
      <c r="K75" s="3" t="inlineStr"/>
      <c r="L75" s="3" t="n"/>
      <c r="M75" s="3" t="n"/>
      <c r="N75" s="3" t="n"/>
      <c r="O75" s="3" t="n"/>
      <c r="P75" s="3" t="n"/>
    </row>
    <row r="76">
      <c r="A76" s="3" t="inlineStr"/>
      <c r="B76" s="3" t="inlineStr">
        <is>
          <t>Bonusberechtigte Stunden</t>
        </is>
      </c>
      <c r="C76" s="3" t="inlineStr"/>
      <c r="D76" s="3" t="inlineStr"/>
      <c r="E76" s="3" t="inlineStr"/>
      <c r="F76" s="6">
        <f>G76+H76</f>
        <v/>
      </c>
      <c r="G76" s="6" t="n">
        <v>93.5</v>
      </c>
      <c r="H76" s="6">
        <f>SUM(H47,H48,H49,H50,H51,H52,H53,H54,H55,H56,H57,H58,H59,H60,H61,H62,H63,H64,H65,H66,H67,H68,H69,H70,H71,H72,H73,H74)</f>
        <v/>
      </c>
      <c r="I76" s="3" t="inlineStr"/>
      <c r="J76" s="3" t="inlineStr"/>
      <c r="K76" s="3" t="inlineStr"/>
      <c r="L76" s="3" t="inlineStr"/>
      <c r="M76" s="3" t="inlineStr"/>
      <c r="N76" s="3" t="inlineStr"/>
      <c r="O76" s="3" t="inlineStr"/>
      <c r="P76" s="3" t="inlineStr"/>
    </row>
    <row r="77">
      <c r="A77" s="3" t="inlineStr"/>
      <c r="B77" s="3" t="inlineStr">
        <is>
          <t>Bonusberechtigte Stunden Sonderprojekt</t>
        </is>
      </c>
      <c r="C77" s="3" t="inlineStr"/>
      <c r="D77" s="3" t="inlineStr"/>
      <c r="E77" s="3" t="inlineStr"/>
      <c r="F77" s="6">
        <f>G77+H77</f>
        <v/>
      </c>
      <c r="G77" s="6" t="n">
        <v>1.5</v>
      </c>
      <c r="H77" s="6">
        <f>SUM(H45,H46)</f>
        <v/>
      </c>
      <c r="I77" s="3" t="inlineStr"/>
      <c r="J77" s="3" t="inlineStr"/>
      <c r="K77" s="3" t="inlineStr"/>
      <c r="L77" s="3" t="inlineStr"/>
      <c r="M77" s="3" t="inlineStr"/>
      <c r="N77" s="3" t="inlineStr"/>
      <c r="O77" s="3" t="inlineStr"/>
      <c r="P77" s="3" t="inlineStr"/>
    </row>
    <row r="78">
      <c r="A78" s="3" t="inlineStr"/>
      <c r="B78" s="3" t="inlineStr">
        <is>
          <t>Zugeordnete Stunden von anderen MA</t>
        </is>
      </c>
      <c r="C78" s="3" t="inlineStr"/>
      <c r="D78" s="3" t="inlineStr"/>
      <c r="E78" s="3" t="inlineStr"/>
      <c r="F78" s="6">
        <f>SUM(K45:K74)</f>
        <v/>
      </c>
      <c r="G78" s="3" t="inlineStr"/>
      <c r="H78" s="3" t="inlineStr"/>
      <c r="I78" s="3" t="inlineStr"/>
      <c r="J78" s="3" t="inlineStr"/>
      <c r="K78" s="3" t="inlineStr"/>
      <c r="L78" s="3" t="inlineStr"/>
      <c r="M78" s="3" t="inlineStr"/>
      <c r="N78" s="3" t="inlineStr"/>
      <c r="O78" s="3" t="inlineStr"/>
      <c r="P78" s="3" t="inlineStr"/>
    </row>
    <row r="79">
      <c r="A79" s="18" t="inlineStr"/>
      <c r="B79" s="18" t="inlineStr">
        <is>
          <t>Gesamt Bonus Stunden</t>
        </is>
      </c>
      <c r="C79" s="18" t="inlineStr"/>
      <c r="D79" s="18" t="inlineStr"/>
      <c r="E79" s="18" t="inlineStr"/>
      <c r="F79" s="19">
        <f>F76+F77+F78</f>
        <v/>
      </c>
      <c r="G79" s="18" t="inlineStr"/>
      <c r="H79" s="18" t="inlineStr"/>
      <c r="I79" s="18" t="inlineStr"/>
      <c r="J79" s="18" t="inlineStr"/>
      <c r="K79" s="18" t="inlineStr"/>
      <c r="L79" s="18" t="n"/>
      <c r="M79" s="18" t="n"/>
      <c r="N79" s="18" t="n"/>
      <c r="O79" s="18" t="n"/>
      <c r="P79" s="18" t="n"/>
    </row>
    <row r="81">
      <c r="A81" s="2" t="inlineStr">
        <is>
          <t>--- September 2025 ---</t>
        </is>
      </c>
    </row>
    <row r="82">
      <c r="A82" s="3" t="inlineStr">
        <is>
          <t>Projekt</t>
        </is>
      </c>
      <c r="B82" s="3" t="inlineStr">
        <is>
          <t>Meilenstein</t>
        </is>
      </c>
      <c r="C82" s="3" t="inlineStr">
        <is>
          <t>Typ</t>
        </is>
      </c>
      <c r="D82" s="3" t="inlineStr">
        <is>
          <t>Soll (h)</t>
        </is>
      </c>
      <c r="E82" s="3" t="inlineStr">
        <is>
          <t>Ist (h)</t>
        </is>
      </c>
      <c r="F82" s="3" t="inlineStr">
        <is>
          <t>September 2025 (h)</t>
        </is>
      </c>
      <c r="G82" s="3" t="inlineStr">
        <is>
          <t>%</t>
        </is>
      </c>
      <c r="H82" s="3" t="inlineStr">
        <is>
          <t>Bonus-Anpassung (h)</t>
        </is>
      </c>
      <c r="I82" s="3" t="inlineStr">
        <is>
          <t>Differenz (h)</t>
        </is>
      </c>
      <c r="J82" s="3" t="inlineStr">
        <is>
          <t>Zuordnen an</t>
        </is>
      </c>
      <c r="K82" s="3" t="inlineStr">
        <is>
          <t>Von anderen (h)</t>
        </is>
      </c>
      <c r="L82" s="3" t="inlineStr">
        <is>
          <t>Stundensatz (€/h)</t>
        </is>
      </c>
      <c r="M82" s="3" t="inlineStr">
        <is>
          <t>Umsatz (€)</t>
        </is>
      </c>
      <c r="N82" s="3" t="inlineStr">
        <is>
          <t>Budget Gesamt (€)</t>
        </is>
      </c>
      <c r="O82" s="3" t="inlineStr">
        <is>
          <t>Budget Ist (€)</t>
        </is>
      </c>
      <c r="P82" s="3" t="inlineStr">
        <is>
          <t>Budget Erwirtschaftet (€)</t>
        </is>
      </c>
    </row>
    <row r="83">
      <c r="A83" s="13" t="inlineStr">
        <is>
          <t>0000 Sonderprojekt für Bonus</t>
        </is>
      </c>
      <c r="B83" s="4" t="inlineStr">
        <is>
          <t>Angebote-Ausschreibungen-Kalkulationen (max. 8h/Monat pro MA)</t>
        </is>
      </c>
      <c r="C83" s="4" t="inlineStr">
        <is>
          <t>M</t>
        </is>
      </c>
      <c r="D83" s="4" t="n">
        <v>8</v>
      </c>
      <c r="E83" s="4" t="n">
        <v>0.25</v>
      </c>
      <c r="F83" s="4" t="n">
        <v>0.25</v>
      </c>
      <c r="G83" s="17" t="n">
        <v>3.12</v>
      </c>
      <c r="H83" s="5" t="n"/>
      <c r="I83" s="5">
        <f>IF(H83=0,"",F83-H83)</f>
        <v/>
      </c>
      <c r="J83" s="4" t="n"/>
      <c r="K83" s="5">
        <f>IF('A. Kokott'!J85="J. Dorn",'A. Kokott'!I85,0)+IF('C. Trapp SV'!J56="J. Dorn",'C. Trapp SV'!I56,0)+IF('D. Brucker'!J33="J. Dorn",'D. Brucker'!I33,0)+IF('O. Haag BS-CAD'!J92="J. Dorn",'O. Haag BS-CAD'!I92,0)+IF('S. Schüler'!J93="J. Dorn",'S. Schüler'!I93,0)+IF('U. Sutter ADM'!J51="J. Dorn",'U. Sutter ADM'!I51,0)</f>
        <v/>
      </c>
      <c r="L83" s="11">
        <f>IF($B$2="-","",IF($B$2="Pauschale",IFERROR(INDEX('Projekt-Budget-Übersicht'!$H:$H,MATCH(A83,'Projekt-Budget-Übersicht'!$A:$A,0)),""),IF($B$2="SV",IFERROR(INDEX('Projekt-Budget-Übersicht'!$H:$H,MATCH(A83,'Projekt-Budget-Übersicht'!$A:$A,0)),""),IF($B$2="CAD",IFERROR(INDEX('Projekt-Budget-Übersicht'!$I:$I,MATCH(A83,'Projekt-Budget-Übersicht'!$A:$A,0)),""),IF($B$2="ADM",IFERROR(INDEX('Projekt-Budget-Übersicht'!$J:$J,MATCH(A83,'Projekt-Budget-Übersicht'!$A:$A,0)),""),"")))))</f>
        <v/>
      </c>
      <c r="M83" s="11">
        <f>IF($B$2="-","",L83*(F83+I83+K83))</f>
        <v/>
      </c>
      <c r="N83" s="11">
        <f>IFERROR(INDEX('Projekt-Budget-Übersicht'!$E:$E,MATCH(A83,'Projekt-Budget-Übersicht'!$A:$A,0)),"")</f>
        <v/>
      </c>
      <c r="O83" s="11" t="inlineStr"/>
      <c r="P83" s="11" t="inlineStr"/>
    </row>
    <row r="84">
      <c r="A84" s="21" t="n"/>
      <c r="B84" s="4" t="inlineStr">
        <is>
          <t>Einarbeitung neuer Mitarbeiter (max. 8h/Monat pro MA)</t>
        </is>
      </c>
      <c r="C84" s="4" t="inlineStr">
        <is>
          <t>M</t>
        </is>
      </c>
      <c r="D84" s="4" t="n">
        <v>8</v>
      </c>
      <c r="E84" s="4" t="n">
        <v>3.5</v>
      </c>
      <c r="F84" s="4" t="n">
        <v>3.5</v>
      </c>
      <c r="G84" s="17" t="n">
        <v>43.75</v>
      </c>
      <c r="H84" s="5" t="n"/>
      <c r="I84" s="5">
        <f>IF(H84=0,"",F84-H84)</f>
        <v/>
      </c>
      <c r="J84" s="4" t="n"/>
      <c r="K84" s="5">
        <f>IF('A. Kokott'!J86="J. Dorn",'A. Kokott'!I86,0)+IF('C. Trapp SV'!J57="J. Dorn",'C. Trapp SV'!I57,0)+IF('M. Bandlofsky'!J45="J. Dorn",'M. Bandlofsky'!I45,0)+IF('O. Haag BS-CAD'!J93="J. Dorn",'O. Haag BS-CAD'!I93,0)+IF('R. Wagen CAD'!J57="J. Dorn",'R. Wagen CAD'!I57,0)+IF('T. Trautmann'!J72="J. Dorn",'T. Trautmann'!I72,0)+IF('U. Sutter ADM'!J52="J. Dorn",'U. Sutter ADM'!I52,0)</f>
        <v/>
      </c>
      <c r="L84" s="11">
        <f>IF($B$2="-","",IF($B$2="Pauschale",IFERROR(INDEX('Projekt-Budget-Übersicht'!$H:$H,MATCH(A84,'Projekt-Budget-Übersicht'!$A:$A,0)),""),IF($B$2="SV",IFERROR(INDEX('Projekt-Budget-Übersicht'!$H:$H,MATCH(A84,'Projekt-Budget-Übersicht'!$A:$A,0)),""),IF($B$2="CAD",IFERROR(INDEX('Projekt-Budget-Übersicht'!$I:$I,MATCH(A84,'Projekt-Budget-Übersicht'!$A:$A,0)),""),IF($B$2="ADM",IFERROR(INDEX('Projekt-Budget-Übersicht'!$J:$J,MATCH(A84,'Projekt-Budget-Übersicht'!$A:$A,0)),""),"")))))</f>
        <v/>
      </c>
      <c r="M84" s="11">
        <f>IF($B$2="-","",L84*(F84+I84+K84))</f>
        <v/>
      </c>
      <c r="N84" s="11">
        <f>IFERROR(INDEX('Projekt-Budget-Übersicht'!$E:$E,MATCH(A84,'Projekt-Budget-Übersicht'!$A:$A,0)),"")</f>
        <v/>
      </c>
      <c r="O84" s="11" t="inlineStr"/>
      <c r="P84" s="11" t="inlineStr"/>
    </row>
    <row r="85">
      <c r="A85" s="15" t="n"/>
      <c r="B85" s="4" t="inlineStr">
        <is>
          <t>Erstellung Vorlagen (übergreifend) (max. 8h/Monat pro MA)</t>
        </is>
      </c>
      <c r="C85" s="4" t="inlineStr">
        <is>
          <t>M</t>
        </is>
      </c>
      <c r="D85" s="4" t="n">
        <v>8</v>
      </c>
      <c r="E85" s="4" t="n">
        <v>0.75</v>
      </c>
      <c r="F85" s="4" t="n">
        <v>0.75</v>
      </c>
      <c r="G85" s="17" t="n">
        <v>9.380000000000001</v>
      </c>
      <c r="H85" s="5" t="n"/>
      <c r="I85" s="5">
        <f>IF(H85=0,"",F85-H85)</f>
        <v/>
      </c>
      <c r="J85" s="4" t="n"/>
      <c r="K85" s="5">
        <f>IF('C. Trapp SV'!J58="J. Dorn",'C. Trapp SV'!I58,0)+IF('O. Haag BS-CAD'!J94="J. Dorn",'O. Haag BS-CAD'!I94,0)+IF('P. Bergner'!J42="J. Dorn",'P. Bergner'!I42,0)+IF('T. Trautmann'!J73="J. Dorn",'T. Trautmann'!I73,0)</f>
        <v/>
      </c>
      <c r="L85" s="11">
        <f>IF($B$2="-","",IF($B$2="Pauschale",IFERROR(INDEX('Projekt-Budget-Übersicht'!$H:$H,MATCH(A85,'Projekt-Budget-Übersicht'!$A:$A,0)),""),IF($B$2="SV",IFERROR(INDEX('Projekt-Budget-Übersicht'!$H:$H,MATCH(A85,'Projekt-Budget-Übersicht'!$A:$A,0)),""),IF($B$2="CAD",IFERROR(INDEX('Projekt-Budget-Übersicht'!$I:$I,MATCH(A85,'Projekt-Budget-Übersicht'!$A:$A,0)),""),IF($B$2="ADM",IFERROR(INDEX('Projekt-Budget-Übersicht'!$J:$J,MATCH(A85,'Projekt-Budget-Übersicht'!$A:$A,0)),""),"")))))</f>
        <v/>
      </c>
      <c r="M85" s="11">
        <f>IF($B$2="-","",L85*(F85+I85+K85))</f>
        <v/>
      </c>
      <c r="N85" s="11">
        <f>IFERROR(INDEX('Projekt-Budget-Übersicht'!$E:$E,MATCH(A85,'Projekt-Budget-Übersicht'!$A:$A,0)),"")</f>
        <v/>
      </c>
      <c r="O85" s="11" t="inlineStr"/>
      <c r="P85" s="11" t="inlineStr"/>
    </row>
    <row r="86">
      <c r="A86" s="4" t="inlineStr">
        <is>
          <t>5664.171 KOF-Anbau-G1-Lauterstraße-50-Wolfstein</t>
        </is>
      </c>
      <c r="B86" s="4" t="inlineStr">
        <is>
          <t>8100-Prüfen der Ausführung auf prinzipielle Übereinstimmung (Stufe 1)....</t>
        </is>
      </c>
      <c r="C86" s="4" t="inlineStr">
        <is>
          <t>G</t>
        </is>
      </c>
      <c r="D86" s="4" t="n">
        <v>30</v>
      </c>
      <c r="E86" s="4" t="n">
        <v>25.75</v>
      </c>
      <c r="F86" s="4" t="n">
        <v>0.5</v>
      </c>
      <c r="G86" s="17" t="n">
        <v>85.83</v>
      </c>
      <c r="H86" s="5" t="n"/>
      <c r="I86" s="5">
        <f>IF(H86=0,"",F86-H86)</f>
        <v/>
      </c>
      <c r="J86" s="4" t="n"/>
      <c r="K86" s="5" t="n">
        <v>0</v>
      </c>
      <c r="L86" s="11">
        <f>IF($B$2="-","",IF($B$2="Pauschale",IFERROR(INDEX('Projekt-Budget-Übersicht'!$H:$H,MATCH(A86,'Projekt-Budget-Übersicht'!$A:$A,0)),""),IF($B$2="SV",IFERROR(INDEX('Projekt-Budget-Übersicht'!$H:$H,MATCH(A86,'Projekt-Budget-Übersicht'!$A:$A,0)),""),IF($B$2="CAD",IFERROR(INDEX('Projekt-Budget-Übersicht'!$I:$I,MATCH(A86,'Projekt-Budget-Übersicht'!$A:$A,0)),""),IF($B$2="ADM",IFERROR(INDEX('Projekt-Budget-Übersicht'!$J:$J,MATCH(A86,'Projekt-Budget-Übersicht'!$A:$A,0)),""),"")))))</f>
        <v/>
      </c>
      <c r="M86" s="11">
        <f>IF($B$2="-","",L86*(F86+I86+K86))</f>
        <v/>
      </c>
      <c r="N86" s="11">
        <f>IFERROR(INDEX('Projekt-Budget-Übersicht'!$E:$E,MATCH(A86,'Projekt-Budget-Übersicht'!$A:$A,0)),"")</f>
        <v/>
      </c>
      <c r="O86" s="11" t="inlineStr"/>
      <c r="P86" s="11" t="inlineStr"/>
    </row>
    <row r="87">
      <c r="A87" s="4" t="inlineStr">
        <is>
          <t>5664.19 (5667.04)  KOB-BAB-Umbau-Sprinkleranlage-Lauterstr50-Wolfstein</t>
        </is>
      </c>
      <c r="B87" s="4" t="inlineStr">
        <is>
          <t>(aN) Pos. 1 Brandschutztechnische Beratung</t>
        </is>
      </c>
      <c r="C87" s="4" t="inlineStr">
        <is>
          <t>G</t>
        </is>
      </c>
      <c r="D87" s="4" t="n">
        <v>20</v>
      </c>
      <c r="E87" s="4" t="n">
        <v>8.75</v>
      </c>
      <c r="F87" s="4" t="n">
        <v>4.5</v>
      </c>
      <c r="G87" s="17" t="n">
        <v>43.75</v>
      </c>
      <c r="H87" s="5" t="n"/>
      <c r="I87" s="5">
        <f>IF(H87=0,"",F87-H87)</f>
        <v/>
      </c>
      <c r="J87" s="4" t="n"/>
      <c r="K87" s="5" t="n">
        <v>0</v>
      </c>
      <c r="L87" s="11">
        <f>IF($B$2="-","",IF($B$2="Pauschale",IFERROR(INDEX('Projekt-Budget-Übersicht'!$H:$H,MATCH(A87,'Projekt-Budget-Übersicht'!$A:$A,0)),""),IF($B$2="SV",IFERROR(INDEX('Projekt-Budget-Übersicht'!$H:$H,MATCH(A87,'Projekt-Budget-Übersicht'!$A:$A,0)),""),IF($B$2="CAD",IFERROR(INDEX('Projekt-Budget-Übersicht'!$I:$I,MATCH(A87,'Projekt-Budget-Übersicht'!$A:$A,0)),""),IF($B$2="ADM",IFERROR(INDEX('Projekt-Budget-Übersicht'!$J:$J,MATCH(A87,'Projekt-Budget-Übersicht'!$A:$A,0)),""),"")))))</f>
        <v/>
      </c>
      <c r="M87" s="11">
        <f>IF($B$2="-","",L87*(F87+I87+K87))</f>
        <v/>
      </c>
      <c r="N87" s="11">
        <f>IFERROR(INDEX('Projekt-Budget-Übersicht'!$E:$E,MATCH(A87,'Projekt-Budget-Übersicht'!$A:$A,0)),"")</f>
        <v/>
      </c>
      <c r="O87" s="11" t="inlineStr"/>
      <c r="P87" s="11" t="inlineStr"/>
    </row>
    <row r="88">
      <c r="A88" s="4" t="inlineStr">
        <is>
          <t>5876 Eppelheimer-Straße-12-Heidelberg-Hotel-Easy-Living</t>
        </is>
      </c>
      <c r="B88" s="4" t="inlineStr">
        <is>
          <t>8000-Objektüberwachung</t>
        </is>
      </c>
      <c r="C88" s="4" t="inlineStr">
        <is>
          <t>G</t>
        </is>
      </c>
      <c r="D88" s="4" t="n">
        <v>110</v>
      </c>
      <c r="E88" s="4" t="n">
        <v>47.75</v>
      </c>
      <c r="F88" s="4" t="n">
        <v>1.25</v>
      </c>
      <c r="G88" s="17" t="n">
        <v>43.41</v>
      </c>
      <c r="H88" s="5" t="n"/>
      <c r="I88" s="5">
        <f>IF(H88=0,"",F88-H88)</f>
        <v/>
      </c>
      <c r="J88" s="4" t="n"/>
      <c r="K88" s="5" t="n">
        <v>0</v>
      </c>
      <c r="L88" s="11">
        <f>IF($B$2="-","",IF($B$2="Pauschale",IFERROR(INDEX('Projekt-Budget-Übersicht'!$H:$H,MATCH(A88,'Projekt-Budget-Übersicht'!$A:$A,0)),""),IF($B$2="SV",IFERROR(INDEX('Projekt-Budget-Übersicht'!$H:$H,MATCH(A88,'Projekt-Budget-Übersicht'!$A:$A,0)),""),IF($B$2="CAD",IFERROR(INDEX('Projekt-Budget-Übersicht'!$I:$I,MATCH(A88,'Projekt-Budget-Übersicht'!$A:$A,0)),""),IF($B$2="ADM",IFERROR(INDEX('Projekt-Budget-Übersicht'!$J:$J,MATCH(A88,'Projekt-Budget-Übersicht'!$A:$A,0)),""),"")))))</f>
        <v/>
      </c>
      <c r="M88" s="11">
        <f>IF($B$2="-","",L88*(F88+I88+K88))</f>
        <v/>
      </c>
      <c r="N88" s="11">
        <f>IFERROR(INDEX('Projekt-Budget-Übersicht'!$E:$E,MATCH(A88,'Projekt-Budget-Übersicht'!$A:$A,0)),"")</f>
        <v/>
      </c>
      <c r="O88" s="11" t="inlineStr"/>
      <c r="P88" s="11" t="inlineStr"/>
    </row>
    <row r="89">
      <c r="A89" s="4" t="inlineStr">
        <is>
          <t>6106.01 KreisBergstrasse-AHO-NB-LGL-Lessinggymnasium-Biedensandstr55-Lampertheim</t>
        </is>
      </c>
      <c r="B89" s="4" t="inlineStr">
        <is>
          <t>RL</t>
        </is>
      </c>
      <c r="C89" s="4" t="inlineStr">
        <is>
          <t>G</t>
        </is>
      </c>
      <c r="D89" s="4" t="n">
        <v>160</v>
      </c>
      <c r="E89" s="4" t="n">
        <v>134.25</v>
      </c>
      <c r="F89" s="4" t="n">
        <v>19.25</v>
      </c>
      <c r="G89" s="17" t="n">
        <v>83.91</v>
      </c>
      <c r="H89" s="5" t="n"/>
      <c r="I89" s="5">
        <f>IF(H89=0,"",F89-H89)</f>
        <v/>
      </c>
      <c r="J89" s="4" t="n"/>
      <c r="K89" s="5">
        <f>IF('T. Trautmann'!J87="J. Dorn",'T. Trautmann'!I87,0)</f>
        <v/>
      </c>
      <c r="L89" s="11">
        <f>IF($B$2="-","",IF($B$2="Pauschale",IFERROR(INDEX('Projekt-Budget-Übersicht'!$H:$H,MATCH(A89,'Projekt-Budget-Übersicht'!$A:$A,0)),""),IF($B$2="SV",IFERROR(INDEX('Projekt-Budget-Übersicht'!$H:$H,MATCH(A89,'Projekt-Budget-Übersicht'!$A:$A,0)),""),IF($B$2="CAD",IFERROR(INDEX('Projekt-Budget-Übersicht'!$I:$I,MATCH(A89,'Projekt-Budget-Übersicht'!$A:$A,0)),""),IF($B$2="ADM",IFERROR(INDEX('Projekt-Budget-Übersicht'!$J:$J,MATCH(A89,'Projekt-Budget-Übersicht'!$A:$A,0)),""),"")))))</f>
        <v/>
      </c>
      <c r="M89" s="11">
        <f>IF($B$2="-","",L89*(F89+I89+K89))</f>
        <v/>
      </c>
      <c r="N89" s="11">
        <f>IFERROR(INDEX('Projekt-Budget-Übersicht'!$E:$E,MATCH(A89,'Projekt-Budget-Übersicht'!$A:$A,0)),"")</f>
        <v/>
      </c>
      <c r="O89" s="11" t="inlineStr"/>
      <c r="P89" s="11" t="inlineStr"/>
    </row>
    <row r="90">
      <c r="A90" s="4" t="inlineStr">
        <is>
          <t>6344 Brodenheckstraße-Bitburg-Amtsgericht</t>
        </is>
      </c>
      <c r="B90" s="4" t="inlineStr">
        <is>
          <t>4000-Genehmigungsplanung</t>
        </is>
      </c>
      <c r="C90" s="4" t="inlineStr">
        <is>
          <t>G</t>
        </is>
      </c>
      <c r="D90" s="4" t="n">
        <v>37</v>
      </c>
      <c r="E90" s="4" t="n">
        <v>27.75</v>
      </c>
      <c r="F90" s="4" t="n">
        <v>3</v>
      </c>
      <c r="G90" s="17" t="n">
        <v>75</v>
      </c>
      <c r="H90" s="5" t="n"/>
      <c r="I90" s="5">
        <f>IF(H90=0,"",F90-H90)</f>
        <v/>
      </c>
      <c r="J90" s="4" t="n"/>
      <c r="K90" s="5">
        <f>IF('A. Kokott'!J97="J. Dorn",'A. Kokott'!I97,0)+IF('M. Bandlofsky'!J61="J. Dorn",'M. Bandlofsky'!I61,0)+IF('O. Haag BS-CAD'!J106="J. Dorn",'O. Haag BS-CAD'!I106,0)+IF('T. Trautmann'!J88="J. Dorn",'T. Trautmann'!I88,0)</f>
        <v/>
      </c>
      <c r="L90" s="11">
        <f>IF($B$2="-","",IF($B$2="Pauschale",IFERROR(INDEX('Projekt-Budget-Übersicht'!$H:$H,MATCH(A90,'Projekt-Budget-Übersicht'!$A:$A,0)),""),IF($B$2="SV",IFERROR(INDEX('Projekt-Budget-Übersicht'!$H:$H,MATCH(A90,'Projekt-Budget-Übersicht'!$A:$A,0)),""),IF($B$2="CAD",IFERROR(INDEX('Projekt-Budget-Übersicht'!$I:$I,MATCH(A90,'Projekt-Budget-Übersicht'!$A:$A,0)),""),IF($B$2="ADM",IFERROR(INDEX('Projekt-Budget-Übersicht'!$J:$J,MATCH(A90,'Projekt-Budget-Übersicht'!$A:$A,0)),""),"")))))</f>
        <v/>
      </c>
      <c r="M90" s="11">
        <f>IF($B$2="-","",L90*(F90+I90+K90))</f>
        <v/>
      </c>
      <c r="N90" s="11">
        <f>IFERROR(INDEX('Projekt-Budget-Übersicht'!$E:$E,MATCH(A90,'Projekt-Budget-Übersicht'!$A:$A,0)),"")</f>
        <v/>
      </c>
      <c r="O90" s="11" t="inlineStr"/>
      <c r="P90" s="11" t="inlineStr"/>
    </row>
    <row r="91">
      <c r="A91" s="4" t="inlineStr">
        <is>
          <t>6497 SunYardOffice-Heidelberg</t>
        </is>
      </c>
      <c r="B91" s="4" t="inlineStr">
        <is>
          <t>4000-Genehmigungsplanung</t>
        </is>
      </c>
      <c r="C91" s="4" t="inlineStr">
        <is>
          <t>G</t>
        </is>
      </c>
      <c r="D91" s="4" t="n">
        <v>0</v>
      </c>
      <c r="E91" s="4" t="n">
        <v>0</v>
      </c>
      <c r="F91" s="4" t="n">
        <v>14</v>
      </c>
      <c r="G91" s="4" t="n">
        <v>0</v>
      </c>
      <c r="H91" s="5" t="n"/>
      <c r="I91" s="5">
        <f>IF(H91=0,"",F91-H91)</f>
        <v/>
      </c>
      <c r="J91" s="4" t="n"/>
      <c r="K91" s="5">
        <f>IF('A. Kokott'!J100="J. Dorn",'A. Kokott'!I100,0)+IF('T. Trautmann'!J91="J. Dorn",'T. Trautmann'!I91,0)</f>
        <v/>
      </c>
      <c r="L91" s="11">
        <f>IF($B$2="-","",IF($B$2="Pauschale",IFERROR(INDEX('Projekt-Budget-Übersicht'!$H:$H,MATCH(A91,'Projekt-Budget-Übersicht'!$A:$A,0)),""),IF($B$2="SV",IFERROR(INDEX('Projekt-Budget-Übersicht'!$H:$H,MATCH(A91,'Projekt-Budget-Übersicht'!$A:$A,0)),""),IF($B$2="CAD",IFERROR(INDEX('Projekt-Budget-Übersicht'!$I:$I,MATCH(A91,'Projekt-Budget-Übersicht'!$A:$A,0)),""),IF($B$2="ADM",IFERROR(INDEX('Projekt-Budget-Übersicht'!$J:$J,MATCH(A91,'Projekt-Budget-Übersicht'!$A:$A,0)),""),"")))))</f>
        <v/>
      </c>
      <c r="M91" s="11">
        <f>IF($B$2="-","",L91*(F91+I91+K91))</f>
        <v/>
      </c>
      <c r="N91" s="11">
        <f>IFERROR(INDEX('Projekt-Budget-Übersicht'!$E:$E,MATCH(A91,'Projekt-Budget-Übersicht'!$A:$A,0)),"")</f>
        <v/>
      </c>
      <c r="O91" s="11" t="inlineStr"/>
      <c r="P91" s="11" t="inlineStr"/>
    </row>
    <row r="92">
      <c r="A92" s="4" t="inlineStr">
        <is>
          <t>6527.01 IO-Anp-BSK-Mühlenfeldstr1-Holzminden-Symotion</t>
        </is>
      </c>
      <c r="B92" s="4" t="inlineStr">
        <is>
          <t>SV</t>
        </is>
      </c>
      <c r="C92" s="4" t="inlineStr">
        <is>
          <t>G</t>
        </is>
      </c>
      <c r="D92" s="4" t="n">
        <v>6</v>
      </c>
      <c r="E92" s="4" t="n">
        <v>48</v>
      </c>
      <c r="F92" s="4" t="n">
        <v>5</v>
      </c>
      <c r="G92" s="16" t="n">
        <v>800</v>
      </c>
      <c r="H92" s="5" t="n"/>
      <c r="I92" s="5">
        <f>IF(H92=0,"",F92-H92)</f>
        <v/>
      </c>
      <c r="J92" s="4" t="n"/>
      <c r="K92" s="5">
        <f>IF('A. Kokott'!J101="J. Dorn",'A. Kokott'!I101,0)+IF('O. Haag BS-CAD'!J109="J. Dorn",'O. Haag BS-CAD'!I109,0)</f>
        <v/>
      </c>
      <c r="L92" s="11">
        <f>IF($B$2="-","",IF($B$2="Pauschale",IFERROR(INDEX('Projekt-Budget-Übersicht'!$H:$H,MATCH(A92,'Projekt-Budget-Übersicht'!$A:$A,0)),""),IF($B$2="SV",IFERROR(INDEX('Projekt-Budget-Übersicht'!$H:$H,MATCH(A92,'Projekt-Budget-Übersicht'!$A:$A,0)),""),IF($B$2="CAD",IFERROR(INDEX('Projekt-Budget-Übersicht'!$I:$I,MATCH(A92,'Projekt-Budget-Übersicht'!$A:$A,0)),""),IF($B$2="ADM",IFERROR(INDEX('Projekt-Budget-Übersicht'!$J:$J,MATCH(A92,'Projekt-Budget-Übersicht'!$A:$A,0)),""),"")))))</f>
        <v/>
      </c>
      <c r="M92" s="11">
        <f>IF($B$2="-","",L92*(F92+I92+K92))</f>
        <v/>
      </c>
      <c r="N92" s="11">
        <f>IFERROR(INDEX('Projekt-Budget-Übersicht'!$E:$E,MATCH(A92,'Projekt-Budget-Übersicht'!$A:$A,0)),"")</f>
        <v/>
      </c>
      <c r="O92" s="11" t="inlineStr"/>
      <c r="P92" s="11" t="inlineStr"/>
    </row>
    <row r="93">
      <c r="A93" s="4" t="inlineStr">
        <is>
          <t>6591.01 IO-BTB-LP5+8-SchaffhausenerStr26-34-Berlin</t>
        </is>
      </c>
      <c r="B93" s="4" t="inlineStr">
        <is>
          <t>SV</t>
        </is>
      </c>
      <c r="C93" s="4" t="inlineStr">
        <is>
          <t>G</t>
        </is>
      </c>
      <c r="D93" s="4" t="n">
        <v>18.75</v>
      </c>
      <c r="E93" s="4" t="n">
        <v>53.25</v>
      </c>
      <c r="F93" s="4" t="n">
        <v>0.25</v>
      </c>
      <c r="G93" s="16" t="n">
        <v>284</v>
      </c>
      <c r="H93" s="5" t="n"/>
      <c r="I93" s="5">
        <f>IF(H93=0,"",F93-H93)</f>
        <v/>
      </c>
      <c r="J93" s="4" t="n"/>
      <c r="K93" s="5" t="n">
        <v>0</v>
      </c>
      <c r="L93" s="11">
        <f>IF($B$2="-","",IF($B$2="Pauschale",IFERROR(INDEX('Projekt-Budget-Übersicht'!$H:$H,MATCH(A93,'Projekt-Budget-Übersicht'!$A:$A,0)),""),IF($B$2="SV",IFERROR(INDEX('Projekt-Budget-Übersicht'!$H:$H,MATCH(A93,'Projekt-Budget-Übersicht'!$A:$A,0)),""),IF($B$2="CAD",IFERROR(INDEX('Projekt-Budget-Übersicht'!$I:$I,MATCH(A93,'Projekt-Budget-Übersicht'!$A:$A,0)),""),IF($B$2="ADM",IFERROR(INDEX('Projekt-Budget-Übersicht'!$J:$J,MATCH(A93,'Projekt-Budget-Übersicht'!$A:$A,0)),""),"")))))</f>
        <v/>
      </c>
      <c r="M93" s="11">
        <f>IF($B$2="-","",L93*(F93+I93+K93))</f>
        <v/>
      </c>
      <c r="N93" s="11">
        <f>IFERROR(INDEX('Projekt-Budget-Übersicht'!$E:$E,MATCH(A93,'Projekt-Budget-Übersicht'!$A:$A,0)),"")</f>
        <v/>
      </c>
      <c r="O93" s="11" t="inlineStr"/>
      <c r="P93" s="11" t="inlineStr"/>
    </row>
    <row r="94">
      <c r="A94" s="4" t="inlineStr">
        <is>
          <t>6649.03 formica-Anp-BSK-Otto-Hahn-Str-Hilden-Laer</t>
        </is>
      </c>
      <c r="B94" s="4" t="inlineStr">
        <is>
          <t>SV</t>
        </is>
      </c>
      <c r="C94" s="4" t="inlineStr">
        <is>
          <t>G</t>
        </is>
      </c>
      <c r="D94" s="4" t="n">
        <v>0</v>
      </c>
      <c r="E94" s="4" t="n">
        <v>0</v>
      </c>
      <c r="F94" s="4" t="n">
        <v>1</v>
      </c>
      <c r="G94" s="4" t="n">
        <v>0</v>
      </c>
      <c r="H94" s="5" t="n"/>
      <c r="I94" s="5">
        <f>IF(H94=0,"",F94-H94)</f>
        <v/>
      </c>
      <c r="J94" s="4" t="n"/>
      <c r="K94" s="5" t="n">
        <v>0</v>
      </c>
      <c r="L94" s="11">
        <f>IF($B$2="-","",IF($B$2="Pauschale",IFERROR(INDEX('Projekt-Budget-Übersicht'!$H:$H,MATCH(A94,'Projekt-Budget-Übersicht'!$A:$A,0)),""),IF($B$2="SV",IFERROR(INDEX('Projekt-Budget-Übersicht'!$H:$H,MATCH(A94,'Projekt-Budget-Übersicht'!$A:$A,0)),""),IF($B$2="CAD",IFERROR(INDEX('Projekt-Budget-Übersicht'!$I:$I,MATCH(A94,'Projekt-Budget-Übersicht'!$A:$A,0)),""),IF($B$2="ADM",IFERROR(INDEX('Projekt-Budget-Übersicht'!$J:$J,MATCH(A94,'Projekt-Budget-Übersicht'!$A:$A,0)),""),"")))))</f>
        <v/>
      </c>
      <c r="M94" s="11">
        <f>IF($B$2="-","",L94*(F94+I94+K94))</f>
        <v/>
      </c>
      <c r="N94" s="11">
        <f>IFERROR(INDEX('Projekt-Budget-Übersicht'!$E:$E,MATCH(A94,'Projekt-Budget-Übersicht'!$A:$A,0)),"")</f>
        <v/>
      </c>
      <c r="O94" s="11" t="inlineStr"/>
      <c r="P94" s="11" t="inlineStr"/>
    </row>
    <row r="95">
      <c r="A95" s="13" t="inlineStr">
        <is>
          <t>6680.01 GSKOK-Heidelberg-Kopfklinik-Neurologie-BTB</t>
        </is>
      </c>
      <c r="B95" s="4" t="inlineStr">
        <is>
          <t>5000-Ausführungsplanung</t>
        </is>
      </c>
      <c r="C95" s="4" t="inlineStr">
        <is>
          <t>G</t>
        </is>
      </c>
      <c r="D95" s="4" t="n">
        <v>10</v>
      </c>
      <c r="E95" s="4" t="n">
        <v>2.75</v>
      </c>
      <c r="F95" s="4" t="n">
        <v>0.5</v>
      </c>
      <c r="G95" s="17" t="n">
        <v>27.5</v>
      </c>
      <c r="H95" s="5" t="n"/>
      <c r="I95" s="5">
        <f>IF(H95=0,"",F95-H95)</f>
        <v/>
      </c>
      <c r="J95" s="4" t="n"/>
      <c r="K95" s="5" t="n">
        <v>0</v>
      </c>
      <c r="L95" s="11">
        <f>IF($B$2="-","",IF($B$2="Pauschale",IFERROR(INDEX('Projekt-Budget-Übersicht'!$H:$H,MATCH(A95,'Projekt-Budget-Übersicht'!$A:$A,0)),""),IF($B$2="SV",IFERROR(INDEX('Projekt-Budget-Übersicht'!$H:$H,MATCH(A95,'Projekt-Budget-Übersicht'!$A:$A,0)),""),IF($B$2="CAD",IFERROR(INDEX('Projekt-Budget-Übersicht'!$I:$I,MATCH(A95,'Projekt-Budget-Übersicht'!$A:$A,0)),""),IF($B$2="ADM",IFERROR(INDEX('Projekt-Budget-Übersicht'!$J:$J,MATCH(A95,'Projekt-Budget-Übersicht'!$A:$A,0)),""),"")))))</f>
        <v/>
      </c>
      <c r="M95" s="11">
        <f>IF($B$2="-","",L95*(F95+I95+K95))</f>
        <v/>
      </c>
      <c r="N95" s="11">
        <f>IFERROR(INDEX('Projekt-Budget-Übersicht'!$E:$E,MATCH(A95,'Projekt-Budget-Übersicht'!$A:$A,0)),"")</f>
        <v/>
      </c>
      <c r="O95" s="11" t="inlineStr"/>
      <c r="P95" s="11" t="inlineStr"/>
    </row>
    <row r="96">
      <c r="A96" s="15" t="n"/>
      <c r="B96" s="4" t="inlineStr">
        <is>
          <t>8000-Objektüberwachung</t>
        </is>
      </c>
      <c r="C96" s="4" t="inlineStr">
        <is>
          <t>G</t>
        </is>
      </c>
      <c r="D96" s="4" t="n">
        <v>12</v>
      </c>
      <c r="E96" s="4" t="n">
        <v>6.75</v>
      </c>
      <c r="F96" s="4" t="n">
        <v>3</v>
      </c>
      <c r="G96" s="17" t="n">
        <v>56.25</v>
      </c>
      <c r="H96" s="5" t="n"/>
      <c r="I96" s="5">
        <f>IF(H96=0,"",F96-H96)</f>
        <v/>
      </c>
      <c r="J96" s="4" t="n"/>
      <c r="K96" s="5" t="n">
        <v>0</v>
      </c>
      <c r="L96" s="11">
        <f>IF($B$2="-","",IF($B$2="Pauschale",IFERROR(INDEX('Projekt-Budget-Übersicht'!$H:$H,MATCH(A96,'Projekt-Budget-Übersicht'!$A:$A,0)),""),IF($B$2="SV",IFERROR(INDEX('Projekt-Budget-Übersicht'!$H:$H,MATCH(A96,'Projekt-Budget-Übersicht'!$A:$A,0)),""),IF($B$2="CAD",IFERROR(INDEX('Projekt-Budget-Übersicht'!$I:$I,MATCH(A96,'Projekt-Budget-Übersicht'!$A:$A,0)),""),IF($B$2="ADM",IFERROR(INDEX('Projekt-Budget-Übersicht'!$J:$J,MATCH(A96,'Projekt-Budget-Übersicht'!$A:$A,0)),""),"")))))</f>
        <v/>
      </c>
      <c r="M96" s="11">
        <f>IF($B$2="-","",L96*(F96+I96+K96))</f>
        <v/>
      </c>
      <c r="N96" s="11">
        <f>IFERROR(INDEX('Projekt-Budget-Übersicht'!$E:$E,MATCH(A96,'Projekt-Budget-Übersicht'!$A:$A,0)),"")</f>
        <v/>
      </c>
      <c r="O96" s="11" t="inlineStr"/>
      <c r="P96" s="11" t="inlineStr"/>
    </row>
    <row r="97">
      <c r="A97" s="13" t="inlineStr">
        <is>
          <t>6697.01 LBB-LS3-AHO-Niederauerbach-Kaserne-a1-Zweibrücken</t>
        </is>
      </c>
      <c r="B97" s="4" t="inlineStr">
        <is>
          <t>(p) LP 5 GL</t>
        </is>
      </c>
      <c r="C97" s="4" t="inlineStr">
        <is>
          <t>G</t>
        </is>
      </c>
      <c r="D97" s="4" t="n">
        <v>66</v>
      </c>
      <c r="E97" s="4" t="n">
        <v>3.25</v>
      </c>
      <c r="F97" s="4" t="n">
        <v>0.25</v>
      </c>
      <c r="G97" s="17" t="n">
        <v>4.92</v>
      </c>
      <c r="H97" s="5" t="n"/>
      <c r="I97" s="5">
        <f>IF(H97=0,"",F97-H97)</f>
        <v/>
      </c>
      <c r="J97" s="4" t="n"/>
      <c r="K97" s="5" t="n">
        <v>0</v>
      </c>
      <c r="L97" s="11">
        <f>IF($B$2="-","",IF($B$2="Pauschale",IFERROR(INDEX('Projekt-Budget-Übersicht'!$H:$H,MATCH(A97,'Projekt-Budget-Übersicht'!$A:$A,0)),""),IF($B$2="SV",IFERROR(INDEX('Projekt-Budget-Übersicht'!$H:$H,MATCH(A97,'Projekt-Budget-Übersicht'!$A:$A,0)),""),IF($B$2="CAD",IFERROR(INDEX('Projekt-Budget-Übersicht'!$I:$I,MATCH(A97,'Projekt-Budget-Übersicht'!$A:$A,0)),""),IF($B$2="ADM",IFERROR(INDEX('Projekt-Budget-Übersicht'!$J:$J,MATCH(A97,'Projekt-Budget-Übersicht'!$A:$A,0)),""),"")))))</f>
        <v/>
      </c>
      <c r="M97" s="11">
        <f>IF($B$2="-","",L97*(F97+I97+K97))</f>
        <v/>
      </c>
      <c r="N97" s="11">
        <f>IFERROR(INDEX('Projekt-Budget-Übersicht'!$E:$E,MATCH(A97,'Projekt-Budget-Übersicht'!$A:$A,0)),"")</f>
        <v/>
      </c>
      <c r="O97" s="11" t="inlineStr"/>
      <c r="P97" s="11" t="inlineStr"/>
    </row>
    <row r="98">
      <c r="A98" s="15" t="n"/>
      <c r="B98" s="4" t="inlineStr">
        <is>
          <t>(p) LP 6 GL</t>
        </is>
      </c>
      <c r="C98" s="4" t="inlineStr">
        <is>
          <t>G</t>
        </is>
      </c>
      <c r="D98" s="4" t="n">
        <v>56</v>
      </c>
      <c r="E98" s="4" t="n">
        <v>6.5</v>
      </c>
      <c r="F98" s="4" t="n">
        <v>5</v>
      </c>
      <c r="G98" s="17" t="n">
        <v>11.61</v>
      </c>
      <c r="H98" s="5" t="n"/>
      <c r="I98" s="5">
        <f>IF(H98=0,"",F98-H98)</f>
        <v/>
      </c>
      <c r="J98" s="4" t="n"/>
      <c r="K98" s="5" t="n">
        <v>0</v>
      </c>
      <c r="L98" s="11">
        <f>IF($B$2="-","",IF($B$2="Pauschale",IFERROR(INDEX('Projekt-Budget-Übersicht'!$H:$H,MATCH(A98,'Projekt-Budget-Übersicht'!$A:$A,0)),""),IF($B$2="SV",IFERROR(INDEX('Projekt-Budget-Übersicht'!$H:$H,MATCH(A98,'Projekt-Budget-Übersicht'!$A:$A,0)),""),IF($B$2="CAD",IFERROR(INDEX('Projekt-Budget-Übersicht'!$I:$I,MATCH(A98,'Projekt-Budget-Übersicht'!$A:$A,0)),""),IF($B$2="ADM",IFERROR(INDEX('Projekt-Budget-Übersicht'!$J:$J,MATCH(A98,'Projekt-Budget-Übersicht'!$A:$A,0)),""),"")))))</f>
        <v/>
      </c>
      <c r="M98" s="11">
        <f>IF($B$2="-","",L98*(F98+I98+K98))</f>
        <v/>
      </c>
      <c r="N98" s="11">
        <f>IFERROR(INDEX('Projekt-Budget-Übersicht'!$E:$E,MATCH(A98,'Projekt-Budget-Übersicht'!$A:$A,0)),"")</f>
        <v/>
      </c>
      <c r="O98" s="11" t="inlineStr"/>
      <c r="P98" s="11" t="inlineStr"/>
    </row>
    <row r="99">
      <c r="A99" s="13" t="inlineStr">
        <is>
          <t>6974 IO-Diehl-Fast-Track-V2-AHO-Liegenschaft-Maasberg-Mariahütte</t>
        </is>
      </c>
      <c r="B99" s="4" t="inlineStr">
        <is>
          <t>LP 4 vorab, BAU offen</t>
        </is>
      </c>
      <c r="C99" s="4" t="inlineStr">
        <is>
          <t>G</t>
        </is>
      </c>
      <c r="D99" s="4" t="n">
        <v>0</v>
      </c>
      <c r="E99" s="4" t="n">
        <v>0</v>
      </c>
      <c r="F99" s="4" t="n">
        <v>0.25</v>
      </c>
      <c r="G99" s="4" t="n">
        <v>0</v>
      </c>
      <c r="H99" s="5" t="n"/>
      <c r="I99" s="5">
        <f>IF(H99=0,"",F99-H99)</f>
        <v/>
      </c>
      <c r="J99" s="4" t="n"/>
      <c r="K99" s="5" t="n">
        <v>0</v>
      </c>
      <c r="L99" s="11">
        <f>IF($B$2="-","",IF($B$2="Pauschale",IFERROR(INDEX('Projekt-Budget-Übersicht'!$H:$H,MATCH(A99,'Projekt-Budget-Übersicht'!$A:$A,0)),""),IF($B$2="SV",IFERROR(INDEX('Projekt-Budget-Übersicht'!$H:$H,MATCH(A99,'Projekt-Budget-Übersicht'!$A:$A,0)),""),IF($B$2="CAD",IFERROR(INDEX('Projekt-Budget-Übersicht'!$I:$I,MATCH(A99,'Projekt-Budget-Übersicht'!$A:$A,0)),""),IF($B$2="ADM",IFERROR(INDEX('Projekt-Budget-Übersicht'!$J:$J,MATCH(A99,'Projekt-Budget-Übersicht'!$A:$A,0)),""),"")))))</f>
        <v/>
      </c>
      <c r="M99" s="11">
        <f>IF($B$2="-","",L99*(F99+I99+K99))</f>
        <v/>
      </c>
      <c r="N99" s="11">
        <f>IFERROR(INDEX('Projekt-Budget-Übersicht'!$E:$E,MATCH(A99,'Projekt-Budget-Übersicht'!$A:$A,0)),"")</f>
        <v/>
      </c>
      <c r="O99" s="11" t="inlineStr"/>
      <c r="P99" s="11" t="inlineStr"/>
    </row>
    <row r="100">
      <c r="A100" s="21" t="n"/>
      <c r="B100" s="4" t="inlineStr">
        <is>
          <t>LP 5 RL</t>
        </is>
      </c>
      <c r="C100" s="4" t="inlineStr">
        <is>
          <t>G</t>
        </is>
      </c>
      <c r="D100" s="4" t="n">
        <v>0</v>
      </c>
      <c r="E100" s="4" t="n">
        <v>0</v>
      </c>
      <c r="F100" s="4" t="n">
        <v>0.75</v>
      </c>
      <c r="G100" s="4" t="n">
        <v>0</v>
      </c>
      <c r="H100" s="5" t="n"/>
      <c r="I100" s="5">
        <f>IF(H100=0,"",F100-H100)</f>
        <v/>
      </c>
      <c r="J100" s="4" t="n"/>
      <c r="K100" s="5">
        <f>IF('O. Haag BS-CAD'!J114="J. Dorn",'O. Haag BS-CAD'!I114,0)</f>
        <v/>
      </c>
      <c r="L100" s="11">
        <f>IF($B$2="-","",IF($B$2="Pauschale",IFERROR(INDEX('Projekt-Budget-Übersicht'!$H:$H,MATCH(A100,'Projekt-Budget-Übersicht'!$A:$A,0)),""),IF($B$2="SV",IFERROR(INDEX('Projekt-Budget-Übersicht'!$H:$H,MATCH(A100,'Projekt-Budget-Übersicht'!$A:$A,0)),""),IF($B$2="CAD",IFERROR(INDEX('Projekt-Budget-Übersicht'!$I:$I,MATCH(A100,'Projekt-Budget-Übersicht'!$A:$A,0)),""),IF($B$2="ADM",IFERROR(INDEX('Projekt-Budget-Übersicht'!$J:$J,MATCH(A100,'Projekt-Budget-Übersicht'!$A:$A,0)),""),"")))))</f>
        <v/>
      </c>
      <c r="M100" s="11">
        <f>IF($B$2="-","",L100*(F100+I100+K100))</f>
        <v/>
      </c>
      <c r="N100" s="11">
        <f>IFERROR(INDEX('Projekt-Budget-Übersicht'!$E:$E,MATCH(A100,'Projekt-Budget-Übersicht'!$A:$A,0)),"")</f>
        <v/>
      </c>
      <c r="O100" s="11" t="inlineStr"/>
      <c r="P100" s="11" t="inlineStr"/>
    </row>
    <row r="101">
      <c r="A101" s="15" t="n"/>
      <c r="B101" s="4" t="inlineStr">
        <is>
          <t>SV</t>
        </is>
      </c>
      <c r="C101" s="4" t="inlineStr">
        <is>
          <t>G</t>
        </is>
      </c>
      <c r="D101" s="4" t="n">
        <v>0</v>
      </c>
      <c r="E101" s="4" t="n">
        <v>0</v>
      </c>
      <c r="F101" s="4" t="n">
        <v>6</v>
      </c>
      <c r="G101" s="4" t="n">
        <v>0</v>
      </c>
      <c r="H101" s="5" t="n"/>
      <c r="I101" s="5">
        <f>IF(H101=0,"",F101-H101)</f>
        <v/>
      </c>
      <c r="J101" s="4" t="n"/>
      <c r="K101" s="5" t="n">
        <v>0</v>
      </c>
      <c r="L101" s="11">
        <f>IF($B$2="-","",IF($B$2="Pauschale",IFERROR(INDEX('Projekt-Budget-Übersicht'!$H:$H,MATCH(A101,'Projekt-Budget-Übersicht'!$A:$A,0)),""),IF($B$2="SV",IFERROR(INDEX('Projekt-Budget-Übersicht'!$H:$H,MATCH(A101,'Projekt-Budget-Übersicht'!$A:$A,0)),""),IF($B$2="CAD",IFERROR(INDEX('Projekt-Budget-Übersicht'!$I:$I,MATCH(A101,'Projekt-Budget-Übersicht'!$A:$A,0)),""),IF($B$2="ADM",IFERROR(INDEX('Projekt-Budget-Übersicht'!$J:$J,MATCH(A101,'Projekt-Budget-Übersicht'!$A:$A,0)),""),"")))))</f>
        <v/>
      </c>
      <c r="M101" s="11">
        <f>IF($B$2="-","",L101*(F101+I101+K101))</f>
        <v/>
      </c>
      <c r="N101" s="11">
        <f>IFERROR(INDEX('Projekt-Budget-Übersicht'!$E:$E,MATCH(A101,'Projekt-Budget-Übersicht'!$A:$A,0)),"")</f>
        <v/>
      </c>
      <c r="O101" s="11" t="inlineStr"/>
      <c r="P101" s="11" t="inlineStr"/>
    </row>
    <row r="102">
      <c r="A102" s="4" t="inlineStr">
        <is>
          <t>7196 DRESO-BSK-TDE-Genset-Container-Austausch-NEA-Kleyerstr75-89-FFM</t>
        </is>
      </c>
      <c r="B102" s="4" t="inlineStr">
        <is>
          <t>SV</t>
        </is>
      </c>
      <c r="C102" s="4" t="inlineStr">
        <is>
          <t>G</t>
        </is>
      </c>
      <c r="D102" s="4" t="n">
        <v>19</v>
      </c>
      <c r="E102" s="4" t="n">
        <v>22</v>
      </c>
      <c r="F102" s="4" t="n">
        <v>3</v>
      </c>
      <c r="G102" s="16" t="n">
        <v>115.79</v>
      </c>
      <c r="H102" s="5" t="n"/>
      <c r="I102" s="5">
        <f>IF(H102=0,"",F102-H102)</f>
        <v/>
      </c>
      <c r="J102" s="4" t="n"/>
      <c r="K102" s="5">
        <f>IF('R. Böttiger'!J60="J. Dorn",'R. Böttiger'!I60,0)+IF('T. Trautmann'!J94="J. Dorn",'T. Trautmann'!I94,0)</f>
        <v/>
      </c>
      <c r="L102" s="11">
        <f>IF($B$2="-","",IF($B$2="Pauschale",IFERROR(INDEX('Projekt-Budget-Übersicht'!$H:$H,MATCH(A102,'Projekt-Budget-Übersicht'!$A:$A,0)),""),IF($B$2="SV",IFERROR(INDEX('Projekt-Budget-Übersicht'!$H:$H,MATCH(A102,'Projekt-Budget-Übersicht'!$A:$A,0)),""),IF($B$2="CAD",IFERROR(INDEX('Projekt-Budget-Übersicht'!$I:$I,MATCH(A102,'Projekt-Budget-Übersicht'!$A:$A,0)),""),IF($B$2="ADM",IFERROR(INDEX('Projekt-Budget-Übersicht'!$J:$J,MATCH(A102,'Projekt-Budget-Übersicht'!$A:$A,0)),""),"")))))</f>
        <v/>
      </c>
      <c r="M102" s="11">
        <f>IF($B$2="-","",L102*(F102+I102+K102))</f>
        <v/>
      </c>
      <c r="N102" s="11">
        <f>IFERROR(INDEX('Projekt-Budget-Übersicht'!$E:$E,MATCH(A102,'Projekt-Budget-Übersicht'!$A:$A,0)),"")</f>
        <v/>
      </c>
      <c r="O102" s="11" t="inlineStr"/>
      <c r="P102" s="11" t="inlineStr"/>
    </row>
    <row r="103">
      <c r="A103" s="3" t="inlineStr"/>
      <c r="B103" s="3" t="inlineStr">
        <is>
          <t>Summe</t>
        </is>
      </c>
      <c r="C103" s="3" t="inlineStr"/>
      <c r="D103" s="3" t="inlineStr"/>
      <c r="E103" s="3" t="inlineStr"/>
      <c r="F103" s="6" t="n">
        <v>72</v>
      </c>
      <c r="G103" s="3" t="inlineStr"/>
      <c r="H103" s="3" t="inlineStr"/>
      <c r="I103" s="3" t="inlineStr"/>
      <c r="J103" s="3" t="inlineStr"/>
      <c r="K103" s="3" t="inlineStr"/>
      <c r="L103" s="3" t="n"/>
      <c r="M103" s="3" t="n"/>
      <c r="N103" s="3" t="n"/>
      <c r="O103" s="3" t="n"/>
      <c r="P103" s="3" t="n"/>
    </row>
    <row r="104">
      <c r="A104" s="3" t="inlineStr"/>
      <c r="B104" s="3" t="inlineStr">
        <is>
          <t>Bonusberechtigte Stunden</t>
        </is>
      </c>
      <c r="C104" s="3" t="inlineStr"/>
      <c r="D104" s="3" t="inlineStr"/>
      <c r="E104" s="3" t="inlineStr"/>
      <c r="F104" s="6">
        <f>G104+H104</f>
        <v/>
      </c>
      <c r="G104" s="6" t="n">
        <v>59.25</v>
      </c>
      <c r="H104" s="6">
        <f>SUM(H86,H87,H88,H89,H90,H91,H92,H93,H94,H95,H96,H97,H98,H99,H100,H101,H102)</f>
        <v/>
      </c>
      <c r="I104" s="3" t="inlineStr"/>
      <c r="J104" s="3" t="inlineStr"/>
      <c r="K104" s="3" t="inlineStr"/>
      <c r="L104" s="3" t="inlineStr"/>
      <c r="M104" s="3" t="inlineStr"/>
      <c r="N104" s="3" t="inlineStr"/>
      <c r="O104" s="3" t="inlineStr"/>
      <c r="P104" s="3" t="inlineStr"/>
    </row>
    <row r="105">
      <c r="A105" s="3" t="inlineStr"/>
      <c r="B105" s="3" t="inlineStr">
        <is>
          <t>Bonusberechtigte Stunden Sonderprojekt</t>
        </is>
      </c>
      <c r="C105" s="3" t="inlineStr"/>
      <c r="D105" s="3" t="inlineStr"/>
      <c r="E105" s="3" t="inlineStr"/>
      <c r="F105" s="6">
        <f>G105+H105</f>
        <v/>
      </c>
      <c r="G105" s="6" t="n">
        <v>4.5</v>
      </c>
      <c r="H105" s="6">
        <f>SUM(H83,H84,H85)</f>
        <v/>
      </c>
      <c r="I105" s="3" t="inlineStr"/>
      <c r="J105" s="3" t="inlineStr"/>
      <c r="K105" s="3" t="inlineStr"/>
      <c r="L105" s="3" t="inlineStr"/>
      <c r="M105" s="3" t="inlineStr"/>
      <c r="N105" s="3" t="inlineStr"/>
      <c r="O105" s="3" t="inlineStr"/>
      <c r="P105" s="3" t="inlineStr"/>
    </row>
    <row r="106">
      <c r="A106" s="3" t="inlineStr"/>
      <c r="B106" s="3" t="inlineStr">
        <is>
          <t>Zugeordnete Stunden von anderen MA</t>
        </is>
      </c>
      <c r="C106" s="3" t="inlineStr"/>
      <c r="D106" s="3" t="inlineStr"/>
      <c r="E106" s="3" t="inlineStr"/>
      <c r="F106" s="6">
        <f>SUM(K83:K102)</f>
        <v/>
      </c>
      <c r="G106" s="3" t="inlineStr"/>
      <c r="H106" s="3" t="inlineStr"/>
      <c r="I106" s="3" t="inlineStr"/>
      <c r="J106" s="3" t="inlineStr"/>
      <c r="K106" s="3" t="inlineStr"/>
      <c r="L106" s="3" t="inlineStr"/>
      <c r="M106" s="3" t="inlineStr"/>
      <c r="N106" s="3" t="inlineStr"/>
      <c r="O106" s="3" t="inlineStr"/>
      <c r="P106" s="3" t="inlineStr"/>
    </row>
    <row r="107">
      <c r="A107" s="18" t="inlineStr"/>
      <c r="B107" s="18" t="inlineStr">
        <is>
          <t>Gesamt Bonus Stunden</t>
        </is>
      </c>
      <c r="C107" s="18" t="inlineStr"/>
      <c r="D107" s="18" t="inlineStr"/>
      <c r="E107" s="18" t="inlineStr"/>
      <c r="F107" s="19">
        <f>F104+F105+F106</f>
        <v/>
      </c>
      <c r="G107" s="18" t="inlineStr"/>
      <c r="H107" s="18" t="inlineStr"/>
      <c r="I107" s="18" t="inlineStr"/>
      <c r="J107" s="18" t="inlineStr"/>
      <c r="K107" s="18" t="inlineStr"/>
      <c r="L107" s="18" t="n"/>
      <c r="M107" s="18" t="n"/>
      <c r="N107" s="18" t="n"/>
      <c r="O107" s="18" t="n"/>
      <c r="P107" s="18" t="n"/>
    </row>
    <row r="109">
      <c r="A109" s="2" t="inlineStr">
        <is>
          <t>--- Übertragshilfe ---</t>
        </is>
      </c>
    </row>
    <row r="110">
      <c r="A110" s="3" t="inlineStr">
        <is>
          <t>Monat</t>
        </is>
      </c>
      <c r="B110" s="3" t="inlineStr">
        <is>
          <t>Mitarbeiter</t>
        </is>
      </c>
      <c r="C110" s="3" t="inlineStr">
        <is>
          <t>Prod. Stunden</t>
        </is>
      </c>
      <c r="D110" s="3" t="inlineStr">
        <is>
          <t>Bonusberechtigte Stunden</t>
        </is>
      </c>
      <c r="E110" s="3" t="inlineStr">
        <is>
          <t>Bonusberechtigte Stunden Sonderprojekt</t>
        </is>
      </c>
      <c r="F110" s="3" t="inlineStr">
        <is>
          <t>Zugeordnet von anderen</t>
        </is>
      </c>
      <c r="G110" s="3" t="inlineStr">
        <is>
          <t>Gesamt Bonus</t>
        </is>
      </c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</row>
    <row r="111">
      <c r="A111" s="4" t="inlineStr">
        <is>
          <t>Juli 2025</t>
        </is>
      </c>
      <c r="B111" s="4" t="inlineStr">
        <is>
          <t>J. Dorn</t>
        </is>
      </c>
      <c r="C111" s="4">
        <f>F37</f>
        <v/>
      </c>
      <c r="D111" s="4">
        <f>F38</f>
        <v/>
      </c>
      <c r="E111" s="4">
        <f>F39</f>
        <v/>
      </c>
      <c r="F111" s="4">
        <f>F40</f>
        <v/>
      </c>
      <c r="G111" s="4">
        <f>F41</f>
        <v/>
      </c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</row>
    <row r="112">
      <c r="A112" s="4" t="inlineStr">
        <is>
          <t>August 2025</t>
        </is>
      </c>
      <c r="B112" s="4" t="inlineStr">
        <is>
          <t>J. Dorn</t>
        </is>
      </c>
      <c r="C112" s="4">
        <f>F75</f>
        <v/>
      </c>
      <c r="D112" s="4">
        <f>F76</f>
        <v/>
      </c>
      <c r="E112" s="4">
        <f>F77</f>
        <v/>
      </c>
      <c r="F112" s="4">
        <f>F78</f>
        <v/>
      </c>
      <c r="G112" s="4">
        <f>F79</f>
        <v/>
      </c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</row>
    <row r="113">
      <c r="A113" s="4" t="inlineStr">
        <is>
          <t>September 2025</t>
        </is>
      </c>
      <c r="B113" s="4" t="inlineStr">
        <is>
          <t>J. Dorn</t>
        </is>
      </c>
      <c r="C113" s="4">
        <f>F103</f>
        <v/>
      </c>
      <c r="D113" s="4">
        <f>F104</f>
        <v/>
      </c>
      <c r="E113" s="4">
        <f>F105</f>
        <v/>
      </c>
      <c r="F113" s="4">
        <f>F106</f>
        <v/>
      </c>
      <c r="G113" s="4">
        <f>F107</f>
        <v/>
      </c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</row>
    <row r="116">
      <c r="A116" s="2" t="inlineStr">
        <is>
          <t>--- Gesamtstunden 2025Q3 ---</t>
        </is>
      </c>
    </row>
    <row r="117">
      <c r="A117" s="12" t="inlineStr">
        <is>
          <t>Gesamt eingetragene Stunden:</t>
        </is>
      </c>
      <c r="B117" s="12" t="n">
        <v>307</v>
      </c>
      <c r="C117" s="12" t="n"/>
      <c r="D117" s="12" t="n"/>
      <c r="E117" s="12" t="n"/>
      <c r="F117" s="12" t="n"/>
      <c r="G117" s="12" t="n"/>
      <c r="H117" s="12" t="n"/>
      <c r="I117" s="12" t="n"/>
      <c r="J117" s="12" t="n"/>
      <c r="K117" s="12" t="n"/>
      <c r="L117" s="12" t="n"/>
      <c r="M117" s="12" t="n"/>
      <c r="N117" s="12" t="n"/>
      <c r="O117" s="12" t="n"/>
      <c r="P117" s="12" t="n"/>
    </row>
    <row r="118">
      <c r="A118" s="12" t="inlineStr">
        <is>
          <t>Bonusberechtigte Stunden (Quartal):</t>
        </is>
      </c>
      <c r="B118" s="20">
        <f>SUM(F38,F76,F104)</f>
        <v/>
      </c>
      <c r="C118" s="12" t="n"/>
      <c r="D118" s="12" t="n"/>
      <c r="E118" s="12" t="n"/>
      <c r="F118" s="12" t="n"/>
      <c r="G118" s="12" t="n"/>
      <c r="H118" s="12" t="n"/>
      <c r="I118" s="12" t="n"/>
      <c r="J118" s="12" t="n"/>
      <c r="K118" s="12" t="n"/>
      <c r="L118" s="12" t="n"/>
      <c r="M118" s="12" t="n"/>
      <c r="N118" s="12" t="n"/>
      <c r="O118" s="12" t="n"/>
      <c r="P118" s="12" t="n"/>
    </row>
    <row r="119">
      <c r="A119" s="12" t="inlineStr">
        <is>
          <t>Bonusberechtigte Stunden Sonderprojekt (Quartal):</t>
        </is>
      </c>
      <c r="B119" s="20">
        <f>SUM(F39,F77,F105)</f>
        <v/>
      </c>
      <c r="C119" s="12" t="n"/>
      <c r="D119" s="12" t="n"/>
      <c r="E119" s="12" t="n"/>
      <c r="F119" s="12" t="n"/>
      <c r="G119" s="12" t="n"/>
      <c r="H119" s="12" t="n"/>
      <c r="I119" s="12" t="n"/>
      <c r="J119" s="12" t="n"/>
      <c r="K119" s="12" t="n"/>
      <c r="L119" s="12" t="n"/>
      <c r="M119" s="12" t="n"/>
      <c r="N119" s="12" t="n"/>
      <c r="O119" s="12" t="n"/>
      <c r="P119" s="12" t="n"/>
    </row>
  </sheetData>
  <mergeCells count="11">
    <mergeCell ref="A30:A32"/>
    <mergeCell ref="A83:A85"/>
    <mergeCell ref="A28:A29"/>
    <mergeCell ref="A26:A27"/>
    <mergeCell ref="A99:A101"/>
    <mergeCell ref="A45:A46"/>
    <mergeCell ref="A95:A96"/>
    <mergeCell ref="A6:A7"/>
    <mergeCell ref="A97:A98"/>
    <mergeCell ref="A18:A19"/>
    <mergeCell ref="A68:A70"/>
  </mergeCells>
  <conditionalFormatting sqref="I6">
    <cfRule type="cellIs" priority="1" operator="lessThan" dxfId="0" stopIfTrue="1">
      <formula>0</formula>
    </cfRule>
  </conditionalFormatting>
  <conditionalFormatting sqref="I7">
    <cfRule type="cellIs" priority="2" operator="lessThan" dxfId="0" stopIfTrue="1">
      <formula>0</formula>
    </cfRule>
  </conditionalFormatting>
  <conditionalFormatting sqref="I8">
    <cfRule type="cellIs" priority="3" operator="lessThan" dxfId="0" stopIfTrue="1">
      <formula>0</formula>
    </cfRule>
  </conditionalFormatting>
  <conditionalFormatting sqref="I9">
    <cfRule type="cellIs" priority="4" operator="lessThan" dxfId="0" stopIfTrue="1">
      <formula>0</formula>
    </cfRule>
  </conditionalFormatting>
  <conditionalFormatting sqref="I10">
    <cfRule type="cellIs" priority="5" operator="lessThan" dxfId="0" stopIfTrue="1">
      <formula>0</formula>
    </cfRule>
  </conditionalFormatting>
  <conditionalFormatting sqref="I11">
    <cfRule type="cellIs" priority="6" operator="lessThan" dxfId="0" stopIfTrue="1">
      <formula>0</formula>
    </cfRule>
  </conditionalFormatting>
  <conditionalFormatting sqref="I12">
    <cfRule type="cellIs" priority="7" operator="lessThan" dxfId="0" stopIfTrue="1">
      <formula>0</formula>
    </cfRule>
  </conditionalFormatting>
  <conditionalFormatting sqref="I13">
    <cfRule type="cellIs" priority="8" operator="lessThan" dxfId="0" stopIfTrue="1">
      <formula>0</formula>
    </cfRule>
  </conditionalFormatting>
  <conditionalFormatting sqref="I14">
    <cfRule type="cellIs" priority="9" operator="lessThan" dxfId="0" stopIfTrue="1">
      <formula>0</formula>
    </cfRule>
  </conditionalFormatting>
  <conditionalFormatting sqref="I15">
    <cfRule type="cellIs" priority="10" operator="lessThan" dxfId="0" stopIfTrue="1">
      <formula>0</formula>
    </cfRule>
  </conditionalFormatting>
  <conditionalFormatting sqref="I16">
    <cfRule type="cellIs" priority="11" operator="lessThan" dxfId="0" stopIfTrue="1">
      <formula>0</formula>
    </cfRule>
  </conditionalFormatting>
  <conditionalFormatting sqref="I17">
    <cfRule type="cellIs" priority="12" operator="lessThan" dxfId="0" stopIfTrue="1">
      <formula>0</formula>
    </cfRule>
  </conditionalFormatting>
  <conditionalFormatting sqref="I18">
    <cfRule type="cellIs" priority="13" operator="lessThan" dxfId="0" stopIfTrue="1">
      <formula>0</formula>
    </cfRule>
  </conditionalFormatting>
  <conditionalFormatting sqref="I19">
    <cfRule type="cellIs" priority="14" operator="lessThan" dxfId="0" stopIfTrue="1">
      <formula>0</formula>
    </cfRule>
  </conditionalFormatting>
  <conditionalFormatting sqref="I20">
    <cfRule type="cellIs" priority="15" operator="lessThan" dxfId="0" stopIfTrue="1">
      <formula>0</formula>
    </cfRule>
  </conditionalFormatting>
  <conditionalFormatting sqref="I21">
    <cfRule type="cellIs" priority="16" operator="lessThan" dxfId="0" stopIfTrue="1">
      <formula>0</formula>
    </cfRule>
  </conditionalFormatting>
  <conditionalFormatting sqref="I22">
    <cfRule type="cellIs" priority="17" operator="lessThan" dxfId="0" stopIfTrue="1">
      <formula>0</formula>
    </cfRule>
  </conditionalFormatting>
  <conditionalFormatting sqref="I23">
    <cfRule type="cellIs" priority="18" operator="lessThan" dxfId="0" stopIfTrue="1">
      <formula>0</formula>
    </cfRule>
  </conditionalFormatting>
  <conditionalFormatting sqref="I24">
    <cfRule type="cellIs" priority="19" operator="lessThan" dxfId="0" stopIfTrue="1">
      <formula>0</formula>
    </cfRule>
  </conditionalFormatting>
  <conditionalFormatting sqref="I25">
    <cfRule type="cellIs" priority="20" operator="lessThan" dxfId="0" stopIfTrue="1">
      <formula>0</formula>
    </cfRule>
  </conditionalFormatting>
  <conditionalFormatting sqref="I26">
    <cfRule type="cellIs" priority="21" operator="lessThan" dxfId="0" stopIfTrue="1">
      <formula>0</formula>
    </cfRule>
  </conditionalFormatting>
  <conditionalFormatting sqref="I27">
    <cfRule type="cellIs" priority="22" operator="lessThan" dxfId="0" stopIfTrue="1">
      <formula>0</formula>
    </cfRule>
  </conditionalFormatting>
  <conditionalFormatting sqref="I28">
    <cfRule type="cellIs" priority="23" operator="lessThan" dxfId="0" stopIfTrue="1">
      <formula>0</formula>
    </cfRule>
  </conditionalFormatting>
  <conditionalFormatting sqref="I29">
    <cfRule type="cellIs" priority="24" operator="lessThan" dxfId="0" stopIfTrue="1">
      <formula>0</formula>
    </cfRule>
  </conditionalFormatting>
  <conditionalFormatting sqref="I30">
    <cfRule type="cellIs" priority="25" operator="lessThan" dxfId="0" stopIfTrue="1">
      <formula>0</formula>
    </cfRule>
  </conditionalFormatting>
  <conditionalFormatting sqref="I31">
    <cfRule type="cellIs" priority="26" operator="lessThan" dxfId="0" stopIfTrue="1">
      <formula>0</formula>
    </cfRule>
  </conditionalFormatting>
  <conditionalFormatting sqref="I32">
    <cfRule type="cellIs" priority="27" operator="lessThan" dxfId="0" stopIfTrue="1">
      <formula>0</formula>
    </cfRule>
  </conditionalFormatting>
  <conditionalFormatting sqref="I33">
    <cfRule type="cellIs" priority="28" operator="lessThan" dxfId="0" stopIfTrue="1">
      <formula>0</formula>
    </cfRule>
  </conditionalFormatting>
  <conditionalFormatting sqref="I34">
    <cfRule type="cellIs" priority="29" operator="lessThan" dxfId="0" stopIfTrue="1">
      <formula>0</formula>
    </cfRule>
  </conditionalFormatting>
  <conditionalFormatting sqref="I35">
    <cfRule type="cellIs" priority="30" operator="lessThan" dxfId="0" stopIfTrue="1">
      <formula>0</formula>
    </cfRule>
  </conditionalFormatting>
  <conditionalFormatting sqref="I36">
    <cfRule type="cellIs" priority="31" operator="lessThan" dxfId="0" stopIfTrue="1">
      <formula>0</formula>
    </cfRule>
  </conditionalFormatting>
  <conditionalFormatting sqref="I45">
    <cfRule type="cellIs" priority="32" operator="lessThan" dxfId="0" stopIfTrue="1">
      <formula>0</formula>
    </cfRule>
  </conditionalFormatting>
  <conditionalFormatting sqref="I46">
    <cfRule type="cellIs" priority="33" operator="lessThan" dxfId="0" stopIfTrue="1">
      <formula>0</formula>
    </cfRule>
  </conditionalFormatting>
  <conditionalFormatting sqref="I47">
    <cfRule type="cellIs" priority="34" operator="lessThan" dxfId="0" stopIfTrue="1">
      <formula>0</formula>
    </cfRule>
  </conditionalFormatting>
  <conditionalFormatting sqref="I48">
    <cfRule type="cellIs" priority="35" operator="lessThan" dxfId="0" stopIfTrue="1">
      <formula>0</formula>
    </cfRule>
  </conditionalFormatting>
  <conditionalFormatting sqref="I49">
    <cfRule type="cellIs" priority="36" operator="lessThan" dxfId="0" stopIfTrue="1">
      <formula>0</formula>
    </cfRule>
  </conditionalFormatting>
  <conditionalFormatting sqref="I50">
    <cfRule type="cellIs" priority="37" operator="lessThan" dxfId="0" stopIfTrue="1">
      <formula>0</formula>
    </cfRule>
  </conditionalFormatting>
  <conditionalFormatting sqref="I51">
    <cfRule type="cellIs" priority="38" operator="lessThan" dxfId="0" stopIfTrue="1">
      <formula>0</formula>
    </cfRule>
  </conditionalFormatting>
  <conditionalFormatting sqref="I52">
    <cfRule type="cellIs" priority="39" operator="lessThan" dxfId="0" stopIfTrue="1">
      <formula>0</formula>
    </cfRule>
  </conditionalFormatting>
  <conditionalFormatting sqref="I53">
    <cfRule type="cellIs" priority="40" operator="lessThan" dxfId="0" stopIfTrue="1">
      <formula>0</formula>
    </cfRule>
  </conditionalFormatting>
  <conditionalFormatting sqref="I54">
    <cfRule type="cellIs" priority="41" operator="lessThan" dxfId="0" stopIfTrue="1">
      <formula>0</formula>
    </cfRule>
  </conditionalFormatting>
  <conditionalFormatting sqref="I55">
    <cfRule type="cellIs" priority="42" operator="lessThan" dxfId="0" stopIfTrue="1">
      <formula>0</formula>
    </cfRule>
  </conditionalFormatting>
  <conditionalFormatting sqref="I56">
    <cfRule type="cellIs" priority="43" operator="lessThan" dxfId="0" stopIfTrue="1">
      <formula>0</formula>
    </cfRule>
  </conditionalFormatting>
  <conditionalFormatting sqref="I57">
    <cfRule type="cellIs" priority="44" operator="lessThan" dxfId="0" stopIfTrue="1">
      <formula>0</formula>
    </cfRule>
  </conditionalFormatting>
  <conditionalFormatting sqref="I58">
    <cfRule type="cellIs" priority="45" operator="lessThan" dxfId="0" stopIfTrue="1">
      <formula>0</formula>
    </cfRule>
  </conditionalFormatting>
  <conditionalFormatting sqref="I59">
    <cfRule type="cellIs" priority="46" operator="lessThan" dxfId="0" stopIfTrue="1">
      <formula>0</formula>
    </cfRule>
  </conditionalFormatting>
  <conditionalFormatting sqref="I60">
    <cfRule type="cellIs" priority="47" operator="lessThan" dxfId="0" stopIfTrue="1">
      <formula>0</formula>
    </cfRule>
  </conditionalFormatting>
  <conditionalFormatting sqref="I61">
    <cfRule type="cellIs" priority="48" operator="lessThan" dxfId="0" stopIfTrue="1">
      <formula>0</formula>
    </cfRule>
  </conditionalFormatting>
  <conditionalFormatting sqref="I62">
    <cfRule type="cellIs" priority="49" operator="lessThan" dxfId="0" stopIfTrue="1">
      <formula>0</formula>
    </cfRule>
  </conditionalFormatting>
  <conditionalFormatting sqref="I63">
    <cfRule type="cellIs" priority="50" operator="lessThan" dxfId="0" stopIfTrue="1">
      <formula>0</formula>
    </cfRule>
  </conditionalFormatting>
  <conditionalFormatting sqref="I64">
    <cfRule type="cellIs" priority="51" operator="lessThan" dxfId="0" stopIfTrue="1">
      <formula>0</formula>
    </cfRule>
  </conditionalFormatting>
  <conditionalFormatting sqref="I65">
    <cfRule type="cellIs" priority="52" operator="lessThan" dxfId="0" stopIfTrue="1">
      <formula>0</formula>
    </cfRule>
  </conditionalFormatting>
  <conditionalFormatting sqref="I66">
    <cfRule type="cellIs" priority="53" operator="lessThan" dxfId="0" stopIfTrue="1">
      <formula>0</formula>
    </cfRule>
  </conditionalFormatting>
  <conditionalFormatting sqref="I67">
    <cfRule type="cellIs" priority="54" operator="lessThan" dxfId="0" stopIfTrue="1">
      <formula>0</formula>
    </cfRule>
  </conditionalFormatting>
  <conditionalFormatting sqref="I68">
    <cfRule type="cellIs" priority="55" operator="lessThan" dxfId="0" stopIfTrue="1">
      <formula>0</formula>
    </cfRule>
  </conditionalFormatting>
  <conditionalFormatting sqref="I69">
    <cfRule type="cellIs" priority="56" operator="lessThan" dxfId="0" stopIfTrue="1">
      <formula>0</formula>
    </cfRule>
  </conditionalFormatting>
  <conditionalFormatting sqref="I70">
    <cfRule type="cellIs" priority="57" operator="lessThan" dxfId="0" stopIfTrue="1">
      <formula>0</formula>
    </cfRule>
  </conditionalFormatting>
  <conditionalFormatting sqref="I71">
    <cfRule type="cellIs" priority="58" operator="lessThan" dxfId="0" stopIfTrue="1">
      <formula>0</formula>
    </cfRule>
  </conditionalFormatting>
  <conditionalFormatting sqref="I72">
    <cfRule type="cellIs" priority="59" operator="lessThan" dxfId="0" stopIfTrue="1">
      <formula>0</formula>
    </cfRule>
  </conditionalFormatting>
  <conditionalFormatting sqref="I73">
    <cfRule type="cellIs" priority="60" operator="lessThan" dxfId="0" stopIfTrue="1">
      <formula>0</formula>
    </cfRule>
  </conditionalFormatting>
  <conditionalFormatting sqref="I74">
    <cfRule type="cellIs" priority="61" operator="lessThan" dxfId="0" stopIfTrue="1">
      <formula>0</formula>
    </cfRule>
  </conditionalFormatting>
  <conditionalFormatting sqref="I83">
    <cfRule type="cellIs" priority="62" operator="lessThan" dxfId="0" stopIfTrue="1">
      <formula>0</formula>
    </cfRule>
  </conditionalFormatting>
  <conditionalFormatting sqref="I84">
    <cfRule type="cellIs" priority="63" operator="lessThan" dxfId="0" stopIfTrue="1">
      <formula>0</formula>
    </cfRule>
  </conditionalFormatting>
  <conditionalFormatting sqref="I85">
    <cfRule type="cellIs" priority="64" operator="lessThan" dxfId="0" stopIfTrue="1">
      <formula>0</formula>
    </cfRule>
  </conditionalFormatting>
  <conditionalFormatting sqref="I86">
    <cfRule type="cellIs" priority="65" operator="lessThan" dxfId="0" stopIfTrue="1">
      <formula>0</formula>
    </cfRule>
  </conditionalFormatting>
  <conditionalFormatting sqref="I87">
    <cfRule type="cellIs" priority="66" operator="lessThan" dxfId="0" stopIfTrue="1">
      <formula>0</formula>
    </cfRule>
  </conditionalFormatting>
  <conditionalFormatting sqref="I88">
    <cfRule type="cellIs" priority="67" operator="lessThan" dxfId="0" stopIfTrue="1">
      <formula>0</formula>
    </cfRule>
  </conditionalFormatting>
  <conditionalFormatting sqref="I89">
    <cfRule type="cellIs" priority="68" operator="lessThan" dxfId="0" stopIfTrue="1">
      <formula>0</formula>
    </cfRule>
  </conditionalFormatting>
  <conditionalFormatting sqref="I90">
    <cfRule type="cellIs" priority="69" operator="lessThan" dxfId="0" stopIfTrue="1">
      <formula>0</formula>
    </cfRule>
  </conditionalFormatting>
  <conditionalFormatting sqref="I91">
    <cfRule type="cellIs" priority="70" operator="lessThan" dxfId="0" stopIfTrue="1">
      <formula>0</formula>
    </cfRule>
  </conditionalFormatting>
  <conditionalFormatting sqref="I92">
    <cfRule type="cellIs" priority="71" operator="lessThan" dxfId="0" stopIfTrue="1">
      <formula>0</formula>
    </cfRule>
  </conditionalFormatting>
  <conditionalFormatting sqref="I93">
    <cfRule type="cellIs" priority="72" operator="lessThan" dxfId="0" stopIfTrue="1">
      <formula>0</formula>
    </cfRule>
  </conditionalFormatting>
  <conditionalFormatting sqref="I94">
    <cfRule type="cellIs" priority="73" operator="lessThan" dxfId="0" stopIfTrue="1">
      <formula>0</formula>
    </cfRule>
  </conditionalFormatting>
  <conditionalFormatting sqref="I95">
    <cfRule type="cellIs" priority="74" operator="lessThan" dxfId="0" stopIfTrue="1">
      <formula>0</formula>
    </cfRule>
  </conditionalFormatting>
  <conditionalFormatting sqref="I96">
    <cfRule type="cellIs" priority="75" operator="lessThan" dxfId="0" stopIfTrue="1">
      <formula>0</formula>
    </cfRule>
  </conditionalFormatting>
  <conditionalFormatting sqref="I97">
    <cfRule type="cellIs" priority="76" operator="lessThan" dxfId="0" stopIfTrue="1">
      <formula>0</formula>
    </cfRule>
  </conditionalFormatting>
  <conditionalFormatting sqref="I98">
    <cfRule type="cellIs" priority="77" operator="lessThan" dxfId="0" stopIfTrue="1">
      <formula>0</formula>
    </cfRule>
  </conditionalFormatting>
  <conditionalFormatting sqref="I99">
    <cfRule type="cellIs" priority="78" operator="lessThan" dxfId="0" stopIfTrue="1">
      <formula>0</formula>
    </cfRule>
  </conditionalFormatting>
  <conditionalFormatting sqref="I100">
    <cfRule type="cellIs" priority="79" operator="lessThan" dxfId="0" stopIfTrue="1">
      <formula>0</formula>
    </cfRule>
  </conditionalFormatting>
  <conditionalFormatting sqref="I101">
    <cfRule type="cellIs" priority="80" operator="lessThan" dxfId="0" stopIfTrue="1">
      <formula>0</formula>
    </cfRule>
  </conditionalFormatting>
  <conditionalFormatting sqref="I102">
    <cfRule type="cellIs" priority="81" operator="lessThan" dxfId="0" stopIfTrue="1">
      <formula>0</formula>
    </cfRule>
  </conditionalFormatting>
  <dataValidations count="46">
    <dataValidation sqref="B2" showDropDown="0" showInputMessage="0" showErrorMessage="0" allowBlank="0" type="list">
      <formula1>"SV,CAD,ADM,Pauschale,-"</formula1>
    </dataValidation>
    <dataValidation sqref="J6" showDropDown="0" showInputMessage="0" showErrorMessage="0" allowBlank="1" type="list">
      <formula1>"A. Kokott,C. Trapp SV,D. Brucker,E. Bieler,J. Dorchies,M. Bandlofsky,O. Haag BS-CAD,P. Bergner,R. Wagen CAD,T. Trautmann,U. Sutter ADM"</formula1>
    </dataValidation>
    <dataValidation sqref="J7" showDropDown="0" showInputMessage="0" showErrorMessage="0" allowBlank="1" type="list">
      <formula1>"C. Trapp SV,O. Haag BS-CAD,P. Bergner,T. Trautmann"</formula1>
    </dataValidation>
    <dataValidation sqref="J9" showDropDown="0" showInputMessage="0" showErrorMessage="0" allowBlank="1" type="list">
      <formula1>"E. Bieler,P. Bergner"</formula1>
    </dataValidation>
    <dataValidation sqref="J10" showDropDown="0" showInputMessage="0" showErrorMessage="0" allowBlank="1" type="list">
      <formula1>"M. Bandlofsky,U. Sutter ADM"</formula1>
    </dataValidation>
    <dataValidation sqref="J12" showDropDown="0" showInputMessage="0" showErrorMessage="0" allowBlank="1" type="list">
      <formula1>"A. Kokott,T. Trautmann"</formula1>
    </dataValidation>
    <dataValidation sqref="J14" showDropDown="0" showInputMessage="0" showErrorMessage="0" allowBlank="1" type="list">
      <formula1>"E. Bieler"</formula1>
    </dataValidation>
    <dataValidation sqref="J17" showDropDown="0" showInputMessage="0" showErrorMessage="0" allowBlank="1" type="list">
      <formula1>"T. Trautmann"</formula1>
    </dataValidation>
    <dataValidation sqref="J20" showDropDown="0" showInputMessage="0" showErrorMessage="0" allowBlank="1" type="list">
      <formula1>"E. Bieler,R. Böttiger"</formula1>
    </dataValidation>
    <dataValidation sqref="J22" showDropDown="0" showInputMessage="0" showErrorMessage="0" allowBlank="1" type="list">
      <formula1>"A. Kokott,M. Bandlofsky,T. Trautmann"</formula1>
    </dataValidation>
    <dataValidation sqref="J23" showDropDown="0" showInputMessage="0" showErrorMessage="0" allowBlank="1" type="list">
      <formula1>"A. Kokott,E. Bieler,J. Dorchies,O. Haag BS-CAD,P. Bergner,R. Böttiger"</formula1>
    </dataValidation>
    <dataValidation sqref="J31" showDropDown="0" showInputMessage="0" showErrorMessage="0" allowBlank="1" type="list">
      <formula1>"O. Haag BS-CAD"</formula1>
    </dataValidation>
    <dataValidation sqref="J33" showDropDown="0" showInputMessage="0" showErrorMessage="0" allowBlank="1" type="list">
      <formula1>"E. Bieler,J. Dorchies,R. Böttiger"</formula1>
    </dataValidation>
    <dataValidation sqref="J34" showDropDown="0" showInputMessage="0" showErrorMessage="0" allowBlank="1" type="list">
      <formula1>"S. Schüler"</formula1>
    </dataValidation>
    <dataValidation sqref="J35" showDropDown="0" showInputMessage="0" showErrorMessage="0" allowBlank="1" type="list">
      <formula1>"A. Kokott,E. Bieler,M. Bandlofsky"</formula1>
    </dataValidation>
    <dataValidation sqref="J36" showDropDown="0" showInputMessage="0" showErrorMessage="0" allowBlank="1" type="list">
      <formula1>"R. Böttiger"</formula1>
    </dataValidation>
    <dataValidation sqref="J45" showDropDown="0" showInputMessage="0" showErrorMessage="0" allowBlank="1" type="list">
      <formula1>"A. Kokott,C. Trapp SV,D. Brucker,E. Bieler,J. Dorchies,O. Haag BS-CAD,P. Bergner,R. Böttiger,S. Schüler,T. Trautmann,U. Sutter ADM"</formula1>
    </dataValidation>
    <dataValidation sqref="J46" showDropDown="0" showInputMessage="0" showErrorMessage="0" allowBlank="1" type="list">
      <formula1>"C. Trapp SV,O. Haag BS-CAD,P. Bergner,T. Trautmann"</formula1>
    </dataValidation>
    <dataValidation sqref="J48" showDropDown="0" showInputMessage="0" showErrorMessage="0" allowBlank="1" type="list">
      <formula1>"E. Bieler,P. Bergner"</formula1>
    </dataValidation>
    <dataValidation sqref="J51" showDropDown="0" showInputMessage="0" showErrorMessage="0" allowBlank="1" type="list">
      <formula1>"A. Kokott,T. Trautmann"</formula1>
    </dataValidation>
    <dataValidation sqref="J52" showDropDown="0" showInputMessage="0" showErrorMessage="0" allowBlank="1" type="list">
      <formula1>"A. Kokott,T. Trautmann"</formula1>
    </dataValidation>
    <dataValidation sqref="J53" showDropDown="0" showInputMessage="0" showErrorMessage="0" allowBlank="1" type="list">
      <formula1>"E. Bieler"</formula1>
    </dataValidation>
    <dataValidation sqref="J54" showDropDown="0" showInputMessage="0" showErrorMessage="0" allowBlank="1" type="list">
      <formula1>"T. Trautmann"</formula1>
    </dataValidation>
    <dataValidation sqref="J58" showDropDown="0" showInputMessage="0" showErrorMessage="0" allowBlank="1" type="list">
      <formula1>"E. Bieler,R. Böttiger"</formula1>
    </dataValidation>
    <dataValidation sqref="J59" showDropDown="0" showInputMessage="0" showErrorMessage="0" allowBlank="1" type="list">
      <formula1>"A. Kokott,M. Bandlofsky,O. Haag BS-CAD,T. Trautmann"</formula1>
    </dataValidation>
    <dataValidation sqref="J60" showDropDown="0" showInputMessage="0" showErrorMessage="0" allowBlank="1" type="list">
      <formula1>"A. Kokott,M. Bandlofsky,T. Trautmann"</formula1>
    </dataValidation>
    <dataValidation sqref="J61" showDropDown="0" showInputMessage="0" showErrorMessage="0" allowBlank="1" type="list">
      <formula1>"A. Kokott,E. Bieler,J. Dorchies,O. Haag BS-CAD,P. Bergner,R. Böttiger"</formula1>
    </dataValidation>
    <dataValidation sqref="J64" showDropDown="0" showInputMessage="0" showErrorMessage="0" allowBlank="1" type="list">
      <formula1>"A. Kokott,T. Trautmann"</formula1>
    </dataValidation>
    <dataValidation sqref="J68" showDropDown="0" showInputMessage="0" showErrorMessage="0" allowBlank="1" type="list">
      <formula1>"R. Wagen CAD"</formula1>
    </dataValidation>
    <dataValidation sqref="J69" showDropDown="0" showInputMessage="0" showErrorMessage="0" allowBlank="1" type="list">
      <formula1>"O. Haag BS-CAD"</formula1>
    </dataValidation>
    <dataValidation sqref="J71" showDropDown="0" showInputMessage="0" showErrorMessage="0" allowBlank="1" type="list">
      <formula1>"O. Haag BS-CAD"</formula1>
    </dataValidation>
    <dataValidation sqref="J72" showDropDown="0" showInputMessage="0" showErrorMessage="0" allowBlank="1" type="list">
      <formula1>"A. Kokott,H. Bektas"</formula1>
    </dataValidation>
    <dataValidation sqref="J73" showDropDown="0" showInputMessage="0" showErrorMessage="0" allowBlank="1" type="list">
      <formula1>"R. Böttiger"</formula1>
    </dataValidation>
    <dataValidation sqref="J74" showDropDown="0" showInputMessage="0" showErrorMessage="0" allowBlank="1" type="list">
      <formula1>"R. Böttiger"</formula1>
    </dataValidation>
    <dataValidation sqref="J83" showDropDown="0" showInputMessage="0" showErrorMessage="0" allowBlank="1" type="list">
      <formula1>"A. Kokott,C. Trapp SV,D. Brucker,E. Bieler,J. Dorchies,O. Haag BS-CAD,P. Bergner,R. Böttiger,S. Schüler,T. Trautmann,U. Sutter ADM"</formula1>
    </dataValidation>
    <dataValidation sqref="J84" showDropDown="0" showInputMessage="0" showErrorMessage="0" allowBlank="1" type="list">
      <formula1>"A. Kokott,C. Trapp SV,D. Brucker,E. Bieler,J. Dorchies,M. Bandlofsky,O. Haag BS-CAD,P. Bergner,R. Wagen CAD,T. Trautmann,U. Sutter ADM"</formula1>
    </dataValidation>
    <dataValidation sqref="J85" showDropDown="0" showInputMessage="0" showErrorMessage="0" allowBlank="1" type="list">
      <formula1>"C. Trapp SV,O. Haag BS-CAD,P. Bergner,T. Trautmann"</formula1>
    </dataValidation>
    <dataValidation sqref="J88" showDropDown="0" showInputMessage="0" showErrorMessage="0" allowBlank="1" type="list">
      <formula1>"E. Bieler"</formula1>
    </dataValidation>
    <dataValidation sqref="J89" showDropDown="0" showInputMessage="0" showErrorMessage="0" allowBlank="1" type="list">
      <formula1>"T. Trautmann"</formula1>
    </dataValidation>
    <dataValidation sqref="J90" showDropDown="0" showInputMessage="0" showErrorMessage="0" allowBlank="1" type="list">
      <formula1>"A. Kokott,M. Bandlofsky,O. Haag BS-CAD,T. Trautmann"</formula1>
    </dataValidation>
    <dataValidation sqref="J91" showDropDown="0" showInputMessage="0" showErrorMessage="0" allowBlank="1" type="list">
      <formula1>"A. Kokott,M. Bandlofsky,T. Trautmann"</formula1>
    </dataValidation>
    <dataValidation sqref="J92" showDropDown="0" showInputMessage="0" showErrorMessage="0" allowBlank="1" type="list">
      <formula1>"A. Kokott,E. Bieler,J. Dorchies,O. Haag BS-CAD,P. Bergner,R. Böttiger"</formula1>
    </dataValidation>
    <dataValidation sqref="J94" showDropDown="0" showInputMessage="0" showErrorMessage="0" allowBlank="1" type="list">
      <formula1>"A. Kokott,T. Trautmann"</formula1>
    </dataValidation>
    <dataValidation sqref="J99" showDropDown="0" showInputMessage="0" showErrorMessage="0" allowBlank="1" type="list">
      <formula1>"R. Wagen CAD"</formula1>
    </dataValidation>
    <dataValidation sqref="J100" showDropDown="0" showInputMessage="0" showErrorMessage="0" allowBlank="1" type="list">
      <formula1>"O. Haag BS-CAD"</formula1>
    </dataValidation>
    <dataValidation sqref="J102" showDropDown="0" showInputMessage="0" showErrorMessage="0" allowBlank="1" type="list">
      <formula1>"R. Böttiger,T. Trautmann"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83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8" customWidth="1" min="3" max="3"/>
    <col width="12" customWidth="1" min="4" max="4"/>
    <col width="12" customWidth="1" min="5" max="5"/>
    <col width="12" customWidth="1" min="6" max="6"/>
    <col width="8" customWidth="1" min="7" max="7"/>
    <col width="16" customWidth="1" min="8" max="8"/>
    <col width="12" customWidth="1" min="9" max="9"/>
    <col width="25" customWidth="1" min="10" max="10"/>
    <col width="15" customWidth="1" min="11" max="11"/>
    <col width="18" customWidth="1" min="12" max="12"/>
    <col width="15" customWidth="1" min="13" max="13"/>
    <col width="18" customWidth="1" min="14" max="14"/>
    <col width="15" customWidth="1" min="15" max="15"/>
    <col width="22" customWidth="1" min="16" max="16"/>
  </cols>
  <sheetData>
    <row r="1">
      <c r="A1" t="inlineStr">
        <is>
          <t>M. Bandlofsky - Quartalsreport 2025Q3</t>
        </is>
      </c>
    </row>
    <row r="2">
      <c r="A2" s="12" t="inlineStr">
        <is>
          <t>Position:</t>
        </is>
      </c>
      <c r="B2" t="inlineStr">
        <is>
          <t>SV</t>
        </is>
      </c>
    </row>
    <row r="4">
      <c r="A4" s="2" t="inlineStr">
        <is>
          <t>--- Juli 2025 ---</t>
        </is>
      </c>
    </row>
    <row r="5">
      <c r="A5" s="3" t="inlineStr">
        <is>
          <t>Projekt</t>
        </is>
      </c>
      <c r="B5" s="3" t="inlineStr">
        <is>
          <t>Meilenstein</t>
        </is>
      </c>
      <c r="C5" s="3" t="inlineStr">
        <is>
          <t>Typ</t>
        </is>
      </c>
      <c r="D5" s="3" t="inlineStr">
        <is>
          <t>Soll (h)</t>
        </is>
      </c>
      <c r="E5" s="3" t="inlineStr">
        <is>
          <t>Ist (h)</t>
        </is>
      </c>
      <c r="F5" s="3" t="inlineStr">
        <is>
          <t>Juli 2025 (h)</t>
        </is>
      </c>
      <c r="G5" s="3" t="inlineStr">
        <is>
          <t>%</t>
        </is>
      </c>
      <c r="H5" s="3" t="inlineStr">
        <is>
          <t>Bonus-Anpassung (h)</t>
        </is>
      </c>
      <c r="I5" s="3" t="inlineStr">
        <is>
          <t>Differenz (h)</t>
        </is>
      </c>
      <c r="J5" s="3" t="inlineStr">
        <is>
          <t>Zuordnen an</t>
        </is>
      </c>
      <c r="K5" s="3" t="inlineStr">
        <is>
          <t>Von anderen (h)</t>
        </is>
      </c>
      <c r="L5" s="3" t="inlineStr">
        <is>
          <t>Stundensatz (€/h)</t>
        </is>
      </c>
      <c r="M5" s="3" t="inlineStr">
        <is>
          <t>Umsatz (€)</t>
        </is>
      </c>
      <c r="N5" s="3" t="inlineStr">
        <is>
          <t>Budget Gesamt (€)</t>
        </is>
      </c>
      <c r="O5" s="3" t="inlineStr">
        <is>
          <t>Budget Ist (€)</t>
        </is>
      </c>
      <c r="P5" s="3" t="inlineStr">
        <is>
          <t>Budget Erwirtschaftet (€)</t>
        </is>
      </c>
    </row>
    <row r="6">
      <c r="A6" s="4" t="inlineStr">
        <is>
          <t>0000 Sonderprojekt für Bonus</t>
        </is>
      </c>
      <c r="B6" s="4" t="inlineStr">
        <is>
          <t>Einarbeitung neuer Mitarbeiter (max. 8h/Monat pro MA)</t>
        </is>
      </c>
      <c r="C6" s="4" t="inlineStr">
        <is>
          <t>M</t>
        </is>
      </c>
      <c r="D6" s="4" t="n">
        <v>8</v>
      </c>
      <c r="E6" s="4" t="n">
        <v>1</v>
      </c>
      <c r="F6" s="4" t="n">
        <v>1</v>
      </c>
      <c r="G6" s="17" t="n">
        <v>12.5</v>
      </c>
      <c r="H6" s="5" t="n"/>
      <c r="I6" s="5">
        <f>IF(H6=0,"",F6-H6)</f>
        <v/>
      </c>
      <c r="J6" s="4" t="n"/>
      <c r="K6" s="5">
        <f>IF('A. Kokott'!J7="M. Bandlofsky",'A. Kokott'!I7,0)+IF('C. Trapp SV'!J6="M. Bandlofsky",'C. Trapp SV'!I6,0)+IF('D. Brucker'!J7="M. Bandlofsky",'D. Brucker'!I7,0)+IF('E. Bieler'!J7="M. Bandlofsky",'E. Bieler'!I7,0)+IF('J. Dorchies'!J7="M. Bandlofsky",'J. Dorchies'!I7,0)+IF('J. Dorn'!J6="M. Bandlofsky",'J. Dorn'!I6,0)+IF('T. Trautmann'!J7="M. Bandlofsky",'T. Trautmann'!I7,0)+IF('U. Sutter ADM'!J7="M. Bandlofsky",'U. Sutter ADM'!I7,0)</f>
        <v/>
      </c>
      <c r="L6" s="11">
        <f>IF($B$2="-","",IF($B$2="Pauschale",IFERROR(INDEX('Projekt-Budget-Übersicht'!$H:$H,MATCH(A6,'Projekt-Budget-Übersicht'!$A:$A,0)),""),IF($B$2="SV",IFERROR(INDEX('Projekt-Budget-Übersicht'!$H:$H,MATCH(A6,'Projekt-Budget-Übersicht'!$A:$A,0)),""),IF($B$2="CAD",IFERROR(INDEX('Projekt-Budget-Übersicht'!$I:$I,MATCH(A6,'Projekt-Budget-Übersicht'!$A:$A,0)),""),IF($B$2="ADM",IFERROR(INDEX('Projekt-Budget-Übersicht'!$J:$J,MATCH(A6,'Projekt-Budget-Übersicht'!$A:$A,0)),""),"")))))</f>
        <v/>
      </c>
      <c r="M6" s="11">
        <f>IF($B$2="-","",L6*(F6+I6+K6))</f>
        <v/>
      </c>
      <c r="N6" s="11">
        <f>IFERROR(INDEX('Projekt-Budget-Übersicht'!$E:$E,MATCH(A6,'Projekt-Budget-Übersicht'!$A:$A,0)),"")</f>
        <v/>
      </c>
      <c r="O6" s="11" t="inlineStr"/>
      <c r="P6" s="11" t="inlineStr"/>
    </row>
    <row r="7">
      <c r="A7" s="4" t="inlineStr">
        <is>
          <t>0815.07 Beratung-MPI-Hirnforschung-Ffm</t>
        </is>
      </c>
      <c r="B7" s="4" t="inlineStr">
        <is>
          <t>3312-Beratungsleistungen in der Planungsphase...</t>
        </is>
      </c>
      <c r="C7" s="4" t="inlineStr">
        <is>
          <t>G</t>
        </is>
      </c>
      <c r="D7" s="4" t="n">
        <v>40</v>
      </c>
      <c r="E7" s="4" t="n">
        <v>15.25</v>
      </c>
      <c r="F7" s="4" t="n">
        <v>0.75</v>
      </c>
      <c r="G7" s="17" t="n">
        <v>38.12</v>
      </c>
      <c r="H7" s="5" t="n"/>
      <c r="I7" s="5">
        <f>IF(H7=0,"",F7-H7)</f>
        <v/>
      </c>
      <c r="J7" s="4" t="n"/>
      <c r="K7" s="5" t="n">
        <v>0</v>
      </c>
      <c r="L7" s="11">
        <f>IF($B$2="-","",IF($B$2="Pauschale",IFERROR(INDEX('Projekt-Budget-Übersicht'!$H:$H,MATCH(A7,'Projekt-Budget-Übersicht'!$A:$A,0)),""),IF($B$2="SV",IFERROR(INDEX('Projekt-Budget-Übersicht'!$H:$H,MATCH(A7,'Projekt-Budget-Übersicht'!$A:$A,0)),""),IF($B$2="CAD",IFERROR(INDEX('Projekt-Budget-Übersicht'!$I:$I,MATCH(A7,'Projekt-Budget-Übersicht'!$A:$A,0)),""),IF($B$2="ADM",IFERROR(INDEX('Projekt-Budget-Übersicht'!$J:$J,MATCH(A7,'Projekt-Budget-Übersicht'!$A:$A,0)),""),"")))))</f>
        <v/>
      </c>
      <c r="M7" s="11">
        <f>IF($B$2="-","",L7*(F7+I7+K7))</f>
        <v/>
      </c>
      <c r="N7" s="11">
        <f>IFERROR(INDEX('Projekt-Budget-Übersicht'!$E:$E,MATCH(A7,'Projekt-Budget-Übersicht'!$A:$A,0)),"")</f>
        <v/>
      </c>
      <c r="O7" s="11" t="inlineStr"/>
      <c r="P7" s="11" t="inlineStr"/>
    </row>
    <row r="8">
      <c r="A8" s="4" t="inlineStr">
        <is>
          <t>4698.44 BSK-Kleyerstraße-88-90-Frankfurt-Equinix-Fortschreibung-BSK</t>
        </is>
      </c>
      <c r="B8" s="4" t="inlineStr">
        <is>
          <t>5100-Beraten Planer ausführungsreife Lösungen….</t>
        </is>
      </c>
      <c r="C8" s="4" t="inlineStr">
        <is>
          <t>G</t>
        </is>
      </c>
      <c r="D8" s="4" t="n">
        <v>116</v>
      </c>
      <c r="E8" s="4" t="n">
        <v>139.5</v>
      </c>
      <c r="F8" s="4" t="n">
        <v>5</v>
      </c>
      <c r="G8" s="16" t="n">
        <v>120.26</v>
      </c>
      <c r="H8" s="5" t="n"/>
      <c r="I8" s="5">
        <f>IF(H8=0,"",F8-H8)</f>
        <v/>
      </c>
      <c r="J8" s="4" t="n"/>
      <c r="K8" s="5" t="n">
        <v>0</v>
      </c>
      <c r="L8" s="11">
        <f>IF($B$2="-","",IF($B$2="Pauschale",IFERROR(INDEX('Projekt-Budget-Übersicht'!$H:$H,MATCH(A8,'Projekt-Budget-Übersicht'!$A:$A,0)),""),IF($B$2="SV",IFERROR(INDEX('Projekt-Budget-Übersicht'!$H:$H,MATCH(A8,'Projekt-Budget-Übersicht'!$A:$A,0)),""),IF($B$2="CAD",IFERROR(INDEX('Projekt-Budget-Übersicht'!$I:$I,MATCH(A8,'Projekt-Budget-Übersicht'!$A:$A,0)),""),IF($B$2="ADM",IFERROR(INDEX('Projekt-Budget-Übersicht'!$J:$J,MATCH(A8,'Projekt-Budget-Übersicht'!$A:$A,0)),""),"")))))</f>
        <v/>
      </c>
      <c r="M8" s="11">
        <f>IF($B$2="-","",L8*(F8+I8+K8))</f>
        <v/>
      </c>
      <c r="N8" s="11">
        <f>IFERROR(INDEX('Projekt-Budget-Übersicht'!$E:$E,MATCH(A8,'Projekt-Budget-Übersicht'!$A:$A,0)),"")</f>
        <v/>
      </c>
      <c r="O8" s="11" t="inlineStr"/>
      <c r="P8" s="11" t="inlineStr"/>
    </row>
    <row r="9">
      <c r="A9" s="4" t="inlineStr">
        <is>
          <t>5291.01 RNV-BTB-NB-ABZ-Betriebshof-Ludwigshafen</t>
        </is>
      </c>
      <c r="B9" s="4" t="inlineStr">
        <is>
          <t>(p) Pos. 2.1.1.3 - Entwurfsplanung</t>
        </is>
      </c>
      <c r="C9" s="4" t="inlineStr">
        <is>
          <t>G</t>
        </is>
      </c>
      <c r="D9" s="4" t="n">
        <v>28</v>
      </c>
      <c r="E9" s="4" t="n">
        <v>29.75</v>
      </c>
      <c r="F9" s="4" t="n">
        <v>21.5</v>
      </c>
      <c r="G9" s="16" t="n">
        <v>106.25</v>
      </c>
      <c r="H9" s="5" t="n"/>
      <c r="I9" s="5">
        <f>IF(H9=0,"",F9-H9)</f>
        <v/>
      </c>
      <c r="J9" s="4" t="n"/>
      <c r="K9" s="5" t="n">
        <v>0</v>
      </c>
      <c r="L9" s="11">
        <f>IF($B$2="-","",IF($B$2="Pauschale",IFERROR(INDEX('Projekt-Budget-Übersicht'!$H:$H,MATCH(A9,'Projekt-Budget-Übersicht'!$A:$A,0)),""),IF($B$2="SV",IFERROR(INDEX('Projekt-Budget-Übersicht'!$H:$H,MATCH(A9,'Projekt-Budget-Übersicht'!$A:$A,0)),""),IF($B$2="CAD",IFERROR(INDEX('Projekt-Budget-Übersicht'!$I:$I,MATCH(A9,'Projekt-Budget-Übersicht'!$A:$A,0)),""),IF($B$2="ADM",IFERROR(INDEX('Projekt-Budget-Übersicht'!$J:$J,MATCH(A9,'Projekt-Budget-Übersicht'!$A:$A,0)),""),"")))))</f>
        <v/>
      </c>
      <c r="M9" s="11">
        <f>IF($B$2="-","",L9*(F9+I9+K9))</f>
        <v/>
      </c>
      <c r="N9" s="11">
        <f>IFERROR(INDEX('Projekt-Budget-Übersicht'!$E:$E,MATCH(A9,'Projekt-Budget-Übersicht'!$A:$A,0)),"")</f>
        <v/>
      </c>
      <c r="O9" s="11" t="inlineStr"/>
      <c r="P9" s="11" t="inlineStr"/>
    </row>
    <row r="10">
      <c r="A10" s="13" t="inlineStr">
        <is>
          <t>5328 Flugfeldklinikum-Böblingen</t>
        </is>
      </c>
      <c r="B10" s="4" t="inlineStr">
        <is>
          <t>5100-Beraten Planer ausführungsreife Lösungen….</t>
        </is>
      </c>
      <c r="C10" s="4" t="inlineStr">
        <is>
          <t>G</t>
        </is>
      </c>
      <c r="D10" s="4" t="n">
        <v>307.5</v>
      </c>
      <c r="E10" s="4" t="n">
        <v>383.75</v>
      </c>
      <c r="F10" s="4" t="n">
        <v>5.5</v>
      </c>
      <c r="G10" s="16" t="n">
        <v>124.8</v>
      </c>
      <c r="H10" s="5" t="n"/>
      <c r="I10" s="5">
        <f>IF(H10=0,"",F10-H10)</f>
        <v/>
      </c>
      <c r="J10" s="4" t="n"/>
      <c r="K10" s="5">
        <f>IF('E. Bieler'!J11="M. Bandlofsky",'E. Bieler'!I11,0)</f>
        <v/>
      </c>
      <c r="L10" s="11">
        <f>IF($B$2="-","",IF($B$2="Pauschale",IFERROR(INDEX('Projekt-Budget-Übersicht'!$H:$H,MATCH(A10,'Projekt-Budget-Übersicht'!$A:$A,0)),""),IF($B$2="SV",IFERROR(INDEX('Projekt-Budget-Übersicht'!$H:$H,MATCH(A10,'Projekt-Budget-Übersicht'!$A:$A,0)),""),IF($B$2="CAD",IFERROR(INDEX('Projekt-Budget-Übersicht'!$I:$I,MATCH(A10,'Projekt-Budget-Übersicht'!$A:$A,0)),""),IF($B$2="ADM",IFERROR(INDEX('Projekt-Budget-Übersicht'!$J:$J,MATCH(A10,'Projekt-Budget-Übersicht'!$A:$A,0)),""),"")))))</f>
        <v/>
      </c>
      <c r="M10" s="11">
        <f>IF($B$2="-","",L10*(F10+I10+K10))</f>
        <v/>
      </c>
      <c r="N10" s="11">
        <f>IFERROR(INDEX('Projekt-Budget-Übersicht'!$E:$E,MATCH(A10,'Projekt-Budget-Übersicht'!$A:$A,0)),"")</f>
        <v/>
      </c>
      <c r="O10" s="11" t="inlineStr"/>
      <c r="P10" s="11" t="inlineStr"/>
    </row>
    <row r="11">
      <c r="A11" s="15" t="n"/>
      <c r="B11" s="4" t="inlineStr">
        <is>
          <t>5101-Mitwirken Koordination Fachplanung….</t>
        </is>
      </c>
      <c r="C11" s="4" t="inlineStr">
        <is>
          <t>G</t>
        </is>
      </c>
      <c r="D11" s="4" t="n">
        <v>16</v>
      </c>
      <c r="E11" s="4" t="n">
        <v>68.75</v>
      </c>
      <c r="F11" s="4" t="n">
        <v>9.5</v>
      </c>
      <c r="G11" s="16" t="n">
        <v>429.69</v>
      </c>
      <c r="H11" s="5" t="n"/>
      <c r="I11" s="5">
        <f>IF(H11=0,"",F11-H11)</f>
        <v/>
      </c>
      <c r="J11" s="4" t="n"/>
      <c r="K11" s="5">
        <f>IF('C. Trapp SV'!J13="M. Bandlofsky",'C. Trapp SV'!I13,0)</f>
        <v/>
      </c>
      <c r="L11" s="11">
        <f>IF($B$2="-","",IF($B$2="Pauschale",IFERROR(INDEX('Projekt-Budget-Übersicht'!$H:$H,MATCH(A11,'Projekt-Budget-Übersicht'!$A:$A,0)),""),IF($B$2="SV",IFERROR(INDEX('Projekt-Budget-Übersicht'!$H:$H,MATCH(A11,'Projekt-Budget-Übersicht'!$A:$A,0)),""),IF($B$2="CAD",IFERROR(INDEX('Projekt-Budget-Übersicht'!$I:$I,MATCH(A11,'Projekt-Budget-Übersicht'!$A:$A,0)),""),IF($B$2="ADM",IFERROR(INDEX('Projekt-Budget-Übersicht'!$J:$J,MATCH(A11,'Projekt-Budget-Übersicht'!$A:$A,0)),""),"")))))</f>
        <v/>
      </c>
      <c r="M11" s="11">
        <f>IF($B$2="-","",L11*(F11+I11+K11))</f>
        <v/>
      </c>
      <c r="N11" s="11">
        <f>IFERROR(INDEX('Projekt-Budget-Übersicht'!$E:$E,MATCH(A11,'Projekt-Budget-Übersicht'!$A:$A,0)),"")</f>
        <v/>
      </c>
      <c r="O11" s="11" t="inlineStr"/>
      <c r="P11" s="11" t="inlineStr"/>
    </row>
    <row r="12">
      <c r="A12" s="4" t="inlineStr">
        <is>
          <t>6497 SunYardOffice-Heidelberg</t>
        </is>
      </c>
      <c r="B12" s="4" t="inlineStr">
        <is>
          <t>4000-Genehmigungsplanung</t>
        </is>
      </c>
      <c r="C12" s="4" t="inlineStr">
        <is>
          <t>G</t>
        </is>
      </c>
      <c r="D12" s="4" t="n">
        <v>0</v>
      </c>
      <c r="E12" s="4" t="n">
        <v>-19</v>
      </c>
      <c r="F12" s="4" t="n">
        <v>2</v>
      </c>
      <c r="G12" s="4" t="n">
        <v>0</v>
      </c>
      <c r="H12" s="5" t="n"/>
      <c r="I12" s="5">
        <f>IF(H12=0,"",F12-H12)</f>
        <v/>
      </c>
      <c r="J12" s="4" t="n"/>
      <c r="K12" s="5">
        <f>IF('J. Dorn'!J22="M. Bandlofsky",'J. Dorn'!I22,0)</f>
        <v/>
      </c>
      <c r="L12" s="11">
        <f>IF($B$2="-","",IF($B$2="Pauschale",IFERROR(INDEX('Projekt-Budget-Übersicht'!$H:$H,MATCH(A12,'Projekt-Budget-Übersicht'!$A:$A,0)),""),IF($B$2="SV",IFERROR(INDEX('Projekt-Budget-Übersicht'!$H:$H,MATCH(A12,'Projekt-Budget-Übersicht'!$A:$A,0)),""),IF($B$2="CAD",IFERROR(INDEX('Projekt-Budget-Übersicht'!$I:$I,MATCH(A12,'Projekt-Budget-Übersicht'!$A:$A,0)),""),IF($B$2="ADM",IFERROR(INDEX('Projekt-Budget-Übersicht'!$J:$J,MATCH(A12,'Projekt-Budget-Übersicht'!$A:$A,0)),""),"")))))</f>
        <v/>
      </c>
      <c r="M12" s="11">
        <f>IF($B$2="-","",L12*(F12+I12+K12))</f>
        <v/>
      </c>
      <c r="N12" s="11">
        <f>IFERROR(INDEX('Projekt-Budget-Übersicht'!$E:$E,MATCH(A12,'Projekt-Budget-Übersicht'!$A:$A,0)),"")</f>
        <v/>
      </c>
      <c r="O12" s="11" t="inlineStr"/>
      <c r="P12" s="11" t="inlineStr"/>
    </row>
    <row r="13">
      <c r="A13" s="4" t="inlineStr">
        <is>
          <t>7236 Würth - Stundennachweise</t>
        </is>
      </c>
      <c r="B13" s="4" t="inlineStr">
        <is>
          <t>SV</t>
        </is>
      </c>
      <c r="C13" s="4" t="inlineStr">
        <is>
          <t>G</t>
        </is>
      </c>
      <c r="D13" s="4" t="n">
        <v>0</v>
      </c>
      <c r="E13" s="4" t="n">
        <v>119</v>
      </c>
      <c r="F13" s="4" t="n">
        <v>3.5</v>
      </c>
      <c r="G13" s="4" t="n">
        <v>0</v>
      </c>
      <c r="H13" s="5" t="n"/>
      <c r="I13" s="5">
        <f>IF(H13=0,"",F13-H13)</f>
        <v/>
      </c>
      <c r="J13" s="4" t="n"/>
      <c r="K13" s="5">
        <f>IF('E. Bieler'!J24="M. Bandlofsky",'E. Bieler'!I24,0)</f>
        <v/>
      </c>
      <c r="L13" s="11">
        <f>IF($B$2="-","",IF($B$2="Pauschale",IFERROR(INDEX('Projekt-Budget-Übersicht'!$H:$H,MATCH(A13,'Projekt-Budget-Übersicht'!$A:$A,0)),""),IF($B$2="SV",IFERROR(INDEX('Projekt-Budget-Übersicht'!$H:$H,MATCH(A13,'Projekt-Budget-Übersicht'!$A:$A,0)),""),IF($B$2="CAD",IFERROR(INDEX('Projekt-Budget-Übersicht'!$I:$I,MATCH(A13,'Projekt-Budget-Übersicht'!$A:$A,0)),""),IF($B$2="ADM",IFERROR(INDEX('Projekt-Budget-Übersicht'!$J:$J,MATCH(A13,'Projekt-Budget-Übersicht'!$A:$A,0)),""),"")))))</f>
        <v/>
      </c>
      <c r="M13" s="11">
        <f>IF($B$2="-","",L13*(F13+I13+K13))</f>
        <v/>
      </c>
      <c r="N13" s="11">
        <f>IFERROR(INDEX('Projekt-Budget-Übersicht'!$E:$E,MATCH(A13,'Projekt-Budget-Übersicht'!$A:$A,0)),"")</f>
        <v/>
      </c>
      <c r="O13" s="11" t="inlineStr"/>
      <c r="P13" s="11" t="inlineStr"/>
    </row>
    <row r="14">
      <c r="A14" s="4" t="inlineStr">
        <is>
          <t>7426 MPI-BTB-Biophysik-Max-von-Laue-Str3-FFM</t>
        </is>
      </c>
      <c r="B14" s="4" t="inlineStr">
        <is>
          <t>(aN) Pos. 1 Brandschutztechnische Beratung</t>
        </is>
      </c>
      <c r="C14" s="4" t="inlineStr">
        <is>
          <t>G</t>
        </is>
      </c>
      <c r="D14" s="4" t="n">
        <v>26</v>
      </c>
      <c r="E14" s="4" t="n">
        <v>29</v>
      </c>
      <c r="F14" s="4" t="n">
        <v>21.5</v>
      </c>
      <c r="G14" s="16" t="n">
        <v>111.54</v>
      </c>
      <c r="H14" s="5" t="n"/>
      <c r="I14" s="5">
        <f>IF(H14=0,"",F14-H14)</f>
        <v/>
      </c>
      <c r="J14" s="4" t="n"/>
      <c r="K14" s="5">
        <f>IF('E. Bieler'!J34="M. Bandlofsky",'E. Bieler'!I34,0)</f>
        <v/>
      </c>
      <c r="L14" s="11">
        <f>IF($B$2="-","",IF($B$2="Pauschale",IFERROR(INDEX('Projekt-Budget-Übersicht'!$H:$H,MATCH(A14,'Projekt-Budget-Übersicht'!$A:$A,0)),""),IF($B$2="SV",IFERROR(INDEX('Projekt-Budget-Übersicht'!$H:$H,MATCH(A14,'Projekt-Budget-Übersicht'!$A:$A,0)),""),IF($B$2="CAD",IFERROR(INDEX('Projekt-Budget-Übersicht'!$I:$I,MATCH(A14,'Projekt-Budget-Übersicht'!$A:$A,0)),""),IF($B$2="ADM",IFERROR(INDEX('Projekt-Budget-Übersicht'!$J:$J,MATCH(A14,'Projekt-Budget-Übersicht'!$A:$A,0)),""),"")))))</f>
        <v/>
      </c>
      <c r="M14" s="11">
        <f>IF($B$2="-","",L14*(F14+I14+K14))</f>
        <v/>
      </c>
      <c r="N14" s="11">
        <f>IFERROR(INDEX('Projekt-Budget-Übersicht'!$E:$E,MATCH(A14,'Projekt-Budget-Übersicht'!$A:$A,0)),"")</f>
        <v/>
      </c>
      <c r="O14" s="11" t="inlineStr"/>
      <c r="P14" s="11" t="inlineStr"/>
    </row>
    <row r="15">
      <c r="A15" s="13" t="inlineStr">
        <is>
          <t>7437 MVV-BSK-UW3-Käfertal-Mannheim</t>
        </is>
      </c>
      <c r="B15" s="4" t="inlineStr">
        <is>
          <t>Abstimmungstermine</t>
        </is>
      </c>
      <c r="C15" s="4" t="inlineStr">
        <is>
          <t>G</t>
        </is>
      </c>
      <c r="D15" s="4" t="n">
        <v>0</v>
      </c>
      <c r="E15" s="4" t="n">
        <v>0.75</v>
      </c>
      <c r="F15" s="4" t="n">
        <v>0.75</v>
      </c>
      <c r="G15" s="4" t="n">
        <v>0</v>
      </c>
      <c r="H15" s="5" t="n"/>
      <c r="I15" s="5">
        <f>IF(H15=0,"",F15-H15)</f>
        <v/>
      </c>
      <c r="J15" s="4" t="n"/>
      <c r="K15" s="5" t="n">
        <v>0</v>
      </c>
      <c r="L15" s="11">
        <f>IF($B$2="-","",IF($B$2="Pauschale",IFERROR(INDEX('Projekt-Budget-Übersicht'!$H:$H,MATCH(A15,'Projekt-Budget-Übersicht'!$A:$A,0)),""),IF($B$2="SV",IFERROR(INDEX('Projekt-Budget-Übersicht'!$H:$H,MATCH(A15,'Projekt-Budget-Übersicht'!$A:$A,0)),""),IF($B$2="CAD",IFERROR(INDEX('Projekt-Budget-Übersicht'!$I:$I,MATCH(A15,'Projekt-Budget-Übersicht'!$A:$A,0)),""),IF($B$2="ADM",IFERROR(INDEX('Projekt-Budget-Übersicht'!$J:$J,MATCH(A15,'Projekt-Budget-Übersicht'!$A:$A,0)),""),"")))))</f>
        <v/>
      </c>
      <c r="M15" s="11">
        <f>IF($B$2="-","",L15*(F15+I15+K15))</f>
        <v/>
      </c>
      <c r="N15" s="11">
        <f>IFERROR(INDEX('Projekt-Budget-Übersicht'!$E:$E,MATCH(A15,'Projekt-Budget-Übersicht'!$A:$A,0)),"")</f>
        <v/>
      </c>
      <c r="O15" s="11" t="inlineStr"/>
      <c r="P15" s="11" t="inlineStr"/>
    </row>
    <row r="16">
      <c r="A16" s="15" t="n"/>
      <c r="B16" s="4" t="inlineStr">
        <is>
          <t>Erarbeiten des Brandschutzkonzept/Nachweis/Stellungnahme</t>
        </is>
      </c>
      <c r="C16" s="4" t="inlineStr">
        <is>
          <t>G</t>
        </is>
      </c>
      <c r="D16" s="4" t="n">
        <v>31</v>
      </c>
      <c r="E16" s="4" t="n">
        <v>35.25</v>
      </c>
      <c r="F16" s="4" t="n">
        <v>31.25</v>
      </c>
      <c r="G16" s="16" t="n">
        <v>113.71</v>
      </c>
      <c r="H16" s="5" t="n"/>
      <c r="I16" s="5">
        <f>IF(H16=0,"",F16-H16)</f>
        <v/>
      </c>
      <c r="J16" s="4" t="n"/>
      <c r="K16" s="5">
        <f>IF('E. Bieler'!J36="M. Bandlofsky",'E. Bieler'!I36,0)+IF('J. Dorn'!J35="M. Bandlofsky",'J. Dorn'!I35,0)</f>
        <v/>
      </c>
      <c r="L16" s="11">
        <f>IF($B$2="-","",IF($B$2="Pauschale",IFERROR(INDEX('Projekt-Budget-Übersicht'!$H:$H,MATCH(A16,'Projekt-Budget-Übersicht'!$A:$A,0)),""),IF($B$2="SV",IFERROR(INDEX('Projekt-Budget-Übersicht'!$H:$H,MATCH(A16,'Projekt-Budget-Übersicht'!$A:$A,0)),""),IF($B$2="CAD",IFERROR(INDEX('Projekt-Budget-Übersicht'!$I:$I,MATCH(A16,'Projekt-Budget-Übersicht'!$A:$A,0)),""),IF($B$2="ADM",IFERROR(INDEX('Projekt-Budget-Übersicht'!$J:$J,MATCH(A16,'Projekt-Budget-Übersicht'!$A:$A,0)),""),"")))))</f>
        <v/>
      </c>
      <c r="M16" s="11">
        <f>IF($B$2="-","",L16*(F16+I16+K16))</f>
        <v/>
      </c>
      <c r="N16" s="11">
        <f>IFERROR(INDEX('Projekt-Budget-Übersicht'!$E:$E,MATCH(A16,'Projekt-Budget-Übersicht'!$A:$A,0)),"")</f>
        <v/>
      </c>
      <c r="O16" s="11" t="inlineStr"/>
      <c r="P16" s="11" t="inlineStr"/>
    </row>
    <row r="17">
      <c r="A17" s="4" t="inlineStr">
        <is>
          <t>7459 Baupionier-BTB-Prüfung-Details-Garagenparks</t>
        </is>
      </c>
      <c r="B17" s="4" t="inlineStr">
        <is>
          <t>3100-Erarbeiten des Brandschutzkonzept/Nachweis/Stellungnahme</t>
        </is>
      </c>
      <c r="C17" s="4" t="inlineStr">
        <is>
          <t>G</t>
        </is>
      </c>
      <c r="D17" s="4" t="n">
        <v>14</v>
      </c>
      <c r="E17" s="4" t="n">
        <v>15.5</v>
      </c>
      <c r="F17" s="4" t="n">
        <v>14.5</v>
      </c>
      <c r="G17" s="16" t="n">
        <v>110.71</v>
      </c>
      <c r="H17" s="5" t="n"/>
      <c r="I17" s="5">
        <f>IF(H17=0,"",F17-H17)</f>
        <v/>
      </c>
      <c r="J17" s="4" t="n"/>
      <c r="K17" s="5">
        <f>IF('A. Kokott'!J30="M. Bandlofsky",'A. Kokott'!I30,0)+IF('E. Bieler'!J38="M. Bandlofsky",'E. Bieler'!I38,0)</f>
        <v/>
      </c>
      <c r="L17" s="11">
        <f>IF($B$2="-","",IF($B$2="Pauschale",IFERROR(INDEX('Projekt-Budget-Übersicht'!$H:$H,MATCH(A17,'Projekt-Budget-Übersicht'!$A:$A,0)),""),IF($B$2="SV",IFERROR(INDEX('Projekt-Budget-Übersicht'!$H:$H,MATCH(A17,'Projekt-Budget-Übersicht'!$A:$A,0)),""),IF($B$2="CAD",IFERROR(INDEX('Projekt-Budget-Übersicht'!$I:$I,MATCH(A17,'Projekt-Budget-Übersicht'!$A:$A,0)),""),IF($B$2="ADM",IFERROR(INDEX('Projekt-Budget-Übersicht'!$J:$J,MATCH(A17,'Projekt-Budget-Übersicht'!$A:$A,0)),""),"")))))</f>
        <v/>
      </c>
      <c r="M17" s="11">
        <f>IF($B$2="-","",L17*(F17+I17+K17))</f>
        <v/>
      </c>
      <c r="N17" s="11">
        <f>IFERROR(INDEX('Projekt-Budget-Übersicht'!$E:$E,MATCH(A17,'Projekt-Budget-Übersicht'!$A:$A,0)),"")</f>
        <v/>
      </c>
      <c r="O17" s="11" t="inlineStr"/>
      <c r="P17" s="11" t="inlineStr"/>
    </row>
    <row r="18">
      <c r="A18" s="3" t="inlineStr"/>
      <c r="B18" s="3" t="inlineStr">
        <is>
          <t>Summe</t>
        </is>
      </c>
      <c r="C18" s="3" t="inlineStr"/>
      <c r="D18" s="3" t="inlineStr"/>
      <c r="E18" s="3" t="inlineStr"/>
      <c r="F18" s="6" t="n">
        <v>116.75</v>
      </c>
      <c r="G18" s="3" t="inlineStr"/>
      <c r="H18" s="3" t="inlineStr"/>
      <c r="I18" s="3" t="inlineStr"/>
      <c r="J18" s="3" t="inlineStr"/>
      <c r="K18" s="3" t="inlineStr"/>
      <c r="L18" s="3" t="n"/>
      <c r="M18" s="3" t="n"/>
      <c r="N18" s="3" t="n"/>
      <c r="O18" s="3" t="n"/>
      <c r="P18" s="3" t="n"/>
    </row>
    <row r="19">
      <c r="A19" s="3" t="inlineStr"/>
      <c r="B19" s="3" t="inlineStr">
        <is>
          <t>Bonusberechtigte Stunden</t>
        </is>
      </c>
      <c r="C19" s="3" t="inlineStr"/>
      <c r="D19" s="3" t="inlineStr"/>
      <c r="E19" s="3" t="inlineStr"/>
      <c r="F19" s="6">
        <f>G19+H19</f>
        <v/>
      </c>
      <c r="G19" s="6" t="n">
        <v>7</v>
      </c>
      <c r="H19" s="6">
        <f>SUM(H7,H8,H9,H10,H11,H12,H13,H14,H15,H16,H17)</f>
        <v/>
      </c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</row>
    <row r="20">
      <c r="A20" s="3" t="inlineStr"/>
      <c r="B20" s="3" t="inlineStr">
        <is>
          <t>Bonusberechtigte Stunden Sonderprojekt</t>
        </is>
      </c>
      <c r="C20" s="3" t="inlineStr"/>
      <c r="D20" s="3" t="inlineStr"/>
      <c r="E20" s="3" t="inlineStr"/>
      <c r="F20" s="6">
        <f>G20+H20</f>
        <v/>
      </c>
      <c r="G20" s="6" t="n">
        <v>1</v>
      </c>
      <c r="H20" s="6">
        <f>SUM(H6)</f>
        <v/>
      </c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</row>
    <row r="21">
      <c r="A21" s="3" t="inlineStr"/>
      <c r="B21" s="3" t="inlineStr">
        <is>
          <t>Zugeordnete Stunden von anderen MA</t>
        </is>
      </c>
      <c r="C21" s="3" t="inlineStr"/>
      <c r="D21" s="3" t="inlineStr"/>
      <c r="E21" s="3" t="inlineStr"/>
      <c r="F21" s="6">
        <f>SUM(K6:K17)</f>
        <v/>
      </c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</row>
    <row r="22">
      <c r="A22" s="18" t="inlineStr"/>
      <c r="B22" s="18" t="inlineStr">
        <is>
          <t>Gesamt Bonus Stunden</t>
        </is>
      </c>
      <c r="C22" s="18" t="inlineStr"/>
      <c r="D22" s="18" t="inlineStr"/>
      <c r="E22" s="18" t="inlineStr"/>
      <c r="F22" s="19">
        <f>F19+F20+F21</f>
        <v/>
      </c>
      <c r="G22" s="18" t="inlineStr"/>
      <c r="H22" s="18" t="inlineStr"/>
      <c r="I22" s="18" t="inlineStr"/>
      <c r="J22" s="18" t="inlineStr"/>
      <c r="K22" s="18" t="inlineStr"/>
      <c r="L22" s="18" t="n"/>
      <c r="M22" s="18" t="n"/>
      <c r="N22" s="18" t="n"/>
      <c r="O22" s="18" t="n"/>
      <c r="P22" s="18" t="n"/>
    </row>
    <row r="24">
      <c r="A24" s="2" t="inlineStr">
        <is>
          <t>--- August 2025 ---</t>
        </is>
      </c>
    </row>
    <row r="25">
      <c r="A25" s="3" t="inlineStr">
        <is>
          <t>Projekt</t>
        </is>
      </c>
      <c r="B25" s="3" t="inlineStr">
        <is>
          <t>Meilenstein</t>
        </is>
      </c>
      <c r="C25" s="3" t="inlineStr">
        <is>
          <t>Typ</t>
        </is>
      </c>
      <c r="D25" s="3" t="inlineStr">
        <is>
          <t>Soll (h)</t>
        </is>
      </c>
      <c r="E25" s="3" t="inlineStr">
        <is>
          <t>Ist (h)</t>
        </is>
      </c>
      <c r="F25" s="3" t="inlineStr">
        <is>
          <t>August 2025 (h)</t>
        </is>
      </c>
      <c r="G25" s="3" t="inlineStr">
        <is>
          <t>%</t>
        </is>
      </c>
      <c r="H25" s="3" t="inlineStr">
        <is>
          <t>Bonus-Anpassung (h)</t>
        </is>
      </c>
      <c r="I25" s="3" t="inlineStr">
        <is>
          <t>Differenz (h)</t>
        </is>
      </c>
      <c r="J25" s="3" t="inlineStr">
        <is>
          <t>Zuordnen an</t>
        </is>
      </c>
      <c r="K25" s="3" t="inlineStr">
        <is>
          <t>Von anderen (h)</t>
        </is>
      </c>
      <c r="L25" s="3" t="inlineStr">
        <is>
          <t>Stundensatz (€/h)</t>
        </is>
      </c>
      <c r="M25" s="3" t="inlineStr">
        <is>
          <t>Umsatz (€)</t>
        </is>
      </c>
      <c r="N25" s="3" t="inlineStr">
        <is>
          <t>Budget Gesamt (€)</t>
        </is>
      </c>
      <c r="O25" s="3" t="inlineStr">
        <is>
          <t>Budget Ist (€)</t>
        </is>
      </c>
      <c r="P25" s="3" t="inlineStr">
        <is>
          <t>Budget Erwirtschaftet (€)</t>
        </is>
      </c>
    </row>
    <row r="26">
      <c r="A26" s="4" t="inlineStr">
        <is>
          <t>0000 Sonderprojekt für Bonus</t>
        </is>
      </c>
      <c r="B26" s="4" t="inlineStr">
        <is>
          <t>Einarbeitung neuer Mitarbeiter (max. 8h/Monat pro MA)</t>
        </is>
      </c>
      <c r="C26" s="4" t="inlineStr">
        <is>
          <t>M</t>
        </is>
      </c>
      <c r="D26" s="4" t="n">
        <v>8</v>
      </c>
      <c r="E26" s="4" t="n">
        <v>3.5</v>
      </c>
      <c r="F26" s="4" t="n">
        <v>3.5</v>
      </c>
      <c r="G26" s="17" t="n">
        <v>43.75</v>
      </c>
      <c r="H26" s="5" t="n"/>
      <c r="I26" s="5">
        <f>IF(H26=0,"",F26-H26)</f>
        <v/>
      </c>
      <c r="J26" s="4" t="n"/>
      <c r="K26" s="5">
        <f>IF('A. Kokott'!J40="M. Bandlofsky",'A. Kokott'!I40,0)+IF('O. Haag BS-CAD'!J52="M. Bandlofsky",'O. Haag BS-CAD'!I52,0)+IF('P. Bergner'!J22="M. Bandlofsky",'P. Bergner'!I22,0)+IF('R. Wagen CAD'!J31="M. Bandlofsky",'R. Wagen CAD'!I31,0)+IF('T. Trautmann'!J29="M. Bandlofsky",'T. Trautmann'!I29,0)+IF('U. Sutter ADM'!J29="M. Bandlofsky",'U. Sutter ADM'!I29,0)</f>
        <v/>
      </c>
      <c r="L26" s="11">
        <f>IF($B$2="-","",IF($B$2="Pauschale",IFERROR(INDEX('Projekt-Budget-Übersicht'!$H:$H,MATCH(A26,'Projekt-Budget-Übersicht'!$A:$A,0)),""),IF($B$2="SV",IFERROR(INDEX('Projekt-Budget-Übersicht'!$H:$H,MATCH(A26,'Projekt-Budget-Übersicht'!$A:$A,0)),""),IF($B$2="CAD",IFERROR(INDEX('Projekt-Budget-Übersicht'!$I:$I,MATCH(A26,'Projekt-Budget-Übersicht'!$A:$A,0)),""),IF($B$2="ADM",IFERROR(INDEX('Projekt-Budget-Übersicht'!$J:$J,MATCH(A26,'Projekt-Budget-Übersicht'!$A:$A,0)),""),"")))))</f>
        <v/>
      </c>
      <c r="M26" s="11">
        <f>IF($B$2="-","",L26*(F26+I26+K26))</f>
        <v/>
      </c>
      <c r="N26" s="11">
        <f>IFERROR(INDEX('Projekt-Budget-Übersicht'!$E:$E,MATCH(A26,'Projekt-Budget-Übersicht'!$A:$A,0)),"")</f>
        <v/>
      </c>
      <c r="O26" s="11" t="inlineStr"/>
      <c r="P26" s="11" t="inlineStr"/>
    </row>
    <row r="27">
      <c r="A27" s="4" t="inlineStr">
        <is>
          <t>0815.10 MPI-Fortschr-BSK-Z-HIRN-Umbau-Tierhaus-Max-von-Laue-Str4-FFM</t>
        </is>
      </c>
      <c r="B27" s="4" t="inlineStr">
        <is>
          <t>SV</t>
        </is>
      </c>
      <c r="C27" s="4" t="inlineStr">
        <is>
          <t>G</t>
        </is>
      </c>
      <c r="D27" s="4" t="n">
        <v>20</v>
      </c>
      <c r="E27" s="4" t="n">
        <v>18.25</v>
      </c>
      <c r="F27" s="4" t="n">
        <v>0.25</v>
      </c>
      <c r="G27" s="14" t="n">
        <v>91.25</v>
      </c>
      <c r="H27" s="5" t="n"/>
      <c r="I27" s="5">
        <f>IF(H27=0,"",F27-H27)</f>
        <v/>
      </c>
      <c r="J27" s="4" t="n"/>
      <c r="K27" s="5" t="n">
        <v>0</v>
      </c>
      <c r="L27" s="11">
        <f>IF($B$2="-","",IF($B$2="Pauschale",IFERROR(INDEX('Projekt-Budget-Übersicht'!$H:$H,MATCH(A27,'Projekt-Budget-Übersicht'!$A:$A,0)),""),IF($B$2="SV",IFERROR(INDEX('Projekt-Budget-Übersicht'!$H:$H,MATCH(A27,'Projekt-Budget-Übersicht'!$A:$A,0)),""),IF($B$2="CAD",IFERROR(INDEX('Projekt-Budget-Übersicht'!$I:$I,MATCH(A27,'Projekt-Budget-Übersicht'!$A:$A,0)),""),IF($B$2="ADM",IFERROR(INDEX('Projekt-Budget-Übersicht'!$J:$J,MATCH(A27,'Projekt-Budget-Übersicht'!$A:$A,0)),""),"")))))</f>
        <v/>
      </c>
      <c r="M27" s="11">
        <f>IF($B$2="-","",L27*(F27+I27+K27))</f>
        <v/>
      </c>
      <c r="N27" s="11">
        <f>IFERROR(INDEX('Projekt-Budget-Übersicht'!$E:$E,MATCH(A27,'Projekt-Budget-Übersicht'!$A:$A,0)),"")</f>
        <v/>
      </c>
      <c r="O27" s="11" t="inlineStr"/>
      <c r="P27" s="11" t="inlineStr"/>
    </row>
    <row r="28">
      <c r="A28" s="13" t="inlineStr">
        <is>
          <t>5291.01 RNV-BTB-NB-ABZ-Betriebshof-Ludwigshafen</t>
        </is>
      </c>
      <c r="B28" s="4" t="inlineStr">
        <is>
          <t>(p) Pos. 2.1.1.3 - Entwurfsplanung</t>
        </is>
      </c>
      <c r="C28" s="4" t="inlineStr">
        <is>
          <t>G</t>
        </is>
      </c>
      <c r="D28" s="4" t="n">
        <v>28</v>
      </c>
      <c r="E28" s="4" t="n">
        <v>31.75</v>
      </c>
      <c r="F28" s="4" t="n">
        <v>2</v>
      </c>
      <c r="G28" s="16" t="n">
        <v>113.39</v>
      </c>
      <c r="H28" s="5" t="n"/>
      <c r="I28" s="5">
        <f>IF(H28=0,"",F28-H28)</f>
        <v/>
      </c>
      <c r="J28" s="4" t="n"/>
      <c r="K28" s="5" t="n">
        <v>0</v>
      </c>
      <c r="L28" s="11">
        <f>IF($B$2="-","",IF($B$2="Pauschale",IFERROR(INDEX('Projekt-Budget-Übersicht'!$H:$H,MATCH(A28,'Projekt-Budget-Übersicht'!$A:$A,0)),""),IF($B$2="SV",IFERROR(INDEX('Projekt-Budget-Übersicht'!$H:$H,MATCH(A28,'Projekt-Budget-Übersicht'!$A:$A,0)),""),IF($B$2="CAD",IFERROR(INDEX('Projekt-Budget-Übersicht'!$I:$I,MATCH(A28,'Projekt-Budget-Übersicht'!$A:$A,0)),""),IF($B$2="ADM",IFERROR(INDEX('Projekt-Budget-Übersicht'!$J:$J,MATCH(A28,'Projekt-Budget-Übersicht'!$A:$A,0)),""),"")))))</f>
        <v/>
      </c>
      <c r="M28" s="11">
        <f>IF($B$2="-","",L28*(F28+I28+K28))</f>
        <v/>
      </c>
      <c r="N28" s="11">
        <f>IFERROR(INDEX('Projekt-Budget-Übersicht'!$E:$E,MATCH(A28,'Projekt-Budget-Übersicht'!$A:$A,0)),"")</f>
        <v/>
      </c>
      <c r="O28" s="11" t="inlineStr"/>
      <c r="P28" s="11" t="inlineStr"/>
    </row>
    <row r="29">
      <c r="A29" s="15" t="n"/>
      <c r="B29" s="4" t="inlineStr">
        <is>
          <t>SV</t>
        </is>
      </c>
      <c r="C29" s="4" t="inlineStr">
        <is>
          <t>G</t>
        </is>
      </c>
      <c r="D29" s="4" t="n">
        <v>0</v>
      </c>
      <c r="E29" s="4" t="n">
        <v>-3.5</v>
      </c>
      <c r="F29" s="4" t="n">
        <v>6</v>
      </c>
      <c r="G29" s="4" t="n">
        <v>0</v>
      </c>
      <c r="H29" s="5" t="n"/>
      <c r="I29" s="5">
        <f>IF(H29=0,"",F29-H29)</f>
        <v/>
      </c>
      <c r="J29" s="4" t="n"/>
      <c r="K29" s="5" t="n">
        <v>0</v>
      </c>
      <c r="L29" s="11">
        <f>IF($B$2="-","",IF($B$2="Pauschale",IFERROR(INDEX('Projekt-Budget-Übersicht'!$H:$H,MATCH(A29,'Projekt-Budget-Übersicht'!$A:$A,0)),""),IF($B$2="SV",IFERROR(INDEX('Projekt-Budget-Übersicht'!$H:$H,MATCH(A29,'Projekt-Budget-Übersicht'!$A:$A,0)),""),IF($B$2="CAD",IFERROR(INDEX('Projekt-Budget-Übersicht'!$I:$I,MATCH(A29,'Projekt-Budget-Übersicht'!$A:$A,0)),""),IF($B$2="ADM",IFERROR(INDEX('Projekt-Budget-Übersicht'!$J:$J,MATCH(A29,'Projekt-Budget-Übersicht'!$A:$A,0)),""),"")))))</f>
        <v/>
      </c>
      <c r="M29" s="11">
        <f>IF($B$2="-","",L29*(F29+I29+K29))</f>
        <v/>
      </c>
      <c r="N29" s="11">
        <f>IFERROR(INDEX('Projekt-Budget-Übersicht'!$E:$E,MATCH(A29,'Projekt-Budget-Übersicht'!$A:$A,0)),"")</f>
        <v/>
      </c>
      <c r="O29" s="11" t="inlineStr"/>
      <c r="P29" s="11" t="inlineStr"/>
    </row>
    <row r="30">
      <c r="A30" s="13" t="inlineStr">
        <is>
          <t>5328 Flugfeldklinikum-Böblingen</t>
        </is>
      </c>
      <c r="B30" s="4" t="inlineStr">
        <is>
          <t>4200-Überprüfen der Bauvorlagen….</t>
        </is>
      </c>
      <c r="C30" s="4" t="inlineStr">
        <is>
          <t>G</t>
        </is>
      </c>
      <c r="D30" s="4" t="n">
        <v>46.5</v>
      </c>
      <c r="E30" s="4" t="n">
        <v>8</v>
      </c>
      <c r="F30" s="4" t="n">
        <v>1</v>
      </c>
      <c r="G30" s="17" t="n">
        <v>17.2</v>
      </c>
      <c r="H30" s="5" t="n"/>
      <c r="I30" s="5">
        <f>IF(H30=0,"",F30-H30)</f>
        <v/>
      </c>
      <c r="J30" s="4" t="n"/>
      <c r="K30" s="5" t="n">
        <v>0</v>
      </c>
      <c r="L30" s="11">
        <f>IF($B$2="-","",IF($B$2="Pauschale",IFERROR(INDEX('Projekt-Budget-Übersicht'!$H:$H,MATCH(A30,'Projekt-Budget-Übersicht'!$A:$A,0)),""),IF($B$2="SV",IFERROR(INDEX('Projekt-Budget-Übersicht'!$H:$H,MATCH(A30,'Projekt-Budget-Übersicht'!$A:$A,0)),""),IF($B$2="CAD",IFERROR(INDEX('Projekt-Budget-Übersicht'!$I:$I,MATCH(A30,'Projekt-Budget-Übersicht'!$A:$A,0)),""),IF($B$2="ADM",IFERROR(INDEX('Projekt-Budget-Übersicht'!$J:$J,MATCH(A30,'Projekt-Budget-Übersicht'!$A:$A,0)),""),"")))))</f>
        <v/>
      </c>
      <c r="M30" s="11">
        <f>IF($B$2="-","",L30*(F30+I30+K30))</f>
        <v/>
      </c>
      <c r="N30" s="11">
        <f>IFERROR(INDEX('Projekt-Budget-Übersicht'!$E:$E,MATCH(A30,'Projekt-Budget-Übersicht'!$A:$A,0)),"")</f>
        <v/>
      </c>
      <c r="O30" s="11" t="inlineStr"/>
      <c r="P30" s="11" t="inlineStr"/>
    </row>
    <row r="31">
      <c r="A31" s="21" t="n"/>
      <c r="B31" s="4" t="inlineStr">
        <is>
          <t>5100-Beraten Planer ausführungsreife Lösungen….</t>
        </is>
      </c>
      <c r="C31" s="4" t="inlineStr">
        <is>
          <t>G</t>
        </is>
      </c>
      <c r="D31" s="4" t="n">
        <v>307.5</v>
      </c>
      <c r="E31" s="4" t="n">
        <v>390.25</v>
      </c>
      <c r="F31" s="4" t="n">
        <v>3</v>
      </c>
      <c r="G31" s="16" t="n">
        <v>126.91</v>
      </c>
      <c r="H31" s="5" t="n"/>
      <c r="I31" s="5">
        <f>IF(H31=0,"",F31-H31)</f>
        <v/>
      </c>
      <c r="J31" s="4" t="n"/>
      <c r="K31" s="5">
        <f>IF('C. Trapp SV'!J35="M. Bandlofsky",'C. Trapp SV'!I35,0)+IF('E. Bieler'!J50="M. Bandlofsky",'E. Bieler'!I50,0)</f>
        <v/>
      </c>
      <c r="L31" s="11">
        <f>IF($B$2="-","",IF($B$2="Pauschale",IFERROR(INDEX('Projekt-Budget-Übersicht'!$H:$H,MATCH(A31,'Projekt-Budget-Übersicht'!$A:$A,0)),""),IF($B$2="SV",IFERROR(INDEX('Projekt-Budget-Übersicht'!$H:$H,MATCH(A31,'Projekt-Budget-Übersicht'!$A:$A,0)),""),IF($B$2="CAD",IFERROR(INDEX('Projekt-Budget-Übersicht'!$I:$I,MATCH(A31,'Projekt-Budget-Übersicht'!$A:$A,0)),""),IF($B$2="ADM",IFERROR(INDEX('Projekt-Budget-Übersicht'!$J:$J,MATCH(A31,'Projekt-Budget-Übersicht'!$A:$A,0)),""),"")))))</f>
        <v/>
      </c>
      <c r="M31" s="11">
        <f>IF($B$2="-","",L31*(F31+I31+K31))</f>
        <v/>
      </c>
      <c r="N31" s="11">
        <f>IFERROR(INDEX('Projekt-Budget-Übersicht'!$E:$E,MATCH(A31,'Projekt-Budget-Übersicht'!$A:$A,0)),"")</f>
        <v/>
      </c>
      <c r="O31" s="11" t="inlineStr"/>
      <c r="P31" s="11" t="inlineStr"/>
    </row>
    <row r="32">
      <c r="A32" s="21" t="n"/>
      <c r="B32" s="4" t="inlineStr">
        <is>
          <t>5101-Mitwirken Koordination Fachplanung….</t>
        </is>
      </c>
      <c r="C32" s="4" t="inlineStr">
        <is>
          <t>G</t>
        </is>
      </c>
      <c r="D32" s="4" t="n">
        <v>16</v>
      </c>
      <c r="E32" s="4" t="n">
        <v>74.25</v>
      </c>
      <c r="F32" s="4" t="n">
        <v>4.75</v>
      </c>
      <c r="G32" s="16" t="n">
        <v>464.06</v>
      </c>
      <c r="H32" s="5" t="n"/>
      <c r="I32" s="5">
        <f>IF(H32=0,"",F32-H32)</f>
        <v/>
      </c>
      <c r="J32" s="4" t="n"/>
      <c r="K32" s="5">
        <f>IF('U. Sutter ADM'!J35="M. Bandlofsky",'U. Sutter ADM'!I35,0)</f>
        <v/>
      </c>
      <c r="L32" s="11">
        <f>IF($B$2="-","",IF($B$2="Pauschale",IFERROR(INDEX('Projekt-Budget-Übersicht'!$H:$H,MATCH(A32,'Projekt-Budget-Übersicht'!$A:$A,0)),""),IF($B$2="SV",IFERROR(INDEX('Projekt-Budget-Übersicht'!$H:$H,MATCH(A32,'Projekt-Budget-Übersicht'!$A:$A,0)),""),IF($B$2="CAD",IFERROR(INDEX('Projekt-Budget-Übersicht'!$I:$I,MATCH(A32,'Projekt-Budget-Übersicht'!$A:$A,0)),""),IF($B$2="ADM",IFERROR(INDEX('Projekt-Budget-Übersicht'!$J:$J,MATCH(A32,'Projekt-Budget-Übersicht'!$A:$A,0)),""),"")))))</f>
        <v/>
      </c>
      <c r="M32" s="11">
        <f>IF($B$2="-","",L32*(F32+I32+K32))</f>
        <v/>
      </c>
      <c r="N32" s="11">
        <f>IFERROR(INDEX('Projekt-Budget-Übersicht'!$E:$E,MATCH(A32,'Projekt-Budget-Übersicht'!$A:$A,0)),"")</f>
        <v/>
      </c>
      <c r="O32" s="11" t="inlineStr"/>
      <c r="P32" s="11" t="inlineStr"/>
    </row>
    <row r="33">
      <c r="A33" s="15" t="n"/>
      <c r="B33" s="4" t="inlineStr">
        <is>
          <t>5207-Planung Ausstattung Feuerlöscher....</t>
        </is>
      </c>
      <c r="C33" s="4" t="inlineStr">
        <is>
          <t>G</t>
        </is>
      </c>
      <c r="D33" s="4" t="n">
        <v>40</v>
      </c>
      <c r="E33" s="4" t="n">
        <v>68.5</v>
      </c>
      <c r="F33" s="4" t="n">
        <v>9.5</v>
      </c>
      <c r="G33" s="16" t="n">
        <v>171.25</v>
      </c>
      <c r="H33" s="5" t="n"/>
      <c r="I33" s="5">
        <f>IF(H33=0,"",F33-H33)</f>
        <v/>
      </c>
      <c r="J33" s="4" t="n"/>
      <c r="K33" s="5" t="n">
        <v>0</v>
      </c>
      <c r="L33" s="11">
        <f>IF($B$2="-","",IF($B$2="Pauschale",IFERROR(INDEX('Projekt-Budget-Übersicht'!$H:$H,MATCH(A33,'Projekt-Budget-Übersicht'!$A:$A,0)),""),IF($B$2="SV",IFERROR(INDEX('Projekt-Budget-Übersicht'!$H:$H,MATCH(A33,'Projekt-Budget-Übersicht'!$A:$A,0)),""),IF($B$2="CAD",IFERROR(INDEX('Projekt-Budget-Übersicht'!$I:$I,MATCH(A33,'Projekt-Budget-Übersicht'!$A:$A,0)),""),IF($B$2="ADM",IFERROR(INDEX('Projekt-Budget-Übersicht'!$J:$J,MATCH(A33,'Projekt-Budget-Übersicht'!$A:$A,0)),""),"")))))</f>
        <v/>
      </c>
      <c r="M33" s="11">
        <f>IF($B$2="-","",L33*(F33+I33+K33))</f>
        <v/>
      </c>
      <c r="N33" s="11">
        <f>IFERROR(INDEX('Projekt-Budget-Übersicht'!$E:$E,MATCH(A33,'Projekt-Budget-Übersicht'!$A:$A,0)),"")</f>
        <v/>
      </c>
      <c r="O33" s="11" t="inlineStr"/>
      <c r="P33" s="11" t="inlineStr"/>
    </row>
    <row r="34">
      <c r="A34" s="4" t="inlineStr">
        <is>
          <t>5395.04 Burkhardt-Witteler-BSK-Gesundheitszentrum-Industriestr17-Ladenburg</t>
        </is>
      </c>
      <c r="B34" s="4" t="inlineStr">
        <is>
          <t>SV</t>
        </is>
      </c>
      <c r="C34" s="4" t="inlineStr">
        <is>
          <t>G</t>
        </is>
      </c>
      <c r="D34" s="4" t="n">
        <v>30</v>
      </c>
      <c r="E34" s="4" t="n">
        <v>29</v>
      </c>
      <c r="F34" s="4" t="n">
        <v>27</v>
      </c>
      <c r="G34" s="14" t="n">
        <v>96.67</v>
      </c>
      <c r="H34" s="5" t="n"/>
      <c r="I34" s="5">
        <f>IF(H34=0,"",F34-H34)</f>
        <v/>
      </c>
      <c r="J34" s="4" t="n"/>
      <c r="K34" s="5">
        <f>IF('P. Bergner'!J25="M. Bandlofsky",'P. Bergner'!I25,0)</f>
        <v/>
      </c>
      <c r="L34" s="11">
        <f>IF($B$2="-","",IF($B$2="Pauschale",IFERROR(INDEX('Projekt-Budget-Übersicht'!$H:$H,MATCH(A34,'Projekt-Budget-Übersicht'!$A:$A,0)),""),IF($B$2="SV",IFERROR(INDEX('Projekt-Budget-Übersicht'!$H:$H,MATCH(A34,'Projekt-Budget-Übersicht'!$A:$A,0)),""),IF($B$2="CAD",IFERROR(INDEX('Projekt-Budget-Übersicht'!$I:$I,MATCH(A34,'Projekt-Budget-Übersicht'!$A:$A,0)),""),IF($B$2="ADM",IFERROR(INDEX('Projekt-Budget-Übersicht'!$J:$J,MATCH(A34,'Projekt-Budget-Übersicht'!$A:$A,0)),""),"")))))</f>
        <v/>
      </c>
      <c r="M34" s="11">
        <f>IF($B$2="-","",L34*(F34+I34+K34))</f>
        <v/>
      </c>
      <c r="N34" s="11">
        <f>IFERROR(INDEX('Projekt-Budget-Übersicht'!$E:$E,MATCH(A34,'Projekt-Budget-Übersicht'!$A:$A,0)),"")</f>
        <v/>
      </c>
      <c r="O34" s="11" t="inlineStr"/>
      <c r="P34" s="11" t="inlineStr"/>
    </row>
    <row r="35">
      <c r="A35" s="4" t="inlineStr">
        <is>
          <t>7426 MPI-BTB-Biophysik-Max-von-Laue-Str3-FFM</t>
        </is>
      </c>
      <c r="B35" s="4" t="inlineStr">
        <is>
          <t>(aN) Pos. 1 Brandschutztechnische Beratung</t>
        </is>
      </c>
      <c r="C35" s="4" t="inlineStr">
        <is>
          <t>G</t>
        </is>
      </c>
      <c r="D35" s="4" t="n">
        <v>26</v>
      </c>
      <c r="E35" s="4" t="n">
        <v>41.25</v>
      </c>
      <c r="F35" s="4" t="n">
        <v>9</v>
      </c>
      <c r="G35" s="16" t="n">
        <v>158.65</v>
      </c>
      <c r="H35" s="5" t="n"/>
      <c r="I35" s="5">
        <f>IF(H35=0,"",F35-H35)</f>
        <v/>
      </c>
      <c r="J35" s="4" t="n"/>
      <c r="K35" s="5">
        <f>IF('J. Dorchies'!J23="M. Bandlofsky",'J. Dorchies'!I23,0)+IF('T. Trautmann'!J61="M. Bandlofsky",'T. Trautmann'!I61,0)</f>
        <v/>
      </c>
      <c r="L35" s="11">
        <f>IF($B$2="-","",IF($B$2="Pauschale",IFERROR(INDEX('Projekt-Budget-Übersicht'!$H:$H,MATCH(A35,'Projekt-Budget-Übersicht'!$A:$A,0)),""),IF($B$2="SV",IFERROR(INDEX('Projekt-Budget-Übersicht'!$H:$H,MATCH(A35,'Projekt-Budget-Übersicht'!$A:$A,0)),""),IF($B$2="CAD",IFERROR(INDEX('Projekt-Budget-Übersicht'!$I:$I,MATCH(A35,'Projekt-Budget-Übersicht'!$A:$A,0)),""),IF($B$2="ADM",IFERROR(INDEX('Projekt-Budget-Übersicht'!$J:$J,MATCH(A35,'Projekt-Budget-Übersicht'!$A:$A,0)),""),"")))))</f>
        <v/>
      </c>
      <c r="M35" s="11">
        <f>IF($B$2="-","",L35*(F35+I35+K35))</f>
        <v/>
      </c>
      <c r="N35" s="11">
        <f>IFERROR(INDEX('Projekt-Budget-Übersicht'!$E:$E,MATCH(A35,'Projekt-Budget-Übersicht'!$A:$A,0)),"")</f>
        <v/>
      </c>
      <c r="O35" s="11" t="inlineStr"/>
      <c r="P35" s="11" t="inlineStr"/>
    </row>
    <row r="36">
      <c r="A36" s="4" t="inlineStr">
        <is>
          <t>7437 MVV-BSK-UW3-Käfertal-Mannheim</t>
        </is>
      </c>
      <c r="B36" s="4" t="inlineStr">
        <is>
          <t>Erarbeiten des Brandschutzkonzept/Nachweis/Stellungnahme</t>
        </is>
      </c>
      <c r="C36" s="4" t="inlineStr">
        <is>
          <t>G</t>
        </is>
      </c>
      <c r="D36" s="4" t="n">
        <v>31</v>
      </c>
      <c r="E36" s="4" t="n">
        <v>38.75</v>
      </c>
      <c r="F36" s="4" t="n">
        <v>3</v>
      </c>
      <c r="G36" s="16" t="n">
        <v>125</v>
      </c>
      <c r="H36" s="5" t="n"/>
      <c r="I36" s="5">
        <f>IF(H36=0,"",F36-H36)</f>
        <v/>
      </c>
      <c r="J36" s="4" t="n"/>
      <c r="K36" s="5">
        <f>IF('A. Kokott'!J67="M. Bandlofsky",'A. Kokott'!I67,0)</f>
        <v/>
      </c>
      <c r="L36" s="11">
        <f>IF($B$2="-","",IF($B$2="Pauschale",IFERROR(INDEX('Projekt-Budget-Übersicht'!$H:$H,MATCH(A36,'Projekt-Budget-Übersicht'!$A:$A,0)),""),IF($B$2="SV",IFERROR(INDEX('Projekt-Budget-Übersicht'!$H:$H,MATCH(A36,'Projekt-Budget-Übersicht'!$A:$A,0)),""),IF($B$2="CAD",IFERROR(INDEX('Projekt-Budget-Übersicht'!$I:$I,MATCH(A36,'Projekt-Budget-Übersicht'!$A:$A,0)),""),IF($B$2="ADM",IFERROR(INDEX('Projekt-Budget-Übersicht'!$J:$J,MATCH(A36,'Projekt-Budget-Übersicht'!$A:$A,0)),""),"")))))</f>
        <v/>
      </c>
      <c r="M36" s="11">
        <f>IF($B$2="-","",L36*(F36+I36+K36))</f>
        <v/>
      </c>
      <c r="N36" s="11">
        <f>IFERROR(INDEX('Projekt-Budget-Übersicht'!$E:$E,MATCH(A36,'Projekt-Budget-Übersicht'!$A:$A,0)),"")</f>
        <v/>
      </c>
      <c r="O36" s="11" t="inlineStr"/>
      <c r="P36" s="11" t="inlineStr"/>
    </row>
    <row r="37">
      <c r="A37" s="3" t="inlineStr"/>
      <c r="B37" s="3" t="inlineStr">
        <is>
          <t>Summe</t>
        </is>
      </c>
      <c r="C37" s="3" t="inlineStr"/>
      <c r="D37" s="3" t="inlineStr"/>
      <c r="E37" s="3" t="inlineStr"/>
      <c r="F37" s="6" t="n">
        <v>69</v>
      </c>
      <c r="G37" s="3" t="inlineStr"/>
      <c r="H37" s="3" t="inlineStr"/>
      <c r="I37" s="3" t="inlineStr"/>
      <c r="J37" s="3" t="inlineStr"/>
      <c r="K37" s="3" t="inlineStr"/>
      <c r="L37" s="3" t="n"/>
      <c r="M37" s="3" t="n"/>
      <c r="N37" s="3" t="n"/>
      <c r="O37" s="3" t="n"/>
      <c r="P37" s="3" t="n"/>
    </row>
    <row r="38">
      <c r="A38" s="3" t="inlineStr"/>
      <c r="B38" s="3" t="inlineStr">
        <is>
          <t>Bonusberechtigte Stunden</t>
        </is>
      </c>
      <c r="C38" s="3" t="inlineStr"/>
      <c r="D38" s="3" t="inlineStr"/>
      <c r="E38" s="3" t="inlineStr"/>
      <c r="F38" s="6">
        <f>G38+H38</f>
        <v/>
      </c>
      <c r="G38" s="6" t="n">
        <v>34.25</v>
      </c>
      <c r="H38" s="6">
        <f>SUM(H27,H28,H29,H30,H31,H32,H33,H34,H35,H36)</f>
        <v/>
      </c>
      <c r="I38" s="3" t="inlineStr"/>
      <c r="J38" s="3" t="inlineStr"/>
      <c r="K38" s="3" t="inlineStr"/>
      <c r="L38" s="3" t="inlineStr"/>
      <c r="M38" s="3" t="inlineStr"/>
      <c r="N38" s="3" t="inlineStr"/>
      <c r="O38" s="3" t="inlineStr"/>
      <c r="P38" s="3" t="inlineStr"/>
    </row>
    <row r="39">
      <c r="A39" s="3" t="inlineStr"/>
      <c r="B39" s="3" t="inlineStr">
        <is>
          <t>Bonusberechtigte Stunden Sonderprojekt</t>
        </is>
      </c>
      <c r="C39" s="3" t="inlineStr"/>
      <c r="D39" s="3" t="inlineStr"/>
      <c r="E39" s="3" t="inlineStr"/>
      <c r="F39" s="6">
        <f>G39+H39</f>
        <v/>
      </c>
      <c r="G39" s="6" t="n">
        <v>3.5</v>
      </c>
      <c r="H39" s="6">
        <f>SUM(H26)</f>
        <v/>
      </c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</row>
    <row r="40">
      <c r="A40" s="3" t="inlineStr"/>
      <c r="B40" s="3" t="inlineStr">
        <is>
          <t>Zugeordnete Stunden von anderen MA</t>
        </is>
      </c>
      <c r="C40" s="3" t="inlineStr"/>
      <c r="D40" s="3" t="inlineStr"/>
      <c r="E40" s="3" t="inlineStr"/>
      <c r="F40" s="6">
        <f>SUM(K26:K36)</f>
        <v/>
      </c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inlineStr"/>
    </row>
    <row r="41">
      <c r="A41" s="18" t="inlineStr"/>
      <c r="B41" s="18" t="inlineStr">
        <is>
          <t>Gesamt Bonus Stunden</t>
        </is>
      </c>
      <c r="C41" s="18" t="inlineStr"/>
      <c r="D41" s="18" t="inlineStr"/>
      <c r="E41" s="18" t="inlineStr"/>
      <c r="F41" s="19">
        <f>F38+F39+F40</f>
        <v/>
      </c>
      <c r="G41" s="18" t="inlineStr"/>
      <c r="H41" s="18" t="inlineStr"/>
      <c r="I41" s="18" t="inlineStr"/>
      <c r="J41" s="18" t="inlineStr"/>
      <c r="K41" s="18" t="inlineStr"/>
      <c r="L41" s="18" t="n"/>
      <c r="M41" s="18" t="n"/>
      <c r="N41" s="18" t="n"/>
      <c r="O41" s="18" t="n"/>
      <c r="P41" s="18" t="n"/>
    </row>
    <row r="43">
      <c r="A43" s="2" t="inlineStr">
        <is>
          <t>--- September 2025 ---</t>
        </is>
      </c>
    </row>
    <row r="44">
      <c r="A44" s="3" t="inlineStr">
        <is>
          <t>Projekt</t>
        </is>
      </c>
      <c r="B44" s="3" t="inlineStr">
        <is>
          <t>Meilenstein</t>
        </is>
      </c>
      <c r="C44" s="3" t="inlineStr">
        <is>
          <t>Typ</t>
        </is>
      </c>
      <c r="D44" s="3" t="inlineStr">
        <is>
          <t>Soll (h)</t>
        </is>
      </c>
      <c r="E44" s="3" t="inlineStr">
        <is>
          <t>Ist (h)</t>
        </is>
      </c>
      <c r="F44" s="3" t="inlineStr">
        <is>
          <t>September 2025 (h)</t>
        </is>
      </c>
      <c r="G44" s="3" t="inlineStr">
        <is>
          <t>%</t>
        </is>
      </c>
      <c r="H44" s="3" t="inlineStr">
        <is>
          <t>Bonus-Anpassung (h)</t>
        </is>
      </c>
      <c r="I44" s="3" t="inlineStr">
        <is>
          <t>Differenz (h)</t>
        </is>
      </c>
      <c r="J44" s="3" t="inlineStr">
        <is>
          <t>Zuordnen an</t>
        </is>
      </c>
      <c r="K44" s="3" t="inlineStr">
        <is>
          <t>Von anderen (h)</t>
        </is>
      </c>
      <c r="L44" s="3" t="inlineStr">
        <is>
          <t>Stundensatz (€/h)</t>
        </is>
      </c>
      <c r="M44" s="3" t="inlineStr">
        <is>
          <t>Umsatz (€)</t>
        </is>
      </c>
      <c r="N44" s="3" t="inlineStr">
        <is>
          <t>Budget Gesamt (€)</t>
        </is>
      </c>
      <c r="O44" s="3" t="inlineStr">
        <is>
          <t>Budget Ist (€)</t>
        </is>
      </c>
      <c r="P44" s="3" t="inlineStr">
        <is>
          <t>Budget Erwirtschaftet (€)</t>
        </is>
      </c>
    </row>
    <row r="45">
      <c r="A45" s="13" t="inlineStr">
        <is>
          <t>0000 Sonderprojekt für Bonus</t>
        </is>
      </c>
      <c r="B45" s="4" t="inlineStr">
        <is>
          <t>Einarbeitung neuer Mitarbeiter (max. 8h/Monat pro MA)</t>
        </is>
      </c>
      <c r="C45" s="4" t="inlineStr">
        <is>
          <t>M</t>
        </is>
      </c>
      <c r="D45" s="4" t="n">
        <v>8</v>
      </c>
      <c r="E45" s="4" t="n">
        <v>1</v>
      </c>
      <c r="F45" s="4" t="n">
        <v>1</v>
      </c>
      <c r="G45" s="17" t="n">
        <v>12.5</v>
      </c>
      <c r="H45" s="5" t="n"/>
      <c r="I45" s="5">
        <f>IF(H45=0,"",F45-H45)</f>
        <v/>
      </c>
      <c r="J45" s="4" t="n"/>
      <c r="K45" s="5">
        <f>IF('A. Kokott'!J86="M. Bandlofsky",'A. Kokott'!I86,0)+IF('C. Trapp SV'!J57="M. Bandlofsky",'C. Trapp SV'!I57,0)+IF('J. Dorn'!J84="M. Bandlofsky",'J. Dorn'!I84,0)+IF('O. Haag BS-CAD'!J93="M. Bandlofsky",'O. Haag BS-CAD'!I93,0)+IF('R. Wagen CAD'!J57="M. Bandlofsky",'R. Wagen CAD'!I57,0)+IF('T. Trautmann'!J72="M. Bandlofsky",'T. Trautmann'!I72,0)+IF('U. Sutter ADM'!J52="M. Bandlofsky",'U. Sutter ADM'!I52,0)</f>
        <v/>
      </c>
      <c r="L45" s="11">
        <f>IF($B$2="-","",IF($B$2="Pauschale",IFERROR(INDEX('Projekt-Budget-Übersicht'!$H:$H,MATCH(A45,'Projekt-Budget-Übersicht'!$A:$A,0)),""),IF($B$2="SV",IFERROR(INDEX('Projekt-Budget-Übersicht'!$H:$H,MATCH(A45,'Projekt-Budget-Übersicht'!$A:$A,0)),""),IF($B$2="CAD",IFERROR(INDEX('Projekt-Budget-Übersicht'!$I:$I,MATCH(A45,'Projekt-Budget-Übersicht'!$A:$A,0)),""),IF($B$2="ADM",IFERROR(INDEX('Projekt-Budget-Übersicht'!$J:$J,MATCH(A45,'Projekt-Budget-Übersicht'!$A:$A,0)),""),"")))))</f>
        <v/>
      </c>
      <c r="M45" s="11">
        <f>IF($B$2="-","",L45*(F45+I45+K45))</f>
        <v/>
      </c>
      <c r="N45" s="11">
        <f>IFERROR(INDEX('Projekt-Budget-Übersicht'!$E:$E,MATCH(A45,'Projekt-Budget-Übersicht'!$A:$A,0)),"")</f>
        <v/>
      </c>
      <c r="O45" s="11" t="inlineStr"/>
      <c r="P45" s="11" t="inlineStr"/>
    </row>
    <row r="46">
      <c r="A46" s="15" t="n"/>
      <c r="B46" s="4" t="inlineStr">
        <is>
          <t>Messeauftritt  (max. 4h/Quartal pro MA)</t>
        </is>
      </c>
      <c r="C46" s="4" t="inlineStr">
        <is>
          <t>Q</t>
        </is>
      </c>
      <c r="D46" s="4" t="n">
        <v>4</v>
      </c>
      <c r="E46" s="4" t="n">
        <v>3</v>
      </c>
      <c r="F46" s="4" t="n">
        <v>3</v>
      </c>
      <c r="G46" s="17" t="n">
        <v>75</v>
      </c>
      <c r="H46" s="5" t="n"/>
      <c r="I46" s="5">
        <f>IF(H46=0,"",F46-H46)</f>
        <v/>
      </c>
      <c r="J46" s="4" t="n"/>
      <c r="K46" s="5" t="n">
        <v>0</v>
      </c>
      <c r="L46" s="11">
        <f>IF($B$2="-","",IF($B$2="Pauschale",IFERROR(INDEX('Projekt-Budget-Übersicht'!$H:$H,MATCH(A46,'Projekt-Budget-Übersicht'!$A:$A,0)),""),IF($B$2="SV",IFERROR(INDEX('Projekt-Budget-Übersicht'!$H:$H,MATCH(A46,'Projekt-Budget-Übersicht'!$A:$A,0)),""),IF($B$2="CAD",IFERROR(INDEX('Projekt-Budget-Übersicht'!$I:$I,MATCH(A46,'Projekt-Budget-Übersicht'!$A:$A,0)),""),IF($B$2="ADM",IFERROR(INDEX('Projekt-Budget-Übersicht'!$J:$J,MATCH(A46,'Projekt-Budget-Übersicht'!$A:$A,0)),""),"")))))</f>
        <v/>
      </c>
      <c r="M46" s="11">
        <f>IF($B$2="-","",L46*(F46+I46+K46))</f>
        <v/>
      </c>
      <c r="N46" s="11">
        <f>IFERROR(INDEX('Projekt-Budget-Übersicht'!$E:$E,MATCH(A46,'Projekt-Budget-Übersicht'!$A:$A,0)),"")</f>
        <v/>
      </c>
      <c r="O46" s="11" t="inlineStr"/>
      <c r="P46" s="11" t="inlineStr"/>
    </row>
    <row r="47">
      <c r="A47" s="4" t="inlineStr">
        <is>
          <t>0815.10 MPI-Fortschr-BSK-Z-HIRN-Umbau-Tierhaus-Max-von-Laue-Str4-FFM</t>
        </is>
      </c>
      <c r="B47" s="4" t="inlineStr">
        <is>
          <t>SV</t>
        </is>
      </c>
      <c r="C47" s="4" t="inlineStr">
        <is>
          <t>G</t>
        </is>
      </c>
      <c r="D47" s="4" t="n">
        <v>20</v>
      </c>
      <c r="E47" s="4" t="n">
        <v>19.5</v>
      </c>
      <c r="F47" s="4" t="n">
        <v>1</v>
      </c>
      <c r="G47" s="14" t="n">
        <v>97.5</v>
      </c>
      <c r="H47" s="5" t="n"/>
      <c r="I47" s="5">
        <f>IF(H47=0,"",F47-H47)</f>
        <v/>
      </c>
      <c r="J47" s="4" t="n"/>
      <c r="K47" s="5">
        <f>IF('A. Kokott'!J87="M. Bandlofsky",'A. Kokott'!I87,0)</f>
        <v/>
      </c>
      <c r="L47" s="11">
        <f>IF($B$2="-","",IF($B$2="Pauschale",IFERROR(INDEX('Projekt-Budget-Übersicht'!$H:$H,MATCH(A47,'Projekt-Budget-Übersicht'!$A:$A,0)),""),IF($B$2="SV",IFERROR(INDEX('Projekt-Budget-Übersicht'!$H:$H,MATCH(A47,'Projekt-Budget-Übersicht'!$A:$A,0)),""),IF($B$2="CAD",IFERROR(INDEX('Projekt-Budget-Übersicht'!$I:$I,MATCH(A47,'Projekt-Budget-Übersicht'!$A:$A,0)),""),IF($B$2="ADM",IFERROR(INDEX('Projekt-Budget-Übersicht'!$J:$J,MATCH(A47,'Projekt-Budget-Übersicht'!$A:$A,0)),""),"")))))</f>
        <v/>
      </c>
      <c r="M47" s="11">
        <f>IF($B$2="-","",L47*(F47+I47+K47))</f>
        <v/>
      </c>
      <c r="N47" s="11">
        <f>IFERROR(INDEX('Projekt-Budget-Übersicht'!$E:$E,MATCH(A47,'Projekt-Budget-Übersicht'!$A:$A,0)),"")</f>
        <v/>
      </c>
      <c r="O47" s="11" t="inlineStr"/>
      <c r="P47" s="11" t="inlineStr"/>
    </row>
    <row r="48">
      <c r="A48" s="4" t="inlineStr">
        <is>
          <t>4249.12 Apleona-BSK-Geb10+11-Am-Keltenwald-Ehningen</t>
        </is>
      </c>
      <c r="B48" s="4" t="inlineStr">
        <is>
          <t>SV</t>
        </is>
      </c>
      <c r="C48" s="4" t="inlineStr">
        <is>
          <t>G</t>
        </is>
      </c>
      <c r="D48" s="4" t="n">
        <v>20</v>
      </c>
      <c r="E48" s="4" t="n">
        <v>26</v>
      </c>
      <c r="F48" s="4" t="n">
        <v>12</v>
      </c>
      <c r="G48" s="16" t="n">
        <v>130</v>
      </c>
      <c r="H48" s="5" t="n"/>
      <c r="I48" s="5">
        <f>IF(H48=0,"",F48-H48)</f>
        <v/>
      </c>
      <c r="J48" s="4" t="n"/>
      <c r="K48" s="5">
        <f>IF('T. Trautmann'!J80="M. Bandlofsky",'T. Trautmann'!I80,0)</f>
        <v/>
      </c>
      <c r="L48" s="11">
        <f>IF($B$2="-","",IF($B$2="Pauschale",IFERROR(INDEX('Projekt-Budget-Übersicht'!$H:$H,MATCH(A48,'Projekt-Budget-Übersicht'!$A:$A,0)),""),IF($B$2="SV",IFERROR(INDEX('Projekt-Budget-Übersicht'!$H:$H,MATCH(A48,'Projekt-Budget-Übersicht'!$A:$A,0)),""),IF($B$2="CAD",IFERROR(INDEX('Projekt-Budget-Übersicht'!$I:$I,MATCH(A48,'Projekt-Budget-Übersicht'!$A:$A,0)),""),IF($B$2="ADM",IFERROR(INDEX('Projekt-Budget-Übersicht'!$J:$J,MATCH(A48,'Projekt-Budget-Übersicht'!$A:$A,0)),""),"")))))</f>
        <v/>
      </c>
      <c r="M48" s="11">
        <f>IF($B$2="-","",L48*(F48+I48+K48))</f>
        <v/>
      </c>
      <c r="N48" s="11">
        <f>IFERROR(INDEX('Projekt-Budget-Übersicht'!$E:$E,MATCH(A48,'Projekt-Budget-Übersicht'!$A:$A,0)),"")</f>
        <v/>
      </c>
      <c r="O48" s="11" t="inlineStr"/>
      <c r="P48" s="11" t="inlineStr"/>
    </row>
    <row r="49">
      <c r="A49" s="13" t="inlineStr">
        <is>
          <t>5291.01 RNV-BTB-NB-ABZ-Betriebshof-Ludwigshafen</t>
        </is>
      </c>
      <c r="B49" s="4" t="inlineStr">
        <is>
          <t>(p) Pos. 2.1.1.3 - Entwurfsplanung</t>
        </is>
      </c>
      <c r="C49" s="4" t="inlineStr">
        <is>
          <t>G</t>
        </is>
      </c>
      <c r="D49" s="4" t="n">
        <v>28</v>
      </c>
      <c r="E49" s="4" t="n">
        <v>41.5</v>
      </c>
      <c r="F49" s="4" t="n">
        <v>5.5</v>
      </c>
      <c r="G49" s="16" t="n">
        <v>148.21</v>
      </c>
      <c r="H49" s="5" t="n"/>
      <c r="I49" s="5">
        <f>IF(H49=0,"",F49-H49)</f>
        <v/>
      </c>
      <c r="J49" s="4" t="n"/>
      <c r="K49" s="5">
        <f>IF('T. Trautmann'!J82="M. Bandlofsky",'T. Trautmann'!I82,0)</f>
        <v/>
      </c>
      <c r="L49" s="11">
        <f>IF($B$2="-","",IF($B$2="Pauschale",IFERROR(INDEX('Projekt-Budget-Übersicht'!$H:$H,MATCH(A49,'Projekt-Budget-Übersicht'!$A:$A,0)),""),IF($B$2="SV",IFERROR(INDEX('Projekt-Budget-Übersicht'!$H:$H,MATCH(A49,'Projekt-Budget-Übersicht'!$A:$A,0)),""),IF($B$2="CAD",IFERROR(INDEX('Projekt-Budget-Übersicht'!$I:$I,MATCH(A49,'Projekt-Budget-Übersicht'!$A:$A,0)),""),IF($B$2="ADM",IFERROR(INDEX('Projekt-Budget-Übersicht'!$J:$J,MATCH(A49,'Projekt-Budget-Übersicht'!$A:$A,0)),""),"")))))</f>
        <v/>
      </c>
      <c r="M49" s="11">
        <f>IF($B$2="-","",L49*(F49+I49+K49))</f>
        <v/>
      </c>
      <c r="N49" s="11">
        <f>IFERROR(INDEX('Projekt-Budget-Übersicht'!$E:$E,MATCH(A49,'Projekt-Budget-Übersicht'!$A:$A,0)),"")</f>
        <v/>
      </c>
      <c r="O49" s="11" t="inlineStr"/>
      <c r="P49" s="11" t="inlineStr"/>
    </row>
    <row r="50">
      <c r="A50" s="15" t="n"/>
      <c r="B50" s="4" t="inlineStr">
        <is>
          <t>SV</t>
        </is>
      </c>
      <c r="C50" s="4" t="inlineStr">
        <is>
          <t>G</t>
        </is>
      </c>
      <c r="D50" s="4" t="n">
        <v>0</v>
      </c>
      <c r="E50" s="4" t="n">
        <v>0</v>
      </c>
      <c r="F50" s="4" t="n">
        <v>3</v>
      </c>
      <c r="G50" s="4" t="n">
        <v>0</v>
      </c>
      <c r="H50" s="5" t="n"/>
      <c r="I50" s="5">
        <f>IF(H50=0,"",F50-H50)</f>
        <v/>
      </c>
      <c r="J50" s="4" t="n"/>
      <c r="K50" s="5">
        <f>IF('A. Kokott'!J91="M. Bandlofsky",'A. Kokott'!I91,0)</f>
        <v/>
      </c>
      <c r="L50" s="11">
        <f>IF($B$2="-","",IF($B$2="Pauschale",IFERROR(INDEX('Projekt-Budget-Übersicht'!$H:$H,MATCH(A50,'Projekt-Budget-Übersicht'!$A:$A,0)),""),IF($B$2="SV",IFERROR(INDEX('Projekt-Budget-Übersicht'!$H:$H,MATCH(A50,'Projekt-Budget-Übersicht'!$A:$A,0)),""),IF($B$2="CAD",IFERROR(INDEX('Projekt-Budget-Übersicht'!$I:$I,MATCH(A50,'Projekt-Budget-Übersicht'!$A:$A,0)),""),IF($B$2="ADM",IFERROR(INDEX('Projekt-Budget-Übersicht'!$J:$J,MATCH(A50,'Projekt-Budget-Übersicht'!$A:$A,0)),""),"")))))</f>
        <v/>
      </c>
      <c r="M50" s="11">
        <f>IF($B$2="-","",L50*(F50+I50+K50))</f>
        <v/>
      </c>
      <c r="N50" s="11">
        <f>IFERROR(INDEX('Projekt-Budget-Übersicht'!$E:$E,MATCH(A50,'Projekt-Budget-Übersicht'!$A:$A,0)),"")</f>
        <v/>
      </c>
      <c r="O50" s="11" t="inlineStr"/>
      <c r="P50" s="11" t="inlineStr"/>
    </row>
    <row r="51">
      <c r="A51" s="13" t="inlineStr">
        <is>
          <t>5328 Flugfeldklinikum-Böblingen</t>
        </is>
      </c>
      <c r="B51" s="4" t="inlineStr">
        <is>
          <t>5100-Beraten Planer ausführungsreife Lösungen….</t>
        </is>
      </c>
      <c r="C51" s="4" t="inlineStr">
        <is>
          <t>G</t>
        </is>
      </c>
      <c r="D51" s="4" t="n">
        <v>307.5</v>
      </c>
      <c r="E51" s="4" t="n">
        <v>398.25</v>
      </c>
      <c r="F51" s="4" t="n">
        <v>6</v>
      </c>
      <c r="G51" s="16" t="n">
        <v>129.51</v>
      </c>
      <c r="H51" s="5" t="n"/>
      <c r="I51" s="5">
        <f>IF(H51=0,"",F51-H51)</f>
        <v/>
      </c>
      <c r="J51" s="4" t="n"/>
      <c r="K51" s="5">
        <f>IF('E. Bieler'!J62="M. Bandlofsky",'E. Bieler'!I62,0)</f>
        <v/>
      </c>
      <c r="L51" s="11">
        <f>IF($B$2="-","",IF($B$2="Pauschale",IFERROR(INDEX('Projekt-Budget-Übersicht'!$H:$H,MATCH(A51,'Projekt-Budget-Übersicht'!$A:$A,0)),""),IF($B$2="SV",IFERROR(INDEX('Projekt-Budget-Übersicht'!$H:$H,MATCH(A51,'Projekt-Budget-Übersicht'!$A:$A,0)),""),IF($B$2="CAD",IFERROR(INDEX('Projekt-Budget-Übersicht'!$I:$I,MATCH(A51,'Projekt-Budget-Übersicht'!$A:$A,0)),""),IF($B$2="ADM",IFERROR(INDEX('Projekt-Budget-Übersicht'!$J:$J,MATCH(A51,'Projekt-Budget-Übersicht'!$A:$A,0)),""),"")))))</f>
        <v/>
      </c>
      <c r="M51" s="11">
        <f>IF($B$2="-","",L51*(F51+I51+K51))</f>
        <v/>
      </c>
      <c r="N51" s="11">
        <f>IFERROR(INDEX('Projekt-Budget-Übersicht'!$E:$E,MATCH(A51,'Projekt-Budget-Übersicht'!$A:$A,0)),"")</f>
        <v/>
      </c>
      <c r="O51" s="11" t="inlineStr"/>
      <c r="P51" s="11" t="inlineStr"/>
    </row>
    <row r="52">
      <c r="A52" s="21" t="n"/>
      <c r="B52" s="4" t="inlineStr">
        <is>
          <t>5101-Mitwirken Koordination Fachplanung….</t>
        </is>
      </c>
      <c r="C52" s="4" t="inlineStr">
        <is>
          <t>G</t>
        </is>
      </c>
      <c r="D52" s="4" t="n">
        <v>16</v>
      </c>
      <c r="E52" s="4" t="n">
        <v>78</v>
      </c>
      <c r="F52" s="4" t="n">
        <v>3.75</v>
      </c>
      <c r="G52" s="16" t="n">
        <v>487.5</v>
      </c>
      <c r="H52" s="5" t="n"/>
      <c r="I52" s="5">
        <f>IF(H52=0,"",F52-H52)</f>
        <v/>
      </c>
      <c r="J52" s="4" t="n"/>
      <c r="K52" s="5" t="n">
        <v>0</v>
      </c>
      <c r="L52" s="11">
        <f>IF($B$2="-","",IF($B$2="Pauschale",IFERROR(INDEX('Projekt-Budget-Übersicht'!$H:$H,MATCH(A52,'Projekt-Budget-Übersicht'!$A:$A,0)),""),IF($B$2="SV",IFERROR(INDEX('Projekt-Budget-Übersicht'!$H:$H,MATCH(A52,'Projekt-Budget-Übersicht'!$A:$A,0)),""),IF($B$2="CAD",IFERROR(INDEX('Projekt-Budget-Übersicht'!$I:$I,MATCH(A52,'Projekt-Budget-Übersicht'!$A:$A,0)),""),IF($B$2="ADM",IFERROR(INDEX('Projekt-Budget-Übersicht'!$J:$J,MATCH(A52,'Projekt-Budget-Übersicht'!$A:$A,0)),""),"")))))</f>
        <v/>
      </c>
      <c r="M52" s="11">
        <f>IF($B$2="-","",L52*(F52+I52+K52))</f>
        <v/>
      </c>
      <c r="N52" s="11">
        <f>IFERROR(INDEX('Projekt-Budget-Übersicht'!$E:$E,MATCH(A52,'Projekt-Budget-Übersicht'!$A:$A,0)),"")</f>
        <v/>
      </c>
      <c r="O52" s="11" t="inlineStr"/>
      <c r="P52" s="11" t="inlineStr"/>
    </row>
    <row r="53">
      <c r="A53" s="21" t="n"/>
      <c r="B53" s="4" t="inlineStr">
        <is>
          <t>5102-Zusammenstellen Ergebnisse….</t>
        </is>
      </c>
      <c r="C53" s="4" t="inlineStr">
        <is>
          <t>G</t>
        </is>
      </c>
      <c r="D53" s="4" t="n">
        <v>8</v>
      </c>
      <c r="E53" s="4" t="n">
        <v>11.5</v>
      </c>
      <c r="F53" s="4" t="n">
        <v>1.5</v>
      </c>
      <c r="G53" s="16" t="n">
        <v>143.75</v>
      </c>
      <c r="H53" s="5" t="n"/>
      <c r="I53" s="5">
        <f>IF(H53=0,"",F53-H53)</f>
        <v/>
      </c>
      <c r="J53" s="4" t="n"/>
      <c r="K53" s="5" t="n">
        <v>0</v>
      </c>
      <c r="L53" s="11">
        <f>IF($B$2="-","",IF($B$2="Pauschale",IFERROR(INDEX('Projekt-Budget-Übersicht'!$H:$H,MATCH(A53,'Projekt-Budget-Übersicht'!$A:$A,0)),""),IF($B$2="SV",IFERROR(INDEX('Projekt-Budget-Übersicht'!$H:$H,MATCH(A53,'Projekt-Budget-Übersicht'!$A:$A,0)),""),IF($B$2="CAD",IFERROR(INDEX('Projekt-Budget-Übersicht'!$I:$I,MATCH(A53,'Projekt-Budget-Übersicht'!$A:$A,0)),""),IF($B$2="ADM",IFERROR(INDEX('Projekt-Budget-Übersicht'!$J:$J,MATCH(A53,'Projekt-Budget-Übersicht'!$A:$A,0)),""),"")))))</f>
        <v/>
      </c>
      <c r="M53" s="11">
        <f>IF($B$2="-","",L53*(F53+I53+K53))</f>
        <v/>
      </c>
      <c r="N53" s="11">
        <f>IFERROR(INDEX('Projekt-Budget-Übersicht'!$E:$E,MATCH(A53,'Projekt-Budget-Übersicht'!$A:$A,0)),"")</f>
        <v/>
      </c>
      <c r="O53" s="11" t="inlineStr"/>
      <c r="P53" s="11" t="inlineStr"/>
    </row>
    <row r="54">
      <c r="A54" s="21" t="n"/>
      <c r="B54" s="4" t="inlineStr">
        <is>
          <t>5103-Prüfen Baugenehmigung auf Widerspruch BSK....</t>
        </is>
      </c>
      <c r="C54" s="4" t="inlineStr">
        <is>
          <t>G</t>
        </is>
      </c>
      <c r="D54" s="4" t="n">
        <v>24</v>
      </c>
      <c r="E54" s="4" t="n">
        <v>4.75</v>
      </c>
      <c r="F54" s="4" t="n">
        <v>1.5</v>
      </c>
      <c r="G54" s="17" t="n">
        <v>19.79</v>
      </c>
      <c r="H54" s="5" t="n"/>
      <c r="I54" s="5">
        <f>IF(H54=0,"",F54-H54)</f>
        <v/>
      </c>
      <c r="J54" s="4" t="n"/>
      <c r="K54" s="5" t="n">
        <v>0</v>
      </c>
      <c r="L54" s="11">
        <f>IF($B$2="-","",IF($B$2="Pauschale",IFERROR(INDEX('Projekt-Budget-Übersicht'!$H:$H,MATCH(A54,'Projekt-Budget-Übersicht'!$A:$A,0)),""),IF($B$2="SV",IFERROR(INDEX('Projekt-Budget-Übersicht'!$H:$H,MATCH(A54,'Projekt-Budget-Übersicht'!$A:$A,0)),""),IF($B$2="CAD",IFERROR(INDEX('Projekt-Budget-Übersicht'!$I:$I,MATCH(A54,'Projekt-Budget-Übersicht'!$A:$A,0)),""),IF($B$2="ADM",IFERROR(INDEX('Projekt-Budget-Übersicht'!$J:$J,MATCH(A54,'Projekt-Budget-Übersicht'!$A:$A,0)),""),"")))))</f>
        <v/>
      </c>
      <c r="M54" s="11">
        <f>IF($B$2="-","",L54*(F54+I54+K54))</f>
        <v/>
      </c>
      <c r="N54" s="11">
        <f>IFERROR(INDEX('Projekt-Budget-Übersicht'!$E:$E,MATCH(A54,'Projekt-Budget-Übersicht'!$A:$A,0)),"")</f>
        <v/>
      </c>
      <c r="O54" s="11" t="inlineStr"/>
      <c r="P54" s="11" t="inlineStr"/>
    </row>
    <row r="55">
      <c r="A55" s="21" t="n"/>
      <c r="B55" s="4" t="inlineStr">
        <is>
          <t>5201-Prüfen Ausführungs- und Montagepläne….</t>
        </is>
      </c>
      <c r="C55" s="4" t="inlineStr">
        <is>
          <t>G</t>
        </is>
      </c>
      <c r="D55" s="4" t="n">
        <v>57</v>
      </c>
      <c r="E55" s="4" t="n">
        <v>57.75</v>
      </c>
      <c r="F55" s="4" t="n">
        <v>2.5</v>
      </c>
      <c r="G55" s="16" t="n">
        <v>101.32</v>
      </c>
      <c r="H55" s="5" t="n"/>
      <c r="I55" s="5">
        <f>IF(H55=0,"",F55-H55)</f>
        <v/>
      </c>
      <c r="J55" s="4" t="n"/>
      <c r="K55" s="5" t="n">
        <v>0</v>
      </c>
      <c r="L55" s="11">
        <f>IF($B$2="-","",IF($B$2="Pauschale",IFERROR(INDEX('Projekt-Budget-Übersicht'!$H:$H,MATCH(A55,'Projekt-Budget-Übersicht'!$A:$A,0)),""),IF($B$2="SV",IFERROR(INDEX('Projekt-Budget-Übersicht'!$H:$H,MATCH(A55,'Projekt-Budget-Übersicht'!$A:$A,0)),""),IF($B$2="CAD",IFERROR(INDEX('Projekt-Budget-Übersicht'!$I:$I,MATCH(A55,'Projekt-Budget-Übersicht'!$A:$A,0)),""),IF($B$2="ADM",IFERROR(INDEX('Projekt-Budget-Übersicht'!$J:$J,MATCH(A55,'Projekt-Budget-Übersicht'!$A:$A,0)),""),"")))))</f>
        <v/>
      </c>
      <c r="M55" s="11">
        <f>IF($B$2="-","",L55*(F55+I55+K55))</f>
        <v/>
      </c>
      <c r="N55" s="11">
        <f>IFERROR(INDEX('Projekt-Budget-Übersicht'!$E:$E,MATCH(A55,'Projekt-Budget-Übersicht'!$A:$A,0)),"")</f>
        <v/>
      </c>
      <c r="O55" s="11" t="inlineStr"/>
      <c r="P55" s="11" t="inlineStr"/>
    </row>
    <row r="56">
      <c r="A56" s="21" t="n"/>
      <c r="B56" s="4" t="inlineStr">
        <is>
          <t>5202-Prüfen Funktionsbeschreibungen anlagentechnischer Brandschutz….</t>
        </is>
      </c>
      <c r="C56" s="4" t="inlineStr">
        <is>
          <t>G</t>
        </is>
      </c>
      <c r="D56" s="4" t="n">
        <v>24</v>
      </c>
      <c r="E56" s="4" t="n">
        <v>1.5</v>
      </c>
      <c r="F56" s="4" t="n">
        <v>1</v>
      </c>
      <c r="G56" s="17" t="n">
        <v>6.25</v>
      </c>
      <c r="H56" s="5" t="n"/>
      <c r="I56" s="5">
        <f>IF(H56=0,"",F56-H56)</f>
        <v/>
      </c>
      <c r="J56" s="4" t="n"/>
      <c r="K56" s="5" t="n">
        <v>0</v>
      </c>
      <c r="L56" s="11">
        <f>IF($B$2="-","",IF($B$2="Pauschale",IFERROR(INDEX('Projekt-Budget-Übersicht'!$H:$H,MATCH(A56,'Projekt-Budget-Übersicht'!$A:$A,0)),""),IF($B$2="SV",IFERROR(INDEX('Projekt-Budget-Übersicht'!$H:$H,MATCH(A56,'Projekt-Budget-Übersicht'!$A:$A,0)),""),IF($B$2="CAD",IFERROR(INDEX('Projekt-Budget-Übersicht'!$I:$I,MATCH(A56,'Projekt-Budget-Übersicht'!$A:$A,0)),""),IF($B$2="ADM",IFERROR(INDEX('Projekt-Budget-Übersicht'!$J:$J,MATCH(A56,'Projekt-Budget-Übersicht'!$A:$A,0)),""),"")))))</f>
        <v/>
      </c>
      <c r="M56" s="11">
        <f>IF($B$2="-","",L56*(F56+I56+K56))</f>
        <v/>
      </c>
      <c r="N56" s="11">
        <f>IFERROR(INDEX('Projekt-Budget-Übersicht'!$E:$E,MATCH(A56,'Projekt-Budget-Übersicht'!$A:$A,0)),"")</f>
        <v/>
      </c>
      <c r="O56" s="11" t="inlineStr"/>
      <c r="P56" s="11" t="inlineStr"/>
    </row>
    <row r="57">
      <c r="A57" s="15" t="n"/>
      <c r="B57" s="4" t="inlineStr">
        <is>
          <t>5207-Planung Ausstattung Feuerlöscher....</t>
        </is>
      </c>
      <c r="C57" s="4" t="inlineStr">
        <is>
          <t>G</t>
        </is>
      </c>
      <c r="D57" s="4" t="n">
        <v>40</v>
      </c>
      <c r="E57" s="4" t="n">
        <v>69.25</v>
      </c>
      <c r="F57" s="4" t="n">
        <v>0.75</v>
      </c>
      <c r="G57" s="16" t="n">
        <v>173.12</v>
      </c>
      <c r="H57" s="5" t="n"/>
      <c r="I57" s="5">
        <f>IF(H57=0,"",F57-H57)</f>
        <v/>
      </c>
      <c r="J57" s="4" t="n"/>
      <c r="K57" s="5" t="n">
        <v>0</v>
      </c>
      <c r="L57" s="11">
        <f>IF($B$2="-","",IF($B$2="Pauschale",IFERROR(INDEX('Projekt-Budget-Übersicht'!$H:$H,MATCH(A57,'Projekt-Budget-Übersicht'!$A:$A,0)),""),IF($B$2="SV",IFERROR(INDEX('Projekt-Budget-Übersicht'!$H:$H,MATCH(A57,'Projekt-Budget-Übersicht'!$A:$A,0)),""),IF($B$2="CAD",IFERROR(INDEX('Projekt-Budget-Übersicht'!$I:$I,MATCH(A57,'Projekt-Budget-Übersicht'!$A:$A,0)),""),IF($B$2="ADM",IFERROR(INDEX('Projekt-Budget-Übersicht'!$J:$J,MATCH(A57,'Projekt-Budget-Übersicht'!$A:$A,0)),""),"")))))</f>
        <v/>
      </c>
      <c r="M57" s="11">
        <f>IF($B$2="-","",L57*(F57+I57+K57))</f>
        <v/>
      </c>
      <c r="N57" s="11">
        <f>IFERROR(INDEX('Projekt-Budget-Übersicht'!$E:$E,MATCH(A57,'Projekt-Budget-Übersicht'!$A:$A,0)),"")</f>
        <v/>
      </c>
      <c r="O57" s="11" t="inlineStr"/>
      <c r="P57" s="11" t="inlineStr"/>
    </row>
    <row r="58">
      <c r="A58" s="4" t="inlineStr">
        <is>
          <t>5328.06 Flugfeldklinikum-Böblingen-Fortschr-BSK-FFK</t>
        </is>
      </c>
      <c r="B58" s="4" t="inlineStr">
        <is>
          <t>5100-Beraten Planer ausführungsreife Lösungen….</t>
        </is>
      </c>
      <c r="C58" s="4" t="inlineStr">
        <is>
          <t>G</t>
        </is>
      </c>
      <c r="D58" s="4" t="n">
        <v>20</v>
      </c>
      <c r="E58" s="4" t="n">
        <v>8.75</v>
      </c>
      <c r="F58" s="4" t="n">
        <v>1.25</v>
      </c>
      <c r="G58" s="17" t="n">
        <v>43.75</v>
      </c>
      <c r="H58" s="5" t="n"/>
      <c r="I58" s="5">
        <f>IF(H58=0,"",F58-H58)</f>
        <v/>
      </c>
      <c r="J58" s="4" t="n"/>
      <c r="K58" s="5">
        <f>IF('U. Sutter ADM'!J55="M. Bandlofsky",'U. Sutter ADM'!I55,0)</f>
        <v/>
      </c>
      <c r="L58" s="11">
        <f>IF($B$2="-","",IF($B$2="Pauschale",IFERROR(INDEX('Projekt-Budget-Übersicht'!$H:$H,MATCH(A58,'Projekt-Budget-Übersicht'!$A:$A,0)),""),IF($B$2="SV",IFERROR(INDEX('Projekt-Budget-Übersicht'!$H:$H,MATCH(A58,'Projekt-Budget-Übersicht'!$A:$A,0)),""),IF($B$2="CAD",IFERROR(INDEX('Projekt-Budget-Übersicht'!$I:$I,MATCH(A58,'Projekt-Budget-Übersicht'!$A:$A,0)),""),IF($B$2="ADM",IFERROR(INDEX('Projekt-Budget-Übersicht'!$J:$J,MATCH(A58,'Projekt-Budget-Übersicht'!$A:$A,0)),""),"")))))</f>
        <v/>
      </c>
      <c r="M58" s="11">
        <f>IF($B$2="-","",L58*(F58+I58+K58))</f>
        <v/>
      </c>
      <c r="N58" s="11">
        <f>IFERROR(INDEX('Projekt-Budget-Übersicht'!$E:$E,MATCH(A58,'Projekt-Budget-Übersicht'!$A:$A,0)),"")</f>
        <v/>
      </c>
      <c r="O58" s="11" t="inlineStr"/>
      <c r="P58" s="11" t="inlineStr"/>
    </row>
    <row r="59">
      <c r="A59" s="4" t="inlineStr">
        <is>
          <t>5757.06 Stadt-Schriesheim-FWP-Gymnasium-Hirschbergstr1-Schriesheim</t>
        </is>
      </c>
      <c r="B59" s="4" t="inlineStr">
        <is>
          <t>SV</t>
        </is>
      </c>
      <c r="C59" s="4" t="inlineStr">
        <is>
          <t>G</t>
        </is>
      </c>
      <c r="D59" s="4" t="n">
        <v>0</v>
      </c>
      <c r="E59" s="4" t="n">
        <v>16</v>
      </c>
      <c r="F59" s="4" t="n">
        <v>16</v>
      </c>
      <c r="G59" s="4" t="n">
        <v>0</v>
      </c>
      <c r="H59" s="5" t="n"/>
      <c r="I59" s="5">
        <f>IF(H59=0,"",F59-H59)</f>
        <v/>
      </c>
      <c r="J59" s="4" t="n"/>
      <c r="K59" s="5" t="n">
        <v>0</v>
      </c>
      <c r="L59" s="11">
        <f>IF($B$2="-","",IF($B$2="Pauschale",IFERROR(INDEX('Projekt-Budget-Übersicht'!$H:$H,MATCH(A59,'Projekt-Budget-Übersicht'!$A:$A,0)),""),IF($B$2="SV",IFERROR(INDEX('Projekt-Budget-Übersicht'!$H:$H,MATCH(A59,'Projekt-Budget-Übersicht'!$A:$A,0)),""),IF($B$2="CAD",IFERROR(INDEX('Projekt-Budget-Übersicht'!$I:$I,MATCH(A59,'Projekt-Budget-Übersicht'!$A:$A,0)),""),IF($B$2="ADM",IFERROR(INDEX('Projekt-Budget-Übersicht'!$J:$J,MATCH(A59,'Projekt-Budget-Übersicht'!$A:$A,0)),""),"")))))</f>
        <v/>
      </c>
      <c r="M59" s="11">
        <f>IF($B$2="-","",L59*(F59+I59+K59))</f>
        <v/>
      </c>
      <c r="N59" s="11">
        <f>IFERROR(INDEX('Projekt-Budget-Übersicht'!$E:$E,MATCH(A59,'Projekt-Budget-Übersicht'!$A:$A,0)),"")</f>
        <v/>
      </c>
      <c r="O59" s="11" t="inlineStr"/>
      <c r="P59" s="11" t="inlineStr"/>
    </row>
    <row r="60">
      <c r="A60" s="4" t="inlineStr">
        <is>
          <t>5987.05 E&amp;S-Anp-BSK-BT-B+C-Czernyring15-Heidelberg</t>
        </is>
      </c>
      <c r="B60" s="4" t="inlineStr">
        <is>
          <t>SV</t>
        </is>
      </c>
      <c r="C60" s="4" t="inlineStr">
        <is>
          <t>G</t>
        </is>
      </c>
      <c r="D60" s="4" t="n">
        <v>6</v>
      </c>
      <c r="E60" s="4" t="n">
        <v>6.75</v>
      </c>
      <c r="F60" s="4" t="n">
        <v>1.5</v>
      </c>
      <c r="G60" s="16" t="n">
        <v>112.5</v>
      </c>
      <c r="H60" s="5" t="n"/>
      <c r="I60" s="5">
        <f>IF(H60=0,"",F60-H60)</f>
        <v/>
      </c>
      <c r="J60" s="4" t="n"/>
      <c r="K60" s="5" t="n">
        <v>0</v>
      </c>
      <c r="L60" s="11">
        <f>IF($B$2="-","",IF($B$2="Pauschale",IFERROR(INDEX('Projekt-Budget-Übersicht'!$H:$H,MATCH(A60,'Projekt-Budget-Übersicht'!$A:$A,0)),""),IF($B$2="SV",IFERROR(INDEX('Projekt-Budget-Übersicht'!$H:$H,MATCH(A60,'Projekt-Budget-Übersicht'!$A:$A,0)),""),IF($B$2="CAD",IFERROR(INDEX('Projekt-Budget-Übersicht'!$I:$I,MATCH(A60,'Projekt-Budget-Übersicht'!$A:$A,0)),""),IF($B$2="ADM",IFERROR(INDEX('Projekt-Budget-Übersicht'!$J:$J,MATCH(A60,'Projekt-Budget-Übersicht'!$A:$A,0)),""),"")))))</f>
        <v/>
      </c>
      <c r="M60" s="11">
        <f>IF($B$2="-","",L60*(F60+I60+K60))</f>
        <v/>
      </c>
      <c r="N60" s="11">
        <f>IFERROR(INDEX('Projekt-Budget-Übersicht'!$E:$E,MATCH(A60,'Projekt-Budget-Übersicht'!$A:$A,0)),"")</f>
        <v/>
      </c>
      <c r="O60" s="11" t="inlineStr"/>
      <c r="P60" s="11" t="inlineStr"/>
    </row>
    <row r="61">
      <c r="A61" s="4" t="inlineStr">
        <is>
          <t>6344 Brodenheckstraße-Bitburg-Amtsgericht</t>
        </is>
      </c>
      <c r="B61" s="4" t="inlineStr">
        <is>
          <t>4000-Genehmigungsplanung</t>
        </is>
      </c>
      <c r="C61" s="4" t="inlineStr">
        <is>
          <t>G</t>
        </is>
      </c>
      <c r="D61" s="4" t="n">
        <v>37</v>
      </c>
      <c r="E61" s="4" t="n">
        <v>27.75</v>
      </c>
      <c r="F61" s="4" t="n">
        <v>3</v>
      </c>
      <c r="G61" s="17" t="n">
        <v>75</v>
      </c>
      <c r="H61" s="5" t="n"/>
      <c r="I61" s="5">
        <f>IF(H61=0,"",F61-H61)</f>
        <v/>
      </c>
      <c r="J61" s="4" t="n"/>
      <c r="K61" s="5">
        <f>IF('A. Kokott'!J97="M. Bandlofsky",'A. Kokott'!I97,0)+IF('J. Dorn'!J90="M. Bandlofsky",'J. Dorn'!I90,0)+IF('O. Haag BS-CAD'!J106="M. Bandlofsky",'O. Haag BS-CAD'!I106,0)+IF('T. Trautmann'!J88="M. Bandlofsky",'T. Trautmann'!I88,0)</f>
        <v/>
      </c>
      <c r="L61" s="11">
        <f>IF($B$2="-","",IF($B$2="Pauschale",IFERROR(INDEX('Projekt-Budget-Übersicht'!$H:$H,MATCH(A61,'Projekt-Budget-Übersicht'!$A:$A,0)),""),IF($B$2="SV",IFERROR(INDEX('Projekt-Budget-Übersicht'!$H:$H,MATCH(A61,'Projekt-Budget-Übersicht'!$A:$A,0)),""),IF($B$2="CAD",IFERROR(INDEX('Projekt-Budget-Übersicht'!$I:$I,MATCH(A61,'Projekt-Budget-Übersicht'!$A:$A,0)),""),IF($B$2="ADM",IFERROR(INDEX('Projekt-Budget-Übersicht'!$J:$J,MATCH(A61,'Projekt-Budget-Übersicht'!$A:$A,0)),""),"")))))</f>
        <v/>
      </c>
      <c r="M61" s="11">
        <f>IF($B$2="-","",L61*(F61+I61+K61))</f>
        <v/>
      </c>
      <c r="N61" s="11">
        <f>IFERROR(INDEX('Projekt-Budget-Übersicht'!$E:$E,MATCH(A61,'Projekt-Budget-Übersicht'!$A:$A,0)),"")</f>
        <v/>
      </c>
      <c r="O61" s="11" t="inlineStr"/>
      <c r="P61" s="11" t="inlineStr"/>
    </row>
    <row r="62">
      <c r="A62" s="4" t="inlineStr">
        <is>
          <t>7426 MPI-BTB-Biophysik-Max-von-Laue-Str3-FFM</t>
        </is>
      </c>
      <c r="B62" s="4" t="inlineStr">
        <is>
          <t>(aN) Pos. 1 Brandschutztechnische Beratung</t>
        </is>
      </c>
      <c r="C62" s="4" t="inlineStr">
        <is>
          <t>G</t>
        </is>
      </c>
      <c r="D62" s="4" t="n">
        <v>26</v>
      </c>
      <c r="E62" s="4" t="n">
        <v>42.75</v>
      </c>
      <c r="F62" s="4" t="n">
        <v>1</v>
      </c>
      <c r="G62" s="16" t="n">
        <v>164.42</v>
      </c>
      <c r="H62" s="5" t="n"/>
      <c r="I62" s="5">
        <f>IF(H62=0,"",F62-H62)</f>
        <v/>
      </c>
      <c r="J62" s="4" t="n"/>
      <c r="K62" s="5">
        <f>IF('A. Kokott'!J116="M. Bandlofsky",'A. Kokott'!I116,0)</f>
        <v/>
      </c>
      <c r="L62" s="11">
        <f>IF($B$2="-","",IF($B$2="Pauschale",IFERROR(INDEX('Projekt-Budget-Übersicht'!$H:$H,MATCH(A62,'Projekt-Budget-Übersicht'!$A:$A,0)),""),IF($B$2="SV",IFERROR(INDEX('Projekt-Budget-Übersicht'!$H:$H,MATCH(A62,'Projekt-Budget-Übersicht'!$A:$A,0)),""),IF($B$2="CAD",IFERROR(INDEX('Projekt-Budget-Übersicht'!$I:$I,MATCH(A62,'Projekt-Budget-Übersicht'!$A:$A,0)),""),IF($B$2="ADM",IFERROR(INDEX('Projekt-Budget-Übersicht'!$J:$J,MATCH(A62,'Projekt-Budget-Übersicht'!$A:$A,0)),""),"")))))</f>
        <v/>
      </c>
      <c r="M62" s="11">
        <f>IF($B$2="-","",L62*(F62+I62+K62))</f>
        <v/>
      </c>
      <c r="N62" s="11">
        <f>IFERROR(INDEX('Projekt-Budget-Übersicht'!$E:$E,MATCH(A62,'Projekt-Budget-Übersicht'!$A:$A,0)),"")</f>
        <v/>
      </c>
      <c r="O62" s="11" t="inlineStr"/>
      <c r="P62" s="11" t="inlineStr"/>
    </row>
    <row r="63">
      <c r="A63" s="4" t="inlineStr">
        <is>
          <t>7606 RIZ-BSK-Badstr22A-Offenburg</t>
        </is>
      </c>
      <c r="B63" s="4" t="inlineStr">
        <is>
          <t>SV</t>
        </is>
      </c>
      <c r="C63" s="4" t="inlineStr">
        <is>
          <t>G</t>
        </is>
      </c>
      <c r="D63" s="4" t="n">
        <v>0</v>
      </c>
      <c r="E63" s="4" t="n">
        <v>0</v>
      </c>
      <c r="F63" s="4" t="n">
        <v>11.75</v>
      </c>
      <c r="G63" s="4" t="n">
        <v>0</v>
      </c>
      <c r="H63" s="5" t="n"/>
      <c r="I63" s="5">
        <f>IF(H63=0,"",F63-H63)</f>
        <v/>
      </c>
      <c r="J63" s="4" t="n"/>
      <c r="K63" s="5" t="n">
        <v>0</v>
      </c>
      <c r="L63" s="11">
        <f>IF($B$2="-","",IF($B$2="Pauschale",IFERROR(INDEX('Projekt-Budget-Übersicht'!$H:$H,MATCH(A63,'Projekt-Budget-Übersicht'!$A:$A,0)),""),IF($B$2="SV",IFERROR(INDEX('Projekt-Budget-Übersicht'!$H:$H,MATCH(A63,'Projekt-Budget-Übersicht'!$A:$A,0)),""),IF($B$2="CAD",IFERROR(INDEX('Projekt-Budget-Übersicht'!$I:$I,MATCH(A63,'Projekt-Budget-Übersicht'!$A:$A,0)),""),IF($B$2="ADM",IFERROR(INDEX('Projekt-Budget-Übersicht'!$J:$J,MATCH(A63,'Projekt-Budget-Übersicht'!$A:$A,0)),""),"")))))</f>
        <v/>
      </c>
      <c r="M63" s="11">
        <f>IF($B$2="-","",L63*(F63+I63+K63))</f>
        <v/>
      </c>
      <c r="N63" s="11">
        <f>IFERROR(INDEX('Projekt-Budget-Übersicht'!$E:$E,MATCH(A63,'Projekt-Budget-Übersicht'!$A:$A,0)),"")</f>
        <v/>
      </c>
      <c r="O63" s="11" t="inlineStr"/>
      <c r="P63" s="11" t="inlineStr"/>
    </row>
    <row r="64">
      <c r="A64" s="3" t="inlineStr"/>
      <c r="B64" s="3" t="inlineStr">
        <is>
          <t>Summe</t>
        </is>
      </c>
      <c r="C64" s="3" t="inlineStr"/>
      <c r="D64" s="3" t="inlineStr"/>
      <c r="E64" s="3" t="inlineStr"/>
      <c r="F64" s="6" t="n">
        <v>77</v>
      </c>
      <c r="G64" s="3" t="inlineStr"/>
      <c r="H64" s="3" t="inlineStr"/>
      <c r="I64" s="3" t="inlineStr"/>
      <c r="J64" s="3" t="inlineStr"/>
      <c r="K64" s="3" t="inlineStr"/>
      <c r="L64" s="3" t="n"/>
      <c r="M64" s="3" t="n"/>
      <c r="N64" s="3" t="n"/>
      <c r="O64" s="3" t="n"/>
      <c r="P64" s="3" t="n"/>
    </row>
    <row r="65">
      <c r="A65" s="3" t="inlineStr"/>
      <c r="B65" s="3" t="inlineStr">
        <is>
          <t>Bonusberechtigte Stunden</t>
        </is>
      </c>
      <c r="C65" s="3" t="inlineStr"/>
      <c r="D65" s="3" t="inlineStr"/>
      <c r="E65" s="3" t="inlineStr"/>
      <c r="F65" s="6">
        <f>G65+H65</f>
        <v/>
      </c>
      <c r="G65" s="6" t="n">
        <v>38.5</v>
      </c>
      <c r="H65" s="6">
        <f>SUM(H47,H48,H49,H50,H51,H52,H53,H54,H55,H56,H57,H58,H59,H60,H61,H62,H63)</f>
        <v/>
      </c>
      <c r="I65" s="3" t="inlineStr"/>
      <c r="J65" s="3" t="inlineStr"/>
      <c r="K65" s="3" t="inlineStr"/>
      <c r="L65" s="3" t="inlineStr"/>
      <c r="M65" s="3" t="inlineStr"/>
      <c r="N65" s="3" t="inlineStr"/>
      <c r="O65" s="3" t="inlineStr"/>
      <c r="P65" s="3" t="inlineStr"/>
    </row>
    <row r="66">
      <c r="A66" s="3" t="inlineStr"/>
      <c r="B66" s="3" t="inlineStr">
        <is>
          <t>Bonusberechtigte Stunden Sonderprojekt</t>
        </is>
      </c>
      <c r="C66" s="3" t="inlineStr"/>
      <c r="D66" s="3" t="inlineStr"/>
      <c r="E66" s="3" t="inlineStr"/>
      <c r="F66" s="6">
        <f>G66+H66</f>
        <v/>
      </c>
      <c r="G66" s="6" t="n">
        <v>4</v>
      </c>
      <c r="H66" s="6">
        <f>SUM(H45,H46)</f>
        <v/>
      </c>
      <c r="I66" s="3" t="inlineStr"/>
      <c r="J66" s="3" t="inlineStr"/>
      <c r="K66" s="3" t="inlineStr"/>
      <c r="L66" s="3" t="inlineStr"/>
      <c r="M66" s="3" t="inlineStr"/>
      <c r="N66" s="3" t="inlineStr"/>
      <c r="O66" s="3" t="inlineStr"/>
      <c r="P66" s="3" t="inlineStr"/>
    </row>
    <row r="67">
      <c r="A67" s="3" t="inlineStr"/>
      <c r="B67" s="3" t="inlineStr">
        <is>
          <t>Zugeordnete Stunden von anderen MA</t>
        </is>
      </c>
      <c r="C67" s="3" t="inlineStr"/>
      <c r="D67" s="3" t="inlineStr"/>
      <c r="E67" s="3" t="inlineStr"/>
      <c r="F67" s="6">
        <f>SUM(K45:K63)</f>
        <v/>
      </c>
      <c r="G67" s="3" t="inlineStr"/>
      <c r="H67" s="3" t="inlineStr"/>
      <c r="I67" s="3" t="inlineStr"/>
      <c r="J67" s="3" t="inlineStr"/>
      <c r="K67" s="3" t="inlineStr"/>
      <c r="L67" s="3" t="inlineStr"/>
      <c r="M67" s="3" t="inlineStr"/>
      <c r="N67" s="3" t="inlineStr"/>
      <c r="O67" s="3" t="inlineStr"/>
      <c r="P67" s="3" t="inlineStr"/>
    </row>
    <row r="68">
      <c r="A68" s="18" t="inlineStr"/>
      <c r="B68" s="18" t="inlineStr">
        <is>
          <t>Gesamt Bonus Stunden</t>
        </is>
      </c>
      <c r="C68" s="18" t="inlineStr"/>
      <c r="D68" s="18" t="inlineStr"/>
      <c r="E68" s="18" t="inlineStr"/>
      <c r="F68" s="19">
        <f>F65+F66+F67</f>
        <v/>
      </c>
      <c r="G68" s="18" t="inlineStr"/>
      <c r="H68" s="18" t="inlineStr"/>
      <c r="I68" s="18" t="inlineStr"/>
      <c r="J68" s="18" t="inlineStr"/>
      <c r="K68" s="18" t="inlineStr"/>
      <c r="L68" s="18" t="n"/>
      <c r="M68" s="18" t="n"/>
      <c r="N68" s="18" t="n"/>
      <c r="O68" s="18" t="n"/>
      <c r="P68" s="18" t="n"/>
    </row>
    <row r="70">
      <c r="A70" s="2" t="inlineStr">
        <is>
          <t>--- Übertragshilfe ---</t>
        </is>
      </c>
    </row>
    <row r="71">
      <c r="A71" s="3" t="inlineStr">
        <is>
          <t>Monat</t>
        </is>
      </c>
      <c r="B71" s="3" t="inlineStr">
        <is>
          <t>Mitarbeiter</t>
        </is>
      </c>
      <c r="C71" s="3" t="inlineStr">
        <is>
          <t>Prod. Stunden</t>
        </is>
      </c>
      <c r="D71" s="3" t="inlineStr">
        <is>
          <t>Bonusberechtigte Stunden</t>
        </is>
      </c>
      <c r="E71" s="3" t="inlineStr">
        <is>
          <t>Bonusberechtigte Stunden Sonderprojekt</t>
        </is>
      </c>
      <c r="F71" s="3" t="inlineStr">
        <is>
          <t>Zugeordnet von anderen</t>
        </is>
      </c>
      <c r="G71" s="3" t="inlineStr">
        <is>
          <t>Gesamt Bonus</t>
        </is>
      </c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</row>
    <row r="72">
      <c r="A72" s="4" t="inlineStr">
        <is>
          <t>Juli 2025</t>
        </is>
      </c>
      <c r="B72" s="4" t="inlineStr">
        <is>
          <t>M. Bandlofsky</t>
        </is>
      </c>
      <c r="C72" s="4">
        <f>F18</f>
        <v/>
      </c>
      <c r="D72" s="4">
        <f>F19</f>
        <v/>
      </c>
      <c r="E72" s="4">
        <f>F20</f>
        <v/>
      </c>
      <c r="F72" s="4">
        <f>F21</f>
        <v/>
      </c>
      <c r="G72" s="4">
        <f>F22</f>
        <v/>
      </c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</row>
    <row r="73">
      <c r="A73" s="4" t="inlineStr">
        <is>
          <t>August 2025</t>
        </is>
      </c>
      <c r="B73" s="4" t="inlineStr">
        <is>
          <t>M. Bandlofsky</t>
        </is>
      </c>
      <c r="C73" s="4">
        <f>F37</f>
        <v/>
      </c>
      <c r="D73" s="4">
        <f>F38</f>
        <v/>
      </c>
      <c r="E73" s="4">
        <f>F39</f>
        <v/>
      </c>
      <c r="F73" s="4">
        <f>F40</f>
        <v/>
      </c>
      <c r="G73" s="4">
        <f>F41</f>
        <v/>
      </c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</row>
    <row r="74">
      <c r="A74" s="4" t="inlineStr">
        <is>
          <t>September 2025</t>
        </is>
      </c>
      <c r="B74" s="4" t="inlineStr">
        <is>
          <t>M. Bandlofsky</t>
        </is>
      </c>
      <c r="C74" s="4">
        <f>F64</f>
        <v/>
      </c>
      <c r="D74" s="4">
        <f>F65</f>
        <v/>
      </c>
      <c r="E74" s="4">
        <f>F66</f>
        <v/>
      </c>
      <c r="F74" s="4">
        <f>F67</f>
        <v/>
      </c>
      <c r="G74" s="4">
        <f>F68</f>
        <v/>
      </c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</row>
    <row r="76">
      <c r="A76" s="2" t="inlineStr">
        <is>
          <t>--- Quartalsübersicht 2025Q3 ---</t>
        </is>
      </c>
    </row>
    <row r="77">
      <c r="A77" s="3" t="inlineStr">
        <is>
          <t>Projekt</t>
        </is>
      </c>
      <c r="B77" s="3" t="inlineStr">
        <is>
          <t>Meilenstein</t>
        </is>
      </c>
      <c r="C77" s="3" t="inlineStr">
        <is>
          <t>Q-Soll (h)</t>
        </is>
      </c>
      <c r="D77" s="3" t="inlineStr">
        <is>
          <t>Q-Ist (h)</t>
        </is>
      </c>
      <c r="E77" s="3" t="inlineStr">
        <is>
          <t>%</t>
        </is>
      </c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</row>
    <row r="78">
      <c r="A78" s="4" t="inlineStr">
        <is>
          <t>0000 Sonderprojekt für Bonus</t>
        </is>
      </c>
      <c r="B78" s="4" t="inlineStr">
        <is>
          <t>Messeauftritt  (max. 4h/Quartal pro MA)</t>
        </is>
      </c>
      <c r="C78" s="4" t="n">
        <v>4</v>
      </c>
      <c r="D78" s="4" t="n">
        <v>3</v>
      </c>
      <c r="E78" s="17" t="n">
        <v>75</v>
      </c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</row>
    <row r="80">
      <c r="A80" s="2" t="inlineStr">
        <is>
          <t>--- Gesamtstunden 2025Q3 ---</t>
        </is>
      </c>
    </row>
    <row r="81">
      <c r="A81" s="12" t="inlineStr">
        <is>
          <t>Gesamt eingetragene Stunden:</t>
        </is>
      </c>
      <c r="B81" s="12" t="n">
        <v>262.75</v>
      </c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</row>
    <row r="82">
      <c r="A82" s="12" t="inlineStr">
        <is>
          <t>Bonusberechtigte Stunden (Quartal):</t>
        </is>
      </c>
      <c r="B82" s="20">
        <f>SUM(F19,F38,F65)</f>
        <v/>
      </c>
      <c r="C82" s="12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2" t="n"/>
      <c r="P82" s="12" t="n"/>
    </row>
    <row r="83">
      <c r="A83" s="12" t="inlineStr">
        <is>
          <t>Bonusberechtigte Stunden Sonderprojekt (Quartal):</t>
        </is>
      </c>
      <c r="B83" s="20">
        <f>SUM(F20,F39,F66)</f>
        <v/>
      </c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</row>
  </sheetData>
  <mergeCells count="7">
    <mergeCell ref="A28:A29"/>
    <mergeCell ref="A51:A57"/>
    <mergeCell ref="A15:A16"/>
    <mergeCell ref="A45:A46"/>
    <mergeCell ref="A30:A33"/>
    <mergeCell ref="A49:A50"/>
    <mergeCell ref="A10:A11"/>
  </mergeCells>
  <conditionalFormatting sqref="I6">
    <cfRule type="cellIs" priority="1" operator="lessThan" dxfId="0" stopIfTrue="1">
      <formula>0</formula>
    </cfRule>
  </conditionalFormatting>
  <conditionalFormatting sqref="I7">
    <cfRule type="cellIs" priority="2" operator="lessThan" dxfId="0" stopIfTrue="1">
      <formula>0</formula>
    </cfRule>
  </conditionalFormatting>
  <conditionalFormatting sqref="I8">
    <cfRule type="cellIs" priority="3" operator="lessThan" dxfId="0" stopIfTrue="1">
      <formula>0</formula>
    </cfRule>
  </conditionalFormatting>
  <conditionalFormatting sqref="I9">
    <cfRule type="cellIs" priority="4" operator="lessThan" dxfId="0" stopIfTrue="1">
      <formula>0</formula>
    </cfRule>
  </conditionalFormatting>
  <conditionalFormatting sqref="I10">
    <cfRule type="cellIs" priority="5" operator="lessThan" dxfId="0" stopIfTrue="1">
      <formula>0</formula>
    </cfRule>
  </conditionalFormatting>
  <conditionalFormatting sqref="I11">
    <cfRule type="cellIs" priority="6" operator="lessThan" dxfId="0" stopIfTrue="1">
      <formula>0</formula>
    </cfRule>
  </conditionalFormatting>
  <conditionalFormatting sqref="I12">
    <cfRule type="cellIs" priority="7" operator="lessThan" dxfId="0" stopIfTrue="1">
      <formula>0</formula>
    </cfRule>
  </conditionalFormatting>
  <conditionalFormatting sqref="I13">
    <cfRule type="cellIs" priority="8" operator="lessThan" dxfId="0" stopIfTrue="1">
      <formula>0</formula>
    </cfRule>
  </conditionalFormatting>
  <conditionalFormatting sqref="I14">
    <cfRule type="cellIs" priority="9" operator="lessThan" dxfId="0" stopIfTrue="1">
      <formula>0</formula>
    </cfRule>
  </conditionalFormatting>
  <conditionalFormatting sqref="I15">
    <cfRule type="cellIs" priority="10" operator="lessThan" dxfId="0" stopIfTrue="1">
      <formula>0</formula>
    </cfRule>
  </conditionalFormatting>
  <conditionalFormatting sqref="I16">
    <cfRule type="cellIs" priority="11" operator="lessThan" dxfId="0" stopIfTrue="1">
      <formula>0</formula>
    </cfRule>
  </conditionalFormatting>
  <conditionalFormatting sqref="I17">
    <cfRule type="cellIs" priority="12" operator="lessThan" dxfId="0" stopIfTrue="1">
      <formula>0</formula>
    </cfRule>
  </conditionalFormatting>
  <conditionalFormatting sqref="I26">
    <cfRule type="cellIs" priority="13" operator="lessThan" dxfId="0" stopIfTrue="1">
      <formula>0</formula>
    </cfRule>
  </conditionalFormatting>
  <conditionalFormatting sqref="I27">
    <cfRule type="cellIs" priority="14" operator="lessThan" dxfId="0" stopIfTrue="1">
      <formula>0</formula>
    </cfRule>
  </conditionalFormatting>
  <conditionalFormatting sqref="I28">
    <cfRule type="cellIs" priority="15" operator="lessThan" dxfId="0" stopIfTrue="1">
      <formula>0</formula>
    </cfRule>
  </conditionalFormatting>
  <conditionalFormatting sqref="I29">
    <cfRule type="cellIs" priority="16" operator="lessThan" dxfId="0" stopIfTrue="1">
      <formula>0</formula>
    </cfRule>
  </conditionalFormatting>
  <conditionalFormatting sqref="I30">
    <cfRule type="cellIs" priority="17" operator="lessThan" dxfId="0" stopIfTrue="1">
      <formula>0</formula>
    </cfRule>
  </conditionalFormatting>
  <conditionalFormatting sqref="I31">
    <cfRule type="cellIs" priority="18" operator="lessThan" dxfId="0" stopIfTrue="1">
      <formula>0</formula>
    </cfRule>
  </conditionalFormatting>
  <conditionalFormatting sqref="I32">
    <cfRule type="cellIs" priority="19" operator="lessThan" dxfId="0" stopIfTrue="1">
      <formula>0</formula>
    </cfRule>
  </conditionalFormatting>
  <conditionalFormatting sqref="I33">
    <cfRule type="cellIs" priority="20" operator="lessThan" dxfId="0" stopIfTrue="1">
      <formula>0</formula>
    </cfRule>
  </conditionalFormatting>
  <conditionalFormatting sqref="I34">
    <cfRule type="cellIs" priority="21" operator="lessThan" dxfId="0" stopIfTrue="1">
      <formula>0</formula>
    </cfRule>
  </conditionalFormatting>
  <conditionalFormatting sqref="I35">
    <cfRule type="cellIs" priority="22" operator="lessThan" dxfId="0" stopIfTrue="1">
      <formula>0</formula>
    </cfRule>
  </conditionalFormatting>
  <conditionalFormatting sqref="I36">
    <cfRule type="cellIs" priority="23" operator="lessThan" dxfId="0" stopIfTrue="1">
      <formula>0</formula>
    </cfRule>
  </conditionalFormatting>
  <conditionalFormatting sqref="I45">
    <cfRule type="cellIs" priority="24" operator="lessThan" dxfId="0" stopIfTrue="1">
      <formula>0</formula>
    </cfRule>
  </conditionalFormatting>
  <conditionalFormatting sqref="I46">
    <cfRule type="cellIs" priority="25" operator="lessThan" dxfId="0" stopIfTrue="1">
      <formula>0</formula>
    </cfRule>
  </conditionalFormatting>
  <conditionalFormatting sqref="I47">
    <cfRule type="cellIs" priority="26" operator="lessThan" dxfId="0" stopIfTrue="1">
      <formula>0</formula>
    </cfRule>
  </conditionalFormatting>
  <conditionalFormatting sqref="I48">
    <cfRule type="cellIs" priority="27" operator="lessThan" dxfId="0" stopIfTrue="1">
      <formula>0</formula>
    </cfRule>
  </conditionalFormatting>
  <conditionalFormatting sqref="I49">
    <cfRule type="cellIs" priority="28" operator="lessThan" dxfId="0" stopIfTrue="1">
      <formula>0</formula>
    </cfRule>
  </conditionalFormatting>
  <conditionalFormatting sqref="I50">
    <cfRule type="cellIs" priority="29" operator="lessThan" dxfId="0" stopIfTrue="1">
      <formula>0</formula>
    </cfRule>
  </conditionalFormatting>
  <conditionalFormatting sqref="I51">
    <cfRule type="cellIs" priority="30" operator="lessThan" dxfId="0" stopIfTrue="1">
      <formula>0</formula>
    </cfRule>
  </conditionalFormatting>
  <conditionalFormatting sqref="I52">
    <cfRule type="cellIs" priority="31" operator="lessThan" dxfId="0" stopIfTrue="1">
      <formula>0</formula>
    </cfRule>
  </conditionalFormatting>
  <conditionalFormatting sqref="I53">
    <cfRule type="cellIs" priority="32" operator="lessThan" dxfId="0" stopIfTrue="1">
      <formula>0</formula>
    </cfRule>
  </conditionalFormatting>
  <conditionalFormatting sqref="I54">
    <cfRule type="cellIs" priority="33" operator="lessThan" dxfId="0" stopIfTrue="1">
      <formula>0</formula>
    </cfRule>
  </conditionalFormatting>
  <conditionalFormatting sqref="I55">
    <cfRule type="cellIs" priority="34" operator="lessThan" dxfId="0" stopIfTrue="1">
      <formula>0</formula>
    </cfRule>
  </conditionalFormatting>
  <conditionalFormatting sqref="I56">
    <cfRule type="cellIs" priority="35" operator="lessThan" dxfId="0" stopIfTrue="1">
      <formula>0</formula>
    </cfRule>
  </conditionalFormatting>
  <conditionalFormatting sqref="I57">
    <cfRule type="cellIs" priority="36" operator="lessThan" dxfId="0" stopIfTrue="1">
      <formula>0</formula>
    </cfRule>
  </conditionalFormatting>
  <conditionalFormatting sqref="I58">
    <cfRule type="cellIs" priority="37" operator="lessThan" dxfId="0" stopIfTrue="1">
      <formula>0</formula>
    </cfRule>
  </conditionalFormatting>
  <conditionalFormatting sqref="I59">
    <cfRule type="cellIs" priority="38" operator="lessThan" dxfId="0" stopIfTrue="1">
      <formula>0</formula>
    </cfRule>
  </conditionalFormatting>
  <conditionalFormatting sqref="I60">
    <cfRule type="cellIs" priority="39" operator="lessThan" dxfId="0" stopIfTrue="1">
      <formula>0</formula>
    </cfRule>
  </conditionalFormatting>
  <conditionalFormatting sqref="I61">
    <cfRule type="cellIs" priority="40" operator="lessThan" dxfId="0" stopIfTrue="1">
      <formula>0</formula>
    </cfRule>
  </conditionalFormatting>
  <conditionalFormatting sqref="I62">
    <cfRule type="cellIs" priority="41" operator="lessThan" dxfId="0" stopIfTrue="1">
      <formula>0</formula>
    </cfRule>
  </conditionalFormatting>
  <conditionalFormatting sqref="I63">
    <cfRule type="cellIs" priority="42" operator="lessThan" dxfId="0" stopIfTrue="1">
      <formula>0</formula>
    </cfRule>
  </conditionalFormatting>
  <dataValidations count="31">
    <dataValidation sqref="B2" showDropDown="0" showInputMessage="0" showErrorMessage="0" allowBlank="0" type="list">
      <formula1>"SV,CAD,ADM,Pauschale,-"</formula1>
    </dataValidation>
    <dataValidation sqref="J6" showDropDown="0" showInputMessage="0" showErrorMessage="0" allowBlank="1" type="list">
      <formula1>"A. Kokott,C. Trapp SV,D. Brucker,E. Bieler,J. Dorchies,J. Dorn,O. Haag BS-CAD,P. Bergner,R. Wagen CAD,T. Trautmann,U. Sutter ADM"</formula1>
    </dataValidation>
    <dataValidation sqref="J9" showDropDown="0" showInputMessage="0" showErrorMessage="0" allowBlank="1" type="list">
      <formula1>"T. Trautmann"</formula1>
    </dataValidation>
    <dataValidation sqref="J10" showDropDown="0" showInputMessage="0" showErrorMessage="0" allowBlank="1" type="list">
      <formula1>"C. Trapp SV,E. Bieler"</formula1>
    </dataValidation>
    <dataValidation sqref="J11" showDropDown="0" showInputMessage="0" showErrorMessage="0" allowBlank="1" type="list">
      <formula1>"C. Trapp SV,U. Sutter ADM"</formula1>
    </dataValidation>
    <dataValidation sqref="J12" showDropDown="0" showInputMessage="0" showErrorMessage="0" allowBlank="1" type="list">
      <formula1>"A. Kokott,J. Dorn,T. Trautmann"</formula1>
    </dataValidation>
    <dataValidation sqref="J13" showDropDown="0" showInputMessage="0" showErrorMessage="0" allowBlank="1" type="list">
      <formula1>"E. Bieler"</formula1>
    </dataValidation>
    <dataValidation sqref="J14" showDropDown="0" showInputMessage="0" showErrorMessage="0" allowBlank="1" type="list">
      <formula1>"A. Kokott,E. Bieler,J. Dorchies,T. Trautmann"</formula1>
    </dataValidation>
    <dataValidation sqref="J16" showDropDown="0" showInputMessage="0" showErrorMessage="0" allowBlank="1" type="list">
      <formula1>"A. Kokott,E. Bieler,J. Dorn"</formula1>
    </dataValidation>
    <dataValidation sqref="J17" showDropDown="0" showInputMessage="0" showErrorMessage="0" allowBlank="1" type="list">
      <formula1>"A. Kokott,E. Bieler"</formula1>
    </dataValidation>
    <dataValidation sqref="J26" showDropDown="0" showInputMessage="0" showErrorMessage="0" allowBlank="1" type="list">
      <formula1>"A. Kokott,C. Trapp SV,D. Brucker,E. Bieler,J. Dorchies,J. Dorn,O. Haag BS-CAD,P. Bergner,R. Wagen CAD,T. Trautmann,U. Sutter ADM"</formula1>
    </dataValidation>
    <dataValidation sqref="J27" showDropDown="0" showInputMessage="0" showErrorMessage="0" allowBlank="1" type="list">
      <formula1>"A. Kokott"</formula1>
    </dataValidation>
    <dataValidation sqref="J28" showDropDown="0" showInputMessage="0" showErrorMessage="0" allowBlank="1" type="list">
      <formula1>"T. Trautmann"</formula1>
    </dataValidation>
    <dataValidation sqref="J29" showDropDown="0" showInputMessage="0" showErrorMessage="0" allowBlank="1" type="list">
      <formula1>"A. Kokott"</formula1>
    </dataValidation>
    <dataValidation sqref="J31" showDropDown="0" showInputMessage="0" showErrorMessage="0" allowBlank="1" type="list">
      <formula1>"C. Trapp SV,E. Bieler"</formula1>
    </dataValidation>
    <dataValidation sqref="J32" showDropDown="0" showInputMessage="0" showErrorMessage="0" allowBlank="1" type="list">
      <formula1>"C. Trapp SV,U. Sutter ADM"</formula1>
    </dataValidation>
    <dataValidation sqref="J33" showDropDown="0" showInputMessage="0" showErrorMessage="0" allowBlank="1" type="list">
      <formula1>"U. Sutter ADM"</formula1>
    </dataValidation>
    <dataValidation sqref="J34" showDropDown="0" showInputMessage="0" showErrorMessage="0" allowBlank="1" type="list">
      <formula1>"P. Bergner"</formula1>
    </dataValidation>
    <dataValidation sqref="J35" showDropDown="0" showInputMessage="0" showErrorMessage="0" allowBlank="1" type="list">
      <formula1>"A. Kokott,E. Bieler,J. Dorchies,T. Trautmann"</formula1>
    </dataValidation>
    <dataValidation sqref="J36" showDropDown="0" showInputMessage="0" showErrorMessage="0" allowBlank="1" type="list">
      <formula1>"A. Kokott,E. Bieler,J. Dorn"</formula1>
    </dataValidation>
    <dataValidation sqref="J45" showDropDown="0" showInputMessage="0" showErrorMessage="0" allowBlank="1" type="list">
      <formula1>"A. Kokott,C. Trapp SV,D. Brucker,E. Bieler,J. Dorchies,J. Dorn,O. Haag BS-CAD,P. Bergner,R. Wagen CAD,T. Trautmann,U. Sutter ADM"</formula1>
    </dataValidation>
    <dataValidation sqref="J47" showDropDown="0" showInputMessage="0" showErrorMessage="0" allowBlank="1" type="list">
      <formula1>"A. Kokott"</formula1>
    </dataValidation>
    <dataValidation sqref="J48" showDropDown="0" showInputMessage="0" showErrorMessage="0" allowBlank="1" type="list">
      <formula1>"T. Trautmann"</formula1>
    </dataValidation>
    <dataValidation sqref="J49" showDropDown="0" showInputMessage="0" showErrorMessage="0" allowBlank="1" type="list">
      <formula1>"T. Trautmann"</formula1>
    </dataValidation>
    <dataValidation sqref="J50" showDropDown="0" showInputMessage="0" showErrorMessage="0" allowBlank="1" type="list">
      <formula1>"A. Kokott"</formula1>
    </dataValidation>
    <dataValidation sqref="J51" showDropDown="0" showInputMessage="0" showErrorMessage="0" allowBlank="1" type="list">
      <formula1>"C. Trapp SV,E. Bieler"</formula1>
    </dataValidation>
    <dataValidation sqref="J52" showDropDown="0" showInputMessage="0" showErrorMessage="0" allowBlank="1" type="list">
      <formula1>"C. Trapp SV,U. Sutter ADM"</formula1>
    </dataValidation>
    <dataValidation sqref="J57" showDropDown="0" showInputMessage="0" showErrorMessage="0" allowBlank="1" type="list">
      <formula1>"U. Sutter ADM"</formula1>
    </dataValidation>
    <dataValidation sqref="J58" showDropDown="0" showInputMessage="0" showErrorMessage="0" allowBlank="1" type="list">
      <formula1>"J. Dorn,U. Sutter ADM"</formula1>
    </dataValidation>
    <dataValidation sqref="J61" showDropDown="0" showInputMessage="0" showErrorMessage="0" allowBlank="1" type="list">
      <formula1>"A. Kokott,J. Dorn,O. Haag BS-CAD,T. Trautmann"</formula1>
    </dataValidation>
    <dataValidation sqref="J62" showDropDown="0" showInputMessage="0" showErrorMessage="0" allowBlank="1" type="list">
      <formula1>"A. Kokott,E. Bieler,J. Dorchies,T. Trautmann"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8" customWidth="1" min="3" max="3"/>
    <col width="12" customWidth="1" min="4" max="4"/>
    <col width="12" customWidth="1" min="5" max="5"/>
    <col width="12" customWidth="1" min="6" max="6"/>
    <col width="8" customWidth="1" min="7" max="7"/>
    <col width="16" customWidth="1" min="8" max="8"/>
    <col width="12" customWidth="1" min="9" max="9"/>
    <col width="25" customWidth="1" min="10" max="10"/>
    <col width="15" customWidth="1" min="11" max="11"/>
    <col width="18" customWidth="1" min="12" max="12"/>
    <col width="15" customWidth="1" min="13" max="13"/>
    <col width="18" customWidth="1" min="14" max="14"/>
    <col width="15" customWidth="1" min="15" max="15"/>
    <col width="22" customWidth="1" min="16" max="16"/>
  </cols>
  <sheetData>
    <row r="1">
      <c r="A1" t="inlineStr">
        <is>
          <t>M. Bandlofsky CAD - Quartalsreport 2025Q3</t>
        </is>
      </c>
    </row>
    <row r="2">
      <c r="A2" s="12" t="inlineStr">
        <is>
          <t>Position:</t>
        </is>
      </c>
      <c r="B2" t="inlineStr">
        <is>
          <t>SV</t>
        </is>
      </c>
    </row>
    <row r="4">
      <c r="A4" s="2" t="inlineStr">
        <is>
          <t>--- Juli 2025 ---</t>
        </is>
      </c>
    </row>
    <row r="5">
      <c r="A5" s="3" t="inlineStr">
        <is>
          <t>Projekt</t>
        </is>
      </c>
      <c r="B5" s="3" t="inlineStr">
        <is>
          <t>Meilenstein</t>
        </is>
      </c>
      <c r="C5" s="3" t="inlineStr">
        <is>
          <t>Typ</t>
        </is>
      </c>
      <c r="D5" s="3" t="inlineStr">
        <is>
          <t>Soll (h)</t>
        </is>
      </c>
      <c r="E5" s="3" t="inlineStr">
        <is>
          <t>Ist (h)</t>
        </is>
      </c>
      <c r="F5" s="3" t="inlineStr">
        <is>
          <t>Juli 2025 (h)</t>
        </is>
      </c>
      <c r="G5" s="3" t="inlineStr">
        <is>
          <t>%</t>
        </is>
      </c>
      <c r="H5" s="3" t="inlineStr">
        <is>
          <t>Bonus-Anpassung (h)</t>
        </is>
      </c>
      <c r="I5" s="3" t="inlineStr">
        <is>
          <t>Differenz (h)</t>
        </is>
      </c>
      <c r="J5" s="3" t="inlineStr">
        <is>
          <t>Zuordnen an</t>
        </is>
      </c>
      <c r="K5" s="3" t="inlineStr">
        <is>
          <t>Von anderen (h)</t>
        </is>
      </c>
      <c r="L5" s="3" t="inlineStr">
        <is>
          <t>Stundensatz (€/h)</t>
        </is>
      </c>
      <c r="M5" s="3" t="inlineStr">
        <is>
          <t>Umsatz (€)</t>
        </is>
      </c>
      <c r="N5" s="3" t="inlineStr">
        <is>
          <t>Budget Gesamt (€)</t>
        </is>
      </c>
      <c r="O5" s="3" t="inlineStr">
        <is>
          <t>Budget Ist (€)</t>
        </is>
      </c>
      <c r="P5" s="3" t="inlineStr">
        <is>
          <t>Budget Erwirtschaftet (€)</t>
        </is>
      </c>
    </row>
    <row r="6">
      <c r="A6" s="4" t="inlineStr">
        <is>
          <t>5757 Hirschberger-Straße-1-Schriesheim-Kurpfalz-Gymnasium</t>
        </is>
      </c>
      <c r="B6" s="4" t="inlineStr">
        <is>
          <t>8000-Objektüberwachung</t>
        </is>
      </c>
      <c r="C6" s="4" t="inlineStr">
        <is>
          <t>G</t>
        </is>
      </c>
      <c r="D6" s="4" t="n">
        <v>283</v>
      </c>
      <c r="E6" s="4" t="n">
        <v>232.5</v>
      </c>
      <c r="F6" s="4" t="n">
        <v>0.25</v>
      </c>
      <c r="G6" s="17" t="n">
        <v>82.16</v>
      </c>
      <c r="H6" s="5" t="n"/>
      <c r="I6" s="5">
        <f>IF(H6=0,"",F6-H6)</f>
        <v/>
      </c>
      <c r="J6" s="4" t="n"/>
      <c r="K6" s="5">
        <f>IF('T. Trautmann'!J15="M. Bandlofsky CAD",'T. Trautmann'!I15,0)</f>
        <v/>
      </c>
      <c r="L6" s="11">
        <f>IF($B$2="-","",IF($B$2="Pauschale",IFERROR(INDEX('Projekt-Budget-Übersicht'!$H:$H,MATCH(A6,'Projekt-Budget-Übersicht'!$A:$A,0)),""),IF($B$2="SV",IFERROR(INDEX('Projekt-Budget-Übersicht'!$H:$H,MATCH(A6,'Projekt-Budget-Übersicht'!$A:$A,0)),""),IF($B$2="CAD",IFERROR(INDEX('Projekt-Budget-Übersicht'!$I:$I,MATCH(A6,'Projekt-Budget-Übersicht'!$A:$A,0)),""),IF($B$2="ADM",IFERROR(INDEX('Projekt-Budget-Übersicht'!$J:$J,MATCH(A6,'Projekt-Budget-Übersicht'!$A:$A,0)),""),"")))))</f>
        <v/>
      </c>
      <c r="M6" s="11">
        <f>IF($B$2="-","",L6*(F6+I6+K6))</f>
        <v/>
      </c>
      <c r="N6" s="11">
        <f>IFERROR(INDEX('Projekt-Budget-Übersicht'!$E:$E,MATCH(A6,'Projekt-Budget-Übersicht'!$A:$A,0)),"")</f>
        <v/>
      </c>
      <c r="O6" s="11" t="inlineStr"/>
      <c r="P6" s="11" t="inlineStr"/>
    </row>
    <row r="7">
      <c r="A7" s="13" t="inlineStr">
        <is>
          <t>8100 UStrich-Stunden-für-Mosaik-/Kaarst-Projekte</t>
        </is>
      </c>
      <c r="B7" s="4" t="inlineStr">
        <is>
          <t>Pos. 1.003: Abgleich FRP – 400€</t>
        </is>
      </c>
      <c r="C7" s="4" t="inlineStr">
        <is>
          <t>G</t>
        </is>
      </c>
      <c r="D7" s="4" t="n">
        <v>0</v>
      </c>
      <c r="E7" s="4" t="n">
        <v>3.25</v>
      </c>
      <c r="F7" s="4" t="n">
        <v>3</v>
      </c>
      <c r="G7" s="4" t="n">
        <v>0</v>
      </c>
      <c r="H7" s="5" t="n"/>
      <c r="I7" s="5">
        <f>IF(H7=0,"",F7-H7)</f>
        <v/>
      </c>
      <c r="J7" s="4" t="n"/>
      <c r="K7" s="5">
        <f>IF('E. Bieler'!J41="M. Bandlofsky CAD",'E. Bieler'!I41,0)</f>
        <v/>
      </c>
      <c r="L7" s="11">
        <f>IF($B$2="-","",IF($B$2="Pauschale",IFERROR(INDEX('Projekt-Budget-Übersicht'!$H:$H,MATCH(A7,'Projekt-Budget-Übersicht'!$A:$A,0)),""),IF($B$2="SV",IFERROR(INDEX('Projekt-Budget-Übersicht'!$H:$H,MATCH(A7,'Projekt-Budget-Übersicht'!$A:$A,0)),""),IF($B$2="CAD",IFERROR(INDEX('Projekt-Budget-Übersicht'!$I:$I,MATCH(A7,'Projekt-Budget-Übersicht'!$A:$A,0)),""),IF($B$2="ADM",IFERROR(INDEX('Projekt-Budget-Übersicht'!$J:$J,MATCH(A7,'Projekt-Budget-Übersicht'!$A:$A,0)),""),"")))))</f>
        <v/>
      </c>
      <c r="M7" s="11">
        <f>IF($B$2="-","",L7*(F7+I7+K7))</f>
        <v/>
      </c>
      <c r="N7" s="11">
        <f>IFERROR(INDEX('Projekt-Budget-Übersicht'!$E:$E,MATCH(A7,'Projekt-Budget-Übersicht'!$A:$A,0)),"")</f>
        <v/>
      </c>
      <c r="O7" s="11" t="inlineStr"/>
      <c r="P7" s="11" t="inlineStr"/>
    </row>
    <row r="8">
      <c r="A8" s="15" t="n"/>
      <c r="B8" s="4" t="inlineStr">
        <is>
          <t>Pos. 2.005: Abgleich FWP – 800€</t>
        </is>
      </c>
      <c r="C8" s="4" t="inlineStr">
        <is>
          <t>G</t>
        </is>
      </c>
      <c r="D8" s="4" t="n">
        <v>0</v>
      </c>
      <c r="E8" s="4" t="n">
        <v>5.5</v>
      </c>
      <c r="F8" s="4" t="n">
        <v>5.5</v>
      </c>
      <c r="G8" s="4" t="n">
        <v>0</v>
      </c>
      <c r="H8" s="5" t="n"/>
      <c r="I8" s="5">
        <f>IF(H8=0,"",F8-H8)</f>
        <v/>
      </c>
      <c r="J8" s="4" t="n"/>
      <c r="K8" s="5" t="n">
        <v>0</v>
      </c>
      <c r="L8" s="11">
        <f>IF($B$2="-","",IF($B$2="Pauschale",IFERROR(INDEX('Projekt-Budget-Übersicht'!$H:$H,MATCH(A8,'Projekt-Budget-Übersicht'!$A:$A,0)),""),IF($B$2="SV",IFERROR(INDEX('Projekt-Budget-Übersicht'!$H:$H,MATCH(A8,'Projekt-Budget-Übersicht'!$A:$A,0)),""),IF($B$2="CAD",IFERROR(INDEX('Projekt-Budget-Übersicht'!$I:$I,MATCH(A8,'Projekt-Budget-Übersicht'!$A:$A,0)),""),IF($B$2="ADM",IFERROR(INDEX('Projekt-Budget-Übersicht'!$J:$J,MATCH(A8,'Projekt-Budget-Übersicht'!$A:$A,0)),""),"")))))</f>
        <v/>
      </c>
      <c r="M8" s="11">
        <f>IF($B$2="-","",L8*(F8+I8+K8))</f>
        <v/>
      </c>
      <c r="N8" s="11">
        <f>IFERROR(INDEX('Projekt-Budget-Übersicht'!$E:$E,MATCH(A8,'Projekt-Budget-Übersicht'!$A:$A,0)),"")</f>
        <v/>
      </c>
      <c r="O8" s="11" t="inlineStr"/>
      <c r="P8" s="11" t="inlineStr"/>
    </row>
    <row r="9">
      <c r="A9" s="3" t="inlineStr"/>
      <c r="B9" s="3" t="inlineStr">
        <is>
          <t>Summe</t>
        </is>
      </c>
      <c r="C9" s="3" t="inlineStr"/>
      <c r="D9" s="3" t="inlineStr"/>
      <c r="E9" s="3" t="inlineStr"/>
      <c r="F9" s="6" t="n">
        <v>8.75</v>
      </c>
      <c r="G9" s="3" t="inlineStr"/>
      <c r="H9" s="3" t="inlineStr"/>
      <c r="I9" s="3" t="inlineStr"/>
      <c r="J9" s="3" t="inlineStr"/>
      <c r="K9" s="3" t="inlineStr"/>
      <c r="L9" s="3" t="n"/>
      <c r="M9" s="3" t="n"/>
      <c r="N9" s="3" t="n"/>
      <c r="O9" s="3" t="n"/>
      <c r="P9" s="3" t="n"/>
    </row>
    <row r="10">
      <c r="A10" s="3" t="inlineStr"/>
      <c r="B10" s="3" t="inlineStr">
        <is>
          <t>Bonusberechtigte Stunden</t>
        </is>
      </c>
      <c r="C10" s="3" t="inlineStr"/>
      <c r="D10" s="3" t="inlineStr"/>
      <c r="E10" s="3" t="inlineStr"/>
      <c r="F10" s="6">
        <f>G10+H10</f>
        <v/>
      </c>
      <c r="G10" s="6" t="n">
        <v>8.75</v>
      </c>
      <c r="H10" s="6">
        <f>SUM(H6,H7,H8)</f>
        <v/>
      </c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</row>
    <row r="11">
      <c r="A11" s="3" t="inlineStr"/>
      <c r="B11" s="3" t="inlineStr">
        <is>
          <t>Bonusberechtigte Stunden Sonderprojekt</t>
        </is>
      </c>
      <c r="C11" s="3" t="inlineStr"/>
      <c r="D11" s="3" t="inlineStr"/>
      <c r="E11" s="3" t="inlineStr"/>
      <c r="F11" s="6" t="n">
        <v>0</v>
      </c>
      <c r="G11" s="6" t="n">
        <v>0</v>
      </c>
      <c r="H11" s="6" t="n">
        <v>0</v>
      </c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</row>
    <row r="12">
      <c r="A12" s="3" t="inlineStr"/>
      <c r="B12" s="3" t="inlineStr">
        <is>
          <t>Zugeordnete Stunden von anderen MA</t>
        </is>
      </c>
      <c r="C12" s="3" t="inlineStr"/>
      <c r="D12" s="3" t="inlineStr"/>
      <c r="E12" s="3" t="inlineStr"/>
      <c r="F12" s="6">
        <f>SUM(K6:K8)</f>
        <v/>
      </c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</row>
    <row r="13">
      <c r="A13" s="18" t="inlineStr"/>
      <c r="B13" s="18" t="inlineStr">
        <is>
          <t>Gesamt Bonus Stunden</t>
        </is>
      </c>
      <c r="C13" s="18" t="inlineStr"/>
      <c r="D13" s="18" t="inlineStr"/>
      <c r="E13" s="18" t="inlineStr"/>
      <c r="F13" s="19">
        <f>F10+F11+F12</f>
        <v/>
      </c>
      <c r="G13" s="18" t="inlineStr"/>
      <c r="H13" s="18" t="inlineStr"/>
      <c r="I13" s="18" t="inlineStr"/>
      <c r="J13" s="18" t="inlineStr"/>
      <c r="K13" s="18" t="inlineStr"/>
      <c r="L13" s="18" t="n"/>
      <c r="M13" s="18" t="n"/>
      <c r="N13" s="18" t="n"/>
      <c r="O13" s="18" t="n"/>
      <c r="P13" s="18" t="n"/>
    </row>
    <row r="15">
      <c r="A15" s="2" t="inlineStr">
        <is>
          <t>--- September 2025 ---</t>
        </is>
      </c>
    </row>
    <row r="16">
      <c r="A16" s="3" t="inlineStr">
        <is>
          <t>Projekt</t>
        </is>
      </c>
      <c r="B16" s="3" t="inlineStr">
        <is>
          <t>Meilenstein</t>
        </is>
      </c>
      <c r="C16" s="3" t="inlineStr">
        <is>
          <t>Typ</t>
        </is>
      </c>
      <c r="D16" s="3" t="inlineStr">
        <is>
          <t>Soll (h)</t>
        </is>
      </c>
      <c r="E16" s="3" t="inlineStr">
        <is>
          <t>Ist (h)</t>
        </is>
      </c>
      <c r="F16" s="3" t="inlineStr">
        <is>
          <t>September 2025 (h)</t>
        </is>
      </c>
      <c r="G16" s="3" t="inlineStr">
        <is>
          <t>%</t>
        </is>
      </c>
      <c r="H16" s="3" t="inlineStr">
        <is>
          <t>Bonus-Anpassung (h)</t>
        </is>
      </c>
      <c r="I16" s="3" t="inlineStr">
        <is>
          <t>Differenz (h)</t>
        </is>
      </c>
      <c r="J16" s="3" t="inlineStr">
        <is>
          <t>Zuordnen an</t>
        </is>
      </c>
      <c r="K16" s="3" t="inlineStr">
        <is>
          <t>Von anderen (h)</t>
        </is>
      </c>
      <c r="L16" s="3" t="inlineStr">
        <is>
          <t>Stundensatz (€/h)</t>
        </is>
      </c>
      <c r="M16" s="3" t="inlineStr">
        <is>
          <t>Umsatz (€)</t>
        </is>
      </c>
      <c r="N16" s="3" t="inlineStr">
        <is>
          <t>Budget Gesamt (€)</t>
        </is>
      </c>
      <c r="O16" s="3" t="inlineStr">
        <is>
          <t>Budget Ist (€)</t>
        </is>
      </c>
      <c r="P16" s="3" t="inlineStr">
        <is>
          <t>Budget Erwirtschaftet (€)</t>
        </is>
      </c>
    </row>
    <row r="17">
      <c r="A17" s="4" t="inlineStr">
        <is>
          <t>5757.06 Stadt-Schriesheim-FWP-Gymnasium-Hirschbergstr1-Schriesheim</t>
        </is>
      </c>
      <c r="B17" s="4" t="inlineStr">
        <is>
          <t>CAD</t>
        </is>
      </c>
      <c r="C17" s="4" t="inlineStr">
        <is>
          <t>G</t>
        </is>
      </c>
      <c r="D17" s="4" t="n">
        <v>0</v>
      </c>
      <c r="E17" s="4" t="n">
        <v>36.25</v>
      </c>
      <c r="F17" s="4" t="n">
        <v>14.75</v>
      </c>
      <c r="G17" s="4" t="n">
        <v>0</v>
      </c>
      <c r="H17" s="5" t="n"/>
      <c r="I17" s="5">
        <f>IF(H17=0,"",F17-H17)</f>
        <v/>
      </c>
      <c r="J17" s="4" t="n"/>
      <c r="K17" s="5">
        <f>IF('O. Haag BS-CAD'!J100="M. Bandlofsky CAD",'O. Haag BS-CAD'!I100,0)</f>
        <v/>
      </c>
      <c r="L17" s="11">
        <f>IF($B$2="-","",IF($B$2="Pauschale",IFERROR(INDEX('Projekt-Budget-Übersicht'!$H:$H,MATCH(A17,'Projekt-Budget-Übersicht'!$A:$A,0)),""),IF($B$2="SV",IFERROR(INDEX('Projekt-Budget-Übersicht'!$H:$H,MATCH(A17,'Projekt-Budget-Übersicht'!$A:$A,0)),""),IF($B$2="CAD",IFERROR(INDEX('Projekt-Budget-Übersicht'!$I:$I,MATCH(A17,'Projekt-Budget-Übersicht'!$A:$A,0)),""),IF($B$2="ADM",IFERROR(INDEX('Projekt-Budget-Übersicht'!$J:$J,MATCH(A17,'Projekt-Budget-Übersicht'!$A:$A,0)),""),"")))))</f>
        <v/>
      </c>
      <c r="M17" s="11">
        <f>IF($B$2="-","",L17*(F17+I17+K17))</f>
        <v/>
      </c>
      <c r="N17" s="11">
        <f>IFERROR(INDEX('Projekt-Budget-Übersicht'!$E:$E,MATCH(A17,'Projekt-Budget-Übersicht'!$A:$A,0)),"")</f>
        <v/>
      </c>
      <c r="O17" s="11" t="inlineStr"/>
      <c r="P17" s="11" t="inlineStr"/>
    </row>
    <row r="18">
      <c r="A18" s="4" t="inlineStr">
        <is>
          <t>6643 BTB-FRP-FWP-Ersatzneubau-Krankenhaus-Hohenlohe-Öhringen-Vamed</t>
        </is>
      </c>
      <c r="B18" s="4" t="inlineStr">
        <is>
          <t>Bestandsaufnahme FuR + FWP</t>
        </is>
      </c>
      <c r="C18" s="4" t="inlineStr">
        <is>
          <t>G</t>
        </is>
      </c>
      <c r="D18" s="4" t="n">
        <v>10</v>
      </c>
      <c r="E18" s="4" t="n">
        <v>14</v>
      </c>
      <c r="F18" s="4" t="n">
        <v>0.5</v>
      </c>
      <c r="G18" s="16" t="n">
        <v>140</v>
      </c>
      <c r="H18" s="5" t="n"/>
      <c r="I18" s="5">
        <f>IF(H18=0,"",F18-H18)</f>
        <v/>
      </c>
      <c r="J18" s="4" t="n"/>
      <c r="K18" s="5" t="n">
        <v>0</v>
      </c>
      <c r="L18" s="11">
        <f>IF($B$2="-","",IF($B$2="Pauschale",IFERROR(INDEX('Projekt-Budget-Übersicht'!$H:$H,MATCH(A18,'Projekt-Budget-Übersicht'!$A:$A,0)),""),IF($B$2="SV",IFERROR(INDEX('Projekt-Budget-Übersicht'!$H:$H,MATCH(A18,'Projekt-Budget-Übersicht'!$A:$A,0)),""),IF($B$2="CAD",IFERROR(INDEX('Projekt-Budget-Übersicht'!$I:$I,MATCH(A18,'Projekt-Budget-Übersicht'!$A:$A,0)),""),IF($B$2="ADM",IFERROR(INDEX('Projekt-Budget-Übersicht'!$J:$J,MATCH(A18,'Projekt-Budget-Übersicht'!$A:$A,0)),""),"")))))</f>
        <v/>
      </c>
      <c r="M18" s="11">
        <f>IF($B$2="-","",L18*(F18+I18+K18))</f>
        <v/>
      </c>
      <c r="N18" s="11">
        <f>IFERROR(INDEX('Projekt-Budget-Übersicht'!$E:$E,MATCH(A18,'Projekt-Budget-Übersicht'!$A:$A,0)),"")</f>
        <v/>
      </c>
      <c r="O18" s="11" t="inlineStr"/>
      <c r="P18" s="11" t="inlineStr"/>
    </row>
    <row r="19">
      <c r="A19" s="3" t="inlineStr"/>
      <c r="B19" s="3" t="inlineStr">
        <is>
          <t>Summe</t>
        </is>
      </c>
      <c r="C19" s="3" t="inlineStr"/>
      <c r="D19" s="3" t="inlineStr"/>
      <c r="E19" s="3" t="inlineStr"/>
      <c r="F19" s="6" t="n">
        <v>15.25</v>
      </c>
      <c r="G19" s="3" t="inlineStr"/>
      <c r="H19" s="3" t="inlineStr"/>
      <c r="I19" s="3" t="inlineStr"/>
      <c r="J19" s="3" t="inlineStr"/>
      <c r="K19" s="3" t="inlineStr"/>
      <c r="L19" s="3" t="n"/>
      <c r="M19" s="3" t="n"/>
      <c r="N19" s="3" t="n"/>
      <c r="O19" s="3" t="n"/>
      <c r="P19" s="3" t="n"/>
    </row>
    <row r="20">
      <c r="A20" s="3" t="inlineStr"/>
      <c r="B20" s="3" t="inlineStr">
        <is>
          <t>Bonusberechtigte Stunden</t>
        </is>
      </c>
      <c r="C20" s="3" t="inlineStr"/>
      <c r="D20" s="3" t="inlineStr"/>
      <c r="E20" s="3" t="inlineStr"/>
      <c r="F20" s="6">
        <f>G20+H20</f>
        <v/>
      </c>
      <c r="G20" s="6" t="n">
        <v>14.75</v>
      </c>
      <c r="H20" s="6">
        <f>SUM(H17,H18)</f>
        <v/>
      </c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</row>
    <row r="21">
      <c r="A21" s="3" t="inlineStr"/>
      <c r="B21" s="3" t="inlineStr">
        <is>
          <t>Bonusberechtigte Stunden Sonderprojekt</t>
        </is>
      </c>
      <c r="C21" s="3" t="inlineStr"/>
      <c r="D21" s="3" t="inlineStr"/>
      <c r="E21" s="3" t="inlineStr"/>
      <c r="F21" s="6" t="n">
        <v>0</v>
      </c>
      <c r="G21" s="6" t="n">
        <v>0</v>
      </c>
      <c r="H21" s="6" t="n">
        <v>0</v>
      </c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</row>
    <row r="22">
      <c r="A22" s="3" t="inlineStr"/>
      <c r="B22" s="3" t="inlineStr">
        <is>
          <t>Zugeordnete Stunden von anderen MA</t>
        </is>
      </c>
      <c r="C22" s="3" t="inlineStr"/>
      <c r="D22" s="3" t="inlineStr"/>
      <c r="E22" s="3" t="inlineStr"/>
      <c r="F22" s="6">
        <f>SUM(K17:K18)</f>
        <v/>
      </c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</row>
    <row r="23">
      <c r="A23" s="18" t="inlineStr"/>
      <c r="B23" s="18" t="inlineStr">
        <is>
          <t>Gesamt Bonus Stunden</t>
        </is>
      </c>
      <c r="C23" s="18" t="inlineStr"/>
      <c r="D23" s="18" t="inlineStr"/>
      <c r="E23" s="18" t="inlineStr"/>
      <c r="F23" s="19">
        <f>F20+F21+F22</f>
        <v/>
      </c>
      <c r="G23" s="18" t="inlineStr"/>
      <c r="H23" s="18" t="inlineStr"/>
      <c r="I23" s="18" t="inlineStr"/>
      <c r="J23" s="18" t="inlineStr"/>
      <c r="K23" s="18" t="inlineStr"/>
      <c r="L23" s="18" t="n"/>
      <c r="M23" s="18" t="n"/>
      <c r="N23" s="18" t="n"/>
      <c r="O23" s="18" t="n"/>
      <c r="P23" s="18" t="n"/>
    </row>
    <row r="25">
      <c r="A25" s="2" t="inlineStr">
        <is>
          <t>--- Übertragshilfe ---</t>
        </is>
      </c>
    </row>
    <row r="26">
      <c r="A26" s="3" t="inlineStr">
        <is>
          <t>Monat</t>
        </is>
      </c>
      <c r="B26" s="3" t="inlineStr">
        <is>
          <t>Mitarbeiter</t>
        </is>
      </c>
      <c r="C26" s="3" t="inlineStr">
        <is>
          <t>Prod. Stunden</t>
        </is>
      </c>
      <c r="D26" s="3" t="inlineStr">
        <is>
          <t>Bonusberechtigte Stunden</t>
        </is>
      </c>
      <c r="E26" s="3" t="inlineStr">
        <is>
          <t>Bonusberechtigte Stunden Sonderprojekt</t>
        </is>
      </c>
      <c r="F26" s="3" t="inlineStr">
        <is>
          <t>Zugeordnet von anderen</t>
        </is>
      </c>
      <c r="G26" s="3" t="inlineStr">
        <is>
          <t>Gesamt Bonus</t>
        </is>
      </c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</row>
    <row r="27">
      <c r="A27" s="4" t="inlineStr">
        <is>
          <t>Juli 2025</t>
        </is>
      </c>
      <c r="B27" s="4" t="inlineStr">
        <is>
          <t>M. Bandlofsky CAD</t>
        </is>
      </c>
      <c r="C27" s="4">
        <f>F9</f>
        <v/>
      </c>
      <c r="D27" s="4">
        <f>F10</f>
        <v/>
      </c>
      <c r="E27" s="4">
        <f>F11</f>
        <v/>
      </c>
      <c r="F27" s="4">
        <f>F12</f>
        <v/>
      </c>
      <c r="G27" s="4">
        <f>F13</f>
        <v/>
      </c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</row>
    <row r="28">
      <c r="A28" s="4" t="inlineStr">
        <is>
          <t>September 2025</t>
        </is>
      </c>
      <c r="B28" s="4" t="inlineStr">
        <is>
          <t>M. Bandlofsky CAD</t>
        </is>
      </c>
      <c r="C28" s="4">
        <f>F19</f>
        <v/>
      </c>
      <c r="D28" s="4">
        <f>F20</f>
        <v/>
      </c>
      <c r="E28" s="4">
        <f>F21</f>
        <v/>
      </c>
      <c r="F28" s="4">
        <f>F22</f>
        <v/>
      </c>
      <c r="G28" s="4">
        <f>F23</f>
        <v/>
      </c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</row>
    <row r="31">
      <c r="A31" s="2" t="inlineStr">
        <is>
          <t>--- Gesamtstunden 2025Q3 ---</t>
        </is>
      </c>
    </row>
    <row r="32">
      <c r="A32" s="12" t="inlineStr">
        <is>
          <t>Gesamt eingetragene Stunden:</t>
        </is>
      </c>
      <c r="B32" s="12" t="n">
        <v>24</v>
      </c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</row>
    <row r="33">
      <c r="A33" s="12" t="inlineStr">
        <is>
          <t>Bonusberechtigte Stunden (Quartal):</t>
        </is>
      </c>
      <c r="B33" s="20">
        <f>SUM(F10,F20)</f>
        <v/>
      </c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</row>
    <row r="34">
      <c r="A34" s="12" t="inlineStr">
        <is>
          <t>Bonusberechtigte Stunden Sonderprojekt (Quartal):</t>
        </is>
      </c>
      <c r="B34" s="20">
        <f>SUM(F11,F21)</f>
        <v/>
      </c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</row>
  </sheetData>
  <mergeCells count="1">
    <mergeCell ref="A7:A8"/>
  </mergeCells>
  <conditionalFormatting sqref="I6">
    <cfRule type="cellIs" priority="1" operator="lessThan" dxfId="0" stopIfTrue="1">
      <formula>0</formula>
    </cfRule>
  </conditionalFormatting>
  <conditionalFormatting sqref="I7">
    <cfRule type="cellIs" priority="2" operator="lessThan" dxfId="0" stopIfTrue="1">
      <formula>0</formula>
    </cfRule>
  </conditionalFormatting>
  <conditionalFormatting sqref="I8">
    <cfRule type="cellIs" priority="3" operator="lessThan" dxfId="0" stopIfTrue="1">
      <formula>0</formula>
    </cfRule>
  </conditionalFormatting>
  <conditionalFormatting sqref="I17">
    <cfRule type="cellIs" priority="4" operator="lessThan" dxfId="0" stopIfTrue="1">
      <formula>0</formula>
    </cfRule>
  </conditionalFormatting>
  <conditionalFormatting sqref="I18">
    <cfRule type="cellIs" priority="5" operator="lessThan" dxfId="0" stopIfTrue="1">
      <formula>0</formula>
    </cfRule>
  </conditionalFormatting>
  <dataValidations count="4">
    <dataValidation sqref="B2" showDropDown="0" showInputMessage="0" showErrorMessage="0" allowBlank="0" type="list">
      <formula1>"SV,CAD,ADM,Pauschale,-"</formula1>
    </dataValidation>
    <dataValidation sqref="J6" showDropDown="0" showInputMessage="0" showErrorMessage="0" allowBlank="1" type="list">
      <formula1>"T. Trautmann"</formula1>
    </dataValidation>
    <dataValidation sqref="J7" showDropDown="0" showInputMessage="0" showErrorMessage="0" allowBlank="1" type="list">
      <formula1>"E. Bieler"</formula1>
    </dataValidation>
    <dataValidation sqref="J17" showDropDown="0" showInputMessage="0" showErrorMessage="0" allowBlank="1" type="list">
      <formula1>"O. Haag BS-CAD"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8" customWidth="1" min="3" max="3"/>
    <col width="12" customWidth="1" min="4" max="4"/>
    <col width="12" customWidth="1" min="5" max="5"/>
    <col width="12" customWidth="1" min="6" max="6"/>
    <col width="8" customWidth="1" min="7" max="7"/>
    <col width="16" customWidth="1" min="8" max="8"/>
    <col width="12" customWidth="1" min="9" max="9"/>
    <col width="25" customWidth="1" min="10" max="10"/>
    <col width="15" customWidth="1" min="11" max="11"/>
    <col width="18" customWidth="1" min="12" max="12"/>
    <col width="15" customWidth="1" min="13" max="13"/>
    <col width="18" customWidth="1" min="14" max="14"/>
    <col width="15" customWidth="1" min="15" max="15"/>
    <col width="22" customWidth="1" min="16" max="16"/>
  </cols>
  <sheetData>
    <row r="1">
      <c r="A1" t="inlineStr">
        <is>
          <t>M. Warner - Quartalsreport 2025Q3</t>
        </is>
      </c>
    </row>
    <row r="2">
      <c r="A2" s="12" t="inlineStr">
        <is>
          <t>Position:</t>
        </is>
      </c>
      <c r="B2" t="inlineStr">
        <is>
          <t>SV</t>
        </is>
      </c>
    </row>
    <row r="4">
      <c r="A4" s="2" t="inlineStr">
        <is>
          <t>--- August 2025 ---</t>
        </is>
      </c>
    </row>
    <row r="5">
      <c r="A5" s="3" t="inlineStr">
        <is>
          <t>Projekt</t>
        </is>
      </c>
      <c r="B5" s="3" t="inlineStr">
        <is>
          <t>Meilenstein</t>
        </is>
      </c>
      <c r="C5" s="3" t="inlineStr">
        <is>
          <t>Typ</t>
        </is>
      </c>
      <c r="D5" s="3" t="inlineStr">
        <is>
          <t>Soll (h)</t>
        </is>
      </c>
      <c r="E5" s="3" t="inlineStr">
        <is>
          <t>Ist (h)</t>
        </is>
      </c>
      <c r="F5" s="3" t="inlineStr">
        <is>
          <t>August 2025 (h)</t>
        </is>
      </c>
      <c r="G5" s="3" t="inlineStr">
        <is>
          <t>%</t>
        </is>
      </c>
      <c r="H5" s="3" t="inlineStr">
        <is>
          <t>Bonus-Anpassung (h)</t>
        </is>
      </c>
      <c r="I5" s="3" t="inlineStr">
        <is>
          <t>Differenz (h)</t>
        </is>
      </c>
      <c r="J5" s="3" t="inlineStr">
        <is>
          <t>Zuordnen an</t>
        </is>
      </c>
      <c r="K5" s="3" t="inlineStr">
        <is>
          <t>Von anderen (h)</t>
        </is>
      </c>
      <c r="L5" s="3" t="inlineStr">
        <is>
          <t>Stundensatz (€/h)</t>
        </is>
      </c>
      <c r="M5" s="3" t="inlineStr">
        <is>
          <t>Umsatz (€)</t>
        </is>
      </c>
      <c r="N5" s="3" t="inlineStr">
        <is>
          <t>Budget Gesamt (€)</t>
        </is>
      </c>
      <c r="O5" s="3" t="inlineStr">
        <is>
          <t>Budget Ist (€)</t>
        </is>
      </c>
      <c r="P5" s="3" t="inlineStr">
        <is>
          <t>Budget Erwirtschaftet (€)</t>
        </is>
      </c>
    </row>
    <row r="6">
      <c r="A6" s="13" t="inlineStr">
        <is>
          <t>2032.061 aam2core-FRP-Halbergstraße1-LU</t>
        </is>
      </c>
      <c r="B6" s="4" t="inlineStr">
        <is>
          <t>(aN) Pos. 2 Begehung</t>
        </is>
      </c>
      <c r="C6" s="4" t="inlineStr">
        <is>
          <t>G</t>
        </is>
      </c>
      <c r="D6" s="4" t="n">
        <v>6</v>
      </c>
      <c r="E6" s="4" t="n">
        <v>2</v>
      </c>
      <c r="F6" s="4" t="n">
        <v>2</v>
      </c>
      <c r="G6" s="17" t="n">
        <v>33.33</v>
      </c>
      <c r="H6" s="5" t="n"/>
      <c r="I6" s="5">
        <f>IF(H6=0,"",F6-H6)</f>
        <v/>
      </c>
      <c r="J6" s="4" t="n"/>
      <c r="K6" s="5" t="n">
        <v>0</v>
      </c>
      <c r="L6" s="11">
        <f>IF($B$2="-","",IF($B$2="Pauschale",IFERROR(INDEX('Projekt-Budget-Übersicht'!$H:$H,MATCH(A6,'Projekt-Budget-Übersicht'!$A:$A,0)),""),IF($B$2="SV",IFERROR(INDEX('Projekt-Budget-Übersicht'!$H:$H,MATCH(A6,'Projekt-Budget-Übersicht'!$A:$A,0)),""),IF($B$2="CAD",IFERROR(INDEX('Projekt-Budget-Übersicht'!$I:$I,MATCH(A6,'Projekt-Budget-Übersicht'!$A:$A,0)),""),IF($B$2="ADM",IFERROR(INDEX('Projekt-Budget-Übersicht'!$J:$J,MATCH(A6,'Projekt-Budget-Übersicht'!$A:$A,0)),""),"")))))</f>
        <v/>
      </c>
      <c r="M6" s="11">
        <f>IF($B$2="-","",L6*(F6+I6+K6))</f>
        <v/>
      </c>
      <c r="N6" s="11">
        <f>IFERROR(INDEX('Projekt-Budget-Übersicht'!$E:$E,MATCH(A6,'Projekt-Budget-Übersicht'!$A:$A,0)),"")</f>
        <v/>
      </c>
      <c r="O6" s="11" t="inlineStr"/>
      <c r="P6" s="11" t="inlineStr"/>
    </row>
    <row r="7">
      <c r="A7" s="15" t="n"/>
      <c r="B7" s="4" t="inlineStr">
        <is>
          <t>CAD</t>
        </is>
      </c>
      <c r="C7" s="4" t="inlineStr">
        <is>
          <t>G</t>
        </is>
      </c>
      <c r="D7" s="4" t="n">
        <v>6</v>
      </c>
      <c r="E7" s="4" t="n">
        <v>6.5</v>
      </c>
      <c r="F7" s="4" t="n">
        <v>6</v>
      </c>
      <c r="G7" s="16" t="n">
        <v>108.33</v>
      </c>
      <c r="H7" s="5" t="n"/>
      <c r="I7" s="5">
        <f>IF(H7=0,"",F7-H7)</f>
        <v/>
      </c>
      <c r="J7" s="4" t="n"/>
      <c r="K7" s="5" t="n">
        <v>0</v>
      </c>
      <c r="L7" s="11">
        <f>IF($B$2="-","",IF($B$2="Pauschale",IFERROR(INDEX('Projekt-Budget-Übersicht'!$H:$H,MATCH(A7,'Projekt-Budget-Übersicht'!$A:$A,0)),""),IF($B$2="SV",IFERROR(INDEX('Projekt-Budget-Übersicht'!$H:$H,MATCH(A7,'Projekt-Budget-Übersicht'!$A:$A,0)),""),IF($B$2="CAD",IFERROR(INDEX('Projekt-Budget-Übersicht'!$I:$I,MATCH(A7,'Projekt-Budget-Übersicht'!$A:$A,0)),""),IF($B$2="ADM",IFERROR(INDEX('Projekt-Budget-Übersicht'!$J:$J,MATCH(A7,'Projekt-Budget-Übersicht'!$A:$A,0)),""),"")))))</f>
        <v/>
      </c>
      <c r="M7" s="11">
        <f>IF($B$2="-","",L7*(F7+I7+K7))</f>
        <v/>
      </c>
      <c r="N7" s="11">
        <f>IFERROR(INDEX('Projekt-Budget-Übersicht'!$E:$E,MATCH(A7,'Projekt-Budget-Übersicht'!$A:$A,0)),"")</f>
        <v/>
      </c>
      <c r="O7" s="11" t="inlineStr"/>
      <c r="P7" s="11" t="inlineStr"/>
    </row>
    <row r="8">
      <c r="A8" s="4" t="inlineStr">
        <is>
          <t>4436.043 FWP-NA003-KKH-Bergstraße-Viernheimer-Straße-2-Heppenheim-Bauphase+NB-BauteilG</t>
        </is>
      </c>
      <c r="B8" s="4" t="inlineStr">
        <is>
          <t>9200-Erstellen od. Prüfen Feuerwehrpläne….</t>
        </is>
      </c>
      <c r="C8" s="4" t="inlineStr">
        <is>
          <t>G</t>
        </is>
      </c>
      <c r="D8" s="4" t="n">
        <v>230</v>
      </c>
      <c r="E8" s="4" t="n">
        <v>31.75</v>
      </c>
      <c r="F8" s="4" t="n">
        <v>5.5</v>
      </c>
      <c r="G8" s="17" t="n">
        <v>13.8</v>
      </c>
      <c r="H8" s="5" t="n"/>
      <c r="I8" s="5">
        <f>IF(H8=0,"",F8-H8)</f>
        <v/>
      </c>
      <c r="J8" s="4" t="n"/>
      <c r="K8" s="5">
        <f>IF('A. Kokott'!J45="M. Warner",'A. Kokott'!I45,0)+IF('S. Schüler'!J62="M. Warner",'S. Schüler'!I62,0)</f>
        <v/>
      </c>
      <c r="L8" s="11">
        <f>IF($B$2="-","",IF($B$2="Pauschale",IFERROR(INDEX('Projekt-Budget-Übersicht'!$H:$H,MATCH(A8,'Projekt-Budget-Übersicht'!$A:$A,0)),""),IF($B$2="SV",IFERROR(INDEX('Projekt-Budget-Übersicht'!$H:$H,MATCH(A8,'Projekt-Budget-Übersicht'!$A:$A,0)),""),IF($B$2="CAD",IFERROR(INDEX('Projekt-Budget-Übersicht'!$I:$I,MATCH(A8,'Projekt-Budget-Übersicht'!$A:$A,0)),""),IF($B$2="ADM",IFERROR(INDEX('Projekt-Budget-Übersicht'!$J:$J,MATCH(A8,'Projekt-Budget-Übersicht'!$A:$A,0)),""),"")))))</f>
        <v/>
      </c>
      <c r="M8" s="11">
        <f>IF($B$2="-","",L8*(F8+I8+K8))</f>
        <v/>
      </c>
      <c r="N8" s="11">
        <f>IFERROR(INDEX('Projekt-Budget-Übersicht'!$E:$E,MATCH(A8,'Projekt-Budget-Übersicht'!$A:$A,0)),"")</f>
        <v/>
      </c>
      <c r="O8" s="11" t="inlineStr"/>
      <c r="P8" s="11" t="inlineStr"/>
    </row>
    <row r="9">
      <c r="A9" s="4" t="inlineStr">
        <is>
          <t>5395.04 Burkhardt-Witteler-BSK-Gesundheitszentrum-Industriestr17-Ladenburg</t>
        </is>
      </c>
      <c r="B9" s="4" t="inlineStr">
        <is>
          <t>CAD</t>
        </is>
      </c>
      <c r="C9" s="4" t="inlineStr">
        <is>
          <t>G</t>
        </is>
      </c>
      <c r="D9" s="4" t="n">
        <v>6</v>
      </c>
      <c r="E9" s="4" t="n">
        <v>8.5</v>
      </c>
      <c r="F9" s="4" t="n">
        <v>8.5</v>
      </c>
      <c r="G9" s="16" t="n">
        <v>141.67</v>
      </c>
      <c r="H9" s="5" t="n"/>
      <c r="I9" s="5">
        <f>IF(H9=0,"",F9-H9)</f>
        <v/>
      </c>
      <c r="J9" s="4" t="n"/>
      <c r="K9" s="5" t="n">
        <v>0</v>
      </c>
      <c r="L9" s="11">
        <f>IF($B$2="-","",IF($B$2="Pauschale",IFERROR(INDEX('Projekt-Budget-Übersicht'!$H:$H,MATCH(A9,'Projekt-Budget-Übersicht'!$A:$A,0)),""),IF($B$2="SV",IFERROR(INDEX('Projekt-Budget-Übersicht'!$H:$H,MATCH(A9,'Projekt-Budget-Übersicht'!$A:$A,0)),""),IF($B$2="CAD",IFERROR(INDEX('Projekt-Budget-Übersicht'!$I:$I,MATCH(A9,'Projekt-Budget-Übersicht'!$A:$A,0)),""),IF($B$2="ADM",IFERROR(INDEX('Projekt-Budget-Übersicht'!$J:$J,MATCH(A9,'Projekt-Budget-Übersicht'!$A:$A,0)),""),"")))))</f>
        <v/>
      </c>
      <c r="M9" s="11">
        <f>IF($B$2="-","",L9*(F9+I9+K9))</f>
        <v/>
      </c>
      <c r="N9" s="11">
        <f>IFERROR(INDEX('Projekt-Budget-Übersicht'!$E:$E,MATCH(A9,'Projekt-Budget-Übersicht'!$A:$A,0)),"")</f>
        <v/>
      </c>
      <c r="O9" s="11" t="inlineStr"/>
      <c r="P9" s="11" t="inlineStr"/>
    </row>
    <row r="10">
      <c r="A10" s="4" t="inlineStr">
        <is>
          <t>6693.02 Holnis-FRP-Quartier-D-Römerkreis-Heidelberg</t>
        </is>
      </c>
      <c r="B10" s="4" t="inlineStr">
        <is>
          <t>9200-Erstellen od. Prüfen Feuerwehrpläne….</t>
        </is>
      </c>
      <c r="C10" s="4" t="inlineStr">
        <is>
          <t>G</t>
        </is>
      </c>
      <c r="D10" s="4" t="n">
        <v>10</v>
      </c>
      <c r="E10" s="4" t="n">
        <v>9.5</v>
      </c>
      <c r="F10" s="4" t="n">
        <v>9</v>
      </c>
      <c r="G10" s="14" t="n">
        <v>95</v>
      </c>
      <c r="H10" s="5" t="n"/>
      <c r="I10" s="5">
        <f>IF(H10=0,"",F10-H10)</f>
        <v/>
      </c>
      <c r="J10" s="4" t="n"/>
      <c r="K10" s="5">
        <f>IF('T. Trautmann'!J54="M. Warner",'T. Trautmann'!I54,0)</f>
        <v/>
      </c>
      <c r="L10" s="11">
        <f>IF($B$2="-","",IF($B$2="Pauschale",IFERROR(INDEX('Projekt-Budget-Übersicht'!$H:$H,MATCH(A10,'Projekt-Budget-Übersicht'!$A:$A,0)),""),IF($B$2="SV",IFERROR(INDEX('Projekt-Budget-Übersicht'!$H:$H,MATCH(A10,'Projekt-Budget-Übersicht'!$A:$A,0)),""),IF($B$2="CAD",IFERROR(INDEX('Projekt-Budget-Übersicht'!$I:$I,MATCH(A10,'Projekt-Budget-Übersicht'!$A:$A,0)),""),IF($B$2="ADM",IFERROR(INDEX('Projekt-Budget-Übersicht'!$J:$J,MATCH(A10,'Projekt-Budget-Übersicht'!$A:$A,0)),""),"")))))</f>
        <v/>
      </c>
      <c r="M10" s="11">
        <f>IF($B$2="-","",L10*(F10+I10+K10))</f>
        <v/>
      </c>
      <c r="N10" s="11">
        <f>IFERROR(INDEX('Projekt-Budget-Übersicht'!$E:$E,MATCH(A10,'Projekt-Budget-Übersicht'!$A:$A,0)),"")</f>
        <v/>
      </c>
      <c r="O10" s="11" t="inlineStr"/>
      <c r="P10" s="11" t="inlineStr"/>
    </row>
    <row r="11">
      <c r="A11" s="13" t="inlineStr">
        <is>
          <t>7492 HD-FRP-Ausbildungshaus-Römerstr129-131-Heidelberg</t>
        </is>
      </c>
      <c r="B11" s="4" t="inlineStr">
        <is>
          <t>(aN) Pos. 2 Begehung (CAD)</t>
        </is>
      </c>
      <c r="C11" s="4" t="inlineStr">
        <is>
          <t>G</t>
        </is>
      </c>
      <c r="D11" s="4" t="n">
        <v>8</v>
      </c>
      <c r="E11" s="4" t="n">
        <v>3</v>
      </c>
      <c r="F11" s="4" t="n">
        <v>3</v>
      </c>
      <c r="G11" s="17" t="n">
        <v>37.5</v>
      </c>
      <c r="H11" s="5" t="n"/>
      <c r="I11" s="5">
        <f>IF(H11=0,"",F11-H11)</f>
        <v/>
      </c>
      <c r="J11" s="4" t="n"/>
      <c r="K11" s="5" t="n">
        <v>0</v>
      </c>
      <c r="L11" s="11">
        <f>IF($B$2="-","",IF($B$2="Pauschale",IFERROR(INDEX('Projekt-Budget-Übersicht'!$H:$H,MATCH(A11,'Projekt-Budget-Übersicht'!$A:$A,0)),""),IF($B$2="SV",IFERROR(INDEX('Projekt-Budget-Übersicht'!$H:$H,MATCH(A11,'Projekt-Budget-Übersicht'!$A:$A,0)),""),IF($B$2="CAD",IFERROR(INDEX('Projekt-Budget-Übersicht'!$I:$I,MATCH(A11,'Projekt-Budget-Übersicht'!$A:$A,0)),""),IF($B$2="ADM",IFERROR(INDEX('Projekt-Budget-Übersicht'!$J:$J,MATCH(A11,'Projekt-Budget-Übersicht'!$A:$A,0)),""),"")))))</f>
        <v/>
      </c>
      <c r="M11" s="11">
        <f>IF($B$2="-","",L11*(F11+I11+K11))</f>
        <v/>
      </c>
      <c r="N11" s="11">
        <f>IFERROR(INDEX('Projekt-Budget-Übersicht'!$E:$E,MATCH(A11,'Projekt-Budget-Übersicht'!$A:$A,0)),"")</f>
        <v/>
      </c>
      <c r="O11" s="11" t="inlineStr"/>
      <c r="P11" s="11" t="inlineStr"/>
    </row>
    <row r="12">
      <c r="A12" s="15" t="n"/>
      <c r="B12" s="4" t="inlineStr">
        <is>
          <t>CAD</t>
        </is>
      </c>
      <c r="C12" s="4" t="inlineStr">
        <is>
          <t>G</t>
        </is>
      </c>
      <c r="D12" s="4" t="n">
        <v>35</v>
      </c>
      <c r="E12" s="4" t="n">
        <v>23.75</v>
      </c>
      <c r="F12" s="4" t="n">
        <v>16.25</v>
      </c>
      <c r="G12" s="17" t="n">
        <v>67.86</v>
      </c>
      <c r="H12" s="5" t="n"/>
      <c r="I12" s="5">
        <f>IF(H12=0,"",F12-H12)</f>
        <v/>
      </c>
      <c r="J12" s="4" t="n"/>
      <c r="K12" s="5">
        <f>IF('O. Haag BS-CAD'!J81="M. Warner",'O. Haag BS-CAD'!I81,0)</f>
        <v/>
      </c>
      <c r="L12" s="11">
        <f>IF($B$2="-","",IF($B$2="Pauschale",IFERROR(INDEX('Projekt-Budget-Übersicht'!$H:$H,MATCH(A12,'Projekt-Budget-Übersicht'!$A:$A,0)),""),IF($B$2="SV",IFERROR(INDEX('Projekt-Budget-Übersicht'!$H:$H,MATCH(A12,'Projekt-Budget-Übersicht'!$A:$A,0)),""),IF($B$2="CAD",IFERROR(INDEX('Projekt-Budget-Übersicht'!$I:$I,MATCH(A12,'Projekt-Budget-Übersicht'!$A:$A,0)),""),IF($B$2="ADM",IFERROR(INDEX('Projekt-Budget-Übersicht'!$J:$J,MATCH(A12,'Projekt-Budget-Übersicht'!$A:$A,0)),""),"")))))</f>
        <v/>
      </c>
      <c r="M12" s="11">
        <f>IF($B$2="-","",L12*(F12+I12+K12))</f>
        <v/>
      </c>
      <c r="N12" s="11">
        <f>IFERROR(INDEX('Projekt-Budget-Übersicht'!$E:$E,MATCH(A12,'Projekt-Budget-Übersicht'!$A:$A,0)),"")</f>
        <v/>
      </c>
      <c r="O12" s="11" t="inlineStr"/>
      <c r="P12" s="11" t="inlineStr"/>
    </row>
    <row r="13">
      <c r="A13" s="4" t="inlineStr">
        <is>
          <t>7509 PPB-FWP-Grundschule-Patton Barracks-Palo-Alto-Platz-4-6-Heidelberg</t>
        </is>
      </c>
      <c r="B13" s="4" t="inlineStr">
        <is>
          <t>CAD</t>
        </is>
      </c>
      <c r="C13" s="4" t="inlineStr">
        <is>
          <t>G</t>
        </is>
      </c>
      <c r="D13" s="4" t="n">
        <v>58</v>
      </c>
      <c r="E13" s="4" t="n">
        <v>17</v>
      </c>
      <c r="F13" s="4" t="n">
        <v>3.25</v>
      </c>
      <c r="G13" s="17" t="n">
        <v>29.31</v>
      </c>
      <c r="H13" s="5" t="n"/>
      <c r="I13" s="5">
        <f>IF(H13=0,"",F13-H13)</f>
        <v/>
      </c>
      <c r="J13" s="4" t="n"/>
      <c r="K13" s="5">
        <f>IF('O. Haag BS-CAD'!J83="M. Warner",'O. Haag BS-CAD'!I83,0)</f>
        <v/>
      </c>
      <c r="L13" s="11">
        <f>IF($B$2="-","",IF($B$2="Pauschale",IFERROR(INDEX('Projekt-Budget-Übersicht'!$H:$H,MATCH(A13,'Projekt-Budget-Übersicht'!$A:$A,0)),""),IF($B$2="SV",IFERROR(INDEX('Projekt-Budget-Übersicht'!$H:$H,MATCH(A13,'Projekt-Budget-Übersicht'!$A:$A,0)),""),IF($B$2="CAD",IFERROR(INDEX('Projekt-Budget-Übersicht'!$I:$I,MATCH(A13,'Projekt-Budget-Übersicht'!$A:$A,0)),""),IF($B$2="ADM",IFERROR(INDEX('Projekt-Budget-Übersicht'!$J:$J,MATCH(A13,'Projekt-Budget-Übersicht'!$A:$A,0)),""),"")))))</f>
        <v/>
      </c>
      <c r="M13" s="11">
        <f>IF($B$2="-","",L13*(F13+I13+K13))</f>
        <v/>
      </c>
      <c r="N13" s="11">
        <f>IFERROR(INDEX('Projekt-Budget-Übersicht'!$E:$E,MATCH(A13,'Projekt-Budget-Übersicht'!$A:$A,0)),"")</f>
        <v/>
      </c>
      <c r="O13" s="11" t="inlineStr"/>
      <c r="P13" s="11" t="inlineStr"/>
    </row>
    <row r="14">
      <c r="A14" s="3" t="inlineStr"/>
      <c r="B14" s="3" t="inlineStr">
        <is>
          <t>Summe</t>
        </is>
      </c>
      <c r="C14" s="3" t="inlineStr"/>
      <c r="D14" s="3" t="inlineStr"/>
      <c r="E14" s="3" t="inlineStr"/>
      <c r="F14" s="6" t="n">
        <v>53.5</v>
      </c>
      <c r="G14" s="3" t="inlineStr"/>
      <c r="H14" s="3" t="inlineStr"/>
      <c r="I14" s="3" t="inlineStr"/>
      <c r="J14" s="3" t="inlineStr"/>
      <c r="K14" s="3" t="inlineStr"/>
      <c r="L14" s="3" t="n"/>
      <c r="M14" s="3" t="n"/>
      <c r="N14" s="3" t="n"/>
      <c r="O14" s="3" t="n"/>
      <c r="P14" s="3" t="n"/>
    </row>
    <row r="15">
      <c r="A15" s="3" t="inlineStr"/>
      <c r="B15" s="3" t="inlineStr">
        <is>
          <t>Bonusberechtigte Stunden</t>
        </is>
      </c>
      <c r="C15" s="3" t="inlineStr"/>
      <c r="D15" s="3" t="inlineStr"/>
      <c r="E15" s="3" t="inlineStr"/>
      <c r="F15" s="6">
        <f>G15+H15</f>
        <v/>
      </c>
      <c r="G15" s="6" t="n">
        <v>39</v>
      </c>
      <c r="H15" s="6">
        <f>SUM(H6,H7,H8,H9,H10,H11,H12,H13)</f>
        <v/>
      </c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</row>
    <row r="16">
      <c r="A16" s="3" t="inlineStr"/>
      <c r="B16" s="3" t="inlineStr">
        <is>
          <t>Bonusberechtigte Stunden Sonderprojekt</t>
        </is>
      </c>
      <c r="C16" s="3" t="inlineStr"/>
      <c r="D16" s="3" t="inlineStr"/>
      <c r="E16" s="3" t="inlineStr"/>
      <c r="F16" s="6" t="n">
        <v>0</v>
      </c>
      <c r="G16" s="6" t="n">
        <v>0</v>
      </c>
      <c r="H16" s="6" t="n">
        <v>0</v>
      </c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</row>
    <row r="17">
      <c r="A17" s="3" t="inlineStr"/>
      <c r="B17" s="3" t="inlineStr">
        <is>
          <t>Zugeordnete Stunden von anderen MA</t>
        </is>
      </c>
      <c r="C17" s="3" t="inlineStr"/>
      <c r="D17" s="3" t="inlineStr"/>
      <c r="E17" s="3" t="inlineStr"/>
      <c r="F17" s="6">
        <f>SUM(K6:K13)</f>
        <v/>
      </c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</row>
    <row r="18">
      <c r="A18" s="18" t="inlineStr"/>
      <c r="B18" s="18" t="inlineStr">
        <is>
          <t>Gesamt Bonus Stunden</t>
        </is>
      </c>
      <c r="C18" s="18" t="inlineStr"/>
      <c r="D18" s="18" t="inlineStr"/>
      <c r="E18" s="18" t="inlineStr"/>
      <c r="F18" s="19">
        <f>F15+F16+F17</f>
        <v/>
      </c>
      <c r="G18" s="18" t="inlineStr"/>
      <c r="H18" s="18" t="inlineStr"/>
      <c r="I18" s="18" t="inlineStr"/>
      <c r="J18" s="18" t="inlineStr"/>
      <c r="K18" s="18" t="inlineStr"/>
      <c r="L18" s="18" t="n"/>
      <c r="M18" s="18" t="n"/>
      <c r="N18" s="18" t="n"/>
      <c r="O18" s="18" t="n"/>
      <c r="P18" s="18" t="n"/>
    </row>
    <row r="20">
      <c r="A20" s="2" t="inlineStr">
        <is>
          <t>--- September 2025 ---</t>
        </is>
      </c>
    </row>
    <row r="21">
      <c r="A21" s="3" t="inlineStr">
        <is>
          <t>Projekt</t>
        </is>
      </c>
      <c r="B21" s="3" t="inlineStr">
        <is>
          <t>Meilenstein</t>
        </is>
      </c>
      <c r="C21" s="3" t="inlineStr">
        <is>
          <t>Typ</t>
        </is>
      </c>
      <c r="D21" s="3" t="inlineStr">
        <is>
          <t>Soll (h)</t>
        </is>
      </c>
      <c r="E21" s="3" t="inlineStr">
        <is>
          <t>Ist (h)</t>
        </is>
      </c>
      <c r="F21" s="3" t="inlineStr">
        <is>
          <t>September 2025 (h)</t>
        </is>
      </c>
      <c r="G21" s="3" t="inlineStr">
        <is>
          <t>%</t>
        </is>
      </c>
      <c r="H21" s="3" t="inlineStr">
        <is>
          <t>Bonus-Anpassung (h)</t>
        </is>
      </c>
      <c r="I21" s="3" t="inlineStr">
        <is>
          <t>Differenz (h)</t>
        </is>
      </c>
      <c r="J21" s="3" t="inlineStr">
        <is>
          <t>Zuordnen an</t>
        </is>
      </c>
      <c r="K21" s="3" t="inlineStr">
        <is>
          <t>Von anderen (h)</t>
        </is>
      </c>
      <c r="L21" s="3" t="inlineStr">
        <is>
          <t>Stundensatz (€/h)</t>
        </is>
      </c>
      <c r="M21" s="3" t="inlineStr">
        <is>
          <t>Umsatz (€)</t>
        </is>
      </c>
      <c r="N21" s="3" t="inlineStr">
        <is>
          <t>Budget Gesamt (€)</t>
        </is>
      </c>
      <c r="O21" s="3" t="inlineStr">
        <is>
          <t>Budget Ist (€)</t>
        </is>
      </c>
      <c r="P21" s="3" t="inlineStr">
        <is>
          <t>Budget Erwirtschaftet (€)</t>
        </is>
      </c>
    </row>
    <row r="22">
      <c r="A22" s="4" t="inlineStr">
        <is>
          <t>2032.061 aam2core-FRP-Halbergstraße1-LU</t>
        </is>
      </c>
      <c r="B22" s="4" t="inlineStr">
        <is>
          <t>CAD</t>
        </is>
      </c>
      <c r="C22" s="4" t="inlineStr">
        <is>
          <t>G</t>
        </is>
      </c>
      <c r="D22" s="4" t="n">
        <v>6</v>
      </c>
      <c r="E22" s="4" t="n">
        <v>8.75</v>
      </c>
      <c r="F22" s="4" t="n">
        <v>2.25</v>
      </c>
      <c r="G22" s="16" t="n">
        <v>145.83</v>
      </c>
      <c r="H22" s="5" t="n"/>
      <c r="I22" s="5">
        <f>IF(H22=0,"",F22-H22)</f>
        <v/>
      </c>
      <c r="J22" s="4" t="n"/>
      <c r="K22" s="5" t="n">
        <v>0</v>
      </c>
      <c r="L22" s="11">
        <f>IF($B$2="-","",IF($B$2="Pauschale",IFERROR(INDEX('Projekt-Budget-Übersicht'!$H:$H,MATCH(A22,'Projekt-Budget-Übersicht'!$A:$A,0)),""),IF($B$2="SV",IFERROR(INDEX('Projekt-Budget-Übersicht'!$H:$H,MATCH(A22,'Projekt-Budget-Übersicht'!$A:$A,0)),""),IF($B$2="CAD",IFERROR(INDEX('Projekt-Budget-Übersicht'!$I:$I,MATCH(A22,'Projekt-Budget-Übersicht'!$A:$A,0)),""),IF($B$2="ADM",IFERROR(INDEX('Projekt-Budget-Übersicht'!$J:$J,MATCH(A22,'Projekt-Budget-Übersicht'!$A:$A,0)),""),"")))))</f>
        <v/>
      </c>
      <c r="M22" s="11">
        <f>IF($B$2="-","",L22*(F22+I22+K22))</f>
        <v/>
      </c>
      <c r="N22" s="11">
        <f>IFERROR(INDEX('Projekt-Budget-Übersicht'!$E:$E,MATCH(A22,'Projekt-Budget-Übersicht'!$A:$A,0)),"")</f>
        <v/>
      </c>
      <c r="O22" s="11" t="inlineStr"/>
      <c r="P22" s="11" t="inlineStr"/>
    </row>
    <row r="23">
      <c r="A23" s="13" t="inlineStr">
        <is>
          <t>4436.043 FWP-NA003-KKH-Bergstraße-Viernheimer-Straße-2-Heppenheim-Bauphase+NB-BauteilG</t>
        </is>
      </c>
      <c r="B23" s="4" t="inlineStr">
        <is>
          <t>1200-Bestandserfassung vor Ort....</t>
        </is>
      </c>
      <c r="C23" s="4" t="inlineStr">
        <is>
          <t>G</t>
        </is>
      </c>
      <c r="D23" s="4" t="n">
        <v>20</v>
      </c>
      <c r="E23" s="4" t="n">
        <v>12</v>
      </c>
      <c r="F23" s="4" t="n">
        <v>12</v>
      </c>
      <c r="G23" s="17" t="n">
        <v>60</v>
      </c>
      <c r="H23" s="5" t="n"/>
      <c r="I23" s="5">
        <f>IF(H23=0,"",F23-H23)</f>
        <v/>
      </c>
      <c r="J23" s="4" t="n"/>
      <c r="K23" s="5" t="n">
        <v>0</v>
      </c>
      <c r="L23" s="11">
        <f>IF($B$2="-","",IF($B$2="Pauschale",IFERROR(INDEX('Projekt-Budget-Übersicht'!$H:$H,MATCH(A23,'Projekt-Budget-Übersicht'!$A:$A,0)),""),IF($B$2="SV",IFERROR(INDEX('Projekt-Budget-Übersicht'!$H:$H,MATCH(A23,'Projekt-Budget-Übersicht'!$A:$A,0)),""),IF($B$2="CAD",IFERROR(INDEX('Projekt-Budget-Übersicht'!$I:$I,MATCH(A23,'Projekt-Budget-Übersicht'!$A:$A,0)),""),IF($B$2="ADM",IFERROR(INDEX('Projekt-Budget-Übersicht'!$J:$J,MATCH(A23,'Projekt-Budget-Übersicht'!$A:$A,0)),""),"")))))</f>
        <v/>
      </c>
      <c r="M23" s="11">
        <f>IF($B$2="-","",L23*(F23+I23+K23))</f>
        <v/>
      </c>
      <c r="N23" s="11">
        <f>IFERROR(INDEX('Projekt-Budget-Übersicht'!$E:$E,MATCH(A23,'Projekt-Budget-Übersicht'!$A:$A,0)),"")</f>
        <v/>
      </c>
      <c r="O23" s="11" t="inlineStr"/>
      <c r="P23" s="11" t="inlineStr"/>
    </row>
    <row r="24">
      <c r="A24" s="15" t="n"/>
      <c r="B24" s="4" t="inlineStr">
        <is>
          <t>9200-Erstellen od. Prüfen Feuerwehrpläne….</t>
        </is>
      </c>
      <c r="C24" s="4" t="inlineStr">
        <is>
          <t>G</t>
        </is>
      </c>
      <c r="D24" s="4" t="n">
        <v>230</v>
      </c>
      <c r="E24" s="4" t="n">
        <v>140.25</v>
      </c>
      <c r="F24" s="4" t="n">
        <v>105.25</v>
      </c>
      <c r="G24" s="17" t="n">
        <v>60.98</v>
      </c>
      <c r="H24" s="5" t="n"/>
      <c r="I24" s="5">
        <f>IF(H24=0,"",F24-H24)</f>
        <v/>
      </c>
      <c r="J24" s="4" t="n"/>
      <c r="K24" s="5">
        <f>IF('A. Kokott'!J90="M. Warner",'A. Kokott'!I90,0)+IF('S. Schüler'!J97="M. Warner",'S. Schüler'!I97,0)</f>
        <v/>
      </c>
      <c r="L24" s="11">
        <f>IF($B$2="-","",IF($B$2="Pauschale",IFERROR(INDEX('Projekt-Budget-Übersicht'!$H:$H,MATCH(A24,'Projekt-Budget-Übersicht'!$A:$A,0)),""),IF($B$2="SV",IFERROR(INDEX('Projekt-Budget-Übersicht'!$H:$H,MATCH(A24,'Projekt-Budget-Übersicht'!$A:$A,0)),""),IF($B$2="CAD",IFERROR(INDEX('Projekt-Budget-Übersicht'!$I:$I,MATCH(A24,'Projekt-Budget-Übersicht'!$A:$A,0)),""),IF($B$2="ADM",IFERROR(INDEX('Projekt-Budget-Übersicht'!$J:$J,MATCH(A24,'Projekt-Budget-Übersicht'!$A:$A,0)),""),"")))))</f>
        <v/>
      </c>
      <c r="M24" s="11">
        <f>IF($B$2="-","",L24*(F24+I24+K24))</f>
        <v/>
      </c>
      <c r="N24" s="11">
        <f>IFERROR(INDEX('Projekt-Budget-Übersicht'!$E:$E,MATCH(A24,'Projekt-Budget-Übersicht'!$A:$A,0)),"")</f>
        <v/>
      </c>
      <c r="O24" s="11" t="inlineStr"/>
      <c r="P24" s="11" t="inlineStr"/>
    </row>
    <row r="25">
      <c r="A25" s="4" t="inlineStr">
        <is>
          <t>5607.16 ZI-FWP-FRP-Laborgebäude-Liegenschaften-J5-Mannheim</t>
        </is>
      </c>
      <c r="B25" s="4" t="inlineStr">
        <is>
          <t>(aN) Erstellung FWP (CAD)</t>
        </is>
      </c>
      <c r="C25" s="4" t="inlineStr">
        <is>
          <t>G</t>
        </is>
      </c>
      <c r="D25" s="4" t="n">
        <v>100</v>
      </c>
      <c r="E25" s="4" t="n">
        <v>47.5</v>
      </c>
      <c r="F25" s="4" t="n">
        <v>0.75</v>
      </c>
      <c r="G25" s="17" t="n">
        <v>47.5</v>
      </c>
      <c r="H25" s="5" t="n"/>
      <c r="I25" s="5">
        <f>IF(H25=0,"",F25-H25)</f>
        <v/>
      </c>
      <c r="J25" s="4" t="n"/>
      <c r="K25" s="5" t="n">
        <v>0</v>
      </c>
      <c r="L25" s="11">
        <f>IF($B$2="-","",IF($B$2="Pauschale",IFERROR(INDEX('Projekt-Budget-Übersicht'!$H:$H,MATCH(A25,'Projekt-Budget-Übersicht'!$A:$A,0)),""),IF($B$2="SV",IFERROR(INDEX('Projekt-Budget-Übersicht'!$H:$H,MATCH(A25,'Projekt-Budget-Übersicht'!$A:$A,0)),""),IF($B$2="CAD",IFERROR(INDEX('Projekt-Budget-Übersicht'!$I:$I,MATCH(A25,'Projekt-Budget-Übersicht'!$A:$A,0)),""),IF($B$2="ADM",IFERROR(INDEX('Projekt-Budget-Übersicht'!$J:$J,MATCH(A25,'Projekt-Budget-Übersicht'!$A:$A,0)),""),"")))))</f>
        <v/>
      </c>
      <c r="M25" s="11">
        <f>IF($B$2="-","",L25*(F25+I25+K25))</f>
        <v/>
      </c>
      <c r="N25" s="11">
        <f>IFERROR(INDEX('Projekt-Budget-Übersicht'!$E:$E,MATCH(A25,'Projekt-Budget-Übersicht'!$A:$A,0)),"")</f>
        <v/>
      </c>
      <c r="O25" s="11" t="inlineStr"/>
      <c r="P25" s="11" t="inlineStr"/>
    </row>
    <row r="26">
      <c r="A26" s="4" t="inlineStr">
        <is>
          <t>6693.02 Holnis-FRP-Quartier-D-Römerkreis-Heidelberg</t>
        </is>
      </c>
      <c r="B26" s="4" t="inlineStr">
        <is>
          <t>9200-Erstellen od. Prüfen Feuerwehrpläne….</t>
        </is>
      </c>
      <c r="C26" s="4" t="inlineStr">
        <is>
          <t>G</t>
        </is>
      </c>
      <c r="D26" s="4" t="n">
        <v>10</v>
      </c>
      <c r="E26" s="4" t="n">
        <v>10.5</v>
      </c>
      <c r="F26" s="4" t="n">
        <v>1</v>
      </c>
      <c r="G26" s="16" t="n">
        <v>105</v>
      </c>
      <c r="H26" s="5" t="n"/>
      <c r="I26" s="5">
        <f>IF(H26=0,"",F26-H26)</f>
        <v/>
      </c>
      <c r="J26" s="4" t="n"/>
      <c r="K26" s="5" t="n">
        <v>0</v>
      </c>
      <c r="L26" s="11">
        <f>IF($B$2="-","",IF($B$2="Pauschale",IFERROR(INDEX('Projekt-Budget-Übersicht'!$H:$H,MATCH(A26,'Projekt-Budget-Übersicht'!$A:$A,0)),""),IF($B$2="SV",IFERROR(INDEX('Projekt-Budget-Übersicht'!$H:$H,MATCH(A26,'Projekt-Budget-Übersicht'!$A:$A,0)),""),IF($B$2="CAD",IFERROR(INDEX('Projekt-Budget-Übersicht'!$I:$I,MATCH(A26,'Projekt-Budget-Übersicht'!$A:$A,0)),""),IF($B$2="ADM",IFERROR(INDEX('Projekt-Budget-Übersicht'!$J:$J,MATCH(A26,'Projekt-Budget-Übersicht'!$A:$A,0)),""),"")))))</f>
        <v/>
      </c>
      <c r="M26" s="11">
        <f>IF($B$2="-","",L26*(F26+I26+K26))</f>
        <v/>
      </c>
      <c r="N26" s="11">
        <f>IFERROR(INDEX('Projekt-Budget-Übersicht'!$E:$E,MATCH(A26,'Projekt-Budget-Übersicht'!$A:$A,0)),"")</f>
        <v/>
      </c>
      <c r="O26" s="11" t="inlineStr"/>
      <c r="P26" s="11" t="inlineStr"/>
    </row>
    <row r="27">
      <c r="A27" s="4" t="inlineStr">
        <is>
          <t>7492 HD-FRP-Ausbildungshaus-Römerstr129-131-Heidelberg</t>
        </is>
      </c>
      <c r="B27" s="4" t="inlineStr">
        <is>
          <t>CAD</t>
        </is>
      </c>
      <c r="C27" s="4" t="inlineStr">
        <is>
          <t>G</t>
        </is>
      </c>
      <c r="D27" s="4" t="n">
        <v>35</v>
      </c>
      <c r="E27" s="4" t="n">
        <v>26</v>
      </c>
      <c r="F27" s="4" t="n">
        <v>2.25</v>
      </c>
      <c r="G27" s="17" t="n">
        <v>74.29000000000001</v>
      </c>
      <c r="H27" s="5" t="n"/>
      <c r="I27" s="5">
        <f>IF(H27=0,"",F27-H27)</f>
        <v/>
      </c>
      <c r="J27" s="4" t="n"/>
      <c r="K27" s="5" t="n">
        <v>0</v>
      </c>
      <c r="L27" s="11">
        <f>IF($B$2="-","",IF($B$2="Pauschale",IFERROR(INDEX('Projekt-Budget-Übersicht'!$H:$H,MATCH(A27,'Projekt-Budget-Übersicht'!$A:$A,0)),""),IF($B$2="SV",IFERROR(INDEX('Projekt-Budget-Übersicht'!$H:$H,MATCH(A27,'Projekt-Budget-Übersicht'!$A:$A,0)),""),IF($B$2="CAD",IFERROR(INDEX('Projekt-Budget-Übersicht'!$I:$I,MATCH(A27,'Projekt-Budget-Übersicht'!$A:$A,0)),""),IF($B$2="ADM",IFERROR(INDEX('Projekt-Budget-Übersicht'!$J:$J,MATCH(A27,'Projekt-Budget-Übersicht'!$A:$A,0)),""),"")))))</f>
        <v/>
      </c>
      <c r="M27" s="11">
        <f>IF($B$2="-","",L27*(F27+I27+K27))</f>
        <v/>
      </c>
      <c r="N27" s="11">
        <f>IFERROR(INDEX('Projekt-Budget-Übersicht'!$E:$E,MATCH(A27,'Projekt-Budget-Übersicht'!$A:$A,0)),"")</f>
        <v/>
      </c>
      <c r="O27" s="11" t="inlineStr"/>
      <c r="P27" s="11" t="inlineStr"/>
    </row>
    <row r="28">
      <c r="A28" s="4" t="inlineStr">
        <is>
          <t>7509 PPB-FWP-Grundschule-Patton Barracks-Palo-Alto-Platz-4-6-Heidelberg</t>
        </is>
      </c>
      <c r="B28" s="4" t="inlineStr">
        <is>
          <t>CAD</t>
        </is>
      </c>
      <c r="C28" s="4" t="inlineStr">
        <is>
          <t>G</t>
        </is>
      </c>
      <c r="D28" s="4" t="n">
        <v>58</v>
      </c>
      <c r="E28" s="4" t="n">
        <v>27.25</v>
      </c>
      <c r="F28" s="4" t="n">
        <v>10.25</v>
      </c>
      <c r="G28" s="17" t="n">
        <v>46.98</v>
      </c>
      <c r="H28" s="5" t="n"/>
      <c r="I28" s="5">
        <f>IF(H28=0,"",F28-H28)</f>
        <v/>
      </c>
      <c r="J28" s="4" t="n"/>
      <c r="K28" s="5" t="n">
        <v>0</v>
      </c>
      <c r="L28" s="11">
        <f>IF($B$2="-","",IF($B$2="Pauschale",IFERROR(INDEX('Projekt-Budget-Übersicht'!$H:$H,MATCH(A28,'Projekt-Budget-Übersicht'!$A:$A,0)),""),IF($B$2="SV",IFERROR(INDEX('Projekt-Budget-Übersicht'!$H:$H,MATCH(A28,'Projekt-Budget-Übersicht'!$A:$A,0)),""),IF($B$2="CAD",IFERROR(INDEX('Projekt-Budget-Übersicht'!$I:$I,MATCH(A28,'Projekt-Budget-Übersicht'!$A:$A,0)),""),IF($B$2="ADM",IFERROR(INDEX('Projekt-Budget-Übersicht'!$J:$J,MATCH(A28,'Projekt-Budget-Übersicht'!$A:$A,0)),""),"")))))</f>
        <v/>
      </c>
      <c r="M28" s="11">
        <f>IF($B$2="-","",L28*(F28+I28+K28))</f>
        <v/>
      </c>
      <c r="N28" s="11">
        <f>IFERROR(INDEX('Projekt-Budget-Übersicht'!$E:$E,MATCH(A28,'Projekt-Budget-Übersicht'!$A:$A,0)),"")</f>
        <v/>
      </c>
      <c r="O28" s="11" t="inlineStr"/>
      <c r="P28" s="11" t="inlineStr"/>
    </row>
    <row r="29">
      <c r="A29" s="3" t="inlineStr"/>
      <c r="B29" s="3" t="inlineStr">
        <is>
          <t>Summe</t>
        </is>
      </c>
      <c r="C29" s="3" t="inlineStr"/>
      <c r="D29" s="3" t="inlineStr"/>
      <c r="E29" s="3" t="inlineStr"/>
      <c r="F29" s="6" t="n">
        <v>133.75</v>
      </c>
      <c r="G29" s="3" t="inlineStr"/>
      <c r="H29" s="3" t="inlineStr"/>
      <c r="I29" s="3" t="inlineStr"/>
      <c r="J29" s="3" t="inlineStr"/>
      <c r="K29" s="3" t="inlineStr"/>
      <c r="L29" s="3" t="n"/>
      <c r="M29" s="3" t="n"/>
      <c r="N29" s="3" t="n"/>
      <c r="O29" s="3" t="n"/>
      <c r="P29" s="3" t="n"/>
    </row>
    <row r="30">
      <c r="A30" s="3" t="inlineStr"/>
      <c r="B30" s="3" t="inlineStr">
        <is>
          <t>Bonusberechtigte Stunden</t>
        </is>
      </c>
      <c r="C30" s="3" t="inlineStr"/>
      <c r="D30" s="3" t="inlineStr"/>
      <c r="E30" s="3" t="inlineStr"/>
      <c r="F30" s="6">
        <f>G30+H30</f>
        <v/>
      </c>
      <c r="G30" s="6" t="n">
        <v>130.5</v>
      </c>
      <c r="H30" s="6">
        <f>SUM(H22,H23,H24,H25,H26,H27,H28)</f>
        <v/>
      </c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</row>
    <row r="31">
      <c r="A31" s="3" t="inlineStr"/>
      <c r="B31" s="3" t="inlineStr">
        <is>
          <t>Bonusberechtigte Stunden Sonderprojekt</t>
        </is>
      </c>
      <c r="C31" s="3" t="inlineStr"/>
      <c r="D31" s="3" t="inlineStr"/>
      <c r="E31" s="3" t="inlineStr"/>
      <c r="F31" s="6" t="n">
        <v>0</v>
      </c>
      <c r="G31" s="6" t="n">
        <v>0</v>
      </c>
      <c r="H31" s="6" t="n">
        <v>0</v>
      </c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</row>
    <row r="32">
      <c r="A32" s="3" t="inlineStr"/>
      <c r="B32" s="3" t="inlineStr">
        <is>
          <t>Zugeordnete Stunden von anderen MA</t>
        </is>
      </c>
      <c r="C32" s="3" t="inlineStr"/>
      <c r="D32" s="3" t="inlineStr"/>
      <c r="E32" s="3" t="inlineStr"/>
      <c r="F32" s="6">
        <f>SUM(K22:K28)</f>
        <v/>
      </c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</row>
    <row r="33">
      <c r="A33" s="18" t="inlineStr"/>
      <c r="B33" s="18" t="inlineStr">
        <is>
          <t>Gesamt Bonus Stunden</t>
        </is>
      </c>
      <c r="C33" s="18" t="inlineStr"/>
      <c r="D33" s="18" t="inlineStr"/>
      <c r="E33" s="18" t="inlineStr"/>
      <c r="F33" s="19">
        <f>F30+F31+F32</f>
        <v/>
      </c>
      <c r="G33" s="18" t="inlineStr"/>
      <c r="H33" s="18" t="inlineStr"/>
      <c r="I33" s="18" t="inlineStr"/>
      <c r="J33" s="18" t="inlineStr"/>
      <c r="K33" s="18" t="inlineStr"/>
      <c r="L33" s="18" t="n"/>
      <c r="M33" s="18" t="n"/>
      <c r="N33" s="18" t="n"/>
      <c r="O33" s="18" t="n"/>
      <c r="P33" s="18" t="n"/>
    </row>
    <row r="35">
      <c r="A35" s="2" t="inlineStr">
        <is>
          <t>--- Übertragshilfe ---</t>
        </is>
      </c>
    </row>
    <row r="36">
      <c r="A36" s="3" t="inlineStr">
        <is>
          <t>Monat</t>
        </is>
      </c>
      <c r="B36" s="3" t="inlineStr">
        <is>
          <t>Mitarbeiter</t>
        </is>
      </c>
      <c r="C36" s="3" t="inlineStr">
        <is>
          <t>Prod. Stunden</t>
        </is>
      </c>
      <c r="D36" s="3" t="inlineStr">
        <is>
          <t>Bonusberechtigte Stunden</t>
        </is>
      </c>
      <c r="E36" s="3" t="inlineStr">
        <is>
          <t>Bonusberechtigte Stunden Sonderprojekt</t>
        </is>
      </c>
      <c r="F36" s="3" t="inlineStr">
        <is>
          <t>Zugeordnet von anderen</t>
        </is>
      </c>
      <c r="G36" s="3" t="inlineStr">
        <is>
          <t>Gesamt Bonus</t>
        </is>
      </c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</row>
    <row r="37">
      <c r="A37" s="4" t="inlineStr">
        <is>
          <t>August 2025</t>
        </is>
      </c>
      <c r="B37" s="4" t="inlineStr">
        <is>
          <t>M. Warner</t>
        </is>
      </c>
      <c r="C37" s="4">
        <f>F14</f>
        <v/>
      </c>
      <c r="D37" s="4">
        <f>F15</f>
        <v/>
      </c>
      <c r="E37" s="4">
        <f>F16</f>
        <v/>
      </c>
      <c r="F37" s="4">
        <f>F17</f>
        <v/>
      </c>
      <c r="G37" s="4">
        <f>F18</f>
        <v/>
      </c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</row>
    <row r="38">
      <c r="A38" s="4" t="inlineStr">
        <is>
          <t>September 2025</t>
        </is>
      </c>
      <c r="B38" s="4" t="inlineStr">
        <is>
          <t>M. Warner</t>
        </is>
      </c>
      <c r="C38" s="4">
        <f>F29</f>
        <v/>
      </c>
      <c r="D38" s="4">
        <f>F30</f>
        <v/>
      </c>
      <c r="E38" s="4">
        <f>F31</f>
        <v/>
      </c>
      <c r="F38" s="4">
        <f>F32</f>
        <v/>
      </c>
      <c r="G38" s="4">
        <f>F33</f>
        <v/>
      </c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</row>
    <row r="41">
      <c r="A41" s="2" t="inlineStr">
        <is>
          <t>--- Gesamtstunden 2025Q3 ---</t>
        </is>
      </c>
    </row>
    <row r="42">
      <c r="A42" s="12" t="inlineStr">
        <is>
          <t>Gesamt eingetragene Stunden:</t>
        </is>
      </c>
      <c r="B42" s="12" t="n">
        <v>187.25</v>
      </c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</row>
    <row r="43">
      <c r="A43" s="12" t="inlineStr">
        <is>
          <t>Bonusberechtigte Stunden (Quartal):</t>
        </is>
      </c>
      <c r="B43" s="20">
        <f>SUM(F15,F30)</f>
        <v/>
      </c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</row>
    <row r="44">
      <c r="A44" s="12" t="inlineStr">
        <is>
          <t>Bonusberechtigte Stunden Sonderprojekt (Quartal):</t>
        </is>
      </c>
      <c r="B44" s="20">
        <f>SUM(F16,F31)</f>
        <v/>
      </c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</row>
  </sheetData>
  <mergeCells count="3">
    <mergeCell ref="A23:A24"/>
    <mergeCell ref="A11:A12"/>
    <mergeCell ref="A6:A7"/>
  </mergeCells>
  <conditionalFormatting sqref="I6">
    <cfRule type="cellIs" priority="1" operator="lessThan" dxfId="0" stopIfTrue="1">
      <formula>0</formula>
    </cfRule>
  </conditionalFormatting>
  <conditionalFormatting sqref="I7">
    <cfRule type="cellIs" priority="2" operator="lessThan" dxfId="0" stopIfTrue="1">
      <formula>0</formula>
    </cfRule>
  </conditionalFormatting>
  <conditionalFormatting sqref="I8">
    <cfRule type="cellIs" priority="3" operator="lessThan" dxfId="0" stopIfTrue="1">
      <formula>0</formula>
    </cfRule>
  </conditionalFormatting>
  <conditionalFormatting sqref="I9">
    <cfRule type="cellIs" priority="4" operator="lessThan" dxfId="0" stopIfTrue="1">
      <formula>0</formula>
    </cfRule>
  </conditionalFormatting>
  <conditionalFormatting sqref="I10">
    <cfRule type="cellIs" priority="5" operator="lessThan" dxfId="0" stopIfTrue="1">
      <formula>0</formula>
    </cfRule>
  </conditionalFormatting>
  <conditionalFormatting sqref="I11">
    <cfRule type="cellIs" priority="6" operator="lessThan" dxfId="0" stopIfTrue="1">
      <formula>0</formula>
    </cfRule>
  </conditionalFormatting>
  <conditionalFormatting sqref="I12">
    <cfRule type="cellIs" priority="7" operator="lessThan" dxfId="0" stopIfTrue="1">
      <formula>0</formula>
    </cfRule>
  </conditionalFormatting>
  <conditionalFormatting sqref="I13">
    <cfRule type="cellIs" priority="8" operator="lessThan" dxfId="0" stopIfTrue="1">
      <formula>0</formula>
    </cfRule>
  </conditionalFormatting>
  <conditionalFormatting sqref="I22">
    <cfRule type="cellIs" priority="9" operator="lessThan" dxfId="0" stopIfTrue="1">
      <formula>0</formula>
    </cfRule>
  </conditionalFormatting>
  <conditionalFormatting sqref="I23">
    <cfRule type="cellIs" priority="10" operator="lessThan" dxfId="0" stopIfTrue="1">
      <formula>0</formula>
    </cfRule>
  </conditionalFormatting>
  <conditionalFormatting sqref="I24">
    <cfRule type="cellIs" priority="11" operator="lessThan" dxfId="0" stopIfTrue="1">
      <formula>0</formula>
    </cfRule>
  </conditionalFormatting>
  <conditionalFormatting sqref="I25">
    <cfRule type="cellIs" priority="12" operator="lessThan" dxfId="0" stopIfTrue="1">
      <formula>0</formula>
    </cfRule>
  </conditionalFormatting>
  <conditionalFormatting sqref="I26">
    <cfRule type="cellIs" priority="13" operator="lessThan" dxfId="0" stopIfTrue="1">
      <formula>0</formula>
    </cfRule>
  </conditionalFormatting>
  <conditionalFormatting sqref="I27">
    <cfRule type="cellIs" priority="14" operator="lessThan" dxfId="0" stopIfTrue="1">
      <formula>0</formula>
    </cfRule>
  </conditionalFormatting>
  <conditionalFormatting sqref="I28">
    <cfRule type="cellIs" priority="15" operator="lessThan" dxfId="0" stopIfTrue="1">
      <formula>0</formula>
    </cfRule>
  </conditionalFormatting>
  <dataValidations count="12">
    <dataValidation sqref="B2" showDropDown="0" showInputMessage="0" showErrorMessage="0" allowBlank="0" type="list">
      <formula1>"SV,CAD,ADM,Pauschale,-"</formula1>
    </dataValidation>
    <dataValidation sqref="J7" showDropDown="0" showInputMessage="0" showErrorMessage="0" allowBlank="1" type="list">
      <formula1>"O. Haag BS-CAD"</formula1>
    </dataValidation>
    <dataValidation sqref="J8" showDropDown="0" showInputMessage="0" showErrorMessage="0" allowBlank="1" type="list">
      <formula1>"A. Kokott,S. Schüler"</formula1>
    </dataValidation>
    <dataValidation sqref="J10" showDropDown="0" showInputMessage="0" showErrorMessage="0" allowBlank="1" type="list">
      <formula1>"T. Trautmann"</formula1>
    </dataValidation>
    <dataValidation sqref="J12" showDropDown="0" showInputMessage="0" showErrorMessage="0" allowBlank="1" type="list">
      <formula1>"O. Haag BS-CAD"</formula1>
    </dataValidation>
    <dataValidation sqref="J13" showDropDown="0" showInputMessage="0" showErrorMessage="0" allowBlank="1" type="list">
      <formula1>"O. Haag BS-CAD"</formula1>
    </dataValidation>
    <dataValidation sqref="J22" showDropDown="0" showInputMessage="0" showErrorMessage="0" allowBlank="1" type="list">
      <formula1>"O. Haag BS-CAD"</formula1>
    </dataValidation>
    <dataValidation sqref="J24" showDropDown="0" showInputMessage="0" showErrorMessage="0" allowBlank="1" type="list">
      <formula1>"A. Kokott,S. Schüler"</formula1>
    </dataValidation>
    <dataValidation sqref="J25" showDropDown="0" showInputMessage="0" showErrorMessage="0" allowBlank="1" type="list">
      <formula1>"O. Haag BS-CAD"</formula1>
    </dataValidation>
    <dataValidation sqref="J26" showDropDown="0" showInputMessage="0" showErrorMessage="0" allowBlank="1" type="list">
      <formula1>"T. Trautmann"</formula1>
    </dataValidation>
    <dataValidation sqref="J27" showDropDown="0" showInputMessage="0" showErrorMessage="0" allowBlank="1" type="list">
      <formula1>"O. Haag BS-CAD"</formula1>
    </dataValidation>
    <dataValidation sqref="J28" showDropDown="0" showInputMessage="0" showErrorMessage="0" allowBlank="1" type="list">
      <formula1>"O. Haag BS-CAD"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143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8" customWidth="1" min="3" max="3"/>
    <col width="12" customWidth="1" min="4" max="4"/>
    <col width="12" customWidth="1" min="5" max="5"/>
    <col width="12" customWidth="1" min="6" max="6"/>
    <col width="8" customWidth="1" min="7" max="7"/>
    <col width="16" customWidth="1" min="8" max="8"/>
    <col width="12" customWidth="1" min="9" max="9"/>
    <col width="25" customWidth="1" min="10" max="10"/>
    <col width="15" customWidth="1" min="11" max="11"/>
    <col width="18" customWidth="1" min="12" max="12"/>
    <col width="15" customWidth="1" min="13" max="13"/>
    <col width="18" customWidth="1" min="14" max="14"/>
    <col width="15" customWidth="1" min="15" max="15"/>
    <col width="22" customWidth="1" min="16" max="16"/>
  </cols>
  <sheetData>
    <row r="1">
      <c r="A1" t="inlineStr">
        <is>
          <t>O. Haag BS-CAD - Quartalsreport 2025Q3</t>
        </is>
      </c>
    </row>
    <row r="2">
      <c r="A2" s="12" t="inlineStr">
        <is>
          <t>Position:</t>
        </is>
      </c>
      <c r="B2" t="inlineStr">
        <is>
          <t>SV</t>
        </is>
      </c>
    </row>
    <row r="4">
      <c r="A4" s="2" t="inlineStr">
        <is>
          <t>--- Juli 2025 ---</t>
        </is>
      </c>
    </row>
    <row r="5">
      <c r="A5" s="3" t="inlineStr">
        <is>
          <t>Projekt</t>
        </is>
      </c>
      <c r="B5" s="3" t="inlineStr">
        <is>
          <t>Meilenstein</t>
        </is>
      </c>
      <c r="C5" s="3" t="inlineStr">
        <is>
          <t>Typ</t>
        </is>
      </c>
      <c r="D5" s="3" t="inlineStr">
        <is>
          <t>Soll (h)</t>
        </is>
      </c>
      <c r="E5" s="3" t="inlineStr">
        <is>
          <t>Ist (h)</t>
        </is>
      </c>
      <c r="F5" s="3" t="inlineStr">
        <is>
          <t>Juli 2025 (h)</t>
        </is>
      </c>
      <c r="G5" s="3" t="inlineStr">
        <is>
          <t>%</t>
        </is>
      </c>
      <c r="H5" s="3" t="inlineStr">
        <is>
          <t>Bonus-Anpassung (h)</t>
        </is>
      </c>
      <c r="I5" s="3" t="inlineStr">
        <is>
          <t>Differenz (h)</t>
        </is>
      </c>
      <c r="J5" s="3" t="inlineStr">
        <is>
          <t>Zuordnen an</t>
        </is>
      </c>
      <c r="K5" s="3" t="inlineStr">
        <is>
          <t>Von anderen (h)</t>
        </is>
      </c>
      <c r="L5" s="3" t="inlineStr">
        <is>
          <t>Stundensatz (€/h)</t>
        </is>
      </c>
      <c r="M5" s="3" t="inlineStr">
        <is>
          <t>Umsatz (€)</t>
        </is>
      </c>
      <c r="N5" s="3" t="inlineStr">
        <is>
          <t>Budget Gesamt (€)</t>
        </is>
      </c>
      <c r="O5" s="3" t="inlineStr">
        <is>
          <t>Budget Ist (€)</t>
        </is>
      </c>
      <c r="P5" s="3" t="inlineStr">
        <is>
          <t>Budget Erwirtschaftet (€)</t>
        </is>
      </c>
    </row>
    <row r="6">
      <c r="A6" s="4" t="inlineStr">
        <is>
          <t>0000 Sonderprojekt für Bonus</t>
        </is>
      </c>
      <c r="B6" s="4" t="inlineStr">
        <is>
          <t>Angebote-Ausschreibungen-Kalkulationen (max. 8h/Monat pro MA)</t>
        </is>
      </c>
      <c r="C6" s="4" t="inlineStr">
        <is>
          <t>M</t>
        </is>
      </c>
      <c r="D6" s="4" t="n">
        <v>8</v>
      </c>
      <c r="E6" s="4" t="n">
        <v>5</v>
      </c>
      <c r="F6" s="4" t="n">
        <v>5</v>
      </c>
      <c r="G6" s="17" t="n">
        <v>62.5</v>
      </c>
      <c r="H6" s="5" t="n"/>
      <c r="I6" s="5">
        <f>IF(H6=0,"",F6-H6)</f>
        <v/>
      </c>
      <c r="J6" s="4" t="n"/>
      <c r="K6" s="5">
        <f>IF('A. Kokott'!J6="O. Haag BS-CAD",'A. Kokott'!I6,0)+IF('D. Brucker'!J6="O. Haag BS-CAD",'D. Brucker'!I6,0)+IF('E. Bieler'!J6="O. Haag BS-CAD",'E. Bieler'!I6,0)+IF('J. Dorchies'!J6="O. Haag BS-CAD",'J. Dorchies'!I6,0)+IF('S. Schüler'!J6="O. Haag BS-CAD",'S. Schüler'!I6,0)+IF('T. Trautmann'!J6="O. Haag BS-CAD",'T. Trautmann'!I6,0)+IF('U. Sutter ADM'!J6="O. Haag BS-CAD",'U. Sutter ADM'!I6,0)</f>
        <v/>
      </c>
      <c r="L6" s="11">
        <f>IF($B$2="-","",IF($B$2="Pauschale",IFERROR(INDEX('Projekt-Budget-Übersicht'!$H:$H,MATCH(A6,'Projekt-Budget-Übersicht'!$A:$A,0)),""),IF($B$2="SV",IFERROR(INDEX('Projekt-Budget-Übersicht'!$H:$H,MATCH(A6,'Projekt-Budget-Übersicht'!$A:$A,0)),""),IF($B$2="CAD",IFERROR(INDEX('Projekt-Budget-Übersicht'!$I:$I,MATCH(A6,'Projekt-Budget-Übersicht'!$A:$A,0)),""),IF($B$2="ADM",IFERROR(INDEX('Projekt-Budget-Übersicht'!$J:$J,MATCH(A6,'Projekt-Budget-Übersicht'!$A:$A,0)),""),"")))))</f>
        <v/>
      </c>
      <c r="M6" s="11">
        <f>IF($B$2="-","",L6*(F6+I6+K6))</f>
        <v/>
      </c>
      <c r="N6" s="11">
        <f>IFERROR(INDEX('Projekt-Budget-Übersicht'!$E:$E,MATCH(A6,'Projekt-Budget-Übersicht'!$A:$A,0)),"")</f>
        <v/>
      </c>
      <c r="O6" s="11" t="inlineStr"/>
      <c r="P6" s="11" t="inlineStr"/>
    </row>
    <row r="7">
      <c r="A7" s="4" t="inlineStr">
        <is>
          <t>2032.061 aam2core-FRP-Halbergstraße1-LU</t>
        </is>
      </c>
      <c r="B7" s="4" t="inlineStr">
        <is>
          <t>CAD</t>
        </is>
      </c>
      <c r="C7" s="4" t="inlineStr">
        <is>
          <t>G</t>
        </is>
      </c>
      <c r="D7" s="4" t="n">
        <v>6</v>
      </c>
      <c r="E7" s="4" t="n">
        <v>0.5</v>
      </c>
      <c r="F7" s="4" t="n">
        <v>0.5</v>
      </c>
      <c r="G7" s="17" t="n">
        <v>8.33</v>
      </c>
      <c r="H7" s="5" t="n"/>
      <c r="I7" s="5">
        <f>IF(H7=0,"",F7-H7)</f>
        <v/>
      </c>
      <c r="J7" s="4" t="n"/>
      <c r="K7" s="5" t="n">
        <v>0</v>
      </c>
      <c r="L7" s="11">
        <f>IF($B$2="-","",IF($B$2="Pauschale",IFERROR(INDEX('Projekt-Budget-Übersicht'!$H:$H,MATCH(A7,'Projekt-Budget-Übersicht'!$A:$A,0)),""),IF($B$2="SV",IFERROR(INDEX('Projekt-Budget-Übersicht'!$H:$H,MATCH(A7,'Projekt-Budget-Übersicht'!$A:$A,0)),""),IF($B$2="CAD",IFERROR(INDEX('Projekt-Budget-Übersicht'!$I:$I,MATCH(A7,'Projekt-Budget-Übersicht'!$A:$A,0)),""),IF($B$2="ADM",IFERROR(INDEX('Projekt-Budget-Übersicht'!$J:$J,MATCH(A7,'Projekt-Budget-Übersicht'!$A:$A,0)),""),"")))))</f>
        <v/>
      </c>
      <c r="M7" s="11">
        <f>IF($B$2="-","",L7*(F7+I7+K7))</f>
        <v/>
      </c>
      <c r="N7" s="11">
        <f>IFERROR(INDEX('Projekt-Budget-Übersicht'!$E:$E,MATCH(A7,'Projekt-Budget-Übersicht'!$A:$A,0)),"")</f>
        <v/>
      </c>
      <c r="O7" s="11" t="inlineStr"/>
      <c r="P7" s="11" t="inlineStr"/>
    </row>
    <row r="8">
      <c r="A8" s="4" t="inlineStr">
        <is>
          <t>3749.07 AHO-Karl-Mayer-Quartier-Obertshausen</t>
        </is>
      </c>
      <c r="B8" s="4" t="inlineStr">
        <is>
          <t>4103-Erarbeiten Brandschutzkonzeptpläne….</t>
        </is>
      </c>
      <c r="C8" s="4" t="inlineStr">
        <is>
          <t>G</t>
        </is>
      </c>
      <c r="D8" s="4" t="n">
        <v>60</v>
      </c>
      <c r="E8" s="4" t="n">
        <v>35.25</v>
      </c>
      <c r="F8" s="4" t="n">
        <v>2.5</v>
      </c>
      <c r="G8" s="17" t="n">
        <v>58.75</v>
      </c>
      <c r="H8" s="5" t="n"/>
      <c r="I8" s="5">
        <f>IF(H8=0,"",F8-H8)</f>
        <v/>
      </c>
      <c r="J8" s="4" t="n"/>
      <c r="K8" s="5" t="n">
        <v>0</v>
      </c>
      <c r="L8" s="11">
        <f>IF($B$2="-","",IF($B$2="Pauschale",IFERROR(INDEX('Projekt-Budget-Übersicht'!$H:$H,MATCH(A8,'Projekt-Budget-Übersicht'!$A:$A,0)),""),IF($B$2="SV",IFERROR(INDEX('Projekt-Budget-Übersicht'!$H:$H,MATCH(A8,'Projekt-Budget-Übersicht'!$A:$A,0)),""),IF($B$2="CAD",IFERROR(INDEX('Projekt-Budget-Übersicht'!$I:$I,MATCH(A8,'Projekt-Budget-Übersicht'!$A:$A,0)),""),IF($B$2="ADM",IFERROR(INDEX('Projekt-Budget-Übersicht'!$J:$J,MATCH(A8,'Projekt-Budget-Übersicht'!$A:$A,0)),""),"")))))</f>
        <v/>
      </c>
      <c r="M8" s="11">
        <f>IF($B$2="-","",L8*(F8+I8+K8))</f>
        <v/>
      </c>
      <c r="N8" s="11">
        <f>IFERROR(INDEX('Projekt-Budget-Übersicht'!$E:$E,MATCH(A8,'Projekt-Budget-Übersicht'!$A:$A,0)),"")</f>
        <v/>
      </c>
      <c r="O8" s="11" t="inlineStr"/>
      <c r="P8" s="11" t="inlineStr"/>
    </row>
    <row r="9">
      <c r="A9" s="4" t="inlineStr">
        <is>
          <t>3869.24 KES-BST-1.OG-Bestandsgebäude-Marktstr1-3-Stuttgart</t>
        </is>
      </c>
      <c r="B9" s="4" t="inlineStr">
        <is>
          <t>CAD</t>
        </is>
      </c>
      <c r="C9" s="4" t="inlineStr">
        <is>
          <t>G</t>
        </is>
      </c>
      <c r="D9" s="4" t="n">
        <v>6</v>
      </c>
      <c r="E9" s="4" t="n">
        <v>4.75</v>
      </c>
      <c r="F9" s="4" t="n">
        <v>4.75</v>
      </c>
      <c r="G9" s="17" t="n">
        <v>79.17</v>
      </c>
      <c r="H9" s="5" t="n"/>
      <c r="I9" s="5">
        <f>IF(H9=0,"",F9-H9)</f>
        <v/>
      </c>
      <c r="J9" s="4" t="n"/>
      <c r="K9" s="5" t="n">
        <v>0</v>
      </c>
      <c r="L9" s="11">
        <f>IF($B$2="-","",IF($B$2="Pauschale",IFERROR(INDEX('Projekt-Budget-Übersicht'!$H:$H,MATCH(A9,'Projekt-Budget-Übersicht'!$A:$A,0)),""),IF($B$2="SV",IFERROR(INDEX('Projekt-Budget-Übersicht'!$H:$H,MATCH(A9,'Projekt-Budget-Übersicht'!$A:$A,0)),""),IF($B$2="CAD",IFERROR(INDEX('Projekt-Budget-Übersicht'!$I:$I,MATCH(A9,'Projekt-Budget-Übersicht'!$A:$A,0)),""),IF($B$2="ADM",IFERROR(INDEX('Projekt-Budget-Übersicht'!$J:$J,MATCH(A9,'Projekt-Budget-Übersicht'!$A:$A,0)),""),"")))))</f>
        <v/>
      </c>
      <c r="M9" s="11">
        <f>IF($B$2="-","",L9*(F9+I9+K9))</f>
        <v/>
      </c>
      <c r="N9" s="11">
        <f>IFERROR(INDEX('Projekt-Budget-Übersicht'!$E:$E,MATCH(A9,'Projekt-Budget-Übersicht'!$A:$A,0)),"")</f>
        <v/>
      </c>
      <c r="O9" s="11" t="inlineStr"/>
      <c r="P9" s="11" t="inlineStr"/>
    </row>
    <row r="10">
      <c r="A10" s="4" t="inlineStr">
        <is>
          <t>3943.08 TFD-FWP+FRP-Museum-EuropePlaza-Stockholmer-Platz1-Stuttgart</t>
        </is>
      </c>
      <c r="B10" s="4" t="inlineStr">
        <is>
          <t>CAD</t>
        </is>
      </c>
      <c r="C10" s="4" t="inlineStr">
        <is>
          <t>G</t>
        </is>
      </c>
      <c r="D10" s="4" t="n">
        <v>13</v>
      </c>
      <c r="E10" s="4" t="n">
        <v>5.5</v>
      </c>
      <c r="F10" s="4" t="n">
        <v>0.25</v>
      </c>
      <c r="G10" s="17" t="n">
        <v>42.31</v>
      </c>
      <c r="H10" s="5" t="n"/>
      <c r="I10" s="5">
        <f>IF(H10=0,"",F10-H10)</f>
        <v/>
      </c>
      <c r="J10" s="4" t="n"/>
      <c r="K10" s="5" t="n">
        <v>0</v>
      </c>
      <c r="L10" s="11">
        <f>IF($B$2="-","",IF($B$2="Pauschale",IFERROR(INDEX('Projekt-Budget-Übersicht'!$H:$H,MATCH(A10,'Projekt-Budget-Übersicht'!$A:$A,0)),""),IF($B$2="SV",IFERROR(INDEX('Projekt-Budget-Übersicht'!$H:$H,MATCH(A10,'Projekt-Budget-Übersicht'!$A:$A,0)),""),IF($B$2="CAD",IFERROR(INDEX('Projekt-Budget-Übersicht'!$I:$I,MATCH(A10,'Projekt-Budget-Übersicht'!$A:$A,0)),""),IF($B$2="ADM",IFERROR(INDEX('Projekt-Budget-Übersicht'!$J:$J,MATCH(A10,'Projekt-Budget-Übersicht'!$A:$A,0)),""),"")))))</f>
        <v/>
      </c>
      <c r="M10" s="11">
        <f>IF($B$2="-","",L10*(F10+I10+K10))</f>
        <v/>
      </c>
      <c r="N10" s="11">
        <f>IFERROR(INDEX('Projekt-Budget-Übersicht'!$E:$E,MATCH(A10,'Projekt-Budget-Übersicht'!$A:$A,0)),"")</f>
        <v/>
      </c>
      <c r="O10" s="11" t="inlineStr"/>
      <c r="P10" s="11" t="inlineStr"/>
    </row>
    <row r="11">
      <c r="A11" s="4" t="inlineStr">
        <is>
          <t>4436.04 BTB Krankenhaus-Bergstraße-Viernheimer-Straße-2-Heppenheim</t>
        </is>
      </c>
      <c r="B11" s="4" t="inlineStr">
        <is>
          <t>4103-Erarbeiten Brandschutzkonzeptpläne….</t>
        </is>
      </c>
      <c r="C11" s="4" t="inlineStr">
        <is>
          <t>G</t>
        </is>
      </c>
      <c r="D11" s="4" t="n">
        <v>26.5</v>
      </c>
      <c r="E11" s="4" t="n">
        <v>32.75</v>
      </c>
      <c r="F11" s="4" t="n">
        <v>0.5</v>
      </c>
      <c r="G11" s="16" t="n">
        <v>123.58</v>
      </c>
      <c r="H11" s="5" t="n"/>
      <c r="I11" s="5">
        <f>IF(H11=0,"",F11-H11)</f>
        <v/>
      </c>
      <c r="J11" s="4" t="n"/>
      <c r="K11" s="5">
        <f>IF('S. Schüler'!J12="O. Haag BS-CAD",'S. Schüler'!I12,0)</f>
        <v/>
      </c>
      <c r="L11" s="11">
        <f>IF($B$2="-","",IF($B$2="Pauschale",IFERROR(INDEX('Projekt-Budget-Übersicht'!$H:$H,MATCH(A11,'Projekt-Budget-Übersicht'!$A:$A,0)),""),IF($B$2="SV",IFERROR(INDEX('Projekt-Budget-Übersicht'!$H:$H,MATCH(A11,'Projekt-Budget-Übersicht'!$A:$A,0)),""),IF($B$2="CAD",IFERROR(INDEX('Projekt-Budget-Übersicht'!$I:$I,MATCH(A11,'Projekt-Budget-Übersicht'!$A:$A,0)),""),IF($B$2="ADM",IFERROR(INDEX('Projekt-Budget-Übersicht'!$J:$J,MATCH(A11,'Projekt-Budget-Übersicht'!$A:$A,0)),""),"")))))</f>
        <v/>
      </c>
      <c r="M11" s="11">
        <f>IF($B$2="-","",L11*(F11+I11+K11))</f>
        <v/>
      </c>
      <c r="N11" s="11">
        <f>IFERROR(INDEX('Projekt-Budget-Übersicht'!$E:$E,MATCH(A11,'Projekt-Budget-Übersicht'!$A:$A,0)),"")</f>
        <v/>
      </c>
      <c r="O11" s="11" t="inlineStr"/>
      <c r="P11" s="11" t="inlineStr"/>
    </row>
    <row r="12">
      <c r="A12" s="4" t="inlineStr">
        <is>
          <t>4894.031 Aktualisierung-Pläne-BA1-Fiduciastraße-20-Karlsruhe</t>
        </is>
      </c>
      <c r="B12" s="4" t="inlineStr">
        <is>
          <t>9201-Erstellen od. Prüfen FuR pauschal</t>
        </is>
      </c>
      <c r="C12" s="4" t="inlineStr">
        <is>
          <t>G</t>
        </is>
      </c>
      <c r="D12" s="4" t="n">
        <v>0</v>
      </c>
      <c r="E12" s="4" t="n">
        <v>-0.75</v>
      </c>
      <c r="F12" s="4" t="n">
        <v>0.5</v>
      </c>
      <c r="G12" s="4" t="n">
        <v>0</v>
      </c>
      <c r="H12" s="5" t="n"/>
      <c r="I12" s="5">
        <f>IF(H12=0,"",F12-H12)</f>
        <v/>
      </c>
      <c r="J12" s="4" t="n"/>
      <c r="K12" s="5" t="n">
        <v>0</v>
      </c>
      <c r="L12" s="11">
        <f>IF($B$2="-","",IF($B$2="Pauschale",IFERROR(INDEX('Projekt-Budget-Übersicht'!$H:$H,MATCH(A12,'Projekt-Budget-Übersicht'!$A:$A,0)),""),IF($B$2="SV",IFERROR(INDEX('Projekt-Budget-Übersicht'!$H:$H,MATCH(A12,'Projekt-Budget-Übersicht'!$A:$A,0)),""),IF($B$2="CAD",IFERROR(INDEX('Projekt-Budget-Übersicht'!$I:$I,MATCH(A12,'Projekt-Budget-Übersicht'!$A:$A,0)),""),IF($B$2="ADM",IFERROR(INDEX('Projekt-Budget-Übersicht'!$J:$J,MATCH(A12,'Projekt-Budget-Übersicht'!$A:$A,0)),""),"")))))</f>
        <v/>
      </c>
      <c r="M12" s="11">
        <f>IF($B$2="-","",L12*(F12+I12+K12))</f>
        <v/>
      </c>
      <c r="N12" s="11">
        <f>IFERROR(INDEX('Projekt-Budget-Übersicht'!$E:$E,MATCH(A12,'Projekt-Budget-Übersicht'!$A:$A,0)),"")</f>
        <v/>
      </c>
      <c r="O12" s="11" t="inlineStr"/>
      <c r="P12" s="11" t="inlineStr"/>
    </row>
    <row r="13">
      <c r="A13" s="4" t="inlineStr">
        <is>
          <t>4903.11 BSK-2024-2025-Marktplatz-uPva-Los-1+3</t>
        </is>
      </c>
      <c r="B13" s="4" t="inlineStr">
        <is>
          <t>4103-Erarbeiten Brandschutzkonzeptpläne….</t>
        </is>
      </c>
      <c r="C13" s="4" t="inlineStr">
        <is>
          <t>G</t>
        </is>
      </c>
      <c r="D13" s="4" t="n">
        <v>24</v>
      </c>
      <c r="E13" s="4" t="n">
        <v>46.5</v>
      </c>
      <c r="F13" s="4" t="n">
        <v>0.5</v>
      </c>
      <c r="G13" s="16" t="n">
        <v>193.75</v>
      </c>
      <c r="H13" s="5" t="n"/>
      <c r="I13" s="5">
        <f>IF(H13=0,"",F13-H13)</f>
        <v/>
      </c>
      <c r="J13" s="4" t="n"/>
      <c r="K13" s="5" t="n">
        <v>0</v>
      </c>
      <c r="L13" s="11">
        <f>IF($B$2="-","",IF($B$2="Pauschale",IFERROR(INDEX('Projekt-Budget-Übersicht'!$H:$H,MATCH(A13,'Projekt-Budget-Übersicht'!$A:$A,0)),""),IF($B$2="SV",IFERROR(INDEX('Projekt-Budget-Übersicht'!$H:$H,MATCH(A13,'Projekt-Budget-Übersicht'!$A:$A,0)),""),IF($B$2="CAD",IFERROR(INDEX('Projekt-Budget-Übersicht'!$I:$I,MATCH(A13,'Projekt-Budget-Übersicht'!$A:$A,0)),""),IF($B$2="ADM",IFERROR(INDEX('Projekt-Budget-Übersicht'!$J:$J,MATCH(A13,'Projekt-Budget-Übersicht'!$A:$A,0)),""),"")))))</f>
        <v/>
      </c>
      <c r="M13" s="11">
        <f>IF($B$2="-","",L13*(F13+I13+K13))</f>
        <v/>
      </c>
      <c r="N13" s="11">
        <f>IFERROR(INDEX('Projekt-Budget-Übersicht'!$E:$E,MATCH(A13,'Projekt-Budget-Übersicht'!$A:$A,0)),"")</f>
        <v/>
      </c>
      <c r="O13" s="11" t="inlineStr"/>
      <c r="P13" s="11" t="inlineStr"/>
    </row>
    <row r="14">
      <c r="A14" s="4" t="inlineStr">
        <is>
          <t>5176.13 RNV-Akt-FWP-FRP-Tunnelanlagen-LU</t>
        </is>
      </c>
      <c r="B14" s="4" t="inlineStr">
        <is>
          <t>(p) Pos. 2 Aktualisieren der Flucht- und Rettungspläne</t>
        </is>
      </c>
      <c r="C14" s="4" t="inlineStr">
        <is>
          <t>G</t>
        </is>
      </c>
      <c r="D14" s="4" t="n">
        <v>14</v>
      </c>
      <c r="E14" s="4" t="n">
        <v>11.25</v>
      </c>
      <c r="F14" s="4" t="n">
        <v>0.25</v>
      </c>
      <c r="G14" s="17" t="n">
        <v>80.36</v>
      </c>
      <c r="H14" s="5" t="n"/>
      <c r="I14" s="5">
        <f>IF(H14=0,"",F14-H14)</f>
        <v/>
      </c>
      <c r="J14" s="4" t="n"/>
      <c r="K14" s="5" t="n">
        <v>0</v>
      </c>
      <c r="L14" s="11">
        <f>IF($B$2="-","",IF($B$2="Pauschale",IFERROR(INDEX('Projekt-Budget-Übersicht'!$H:$H,MATCH(A14,'Projekt-Budget-Übersicht'!$A:$A,0)),""),IF($B$2="SV",IFERROR(INDEX('Projekt-Budget-Übersicht'!$H:$H,MATCH(A14,'Projekt-Budget-Übersicht'!$A:$A,0)),""),IF($B$2="CAD",IFERROR(INDEX('Projekt-Budget-Übersicht'!$I:$I,MATCH(A14,'Projekt-Budget-Übersicht'!$A:$A,0)),""),IF($B$2="ADM",IFERROR(INDEX('Projekt-Budget-Übersicht'!$J:$J,MATCH(A14,'Projekt-Budget-Übersicht'!$A:$A,0)),""),"")))))</f>
        <v/>
      </c>
      <c r="M14" s="11">
        <f>IF($B$2="-","",L14*(F14+I14+K14))</f>
        <v/>
      </c>
      <c r="N14" s="11">
        <f>IFERROR(INDEX('Projekt-Budget-Übersicht'!$E:$E,MATCH(A14,'Projekt-Budget-Übersicht'!$A:$A,0)),"")</f>
        <v/>
      </c>
      <c r="O14" s="11" t="inlineStr"/>
      <c r="P14" s="11" t="inlineStr"/>
    </row>
    <row r="15">
      <c r="A15" s="4" t="inlineStr">
        <is>
          <t>5291.01 RNV-BTB-NB-ABZ-Betriebshof-Ludwigshafen</t>
        </is>
      </c>
      <c r="B15" s="4" t="inlineStr">
        <is>
          <t>CAD</t>
        </is>
      </c>
      <c r="C15" s="4" t="inlineStr">
        <is>
          <t>G</t>
        </is>
      </c>
      <c r="D15" s="4" t="n">
        <v>0</v>
      </c>
      <c r="E15" s="4" t="n">
        <v>-2</v>
      </c>
      <c r="F15" s="4" t="n">
        <v>5.25</v>
      </c>
      <c r="G15" s="4" t="n">
        <v>0</v>
      </c>
      <c r="H15" s="5" t="n"/>
      <c r="I15" s="5">
        <f>IF(H15=0,"",F15-H15)</f>
        <v/>
      </c>
      <c r="J15" s="4" t="n"/>
      <c r="K15" s="5" t="n">
        <v>0</v>
      </c>
      <c r="L15" s="11">
        <f>IF($B$2="-","",IF($B$2="Pauschale",IFERROR(INDEX('Projekt-Budget-Übersicht'!$H:$H,MATCH(A15,'Projekt-Budget-Übersicht'!$A:$A,0)),""),IF($B$2="SV",IFERROR(INDEX('Projekt-Budget-Übersicht'!$H:$H,MATCH(A15,'Projekt-Budget-Übersicht'!$A:$A,0)),""),IF($B$2="CAD",IFERROR(INDEX('Projekt-Budget-Übersicht'!$I:$I,MATCH(A15,'Projekt-Budget-Übersicht'!$A:$A,0)),""),IF($B$2="ADM",IFERROR(INDEX('Projekt-Budget-Übersicht'!$J:$J,MATCH(A15,'Projekt-Budget-Übersicht'!$A:$A,0)),""),"")))))</f>
        <v/>
      </c>
      <c r="M15" s="11">
        <f>IF($B$2="-","",L15*(F15+I15+K15))</f>
        <v/>
      </c>
      <c r="N15" s="11">
        <f>IFERROR(INDEX('Projekt-Budget-Übersicht'!$E:$E,MATCH(A15,'Projekt-Budget-Übersicht'!$A:$A,0)),"")</f>
        <v/>
      </c>
      <c r="O15" s="11" t="inlineStr"/>
      <c r="P15" s="11" t="inlineStr"/>
    </row>
    <row r="16">
      <c r="A16" s="4" t="inlineStr">
        <is>
          <t>5437.03 AHO-Brandschutzdienstleistungen-BAII-Bissierstraße-Freiburg-Metzgergrün</t>
        </is>
      </c>
      <c r="B16" s="4" t="inlineStr">
        <is>
          <t>5000-Ausführungsplanung</t>
        </is>
      </c>
      <c r="C16" s="4" t="inlineStr">
        <is>
          <t>G</t>
        </is>
      </c>
      <c r="D16" s="4" t="n">
        <v>85</v>
      </c>
      <c r="E16" s="4" t="n">
        <v>47.25</v>
      </c>
      <c r="F16" s="4" t="n">
        <v>0.5</v>
      </c>
      <c r="G16" s="17" t="n">
        <v>55.59</v>
      </c>
      <c r="H16" s="5" t="n"/>
      <c r="I16" s="5">
        <f>IF(H16=0,"",F16-H16)</f>
        <v/>
      </c>
      <c r="J16" s="4" t="n"/>
      <c r="K16" s="5">
        <f>IF('T. Trautmann'!J14="O. Haag BS-CAD",'T. Trautmann'!I14,0)</f>
        <v/>
      </c>
      <c r="L16" s="11">
        <f>IF($B$2="-","",IF($B$2="Pauschale",IFERROR(INDEX('Projekt-Budget-Übersicht'!$H:$H,MATCH(A16,'Projekt-Budget-Übersicht'!$A:$A,0)),""),IF($B$2="SV",IFERROR(INDEX('Projekt-Budget-Übersicht'!$H:$H,MATCH(A16,'Projekt-Budget-Übersicht'!$A:$A,0)),""),IF($B$2="CAD",IFERROR(INDEX('Projekt-Budget-Übersicht'!$I:$I,MATCH(A16,'Projekt-Budget-Übersicht'!$A:$A,0)),""),IF($B$2="ADM",IFERROR(INDEX('Projekt-Budget-Übersicht'!$J:$J,MATCH(A16,'Projekt-Budget-Übersicht'!$A:$A,0)),""),"")))))</f>
        <v/>
      </c>
      <c r="M16" s="11">
        <f>IF($B$2="-","",L16*(F16+I16+K16))</f>
        <v/>
      </c>
      <c r="N16" s="11">
        <f>IFERROR(INDEX('Projekt-Budget-Übersicht'!$E:$E,MATCH(A16,'Projekt-Budget-Übersicht'!$A:$A,0)),"")</f>
        <v/>
      </c>
      <c r="O16" s="11" t="inlineStr"/>
      <c r="P16" s="11" t="inlineStr"/>
    </row>
    <row r="17">
      <c r="A17" s="4" t="inlineStr">
        <is>
          <t>5607.07 Fortschr-QBS-NB-J4-Zentralinstitut-für-seelische-Gesundheit-Mannheim</t>
        </is>
      </c>
      <c r="B17" s="4" t="inlineStr">
        <is>
          <t>Fortschr. Brandfallsteuertabelle</t>
        </is>
      </c>
      <c r="C17" s="4" t="inlineStr">
        <is>
          <t>G</t>
        </is>
      </c>
      <c r="D17" s="4" t="n">
        <v>40</v>
      </c>
      <c r="E17" s="4" t="n">
        <v>68.25</v>
      </c>
      <c r="F17" s="4" t="n">
        <v>1.5</v>
      </c>
      <c r="G17" s="16" t="n">
        <v>170.62</v>
      </c>
      <c r="H17" s="5" t="n"/>
      <c r="I17" s="5">
        <f>IF(H17=0,"",F17-H17)</f>
        <v/>
      </c>
      <c r="J17" s="4" t="n"/>
      <c r="K17" s="5" t="n">
        <v>0</v>
      </c>
      <c r="L17" s="11">
        <f>IF($B$2="-","",IF($B$2="Pauschale",IFERROR(INDEX('Projekt-Budget-Übersicht'!$H:$H,MATCH(A17,'Projekt-Budget-Übersicht'!$A:$A,0)),""),IF($B$2="SV",IFERROR(INDEX('Projekt-Budget-Übersicht'!$H:$H,MATCH(A17,'Projekt-Budget-Übersicht'!$A:$A,0)),""),IF($B$2="CAD",IFERROR(INDEX('Projekt-Budget-Übersicht'!$I:$I,MATCH(A17,'Projekt-Budget-Übersicht'!$A:$A,0)),""),IF($B$2="ADM",IFERROR(INDEX('Projekt-Budget-Übersicht'!$J:$J,MATCH(A17,'Projekt-Budget-Übersicht'!$A:$A,0)),""),"")))))</f>
        <v/>
      </c>
      <c r="M17" s="11">
        <f>IF($B$2="-","",L17*(F17+I17+K17))</f>
        <v/>
      </c>
      <c r="N17" s="11">
        <f>IFERROR(INDEX('Projekt-Budget-Übersicht'!$E:$E,MATCH(A17,'Projekt-Budget-Übersicht'!$A:$A,0)),"")</f>
        <v/>
      </c>
      <c r="O17" s="11" t="inlineStr"/>
      <c r="P17" s="11" t="inlineStr"/>
    </row>
    <row r="18">
      <c r="A18" s="4" t="inlineStr">
        <is>
          <t>5607.15 BTB-2025-Zentralinstitut-für-seelische-Gesundheit-Mannheim</t>
        </is>
      </c>
      <c r="B18" s="4" t="inlineStr">
        <is>
          <t>4103-Erarbeiten Brandschutzkonzeptpläne….</t>
        </is>
      </c>
      <c r="C18" s="4" t="inlineStr">
        <is>
          <t>G</t>
        </is>
      </c>
      <c r="D18" s="4" t="n">
        <v>30</v>
      </c>
      <c r="E18" s="4" t="n">
        <v>9.25</v>
      </c>
      <c r="F18" s="4" t="n">
        <v>1.5</v>
      </c>
      <c r="G18" s="17" t="n">
        <v>30.83</v>
      </c>
      <c r="H18" s="5" t="n"/>
      <c r="I18" s="5">
        <f>IF(H18=0,"",F18-H18)</f>
        <v/>
      </c>
      <c r="J18" s="4" t="n"/>
      <c r="K18" s="5">
        <f>IF('S. Schüler'!J23="O. Haag BS-CAD",'S. Schüler'!I23,0)</f>
        <v/>
      </c>
      <c r="L18" s="11">
        <f>IF($B$2="-","",IF($B$2="Pauschale",IFERROR(INDEX('Projekt-Budget-Übersicht'!$H:$H,MATCH(A18,'Projekt-Budget-Übersicht'!$A:$A,0)),""),IF($B$2="SV",IFERROR(INDEX('Projekt-Budget-Übersicht'!$H:$H,MATCH(A18,'Projekt-Budget-Übersicht'!$A:$A,0)),""),IF($B$2="CAD",IFERROR(INDEX('Projekt-Budget-Übersicht'!$I:$I,MATCH(A18,'Projekt-Budget-Übersicht'!$A:$A,0)),""),IF($B$2="ADM",IFERROR(INDEX('Projekt-Budget-Übersicht'!$J:$J,MATCH(A18,'Projekt-Budget-Übersicht'!$A:$A,0)),""),"")))))</f>
        <v/>
      </c>
      <c r="M18" s="11">
        <f>IF($B$2="-","",L18*(F18+I18+K18))</f>
        <v/>
      </c>
      <c r="N18" s="11">
        <f>IFERROR(INDEX('Projekt-Budget-Übersicht'!$E:$E,MATCH(A18,'Projekt-Budget-Übersicht'!$A:$A,0)),"")</f>
        <v/>
      </c>
      <c r="O18" s="11" t="inlineStr"/>
      <c r="P18" s="11" t="inlineStr"/>
    </row>
    <row r="19">
      <c r="A19" s="4" t="inlineStr">
        <is>
          <t>5607.16 ZI-FWP-FRP-Laborgebäude-Liegenschaften-J5-Mannheim</t>
        </is>
      </c>
      <c r="B19" s="4" t="inlineStr">
        <is>
          <t>(aN) Erstellung FWP (CAD)</t>
        </is>
      </c>
      <c r="C19" s="4" t="inlineStr">
        <is>
          <t>G</t>
        </is>
      </c>
      <c r="D19" s="4" t="n">
        <v>100</v>
      </c>
      <c r="E19" s="4" t="n">
        <v>45.75</v>
      </c>
      <c r="F19" s="4" t="n">
        <v>1</v>
      </c>
      <c r="G19" s="17" t="n">
        <v>45.75</v>
      </c>
      <c r="H19" s="5" t="n"/>
      <c r="I19" s="5">
        <f>IF(H19=0,"",F19-H19)</f>
        <v/>
      </c>
      <c r="J19" s="4" t="n"/>
      <c r="K19" s="5" t="n">
        <v>0</v>
      </c>
      <c r="L19" s="11">
        <f>IF($B$2="-","",IF($B$2="Pauschale",IFERROR(INDEX('Projekt-Budget-Übersicht'!$H:$H,MATCH(A19,'Projekt-Budget-Übersicht'!$A:$A,0)),""),IF($B$2="SV",IFERROR(INDEX('Projekt-Budget-Übersicht'!$H:$H,MATCH(A19,'Projekt-Budget-Übersicht'!$A:$A,0)),""),IF($B$2="CAD",IFERROR(INDEX('Projekt-Budget-Übersicht'!$I:$I,MATCH(A19,'Projekt-Budget-Übersicht'!$A:$A,0)),""),IF($B$2="ADM",IFERROR(INDEX('Projekt-Budget-Übersicht'!$J:$J,MATCH(A19,'Projekt-Budget-Übersicht'!$A:$A,0)),""),"")))))</f>
        <v/>
      </c>
      <c r="M19" s="11">
        <f>IF($B$2="-","",L19*(F19+I19+K19))</f>
        <v/>
      </c>
      <c r="N19" s="11">
        <f>IFERROR(INDEX('Projekt-Budget-Übersicht'!$E:$E,MATCH(A19,'Projekt-Budget-Übersicht'!$A:$A,0)),"")</f>
        <v/>
      </c>
      <c r="O19" s="11" t="inlineStr"/>
      <c r="P19" s="11" t="inlineStr"/>
    </row>
    <row r="20">
      <c r="A20" s="4" t="inlineStr">
        <is>
          <t>5757.04 FUR-Gymnasium-Hirschbergstr1-Schriesheim</t>
        </is>
      </c>
      <c r="B20" s="4" t="inlineStr">
        <is>
          <t>9201-Erstellen od. Prüfen Flucht- und Rettungspläne….</t>
        </is>
      </c>
      <c r="C20" s="4" t="inlineStr">
        <is>
          <t>G</t>
        </is>
      </c>
      <c r="D20" s="4" t="n">
        <v>5</v>
      </c>
      <c r="E20" s="4" t="n">
        <v>16</v>
      </c>
      <c r="F20" s="4" t="n">
        <v>2.25</v>
      </c>
      <c r="G20" s="16" t="n">
        <v>320</v>
      </c>
      <c r="H20" s="5" t="n"/>
      <c r="I20" s="5">
        <f>IF(H20=0,"",F20-H20)</f>
        <v/>
      </c>
      <c r="J20" s="4" t="n"/>
      <c r="K20" s="5" t="n">
        <v>0</v>
      </c>
      <c r="L20" s="11">
        <f>IF($B$2="-","",IF($B$2="Pauschale",IFERROR(INDEX('Projekt-Budget-Übersicht'!$H:$H,MATCH(A20,'Projekt-Budget-Übersicht'!$A:$A,0)),""),IF($B$2="SV",IFERROR(INDEX('Projekt-Budget-Übersicht'!$H:$H,MATCH(A20,'Projekt-Budget-Übersicht'!$A:$A,0)),""),IF($B$2="CAD",IFERROR(INDEX('Projekt-Budget-Übersicht'!$I:$I,MATCH(A20,'Projekt-Budget-Übersicht'!$A:$A,0)),""),IF($B$2="ADM",IFERROR(INDEX('Projekt-Budget-Übersicht'!$J:$J,MATCH(A20,'Projekt-Budget-Übersicht'!$A:$A,0)),""),"")))))</f>
        <v/>
      </c>
      <c r="M20" s="11">
        <f>IF($B$2="-","",L20*(F20+I20+K20))</f>
        <v/>
      </c>
      <c r="N20" s="11">
        <f>IFERROR(INDEX('Projekt-Budget-Übersicht'!$E:$E,MATCH(A20,'Projekt-Budget-Übersicht'!$A:$A,0)),"")</f>
        <v/>
      </c>
      <c r="O20" s="11" t="inlineStr"/>
      <c r="P20" s="11" t="inlineStr"/>
    </row>
    <row r="21">
      <c r="A21" s="4" t="inlineStr">
        <is>
          <t>5910.07 Züblin-Roche-BSK-ESSWM-Laborausbau-3.OG-SandhoferStr116-Mannheim</t>
        </is>
      </c>
      <c r="B21" s="4" t="inlineStr">
        <is>
          <t>CAD</t>
        </is>
      </c>
      <c r="C21" s="4" t="inlineStr">
        <is>
          <t>G</t>
        </is>
      </c>
      <c r="D21" s="4" t="n">
        <v>13</v>
      </c>
      <c r="E21" s="4" t="n">
        <v>6.5</v>
      </c>
      <c r="F21" s="4" t="n">
        <v>3.5</v>
      </c>
      <c r="G21" s="17" t="n">
        <v>50</v>
      </c>
      <c r="H21" s="5" t="n"/>
      <c r="I21" s="5">
        <f>IF(H21=0,"",F21-H21)</f>
        <v/>
      </c>
      <c r="J21" s="4" t="n"/>
      <c r="K21" s="5" t="n">
        <v>0</v>
      </c>
      <c r="L21" s="11">
        <f>IF($B$2="-","",IF($B$2="Pauschale",IFERROR(INDEX('Projekt-Budget-Übersicht'!$H:$H,MATCH(A21,'Projekt-Budget-Übersicht'!$A:$A,0)),""),IF($B$2="SV",IFERROR(INDEX('Projekt-Budget-Übersicht'!$H:$H,MATCH(A21,'Projekt-Budget-Übersicht'!$A:$A,0)),""),IF($B$2="CAD",IFERROR(INDEX('Projekt-Budget-Übersicht'!$I:$I,MATCH(A21,'Projekt-Budget-Übersicht'!$A:$A,0)),""),IF($B$2="ADM",IFERROR(INDEX('Projekt-Budget-Übersicht'!$J:$J,MATCH(A21,'Projekt-Budget-Übersicht'!$A:$A,0)),""),"")))))</f>
        <v/>
      </c>
      <c r="M21" s="11">
        <f>IF($B$2="-","",L21*(F21+I21+K21))</f>
        <v/>
      </c>
      <c r="N21" s="11">
        <f>IFERROR(INDEX('Projekt-Budget-Übersicht'!$E:$E,MATCH(A21,'Projekt-Budget-Übersicht'!$A:$A,0)),"")</f>
        <v/>
      </c>
      <c r="O21" s="11" t="inlineStr"/>
      <c r="P21" s="11" t="inlineStr"/>
    </row>
    <row r="22">
      <c r="A22" s="4" t="inlineStr">
        <is>
          <t>6313.05 rh-Construction-LG-EnSol-BSK-BAB-Limespark-Sulzbach</t>
        </is>
      </c>
      <c r="B22" s="4" t="inlineStr">
        <is>
          <t>4103-Erarbeiten Brandschutzkonzeptpläne (CAD)</t>
        </is>
      </c>
      <c r="C22" s="4" t="inlineStr">
        <is>
          <t>G</t>
        </is>
      </c>
      <c r="D22" s="4" t="n">
        <v>6</v>
      </c>
      <c r="E22" s="4" t="n">
        <v>7.25</v>
      </c>
      <c r="F22" s="4" t="n">
        <v>0.5</v>
      </c>
      <c r="G22" s="16" t="n">
        <v>120.83</v>
      </c>
      <c r="H22" s="5" t="n"/>
      <c r="I22" s="5">
        <f>IF(H22=0,"",F22-H22)</f>
        <v/>
      </c>
      <c r="J22" s="4" t="n"/>
      <c r="K22" s="5" t="n">
        <v>0</v>
      </c>
      <c r="L22" s="11">
        <f>IF($B$2="-","",IF($B$2="Pauschale",IFERROR(INDEX('Projekt-Budget-Übersicht'!$H:$H,MATCH(A22,'Projekt-Budget-Übersicht'!$A:$A,0)),""),IF($B$2="SV",IFERROR(INDEX('Projekt-Budget-Übersicht'!$H:$H,MATCH(A22,'Projekt-Budget-Übersicht'!$A:$A,0)),""),IF($B$2="CAD",IFERROR(INDEX('Projekt-Budget-Übersicht'!$I:$I,MATCH(A22,'Projekt-Budget-Übersicht'!$A:$A,0)),""),IF($B$2="ADM",IFERROR(INDEX('Projekt-Budget-Übersicht'!$J:$J,MATCH(A22,'Projekt-Budget-Übersicht'!$A:$A,0)),""),"")))))</f>
        <v/>
      </c>
      <c r="M22" s="11">
        <f>IF($B$2="-","",L22*(F22+I22+K22))</f>
        <v/>
      </c>
      <c r="N22" s="11">
        <f>IFERROR(INDEX('Projekt-Budget-Übersicht'!$E:$E,MATCH(A22,'Projekt-Budget-Übersicht'!$A:$A,0)),"")</f>
        <v/>
      </c>
      <c r="O22" s="11" t="inlineStr"/>
      <c r="P22" s="11" t="inlineStr"/>
    </row>
    <row r="23">
      <c r="A23" s="13" t="inlineStr">
        <is>
          <t>6313.06 BSK-Fitseveneleven-Limespark-Sulzbach-1.OG</t>
        </is>
      </c>
      <c r="B23" s="4" t="inlineStr">
        <is>
          <t>9200-Erstellen od. Prüfen Feuerwehrpläne….</t>
        </is>
      </c>
      <c r="C23" s="4" t="inlineStr">
        <is>
          <t>G</t>
        </is>
      </c>
      <c r="D23" s="4" t="n">
        <v>4</v>
      </c>
      <c r="E23" s="4" t="n">
        <v>1.5</v>
      </c>
      <c r="F23" s="4" t="n">
        <v>0.25</v>
      </c>
      <c r="G23" s="17" t="n">
        <v>37.5</v>
      </c>
      <c r="H23" s="5" t="n"/>
      <c r="I23" s="5">
        <f>IF(H23=0,"",F23-H23)</f>
        <v/>
      </c>
      <c r="J23" s="4" t="n"/>
      <c r="K23" s="5" t="n">
        <v>0</v>
      </c>
      <c r="L23" s="11">
        <f>IF($B$2="-","",IF($B$2="Pauschale",IFERROR(INDEX('Projekt-Budget-Übersicht'!$H:$H,MATCH(A23,'Projekt-Budget-Übersicht'!$A:$A,0)),""),IF($B$2="SV",IFERROR(INDEX('Projekt-Budget-Übersicht'!$H:$H,MATCH(A23,'Projekt-Budget-Übersicht'!$A:$A,0)),""),IF($B$2="CAD",IFERROR(INDEX('Projekt-Budget-Übersicht'!$I:$I,MATCH(A23,'Projekt-Budget-Übersicht'!$A:$A,0)),""),IF($B$2="ADM",IFERROR(INDEX('Projekt-Budget-Übersicht'!$J:$J,MATCH(A23,'Projekt-Budget-Übersicht'!$A:$A,0)),""),"")))))</f>
        <v/>
      </c>
      <c r="M23" s="11">
        <f>IF($B$2="-","",L23*(F23+I23+K23))</f>
        <v/>
      </c>
      <c r="N23" s="11">
        <f>IFERROR(INDEX('Projekt-Budget-Übersicht'!$E:$E,MATCH(A23,'Projekt-Budget-Übersicht'!$A:$A,0)),"")</f>
        <v/>
      </c>
      <c r="O23" s="11" t="inlineStr"/>
      <c r="P23" s="11" t="inlineStr"/>
    </row>
    <row r="24">
      <c r="A24" s="15" t="n"/>
      <c r="B24" s="4" t="inlineStr">
        <is>
          <t>9201-Erstellen od. Prüfen Flucht- und Rettungspläne….</t>
        </is>
      </c>
      <c r="C24" s="4" t="inlineStr">
        <is>
          <t>G</t>
        </is>
      </c>
      <c r="D24" s="4" t="n">
        <v>6</v>
      </c>
      <c r="E24" s="4" t="n">
        <v>2.25</v>
      </c>
      <c r="F24" s="4" t="n">
        <v>1</v>
      </c>
      <c r="G24" s="17" t="n">
        <v>37.5</v>
      </c>
      <c r="H24" s="5" t="n"/>
      <c r="I24" s="5">
        <f>IF(H24=0,"",F24-H24)</f>
        <v/>
      </c>
      <c r="J24" s="4" t="n"/>
      <c r="K24" s="5" t="n">
        <v>0</v>
      </c>
      <c r="L24" s="11">
        <f>IF($B$2="-","",IF($B$2="Pauschale",IFERROR(INDEX('Projekt-Budget-Übersicht'!$H:$H,MATCH(A24,'Projekt-Budget-Übersicht'!$A:$A,0)),""),IF($B$2="SV",IFERROR(INDEX('Projekt-Budget-Übersicht'!$H:$H,MATCH(A24,'Projekt-Budget-Übersicht'!$A:$A,0)),""),IF($B$2="CAD",IFERROR(INDEX('Projekt-Budget-Übersicht'!$I:$I,MATCH(A24,'Projekt-Budget-Übersicht'!$A:$A,0)),""),IF($B$2="ADM",IFERROR(INDEX('Projekt-Budget-Übersicht'!$J:$J,MATCH(A24,'Projekt-Budget-Übersicht'!$A:$A,0)),""),"")))))</f>
        <v/>
      </c>
      <c r="M24" s="11">
        <f>IF($B$2="-","",L24*(F24+I24+K24))</f>
        <v/>
      </c>
      <c r="N24" s="11">
        <f>IFERROR(INDEX('Projekt-Budget-Übersicht'!$E:$E,MATCH(A24,'Projekt-Budget-Übersicht'!$A:$A,0)),"")</f>
        <v/>
      </c>
      <c r="O24" s="11" t="inlineStr"/>
      <c r="P24" s="11" t="inlineStr"/>
    </row>
    <row r="25">
      <c r="A25" s="4" t="inlineStr">
        <is>
          <t>6527.01 IO-Anp-BSK-Mühlenfeldstr1-Holzminden-Symotion</t>
        </is>
      </c>
      <c r="B25" s="4" t="inlineStr">
        <is>
          <t>CAD</t>
        </is>
      </c>
      <c r="C25" s="4" t="inlineStr">
        <is>
          <t>G</t>
        </is>
      </c>
      <c r="D25" s="4" t="n">
        <v>12</v>
      </c>
      <c r="E25" s="4" t="n">
        <v>4.5</v>
      </c>
      <c r="F25" s="4" t="n">
        <v>3.75</v>
      </c>
      <c r="G25" s="17" t="n">
        <v>37.5</v>
      </c>
      <c r="H25" s="5" t="n"/>
      <c r="I25" s="5">
        <f>IF(H25=0,"",F25-H25)</f>
        <v/>
      </c>
      <c r="J25" s="4" t="n"/>
      <c r="K25" s="5" t="n">
        <v>0</v>
      </c>
      <c r="L25" s="11">
        <f>IF($B$2="-","",IF($B$2="Pauschale",IFERROR(INDEX('Projekt-Budget-Übersicht'!$H:$H,MATCH(A25,'Projekt-Budget-Übersicht'!$A:$A,0)),""),IF($B$2="SV",IFERROR(INDEX('Projekt-Budget-Übersicht'!$H:$H,MATCH(A25,'Projekt-Budget-Übersicht'!$A:$A,0)),""),IF($B$2="CAD",IFERROR(INDEX('Projekt-Budget-Übersicht'!$I:$I,MATCH(A25,'Projekt-Budget-Übersicht'!$A:$A,0)),""),IF($B$2="ADM",IFERROR(INDEX('Projekt-Budget-Übersicht'!$J:$J,MATCH(A25,'Projekt-Budget-Übersicht'!$A:$A,0)),""),"")))))</f>
        <v/>
      </c>
      <c r="M25" s="11">
        <f>IF($B$2="-","",L25*(F25+I25+K25))</f>
        <v/>
      </c>
      <c r="N25" s="11">
        <f>IFERROR(INDEX('Projekt-Budget-Übersicht'!$E:$E,MATCH(A25,'Projekt-Budget-Übersicht'!$A:$A,0)),"")</f>
        <v/>
      </c>
      <c r="O25" s="11" t="inlineStr"/>
      <c r="P25" s="11" t="inlineStr"/>
    </row>
    <row r="26">
      <c r="A26" s="4" t="inlineStr">
        <is>
          <t>6564.02 ROB-MCR-Weilerbach-Züblin-TP2</t>
        </is>
      </c>
      <c r="B26" s="4" t="inlineStr">
        <is>
          <t>5000-Ausführungsplanung</t>
        </is>
      </c>
      <c r="C26" s="4" t="inlineStr">
        <is>
          <t>G</t>
        </is>
      </c>
      <c r="D26" s="4" t="n">
        <v>1560</v>
      </c>
      <c r="E26" s="4" t="n">
        <v>452.75</v>
      </c>
      <c r="F26" s="4" t="n">
        <v>1</v>
      </c>
      <c r="G26" s="17" t="n">
        <v>29.02</v>
      </c>
      <c r="H26" s="5" t="n"/>
      <c r="I26" s="5">
        <f>IF(H26=0,"",F26-H26)</f>
        <v/>
      </c>
      <c r="J26" s="4" t="n"/>
      <c r="K26" s="5">
        <f>IF('P. Bergner'!J9="O. Haag BS-CAD",'P. Bergner'!I9,0)</f>
        <v/>
      </c>
      <c r="L26" s="11">
        <f>IF($B$2="-","",IF($B$2="Pauschale",IFERROR(INDEX('Projekt-Budget-Übersicht'!$H:$H,MATCH(A26,'Projekt-Budget-Übersicht'!$A:$A,0)),""),IF($B$2="SV",IFERROR(INDEX('Projekt-Budget-Übersicht'!$H:$H,MATCH(A26,'Projekt-Budget-Übersicht'!$A:$A,0)),""),IF($B$2="CAD",IFERROR(INDEX('Projekt-Budget-Übersicht'!$I:$I,MATCH(A26,'Projekt-Budget-Übersicht'!$A:$A,0)),""),IF($B$2="ADM",IFERROR(INDEX('Projekt-Budget-Übersicht'!$J:$J,MATCH(A26,'Projekt-Budget-Übersicht'!$A:$A,0)),""),"")))))</f>
        <v/>
      </c>
      <c r="M26" s="11">
        <f>IF($B$2="-","",L26*(F26+I26+K26))</f>
        <v/>
      </c>
      <c r="N26" s="11">
        <f>IFERROR(INDEX('Projekt-Budget-Übersicht'!$E:$E,MATCH(A26,'Projekt-Budget-Übersicht'!$A:$A,0)),"")</f>
        <v/>
      </c>
      <c r="O26" s="11" t="inlineStr"/>
      <c r="P26" s="11" t="inlineStr"/>
    </row>
    <row r="27">
      <c r="A27" s="4" t="inlineStr">
        <is>
          <t>6643 BTB-FRP-FWP-Ersatzneubau-Krankenhaus-Hohenlohe-Öhringen-Vamed</t>
        </is>
      </c>
      <c r="B27" s="4" t="inlineStr">
        <is>
          <t>9200-Erstellen od. Prüfen Feuerwehrpläne….</t>
        </is>
      </c>
      <c r="C27" s="4" t="inlineStr">
        <is>
          <t>G</t>
        </is>
      </c>
      <c r="D27" s="4" t="n">
        <v>70.5</v>
      </c>
      <c r="E27" s="4" t="n">
        <v>24</v>
      </c>
      <c r="F27" s="4" t="n">
        <v>0.5</v>
      </c>
      <c r="G27" s="17" t="n">
        <v>34.04</v>
      </c>
      <c r="H27" s="5" t="n"/>
      <c r="I27" s="5">
        <f>IF(H27=0,"",F27-H27)</f>
        <v/>
      </c>
      <c r="J27" s="4" t="n"/>
      <c r="K27" s="5" t="n">
        <v>0</v>
      </c>
      <c r="L27" s="11">
        <f>IF($B$2="-","",IF($B$2="Pauschale",IFERROR(INDEX('Projekt-Budget-Übersicht'!$H:$H,MATCH(A27,'Projekt-Budget-Übersicht'!$A:$A,0)),""),IF($B$2="SV",IFERROR(INDEX('Projekt-Budget-Übersicht'!$H:$H,MATCH(A27,'Projekt-Budget-Übersicht'!$A:$A,0)),""),IF($B$2="CAD",IFERROR(INDEX('Projekt-Budget-Übersicht'!$I:$I,MATCH(A27,'Projekt-Budget-Übersicht'!$A:$A,0)),""),IF($B$2="ADM",IFERROR(INDEX('Projekt-Budget-Übersicht'!$J:$J,MATCH(A27,'Projekt-Budget-Übersicht'!$A:$A,0)),""),"")))))</f>
        <v/>
      </c>
      <c r="M27" s="11">
        <f>IF($B$2="-","",L27*(F27+I27+K27))</f>
        <v/>
      </c>
      <c r="N27" s="11">
        <f>IFERROR(INDEX('Projekt-Budget-Übersicht'!$E:$E,MATCH(A27,'Projekt-Budget-Übersicht'!$A:$A,0)),"")</f>
        <v/>
      </c>
      <c r="O27" s="11" t="inlineStr"/>
      <c r="P27" s="11" t="inlineStr"/>
    </row>
    <row r="28">
      <c r="A28" s="4" t="inlineStr">
        <is>
          <t>6680.02 GSKOK-Heidelberg-Kopfklinik-LP3</t>
        </is>
      </c>
      <c r="B28" s="4" t="inlineStr">
        <is>
          <t>CAD</t>
        </is>
      </c>
      <c r="C28" s="4" t="inlineStr">
        <is>
          <t>G</t>
        </is>
      </c>
      <c r="D28" s="4" t="n">
        <v>20</v>
      </c>
      <c r="E28" s="4" t="n">
        <v>23.75</v>
      </c>
      <c r="F28" s="4" t="n">
        <v>6.5</v>
      </c>
      <c r="G28" s="16" t="n">
        <v>118.75</v>
      </c>
      <c r="H28" s="5" t="n"/>
      <c r="I28" s="5">
        <f>IF(H28=0,"",F28-H28)</f>
        <v/>
      </c>
      <c r="J28" s="4" t="n"/>
      <c r="K28" s="5" t="n">
        <v>0</v>
      </c>
      <c r="L28" s="11">
        <f>IF($B$2="-","",IF($B$2="Pauschale",IFERROR(INDEX('Projekt-Budget-Übersicht'!$H:$H,MATCH(A28,'Projekt-Budget-Übersicht'!$A:$A,0)),""),IF($B$2="SV",IFERROR(INDEX('Projekt-Budget-Übersicht'!$H:$H,MATCH(A28,'Projekt-Budget-Übersicht'!$A:$A,0)),""),IF($B$2="CAD",IFERROR(INDEX('Projekt-Budget-Übersicht'!$I:$I,MATCH(A28,'Projekt-Budget-Übersicht'!$A:$A,0)),""),IF($B$2="ADM",IFERROR(INDEX('Projekt-Budget-Übersicht'!$J:$J,MATCH(A28,'Projekt-Budget-Übersicht'!$A:$A,0)),""),"")))))</f>
        <v/>
      </c>
      <c r="M28" s="11">
        <f>IF($B$2="-","",L28*(F28+I28+K28))</f>
        <v/>
      </c>
      <c r="N28" s="11">
        <f>IFERROR(INDEX('Projekt-Budget-Übersicht'!$E:$E,MATCH(A28,'Projekt-Budget-Übersicht'!$A:$A,0)),"")</f>
        <v/>
      </c>
      <c r="O28" s="11" t="inlineStr"/>
      <c r="P28" s="11" t="inlineStr"/>
    </row>
    <row r="29">
      <c r="A29" s="13" t="inlineStr">
        <is>
          <t>6974 IO-Diehl-Fast-Track-V2-AHO-Liegenschaft-Maasberg-Mariahütte</t>
        </is>
      </c>
      <c r="B29" s="4" t="inlineStr">
        <is>
          <t>CAD</t>
        </is>
      </c>
      <c r="C29" s="4" t="inlineStr">
        <is>
          <t>G</t>
        </is>
      </c>
      <c r="D29" s="4" t="n">
        <v>0</v>
      </c>
      <c r="E29" s="4" t="n">
        <v>-24.5</v>
      </c>
      <c r="F29" s="4" t="n">
        <v>0.25</v>
      </c>
      <c r="G29" s="4" t="n">
        <v>0</v>
      </c>
      <c r="H29" s="5" t="n"/>
      <c r="I29" s="5">
        <f>IF(H29=0,"",F29-H29)</f>
        <v/>
      </c>
      <c r="J29" s="4" t="n"/>
      <c r="K29" s="5" t="n">
        <v>0</v>
      </c>
      <c r="L29" s="11">
        <f>IF($B$2="-","",IF($B$2="Pauschale",IFERROR(INDEX('Projekt-Budget-Übersicht'!$H:$H,MATCH(A29,'Projekt-Budget-Übersicht'!$A:$A,0)),""),IF($B$2="SV",IFERROR(INDEX('Projekt-Budget-Übersicht'!$H:$H,MATCH(A29,'Projekt-Budget-Übersicht'!$A:$A,0)),""),IF($B$2="CAD",IFERROR(INDEX('Projekt-Budget-Übersicht'!$I:$I,MATCH(A29,'Projekt-Budget-Übersicht'!$A:$A,0)),""),IF($B$2="ADM",IFERROR(INDEX('Projekt-Budget-Übersicht'!$J:$J,MATCH(A29,'Projekt-Budget-Übersicht'!$A:$A,0)),""),"")))))</f>
        <v/>
      </c>
      <c r="M29" s="11">
        <f>IF($B$2="-","",L29*(F29+I29+K29))</f>
        <v/>
      </c>
      <c r="N29" s="11">
        <f>IFERROR(INDEX('Projekt-Budget-Übersicht'!$E:$E,MATCH(A29,'Projekt-Budget-Übersicht'!$A:$A,0)),"")</f>
        <v/>
      </c>
      <c r="O29" s="11" t="inlineStr"/>
      <c r="P29" s="11" t="inlineStr"/>
    </row>
    <row r="30">
      <c r="A30" s="15" t="n"/>
      <c r="B30" s="4" t="inlineStr">
        <is>
          <t>LP 5 Stundendsammler vorab, ANG noch nicht erstellt</t>
        </is>
      </c>
      <c r="C30" s="4" t="inlineStr">
        <is>
          <t>G</t>
        </is>
      </c>
      <c r="D30" s="4" t="n">
        <v>0</v>
      </c>
      <c r="E30" s="4" t="n">
        <v>-0.5</v>
      </c>
      <c r="F30" s="4" t="n">
        <v>0.25</v>
      </c>
      <c r="G30" s="4" t="n">
        <v>0</v>
      </c>
      <c r="H30" s="5" t="n"/>
      <c r="I30" s="5">
        <f>IF(H30=0,"",F30-H30)</f>
        <v/>
      </c>
      <c r="J30" s="4" t="n"/>
      <c r="K30" s="5">
        <f>IF('R. Wagen CAD'!J15="O. Haag BS-CAD",'R. Wagen CAD'!I15,0)</f>
        <v/>
      </c>
      <c r="L30" s="11">
        <f>IF($B$2="-","",IF($B$2="Pauschale",IFERROR(INDEX('Projekt-Budget-Übersicht'!$H:$H,MATCH(A30,'Projekt-Budget-Übersicht'!$A:$A,0)),""),IF($B$2="SV",IFERROR(INDEX('Projekt-Budget-Übersicht'!$H:$H,MATCH(A30,'Projekt-Budget-Übersicht'!$A:$A,0)),""),IF($B$2="CAD",IFERROR(INDEX('Projekt-Budget-Übersicht'!$I:$I,MATCH(A30,'Projekt-Budget-Übersicht'!$A:$A,0)),""),IF($B$2="ADM",IFERROR(INDEX('Projekt-Budget-Übersicht'!$J:$J,MATCH(A30,'Projekt-Budget-Übersicht'!$A:$A,0)),""),"")))))</f>
        <v/>
      </c>
      <c r="M30" s="11">
        <f>IF($B$2="-","",L30*(F30+I30+K30))</f>
        <v/>
      </c>
      <c r="N30" s="11">
        <f>IFERROR(INDEX('Projekt-Budget-Übersicht'!$E:$E,MATCH(A30,'Projekt-Budget-Übersicht'!$A:$A,0)),"")</f>
        <v/>
      </c>
      <c r="O30" s="11" t="inlineStr"/>
      <c r="P30" s="11" t="inlineStr"/>
    </row>
    <row r="31">
      <c r="A31" s="4" t="inlineStr">
        <is>
          <t>7000.01 RES-NAT-BSK-WEA-Oberrot</t>
        </is>
      </c>
      <c r="B31" s="4" t="inlineStr">
        <is>
          <t>CAD</t>
        </is>
      </c>
      <c r="C31" s="4" t="inlineStr">
        <is>
          <t>G</t>
        </is>
      </c>
      <c r="D31" s="4" t="n">
        <v>1</v>
      </c>
      <c r="E31" s="4" t="n">
        <v>1</v>
      </c>
      <c r="F31" s="4" t="n">
        <v>1</v>
      </c>
      <c r="G31" s="14" t="n">
        <v>100</v>
      </c>
      <c r="H31" s="5" t="n"/>
      <c r="I31" s="5">
        <f>IF(H31=0,"",F31-H31)</f>
        <v/>
      </c>
      <c r="J31" s="4" t="n"/>
      <c r="K31" s="5" t="n">
        <v>0</v>
      </c>
      <c r="L31" s="11">
        <f>IF($B$2="-","",IF($B$2="Pauschale",IFERROR(INDEX('Projekt-Budget-Übersicht'!$H:$H,MATCH(A31,'Projekt-Budget-Übersicht'!$A:$A,0)),""),IF($B$2="SV",IFERROR(INDEX('Projekt-Budget-Übersicht'!$H:$H,MATCH(A31,'Projekt-Budget-Übersicht'!$A:$A,0)),""),IF($B$2="CAD",IFERROR(INDEX('Projekt-Budget-Übersicht'!$I:$I,MATCH(A31,'Projekt-Budget-Übersicht'!$A:$A,0)),""),IF($B$2="ADM",IFERROR(INDEX('Projekt-Budget-Übersicht'!$J:$J,MATCH(A31,'Projekt-Budget-Übersicht'!$A:$A,0)),""),"")))))</f>
        <v/>
      </c>
      <c r="M31" s="11">
        <f>IF($B$2="-","",L31*(F31+I31+K31))</f>
        <v/>
      </c>
      <c r="N31" s="11">
        <f>IFERROR(INDEX('Projekt-Budget-Übersicht'!$E:$E,MATCH(A31,'Projekt-Budget-Übersicht'!$A:$A,0)),"")</f>
        <v/>
      </c>
      <c r="O31" s="11" t="inlineStr"/>
      <c r="P31" s="11" t="inlineStr"/>
    </row>
    <row r="32">
      <c r="A32" s="4" t="inlineStr">
        <is>
          <t>7070.13 RV-FWP-Funkturm-Furtwangen</t>
        </is>
      </c>
      <c r="B32" s="4" t="inlineStr">
        <is>
          <t>9200-Erstellen od. Prüfen Feuerwehrpläne….</t>
        </is>
      </c>
      <c r="C32" s="4" t="inlineStr">
        <is>
          <t>G</t>
        </is>
      </c>
      <c r="D32" s="4" t="n">
        <v>8</v>
      </c>
      <c r="E32" s="4" t="n">
        <v>7.25</v>
      </c>
      <c r="F32" s="4" t="n">
        <v>5.75</v>
      </c>
      <c r="G32" s="14" t="n">
        <v>90.62</v>
      </c>
      <c r="H32" s="5" t="n"/>
      <c r="I32" s="5">
        <f>IF(H32=0,"",F32-H32)</f>
        <v/>
      </c>
      <c r="J32" s="4" t="n"/>
      <c r="K32" s="5" t="n">
        <v>0</v>
      </c>
      <c r="L32" s="11">
        <f>IF($B$2="-","",IF($B$2="Pauschale",IFERROR(INDEX('Projekt-Budget-Übersicht'!$H:$H,MATCH(A32,'Projekt-Budget-Übersicht'!$A:$A,0)),""),IF($B$2="SV",IFERROR(INDEX('Projekt-Budget-Übersicht'!$H:$H,MATCH(A32,'Projekt-Budget-Übersicht'!$A:$A,0)),""),IF($B$2="CAD",IFERROR(INDEX('Projekt-Budget-Übersicht'!$I:$I,MATCH(A32,'Projekt-Budget-Übersicht'!$A:$A,0)),""),IF($B$2="ADM",IFERROR(INDEX('Projekt-Budget-Übersicht'!$J:$J,MATCH(A32,'Projekt-Budget-Übersicht'!$A:$A,0)),""),"")))))</f>
        <v/>
      </c>
      <c r="M32" s="11">
        <f>IF($B$2="-","",L32*(F32+I32+K32))</f>
        <v/>
      </c>
      <c r="N32" s="11">
        <f>IFERROR(INDEX('Projekt-Budget-Übersicht'!$E:$E,MATCH(A32,'Projekt-Budget-Übersicht'!$A:$A,0)),"")</f>
        <v/>
      </c>
      <c r="O32" s="11" t="inlineStr"/>
      <c r="P32" s="11" t="inlineStr"/>
    </row>
    <row r="33">
      <c r="A33" s="4" t="inlineStr">
        <is>
          <t>7173 Vattenfall-BSK-WEA-Hoerscheid-Darscheid</t>
        </is>
      </c>
      <c r="B33" s="4" t="inlineStr">
        <is>
          <t>CAD</t>
        </is>
      </c>
      <c r="C33" s="4" t="inlineStr">
        <is>
          <t>G</t>
        </is>
      </c>
      <c r="D33" s="4" t="n">
        <v>6</v>
      </c>
      <c r="E33" s="4" t="n">
        <v>5</v>
      </c>
      <c r="F33" s="4" t="n">
        <v>2</v>
      </c>
      <c r="G33" s="17" t="n">
        <v>83.33</v>
      </c>
      <c r="H33" s="5" t="n"/>
      <c r="I33" s="5">
        <f>IF(H33=0,"",F33-H33)</f>
        <v/>
      </c>
      <c r="J33" s="4" t="n"/>
      <c r="K33" s="5" t="n">
        <v>0</v>
      </c>
      <c r="L33" s="11">
        <f>IF($B$2="-","",IF($B$2="Pauschale",IFERROR(INDEX('Projekt-Budget-Übersicht'!$H:$H,MATCH(A33,'Projekt-Budget-Übersicht'!$A:$A,0)),""),IF($B$2="SV",IFERROR(INDEX('Projekt-Budget-Übersicht'!$H:$H,MATCH(A33,'Projekt-Budget-Übersicht'!$A:$A,0)),""),IF($B$2="CAD",IFERROR(INDEX('Projekt-Budget-Übersicht'!$I:$I,MATCH(A33,'Projekt-Budget-Übersicht'!$A:$A,0)),""),IF($B$2="ADM",IFERROR(INDEX('Projekt-Budget-Übersicht'!$J:$J,MATCH(A33,'Projekt-Budget-Übersicht'!$A:$A,0)),""),"")))))</f>
        <v/>
      </c>
      <c r="M33" s="11">
        <f>IF($B$2="-","",L33*(F33+I33+K33))</f>
        <v/>
      </c>
      <c r="N33" s="11">
        <f>IFERROR(INDEX('Projekt-Budget-Übersicht'!$E:$E,MATCH(A33,'Projekt-Budget-Übersicht'!$A:$A,0)),"")</f>
        <v/>
      </c>
      <c r="O33" s="11" t="inlineStr"/>
      <c r="P33" s="11" t="inlineStr"/>
    </row>
    <row r="34">
      <c r="A34" s="4" t="inlineStr">
        <is>
          <t>7249 Klebl-AHO-Geb8259-Baumholder</t>
        </is>
      </c>
      <c r="B34" s="4" t="inlineStr">
        <is>
          <t>5304-100% -Review, AFU-BAU-FINALE-KORREKTUR…..</t>
        </is>
      </c>
      <c r="C34" s="4" t="inlineStr">
        <is>
          <t>G</t>
        </is>
      </c>
      <c r="D34" s="4" t="n">
        <v>8.5</v>
      </c>
      <c r="E34" s="4" t="n">
        <v>2.5</v>
      </c>
      <c r="F34" s="4" t="n">
        <v>1.5</v>
      </c>
      <c r="G34" s="17" t="n">
        <v>29.41</v>
      </c>
      <c r="H34" s="5" t="n"/>
      <c r="I34" s="5">
        <f>IF(H34=0,"",F34-H34)</f>
        <v/>
      </c>
      <c r="J34" s="4" t="n"/>
      <c r="K34" s="5" t="n">
        <v>0</v>
      </c>
      <c r="L34" s="11">
        <f>IF($B$2="-","",IF($B$2="Pauschale",IFERROR(INDEX('Projekt-Budget-Übersicht'!$H:$H,MATCH(A34,'Projekt-Budget-Übersicht'!$A:$A,0)),""),IF($B$2="SV",IFERROR(INDEX('Projekt-Budget-Übersicht'!$H:$H,MATCH(A34,'Projekt-Budget-Übersicht'!$A:$A,0)),""),IF($B$2="CAD",IFERROR(INDEX('Projekt-Budget-Übersicht'!$I:$I,MATCH(A34,'Projekt-Budget-Übersicht'!$A:$A,0)),""),IF($B$2="ADM",IFERROR(INDEX('Projekt-Budget-Übersicht'!$J:$J,MATCH(A34,'Projekt-Budget-Übersicht'!$A:$A,0)),""),"")))))</f>
        <v/>
      </c>
      <c r="M34" s="11">
        <f>IF($B$2="-","",L34*(F34+I34+K34))</f>
        <v/>
      </c>
      <c r="N34" s="11">
        <f>IFERROR(INDEX('Projekt-Budget-Übersicht'!$E:$E,MATCH(A34,'Projekt-Budget-Übersicht'!$A:$A,0)),"")</f>
        <v/>
      </c>
      <c r="O34" s="11" t="inlineStr"/>
      <c r="P34" s="11" t="inlineStr"/>
    </row>
    <row r="35">
      <c r="A35" s="4" t="inlineStr">
        <is>
          <t>7278 WPMarke-FWP-WP-Korbach</t>
        </is>
      </c>
      <c r="B35" s="4" t="inlineStr">
        <is>
          <t>(p) Pos. 1 Feuerwehrpläne (CAD)</t>
        </is>
      </c>
      <c r="C35" s="4" t="inlineStr">
        <is>
          <t>G</t>
        </is>
      </c>
      <c r="D35" s="4" t="n">
        <v>20</v>
      </c>
      <c r="E35" s="4" t="n">
        <v>11.75</v>
      </c>
      <c r="F35" s="4" t="n">
        <v>1</v>
      </c>
      <c r="G35" s="17" t="n">
        <v>58.75</v>
      </c>
      <c r="H35" s="5" t="n"/>
      <c r="I35" s="5">
        <f>IF(H35=0,"",F35-H35)</f>
        <v/>
      </c>
      <c r="J35" s="4" t="n"/>
      <c r="K35" s="5" t="n">
        <v>0</v>
      </c>
      <c r="L35" s="11">
        <f>IF($B$2="-","",IF($B$2="Pauschale",IFERROR(INDEX('Projekt-Budget-Übersicht'!$H:$H,MATCH(A35,'Projekt-Budget-Übersicht'!$A:$A,0)),""),IF($B$2="SV",IFERROR(INDEX('Projekt-Budget-Übersicht'!$H:$H,MATCH(A35,'Projekt-Budget-Übersicht'!$A:$A,0)),""),IF($B$2="CAD",IFERROR(INDEX('Projekt-Budget-Übersicht'!$I:$I,MATCH(A35,'Projekt-Budget-Übersicht'!$A:$A,0)),""),IF($B$2="ADM",IFERROR(INDEX('Projekt-Budget-Übersicht'!$J:$J,MATCH(A35,'Projekt-Budget-Übersicht'!$A:$A,0)),""),"")))))</f>
        <v/>
      </c>
      <c r="M35" s="11">
        <f>IF($B$2="-","",L35*(F35+I35+K35))</f>
        <v/>
      </c>
      <c r="N35" s="11">
        <f>IFERROR(INDEX('Projekt-Budget-Übersicht'!$E:$E,MATCH(A35,'Projekt-Budget-Übersicht'!$A:$A,0)),"")</f>
        <v/>
      </c>
      <c r="O35" s="11" t="inlineStr"/>
      <c r="P35" s="11" t="inlineStr"/>
    </row>
    <row r="36">
      <c r="A36" s="4" t="inlineStr">
        <is>
          <t>7328 LAER-formica-BSK-Lageranalage-Eilinger-Kamp-Menden</t>
        </is>
      </c>
      <c r="B36" s="4" t="inlineStr">
        <is>
          <t>CAD</t>
        </is>
      </c>
      <c r="C36" s="4" t="inlineStr">
        <is>
          <t>G</t>
        </is>
      </c>
      <c r="D36" s="4" t="n">
        <v>6</v>
      </c>
      <c r="E36" s="4" t="n">
        <v>6.25</v>
      </c>
      <c r="F36" s="4" t="n">
        <v>0.5</v>
      </c>
      <c r="G36" s="16" t="n">
        <v>104.17</v>
      </c>
      <c r="H36" s="5" t="n"/>
      <c r="I36" s="5">
        <f>IF(H36=0,"",F36-H36)</f>
        <v/>
      </c>
      <c r="J36" s="4" t="n"/>
      <c r="K36" s="5" t="n">
        <v>0</v>
      </c>
      <c r="L36" s="11">
        <f>IF($B$2="-","",IF($B$2="Pauschale",IFERROR(INDEX('Projekt-Budget-Übersicht'!$H:$H,MATCH(A36,'Projekt-Budget-Übersicht'!$A:$A,0)),""),IF($B$2="SV",IFERROR(INDEX('Projekt-Budget-Übersicht'!$H:$H,MATCH(A36,'Projekt-Budget-Übersicht'!$A:$A,0)),""),IF($B$2="CAD",IFERROR(INDEX('Projekt-Budget-Übersicht'!$I:$I,MATCH(A36,'Projekt-Budget-Übersicht'!$A:$A,0)),""),IF($B$2="ADM",IFERROR(INDEX('Projekt-Budget-Übersicht'!$J:$J,MATCH(A36,'Projekt-Budget-Übersicht'!$A:$A,0)),""),"")))))</f>
        <v/>
      </c>
      <c r="M36" s="11">
        <f>IF($B$2="-","",L36*(F36+I36+K36))</f>
        <v/>
      </c>
      <c r="N36" s="11">
        <f>IFERROR(INDEX('Projekt-Budget-Übersicht'!$E:$E,MATCH(A36,'Projekt-Budget-Übersicht'!$A:$A,0)),"")</f>
        <v/>
      </c>
      <c r="O36" s="11" t="inlineStr"/>
      <c r="P36" s="11" t="inlineStr"/>
    </row>
    <row r="37">
      <c r="A37" s="4" t="inlineStr">
        <is>
          <t>7366 RWE-BSK-WP-Günsterswald</t>
        </is>
      </c>
      <c r="B37" s="4" t="inlineStr">
        <is>
          <t>CAD</t>
        </is>
      </c>
      <c r="C37" s="4" t="inlineStr">
        <is>
          <t>G</t>
        </is>
      </c>
      <c r="D37" s="4" t="n">
        <v>0</v>
      </c>
      <c r="E37" s="4" t="n">
        <v>0</v>
      </c>
      <c r="F37" s="4" t="n">
        <v>0.5</v>
      </c>
      <c r="G37" s="4" t="n">
        <v>0</v>
      </c>
      <c r="H37" s="5" t="n"/>
      <c r="I37" s="5">
        <f>IF(H37=0,"",F37-H37)</f>
        <v/>
      </c>
      <c r="J37" s="4" t="n"/>
      <c r="K37" s="5" t="n">
        <v>0</v>
      </c>
      <c r="L37" s="11">
        <f>IF($B$2="-","",IF($B$2="Pauschale",IFERROR(INDEX('Projekt-Budget-Übersicht'!$H:$H,MATCH(A37,'Projekt-Budget-Übersicht'!$A:$A,0)),""),IF($B$2="SV",IFERROR(INDEX('Projekt-Budget-Übersicht'!$H:$H,MATCH(A37,'Projekt-Budget-Übersicht'!$A:$A,0)),""),IF($B$2="CAD",IFERROR(INDEX('Projekt-Budget-Übersicht'!$I:$I,MATCH(A37,'Projekt-Budget-Übersicht'!$A:$A,0)),""),IF($B$2="ADM",IFERROR(INDEX('Projekt-Budget-Übersicht'!$J:$J,MATCH(A37,'Projekt-Budget-Übersicht'!$A:$A,0)),""),"")))))</f>
        <v/>
      </c>
      <c r="M37" s="11">
        <f>IF($B$2="-","",L37*(F37+I37+K37))</f>
        <v/>
      </c>
      <c r="N37" s="11">
        <f>IFERROR(INDEX('Projekt-Budget-Übersicht'!$E:$E,MATCH(A37,'Projekt-Budget-Übersicht'!$A:$A,0)),"")</f>
        <v/>
      </c>
      <c r="O37" s="11" t="inlineStr"/>
      <c r="P37" s="11" t="inlineStr"/>
    </row>
    <row r="38">
      <c r="A38" s="4" t="inlineStr">
        <is>
          <t>7370.02 LAER-formica-BSK-Garagenpark-Willi-Melchers-Straße-Lünen-NB-Hallenreihen</t>
        </is>
      </c>
      <c r="B38" s="4" t="inlineStr">
        <is>
          <t>4103-Erarbeiten Brandschutzkonzeptpläne….</t>
        </is>
      </c>
      <c r="C38" s="4" t="inlineStr">
        <is>
          <t>G</t>
        </is>
      </c>
      <c r="D38" s="4" t="n">
        <v>6</v>
      </c>
      <c r="E38" s="4" t="n">
        <v>4</v>
      </c>
      <c r="F38" s="4" t="n">
        <v>4</v>
      </c>
      <c r="G38" s="17" t="n">
        <v>66.67</v>
      </c>
      <c r="H38" s="5" t="n"/>
      <c r="I38" s="5">
        <f>IF(H38=0,"",F38-H38)</f>
        <v/>
      </c>
      <c r="J38" s="4" t="n"/>
      <c r="K38" s="5" t="n">
        <v>0</v>
      </c>
      <c r="L38" s="11">
        <f>IF($B$2="-","",IF($B$2="Pauschale",IFERROR(INDEX('Projekt-Budget-Übersicht'!$H:$H,MATCH(A38,'Projekt-Budget-Übersicht'!$A:$A,0)),""),IF($B$2="SV",IFERROR(INDEX('Projekt-Budget-Übersicht'!$H:$H,MATCH(A38,'Projekt-Budget-Übersicht'!$A:$A,0)),""),IF($B$2="CAD",IFERROR(INDEX('Projekt-Budget-Übersicht'!$I:$I,MATCH(A38,'Projekt-Budget-Übersicht'!$A:$A,0)),""),IF($B$2="ADM",IFERROR(INDEX('Projekt-Budget-Übersicht'!$J:$J,MATCH(A38,'Projekt-Budget-Übersicht'!$A:$A,0)),""),"")))))</f>
        <v/>
      </c>
      <c r="M38" s="11">
        <f>IF($B$2="-","",L38*(F38+I38+K38))</f>
        <v/>
      </c>
      <c r="N38" s="11">
        <f>IFERROR(INDEX('Projekt-Budget-Übersicht'!$E:$E,MATCH(A38,'Projekt-Budget-Übersicht'!$A:$A,0)),"")</f>
        <v/>
      </c>
      <c r="O38" s="11" t="inlineStr"/>
      <c r="P38" s="11" t="inlineStr"/>
    </row>
    <row r="39">
      <c r="A39" s="4" t="inlineStr">
        <is>
          <t>7411 FightGroove-BSN-Schellingstr45-München</t>
        </is>
      </c>
      <c r="B39" s="4" t="inlineStr">
        <is>
          <t>(p) Pos. 1 Erstellung eines Brandschutznachweises (SV)</t>
        </is>
      </c>
      <c r="C39" s="4" t="inlineStr">
        <is>
          <t>G</t>
        </is>
      </c>
      <c r="D39" s="4" t="n">
        <v>0</v>
      </c>
      <c r="E39" s="4" t="n">
        <v>0</v>
      </c>
      <c r="F39" s="4" t="n">
        <v>0.25</v>
      </c>
      <c r="G39" s="4" t="n">
        <v>0</v>
      </c>
      <c r="H39" s="5" t="n"/>
      <c r="I39" s="5">
        <f>IF(H39=0,"",F39-H39)</f>
        <v/>
      </c>
      <c r="J39" s="4" t="n"/>
      <c r="K39" s="5" t="n">
        <v>0</v>
      </c>
      <c r="L39" s="11">
        <f>IF($B$2="-","",IF($B$2="Pauschale",IFERROR(INDEX('Projekt-Budget-Übersicht'!$H:$H,MATCH(A39,'Projekt-Budget-Übersicht'!$A:$A,0)),""),IF($B$2="SV",IFERROR(INDEX('Projekt-Budget-Übersicht'!$H:$H,MATCH(A39,'Projekt-Budget-Übersicht'!$A:$A,0)),""),IF($B$2="CAD",IFERROR(INDEX('Projekt-Budget-Übersicht'!$I:$I,MATCH(A39,'Projekt-Budget-Übersicht'!$A:$A,0)),""),IF($B$2="ADM",IFERROR(INDEX('Projekt-Budget-Übersicht'!$J:$J,MATCH(A39,'Projekt-Budget-Übersicht'!$A:$A,0)),""),"")))))</f>
        <v/>
      </c>
      <c r="M39" s="11">
        <f>IF($B$2="-","",L39*(F39+I39+K39))</f>
        <v/>
      </c>
      <c r="N39" s="11">
        <f>IFERROR(INDEX('Projekt-Budget-Übersicht'!$E:$E,MATCH(A39,'Projekt-Budget-Übersicht'!$A:$A,0)),"")</f>
        <v/>
      </c>
      <c r="O39" s="11" t="inlineStr"/>
      <c r="P39" s="11" t="inlineStr"/>
    </row>
    <row r="40">
      <c r="A40" s="13" t="inlineStr">
        <is>
          <t>7419.02 Zech-FRP-FWP-Sporthalle-Pestalozzistr10-Eppelheim</t>
        </is>
      </c>
      <c r="B40" s="4" t="inlineStr">
        <is>
          <t>(p) Pos. 3 FRP (CAD)</t>
        </is>
      </c>
      <c r="C40" s="4" t="inlineStr">
        <is>
          <t>G</t>
        </is>
      </c>
      <c r="D40" s="4" t="n">
        <v>20</v>
      </c>
      <c r="E40" s="4" t="n">
        <v>10.25</v>
      </c>
      <c r="F40" s="4" t="n">
        <v>1</v>
      </c>
      <c r="G40" s="17" t="n">
        <v>51.25</v>
      </c>
      <c r="H40" s="5" t="n"/>
      <c r="I40" s="5">
        <f>IF(H40=0,"",F40-H40)</f>
        <v/>
      </c>
      <c r="J40" s="4" t="n"/>
      <c r="K40" s="5">
        <f>IF('R. Wagen CAD'!J19="O. Haag BS-CAD",'R. Wagen CAD'!I19,0)</f>
        <v/>
      </c>
      <c r="L40" s="11">
        <f>IF($B$2="-","",IF($B$2="Pauschale",IFERROR(INDEX('Projekt-Budget-Übersicht'!$H:$H,MATCH(A40,'Projekt-Budget-Übersicht'!$A:$A,0)),""),IF($B$2="SV",IFERROR(INDEX('Projekt-Budget-Übersicht'!$H:$H,MATCH(A40,'Projekt-Budget-Übersicht'!$A:$A,0)),""),IF($B$2="CAD",IFERROR(INDEX('Projekt-Budget-Übersicht'!$I:$I,MATCH(A40,'Projekt-Budget-Übersicht'!$A:$A,0)),""),IF($B$2="ADM",IFERROR(INDEX('Projekt-Budget-Übersicht'!$J:$J,MATCH(A40,'Projekt-Budget-Übersicht'!$A:$A,0)),""),"")))))</f>
        <v/>
      </c>
      <c r="M40" s="11">
        <f>IF($B$2="-","",L40*(F40+I40+K40))</f>
        <v/>
      </c>
      <c r="N40" s="11">
        <f>IFERROR(INDEX('Projekt-Budget-Übersicht'!$E:$E,MATCH(A40,'Projekt-Budget-Übersicht'!$A:$A,0)),"")</f>
        <v/>
      </c>
      <c r="O40" s="11" t="inlineStr"/>
      <c r="P40" s="11" t="inlineStr"/>
    </row>
    <row r="41">
      <c r="A41" s="15" t="n"/>
      <c r="B41" s="4" t="inlineStr">
        <is>
          <t>CAD</t>
        </is>
      </c>
      <c r="C41" s="4" t="inlineStr">
        <is>
          <t>G</t>
        </is>
      </c>
      <c r="D41" s="4" t="n">
        <v>26</v>
      </c>
      <c r="E41" s="4" t="n">
        <v>10.25</v>
      </c>
      <c r="F41" s="4" t="n">
        <v>0.75</v>
      </c>
      <c r="G41" s="17" t="n">
        <v>39.42</v>
      </c>
      <c r="H41" s="5" t="n"/>
      <c r="I41" s="5">
        <f>IF(H41=0,"",F41-H41)</f>
        <v/>
      </c>
      <c r="J41" s="4" t="n"/>
      <c r="K41" s="5">
        <f>IF('E. Bieler'!J32="O. Haag BS-CAD",'E. Bieler'!I32,0)</f>
        <v/>
      </c>
      <c r="L41" s="11">
        <f>IF($B$2="-","",IF($B$2="Pauschale",IFERROR(INDEX('Projekt-Budget-Übersicht'!$H:$H,MATCH(A41,'Projekt-Budget-Übersicht'!$A:$A,0)),""),IF($B$2="SV",IFERROR(INDEX('Projekt-Budget-Übersicht'!$H:$H,MATCH(A41,'Projekt-Budget-Übersicht'!$A:$A,0)),""),IF($B$2="CAD",IFERROR(INDEX('Projekt-Budget-Übersicht'!$I:$I,MATCH(A41,'Projekt-Budget-Übersicht'!$A:$A,0)),""),IF($B$2="ADM",IFERROR(INDEX('Projekt-Budget-Übersicht'!$J:$J,MATCH(A41,'Projekt-Budget-Übersicht'!$A:$A,0)),""),"")))))</f>
        <v/>
      </c>
      <c r="M41" s="11">
        <f>IF($B$2="-","",L41*(F41+I41+K41))</f>
        <v/>
      </c>
      <c r="N41" s="11">
        <f>IFERROR(INDEX('Projekt-Budget-Übersicht'!$E:$E,MATCH(A41,'Projekt-Budget-Übersicht'!$A:$A,0)),"")</f>
        <v/>
      </c>
      <c r="O41" s="11" t="inlineStr"/>
      <c r="P41" s="11" t="inlineStr"/>
    </row>
    <row r="42">
      <c r="A42" s="4" t="inlineStr">
        <is>
          <t>7445 Energieprojekte-DK-BSK-WEA-Thüngersheim</t>
        </is>
      </c>
      <c r="B42" s="4" t="inlineStr">
        <is>
          <t>CAD</t>
        </is>
      </c>
      <c r="C42" s="4" t="inlineStr">
        <is>
          <t>G</t>
        </is>
      </c>
      <c r="D42" s="4" t="n">
        <v>5</v>
      </c>
      <c r="E42" s="4" t="n">
        <v>3.75</v>
      </c>
      <c r="F42" s="4" t="n">
        <v>3.75</v>
      </c>
      <c r="G42" s="17" t="n">
        <v>75</v>
      </c>
      <c r="H42" s="5" t="n"/>
      <c r="I42" s="5">
        <f>IF(H42=0,"",F42-H42)</f>
        <v/>
      </c>
      <c r="J42" s="4" t="n"/>
      <c r="K42" s="5" t="n">
        <v>0</v>
      </c>
      <c r="L42" s="11">
        <f>IF($B$2="-","",IF($B$2="Pauschale",IFERROR(INDEX('Projekt-Budget-Übersicht'!$H:$H,MATCH(A42,'Projekt-Budget-Übersicht'!$A:$A,0)),""),IF($B$2="SV",IFERROR(INDEX('Projekt-Budget-Übersicht'!$H:$H,MATCH(A42,'Projekt-Budget-Übersicht'!$A:$A,0)),""),IF($B$2="CAD",IFERROR(INDEX('Projekt-Budget-Übersicht'!$I:$I,MATCH(A42,'Projekt-Budget-Übersicht'!$A:$A,0)),""),IF($B$2="ADM",IFERROR(INDEX('Projekt-Budget-Übersicht'!$J:$J,MATCH(A42,'Projekt-Budget-Übersicht'!$A:$A,0)),""),"")))))</f>
        <v/>
      </c>
      <c r="M42" s="11">
        <f>IF($B$2="-","",L42*(F42+I42+K42))</f>
        <v/>
      </c>
      <c r="N42" s="11">
        <f>IFERROR(INDEX('Projekt-Budget-Übersicht'!$E:$E,MATCH(A42,'Projekt-Budget-Übersicht'!$A:$A,0)),"")</f>
        <v/>
      </c>
      <c r="O42" s="11" t="inlineStr"/>
      <c r="P42" s="11" t="inlineStr"/>
    </row>
    <row r="43">
      <c r="A43" s="3" t="inlineStr"/>
      <c r="B43" s="3" t="inlineStr">
        <is>
          <t>Summe</t>
        </is>
      </c>
      <c r="C43" s="3" t="inlineStr"/>
      <c r="D43" s="3" t="inlineStr"/>
      <c r="E43" s="3" t="inlineStr"/>
      <c r="F43" s="6" t="n">
        <v>66.25</v>
      </c>
      <c r="G43" s="3" t="inlineStr"/>
      <c r="H43" s="3" t="inlineStr"/>
      <c r="I43" s="3" t="inlineStr"/>
      <c r="J43" s="3" t="inlineStr"/>
      <c r="K43" s="3" t="inlineStr"/>
      <c r="L43" s="3" t="n"/>
      <c r="M43" s="3" t="n"/>
      <c r="N43" s="3" t="n"/>
      <c r="O43" s="3" t="n"/>
      <c r="P43" s="3" t="n"/>
    </row>
    <row r="44">
      <c r="A44" s="3" t="inlineStr"/>
      <c r="B44" s="3" t="inlineStr">
        <is>
          <t>Bonusberechtigte Stunden</t>
        </is>
      </c>
      <c r="C44" s="3" t="inlineStr"/>
      <c r="D44" s="3" t="inlineStr"/>
      <c r="E44" s="3" t="inlineStr"/>
      <c r="F44" s="6">
        <f>G44+H44</f>
        <v/>
      </c>
      <c r="G44" s="6" t="n">
        <v>49</v>
      </c>
      <c r="H44" s="6">
        <f>SUM(H7,H8,H9,H10,H11,H12,H13,H14,H15,H16,H17,H18,H19,H20,H21,H22,H23,H24,H25,H26,H27,H28,H29,H30,H31,H32,H33,H34,H35,H36,H37,H38,H39,H40,H41,H42)</f>
        <v/>
      </c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</row>
    <row r="45">
      <c r="A45" s="3" t="inlineStr"/>
      <c r="B45" s="3" t="inlineStr">
        <is>
          <t>Bonusberechtigte Stunden Sonderprojekt</t>
        </is>
      </c>
      <c r="C45" s="3" t="inlineStr"/>
      <c r="D45" s="3" t="inlineStr"/>
      <c r="E45" s="3" t="inlineStr"/>
      <c r="F45" s="6">
        <f>G45+H45</f>
        <v/>
      </c>
      <c r="G45" s="6" t="n">
        <v>5</v>
      </c>
      <c r="H45" s="6">
        <f>SUM(H6)</f>
        <v/>
      </c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</row>
    <row r="46">
      <c r="A46" s="3" t="inlineStr"/>
      <c r="B46" s="3" t="inlineStr">
        <is>
          <t>Zugeordnete Stunden von anderen MA</t>
        </is>
      </c>
      <c r="C46" s="3" t="inlineStr"/>
      <c r="D46" s="3" t="inlineStr"/>
      <c r="E46" s="3" t="inlineStr"/>
      <c r="F46" s="6">
        <f>SUM(K6:K42)</f>
        <v/>
      </c>
      <c r="G46" s="3" t="inlineStr"/>
      <c r="H46" s="3" t="inlineStr"/>
      <c r="I46" s="3" t="inlineStr"/>
      <c r="J46" s="3" t="inlineStr"/>
      <c r="K46" s="3" t="inlineStr"/>
      <c r="L46" s="3" t="inlineStr"/>
      <c r="M46" s="3" t="inlineStr"/>
      <c r="N46" s="3" t="inlineStr"/>
      <c r="O46" s="3" t="inlineStr"/>
      <c r="P46" s="3" t="inlineStr"/>
    </row>
    <row r="47">
      <c r="A47" s="18" t="inlineStr"/>
      <c r="B47" s="18" t="inlineStr">
        <is>
          <t>Gesamt Bonus Stunden</t>
        </is>
      </c>
      <c r="C47" s="18" t="inlineStr"/>
      <c r="D47" s="18" t="inlineStr"/>
      <c r="E47" s="18" t="inlineStr"/>
      <c r="F47" s="19">
        <f>F44+F45+F46</f>
        <v/>
      </c>
      <c r="G47" s="18" t="inlineStr"/>
      <c r="H47" s="18" t="inlineStr"/>
      <c r="I47" s="18" t="inlineStr"/>
      <c r="J47" s="18" t="inlineStr"/>
      <c r="K47" s="18" t="inlineStr"/>
      <c r="L47" s="18" t="n"/>
      <c r="M47" s="18" t="n"/>
      <c r="N47" s="18" t="n"/>
      <c r="O47" s="18" t="n"/>
      <c r="P47" s="18" t="n"/>
    </row>
    <row r="49">
      <c r="A49" s="2" t="inlineStr">
        <is>
          <t>--- August 2025 ---</t>
        </is>
      </c>
    </row>
    <row r="50">
      <c r="A50" s="3" t="inlineStr">
        <is>
          <t>Projekt</t>
        </is>
      </c>
      <c r="B50" s="3" t="inlineStr">
        <is>
          <t>Meilenstein</t>
        </is>
      </c>
      <c r="C50" s="3" t="inlineStr">
        <is>
          <t>Typ</t>
        </is>
      </c>
      <c r="D50" s="3" t="inlineStr">
        <is>
          <t>Soll (h)</t>
        </is>
      </c>
      <c r="E50" s="3" t="inlineStr">
        <is>
          <t>Ist (h)</t>
        </is>
      </c>
      <c r="F50" s="3" t="inlineStr">
        <is>
          <t>August 2025 (h)</t>
        </is>
      </c>
      <c r="G50" s="3" t="inlineStr">
        <is>
          <t>%</t>
        </is>
      </c>
      <c r="H50" s="3" t="inlineStr">
        <is>
          <t>Bonus-Anpassung (h)</t>
        </is>
      </c>
      <c r="I50" s="3" t="inlineStr">
        <is>
          <t>Differenz (h)</t>
        </is>
      </c>
      <c r="J50" s="3" t="inlineStr">
        <is>
          <t>Zuordnen an</t>
        </is>
      </c>
      <c r="K50" s="3" t="inlineStr">
        <is>
          <t>Von anderen (h)</t>
        </is>
      </c>
      <c r="L50" s="3" t="inlineStr">
        <is>
          <t>Stundensatz (€/h)</t>
        </is>
      </c>
      <c r="M50" s="3" t="inlineStr">
        <is>
          <t>Umsatz (€)</t>
        </is>
      </c>
      <c r="N50" s="3" t="inlineStr">
        <is>
          <t>Budget Gesamt (€)</t>
        </is>
      </c>
      <c r="O50" s="3" t="inlineStr">
        <is>
          <t>Budget Ist (€)</t>
        </is>
      </c>
      <c r="P50" s="3" t="inlineStr">
        <is>
          <t>Budget Erwirtschaftet (€)</t>
        </is>
      </c>
    </row>
    <row r="51">
      <c r="A51" s="13" t="inlineStr">
        <is>
          <t>0000 Sonderprojekt für Bonus</t>
        </is>
      </c>
      <c r="B51" s="4" t="inlineStr">
        <is>
          <t>Angebote-Ausschreibungen-Kalkulationen (max. 8h/Monat pro MA)</t>
        </is>
      </c>
      <c r="C51" s="4" t="inlineStr">
        <is>
          <t>M</t>
        </is>
      </c>
      <c r="D51" s="4" t="n">
        <v>8</v>
      </c>
      <c r="E51" s="4" t="n">
        <v>10.25</v>
      </c>
      <c r="F51" s="4" t="n">
        <v>10.25</v>
      </c>
      <c r="G51" s="16" t="n">
        <v>128.12</v>
      </c>
      <c r="H51" s="5" t="n"/>
      <c r="I51" s="5">
        <f>IF(H51=0,"",F51-H51)</f>
        <v/>
      </c>
      <c r="J51" s="4" t="n"/>
      <c r="K51" s="5">
        <f>IF('A. Kokott'!J39="O. Haag BS-CAD",'A. Kokott'!I39,0)+IF('J. Dorn'!J45="O. Haag BS-CAD",'J. Dorn'!I45,0)+IF('P. Bergner'!J21="O. Haag BS-CAD",'P. Bergner'!I21,0)+IF('R. Böttiger'!J31="O. Haag BS-CAD",'R. Böttiger'!I31,0)+IF('T. Trautmann'!J28="O. Haag BS-CAD",'T. Trautmann'!I28,0)+IF('U. Sutter ADM'!J28="O. Haag BS-CAD",'U. Sutter ADM'!I28,0)</f>
        <v/>
      </c>
      <c r="L51" s="11">
        <f>IF($B$2="-","",IF($B$2="Pauschale",IFERROR(INDEX('Projekt-Budget-Übersicht'!$H:$H,MATCH(A51,'Projekt-Budget-Übersicht'!$A:$A,0)),""),IF($B$2="SV",IFERROR(INDEX('Projekt-Budget-Übersicht'!$H:$H,MATCH(A51,'Projekt-Budget-Übersicht'!$A:$A,0)),""),IF($B$2="CAD",IFERROR(INDEX('Projekt-Budget-Übersicht'!$I:$I,MATCH(A51,'Projekt-Budget-Übersicht'!$A:$A,0)),""),IF($B$2="ADM",IFERROR(INDEX('Projekt-Budget-Übersicht'!$J:$J,MATCH(A51,'Projekt-Budget-Übersicht'!$A:$A,0)),""),"")))))</f>
        <v/>
      </c>
      <c r="M51" s="11">
        <f>IF($B$2="-","",L51*(F51+I51+K51))</f>
        <v/>
      </c>
      <c r="N51" s="11">
        <f>IFERROR(INDEX('Projekt-Budget-Übersicht'!$E:$E,MATCH(A51,'Projekt-Budget-Übersicht'!$A:$A,0)),"")</f>
        <v/>
      </c>
      <c r="O51" s="11" t="inlineStr"/>
      <c r="P51" s="11" t="inlineStr"/>
    </row>
    <row r="52">
      <c r="A52" s="15" t="n"/>
      <c r="B52" s="4" t="inlineStr">
        <is>
          <t>Einarbeitung neuer Mitarbeiter (max. 8h/Monat pro MA)</t>
        </is>
      </c>
      <c r="C52" s="4" t="inlineStr">
        <is>
          <t>M</t>
        </is>
      </c>
      <c r="D52" s="4" t="n">
        <v>8</v>
      </c>
      <c r="E52" s="4" t="n">
        <v>6</v>
      </c>
      <c r="F52" s="4" t="n">
        <v>6</v>
      </c>
      <c r="G52" s="17" t="n">
        <v>75</v>
      </c>
      <c r="H52" s="5" t="n"/>
      <c r="I52" s="5">
        <f>IF(H52=0,"",F52-H52)</f>
        <v/>
      </c>
      <c r="J52" s="4" t="n"/>
      <c r="K52" s="5">
        <f>IF('A. Kokott'!J40="O. Haag BS-CAD",'A. Kokott'!I40,0)+IF('M. Bandlofsky'!J26="O. Haag BS-CAD",'M. Bandlofsky'!I26,0)+IF('P. Bergner'!J22="O. Haag BS-CAD",'P. Bergner'!I22,0)+IF('R. Wagen CAD'!J31="O. Haag BS-CAD",'R. Wagen CAD'!I31,0)+IF('T. Trautmann'!J29="O. Haag BS-CAD",'T. Trautmann'!I29,0)+IF('U. Sutter ADM'!J29="O. Haag BS-CAD",'U. Sutter ADM'!I29,0)</f>
        <v/>
      </c>
      <c r="L52" s="11">
        <f>IF($B$2="-","",IF($B$2="Pauschale",IFERROR(INDEX('Projekt-Budget-Übersicht'!$H:$H,MATCH(A52,'Projekt-Budget-Übersicht'!$A:$A,0)),""),IF($B$2="SV",IFERROR(INDEX('Projekt-Budget-Übersicht'!$H:$H,MATCH(A52,'Projekt-Budget-Übersicht'!$A:$A,0)),""),IF($B$2="CAD",IFERROR(INDEX('Projekt-Budget-Übersicht'!$I:$I,MATCH(A52,'Projekt-Budget-Übersicht'!$A:$A,0)),""),IF($B$2="ADM",IFERROR(INDEX('Projekt-Budget-Übersicht'!$J:$J,MATCH(A52,'Projekt-Budget-Übersicht'!$A:$A,0)),""),"")))))</f>
        <v/>
      </c>
      <c r="M52" s="11">
        <f>IF($B$2="-","",L52*(F52+I52+K52))</f>
        <v/>
      </c>
      <c r="N52" s="11">
        <f>IFERROR(INDEX('Projekt-Budget-Übersicht'!$E:$E,MATCH(A52,'Projekt-Budget-Übersicht'!$A:$A,0)),"")</f>
        <v/>
      </c>
      <c r="O52" s="11" t="inlineStr"/>
      <c r="P52" s="11" t="inlineStr"/>
    </row>
    <row r="53">
      <c r="A53" s="4" t="inlineStr">
        <is>
          <t>2044.02 BSK-Lyoner-Straße-1-Frankfurt</t>
        </is>
      </c>
      <c r="B53" s="4" t="inlineStr">
        <is>
          <t>4103-Erarbeiten Brandschutzkonzeptpläne….</t>
        </is>
      </c>
      <c r="C53" s="4" t="inlineStr">
        <is>
          <t>G</t>
        </is>
      </c>
      <c r="D53" s="4" t="n">
        <v>24</v>
      </c>
      <c r="E53" s="4" t="n">
        <v>25</v>
      </c>
      <c r="F53" s="4" t="n">
        <v>0.25</v>
      </c>
      <c r="G53" s="16" t="n">
        <v>104.17</v>
      </c>
      <c r="H53" s="5" t="n"/>
      <c r="I53" s="5">
        <f>IF(H53=0,"",F53-H53)</f>
        <v/>
      </c>
      <c r="J53" s="4" t="n"/>
      <c r="K53" s="5" t="n">
        <v>0</v>
      </c>
      <c r="L53" s="11">
        <f>IF($B$2="-","",IF($B$2="Pauschale",IFERROR(INDEX('Projekt-Budget-Übersicht'!$H:$H,MATCH(A53,'Projekt-Budget-Übersicht'!$A:$A,0)),""),IF($B$2="SV",IFERROR(INDEX('Projekt-Budget-Übersicht'!$H:$H,MATCH(A53,'Projekt-Budget-Übersicht'!$A:$A,0)),""),IF($B$2="CAD",IFERROR(INDEX('Projekt-Budget-Übersicht'!$I:$I,MATCH(A53,'Projekt-Budget-Übersicht'!$A:$A,0)),""),IF($B$2="ADM",IFERROR(INDEX('Projekt-Budget-Übersicht'!$J:$J,MATCH(A53,'Projekt-Budget-Übersicht'!$A:$A,0)),""),"")))))</f>
        <v/>
      </c>
      <c r="M53" s="11">
        <f>IF($B$2="-","",L53*(F53+I53+K53))</f>
        <v/>
      </c>
      <c r="N53" s="11">
        <f>IFERROR(INDEX('Projekt-Budget-Übersicht'!$E:$E,MATCH(A53,'Projekt-Budget-Übersicht'!$A:$A,0)),"")</f>
        <v/>
      </c>
      <c r="O53" s="11" t="inlineStr"/>
      <c r="P53" s="11" t="inlineStr"/>
    </row>
    <row r="54">
      <c r="A54" s="4" t="inlineStr">
        <is>
          <t>3869.23 (eh.3258.29) Breuninger-BSK-Bestandsgebäude-Marktstr1-3-Stuttgart</t>
        </is>
      </c>
      <c r="B54" s="4" t="inlineStr">
        <is>
          <t>CAD</t>
        </is>
      </c>
      <c r="C54" s="4" t="inlineStr">
        <is>
          <t>G</t>
        </is>
      </c>
      <c r="D54" s="4" t="n">
        <v>50</v>
      </c>
      <c r="E54" s="4" t="n">
        <v>12.5</v>
      </c>
      <c r="F54" s="4" t="n">
        <v>12.5</v>
      </c>
      <c r="G54" s="17" t="n">
        <v>25</v>
      </c>
      <c r="H54" s="5" t="n"/>
      <c r="I54" s="5">
        <f>IF(H54=0,"",F54-H54)</f>
        <v/>
      </c>
      <c r="J54" s="4" t="n"/>
      <c r="K54" s="5" t="n">
        <v>0</v>
      </c>
      <c r="L54" s="11">
        <f>IF($B$2="-","",IF($B$2="Pauschale",IFERROR(INDEX('Projekt-Budget-Übersicht'!$H:$H,MATCH(A54,'Projekt-Budget-Übersicht'!$A:$A,0)),""),IF($B$2="SV",IFERROR(INDEX('Projekt-Budget-Übersicht'!$H:$H,MATCH(A54,'Projekt-Budget-Übersicht'!$A:$A,0)),""),IF($B$2="CAD",IFERROR(INDEX('Projekt-Budget-Übersicht'!$I:$I,MATCH(A54,'Projekt-Budget-Übersicht'!$A:$A,0)),""),IF($B$2="ADM",IFERROR(INDEX('Projekt-Budget-Übersicht'!$J:$J,MATCH(A54,'Projekt-Budget-Übersicht'!$A:$A,0)),""),"")))))</f>
        <v/>
      </c>
      <c r="M54" s="11">
        <f>IF($B$2="-","",L54*(F54+I54+K54))</f>
        <v/>
      </c>
      <c r="N54" s="11">
        <f>IFERROR(INDEX('Projekt-Budget-Übersicht'!$E:$E,MATCH(A54,'Projekt-Budget-Übersicht'!$A:$A,0)),"")</f>
        <v/>
      </c>
      <c r="O54" s="11" t="inlineStr"/>
      <c r="P54" s="11" t="inlineStr"/>
    </row>
    <row r="55">
      <c r="A55" s="4" t="inlineStr">
        <is>
          <t>3869.24 KES-BST-1.OG-Bestandsgebäude-Marktstr1-3-Stuttgart</t>
        </is>
      </c>
      <c r="B55" s="4" t="inlineStr">
        <is>
          <t>CAD</t>
        </is>
      </c>
      <c r="C55" s="4" t="inlineStr">
        <is>
          <t>G</t>
        </is>
      </c>
      <c r="D55" s="4" t="n">
        <v>6</v>
      </c>
      <c r="E55" s="4" t="n">
        <v>5.25</v>
      </c>
      <c r="F55" s="4" t="n">
        <v>0.5</v>
      </c>
      <c r="G55" s="17" t="n">
        <v>87.5</v>
      </c>
      <c r="H55" s="5" t="n"/>
      <c r="I55" s="5">
        <f>IF(H55=0,"",F55-H55)</f>
        <v/>
      </c>
      <c r="J55" s="4" t="n"/>
      <c r="K55" s="5" t="n">
        <v>0</v>
      </c>
      <c r="L55" s="11">
        <f>IF($B$2="-","",IF($B$2="Pauschale",IFERROR(INDEX('Projekt-Budget-Übersicht'!$H:$H,MATCH(A55,'Projekt-Budget-Übersicht'!$A:$A,0)),""),IF($B$2="SV",IFERROR(INDEX('Projekt-Budget-Übersicht'!$H:$H,MATCH(A55,'Projekt-Budget-Übersicht'!$A:$A,0)),""),IF($B$2="CAD",IFERROR(INDEX('Projekt-Budget-Übersicht'!$I:$I,MATCH(A55,'Projekt-Budget-Übersicht'!$A:$A,0)),""),IF($B$2="ADM",IFERROR(INDEX('Projekt-Budget-Übersicht'!$J:$J,MATCH(A55,'Projekt-Budget-Übersicht'!$A:$A,0)),""),"")))))</f>
        <v/>
      </c>
      <c r="M55" s="11">
        <f>IF($B$2="-","",L55*(F55+I55+K55))</f>
        <v/>
      </c>
      <c r="N55" s="11">
        <f>IFERROR(INDEX('Projekt-Budget-Übersicht'!$E:$E,MATCH(A55,'Projekt-Budget-Übersicht'!$A:$A,0)),"")</f>
        <v/>
      </c>
      <c r="O55" s="11" t="inlineStr"/>
      <c r="P55" s="11" t="inlineStr"/>
    </row>
    <row r="56">
      <c r="A56" s="13" t="inlineStr">
        <is>
          <t>4436.04 BTB Krankenhaus-Bergstraße-Viernheimer-Straße-2-Heppenheim</t>
        </is>
      </c>
      <c r="B56" s="4" t="inlineStr">
        <is>
          <t>4103-Erarbeiten Brandschutzkonzeptpläne….</t>
        </is>
      </c>
      <c r="C56" s="4" t="inlineStr">
        <is>
          <t>G</t>
        </is>
      </c>
      <c r="D56" s="4" t="n">
        <v>26.5</v>
      </c>
      <c r="E56" s="4" t="n">
        <v>34.25</v>
      </c>
      <c r="F56" s="4" t="n">
        <v>0.5</v>
      </c>
      <c r="G56" s="16" t="n">
        <v>129.25</v>
      </c>
      <c r="H56" s="5" t="n"/>
      <c r="I56" s="5">
        <f>IF(H56=0,"",F56-H56)</f>
        <v/>
      </c>
      <c r="J56" s="4" t="n"/>
      <c r="K56" s="5">
        <f>IF('R. Wagen CAD'!J32="O. Haag BS-CAD",'R. Wagen CAD'!I32,0)</f>
        <v/>
      </c>
      <c r="L56" s="11">
        <f>IF($B$2="-","",IF($B$2="Pauschale",IFERROR(INDEX('Projekt-Budget-Übersicht'!$H:$H,MATCH(A56,'Projekt-Budget-Übersicht'!$A:$A,0)),""),IF($B$2="SV",IFERROR(INDEX('Projekt-Budget-Übersicht'!$H:$H,MATCH(A56,'Projekt-Budget-Übersicht'!$A:$A,0)),""),IF($B$2="CAD",IFERROR(INDEX('Projekt-Budget-Übersicht'!$I:$I,MATCH(A56,'Projekt-Budget-Übersicht'!$A:$A,0)),""),IF($B$2="ADM",IFERROR(INDEX('Projekt-Budget-Übersicht'!$J:$J,MATCH(A56,'Projekt-Budget-Übersicht'!$A:$A,0)),""),"")))))</f>
        <v/>
      </c>
      <c r="M56" s="11">
        <f>IF($B$2="-","",L56*(F56+I56+K56))</f>
        <v/>
      </c>
      <c r="N56" s="11">
        <f>IFERROR(INDEX('Projekt-Budget-Übersicht'!$E:$E,MATCH(A56,'Projekt-Budget-Übersicht'!$A:$A,0)),"")</f>
        <v/>
      </c>
      <c r="O56" s="11" t="inlineStr"/>
      <c r="P56" s="11" t="inlineStr"/>
    </row>
    <row r="57">
      <c r="A57" s="21" t="n"/>
      <c r="B57" s="4" t="inlineStr">
        <is>
          <t>5104-Erstellen Brandfallsteuertabelle....</t>
        </is>
      </c>
      <c r="C57" s="4" t="inlineStr">
        <is>
          <t>G</t>
        </is>
      </c>
      <c r="D57" s="4" t="n">
        <v>8.5</v>
      </c>
      <c r="E57" s="4" t="n">
        <v>13.25</v>
      </c>
      <c r="F57" s="4" t="n">
        <v>1</v>
      </c>
      <c r="G57" s="16" t="n">
        <v>155.88</v>
      </c>
      <c r="H57" s="5" t="n"/>
      <c r="I57" s="5">
        <f>IF(H57=0,"",F57-H57)</f>
        <v/>
      </c>
      <c r="J57" s="4" t="n"/>
      <c r="K57" s="5">
        <f>IF('S. Schüler'!J58="O. Haag BS-CAD",'S. Schüler'!I58,0)</f>
        <v/>
      </c>
      <c r="L57" s="11">
        <f>IF($B$2="-","",IF($B$2="Pauschale",IFERROR(INDEX('Projekt-Budget-Übersicht'!$H:$H,MATCH(A57,'Projekt-Budget-Übersicht'!$A:$A,0)),""),IF($B$2="SV",IFERROR(INDEX('Projekt-Budget-Übersicht'!$H:$H,MATCH(A57,'Projekt-Budget-Übersicht'!$A:$A,0)),""),IF($B$2="CAD",IFERROR(INDEX('Projekt-Budget-Übersicht'!$I:$I,MATCH(A57,'Projekt-Budget-Übersicht'!$A:$A,0)),""),IF($B$2="ADM",IFERROR(INDEX('Projekt-Budget-Übersicht'!$J:$J,MATCH(A57,'Projekt-Budget-Übersicht'!$A:$A,0)),""),"")))))</f>
        <v/>
      </c>
      <c r="M57" s="11">
        <f>IF($B$2="-","",L57*(F57+I57+K57))</f>
        <v/>
      </c>
      <c r="N57" s="11">
        <f>IFERROR(INDEX('Projekt-Budget-Übersicht'!$E:$E,MATCH(A57,'Projekt-Budget-Übersicht'!$A:$A,0)),"")</f>
        <v/>
      </c>
      <c r="O57" s="11" t="inlineStr"/>
      <c r="P57" s="11" t="inlineStr"/>
    </row>
    <row r="58">
      <c r="A58" s="15" t="n"/>
      <c r="B58" s="4" t="inlineStr">
        <is>
          <t>5207-Planung Ausstattung Feuerlöscher....</t>
        </is>
      </c>
      <c r="C58" s="4" t="inlineStr">
        <is>
          <t>G</t>
        </is>
      </c>
      <c r="D58" s="4" t="n">
        <v>28.5</v>
      </c>
      <c r="E58" s="4" t="n">
        <v>5.25</v>
      </c>
      <c r="F58" s="4" t="n">
        <v>0.25</v>
      </c>
      <c r="G58" s="17" t="n">
        <v>18.42</v>
      </c>
      <c r="H58" s="5" t="n"/>
      <c r="I58" s="5">
        <f>IF(H58=0,"",F58-H58)</f>
        <v/>
      </c>
      <c r="J58" s="4" t="n"/>
      <c r="K58" s="5">
        <f>IF('S. Schüler'!J60="O. Haag BS-CAD",'S. Schüler'!I60,0)</f>
        <v/>
      </c>
      <c r="L58" s="11">
        <f>IF($B$2="-","",IF($B$2="Pauschale",IFERROR(INDEX('Projekt-Budget-Übersicht'!$H:$H,MATCH(A58,'Projekt-Budget-Übersicht'!$A:$A,0)),""),IF($B$2="SV",IFERROR(INDEX('Projekt-Budget-Übersicht'!$H:$H,MATCH(A58,'Projekt-Budget-Übersicht'!$A:$A,0)),""),IF($B$2="CAD",IFERROR(INDEX('Projekt-Budget-Übersicht'!$I:$I,MATCH(A58,'Projekt-Budget-Übersicht'!$A:$A,0)),""),IF($B$2="ADM",IFERROR(INDEX('Projekt-Budget-Übersicht'!$J:$J,MATCH(A58,'Projekt-Budget-Übersicht'!$A:$A,0)),""),"")))))</f>
        <v/>
      </c>
      <c r="M58" s="11">
        <f>IF($B$2="-","",L58*(F58+I58+K58))</f>
        <v/>
      </c>
      <c r="N58" s="11">
        <f>IFERROR(INDEX('Projekt-Budget-Übersicht'!$E:$E,MATCH(A58,'Projekt-Budget-Übersicht'!$A:$A,0)),"")</f>
        <v/>
      </c>
      <c r="O58" s="11" t="inlineStr"/>
      <c r="P58" s="11" t="inlineStr"/>
    </row>
    <row r="59">
      <c r="A59" s="4" t="inlineStr">
        <is>
          <t>5607.15 BTB-2025-Zentralinstitut-für-seelische-Gesundheit-Mannheim</t>
        </is>
      </c>
      <c r="B59" s="4" t="inlineStr">
        <is>
          <t>4103-Erarbeiten Brandschutzkonzeptpläne….</t>
        </is>
      </c>
      <c r="C59" s="4" t="inlineStr">
        <is>
          <t>G</t>
        </is>
      </c>
      <c r="D59" s="4" t="n">
        <v>30</v>
      </c>
      <c r="E59" s="4" t="n">
        <v>17.5</v>
      </c>
      <c r="F59" s="4" t="n">
        <v>8.25</v>
      </c>
      <c r="G59" s="17" t="n">
        <v>58.33</v>
      </c>
      <c r="H59" s="5" t="n"/>
      <c r="I59" s="5">
        <f>IF(H59=0,"",F59-H59)</f>
        <v/>
      </c>
      <c r="J59" s="4" t="n"/>
      <c r="K59" s="5" t="n">
        <v>0</v>
      </c>
      <c r="L59" s="11">
        <f>IF($B$2="-","",IF($B$2="Pauschale",IFERROR(INDEX('Projekt-Budget-Übersicht'!$H:$H,MATCH(A59,'Projekt-Budget-Übersicht'!$A:$A,0)),""),IF($B$2="SV",IFERROR(INDEX('Projekt-Budget-Übersicht'!$H:$H,MATCH(A59,'Projekt-Budget-Übersicht'!$A:$A,0)),""),IF($B$2="CAD",IFERROR(INDEX('Projekt-Budget-Übersicht'!$I:$I,MATCH(A59,'Projekt-Budget-Übersicht'!$A:$A,0)),""),IF($B$2="ADM",IFERROR(INDEX('Projekt-Budget-Übersicht'!$J:$J,MATCH(A59,'Projekt-Budget-Übersicht'!$A:$A,0)),""),"")))))</f>
        <v/>
      </c>
      <c r="M59" s="11">
        <f>IF($B$2="-","",L59*(F59+I59+K59))</f>
        <v/>
      </c>
      <c r="N59" s="11">
        <f>IFERROR(INDEX('Projekt-Budget-Übersicht'!$E:$E,MATCH(A59,'Projekt-Budget-Übersicht'!$A:$A,0)),"")</f>
        <v/>
      </c>
      <c r="O59" s="11" t="inlineStr"/>
      <c r="P59" s="11" t="inlineStr"/>
    </row>
    <row r="60">
      <c r="A60" s="4" t="inlineStr">
        <is>
          <t>5607.16 ZI-FWP-FRP-Laborgebäude-Liegenschaften-J5-Mannheim</t>
        </is>
      </c>
      <c r="B60" s="4" t="inlineStr">
        <is>
          <t>(aN) Erstellung FWP (CAD)</t>
        </is>
      </c>
      <c r="C60" s="4" t="inlineStr">
        <is>
          <t>G</t>
        </is>
      </c>
      <c r="D60" s="4" t="n">
        <v>100</v>
      </c>
      <c r="E60" s="4" t="n">
        <v>46.75</v>
      </c>
      <c r="F60" s="4" t="n">
        <v>1</v>
      </c>
      <c r="G60" s="17" t="n">
        <v>46.75</v>
      </c>
      <c r="H60" s="5" t="n"/>
      <c r="I60" s="5">
        <f>IF(H60=0,"",F60-H60)</f>
        <v/>
      </c>
      <c r="J60" s="4" t="n"/>
      <c r="K60" s="5" t="n">
        <v>0</v>
      </c>
      <c r="L60" s="11">
        <f>IF($B$2="-","",IF($B$2="Pauschale",IFERROR(INDEX('Projekt-Budget-Übersicht'!$H:$H,MATCH(A60,'Projekt-Budget-Übersicht'!$A:$A,0)),""),IF($B$2="SV",IFERROR(INDEX('Projekt-Budget-Übersicht'!$H:$H,MATCH(A60,'Projekt-Budget-Übersicht'!$A:$A,0)),""),IF($B$2="CAD",IFERROR(INDEX('Projekt-Budget-Übersicht'!$I:$I,MATCH(A60,'Projekt-Budget-Übersicht'!$A:$A,0)),""),IF($B$2="ADM",IFERROR(INDEX('Projekt-Budget-Übersicht'!$J:$J,MATCH(A60,'Projekt-Budget-Übersicht'!$A:$A,0)),""),"")))))</f>
        <v/>
      </c>
      <c r="M60" s="11">
        <f>IF($B$2="-","",L60*(F60+I60+K60))</f>
        <v/>
      </c>
      <c r="N60" s="11">
        <f>IFERROR(INDEX('Projekt-Budget-Übersicht'!$E:$E,MATCH(A60,'Projekt-Budget-Übersicht'!$A:$A,0)),"")</f>
        <v/>
      </c>
      <c r="O60" s="11" t="inlineStr"/>
      <c r="P60" s="11" t="inlineStr"/>
    </row>
    <row r="61">
      <c r="A61" s="4" t="inlineStr">
        <is>
          <t>5757.05 StadtSchriesheim-BSK-Gymnasium-Hirschbergstr1-Schriesheim</t>
        </is>
      </c>
      <c r="B61" s="4" t="inlineStr">
        <is>
          <t>CAD Erarbeiten Brandschutzkonzeptpläne….</t>
        </is>
      </c>
      <c r="C61" s="4" t="inlineStr">
        <is>
          <t>G</t>
        </is>
      </c>
      <c r="D61" s="4" t="n">
        <v>8</v>
      </c>
      <c r="E61" s="4" t="n">
        <v>4.5</v>
      </c>
      <c r="F61" s="4" t="n">
        <v>0.5</v>
      </c>
      <c r="G61" s="17" t="n">
        <v>56.25</v>
      </c>
      <c r="H61" s="5" t="n"/>
      <c r="I61" s="5">
        <f>IF(H61=0,"",F61-H61)</f>
        <v/>
      </c>
      <c r="J61" s="4" t="n"/>
      <c r="K61" s="5" t="n">
        <v>0</v>
      </c>
      <c r="L61" s="11">
        <f>IF($B$2="-","",IF($B$2="Pauschale",IFERROR(INDEX('Projekt-Budget-Übersicht'!$H:$H,MATCH(A61,'Projekt-Budget-Übersicht'!$A:$A,0)),""),IF($B$2="SV",IFERROR(INDEX('Projekt-Budget-Übersicht'!$H:$H,MATCH(A61,'Projekt-Budget-Übersicht'!$A:$A,0)),""),IF($B$2="CAD",IFERROR(INDEX('Projekt-Budget-Übersicht'!$I:$I,MATCH(A61,'Projekt-Budget-Übersicht'!$A:$A,0)),""),IF($B$2="ADM",IFERROR(INDEX('Projekt-Budget-Übersicht'!$J:$J,MATCH(A61,'Projekt-Budget-Übersicht'!$A:$A,0)),""),"")))))</f>
        <v/>
      </c>
      <c r="M61" s="11">
        <f>IF($B$2="-","",L61*(F61+I61+K61))</f>
        <v/>
      </c>
      <c r="N61" s="11">
        <f>IFERROR(INDEX('Projekt-Budget-Übersicht'!$E:$E,MATCH(A61,'Projekt-Budget-Übersicht'!$A:$A,0)),"")</f>
        <v/>
      </c>
      <c r="O61" s="11" t="inlineStr"/>
      <c r="P61" s="11" t="inlineStr"/>
    </row>
    <row r="62">
      <c r="A62" s="4" t="inlineStr">
        <is>
          <t>5845.04 myStorage-BSK-John-Deere-Straße-79-Mannheim-1+2.OG</t>
        </is>
      </c>
      <c r="B62" s="4" t="inlineStr">
        <is>
          <t>4103-Erarbeiten Brandschutzkonzeptpläne….</t>
        </is>
      </c>
      <c r="C62" s="4" t="inlineStr">
        <is>
          <t>G</t>
        </is>
      </c>
      <c r="D62" s="4" t="n">
        <v>4</v>
      </c>
      <c r="E62" s="4" t="n">
        <v>2</v>
      </c>
      <c r="F62" s="4" t="n">
        <v>2</v>
      </c>
      <c r="G62" s="17" t="n">
        <v>50</v>
      </c>
      <c r="H62" s="5" t="n"/>
      <c r="I62" s="5">
        <f>IF(H62=0,"",F62-H62)</f>
        <v/>
      </c>
      <c r="J62" s="4" t="n"/>
      <c r="K62" s="5" t="n">
        <v>0</v>
      </c>
      <c r="L62" s="11">
        <f>IF($B$2="-","",IF($B$2="Pauschale",IFERROR(INDEX('Projekt-Budget-Übersicht'!$H:$H,MATCH(A62,'Projekt-Budget-Übersicht'!$A:$A,0)),""),IF($B$2="SV",IFERROR(INDEX('Projekt-Budget-Übersicht'!$H:$H,MATCH(A62,'Projekt-Budget-Übersicht'!$A:$A,0)),""),IF($B$2="CAD",IFERROR(INDEX('Projekt-Budget-Übersicht'!$I:$I,MATCH(A62,'Projekt-Budget-Übersicht'!$A:$A,0)),""),IF($B$2="ADM",IFERROR(INDEX('Projekt-Budget-Übersicht'!$J:$J,MATCH(A62,'Projekt-Budget-Übersicht'!$A:$A,0)),""),"")))))</f>
        <v/>
      </c>
      <c r="M62" s="11">
        <f>IF($B$2="-","",L62*(F62+I62+K62))</f>
        <v/>
      </c>
      <c r="N62" s="11">
        <f>IFERROR(INDEX('Projekt-Budget-Übersicht'!$E:$E,MATCH(A62,'Projekt-Budget-Übersicht'!$A:$A,0)),"")</f>
        <v/>
      </c>
      <c r="O62" s="11" t="inlineStr"/>
      <c r="P62" s="11" t="inlineStr"/>
    </row>
    <row r="63">
      <c r="A63" s="4" t="inlineStr">
        <is>
          <t>6059.18 FRP-Gemeindehaus-Worms-Herrnsheim-Gesamtgemeinde-Worms-EKHN</t>
        </is>
      </c>
      <c r="B63" s="4" t="inlineStr">
        <is>
          <t>(p) Pos. 1 Erstellung von Flucht- und Rettungsplänen</t>
        </is>
      </c>
      <c r="C63" s="4" t="inlineStr">
        <is>
          <t>G</t>
        </is>
      </c>
      <c r="D63" s="4" t="n">
        <v>15</v>
      </c>
      <c r="E63" s="4" t="n">
        <v>9.25</v>
      </c>
      <c r="F63" s="4" t="n">
        <v>0.25</v>
      </c>
      <c r="G63" s="17" t="n">
        <v>61.67</v>
      </c>
      <c r="H63" s="5" t="n"/>
      <c r="I63" s="5">
        <f>IF(H63=0,"",F63-H63)</f>
        <v/>
      </c>
      <c r="J63" s="4" t="n"/>
      <c r="K63" s="5" t="n">
        <v>0</v>
      </c>
      <c r="L63" s="11">
        <f>IF($B$2="-","",IF($B$2="Pauschale",IFERROR(INDEX('Projekt-Budget-Übersicht'!$H:$H,MATCH(A63,'Projekt-Budget-Übersicht'!$A:$A,0)),""),IF($B$2="SV",IFERROR(INDEX('Projekt-Budget-Übersicht'!$H:$H,MATCH(A63,'Projekt-Budget-Übersicht'!$A:$A,0)),""),IF($B$2="CAD",IFERROR(INDEX('Projekt-Budget-Übersicht'!$I:$I,MATCH(A63,'Projekt-Budget-Übersicht'!$A:$A,0)),""),IF($B$2="ADM",IFERROR(INDEX('Projekt-Budget-Übersicht'!$J:$J,MATCH(A63,'Projekt-Budget-Übersicht'!$A:$A,0)),""),"")))))</f>
        <v/>
      </c>
      <c r="M63" s="11">
        <f>IF($B$2="-","",L63*(F63+I63+K63))</f>
        <v/>
      </c>
      <c r="N63" s="11">
        <f>IFERROR(INDEX('Projekt-Budget-Übersicht'!$E:$E,MATCH(A63,'Projekt-Budget-Übersicht'!$A:$A,0)),"")</f>
        <v/>
      </c>
      <c r="O63" s="11" t="inlineStr"/>
      <c r="P63" s="11" t="inlineStr"/>
    </row>
    <row r="64">
      <c r="A64" s="4" t="inlineStr">
        <is>
          <t>6285.13 Clarus-FWP-Opernplatz-14-Frankfurt</t>
        </is>
      </c>
      <c r="B64" s="4" t="inlineStr">
        <is>
          <t>9200-Erstellen od. Prüfen Feuerwehrpläne….</t>
        </is>
      </c>
      <c r="C64" s="4" t="inlineStr">
        <is>
          <t>G</t>
        </is>
      </c>
      <c r="D64" s="4" t="n">
        <v>30</v>
      </c>
      <c r="E64" s="4" t="n">
        <v>12</v>
      </c>
      <c r="F64" s="4" t="n">
        <v>3</v>
      </c>
      <c r="G64" s="17" t="n">
        <v>40</v>
      </c>
      <c r="H64" s="5" t="n"/>
      <c r="I64" s="5">
        <f>IF(H64=0,"",F64-H64)</f>
        <v/>
      </c>
      <c r="J64" s="4" t="n"/>
      <c r="K64" s="5">
        <f>IF('R. Wagen CAD'!J41="O. Haag BS-CAD",'R. Wagen CAD'!I41,0)</f>
        <v/>
      </c>
      <c r="L64" s="11">
        <f>IF($B$2="-","",IF($B$2="Pauschale",IFERROR(INDEX('Projekt-Budget-Übersicht'!$H:$H,MATCH(A64,'Projekt-Budget-Übersicht'!$A:$A,0)),""),IF($B$2="SV",IFERROR(INDEX('Projekt-Budget-Übersicht'!$H:$H,MATCH(A64,'Projekt-Budget-Übersicht'!$A:$A,0)),""),IF($B$2="CAD",IFERROR(INDEX('Projekt-Budget-Übersicht'!$I:$I,MATCH(A64,'Projekt-Budget-Übersicht'!$A:$A,0)),""),IF($B$2="ADM",IFERROR(INDEX('Projekt-Budget-Übersicht'!$J:$J,MATCH(A64,'Projekt-Budget-Übersicht'!$A:$A,0)),""),"")))))</f>
        <v/>
      </c>
      <c r="M64" s="11">
        <f>IF($B$2="-","",L64*(F64+I64+K64))</f>
        <v/>
      </c>
      <c r="N64" s="11">
        <f>IFERROR(INDEX('Projekt-Budget-Übersicht'!$E:$E,MATCH(A64,'Projekt-Budget-Übersicht'!$A:$A,0)),"")</f>
        <v/>
      </c>
      <c r="O64" s="11" t="inlineStr"/>
      <c r="P64" s="11" t="inlineStr"/>
    </row>
    <row r="65">
      <c r="A65" s="4" t="inlineStr">
        <is>
          <t>6304.01 StBA-Amberg-Truppübungsplatz-Grafenwöhr-Vilseck-Fortschr-BSK-Geb349</t>
        </is>
      </c>
      <c r="B65" s="4" t="inlineStr">
        <is>
          <t>CAD</t>
        </is>
      </c>
      <c r="C65" s="4" t="inlineStr">
        <is>
          <t>G</t>
        </is>
      </c>
      <c r="D65" s="4" t="n">
        <v>3</v>
      </c>
      <c r="E65" s="4" t="n">
        <v>8</v>
      </c>
      <c r="F65" s="4" t="n">
        <v>1</v>
      </c>
      <c r="G65" s="16" t="n">
        <v>266.67</v>
      </c>
      <c r="H65" s="5" t="n"/>
      <c r="I65" s="5">
        <f>IF(H65=0,"",F65-H65)</f>
        <v/>
      </c>
      <c r="J65" s="4" t="n"/>
      <c r="K65" s="5" t="n">
        <v>0</v>
      </c>
      <c r="L65" s="11">
        <f>IF($B$2="-","",IF($B$2="Pauschale",IFERROR(INDEX('Projekt-Budget-Übersicht'!$H:$H,MATCH(A65,'Projekt-Budget-Übersicht'!$A:$A,0)),""),IF($B$2="SV",IFERROR(INDEX('Projekt-Budget-Übersicht'!$H:$H,MATCH(A65,'Projekt-Budget-Übersicht'!$A:$A,0)),""),IF($B$2="CAD",IFERROR(INDEX('Projekt-Budget-Übersicht'!$I:$I,MATCH(A65,'Projekt-Budget-Übersicht'!$A:$A,0)),""),IF($B$2="ADM",IFERROR(INDEX('Projekt-Budget-Übersicht'!$J:$J,MATCH(A65,'Projekt-Budget-Übersicht'!$A:$A,0)),""),"")))))</f>
        <v/>
      </c>
      <c r="M65" s="11">
        <f>IF($B$2="-","",L65*(F65+I65+K65))</f>
        <v/>
      </c>
      <c r="N65" s="11">
        <f>IFERROR(INDEX('Projekt-Budget-Übersicht'!$E:$E,MATCH(A65,'Projekt-Budget-Übersicht'!$A:$A,0)),"")</f>
        <v/>
      </c>
      <c r="O65" s="11" t="inlineStr"/>
      <c r="P65" s="11" t="inlineStr"/>
    </row>
    <row r="66">
      <c r="A66" s="4" t="inlineStr">
        <is>
          <t>6313.05 rh-Construction-LG-EnSol-BSK-BAB-Limespark-Sulzbach</t>
        </is>
      </c>
      <c r="B66" s="4" t="inlineStr">
        <is>
          <t>4103-Erarbeiten Brandschutzkonzeptpläne (CAD)</t>
        </is>
      </c>
      <c r="C66" s="4" t="inlineStr">
        <is>
          <t>G</t>
        </is>
      </c>
      <c r="D66" s="4" t="n">
        <v>6</v>
      </c>
      <c r="E66" s="4" t="n">
        <v>7.75</v>
      </c>
      <c r="F66" s="4" t="n">
        <v>0.5</v>
      </c>
      <c r="G66" s="16" t="n">
        <v>129.17</v>
      </c>
      <c r="H66" s="5" t="n"/>
      <c r="I66" s="5">
        <f>IF(H66=0,"",F66-H66)</f>
        <v/>
      </c>
      <c r="J66" s="4" t="n"/>
      <c r="K66" s="5" t="n">
        <v>0</v>
      </c>
      <c r="L66" s="11">
        <f>IF($B$2="-","",IF($B$2="Pauschale",IFERROR(INDEX('Projekt-Budget-Übersicht'!$H:$H,MATCH(A66,'Projekt-Budget-Übersicht'!$A:$A,0)),""),IF($B$2="SV",IFERROR(INDEX('Projekt-Budget-Übersicht'!$H:$H,MATCH(A66,'Projekt-Budget-Übersicht'!$A:$A,0)),""),IF($B$2="CAD",IFERROR(INDEX('Projekt-Budget-Übersicht'!$I:$I,MATCH(A66,'Projekt-Budget-Übersicht'!$A:$A,0)),""),IF($B$2="ADM",IFERROR(INDEX('Projekt-Budget-Übersicht'!$J:$J,MATCH(A66,'Projekt-Budget-Übersicht'!$A:$A,0)),""),"")))))</f>
        <v/>
      </c>
      <c r="M66" s="11">
        <f>IF($B$2="-","",L66*(F66+I66+K66))</f>
        <v/>
      </c>
      <c r="N66" s="11">
        <f>IFERROR(INDEX('Projekt-Budget-Übersicht'!$E:$E,MATCH(A66,'Projekt-Budget-Übersicht'!$A:$A,0)),"")</f>
        <v/>
      </c>
      <c r="O66" s="11" t="inlineStr"/>
      <c r="P66" s="11" t="inlineStr"/>
    </row>
    <row r="67">
      <c r="A67" s="4" t="inlineStr">
        <is>
          <t>6704 BSK-BTB+FWP-FuR-ZsG-Lörrach</t>
        </is>
      </c>
      <c r="B67" s="4" t="inlineStr">
        <is>
          <t>(p) Pos. 1 Feuerwehrpläne LP 9</t>
        </is>
      </c>
      <c r="C67" s="4" t="inlineStr">
        <is>
          <t>G</t>
        </is>
      </c>
      <c r="D67" s="4" t="n">
        <v>154</v>
      </c>
      <c r="E67" s="4" t="n">
        <v>96.25</v>
      </c>
      <c r="F67" s="4" t="n">
        <v>0.25</v>
      </c>
      <c r="G67" s="17" t="n">
        <v>62.5</v>
      </c>
      <c r="H67" s="5" t="n"/>
      <c r="I67" s="5">
        <f>IF(H67=0,"",F67-H67)</f>
        <v/>
      </c>
      <c r="J67" s="4" t="n"/>
      <c r="K67" s="5">
        <f>IF('R. Wagen CAD'!J42="O. Haag BS-CAD",'R. Wagen CAD'!I42,0)</f>
        <v/>
      </c>
      <c r="L67" s="11">
        <f>IF($B$2="-","",IF($B$2="Pauschale",IFERROR(INDEX('Projekt-Budget-Übersicht'!$H:$H,MATCH(A67,'Projekt-Budget-Übersicht'!$A:$A,0)),""),IF($B$2="SV",IFERROR(INDEX('Projekt-Budget-Übersicht'!$H:$H,MATCH(A67,'Projekt-Budget-Übersicht'!$A:$A,0)),""),IF($B$2="CAD",IFERROR(INDEX('Projekt-Budget-Übersicht'!$I:$I,MATCH(A67,'Projekt-Budget-Übersicht'!$A:$A,0)),""),IF($B$2="ADM",IFERROR(INDEX('Projekt-Budget-Übersicht'!$J:$J,MATCH(A67,'Projekt-Budget-Übersicht'!$A:$A,0)),""),"")))))</f>
        <v/>
      </c>
      <c r="M67" s="11">
        <f>IF($B$2="-","",L67*(F67+I67+K67))</f>
        <v/>
      </c>
      <c r="N67" s="11">
        <f>IFERROR(INDEX('Projekt-Budget-Übersicht'!$E:$E,MATCH(A67,'Projekt-Budget-Übersicht'!$A:$A,0)),"")</f>
        <v/>
      </c>
      <c r="O67" s="11" t="inlineStr"/>
      <c r="P67" s="11" t="inlineStr"/>
    </row>
    <row r="68">
      <c r="A68" s="4" t="inlineStr">
        <is>
          <t>6952.01 WindBauer-BSK-WEA-Bartow-Pfalz</t>
        </is>
      </c>
      <c r="B68" s="4" t="inlineStr">
        <is>
          <t>CAD</t>
        </is>
      </c>
      <c r="C68" s="4" t="inlineStr">
        <is>
          <t>G</t>
        </is>
      </c>
      <c r="D68" s="4" t="n">
        <v>5</v>
      </c>
      <c r="E68" s="4" t="n">
        <v>5</v>
      </c>
      <c r="F68" s="4" t="n">
        <v>5</v>
      </c>
      <c r="G68" s="14" t="n">
        <v>100</v>
      </c>
      <c r="H68" s="5" t="n"/>
      <c r="I68" s="5">
        <f>IF(H68=0,"",F68-H68)</f>
        <v/>
      </c>
      <c r="J68" s="4" t="n"/>
      <c r="K68" s="5" t="n">
        <v>0</v>
      </c>
      <c r="L68" s="11">
        <f>IF($B$2="-","",IF($B$2="Pauschale",IFERROR(INDEX('Projekt-Budget-Übersicht'!$H:$H,MATCH(A68,'Projekt-Budget-Übersicht'!$A:$A,0)),""),IF($B$2="SV",IFERROR(INDEX('Projekt-Budget-Übersicht'!$H:$H,MATCH(A68,'Projekt-Budget-Übersicht'!$A:$A,0)),""),IF($B$2="CAD",IFERROR(INDEX('Projekt-Budget-Übersicht'!$I:$I,MATCH(A68,'Projekt-Budget-Übersicht'!$A:$A,0)),""),IF($B$2="ADM",IFERROR(INDEX('Projekt-Budget-Übersicht'!$J:$J,MATCH(A68,'Projekt-Budget-Übersicht'!$A:$A,0)),""),"")))))</f>
        <v/>
      </c>
      <c r="M68" s="11">
        <f>IF($B$2="-","",L68*(F68+I68+K68))</f>
        <v/>
      </c>
      <c r="N68" s="11">
        <f>IFERROR(INDEX('Projekt-Budget-Übersicht'!$E:$E,MATCH(A68,'Projekt-Budget-Übersicht'!$A:$A,0)),"")</f>
        <v/>
      </c>
      <c r="O68" s="11" t="inlineStr"/>
      <c r="P68" s="11" t="inlineStr"/>
    </row>
    <row r="69">
      <c r="A69" s="4" t="inlineStr">
        <is>
          <t>7029 BSK-Campingplatz-Bärensee-Bruchköbel</t>
        </is>
      </c>
      <c r="B69" s="4" t="inlineStr">
        <is>
          <t>4103-Erarbeiten Brandschutzkonzeptpläne….</t>
        </is>
      </c>
      <c r="C69" s="4" t="inlineStr">
        <is>
          <t>G</t>
        </is>
      </c>
      <c r="D69" s="4" t="n">
        <v>16</v>
      </c>
      <c r="E69" s="4" t="n">
        <v>16.25</v>
      </c>
      <c r="F69" s="4" t="n">
        <v>6.25</v>
      </c>
      <c r="G69" s="16" t="n">
        <v>101.56</v>
      </c>
      <c r="H69" s="5" t="n"/>
      <c r="I69" s="5">
        <f>IF(H69=0,"",F69-H69)</f>
        <v/>
      </c>
      <c r="J69" s="4" t="n"/>
      <c r="K69" s="5" t="n">
        <v>0</v>
      </c>
      <c r="L69" s="11">
        <f>IF($B$2="-","",IF($B$2="Pauschale",IFERROR(INDEX('Projekt-Budget-Übersicht'!$H:$H,MATCH(A69,'Projekt-Budget-Übersicht'!$A:$A,0)),""),IF($B$2="SV",IFERROR(INDEX('Projekt-Budget-Übersicht'!$H:$H,MATCH(A69,'Projekt-Budget-Übersicht'!$A:$A,0)),""),IF($B$2="CAD",IFERROR(INDEX('Projekt-Budget-Übersicht'!$I:$I,MATCH(A69,'Projekt-Budget-Übersicht'!$A:$A,0)),""),IF($B$2="ADM",IFERROR(INDEX('Projekt-Budget-Übersicht'!$J:$J,MATCH(A69,'Projekt-Budget-Übersicht'!$A:$A,0)),""),"")))))</f>
        <v/>
      </c>
      <c r="M69" s="11">
        <f>IF($B$2="-","",L69*(F69+I69+K69))</f>
        <v/>
      </c>
      <c r="N69" s="11">
        <f>IFERROR(INDEX('Projekt-Budget-Übersicht'!$E:$E,MATCH(A69,'Projekt-Budget-Übersicht'!$A:$A,0)),"")</f>
        <v/>
      </c>
      <c r="O69" s="11" t="inlineStr"/>
      <c r="P69" s="11" t="inlineStr"/>
    </row>
    <row r="70">
      <c r="A70" s="4" t="inlineStr">
        <is>
          <t>7051.05 Schmees-RV-BSK-Funkturm-Dortmunder-Straße-Unna</t>
        </is>
      </c>
      <c r="B70" s="4" t="inlineStr">
        <is>
          <t>4103-Erarbeiten Brandschutzkonzeptpläne….</t>
        </is>
      </c>
      <c r="C70" s="4" t="inlineStr">
        <is>
          <t>G</t>
        </is>
      </c>
      <c r="D70" s="4" t="n">
        <v>4</v>
      </c>
      <c r="E70" s="4" t="n">
        <v>4</v>
      </c>
      <c r="F70" s="4" t="n">
        <v>2</v>
      </c>
      <c r="G70" s="14" t="n">
        <v>100</v>
      </c>
      <c r="H70" s="5" t="n"/>
      <c r="I70" s="5">
        <f>IF(H70=0,"",F70-H70)</f>
        <v/>
      </c>
      <c r="J70" s="4" t="n"/>
      <c r="K70" s="5" t="n">
        <v>0</v>
      </c>
      <c r="L70" s="11">
        <f>IF($B$2="-","",IF($B$2="Pauschale",IFERROR(INDEX('Projekt-Budget-Übersicht'!$H:$H,MATCH(A70,'Projekt-Budget-Übersicht'!$A:$A,0)),""),IF($B$2="SV",IFERROR(INDEX('Projekt-Budget-Übersicht'!$H:$H,MATCH(A70,'Projekt-Budget-Übersicht'!$A:$A,0)),""),IF($B$2="CAD",IFERROR(INDEX('Projekt-Budget-Übersicht'!$I:$I,MATCH(A70,'Projekt-Budget-Übersicht'!$A:$A,0)),""),IF($B$2="ADM",IFERROR(INDEX('Projekt-Budget-Übersicht'!$J:$J,MATCH(A70,'Projekt-Budget-Übersicht'!$A:$A,0)),""),"")))))</f>
        <v/>
      </c>
      <c r="M70" s="11">
        <f>IF($B$2="-","",L70*(F70+I70+K70))</f>
        <v/>
      </c>
      <c r="N70" s="11">
        <f>IFERROR(INDEX('Projekt-Budget-Übersicht'!$E:$E,MATCH(A70,'Projekt-Budget-Übersicht'!$A:$A,0)),"")</f>
        <v/>
      </c>
      <c r="O70" s="11" t="inlineStr"/>
      <c r="P70" s="11" t="inlineStr"/>
    </row>
    <row r="71">
      <c r="A71" s="4" t="inlineStr">
        <is>
          <t>7099 GemObersulm-AHO-Grundschule-Affaltrach-Obersulm</t>
        </is>
      </c>
      <c r="B71" s="4" t="inlineStr">
        <is>
          <t>(p) LP 3 RL (SV)</t>
        </is>
      </c>
      <c r="C71" s="4" t="inlineStr">
        <is>
          <t>G</t>
        </is>
      </c>
      <c r="D71" s="4" t="n">
        <v>46</v>
      </c>
      <c r="E71" s="4" t="n">
        <v>2.5</v>
      </c>
      <c r="F71" s="4" t="n">
        <v>2.5</v>
      </c>
      <c r="G71" s="17" t="n">
        <v>5.43</v>
      </c>
      <c r="H71" s="5" t="n"/>
      <c r="I71" s="5">
        <f>IF(H71=0,"",F71-H71)</f>
        <v/>
      </c>
      <c r="J71" s="4" t="n"/>
      <c r="K71" s="5">
        <f>IF('J. Dorn'!J71="O. Haag BS-CAD",'J. Dorn'!I71,0)</f>
        <v/>
      </c>
      <c r="L71" s="11">
        <f>IF($B$2="-","",IF($B$2="Pauschale",IFERROR(INDEX('Projekt-Budget-Übersicht'!$H:$H,MATCH(A71,'Projekt-Budget-Übersicht'!$A:$A,0)),""),IF($B$2="SV",IFERROR(INDEX('Projekt-Budget-Übersicht'!$H:$H,MATCH(A71,'Projekt-Budget-Übersicht'!$A:$A,0)),""),IF($B$2="CAD",IFERROR(INDEX('Projekt-Budget-Übersicht'!$I:$I,MATCH(A71,'Projekt-Budget-Übersicht'!$A:$A,0)),""),IF($B$2="ADM",IFERROR(INDEX('Projekt-Budget-Übersicht'!$J:$J,MATCH(A71,'Projekt-Budget-Übersicht'!$A:$A,0)),""),"")))))</f>
        <v/>
      </c>
      <c r="M71" s="11">
        <f>IF($B$2="-","",L71*(F71+I71+K71))</f>
        <v/>
      </c>
      <c r="N71" s="11">
        <f>IFERROR(INDEX('Projekt-Budget-Übersicht'!$E:$E,MATCH(A71,'Projekt-Budget-Übersicht'!$A:$A,0)),"")</f>
        <v/>
      </c>
      <c r="O71" s="11" t="inlineStr"/>
      <c r="P71" s="11" t="inlineStr"/>
    </row>
    <row r="72">
      <c r="A72" s="4" t="inlineStr">
        <is>
          <t>7169 FRP-Pollhornbogen-8-Hamburg-svt</t>
        </is>
      </c>
      <c r="B72" s="4" t="inlineStr">
        <is>
          <t>9201-Erstellen od. Prüfen Flucht- und Rettungspläne….</t>
        </is>
      </c>
      <c r="C72" s="4" t="inlineStr">
        <is>
          <t>G</t>
        </is>
      </c>
      <c r="D72" s="4" t="n">
        <v>8</v>
      </c>
      <c r="E72" s="4" t="n">
        <v>4.5</v>
      </c>
      <c r="F72" s="4" t="n">
        <v>0.25</v>
      </c>
      <c r="G72" s="17" t="n">
        <v>56.25</v>
      </c>
      <c r="H72" s="5" t="n"/>
      <c r="I72" s="5">
        <f>IF(H72=0,"",F72-H72)</f>
        <v/>
      </c>
      <c r="J72" s="4" t="n"/>
      <c r="K72" s="5">
        <f>IF('R. Wagen CAD'!J44="O. Haag BS-CAD",'R. Wagen CAD'!I44,0)</f>
        <v/>
      </c>
      <c r="L72" s="11">
        <f>IF($B$2="-","",IF($B$2="Pauschale",IFERROR(INDEX('Projekt-Budget-Übersicht'!$H:$H,MATCH(A72,'Projekt-Budget-Übersicht'!$A:$A,0)),""),IF($B$2="SV",IFERROR(INDEX('Projekt-Budget-Übersicht'!$H:$H,MATCH(A72,'Projekt-Budget-Übersicht'!$A:$A,0)),""),IF($B$2="CAD",IFERROR(INDEX('Projekt-Budget-Übersicht'!$I:$I,MATCH(A72,'Projekt-Budget-Übersicht'!$A:$A,0)),""),IF($B$2="ADM",IFERROR(INDEX('Projekt-Budget-Übersicht'!$J:$J,MATCH(A72,'Projekt-Budget-Übersicht'!$A:$A,0)),""),"")))))</f>
        <v/>
      </c>
      <c r="M72" s="11">
        <f>IF($B$2="-","",L72*(F72+I72+K72))</f>
        <v/>
      </c>
      <c r="N72" s="11">
        <f>IFERROR(INDEX('Projekt-Budget-Übersicht'!$E:$E,MATCH(A72,'Projekt-Budget-Übersicht'!$A:$A,0)),"")</f>
        <v/>
      </c>
      <c r="O72" s="11" t="inlineStr"/>
      <c r="P72" s="11" t="inlineStr"/>
    </row>
    <row r="73">
      <c r="A73" s="4" t="inlineStr">
        <is>
          <t>7247 Hoepfner-BTB-NL-Grünwinkel</t>
        </is>
      </c>
      <c r="B73" s="4" t="inlineStr">
        <is>
          <t>(aN) Pos. 1 0500-Digitalisieren von CAD-Plänen</t>
        </is>
      </c>
      <c r="C73" s="4" t="inlineStr">
        <is>
          <t>G</t>
        </is>
      </c>
      <c r="D73" s="4" t="n">
        <v>0</v>
      </c>
      <c r="E73" s="4" t="n">
        <v>7.75</v>
      </c>
      <c r="F73" s="4" t="n">
        <v>7.75</v>
      </c>
      <c r="G73" s="4" t="n">
        <v>0</v>
      </c>
      <c r="H73" s="5" t="n"/>
      <c r="I73" s="5">
        <f>IF(H73=0,"",F73-H73)</f>
        <v/>
      </c>
      <c r="J73" s="4" t="n"/>
      <c r="K73" s="5" t="n">
        <v>0</v>
      </c>
      <c r="L73" s="11">
        <f>IF($B$2="-","",IF($B$2="Pauschale",IFERROR(INDEX('Projekt-Budget-Übersicht'!$H:$H,MATCH(A73,'Projekt-Budget-Übersicht'!$A:$A,0)),""),IF($B$2="SV",IFERROR(INDEX('Projekt-Budget-Übersicht'!$H:$H,MATCH(A73,'Projekt-Budget-Übersicht'!$A:$A,0)),""),IF($B$2="CAD",IFERROR(INDEX('Projekt-Budget-Übersicht'!$I:$I,MATCH(A73,'Projekt-Budget-Übersicht'!$A:$A,0)),""),IF($B$2="ADM",IFERROR(INDEX('Projekt-Budget-Übersicht'!$J:$J,MATCH(A73,'Projekt-Budget-Übersicht'!$A:$A,0)),""),"")))))</f>
        <v/>
      </c>
      <c r="M73" s="11">
        <f>IF($B$2="-","",L73*(F73+I73+K73))</f>
        <v/>
      </c>
      <c r="N73" s="11">
        <f>IFERROR(INDEX('Projekt-Budget-Übersicht'!$E:$E,MATCH(A73,'Projekt-Budget-Übersicht'!$A:$A,0)),"")</f>
        <v/>
      </c>
      <c r="O73" s="11" t="inlineStr"/>
      <c r="P73" s="11" t="inlineStr"/>
    </row>
    <row r="74">
      <c r="A74" s="4" t="inlineStr">
        <is>
          <t>7249 Klebl-AHO-Geb8259-Baumholder</t>
        </is>
      </c>
      <c r="B74" s="4" t="inlineStr">
        <is>
          <t>5000-Ausführungsplanung</t>
        </is>
      </c>
      <c r="C74" s="4" t="inlineStr">
        <is>
          <t>G</t>
        </is>
      </c>
      <c r="D74" s="4" t="n">
        <v>17</v>
      </c>
      <c r="E74" s="4" t="n">
        <v>12.75</v>
      </c>
      <c r="F74" s="4" t="n">
        <v>0.25</v>
      </c>
      <c r="G74" s="17" t="n">
        <v>75</v>
      </c>
      <c r="H74" s="5" t="n"/>
      <c r="I74" s="5">
        <f>IF(H74=0,"",F74-H74)</f>
        <v/>
      </c>
      <c r="J74" s="4" t="n"/>
      <c r="K74" s="5" t="n">
        <v>0</v>
      </c>
      <c r="L74" s="11">
        <f>IF($B$2="-","",IF($B$2="Pauschale",IFERROR(INDEX('Projekt-Budget-Übersicht'!$H:$H,MATCH(A74,'Projekt-Budget-Übersicht'!$A:$A,0)),""),IF($B$2="SV",IFERROR(INDEX('Projekt-Budget-Übersicht'!$H:$H,MATCH(A74,'Projekt-Budget-Übersicht'!$A:$A,0)),""),IF($B$2="CAD",IFERROR(INDEX('Projekt-Budget-Übersicht'!$I:$I,MATCH(A74,'Projekt-Budget-Übersicht'!$A:$A,0)),""),IF($B$2="ADM",IFERROR(INDEX('Projekt-Budget-Übersicht'!$J:$J,MATCH(A74,'Projekt-Budget-Übersicht'!$A:$A,0)),""),"")))))</f>
        <v/>
      </c>
      <c r="M74" s="11">
        <f>IF($B$2="-","",L74*(F74+I74+K74))</f>
        <v/>
      </c>
      <c r="N74" s="11">
        <f>IFERROR(INDEX('Projekt-Budget-Übersicht'!$E:$E,MATCH(A74,'Projekt-Budget-Übersicht'!$A:$A,0)),"")</f>
        <v/>
      </c>
      <c r="O74" s="11" t="inlineStr"/>
      <c r="P74" s="11" t="inlineStr"/>
    </row>
    <row r="75">
      <c r="A75" s="4" t="inlineStr">
        <is>
          <t>7278 WPMarke-FWP-WP-Korbach</t>
        </is>
      </c>
      <c r="B75" s="4" t="inlineStr">
        <is>
          <t>(p) Pos. 1 Feuerwehrpläne (CAD)</t>
        </is>
      </c>
      <c r="C75" s="4" t="inlineStr">
        <is>
          <t>G</t>
        </is>
      </c>
      <c r="D75" s="4" t="n">
        <v>20</v>
      </c>
      <c r="E75" s="4" t="n">
        <v>12.25</v>
      </c>
      <c r="F75" s="4" t="n">
        <v>0.5</v>
      </c>
      <c r="G75" s="17" t="n">
        <v>61.25</v>
      </c>
      <c r="H75" s="5" t="n"/>
      <c r="I75" s="5">
        <f>IF(H75=0,"",F75-H75)</f>
        <v/>
      </c>
      <c r="J75" s="4" t="n"/>
      <c r="K75" s="5" t="n">
        <v>0</v>
      </c>
      <c r="L75" s="11">
        <f>IF($B$2="-","",IF($B$2="Pauschale",IFERROR(INDEX('Projekt-Budget-Übersicht'!$H:$H,MATCH(A75,'Projekt-Budget-Übersicht'!$A:$A,0)),""),IF($B$2="SV",IFERROR(INDEX('Projekt-Budget-Übersicht'!$H:$H,MATCH(A75,'Projekt-Budget-Übersicht'!$A:$A,0)),""),IF($B$2="CAD",IFERROR(INDEX('Projekt-Budget-Übersicht'!$I:$I,MATCH(A75,'Projekt-Budget-Übersicht'!$A:$A,0)),""),IF($B$2="ADM",IFERROR(INDEX('Projekt-Budget-Übersicht'!$J:$J,MATCH(A75,'Projekt-Budget-Übersicht'!$A:$A,0)),""),"")))))</f>
        <v/>
      </c>
      <c r="M75" s="11">
        <f>IF($B$2="-","",L75*(F75+I75+K75))</f>
        <v/>
      </c>
      <c r="N75" s="11">
        <f>IFERROR(INDEX('Projekt-Budget-Übersicht'!$E:$E,MATCH(A75,'Projekt-Budget-Übersicht'!$A:$A,0)),"")</f>
        <v/>
      </c>
      <c r="O75" s="11" t="inlineStr"/>
      <c r="P75" s="11" t="inlineStr"/>
    </row>
    <row r="76">
      <c r="A76" s="4" t="inlineStr">
        <is>
          <t>7330 LBB-IO-AHO-Truppenübungsplatz-NB-Schießhaus-Smith-Barracks-Baumholder</t>
        </is>
      </c>
      <c r="B76" s="4" t="inlineStr">
        <is>
          <t>Pos. 2.83 GL (SV) US-Recht</t>
        </is>
      </c>
      <c r="C76" s="4" t="inlineStr">
        <is>
          <t>G</t>
        </is>
      </c>
      <c r="D76" s="4" t="n">
        <v>7.5</v>
      </c>
      <c r="E76" s="4" t="n">
        <v>0.5</v>
      </c>
      <c r="F76" s="4" t="n">
        <v>0.5</v>
      </c>
      <c r="G76" s="17" t="n">
        <v>6.67</v>
      </c>
      <c r="H76" s="5" t="n"/>
      <c r="I76" s="5">
        <f>IF(H76=0,"",F76-H76)</f>
        <v/>
      </c>
      <c r="J76" s="4" t="n"/>
      <c r="K76" s="5" t="n">
        <v>0</v>
      </c>
      <c r="L76" s="11">
        <f>IF($B$2="-","",IF($B$2="Pauschale",IFERROR(INDEX('Projekt-Budget-Übersicht'!$H:$H,MATCH(A76,'Projekt-Budget-Übersicht'!$A:$A,0)),""),IF($B$2="SV",IFERROR(INDEX('Projekt-Budget-Übersicht'!$H:$H,MATCH(A76,'Projekt-Budget-Übersicht'!$A:$A,0)),""),IF($B$2="CAD",IFERROR(INDEX('Projekt-Budget-Übersicht'!$I:$I,MATCH(A76,'Projekt-Budget-Übersicht'!$A:$A,0)),""),IF($B$2="ADM",IFERROR(INDEX('Projekt-Budget-Übersicht'!$J:$J,MATCH(A76,'Projekt-Budget-Übersicht'!$A:$A,0)),""),"")))))</f>
        <v/>
      </c>
      <c r="M76" s="11">
        <f>IF($B$2="-","",L76*(F76+I76+K76))</f>
        <v/>
      </c>
      <c r="N76" s="11">
        <f>IFERROR(INDEX('Projekt-Budget-Übersicht'!$E:$E,MATCH(A76,'Projekt-Budget-Übersicht'!$A:$A,0)),"")</f>
        <v/>
      </c>
      <c r="O76" s="11" t="inlineStr"/>
      <c r="P76" s="11" t="inlineStr"/>
    </row>
    <row r="77">
      <c r="A77" s="4" t="inlineStr">
        <is>
          <t>7370.02 LAER-formica-BSK-Garagenpark-Willi-Melchers-Straße-Lünen-NB-Hallenreihen</t>
        </is>
      </c>
      <c r="B77" s="4" t="inlineStr">
        <is>
          <t>4103-Erarbeiten Brandschutzkonzeptpläne….</t>
        </is>
      </c>
      <c r="C77" s="4" t="inlineStr">
        <is>
          <t>G</t>
        </is>
      </c>
      <c r="D77" s="4" t="n">
        <v>6</v>
      </c>
      <c r="E77" s="4" t="n">
        <v>5</v>
      </c>
      <c r="F77" s="4" t="n">
        <v>1</v>
      </c>
      <c r="G77" s="17" t="n">
        <v>83.33</v>
      </c>
      <c r="H77" s="5" t="n"/>
      <c r="I77" s="5">
        <f>IF(H77=0,"",F77-H77)</f>
        <v/>
      </c>
      <c r="J77" s="4" t="n"/>
      <c r="K77" s="5" t="n">
        <v>0</v>
      </c>
      <c r="L77" s="11">
        <f>IF($B$2="-","",IF($B$2="Pauschale",IFERROR(INDEX('Projekt-Budget-Übersicht'!$H:$H,MATCH(A77,'Projekt-Budget-Übersicht'!$A:$A,0)),""),IF($B$2="SV",IFERROR(INDEX('Projekt-Budget-Übersicht'!$H:$H,MATCH(A77,'Projekt-Budget-Übersicht'!$A:$A,0)),""),IF($B$2="CAD",IFERROR(INDEX('Projekt-Budget-Übersicht'!$I:$I,MATCH(A77,'Projekt-Budget-Übersicht'!$A:$A,0)),""),IF($B$2="ADM",IFERROR(INDEX('Projekt-Budget-Übersicht'!$J:$J,MATCH(A77,'Projekt-Budget-Übersicht'!$A:$A,0)),""),"")))))</f>
        <v/>
      </c>
      <c r="M77" s="11">
        <f>IF($B$2="-","",L77*(F77+I77+K77))</f>
        <v/>
      </c>
      <c r="N77" s="11">
        <f>IFERROR(INDEX('Projekt-Budget-Übersicht'!$E:$E,MATCH(A77,'Projekt-Budget-Übersicht'!$A:$A,0)),"")</f>
        <v/>
      </c>
      <c r="O77" s="11" t="inlineStr"/>
      <c r="P77" s="11" t="inlineStr"/>
    </row>
    <row r="78">
      <c r="A78" s="4" t="inlineStr">
        <is>
          <t>7380.02 Qualitas-BSK-WEA-Geroldshausen-Uengershausen</t>
        </is>
      </c>
      <c r="B78" s="4" t="inlineStr">
        <is>
          <t>CAD</t>
        </is>
      </c>
      <c r="C78" s="4" t="inlineStr">
        <is>
          <t>G</t>
        </is>
      </c>
      <c r="D78" s="4" t="n">
        <v>800</v>
      </c>
      <c r="E78" s="4" t="n">
        <v>5.75</v>
      </c>
      <c r="F78" s="4" t="n">
        <v>5.75</v>
      </c>
      <c r="G78" s="17" t="n">
        <v>0.72</v>
      </c>
      <c r="H78" s="5" t="n"/>
      <c r="I78" s="5">
        <f>IF(H78=0,"",F78-H78)</f>
        <v/>
      </c>
      <c r="J78" s="4" t="n"/>
      <c r="K78" s="5" t="n">
        <v>0</v>
      </c>
      <c r="L78" s="11">
        <f>IF($B$2="-","",IF($B$2="Pauschale",IFERROR(INDEX('Projekt-Budget-Übersicht'!$H:$H,MATCH(A78,'Projekt-Budget-Übersicht'!$A:$A,0)),""),IF($B$2="SV",IFERROR(INDEX('Projekt-Budget-Übersicht'!$H:$H,MATCH(A78,'Projekt-Budget-Übersicht'!$A:$A,0)),""),IF($B$2="CAD",IFERROR(INDEX('Projekt-Budget-Übersicht'!$I:$I,MATCH(A78,'Projekt-Budget-Übersicht'!$A:$A,0)),""),IF($B$2="ADM",IFERROR(INDEX('Projekt-Budget-Übersicht'!$J:$J,MATCH(A78,'Projekt-Budget-Übersicht'!$A:$A,0)),""),"")))))</f>
        <v/>
      </c>
      <c r="M78" s="11">
        <f>IF($B$2="-","",L78*(F78+I78+K78))</f>
        <v/>
      </c>
      <c r="N78" s="11">
        <f>IFERROR(INDEX('Projekt-Budget-Übersicht'!$E:$E,MATCH(A78,'Projekt-Budget-Übersicht'!$A:$A,0)),"")</f>
        <v/>
      </c>
      <c r="O78" s="11" t="inlineStr"/>
      <c r="P78" s="11" t="inlineStr"/>
    </row>
    <row r="79">
      <c r="A79" s="4" t="inlineStr">
        <is>
          <t>7410 Eurowind-RV</t>
        </is>
      </c>
      <c r="B79" s="4" t="inlineStr">
        <is>
          <t>CAD</t>
        </is>
      </c>
      <c r="C79" s="4" t="inlineStr">
        <is>
          <t>G</t>
        </is>
      </c>
      <c r="D79" s="4" t="n">
        <v>0</v>
      </c>
      <c r="E79" s="4" t="n">
        <v>0</v>
      </c>
      <c r="F79" s="4" t="n">
        <v>4.25</v>
      </c>
      <c r="G79" s="4" t="n">
        <v>0</v>
      </c>
      <c r="H79" s="5" t="n"/>
      <c r="I79" s="5">
        <f>IF(H79=0,"",F79-H79)</f>
        <v/>
      </c>
      <c r="J79" s="4" t="n"/>
      <c r="K79" s="5" t="n">
        <v>0</v>
      </c>
      <c r="L79" s="11">
        <f>IF($B$2="-","",IF($B$2="Pauschale",IFERROR(INDEX('Projekt-Budget-Übersicht'!$H:$H,MATCH(A79,'Projekt-Budget-Übersicht'!$A:$A,0)),""),IF($B$2="SV",IFERROR(INDEX('Projekt-Budget-Übersicht'!$H:$H,MATCH(A79,'Projekt-Budget-Übersicht'!$A:$A,0)),""),IF($B$2="CAD",IFERROR(INDEX('Projekt-Budget-Übersicht'!$I:$I,MATCH(A79,'Projekt-Budget-Übersicht'!$A:$A,0)),""),IF($B$2="ADM",IFERROR(INDEX('Projekt-Budget-Übersicht'!$J:$J,MATCH(A79,'Projekt-Budget-Übersicht'!$A:$A,0)),""),"")))))</f>
        <v/>
      </c>
      <c r="M79" s="11">
        <f>IF($B$2="-","",L79*(F79+I79+K79))</f>
        <v/>
      </c>
      <c r="N79" s="11">
        <f>IFERROR(INDEX('Projekt-Budget-Übersicht'!$E:$E,MATCH(A79,'Projekt-Budget-Übersicht'!$A:$A,0)),"")</f>
        <v/>
      </c>
      <c r="O79" s="11" t="inlineStr"/>
      <c r="P79" s="11" t="inlineStr"/>
    </row>
    <row r="80">
      <c r="A80" s="4" t="inlineStr">
        <is>
          <t>7444 Energieprojekte-DK-BSK-WEA-Schußbachwald</t>
        </is>
      </c>
      <c r="B80" s="4" t="inlineStr">
        <is>
          <t>CAD</t>
        </is>
      </c>
      <c r="C80" s="4" t="inlineStr">
        <is>
          <t>G</t>
        </is>
      </c>
      <c r="D80" s="4" t="n">
        <v>5</v>
      </c>
      <c r="E80" s="4" t="n">
        <v>4</v>
      </c>
      <c r="F80" s="4" t="n">
        <v>4</v>
      </c>
      <c r="G80" s="17" t="n">
        <v>80</v>
      </c>
      <c r="H80" s="5" t="n"/>
      <c r="I80" s="5">
        <f>IF(H80=0,"",F80-H80)</f>
        <v/>
      </c>
      <c r="J80" s="4" t="n"/>
      <c r="K80" s="5" t="n">
        <v>0</v>
      </c>
      <c r="L80" s="11">
        <f>IF($B$2="-","",IF($B$2="Pauschale",IFERROR(INDEX('Projekt-Budget-Übersicht'!$H:$H,MATCH(A80,'Projekt-Budget-Übersicht'!$A:$A,0)),""),IF($B$2="SV",IFERROR(INDEX('Projekt-Budget-Übersicht'!$H:$H,MATCH(A80,'Projekt-Budget-Übersicht'!$A:$A,0)),""),IF($B$2="CAD",IFERROR(INDEX('Projekt-Budget-Übersicht'!$I:$I,MATCH(A80,'Projekt-Budget-Übersicht'!$A:$A,0)),""),IF($B$2="ADM",IFERROR(INDEX('Projekt-Budget-Übersicht'!$J:$J,MATCH(A80,'Projekt-Budget-Übersicht'!$A:$A,0)),""),"")))))</f>
        <v/>
      </c>
      <c r="M80" s="11">
        <f>IF($B$2="-","",L80*(F80+I80+K80))</f>
        <v/>
      </c>
      <c r="N80" s="11">
        <f>IFERROR(INDEX('Projekt-Budget-Übersicht'!$E:$E,MATCH(A80,'Projekt-Budget-Übersicht'!$A:$A,0)),"")</f>
        <v/>
      </c>
      <c r="O80" s="11" t="inlineStr"/>
      <c r="P80" s="11" t="inlineStr"/>
    </row>
    <row r="81">
      <c r="A81" s="4" t="inlineStr">
        <is>
          <t>7492 HD-FRP-Ausbildungshaus-Römerstr129-131-Heidelberg</t>
        </is>
      </c>
      <c r="B81" s="4" t="inlineStr">
        <is>
          <t>CAD</t>
        </is>
      </c>
      <c r="C81" s="4" t="inlineStr">
        <is>
          <t>G</t>
        </is>
      </c>
      <c r="D81" s="4" t="n">
        <v>35</v>
      </c>
      <c r="E81" s="4" t="n">
        <v>23.75</v>
      </c>
      <c r="F81" s="4" t="n">
        <v>7.5</v>
      </c>
      <c r="G81" s="17" t="n">
        <v>67.86</v>
      </c>
      <c r="H81" s="5" t="n"/>
      <c r="I81" s="5">
        <f>IF(H81=0,"",F81-H81)</f>
        <v/>
      </c>
      <c r="J81" s="4" t="n"/>
      <c r="K81" s="5">
        <f>IF('M. Warner'!J12="O. Haag BS-CAD",'M. Warner'!I12,0)</f>
        <v/>
      </c>
      <c r="L81" s="11">
        <f>IF($B$2="-","",IF($B$2="Pauschale",IFERROR(INDEX('Projekt-Budget-Übersicht'!$H:$H,MATCH(A81,'Projekt-Budget-Übersicht'!$A:$A,0)),""),IF($B$2="SV",IFERROR(INDEX('Projekt-Budget-Übersicht'!$H:$H,MATCH(A81,'Projekt-Budget-Übersicht'!$A:$A,0)),""),IF($B$2="CAD",IFERROR(INDEX('Projekt-Budget-Übersicht'!$I:$I,MATCH(A81,'Projekt-Budget-Übersicht'!$A:$A,0)),""),IF($B$2="ADM",IFERROR(INDEX('Projekt-Budget-Übersicht'!$J:$J,MATCH(A81,'Projekt-Budget-Übersicht'!$A:$A,0)),""),"")))))</f>
        <v/>
      </c>
      <c r="M81" s="11">
        <f>IF($B$2="-","",L81*(F81+I81+K81))</f>
        <v/>
      </c>
      <c r="N81" s="11">
        <f>IFERROR(INDEX('Projekt-Budget-Übersicht'!$E:$E,MATCH(A81,'Projekt-Budget-Übersicht'!$A:$A,0)),"")</f>
        <v/>
      </c>
      <c r="O81" s="11" t="inlineStr"/>
      <c r="P81" s="11" t="inlineStr"/>
    </row>
    <row r="82">
      <c r="A82" s="4" t="inlineStr">
        <is>
          <t>7500 Baupionier-PCP-RV-diverse-Garagenparks</t>
        </is>
      </c>
      <c r="B82" s="4" t="inlineStr">
        <is>
          <t>(p) Pos. 4 FWP</t>
        </is>
      </c>
      <c r="C82" s="4" t="inlineStr">
        <is>
          <t>G</t>
        </is>
      </c>
      <c r="D82" s="4" t="n">
        <v>8</v>
      </c>
      <c r="E82" s="4" t="n">
        <v>6.25</v>
      </c>
      <c r="F82" s="4" t="n">
        <v>0.5</v>
      </c>
      <c r="G82" s="17" t="n">
        <v>78.12</v>
      </c>
      <c r="H82" s="5" t="n"/>
      <c r="I82" s="5">
        <f>IF(H82=0,"",F82-H82)</f>
        <v/>
      </c>
      <c r="J82" s="4" t="n"/>
      <c r="K82" s="5" t="n">
        <v>0</v>
      </c>
      <c r="L82" s="11">
        <f>IF($B$2="-","",IF($B$2="Pauschale",IFERROR(INDEX('Projekt-Budget-Übersicht'!$H:$H,MATCH(A82,'Projekt-Budget-Übersicht'!$A:$A,0)),""),IF($B$2="SV",IFERROR(INDEX('Projekt-Budget-Übersicht'!$H:$H,MATCH(A82,'Projekt-Budget-Übersicht'!$A:$A,0)),""),IF($B$2="CAD",IFERROR(INDEX('Projekt-Budget-Übersicht'!$I:$I,MATCH(A82,'Projekt-Budget-Übersicht'!$A:$A,0)),""),IF($B$2="ADM",IFERROR(INDEX('Projekt-Budget-Übersicht'!$J:$J,MATCH(A82,'Projekt-Budget-Übersicht'!$A:$A,0)),""),"")))))</f>
        <v/>
      </c>
      <c r="M82" s="11">
        <f>IF($B$2="-","",L82*(F82+I82+K82))</f>
        <v/>
      </c>
      <c r="N82" s="11">
        <f>IFERROR(INDEX('Projekt-Budget-Übersicht'!$E:$E,MATCH(A82,'Projekt-Budget-Übersicht'!$A:$A,0)),"")</f>
        <v/>
      </c>
      <c r="O82" s="11" t="inlineStr"/>
      <c r="P82" s="11" t="inlineStr"/>
    </row>
    <row r="83">
      <c r="A83" s="4" t="inlineStr">
        <is>
          <t>7509 PPB-FWP-Grundschule-Patton Barracks-Palo-Alto-Platz-4-6-Heidelberg</t>
        </is>
      </c>
      <c r="B83" s="4" t="inlineStr">
        <is>
          <t>CAD</t>
        </is>
      </c>
      <c r="C83" s="4" t="inlineStr">
        <is>
          <t>G</t>
        </is>
      </c>
      <c r="D83" s="4" t="n">
        <v>58</v>
      </c>
      <c r="E83" s="4" t="n">
        <v>17</v>
      </c>
      <c r="F83" s="4" t="n">
        <v>8.5</v>
      </c>
      <c r="G83" s="17" t="n">
        <v>29.31</v>
      </c>
      <c r="H83" s="5" t="n"/>
      <c r="I83" s="5">
        <f>IF(H83=0,"",F83-H83)</f>
        <v/>
      </c>
      <c r="J83" s="4" t="n"/>
      <c r="K83" s="5">
        <f>IF('M. Warner'!J13="O. Haag BS-CAD",'M. Warner'!I13,0)</f>
        <v/>
      </c>
      <c r="L83" s="11">
        <f>IF($B$2="-","",IF($B$2="Pauschale",IFERROR(INDEX('Projekt-Budget-Übersicht'!$H:$H,MATCH(A83,'Projekt-Budget-Übersicht'!$A:$A,0)),""),IF($B$2="SV",IFERROR(INDEX('Projekt-Budget-Übersicht'!$H:$H,MATCH(A83,'Projekt-Budget-Übersicht'!$A:$A,0)),""),IF($B$2="CAD",IFERROR(INDEX('Projekt-Budget-Übersicht'!$I:$I,MATCH(A83,'Projekt-Budget-Übersicht'!$A:$A,0)),""),IF($B$2="ADM",IFERROR(INDEX('Projekt-Budget-Übersicht'!$J:$J,MATCH(A83,'Projekt-Budget-Übersicht'!$A:$A,0)),""),"")))))</f>
        <v/>
      </c>
      <c r="M83" s="11">
        <f>IF($B$2="-","",L83*(F83+I83+K83))</f>
        <v/>
      </c>
      <c r="N83" s="11">
        <f>IFERROR(INDEX('Projekt-Budget-Übersicht'!$E:$E,MATCH(A83,'Projekt-Budget-Übersicht'!$A:$A,0)),"")</f>
        <v/>
      </c>
      <c r="O83" s="11" t="inlineStr"/>
      <c r="P83" s="11" t="inlineStr"/>
    </row>
    <row r="84">
      <c r="A84" s="3" t="inlineStr"/>
      <c r="B84" s="3" t="inlineStr">
        <is>
          <t>Summe</t>
        </is>
      </c>
      <c r="C84" s="3" t="inlineStr"/>
      <c r="D84" s="3" t="inlineStr"/>
      <c r="E84" s="3" t="inlineStr"/>
      <c r="F84" s="6" t="n">
        <v>104.5</v>
      </c>
      <c r="G84" s="3" t="inlineStr"/>
      <c r="H84" s="3" t="inlineStr"/>
      <c r="I84" s="3" t="inlineStr"/>
      <c r="J84" s="3" t="inlineStr"/>
      <c r="K84" s="3" t="inlineStr"/>
      <c r="L84" s="3" t="n"/>
      <c r="M84" s="3" t="n"/>
      <c r="N84" s="3" t="n"/>
      <c r="O84" s="3" t="n"/>
      <c r="P84" s="3" t="n"/>
    </row>
    <row r="85">
      <c r="A85" s="3" t="inlineStr"/>
      <c r="B85" s="3" t="inlineStr">
        <is>
          <t>Bonusberechtigte Stunden</t>
        </is>
      </c>
      <c r="C85" s="3" t="inlineStr"/>
      <c r="D85" s="3" t="inlineStr"/>
      <c r="E85" s="3" t="inlineStr"/>
      <c r="F85" s="6">
        <f>G85+H85</f>
        <v/>
      </c>
      <c r="G85" s="6" t="n">
        <v>78.75</v>
      </c>
      <c r="H85" s="6">
        <f>SUM(H53,H54,H55,H56,H57,H58,H59,H60,H61,H62,H63,H64,H65,H66,H67,H68,H69,H70,H71,H72,H73,H74,H75,H76,H77,H78,H79,H80,H81,H82,H83)</f>
        <v/>
      </c>
      <c r="I85" s="3" t="inlineStr"/>
      <c r="J85" s="3" t="inlineStr"/>
      <c r="K85" s="3" t="inlineStr"/>
      <c r="L85" s="3" t="inlineStr"/>
      <c r="M85" s="3" t="inlineStr"/>
      <c r="N85" s="3" t="inlineStr"/>
      <c r="O85" s="3" t="inlineStr"/>
      <c r="P85" s="3" t="inlineStr"/>
    </row>
    <row r="86">
      <c r="A86" s="3" t="inlineStr"/>
      <c r="B86" s="3" t="inlineStr">
        <is>
          <t>Bonusberechtigte Stunden Sonderprojekt</t>
        </is>
      </c>
      <c r="C86" s="3" t="inlineStr"/>
      <c r="D86" s="3" t="inlineStr"/>
      <c r="E86" s="3" t="inlineStr"/>
      <c r="F86" s="6">
        <f>G86+H86</f>
        <v/>
      </c>
      <c r="G86" s="6" t="n">
        <v>6</v>
      </c>
      <c r="H86" s="6">
        <f>SUM(H51,H52)</f>
        <v/>
      </c>
      <c r="I86" s="3" t="inlineStr"/>
      <c r="J86" s="3" t="inlineStr"/>
      <c r="K86" s="3" t="inlineStr"/>
      <c r="L86" s="3" t="inlineStr"/>
      <c r="M86" s="3" t="inlineStr"/>
      <c r="N86" s="3" t="inlineStr"/>
      <c r="O86" s="3" t="inlineStr"/>
      <c r="P86" s="3" t="inlineStr"/>
    </row>
    <row r="87">
      <c r="A87" s="3" t="inlineStr"/>
      <c r="B87" s="3" t="inlineStr">
        <is>
          <t>Zugeordnete Stunden von anderen MA</t>
        </is>
      </c>
      <c r="C87" s="3" t="inlineStr"/>
      <c r="D87" s="3" t="inlineStr"/>
      <c r="E87" s="3" t="inlineStr"/>
      <c r="F87" s="6">
        <f>SUM(K51:K83)</f>
        <v/>
      </c>
      <c r="G87" s="3" t="inlineStr"/>
      <c r="H87" s="3" t="inlineStr"/>
      <c r="I87" s="3" t="inlineStr"/>
      <c r="J87" s="3" t="inlineStr"/>
      <c r="K87" s="3" t="inlineStr"/>
      <c r="L87" s="3" t="inlineStr"/>
      <c r="M87" s="3" t="inlineStr"/>
      <c r="N87" s="3" t="inlineStr"/>
      <c r="O87" s="3" t="inlineStr"/>
      <c r="P87" s="3" t="inlineStr"/>
    </row>
    <row r="88">
      <c r="A88" s="18" t="inlineStr"/>
      <c r="B88" s="18" t="inlineStr">
        <is>
          <t>Gesamt Bonus Stunden</t>
        </is>
      </c>
      <c r="C88" s="18" t="inlineStr"/>
      <c r="D88" s="18" t="inlineStr"/>
      <c r="E88" s="18" t="inlineStr"/>
      <c r="F88" s="19">
        <f>F85+F86+F87</f>
        <v/>
      </c>
      <c r="G88" s="18" t="inlineStr"/>
      <c r="H88" s="18" t="inlineStr"/>
      <c r="I88" s="18" t="inlineStr"/>
      <c r="J88" s="18" t="inlineStr"/>
      <c r="K88" s="18" t="inlineStr"/>
      <c r="L88" s="18" t="n"/>
      <c r="M88" s="18" t="n"/>
      <c r="N88" s="18" t="n"/>
      <c r="O88" s="18" t="n"/>
      <c r="P88" s="18" t="n"/>
    </row>
    <row r="90">
      <c r="A90" s="2" t="inlineStr">
        <is>
          <t>--- September 2025 ---</t>
        </is>
      </c>
    </row>
    <row r="91">
      <c r="A91" s="3" t="inlineStr">
        <is>
          <t>Projekt</t>
        </is>
      </c>
      <c r="B91" s="3" t="inlineStr">
        <is>
          <t>Meilenstein</t>
        </is>
      </c>
      <c r="C91" s="3" t="inlineStr">
        <is>
          <t>Typ</t>
        </is>
      </c>
      <c r="D91" s="3" t="inlineStr">
        <is>
          <t>Soll (h)</t>
        </is>
      </c>
      <c r="E91" s="3" t="inlineStr">
        <is>
          <t>Ist (h)</t>
        </is>
      </c>
      <c r="F91" s="3" t="inlineStr">
        <is>
          <t>September 2025 (h)</t>
        </is>
      </c>
      <c r="G91" s="3" t="inlineStr">
        <is>
          <t>%</t>
        </is>
      </c>
      <c r="H91" s="3" t="inlineStr">
        <is>
          <t>Bonus-Anpassung (h)</t>
        </is>
      </c>
      <c r="I91" s="3" t="inlineStr">
        <is>
          <t>Differenz (h)</t>
        </is>
      </c>
      <c r="J91" s="3" t="inlineStr">
        <is>
          <t>Zuordnen an</t>
        </is>
      </c>
      <c r="K91" s="3" t="inlineStr">
        <is>
          <t>Von anderen (h)</t>
        </is>
      </c>
      <c r="L91" s="3" t="inlineStr">
        <is>
          <t>Stundensatz (€/h)</t>
        </is>
      </c>
      <c r="M91" s="3" t="inlineStr">
        <is>
          <t>Umsatz (€)</t>
        </is>
      </c>
      <c r="N91" s="3" t="inlineStr">
        <is>
          <t>Budget Gesamt (€)</t>
        </is>
      </c>
      <c r="O91" s="3" t="inlineStr">
        <is>
          <t>Budget Ist (€)</t>
        </is>
      </c>
      <c r="P91" s="3" t="inlineStr">
        <is>
          <t>Budget Erwirtschaftet (€)</t>
        </is>
      </c>
    </row>
    <row r="92">
      <c r="A92" s="13" t="inlineStr">
        <is>
          <t>0000 Sonderprojekt für Bonus</t>
        </is>
      </c>
      <c r="B92" s="4" t="inlineStr">
        <is>
          <t>Angebote-Ausschreibungen-Kalkulationen (max. 8h/Monat pro MA)</t>
        </is>
      </c>
      <c r="C92" s="4" t="inlineStr">
        <is>
          <t>M</t>
        </is>
      </c>
      <c r="D92" s="4" t="n">
        <v>8</v>
      </c>
      <c r="E92" s="4" t="n">
        <v>7</v>
      </c>
      <c r="F92" s="4" t="n">
        <v>7</v>
      </c>
      <c r="G92" s="17" t="n">
        <v>87.5</v>
      </c>
      <c r="H92" s="5" t="n"/>
      <c r="I92" s="5">
        <f>IF(H92=0,"",F92-H92)</f>
        <v/>
      </c>
      <c r="J92" s="4" t="n"/>
      <c r="K92" s="5">
        <f>IF('A. Kokott'!J85="O. Haag BS-CAD",'A. Kokott'!I85,0)+IF('C. Trapp SV'!J56="O. Haag BS-CAD",'C. Trapp SV'!I56,0)+IF('D. Brucker'!J33="O. Haag BS-CAD",'D. Brucker'!I33,0)+IF('J. Dorn'!J83="O. Haag BS-CAD",'J. Dorn'!I83,0)+IF('S. Schüler'!J93="O. Haag BS-CAD",'S. Schüler'!I93,0)+IF('U. Sutter ADM'!J51="O. Haag BS-CAD",'U. Sutter ADM'!I51,0)</f>
        <v/>
      </c>
      <c r="L92" s="11">
        <f>IF($B$2="-","",IF($B$2="Pauschale",IFERROR(INDEX('Projekt-Budget-Übersicht'!$H:$H,MATCH(A92,'Projekt-Budget-Übersicht'!$A:$A,0)),""),IF($B$2="SV",IFERROR(INDEX('Projekt-Budget-Übersicht'!$H:$H,MATCH(A92,'Projekt-Budget-Übersicht'!$A:$A,0)),""),IF($B$2="CAD",IFERROR(INDEX('Projekt-Budget-Übersicht'!$I:$I,MATCH(A92,'Projekt-Budget-Übersicht'!$A:$A,0)),""),IF($B$2="ADM",IFERROR(INDEX('Projekt-Budget-Übersicht'!$J:$J,MATCH(A92,'Projekt-Budget-Übersicht'!$A:$A,0)),""),"")))))</f>
        <v/>
      </c>
      <c r="M92" s="11">
        <f>IF($B$2="-","",L92*(F92+I92+K92))</f>
        <v/>
      </c>
      <c r="N92" s="11">
        <f>IFERROR(INDEX('Projekt-Budget-Übersicht'!$E:$E,MATCH(A92,'Projekt-Budget-Übersicht'!$A:$A,0)),"")</f>
        <v/>
      </c>
      <c r="O92" s="11" t="inlineStr"/>
      <c r="P92" s="11" t="inlineStr"/>
    </row>
    <row r="93">
      <c r="A93" s="21" t="n"/>
      <c r="B93" s="4" t="inlineStr">
        <is>
          <t>Einarbeitung neuer Mitarbeiter (max. 8h/Monat pro MA)</t>
        </is>
      </c>
      <c r="C93" s="4" t="inlineStr">
        <is>
          <t>M</t>
        </is>
      </c>
      <c r="D93" s="4" t="n">
        <v>8</v>
      </c>
      <c r="E93" s="4" t="n">
        <v>2.75</v>
      </c>
      <c r="F93" s="4" t="n">
        <v>2.75</v>
      </c>
      <c r="G93" s="17" t="n">
        <v>34.38</v>
      </c>
      <c r="H93" s="5" t="n"/>
      <c r="I93" s="5">
        <f>IF(H93=0,"",F93-H93)</f>
        <v/>
      </c>
      <c r="J93" s="4" t="n"/>
      <c r="K93" s="5">
        <f>IF('A. Kokott'!J86="O. Haag BS-CAD",'A. Kokott'!I86,0)+IF('C. Trapp SV'!J57="O. Haag BS-CAD",'C. Trapp SV'!I57,0)+IF('J. Dorn'!J84="O. Haag BS-CAD",'J. Dorn'!I84,0)+IF('M. Bandlofsky'!J45="O. Haag BS-CAD",'M. Bandlofsky'!I45,0)+IF('R. Wagen CAD'!J57="O. Haag BS-CAD",'R. Wagen CAD'!I57,0)+IF('T. Trautmann'!J72="O. Haag BS-CAD",'T. Trautmann'!I72,0)+IF('U. Sutter ADM'!J52="O. Haag BS-CAD",'U. Sutter ADM'!I52,0)</f>
        <v/>
      </c>
      <c r="L93" s="11">
        <f>IF($B$2="-","",IF($B$2="Pauschale",IFERROR(INDEX('Projekt-Budget-Übersicht'!$H:$H,MATCH(A93,'Projekt-Budget-Übersicht'!$A:$A,0)),""),IF($B$2="SV",IFERROR(INDEX('Projekt-Budget-Übersicht'!$H:$H,MATCH(A93,'Projekt-Budget-Übersicht'!$A:$A,0)),""),IF($B$2="CAD",IFERROR(INDEX('Projekt-Budget-Übersicht'!$I:$I,MATCH(A93,'Projekt-Budget-Übersicht'!$A:$A,0)),""),IF($B$2="ADM",IFERROR(INDEX('Projekt-Budget-Übersicht'!$J:$J,MATCH(A93,'Projekt-Budget-Übersicht'!$A:$A,0)),""),"")))))</f>
        <v/>
      </c>
      <c r="M93" s="11">
        <f>IF($B$2="-","",L93*(F93+I93+K93))</f>
        <v/>
      </c>
      <c r="N93" s="11">
        <f>IFERROR(INDEX('Projekt-Budget-Übersicht'!$E:$E,MATCH(A93,'Projekt-Budget-Übersicht'!$A:$A,0)),"")</f>
        <v/>
      </c>
      <c r="O93" s="11" t="inlineStr"/>
      <c r="P93" s="11" t="inlineStr"/>
    </row>
    <row r="94">
      <c r="A94" s="15" t="n"/>
      <c r="B94" s="4" t="inlineStr">
        <is>
          <t>Erstellung Vorlagen (übergreifend) (max. 8h/Monat pro MA)</t>
        </is>
      </c>
      <c r="C94" s="4" t="inlineStr">
        <is>
          <t>M</t>
        </is>
      </c>
      <c r="D94" s="4" t="n">
        <v>8</v>
      </c>
      <c r="E94" s="4" t="n">
        <v>1</v>
      </c>
      <c r="F94" s="4" t="n">
        <v>1</v>
      </c>
      <c r="G94" s="17" t="n">
        <v>12.5</v>
      </c>
      <c r="H94" s="5" t="n"/>
      <c r="I94" s="5">
        <f>IF(H94=0,"",F94-H94)</f>
        <v/>
      </c>
      <c r="J94" s="4" t="n"/>
      <c r="K94" s="5">
        <f>IF('C. Trapp SV'!J58="O. Haag BS-CAD",'C. Trapp SV'!I58,0)+IF('J. Dorn'!J85="O. Haag BS-CAD",'J. Dorn'!I85,0)+IF('P. Bergner'!J42="O. Haag BS-CAD",'P. Bergner'!I42,0)+IF('T. Trautmann'!J73="O. Haag BS-CAD",'T. Trautmann'!I73,0)</f>
        <v/>
      </c>
      <c r="L94" s="11">
        <f>IF($B$2="-","",IF($B$2="Pauschale",IFERROR(INDEX('Projekt-Budget-Übersicht'!$H:$H,MATCH(A94,'Projekt-Budget-Übersicht'!$A:$A,0)),""),IF($B$2="SV",IFERROR(INDEX('Projekt-Budget-Übersicht'!$H:$H,MATCH(A94,'Projekt-Budget-Übersicht'!$A:$A,0)),""),IF($B$2="CAD",IFERROR(INDEX('Projekt-Budget-Übersicht'!$I:$I,MATCH(A94,'Projekt-Budget-Übersicht'!$A:$A,0)),""),IF($B$2="ADM",IFERROR(INDEX('Projekt-Budget-Übersicht'!$J:$J,MATCH(A94,'Projekt-Budget-Übersicht'!$A:$A,0)),""),"")))))</f>
        <v/>
      </c>
      <c r="M94" s="11">
        <f>IF($B$2="-","",L94*(F94+I94+K94))</f>
        <v/>
      </c>
      <c r="N94" s="11">
        <f>IFERROR(INDEX('Projekt-Budget-Übersicht'!$E:$E,MATCH(A94,'Projekt-Budget-Übersicht'!$A:$A,0)),"")</f>
        <v/>
      </c>
      <c r="O94" s="11" t="inlineStr"/>
      <c r="P94" s="11" t="inlineStr"/>
    </row>
    <row r="95">
      <c r="A95" s="4" t="inlineStr">
        <is>
          <t>2044.02 BSK-Lyoner-Straße-1-Frankfurt</t>
        </is>
      </c>
      <c r="B95" s="4" t="inlineStr">
        <is>
          <t>4103-Erarbeiten Brandschutzkonzeptpläne….</t>
        </is>
      </c>
      <c r="C95" s="4" t="inlineStr">
        <is>
          <t>G</t>
        </is>
      </c>
      <c r="D95" s="4" t="n">
        <v>24</v>
      </c>
      <c r="E95" s="4" t="n">
        <v>25.25</v>
      </c>
      <c r="F95" s="4" t="n">
        <v>0.25</v>
      </c>
      <c r="G95" s="16" t="n">
        <v>105.21</v>
      </c>
      <c r="H95" s="5" t="n"/>
      <c r="I95" s="5">
        <f>IF(H95=0,"",F95-H95)</f>
        <v/>
      </c>
      <c r="J95" s="4" t="n"/>
      <c r="K95" s="5" t="n">
        <v>0</v>
      </c>
      <c r="L95" s="11">
        <f>IF($B$2="-","",IF($B$2="Pauschale",IFERROR(INDEX('Projekt-Budget-Übersicht'!$H:$H,MATCH(A95,'Projekt-Budget-Übersicht'!$A:$A,0)),""),IF($B$2="SV",IFERROR(INDEX('Projekt-Budget-Übersicht'!$H:$H,MATCH(A95,'Projekt-Budget-Übersicht'!$A:$A,0)),""),IF($B$2="CAD",IFERROR(INDEX('Projekt-Budget-Übersicht'!$I:$I,MATCH(A95,'Projekt-Budget-Übersicht'!$A:$A,0)),""),IF($B$2="ADM",IFERROR(INDEX('Projekt-Budget-Übersicht'!$J:$J,MATCH(A95,'Projekt-Budget-Übersicht'!$A:$A,0)),""),"")))))</f>
        <v/>
      </c>
      <c r="M95" s="11">
        <f>IF($B$2="-","",L95*(F95+I95+K95))</f>
        <v/>
      </c>
      <c r="N95" s="11">
        <f>IFERROR(INDEX('Projekt-Budget-Übersicht'!$E:$E,MATCH(A95,'Projekt-Budget-Übersicht'!$A:$A,0)),"")</f>
        <v/>
      </c>
      <c r="O95" s="11" t="inlineStr"/>
      <c r="P95" s="11" t="inlineStr"/>
    </row>
    <row r="96">
      <c r="A96" s="4" t="inlineStr">
        <is>
          <t>3869.23 (eh.3258.29) Breuninger-BSK-Bestandsgebäude-Marktstr1-3-Stuttgart</t>
        </is>
      </c>
      <c r="B96" s="4" t="inlineStr">
        <is>
          <t>CAD</t>
        </is>
      </c>
      <c r="C96" s="4" t="inlineStr">
        <is>
          <t>G</t>
        </is>
      </c>
      <c r="D96" s="4" t="n">
        <v>50</v>
      </c>
      <c r="E96" s="4" t="n">
        <v>13</v>
      </c>
      <c r="F96" s="4" t="n">
        <v>0.5</v>
      </c>
      <c r="G96" s="17" t="n">
        <v>26</v>
      </c>
      <c r="H96" s="5" t="n"/>
      <c r="I96" s="5">
        <f>IF(H96=0,"",F96-H96)</f>
        <v/>
      </c>
      <c r="J96" s="4" t="n"/>
      <c r="K96" s="5" t="n">
        <v>0</v>
      </c>
      <c r="L96" s="11">
        <f>IF($B$2="-","",IF($B$2="Pauschale",IFERROR(INDEX('Projekt-Budget-Übersicht'!$H:$H,MATCH(A96,'Projekt-Budget-Übersicht'!$A:$A,0)),""),IF($B$2="SV",IFERROR(INDEX('Projekt-Budget-Übersicht'!$H:$H,MATCH(A96,'Projekt-Budget-Übersicht'!$A:$A,0)),""),IF($B$2="CAD",IFERROR(INDEX('Projekt-Budget-Übersicht'!$I:$I,MATCH(A96,'Projekt-Budget-Übersicht'!$A:$A,0)),""),IF($B$2="ADM",IFERROR(INDEX('Projekt-Budget-Übersicht'!$J:$J,MATCH(A96,'Projekt-Budget-Übersicht'!$A:$A,0)),""),"")))))</f>
        <v/>
      </c>
      <c r="M96" s="11">
        <f>IF($B$2="-","",L96*(F96+I96+K96))</f>
        <v/>
      </c>
      <c r="N96" s="11">
        <f>IFERROR(INDEX('Projekt-Budget-Übersicht'!$E:$E,MATCH(A96,'Projekt-Budget-Übersicht'!$A:$A,0)),"")</f>
        <v/>
      </c>
      <c r="O96" s="11" t="inlineStr"/>
      <c r="P96" s="11" t="inlineStr"/>
    </row>
    <row r="97">
      <c r="A97" s="4" t="inlineStr">
        <is>
          <t>3869.24 KES-BST-1.OG-Bestandsgebäude-Marktstr1-3-Stuttgart</t>
        </is>
      </c>
      <c r="B97" s="4" t="inlineStr">
        <is>
          <t>CAD</t>
        </is>
      </c>
      <c r="C97" s="4" t="inlineStr">
        <is>
          <t>G</t>
        </is>
      </c>
      <c r="D97" s="4" t="n">
        <v>6</v>
      </c>
      <c r="E97" s="4" t="n">
        <v>5.5</v>
      </c>
      <c r="F97" s="4" t="n">
        <v>0.25</v>
      </c>
      <c r="G97" s="14" t="n">
        <v>91.67</v>
      </c>
      <c r="H97" s="5" t="n"/>
      <c r="I97" s="5">
        <f>IF(H97=0,"",F97-H97)</f>
        <v/>
      </c>
      <c r="J97" s="4" t="n"/>
      <c r="K97" s="5" t="n">
        <v>0</v>
      </c>
      <c r="L97" s="11">
        <f>IF($B$2="-","",IF($B$2="Pauschale",IFERROR(INDEX('Projekt-Budget-Übersicht'!$H:$H,MATCH(A97,'Projekt-Budget-Übersicht'!$A:$A,0)),""),IF($B$2="SV",IFERROR(INDEX('Projekt-Budget-Übersicht'!$H:$H,MATCH(A97,'Projekt-Budget-Übersicht'!$A:$A,0)),""),IF($B$2="CAD",IFERROR(INDEX('Projekt-Budget-Übersicht'!$I:$I,MATCH(A97,'Projekt-Budget-Übersicht'!$A:$A,0)),""),IF($B$2="ADM",IFERROR(INDEX('Projekt-Budget-Übersicht'!$J:$J,MATCH(A97,'Projekt-Budget-Übersicht'!$A:$A,0)),""),"")))))</f>
        <v/>
      </c>
      <c r="M97" s="11">
        <f>IF($B$2="-","",L97*(F97+I97+K97))</f>
        <v/>
      </c>
      <c r="N97" s="11">
        <f>IFERROR(INDEX('Projekt-Budget-Übersicht'!$E:$E,MATCH(A97,'Projekt-Budget-Übersicht'!$A:$A,0)),"")</f>
        <v/>
      </c>
      <c r="O97" s="11" t="inlineStr"/>
      <c r="P97" s="11" t="inlineStr"/>
    </row>
    <row r="98">
      <c r="A98" s="4" t="inlineStr">
        <is>
          <t>5291.01 RNV-BTB-NB-ABZ-Betriebshof-Ludwigshafen</t>
        </is>
      </c>
      <c r="B98" s="4" t="inlineStr">
        <is>
          <t>CAD</t>
        </is>
      </c>
      <c r="C98" s="4" t="inlineStr">
        <is>
          <t>G</t>
        </is>
      </c>
      <c r="D98" s="4" t="n">
        <v>0</v>
      </c>
      <c r="E98" s="4" t="n">
        <v>0</v>
      </c>
      <c r="F98" s="4" t="n">
        <v>2</v>
      </c>
      <c r="G98" s="4" t="n">
        <v>0</v>
      </c>
      <c r="H98" s="5" t="n"/>
      <c r="I98" s="5">
        <f>IF(H98=0,"",F98-H98)</f>
        <v/>
      </c>
      <c r="J98" s="4" t="n"/>
      <c r="K98" s="5" t="n">
        <v>0</v>
      </c>
      <c r="L98" s="11">
        <f>IF($B$2="-","",IF($B$2="Pauschale",IFERROR(INDEX('Projekt-Budget-Übersicht'!$H:$H,MATCH(A98,'Projekt-Budget-Übersicht'!$A:$A,0)),""),IF($B$2="SV",IFERROR(INDEX('Projekt-Budget-Übersicht'!$H:$H,MATCH(A98,'Projekt-Budget-Übersicht'!$A:$A,0)),""),IF($B$2="CAD",IFERROR(INDEX('Projekt-Budget-Übersicht'!$I:$I,MATCH(A98,'Projekt-Budget-Übersicht'!$A:$A,0)),""),IF($B$2="ADM",IFERROR(INDEX('Projekt-Budget-Übersicht'!$J:$J,MATCH(A98,'Projekt-Budget-Übersicht'!$A:$A,0)),""),"")))))</f>
        <v/>
      </c>
      <c r="M98" s="11">
        <f>IF($B$2="-","",L98*(F98+I98+K98))</f>
        <v/>
      </c>
      <c r="N98" s="11">
        <f>IFERROR(INDEX('Projekt-Budget-Übersicht'!$E:$E,MATCH(A98,'Projekt-Budget-Übersicht'!$A:$A,0)),"")</f>
        <v/>
      </c>
      <c r="O98" s="11" t="inlineStr"/>
      <c r="P98" s="11" t="inlineStr"/>
    </row>
    <row r="99">
      <c r="A99" s="4" t="inlineStr">
        <is>
          <t>5437.04 FWP-Bissierstraße-Freiburg-Metzgergrün</t>
        </is>
      </c>
      <c r="B99" s="4" t="inlineStr">
        <is>
          <t>9200-Erstellen od. Prüfen Feuerwehrpläne….</t>
        </is>
      </c>
      <c r="C99" s="4" t="inlineStr">
        <is>
          <t>G</t>
        </is>
      </c>
      <c r="D99" s="4" t="n">
        <v>109</v>
      </c>
      <c r="E99" s="4" t="n">
        <v>24.5</v>
      </c>
      <c r="F99" s="4" t="n">
        <v>4.5</v>
      </c>
      <c r="G99" s="17" t="n">
        <v>22.48</v>
      </c>
      <c r="H99" s="5" t="n"/>
      <c r="I99" s="5">
        <f>IF(H99=0,"",F99-H99)</f>
        <v/>
      </c>
      <c r="J99" s="4" t="n"/>
      <c r="K99" s="5" t="n">
        <v>0</v>
      </c>
      <c r="L99" s="11">
        <f>IF($B$2="-","",IF($B$2="Pauschale",IFERROR(INDEX('Projekt-Budget-Übersicht'!$H:$H,MATCH(A99,'Projekt-Budget-Übersicht'!$A:$A,0)),""),IF($B$2="SV",IFERROR(INDEX('Projekt-Budget-Übersicht'!$H:$H,MATCH(A99,'Projekt-Budget-Übersicht'!$A:$A,0)),""),IF($B$2="CAD",IFERROR(INDEX('Projekt-Budget-Übersicht'!$I:$I,MATCH(A99,'Projekt-Budget-Übersicht'!$A:$A,0)),""),IF($B$2="ADM",IFERROR(INDEX('Projekt-Budget-Übersicht'!$J:$J,MATCH(A99,'Projekt-Budget-Übersicht'!$A:$A,0)),""),"")))))</f>
        <v/>
      </c>
      <c r="M99" s="11">
        <f>IF($B$2="-","",L99*(F99+I99+K99))</f>
        <v/>
      </c>
      <c r="N99" s="11">
        <f>IFERROR(INDEX('Projekt-Budget-Übersicht'!$E:$E,MATCH(A99,'Projekt-Budget-Übersicht'!$A:$A,0)),"")</f>
        <v/>
      </c>
      <c r="O99" s="11" t="inlineStr"/>
      <c r="P99" s="11" t="inlineStr"/>
    </row>
    <row r="100">
      <c r="A100" s="4" t="inlineStr">
        <is>
          <t>5757.06 Stadt-Schriesheim-FWP-Gymnasium-Hirschbergstr1-Schriesheim</t>
        </is>
      </c>
      <c r="B100" s="4" t="inlineStr">
        <is>
          <t>CAD</t>
        </is>
      </c>
      <c r="C100" s="4" t="inlineStr">
        <is>
          <t>G</t>
        </is>
      </c>
      <c r="D100" s="4" t="n">
        <v>0</v>
      </c>
      <c r="E100" s="4" t="n">
        <v>36.25</v>
      </c>
      <c r="F100" s="4" t="n">
        <v>21.5</v>
      </c>
      <c r="G100" s="4" t="n">
        <v>0</v>
      </c>
      <c r="H100" s="5" t="n"/>
      <c r="I100" s="5">
        <f>IF(H100=0,"",F100-H100)</f>
        <v/>
      </c>
      <c r="J100" s="4" t="n"/>
      <c r="K100" s="5">
        <f>IF('M. Bandlofsky CAD'!J17="O. Haag BS-CAD",'M. Bandlofsky CAD'!I17,0)</f>
        <v/>
      </c>
      <c r="L100" s="11">
        <f>IF($B$2="-","",IF($B$2="Pauschale",IFERROR(INDEX('Projekt-Budget-Übersicht'!$H:$H,MATCH(A100,'Projekt-Budget-Übersicht'!$A:$A,0)),""),IF($B$2="SV",IFERROR(INDEX('Projekt-Budget-Übersicht'!$H:$H,MATCH(A100,'Projekt-Budget-Übersicht'!$A:$A,0)),""),IF($B$2="CAD",IFERROR(INDEX('Projekt-Budget-Übersicht'!$I:$I,MATCH(A100,'Projekt-Budget-Übersicht'!$A:$A,0)),""),IF($B$2="ADM",IFERROR(INDEX('Projekt-Budget-Übersicht'!$J:$J,MATCH(A100,'Projekt-Budget-Übersicht'!$A:$A,0)),""),"")))))</f>
        <v/>
      </c>
      <c r="M100" s="11">
        <f>IF($B$2="-","",L100*(F100+I100+K100))</f>
        <v/>
      </c>
      <c r="N100" s="11">
        <f>IFERROR(INDEX('Projekt-Budget-Übersicht'!$E:$E,MATCH(A100,'Projekt-Budget-Übersicht'!$A:$A,0)),"")</f>
        <v/>
      </c>
      <c r="O100" s="11" t="inlineStr"/>
      <c r="P100" s="11" t="inlineStr"/>
    </row>
    <row r="101">
      <c r="A101" s="4" t="inlineStr">
        <is>
          <t>5875.061 John-Deere-Werk-Halle-N-HomburgerStr117-125-Zweibrücken</t>
        </is>
      </c>
      <c r="B101" s="4" t="inlineStr">
        <is>
          <t>CAD</t>
        </is>
      </c>
      <c r="C101" s="4" t="inlineStr">
        <is>
          <t>G</t>
        </is>
      </c>
      <c r="D101" s="4" t="n">
        <v>10</v>
      </c>
      <c r="E101" s="4" t="n">
        <v>4</v>
      </c>
      <c r="F101" s="4" t="n">
        <v>3</v>
      </c>
      <c r="G101" s="17" t="n">
        <v>40</v>
      </c>
      <c r="H101" s="5" t="n"/>
      <c r="I101" s="5">
        <f>IF(H101=0,"",F101-H101)</f>
        <v/>
      </c>
      <c r="J101" s="4" t="n"/>
      <c r="K101" s="5" t="n">
        <v>0</v>
      </c>
      <c r="L101" s="11">
        <f>IF($B$2="-","",IF($B$2="Pauschale",IFERROR(INDEX('Projekt-Budget-Übersicht'!$H:$H,MATCH(A101,'Projekt-Budget-Übersicht'!$A:$A,0)),""),IF($B$2="SV",IFERROR(INDEX('Projekt-Budget-Übersicht'!$H:$H,MATCH(A101,'Projekt-Budget-Übersicht'!$A:$A,0)),""),IF($B$2="CAD",IFERROR(INDEX('Projekt-Budget-Übersicht'!$I:$I,MATCH(A101,'Projekt-Budget-Übersicht'!$A:$A,0)),""),IF($B$2="ADM",IFERROR(INDEX('Projekt-Budget-Übersicht'!$J:$J,MATCH(A101,'Projekt-Budget-Übersicht'!$A:$A,0)),""),"")))))</f>
        <v/>
      </c>
      <c r="M101" s="11">
        <f>IF($B$2="-","",L101*(F101+I101+K101))</f>
        <v/>
      </c>
      <c r="N101" s="11">
        <f>IFERROR(INDEX('Projekt-Budget-Übersicht'!$E:$E,MATCH(A101,'Projekt-Budget-Übersicht'!$A:$A,0)),"")</f>
        <v/>
      </c>
      <c r="O101" s="11" t="inlineStr"/>
      <c r="P101" s="11" t="inlineStr"/>
    </row>
    <row r="102">
      <c r="A102" s="4" t="inlineStr">
        <is>
          <t>5908.02 Zech-FWP-Wildparkstadion-Karlsruhe</t>
        </is>
      </c>
      <c r="B102" s="4" t="inlineStr">
        <is>
          <t>CAD</t>
        </is>
      </c>
      <c r="C102" s="4" t="inlineStr">
        <is>
          <t>G</t>
        </is>
      </c>
      <c r="D102" s="4" t="n">
        <v>27</v>
      </c>
      <c r="E102" s="4" t="n">
        <v>23.75</v>
      </c>
      <c r="F102" s="4" t="n">
        <v>3.5</v>
      </c>
      <c r="G102" s="17" t="n">
        <v>87.95999999999999</v>
      </c>
      <c r="H102" s="5" t="n"/>
      <c r="I102" s="5">
        <f>IF(H102=0,"",F102-H102)</f>
        <v/>
      </c>
      <c r="J102" s="4" t="n"/>
      <c r="K102" s="5" t="n">
        <v>0</v>
      </c>
      <c r="L102" s="11">
        <f>IF($B$2="-","",IF($B$2="Pauschale",IFERROR(INDEX('Projekt-Budget-Übersicht'!$H:$H,MATCH(A102,'Projekt-Budget-Übersicht'!$A:$A,0)),""),IF($B$2="SV",IFERROR(INDEX('Projekt-Budget-Übersicht'!$H:$H,MATCH(A102,'Projekt-Budget-Übersicht'!$A:$A,0)),""),IF($B$2="CAD",IFERROR(INDEX('Projekt-Budget-Übersicht'!$I:$I,MATCH(A102,'Projekt-Budget-Übersicht'!$A:$A,0)),""),IF($B$2="ADM",IFERROR(INDEX('Projekt-Budget-Übersicht'!$J:$J,MATCH(A102,'Projekt-Budget-Übersicht'!$A:$A,0)),""),"")))))</f>
        <v/>
      </c>
      <c r="M102" s="11">
        <f>IF($B$2="-","",L102*(F102+I102+K102))</f>
        <v/>
      </c>
      <c r="N102" s="11">
        <f>IFERROR(INDEX('Projekt-Budget-Übersicht'!$E:$E,MATCH(A102,'Projekt-Budget-Übersicht'!$A:$A,0)),"")</f>
        <v/>
      </c>
      <c r="O102" s="11" t="inlineStr"/>
      <c r="P102" s="11" t="inlineStr"/>
    </row>
    <row r="103">
      <c r="A103" s="4" t="inlineStr">
        <is>
          <t>6045.03 wpd-BSK-Windpark-Dreihausen-Nordeck</t>
        </is>
      </c>
      <c r="B103" s="4" t="inlineStr">
        <is>
          <t>CAD</t>
        </is>
      </c>
      <c r="C103" s="4" t="inlineStr">
        <is>
          <t>G</t>
        </is>
      </c>
      <c r="D103" s="4" t="n">
        <v>2</v>
      </c>
      <c r="E103" s="4" t="n">
        <v>1.5</v>
      </c>
      <c r="F103" s="4" t="n">
        <v>1.5</v>
      </c>
      <c r="G103" s="17" t="n">
        <v>75</v>
      </c>
      <c r="H103" s="5" t="n"/>
      <c r="I103" s="5">
        <f>IF(H103=0,"",F103-H103)</f>
        <v/>
      </c>
      <c r="J103" s="4" t="n"/>
      <c r="K103" s="5" t="n">
        <v>0</v>
      </c>
      <c r="L103" s="11">
        <f>IF($B$2="-","",IF($B$2="Pauschale",IFERROR(INDEX('Projekt-Budget-Übersicht'!$H:$H,MATCH(A103,'Projekt-Budget-Übersicht'!$A:$A,0)),""),IF($B$2="SV",IFERROR(INDEX('Projekt-Budget-Übersicht'!$H:$H,MATCH(A103,'Projekt-Budget-Übersicht'!$A:$A,0)),""),IF($B$2="CAD",IFERROR(INDEX('Projekt-Budget-Übersicht'!$I:$I,MATCH(A103,'Projekt-Budget-Übersicht'!$A:$A,0)),""),IF($B$2="ADM",IFERROR(INDEX('Projekt-Budget-Übersicht'!$J:$J,MATCH(A103,'Projekt-Budget-Übersicht'!$A:$A,0)),""),"")))))</f>
        <v/>
      </c>
      <c r="M103" s="11">
        <f>IF($B$2="-","",L103*(F103+I103+K103))</f>
        <v/>
      </c>
      <c r="N103" s="11">
        <f>IFERROR(INDEX('Projekt-Budget-Übersicht'!$E:$E,MATCH(A103,'Projekt-Budget-Übersicht'!$A:$A,0)),"")</f>
        <v/>
      </c>
      <c r="O103" s="11" t="inlineStr"/>
      <c r="P103" s="11" t="inlineStr"/>
    </row>
    <row r="104">
      <c r="A104" s="13" t="inlineStr">
        <is>
          <t>6313.06 BSK-Fitseveneleven-Limespark-Sulzbach-1.OG</t>
        </is>
      </c>
      <c r="B104" s="4" t="inlineStr">
        <is>
          <t>9200-Erstellen od. Prüfen Feuerwehrpläne….</t>
        </is>
      </c>
      <c r="C104" s="4" t="inlineStr">
        <is>
          <t>G</t>
        </is>
      </c>
      <c r="D104" s="4" t="n">
        <v>4</v>
      </c>
      <c r="E104" s="4" t="n">
        <v>2</v>
      </c>
      <c r="F104" s="4" t="n">
        <v>0.5</v>
      </c>
      <c r="G104" s="17" t="n">
        <v>50</v>
      </c>
      <c r="H104" s="5" t="n"/>
      <c r="I104" s="5">
        <f>IF(H104=0,"",F104-H104)</f>
        <v/>
      </c>
      <c r="J104" s="4" t="n"/>
      <c r="K104" s="5" t="n">
        <v>0</v>
      </c>
      <c r="L104" s="11">
        <f>IF($B$2="-","",IF($B$2="Pauschale",IFERROR(INDEX('Projekt-Budget-Übersicht'!$H:$H,MATCH(A104,'Projekt-Budget-Übersicht'!$A:$A,0)),""),IF($B$2="SV",IFERROR(INDEX('Projekt-Budget-Übersicht'!$H:$H,MATCH(A104,'Projekt-Budget-Übersicht'!$A:$A,0)),""),IF($B$2="CAD",IFERROR(INDEX('Projekt-Budget-Übersicht'!$I:$I,MATCH(A104,'Projekt-Budget-Übersicht'!$A:$A,0)),""),IF($B$2="ADM",IFERROR(INDEX('Projekt-Budget-Übersicht'!$J:$J,MATCH(A104,'Projekt-Budget-Übersicht'!$A:$A,0)),""),"")))))</f>
        <v/>
      </c>
      <c r="M104" s="11">
        <f>IF($B$2="-","",L104*(F104+I104+K104))</f>
        <v/>
      </c>
      <c r="N104" s="11">
        <f>IFERROR(INDEX('Projekt-Budget-Übersicht'!$E:$E,MATCH(A104,'Projekt-Budget-Übersicht'!$A:$A,0)),"")</f>
        <v/>
      </c>
      <c r="O104" s="11" t="inlineStr"/>
      <c r="P104" s="11" t="inlineStr"/>
    </row>
    <row r="105">
      <c r="A105" s="15" t="n"/>
      <c r="B105" s="4" t="inlineStr">
        <is>
          <t>9201-Erstellen od. Prüfen Flucht- und Rettungspläne….</t>
        </is>
      </c>
      <c r="C105" s="4" t="inlineStr">
        <is>
          <t>G</t>
        </is>
      </c>
      <c r="D105" s="4" t="n">
        <v>6</v>
      </c>
      <c r="E105" s="4" t="n">
        <v>2.5</v>
      </c>
      <c r="F105" s="4" t="n">
        <v>0.25</v>
      </c>
      <c r="G105" s="17" t="n">
        <v>41.67</v>
      </c>
      <c r="H105" s="5" t="n"/>
      <c r="I105" s="5">
        <f>IF(H105=0,"",F105-H105)</f>
        <v/>
      </c>
      <c r="J105" s="4" t="n"/>
      <c r="K105" s="5" t="n">
        <v>0</v>
      </c>
      <c r="L105" s="11">
        <f>IF($B$2="-","",IF($B$2="Pauschale",IFERROR(INDEX('Projekt-Budget-Übersicht'!$H:$H,MATCH(A105,'Projekt-Budget-Übersicht'!$A:$A,0)),""),IF($B$2="SV",IFERROR(INDEX('Projekt-Budget-Übersicht'!$H:$H,MATCH(A105,'Projekt-Budget-Übersicht'!$A:$A,0)),""),IF($B$2="CAD",IFERROR(INDEX('Projekt-Budget-Übersicht'!$I:$I,MATCH(A105,'Projekt-Budget-Übersicht'!$A:$A,0)),""),IF($B$2="ADM",IFERROR(INDEX('Projekt-Budget-Übersicht'!$J:$J,MATCH(A105,'Projekt-Budget-Übersicht'!$A:$A,0)),""),"")))))</f>
        <v/>
      </c>
      <c r="M105" s="11">
        <f>IF($B$2="-","",L105*(F105+I105+K105))</f>
        <v/>
      </c>
      <c r="N105" s="11">
        <f>IFERROR(INDEX('Projekt-Budget-Übersicht'!$E:$E,MATCH(A105,'Projekt-Budget-Übersicht'!$A:$A,0)),"")</f>
        <v/>
      </c>
      <c r="O105" s="11" t="inlineStr"/>
      <c r="P105" s="11" t="inlineStr"/>
    </row>
    <row r="106">
      <c r="A106" s="4" t="inlineStr">
        <is>
          <t>6344 Brodenheckstraße-Bitburg-Amtsgericht</t>
        </is>
      </c>
      <c r="B106" s="4" t="inlineStr">
        <is>
          <t>4000-Genehmigungsplanung</t>
        </is>
      </c>
      <c r="C106" s="4" t="inlineStr">
        <is>
          <t>G</t>
        </is>
      </c>
      <c r="D106" s="4" t="n">
        <v>37</v>
      </c>
      <c r="E106" s="4" t="n">
        <v>27.75</v>
      </c>
      <c r="F106" s="4" t="n">
        <v>3</v>
      </c>
      <c r="G106" s="17" t="n">
        <v>75</v>
      </c>
      <c r="H106" s="5" t="n"/>
      <c r="I106" s="5">
        <f>IF(H106=0,"",F106-H106)</f>
        <v/>
      </c>
      <c r="J106" s="4" t="n"/>
      <c r="K106" s="5">
        <f>IF('A. Kokott'!J97="O. Haag BS-CAD",'A. Kokott'!I97,0)+IF('J. Dorn'!J90="O. Haag BS-CAD",'J. Dorn'!I90,0)+IF('M. Bandlofsky'!J61="O. Haag BS-CAD",'M. Bandlofsky'!I61,0)+IF('T. Trautmann'!J88="O. Haag BS-CAD",'T. Trautmann'!I88,0)</f>
        <v/>
      </c>
      <c r="L106" s="11">
        <f>IF($B$2="-","",IF($B$2="Pauschale",IFERROR(INDEX('Projekt-Budget-Übersicht'!$H:$H,MATCH(A106,'Projekt-Budget-Übersicht'!$A:$A,0)),""),IF($B$2="SV",IFERROR(INDEX('Projekt-Budget-Übersicht'!$H:$H,MATCH(A106,'Projekt-Budget-Übersicht'!$A:$A,0)),""),IF($B$2="CAD",IFERROR(INDEX('Projekt-Budget-Übersicht'!$I:$I,MATCH(A106,'Projekt-Budget-Übersicht'!$A:$A,0)),""),IF($B$2="ADM",IFERROR(INDEX('Projekt-Budget-Übersicht'!$J:$J,MATCH(A106,'Projekt-Budget-Übersicht'!$A:$A,0)),""),"")))))</f>
        <v/>
      </c>
      <c r="M106" s="11">
        <f>IF($B$2="-","",L106*(F106+I106+K106))</f>
        <v/>
      </c>
      <c r="N106" s="11">
        <f>IFERROR(INDEX('Projekt-Budget-Übersicht'!$E:$E,MATCH(A106,'Projekt-Budget-Übersicht'!$A:$A,0)),"")</f>
        <v/>
      </c>
      <c r="O106" s="11" t="inlineStr"/>
      <c r="P106" s="11" t="inlineStr"/>
    </row>
    <row r="107">
      <c r="A107" s="4" t="inlineStr">
        <is>
          <t>6377.04 IAV-BSK-Im-Kammertal10-Heimsheim</t>
        </is>
      </c>
      <c r="B107" s="4" t="inlineStr">
        <is>
          <t>CAD</t>
        </is>
      </c>
      <c r="C107" s="4" t="inlineStr">
        <is>
          <t>G</t>
        </is>
      </c>
      <c r="D107" s="4" t="n">
        <v>8</v>
      </c>
      <c r="E107" s="4" t="n">
        <v>6.25</v>
      </c>
      <c r="F107" s="4" t="n">
        <v>6</v>
      </c>
      <c r="G107" s="17" t="n">
        <v>78.12</v>
      </c>
      <c r="H107" s="5" t="n"/>
      <c r="I107" s="5">
        <f>IF(H107=0,"",F107-H107)</f>
        <v/>
      </c>
      <c r="J107" s="4" t="n"/>
      <c r="K107" s="5" t="n">
        <v>0</v>
      </c>
      <c r="L107" s="11">
        <f>IF($B$2="-","",IF($B$2="Pauschale",IFERROR(INDEX('Projekt-Budget-Übersicht'!$H:$H,MATCH(A107,'Projekt-Budget-Übersicht'!$A:$A,0)),""),IF($B$2="SV",IFERROR(INDEX('Projekt-Budget-Übersicht'!$H:$H,MATCH(A107,'Projekt-Budget-Übersicht'!$A:$A,0)),""),IF($B$2="CAD",IFERROR(INDEX('Projekt-Budget-Übersicht'!$I:$I,MATCH(A107,'Projekt-Budget-Übersicht'!$A:$A,0)),""),IF($B$2="ADM",IFERROR(INDEX('Projekt-Budget-Übersicht'!$J:$J,MATCH(A107,'Projekt-Budget-Übersicht'!$A:$A,0)),""),"")))))</f>
        <v/>
      </c>
      <c r="M107" s="11">
        <f>IF($B$2="-","",L107*(F107+I107+K107))</f>
        <v/>
      </c>
      <c r="N107" s="11">
        <f>IFERROR(INDEX('Projekt-Budget-Übersicht'!$E:$E,MATCH(A107,'Projekt-Budget-Übersicht'!$A:$A,0)),"")</f>
        <v/>
      </c>
      <c r="O107" s="11" t="inlineStr"/>
      <c r="P107" s="11" t="inlineStr"/>
    </row>
    <row r="108">
      <c r="A108" s="4" t="inlineStr">
        <is>
          <t>6497 SunYardOffice-Heidelberg</t>
        </is>
      </c>
      <c r="B108" s="4" t="inlineStr">
        <is>
          <t>4103-Erarbeiten Brandschutzkonzeptpläne….</t>
        </is>
      </c>
      <c r="C108" s="4" t="inlineStr">
        <is>
          <t>G</t>
        </is>
      </c>
      <c r="D108" s="4" t="n">
        <v>0</v>
      </c>
      <c r="E108" s="4" t="n">
        <v>0</v>
      </c>
      <c r="F108" s="4" t="n">
        <v>8</v>
      </c>
      <c r="G108" s="4" t="n">
        <v>0</v>
      </c>
      <c r="H108" s="5" t="n"/>
      <c r="I108" s="5">
        <f>IF(H108=0,"",F108-H108)</f>
        <v/>
      </c>
      <c r="J108" s="4" t="n"/>
      <c r="K108" s="5" t="n">
        <v>0</v>
      </c>
      <c r="L108" s="11">
        <f>IF($B$2="-","",IF($B$2="Pauschale",IFERROR(INDEX('Projekt-Budget-Übersicht'!$H:$H,MATCH(A108,'Projekt-Budget-Übersicht'!$A:$A,0)),""),IF($B$2="SV",IFERROR(INDEX('Projekt-Budget-Übersicht'!$H:$H,MATCH(A108,'Projekt-Budget-Übersicht'!$A:$A,0)),""),IF($B$2="CAD",IFERROR(INDEX('Projekt-Budget-Übersicht'!$I:$I,MATCH(A108,'Projekt-Budget-Übersicht'!$A:$A,0)),""),IF($B$2="ADM",IFERROR(INDEX('Projekt-Budget-Übersicht'!$J:$J,MATCH(A108,'Projekt-Budget-Übersicht'!$A:$A,0)),""),"")))))</f>
        <v/>
      </c>
      <c r="M108" s="11">
        <f>IF($B$2="-","",L108*(F108+I108+K108))</f>
        <v/>
      </c>
      <c r="N108" s="11">
        <f>IFERROR(INDEX('Projekt-Budget-Übersicht'!$E:$E,MATCH(A108,'Projekt-Budget-Übersicht'!$A:$A,0)),"")</f>
        <v/>
      </c>
      <c r="O108" s="11" t="inlineStr"/>
      <c r="P108" s="11" t="inlineStr"/>
    </row>
    <row r="109">
      <c r="A109" s="4" t="inlineStr">
        <is>
          <t>6527.01 IO-Anp-BSK-Mühlenfeldstr1-Holzminden-Symotion</t>
        </is>
      </c>
      <c r="B109" s="4" t="inlineStr">
        <is>
          <t>SV</t>
        </is>
      </c>
      <c r="C109" s="4" t="inlineStr">
        <is>
          <t>G</t>
        </is>
      </c>
      <c r="D109" s="4" t="n">
        <v>6</v>
      </c>
      <c r="E109" s="4" t="n">
        <v>48</v>
      </c>
      <c r="F109" s="4" t="n">
        <v>1</v>
      </c>
      <c r="G109" s="16" t="n">
        <v>800</v>
      </c>
      <c r="H109" s="5" t="n"/>
      <c r="I109" s="5">
        <f>IF(H109=0,"",F109-H109)</f>
        <v/>
      </c>
      <c r="J109" s="4" t="n"/>
      <c r="K109" s="5">
        <f>IF('A. Kokott'!J101="O. Haag BS-CAD",'A. Kokott'!I101,0)+IF('J. Dorn'!J92="O. Haag BS-CAD",'J. Dorn'!I92,0)</f>
        <v/>
      </c>
      <c r="L109" s="11">
        <f>IF($B$2="-","",IF($B$2="Pauschale",IFERROR(INDEX('Projekt-Budget-Übersicht'!$H:$H,MATCH(A109,'Projekt-Budget-Übersicht'!$A:$A,0)),""),IF($B$2="SV",IFERROR(INDEX('Projekt-Budget-Übersicht'!$H:$H,MATCH(A109,'Projekt-Budget-Übersicht'!$A:$A,0)),""),IF($B$2="CAD",IFERROR(INDEX('Projekt-Budget-Übersicht'!$I:$I,MATCH(A109,'Projekt-Budget-Übersicht'!$A:$A,0)),""),IF($B$2="ADM",IFERROR(INDEX('Projekt-Budget-Übersicht'!$J:$J,MATCH(A109,'Projekt-Budget-Übersicht'!$A:$A,0)),""),"")))))</f>
        <v/>
      </c>
      <c r="M109" s="11">
        <f>IF($B$2="-","",L109*(F109+I109+K109))</f>
        <v/>
      </c>
      <c r="N109" s="11">
        <f>IFERROR(INDEX('Projekt-Budget-Übersicht'!$E:$E,MATCH(A109,'Projekt-Budget-Übersicht'!$A:$A,0)),"")</f>
        <v/>
      </c>
      <c r="O109" s="11" t="inlineStr"/>
      <c r="P109" s="11" t="inlineStr"/>
    </row>
    <row r="110">
      <c r="A110" s="4" t="inlineStr">
        <is>
          <t>6564.02 ROB-MCR-Weilerbach-Züblin-TP2</t>
        </is>
      </c>
      <c r="B110" s="4" t="inlineStr">
        <is>
          <t>5000-Ausführungsplanung</t>
        </is>
      </c>
      <c r="C110" s="4" t="inlineStr">
        <is>
          <t>G</t>
        </is>
      </c>
      <c r="D110" s="4" t="n">
        <v>1560</v>
      </c>
      <c r="E110" s="4" t="n">
        <v>625</v>
      </c>
      <c r="F110" s="4" t="n">
        <v>1</v>
      </c>
      <c r="G110" s="17" t="n">
        <v>40.06</v>
      </c>
      <c r="H110" s="5" t="n"/>
      <c r="I110" s="5">
        <f>IF(H110=0,"",F110-H110)</f>
        <v/>
      </c>
      <c r="J110" s="4" t="n"/>
      <c r="K110" s="5">
        <f>IF('P. Bergner'!J48="O. Haag BS-CAD",'P. Bergner'!I48,0)</f>
        <v/>
      </c>
      <c r="L110" s="11">
        <f>IF($B$2="-","",IF($B$2="Pauschale",IFERROR(INDEX('Projekt-Budget-Übersicht'!$H:$H,MATCH(A110,'Projekt-Budget-Übersicht'!$A:$A,0)),""),IF($B$2="SV",IFERROR(INDEX('Projekt-Budget-Übersicht'!$H:$H,MATCH(A110,'Projekt-Budget-Übersicht'!$A:$A,0)),""),IF($B$2="CAD",IFERROR(INDEX('Projekt-Budget-Übersicht'!$I:$I,MATCH(A110,'Projekt-Budget-Übersicht'!$A:$A,0)),""),IF($B$2="ADM",IFERROR(INDEX('Projekt-Budget-Übersicht'!$J:$J,MATCH(A110,'Projekt-Budget-Übersicht'!$A:$A,0)),""),"")))))</f>
        <v/>
      </c>
      <c r="M110" s="11">
        <f>IF($B$2="-","",L110*(F110+I110+K110))</f>
        <v/>
      </c>
      <c r="N110" s="11">
        <f>IFERROR(INDEX('Projekt-Budget-Übersicht'!$E:$E,MATCH(A110,'Projekt-Budget-Übersicht'!$A:$A,0)),"")</f>
        <v/>
      </c>
      <c r="O110" s="11" t="inlineStr"/>
      <c r="P110" s="11" t="inlineStr"/>
    </row>
    <row r="111">
      <c r="A111" s="4" t="inlineStr">
        <is>
          <t>6625.04 Fortschr-BSK-KH-St.-Elisabeth-Lindenstraße-3-7-Damme-NZN-Aufstockung</t>
        </is>
      </c>
      <c r="B111" s="4" t="inlineStr">
        <is>
          <t>4103-Erarbeiten Brandschutzkonzeptpläne….</t>
        </is>
      </c>
      <c r="C111" s="4" t="inlineStr">
        <is>
          <t>G</t>
        </is>
      </c>
      <c r="D111" s="4" t="n">
        <v>16</v>
      </c>
      <c r="E111" s="4" t="n">
        <v>16.5</v>
      </c>
      <c r="F111" s="4" t="n">
        <v>3.5</v>
      </c>
      <c r="G111" s="16" t="n">
        <v>103.12</v>
      </c>
      <c r="H111" s="5" t="n"/>
      <c r="I111" s="5">
        <f>IF(H111=0,"",F111-H111)</f>
        <v/>
      </c>
      <c r="J111" s="4" t="n"/>
      <c r="K111" s="5" t="n">
        <v>0</v>
      </c>
      <c r="L111" s="11">
        <f>IF($B$2="-","",IF($B$2="Pauschale",IFERROR(INDEX('Projekt-Budget-Übersicht'!$H:$H,MATCH(A111,'Projekt-Budget-Übersicht'!$A:$A,0)),""),IF($B$2="SV",IFERROR(INDEX('Projekt-Budget-Übersicht'!$H:$H,MATCH(A111,'Projekt-Budget-Übersicht'!$A:$A,0)),""),IF($B$2="CAD",IFERROR(INDEX('Projekt-Budget-Übersicht'!$I:$I,MATCH(A111,'Projekt-Budget-Übersicht'!$A:$A,0)),""),IF($B$2="ADM",IFERROR(INDEX('Projekt-Budget-Übersicht'!$J:$J,MATCH(A111,'Projekt-Budget-Übersicht'!$A:$A,0)),""),"")))))</f>
        <v/>
      </c>
      <c r="M111" s="11">
        <f>IF($B$2="-","",L111*(F111+I111+K111))</f>
        <v/>
      </c>
      <c r="N111" s="11">
        <f>IFERROR(INDEX('Projekt-Budget-Übersicht'!$E:$E,MATCH(A111,'Projekt-Budget-Übersicht'!$A:$A,0)),"")</f>
        <v/>
      </c>
      <c r="O111" s="11" t="inlineStr"/>
      <c r="P111" s="11" t="inlineStr"/>
    </row>
    <row r="112">
      <c r="A112" s="13" t="inlineStr">
        <is>
          <t>6643 BTB-FRP-FWP-Ersatzneubau-Krankenhaus-Hohenlohe-Öhringen-Vamed</t>
        </is>
      </c>
      <c r="B112" s="4" t="inlineStr">
        <is>
          <t>9200-Erstellen od. Prüfen Feuerwehrpläne….</t>
        </is>
      </c>
      <c r="C112" s="4" t="inlineStr">
        <is>
          <t>G</t>
        </is>
      </c>
      <c r="D112" s="4" t="n">
        <v>70.5</v>
      </c>
      <c r="E112" s="4" t="n">
        <v>56.75</v>
      </c>
      <c r="F112" s="4" t="n">
        <v>32.75</v>
      </c>
      <c r="G112" s="17" t="n">
        <v>80.5</v>
      </c>
      <c r="H112" s="5" t="n"/>
      <c r="I112" s="5">
        <f>IF(H112=0,"",F112-H112)</f>
        <v/>
      </c>
      <c r="J112" s="4" t="n"/>
      <c r="K112" s="5" t="n">
        <v>0</v>
      </c>
      <c r="L112" s="11">
        <f>IF($B$2="-","",IF($B$2="Pauschale",IFERROR(INDEX('Projekt-Budget-Übersicht'!$H:$H,MATCH(A112,'Projekt-Budget-Übersicht'!$A:$A,0)),""),IF($B$2="SV",IFERROR(INDEX('Projekt-Budget-Übersicht'!$H:$H,MATCH(A112,'Projekt-Budget-Übersicht'!$A:$A,0)),""),IF($B$2="CAD",IFERROR(INDEX('Projekt-Budget-Übersicht'!$I:$I,MATCH(A112,'Projekt-Budget-Übersicht'!$A:$A,0)),""),IF($B$2="ADM",IFERROR(INDEX('Projekt-Budget-Übersicht'!$J:$J,MATCH(A112,'Projekt-Budget-Übersicht'!$A:$A,0)),""),"")))))</f>
        <v/>
      </c>
      <c r="M112" s="11">
        <f>IF($B$2="-","",L112*(F112+I112+K112))</f>
        <v/>
      </c>
      <c r="N112" s="11">
        <f>IFERROR(INDEX('Projekt-Budget-Übersicht'!$E:$E,MATCH(A112,'Projekt-Budget-Übersicht'!$A:$A,0)),"")</f>
        <v/>
      </c>
      <c r="O112" s="11" t="inlineStr"/>
      <c r="P112" s="11" t="inlineStr"/>
    </row>
    <row r="113">
      <c r="A113" s="15" t="n"/>
      <c r="B113" s="4" t="inlineStr">
        <is>
          <t>9201-Erstellen od. Prüfen Flucht- und Rettungspläne….</t>
        </is>
      </c>
      <c r="C113" s="4" t="inlineStr">
        <is>
          <t>G</t>
        </is>
      </c>
      <c r="D113" s="4" t="n">
        <v>57.5</v>
      </c>
      <c r="E113" s="4" t="n">
        <v>29.25</v>
      </c>
      <c r="F113" s="4" t="n">
        <v>28.5</v>
      </c>
      <c r="G113" s="17" t="n">
        <v>50.87</v>
      </c>
      <c r="H113" s="5" t="n"/>
      <c r="I113" s="5">
        <f>IF(H113=0,"",F113-H113)</f>
        <v/>
      </c>
      <c r="J113" s="4" t="n"/>
      <c r="K113" s="5" t="n">
        <v>0</v>
      </c>
      <c r="L113" s="11">
        <f>IF($B$2="-","",IF($B$2="Pauschale",IFERROR(INDEX('Projekt-Budget-Übersicht'!$H:$H,MATCH(A113,'Projekt-Budget-Übersicht'!$A:$A,0)),""),IF($B$2="SV",IFERROR(INDEX('Projekt-Budget-Übersicht'!$H:$H,MATCH(A113,'Projekt-Budget-Übersicht'!$A:$A,0)),""),IF($B$2="CAD",IFERROR(INDEX('Projekt-Budget-Übersicht'!$I:$I,MATCH(A113,'Projekt-Budget-Übersicht'!$A:$A,0)),""),IF($B$2="ADM",IFERROR(INDEX('Projekt-Budget-Übersicht'!$J:$J,MATCH(A113,'Projekt-Budget-Übersicht'!$A:$A,0)),""),"")))))</f>
        <v/>
      </c>
      <c r="M113" s="11">
        <f>IF($B$2="-","",L113*(F113+I113+K113))</f>
        <v/>
      </c>
      <c r="N113" s="11">
        <f>IFERROR(INDEX('Projekt-Budget-Übersicht'!$E:$E,MATCH(A113,'Projekt-Budget-Übersicht'!$A:$A,0)),"")</f>
        <v/>
      </c>
      <c r="O113" s="11" t="inlineStr"/>
      <c r="P113" s="11" t="inlineStr"/>
    </row>
    <row r="114">
      <c r="A114" s="13" t="inlineStr">
        <is>
          <t>6974 IO-Diehl-Fast-Track-V2-AHO-Liegenschaft-Maasberg-Mariahütte</t>
        </is>
      </c>
      <c r="B114" s="4" t="inlineStr">
        <is>
          <t>LP 5 RL</t>
        </is>
      </c>
      <c r="C114" s="4" t="inlineStr">
        <is>
          <t>G</t>
        </is>
      </c>
      <c r="D114" s="4" t="n">
        <v>0</v>
      </c>
      <c r="E114" s="4" t="n">
        <v>0</v>
      </c>
      <c r="F114" s="4" t="n">
        <v>0.5</v>
      </c>
      <c r="G114" s="4" t="n">
        <v>0</v>
      </c>
      <c r="H114" s="5" t="n"/>
      <c r="I114" s="5">
        <f>IF(H114=0,"",F114-H114)</f>
        <v/>
      </c>
      <c r="J114" s="4" t="n"/>
      <c r="K114" s="5">
        <f>IF('J. Dorn'!J100="O. Haag BS-CAD",'J. Dorn'!I100,0)</f>
        <v/>
      </c>
      <c r="L114" s="11">
        <f>IF($B$2="-","",IF($B$2="Pauschale",IFERROR(INDEX('Projekt-Budget-Übersicht'!$H:$H,MATCH(A114,'Projekt-Budget-Übersicht'!$A:$A,0)),""),IF($B$2="SV",IFERROR(INDEX('Projekt-Budget-Übersicht'!$H:$H,MATCH(A114,'Projekt-Budget-Übersicht'!$A:$A,0)),""),IF($B$2="CAD",IFERROR(INDEX('Projekt-Budget-Übersicht'!$I:$I,MATCH(A114,'Projekt-Budget-Übersicht'!$A:$A,0)),""),IF($B$2="ADM",IFERROR(INDEX('Projekt-Budget-Übersicht'!$J:$J,MATCH(A114,'Projekt-Budget-Übersicht'!$A:$A,0)),""),"")))))</f>
        <v/>
      </c>
      <c r="M114" s="11">
        <f>IF($B$2="-","",L114*(F114+I114+K114))</f>
        <v/>
      </c>
      <c r="N114" s="11">
        <f>IFERROR(INDEX('Projekt-Budget-Übersicht'!$E:$E,MATCH(A114,'Projekt-Budget-Übersicht'!$A:$A,0)),"")</f>
        <v/>
      </c>
      <c r="O114" s="11" t="inlineStr"/>
      <c r="P114" s="11" t="inlineStr"/>
    </row>
    <row r="115">
      <c r="A115" s="15" t="n"/>
      <c r="B115" s="4" t="inlineStr">
        <is>
          <t>LP 5 Stundendsammler vorab, ANG noch nicht erstellt</t>
        </is>
      </c>
      <c r="C115" s="4" t="inlineStr">
        <is>
          <t>G</t>
        </is>
      </c>
      <c r="D115" s="4" t="n">
        <v>0</v>
      </c>
      <c r="E115" s="4" t="n">
        <v>0</v>
      </c>
      <c r="F115" s="4" t="n">
        <v>0.5</v>
      </c>
      <c r="G115" s="4" t="n">
        <v>0</v>
      </c>
      <c r="H115" s="5" t="n"/>
      <c r="I115" s="5">
        <f>IF(H115=0,"",F115-H115)</f>
        <v/>
      </c>
      <c r="J115" s="4" t="n"/>
      <c r="K115" s="5" t="n">
        <v>0</v>
      </c>
      <c r="L115" s="11">
        <f>IF($B$2="-","",IF($B$2="Pauschale",IFERROR(INDEX('Projekt-Budget-Übersicht'!$H:$H,MATCH(A115,'Projekt-Budget-Übersicht'!$A:$A,0)),""),IF($B$2="SV",IFERROR(INDEX('Projekt-Budget-Übersicht'!$H:$H,MATCH(A115,'Projekt-Budget-Übersicht'!$A:$A,0)),""),IF($B$2="CAD",IFERROR(INDEX('Projekt-Budget-Übersicht'!$I:$I,MATCH(A115,'Projekt-Budget-Übersicht'!$A:$A,0)),""),IF($B$2="ADM",IFERROR(INDEX('Projekt-Budget-Übersicht'!$J:$J,MATCH(A115,'Projekt-Budget-Übersicht'!$A:$A,0)),""),"")))))</f>
        <v/>
      </c>
      <c r="M115" s="11">
        <f>IF($B$2="-","",L115*(F115+I115+K115))</f>
        <v/>
      </c>
      <c r="N115" s="11">
        <f>IFERROR(INDEX('Projekt-Budget-Übersicht'!$E:$E,MATCH(A115,'Projekt-Budget-Übersicht'!$A:$A,0)),"")</f>
        <v/>
      </c>
      <c r="O115" s="11" t="inlineStr"/>
      <c r="P115" s="11" t="inlineStr"/>
    </row>
    <row r="116">
      <c r="A116" s="4" t="inlineStr">
        <is>
          <t>7029 BSK-Campingplatz-Bärensee-Bruchköbel</t>
        </is>
      </c>
      <c r="B116" s="4" t="inlineStr">
        <is>
          <t>4103-Erarbeiten Brandschutzkonzeptpläne….</t>
        </is>
      </c>
      <c r="C116" s="4" t="inlineStr">
        <is>
          <t>G</t>
        </is>
      </c>
      <c r="D116" s="4" t="n">
        <v>16</v>
      </c>
      <c r="E116" s="4" t="n">
        <v>18.25</v>
      </c>
      <c r="F116" s="4" t="n">
        <v>2</v>
      </c>
      <c r="G116" s="16" t="n">
        <v>114.06</v>
      </c>
      <c r="H116" s="5" t="n"/>
      <c r="I116" s="5">
        <f>IF(H116=0,"",F116-H116)</f>
        <v/>
      </c>
      <c r="J116" s="4" t="n"/>
      <c r="K116" s="5" t="n">
        <v>0</v>
      </c>
      <c r="L116" s="11">
        <f>IF($B$2="-","",IF($B$2="Pauschale",IFERROR(INDEX('Projekt-Budget-Übersicht'!$H:$H,MATCH(A116,'Projekt-Budget-Übersicht'!$A:$A,0)),""),IF($B$2="SV",IFERROR(INDEX('Projekt-Budget-Übersicht'!$H:$H,MATCH(A116,'Projekt-Budget-Übersicht'!$A:$A,0)),""),IF($B$2="CAD",IFERROR(INDEX('Projekt-Budget-Übersicht'!$I:$I,MATCH(A116,'Projekt-Budget-Übersicht'!$A:$A,0)),""),IF($B$2="ADM",IFERROR(INDEX('Projekt-Budget-Übersicht'!$J:$J,MATCH(A116,'Projekt-Budget-Übersicht'!$A:$A,0)),""),"")))))</f>
        <v/>
      </c>
      <c r="M116" s="11">
        <f>IF($B$2="-","",L116*(F116+I116+K116))</f>
        <v/>
      </c>
      <c r="N116" s="11">
        <f>IFERROR(INDEX('Projekt-Budget-Übersicht'!$E:$E,MATCH(A116,'Projekt-Budget-Übersicht'!$A:$A,0)),"")</f>
        <v/>
      </c>
      <c r="O116" s="11" t="inlineStr"/>
      <c r="P116" s="11" t="inlineStr"/>
    </row>
    <row r="117">
      <c r="A117" s="4" t="inlineStr">
        <is>
          <t>7187.03 Altus-Anp-BSK-WP-Süd-Bovenden-an-der-Lieth</t>
        </is>
      </c>
      <c r="B117" s="4" t="inlineStr">
        <is>
          <t>CAD</t>
        </is>
      </c>
      <c r="C117" s="4" t="inlineStr">
        <is>
          <t>G</t>
        </is>
      </c>
      <c r="D117" s="4" t="n">
        <v>3</v>
      </c>
      <c r="E117" s="4" t="n">
        <v>2.5</v>
      </c>
      <c r="F117" s="4" t="n">
        <v>2</v>
      </c>
      <c r="G117" s="17" t="n">
        <v>83.33</v>
      </c>
      <c r="H117" s="5" t="n"/>
      <c r="I117" s="5">
        <f>IF(H117=0,"",F117-H117)</f>
        <v/>
      </c>
      <c r="J117" s="4" t="n"/>
      <c r="K117" s="5" t="n">
        <v>0</v>
      </c>
      <c r="L117" s="11">
        <f>IF($B$2="-","",IF($B$2="Pauschale",IFERROR(INDEX('Projekt-Budget-Übersicht'!$H:$H,MATCH(A117,'Projekt-Budget-Übersicht'!$A:$A,0)),""),IF($B$2="SV",IFERROR(INDEX('Projekt-Budget-Übersicht'!$H:$H,MATCH(A117,'Projekt-Budget-Übersicht'!$A:$A,0)),""),IF($B$2="CAD",IFERROR(INDEX('Projekt-Budget-Übersicht'!$I:$I,MATCH(A117,'Projekt-Budget-Übersicht'!$A:$A,0)),""),IF($B$2="ADM",IFERROR(INDEX('Projekt-Budget-Übersicht'!$J:$J,MATCH(A117,'Projekt-Budget-Übersicht'!$A:$A,0)),""),"")))))</f>
        <v/>
      </c>
      <c r="M117" s="11">
        <f>IF($B$2="-","",L117*(F117+I117+K117))</f>
        <v/>
      </c>
      <c r="N117" s="11">
        <f>IFERROR(INDEX('Projekt-Budget-Übersicht'!$E:$E,MATCH(A117,'Projekt-Budget-Übersicht'!$A:$A,0)),"")</f>
        <v/>
      </c>
      <c r="O117" s="11" t="inlineStr"/>
      <c r="P117" s="11" t="inlineStr"/>
    </row>
    <row r="118">
      <c r="A118" s="4" t="inlineStr">
        <is>
          <t>7196 DRESO-BSK-TDE-Genset-Container-Austausch-NEA-Kleyerstr75-89-FFM</t>
        </is>
      </c>
      <c r="B118" s="4" t="inlineStr">
        <is>
          <t>CAD</t>
        </is>
      </c>
      <c r="C118" s="4" t="inlineStr">
        <is>
          <t>G</t>
        </is>
      </c>
      <c r="D118" s="4" t="n">
        <v>4</v>
      </c>
      <c r="E118" s="4" t="n">
        <v>4</v>
      </c>
      <c r="F118" s="4" t="n">
        <v>1.25</v>
      </c>
      <c r="G118" s="14" t="n">
        <v>100</v>
      </c>
      <c r="H118" s="5" t="n"/>
      <c r="I118" s="5">
        <f>IF(H118=0,"",F118-H118)</f>
        <v/>
      </c>
      <c r="J118" s="4" t="n"/>
      <c r="K118" s="5" t="n">
        <v>0</v>
      </c>
      <c r="L118" s="11">
        <f>IF($B$2="-","",IF($B$2="Pauschale",IFERROR(INDEX('Projekt-Budget-Übersicht'!$H:$H,MATCH(A118,'Projekt-Budget-Übersicht'!$A:$A,0)),""),IF($B$2="SV",IFERROR(INDEX('Projekt-Budget-Übersicht'!$H:$H,MATCH(A118,'Projekt-Budget-Übersicht'!$A:$A,0)),""),IF($B$2="CAD",IFERROR(INDEX('Projekt-Budget-Übersicht'!$I:$I,MATCH(A118,'Projekt-Budget-Übersicht'!$A:$A,0)),""),IF($B$2="ADM",IFERROR(INDEX('Projekt-Budget-Übersicht'!$J:$J,MATCH(A118,'Projekt-Budget-Übersicht'!$A:$A,0)),""),"")))))</f>
        <v/>
      </c>
      <c r="M118" s="11">
        <f>IF($B$2="-","",L118*(F118+I118+K118))</f>
        <v/>
      </c>
      <c r="N118" s="11">
        <f>IFERROR(INDEX('Projekt-Budget-Übersicht'!$E:$E,MATCH(A118,'Projekt-Budget-Übersicht'!$A:$A,0)),"")</f>
        <v/>
      </c>
      <c r="O118" s="11" t="inlineStr"/>
      <c r="P118" s="11" t="inlineStr"/>
    </row>
    <row r="119">
      <c r="A119" s="4" t="inlineStr">
        <is>
          <t>7330 LBB-IO-AHO-Truppenübungsplatz-NB-Schießhaus-Smith-Barracks-Baumholder</t>
        </is>
      </c>
      <c r="B119" s="4" t="inlineStr">
        <is>
          <t>Pos. 1.81 BL (SV)</t>
        </is>
      </c>
      <c r="C119" s="4" t="inlineStr">
        <is>
          <t>G</t>
        </is>
      </c>
      <c r="D119" s="4" t="n">
        <v>10.5</v>
      </c>
      <c r="E119" s="4" t="n">
        <v>10</v>
      </c>
      <c r="F119" s="4" t="n">
        <v>0.5</v>
      </c>
      <c r="G119" s="14" t="n">
        <v>95.23999999999999</v>
      </c>
      <c r="H119" s="5" t="n"/>
      <c r="I119" s="5">
        <f>IF(H119=0,"",F119-H119)</f>
        <v/>
      </c>
      <c r="J119" s="4" t="n"/>
      <c r="K119" s="5" t="n">
        <v>0</v>
      </c>
      <c r="L119" s="11">
        <f>IF($B$2="-","",IF($B$2="Pauschale",IFERROR(INDEX('Projekt-Budget-Übersicht'!$H:$H,MATCH(A119,'Projekt-Budget-Übersicht'!$A:$A,0)),""),IF($B$2="SV",IFERROR(INDEX('Projekt-Budget-Übersicht'!$H:$H,MATCH(A119,'Projekt-Budget-Übersicht'!$A:$A,0)),""),IF($B$2="CAD",IFERROR(INDEX('Projekt-Budget-Übersicht'!$I:$I,MATCH(A119,'Projekt-Budget-Übersicht'!$A:$A,0)),""),IF($B$2="ADM",IFERROR(INDEX('Projekt-Budget-Übersicht'!$J:$J,MATCH(A119,'Projekt-Budget-Übersicht'!$A:$A,0)),""),"")))))</f>
        <v/>
      </c>
      <c r="M119" s="11">
        <f>IF($B$2="-","",L119*(F119+I119+K119))</f>
        <v/>
      </c>
      <c r="N119" s="11">
        <f>IFERROR(INDEX('Projekt-Budget-Übersicht'!$E:$E,MATCH(A119,'Projekt-Budget-Übersicht'!$A:$A,0)),"")</f>
        <v/>
      </c>
      <c r="O119" s="11" t="inlineStr"/>
      <c r="P119" s="11" t="inlineStr"/>
    </row>
    <row r="120">
      <c r="A120" s="4" t="inlineStr">
        <is>
          <t>7346.01 NAT-BSK-Flughafenstraße-6a-6h-Frankfurt-TG</t>
        </is>
      </c>
      <c r="B120" s="4" t="inlineStr">
        <is>
          <t>4103-Erarbeiten Brandschutzkonzeptpläne….</t>
        </is>
      </c>
      <c r="C120" s="4" t="inlineStr">
        <is>
          <t>G</t>
        </is>
      </c>
      <c r="D120" s="4" t="n">
        <v>4</v>
      </c>
      <c r="E120" s="4" t="n">
        <v>1.25</v>
      </c>
      <c r="F120" s="4" t="n">
        <v>0.25</v>
      </c>
      <c r="G120" s="17" t="n">
        <v>31.25</v>
      </c>
      <c r="H120" s="5" t="n"/>
      <c r="I120" s="5">
        <f>IF(H120=0,"",F120-H120)</f>
        <v/>
      </c>
      <c r="J120" s="4" t="n"/>
      <c r="K120" s="5" t="n">
        <v>0</v>
      </c>
      <c r="L120" s="11">
        <f>IF($B$2="-","",IF($B$2="Pauschale",IFERROR(INDEX('Projekt-Budget-Übersicht'!$H:$H,MATCH(A120,'Projekt-Budget-Übersicht'!$A:$A,0)),""),IF($B$2="SV",IFERROR(INDEX('Projekt-Budget-Übersicht'!$H:$H,MATCH(A120,'Projekt-Budget-Übersicht'!$A:$A,0)),""),IF($B$2="CAD",IFERROR(INDEX('Projekt-Budget-Übersicht'!$I:$I,MATCH(A120,'Projekt-Budget-Übersicht'!$A:$A,0)),""),IF($B$2="ADM",IFERROR(INDEX('Projekt-Budget-Übersicht'!$J:$J,MATCH(A120,'Projekt-Budget-Übersicht'!$A:$A,0)),""),"")))))</f>
        <v/>
      </c>
      <c r="M120" s="11">
        <f>IF($B$2="-","",L120*(F120+I120+K120))</f>
        <v/>
      </c>
      <c r="N120" s="11">
        <f>IFERROR(INDEX('Projekt-Budget-Übersicht'!$E:$E,MATCH(A120,'Projekt-Budget-Übersicht'!$A:$A,0)),"")</f>
        <v/>
      </c>
      <c r="O120" s="11" t="inlineStr"/>
      <c r="P120" s="11" t="inlineStr"/>
    </row>
    <row r="121">
      <c r="A121" s="4" t="inlineStr">
        <is>
          <t>7355.01 Pfizer-BSK-Umnutzung-Mooswaldallee-1-Freiburg-Geb-K</t>
        </is>
      </c>
      <c r="B121" s="4" t="inlineStr">
        <is>
          <t>CAD</t>
        </is>
      </c>
      <c r="C121" s="4" t="inlineStr">
        <is>
          <t>G</t>
        </is>
      </c>
      <c r="D121" s="4" t="n">
        <v>10</v>
      </c>
      <c r="E121" s="4" t="n">
        <v>8</v>
      </c>
      <c r="F121" s="4" t="n">
        <v>8</v>
      </c>
      <c r="G121" s="17" t="n">
        <v>80</v>
      </c>
      <c r="H121" s="5" t="n"/>
      <c r="I121" s="5">
        <f>IF(H121=0,"",F121-H121)</f>
        <v/>
      </c>
      <c r="J121" s="4" t="n"/>
      <c r="K121" s="5" t="n">
        <v>0</v>
      </c>
      <c r="L121" s="11">
        <f>IF($B$2="-","",IF($B$2="Pauschale",IFERROR(INDEX('Projekt-Budget-Übersicht'!$H:$H,MATCH(A121,'Projekt-Budget-Übersicht'!$A:$A,0)),""),IF($B$2="SV",IFERROR(INDEX('Projekt-Budget-Übersicht'!$H:$H,MATCH(A121,'Projekt-Budget-Übersicht'!$A:$A,0)),""),IF($B$2="CAD",IFERROR(INDEX('Projekt-Budget-Übersicht'!$I:$I,MATCH(A121,'Projekt-Budget-Übersicht'!$A:$A,0)),""),IF($B$2="ADM",IFERROR(INDEX('Projekt-Budget-Übersicht'!$J:$J,MATCH(A121,'Projekt-Budget-Übersicht'!$A:$A,0)),""),"")))))</f>
        <v/>
      </c>
      <c r="M121" s="11">
        <f>IF($B$2="-","",L121*(F121+I121+K121))</f>
        <v/>
      </c>
      <c r="N121" s="11">
        <f>IFERROR(INDEX('Projekt-Budget-Übersicht'!$E:$E,MATCH(A121,'Projekt-Budget-Übersicht'!$A:$A,0)),"")</f>
        <v/>
      </c>
      <c r="O121" s="11" t="inlineStr"/>
      <c r="P121" s="11" t="inlineStr"/>
    </row>
    <row r="122">
      <c r="A122" s="4" t="inlineStr">
        <is>
          <t>7419.02 Zech-FRP-FWP-Sporthalle-Pestalozzistr10-Eppelheim</t>
        </is>
      </c>
      <c r="B122" s="4" t="inlineStr">
        <is>
          <t>CAD</t>
        </is>
      </c>
      <c r="C122" s="4" t="inlineStr">
        <is>
          <t>G</t>
        </is>
      </c>
      <c r="D122" s="4" t="n">
        <v>26</v>
      </c>
      <c r="E122" s="4" t="n">
        <v>15.5</v>
      </c>
      <c r="F122" s="4" t="n">
        <v>5.25</v>
      </c>
      <c r="G122" s="17" t="n">
        <v>59.62</v>
      </c>
      <c r="H122" s="5" t="n"/>
      <c r="I122" s="5">
        <f>IF(H122=0,"",F122-H122)</f>
        <v/>
      </c>
      <c r="J122" s="4" t="n"/>
      <c r="K122" s="5" t="n">
        <v>0</v>
      </c>
      <c r="L122" s="11">
        <f>IF($B$2="-","",IF($B$2="Pauschale",IFERROR(INDEX('Projekt-Budget-Übersicht'!$H:$H,MATCH(A122,'Projekt-Budget-Übersicht'!$A:$A,0)),""),IF($B$2="SV",IFERROR(INDEX('Projekt-Budget-Übersicht'!$H:$H,MATCH(A122,'Projekt-Budget-Übersicht'!$A:$A,0)),""),IF($B$2="CAD",IFERROR(INDEX('Projekt-Budget-Übersicht'!$I:$I,MATCH(A122,'Projekt-Budget-Übersicht'!$A:$A,0)),""),IF($B$2="ADM",IFERROR(INDEX('Projekt-Budget-Übersicht'!$J:$J,MATCH(A122,'Projekt-Budget-Übersicht'!$A:$A,0)),""),"")))))</f>
        <v/>
      </c>
      <c r="M122" s="11">
        <f>IF($B$2="-","",L122*(F122+I122+K122))</f>
        <v/>
      </c>
      <c r="N122" s="11">
        <f>IFERROR(INDEX('Projekt-Budget-Übersicht'!$E:$E,MATCH(A122,'Projekt-Budget-Übersicht'!$A:$A,0)),"")</f>
        <v/>
      </c>
      <c r="O122" s="11" t="inlineStr"/>
      <c r="P122" s="11" t="inlineStr"/>
    </row>
    <row r="123">
      <c r="A123" s="4" t="inlineStr">
        <is>
          <t>7441 Baupionier-Garagenpark-Öhringen-BSK</t>
        </is>
      </c>
      <c r="B123" s="4" t="inlineStr">
        <is>
          <t>CAD</t>
        </is>
      </c>
      <c r="C123" s="4" t="inlineStr">
        <is>
          <t>G</t>
        </is>
      </c>
      <c r="D123" s="4" t="n">
        <v>8</v>
      </c>
      <c r="E123" s="4" t="n">
        <v>11.25</v>
      </c>
      <c r="F123" s="4" t="n">
        <v>2.5</v>
      </c>
      <c r="G123" s="16" t="n">
        <v>140.62</v>
      </c>
      <c r="H123" s="5" t="n"/>
      <c r="I123" s="5">
        <f>IF(H123=0,"",F123-H123)</f>
        <v/>
      </c>
      <c r="J123" s="4" t="n"/>
      <c r="K123" s="5" t="n">
        <v>0</v>
      </c>
      <c r="L123" s="11">
        <f>IF($B$2="-","",IF($B$2="Pauschale",IFERROR(INDEX('Projekt-Budget-Übersicht'!$H:$H,MATCH(A123,'Projekt-Budget-Übersicht'!$A:$A,0)),""),IF($B$2="SV",IFERROR(INDEX('Projekt-Budget-Übersicht'!$H:$H,MATCH(A123,'Projekt-Budget-Übersicht'!$A:$A,0)),""),IF($B$2="CAD",IFERROR(INDEX('Projekt-Budget-Übersicht'!$I:$I,MATCH(A123,'Projekt-Budget-Übersicht'!$A:$A,0)),""),IF($B$2="ADM",IFERROR(INDEX('Projekt-Budget-Übersicht'!$J:$J,MATCH(A123,'Projekt-Budget-Übersicht'!$A:$A,0)),""),"")))))</f>
        <v/>
      </c>
      <c r="M123" s="11">
        <f>IF($B$2="-","",L123*(F123+I123+K123))</f>
        <v/>
      </c>
      <c r="N123" s="11">
        <f>IFERROR(INDEX('Projekt-Budget-Übersicht'!$E:$E,MATCH(A123,'Projekt-Budget-Übersicht'!$A:$A,0)),"")</f>
        <v/>
      </c>
      <c r="O123" s="11" t="inlineStr"/>
      <c r="P123" s="11" t="inlineStr"/>
    </row>
    <row r="124">
      <c r="A124" s="4" t="inlineStr">
        <is>
          <t>7477 WindBauer-BSK-WEA-Waldhausen</t>
        </is>
      </c>
      <c r="B124" s="4" t="inlineStr">
        <is>
          <t>CAD</t>
        </is>
      </c>
      <c r="C124" s="4" t="inlineStr">
        <is>
          <t>G</t>
        </is>
      </c>
      <c r="D124" s="4" t="n">
        <v>8</v>
      </c>
      <c r="E124" s="4" t="n">
        <v>7</v>
      </c>
      <c r="F124" s="4" t="n">
        <v>7</v>
      </c>
      <c r="G124" s="17" t="n">
        <v>87.5</v>
      </c>
      <c r="H124" s="5" t="n"/>
      <c r="I124" s="5">
        <f>IF(H124=0,"",F124-H124)</f>
        <v/>
      </c>
      <c r="J124" s="4" t="n"/>
      <c r="K124" s="5" t="n">
        <v>0</v>
      </c>
      <c r="L124" s="11">
        <f>IF($B$2="-","",IF($B$2="Pauschale",IFERROR(INDEX('Projekt-Budget-Übersicht'!$H:$H,MATCH(A124,'Projekt-Budget-Übersicht'!$A:$A,0)),""),IF($B$2="SV",IFERROR(INDEX('Projekt-Budget-Übersicht'!$H:$H,MATCH(A124,'Projekt-Budget-Übersicht'!$A:$A,0)),""),IF($B$2="CAD",IFERROR(INDEX('Projekt-Budget-Übersicht'!$I:$I,MATCH(A124,'Projekt-Budget-Übersicht'!$A:$A,0)),""),IF($B$2="ADM",IFERROR(INDEX('Projekt-Budget-Übersicht'!$J:$J,MATCH(A124,'Projekt-Budget-Übersicht'!$A:$A,0)),""),"")))))</f>
        <v/>
      </c>
      <c r="M124" s="11">
        <f>IF($B$2="-","",L124*(F124+I124+K124))</f>
        <v/>
      </c>
      <c r="N124" s="11">
        <f>IFERROR(INDEX('Projekt-Budget-Übersicht'!$E:$E,MATCH(A124,'Projekt-Budget-Übersicht'!$A:$A,0)),"")</f>
        <v/>
      </c>
      <c r="O124" s="11" t="inlineStr"/>
      <c r="P124" s="11" t="inlineStr"/>
    </row>
    <row r="125">
      <c r="A125" s="4" t="inlineStr">
        <is>
          <t>7478 WindBauer-BSK-WEA-Hofstett</t>
        </is>
      </c>
      <c r="B125" s="4" t="inlineStr">
        <is>
          <t>CAD</t>
        </is>
      </c>
      <c r="C125" s="4" t="inlineStr">
        <is>
          <t>G</t>
        </is>
      </c>
      <c r="D125" s="4" t="n">
        <v>8</v>
      </c>
      <c r="E125" s="4" t="n">
        <v>6.25</v>
      </c>
      <c r="F125" s="4" t="n">
        <v>6</v>
      </c>
      <c r="G125" s="17" t="n">
        <v>78.12</v>
      </c>
      <c r="H125" s="5" t="n"/>
      <c r="I125" s="5">
        <f>IF(H125=0,"",F125-H125)</f>
        <v/>
      </c>
      <c r="J125" s="4" t="n"/>
      <c r="K125" s="5" t="n">
        <v>0</v>
      </c>
      <c r="L125" s="11">
        <f>IF($B$2="-","",IF($B$2="Pauschale",IFERROR(INDEX('Projekt-Budget-Übersicht'!$H:$H,MATCH(A125,'Projekt-Budget-Übersicht'!$A:$A,0)),""),IF($B$2="SV",IFERROR(INDEX('Projekt-Budget-Übersicht'!$H:$H,MATCH(A125,'Projekt-Budget-Übersicht'!$A:$A,0)),""),IF($B$2="CAD",IFERROR(INDEX('Projekt-Budget-Übersicht'!$I:$I,MATCH(A125,'Projekt-Budget-Übersicht'!$A:$A,0)),""),IF($B$2="ADM",IFERROR(INDEX('Projekt-Budget-Übersicht'!$J:$J,MATCH(A125,'Projekt-Budget-Übersicht'!$A:$A,0)),""),"")))))</f>
        <v/>
      </c>
      <c r="M125" s="11">
        <f>IF($B$2="-","",L125*(F125+I125+K125))</f>
        <v/>
      </c>
      <c r="N125" s="11">
        <f>IFERROR(INDEX('Projekt-Budget-Übersicht'!$E:$E,MATCH(A125,'Projekt-Budget-Übersicht'!$A:$A,0)),"")</f>
        <v/>
      </c>
      <c r="O125" s="11" t="inlineStr"/>
      <c r="P125" s="11" t="inlineStr"/>
    </row>
    <row r="126">
      <c r="A126" s="4" t="inlineStr">
        <is>
          <t>7486 wiwi-BSK-WEA-Mainz-Hechtsheim</t>
        </is>
      </c>
      <c r="B126" s="4" t="inlineStr">
        <is>
          <t>CAD</t>
        </is>
      </c>
      <c r="C126" s="4" t="inlineStr">
        <is>
          <t>G</t>
        </is>
      </c>
      <c r="D126" s="4" t="n">
        <v>5</v>
      </c>
      <c r="E126" s="4" t="n">
        <v>4</v>
      </c>
      <c r="F126" s="4" t="n">
        <v>4</v>
      </c>
      <c r="G126" s="17" t="n">
        <v>80</v>
      </c>
      <c r="H126" s="5" t="n"/>
      <c r="I126" s="5">
        <f>IF(H126=0,"",F126-H126)</f>
        <v/>
      </c>
      <c r="J126" s="4" t="n"/>
      <c r="K126" s="5" t="n">
        <v>0</v>
      </c>
      <c r="L126" s="11">
        <f>IF($B$2="-","",IF($B$2="Pauschale",IFERROR(INDEX('Projekt-Budget-Übersicht'!$H:$H,MATCH(A126,'Projekt-Budget-Übersicht'!$A:$A,0)),""),IF($B$2="SV",IFERROR(INDEX('Projekt-Budget-Übersicht'!$H:$H,MATCH(A126,'Projekt-Budget-Übersicht'!$A:$A,0)),""),IF($B$2="CAD",IFERROR(INDEX('Projekt-Budget-Übersicht'!$I:$I,MATCH(A126,'Projekt-Budget-Übersicht'!$A:$A,0)),""),IF($B$2="ADM",IFERROR(INDEX('Projekt-Budget-Übersicht'!$J:$J,MATCH(A126,'Projekt-Budget-Übersicht'!$A:$A,0)),""),"")))))</f>
        <v/>
      </c>
      <c r="M126" s="11">
        <f>IF($B$2="-","",L126*(F126+I126+K126))</f>
        <v/>
      </c>
      <c r="N126" s="11">
        <f>IFERROR(INDEX('Projekt-Budget-Übersicht'!$E:$E,MATCH(A126,'Projekt-Budget-Übersicht'!$A:$A,0)),"")</f>
        <v/>
      </c>
      <c r="O126" s="11" t="inlineStr"/>
      <c r="P126" s="11" t="inlineStr"/>
    </row>
    <row r="127">
      <c r="A127" s="3" t="inlineStr"/>
      <c r="B127" s="3" t="inlineStr">
        <is>
          <t>Summe</t>
        </is>
      </c>
      <c r="C127" s="3" t="inlineStr"/>
      <c r="D127" s="3" t="inlineStr"/>
      <c r="E127" s="3" t="inlineStr"/>
      <c r="F127" s="6" t="n">
        <v>172</v>
      </c>
      <c r="G127" s="3" t="inlineStr"/>
      <c r="H127" s="3" t="inlineStr"/>
      <c r="I127" s="3" t="inlineStr"/>
      <c r="J127" s="3" t="inlineStr"/>
      <c r="K127" s="3" t="inlineStr"/>
      <c r="L127" s="3" t="n"/>
      <c r="M127" s="3" t="n"/>
      <c r="N127" s="3" t="n"/>
      <c r="O127" s="3" t="n"/>
      <c r="P127" s="3" t="n"/>
    </row>
    <row r="128">
      <c r="A128" s="3" t="inlineStr"/>
      <c r="B128" s="3" t="inlineStr">
        <is>
          <t>Bonusberechtigte Stunden</t>
        </is>
      </c>
      <c r="C128" s="3" t="inlineStr"/>
      <c r="D128" s="3" t="inlineStr"/>
      <c r="E128" s="3" t="inlineStr"/>
      <c r="F128" s="6">
        <f>G128+H128</f>
        <v/>
      </c>
      <c r="G128" s="6" t="n">
        <v>152</v>
      </c>
      <c r="H128" s="6">
        <f>SUM(H95,H96,H97,H98,H99,H100,H101,H102,H103,H104,H105,H106,H107,H108,H109,H110,H111,H112,H113,H114,H115,H116,H117,H118,H119,H120,H121,H122,H123,H124,H125,H126)</f>
        <v/>
      </c>
      <c r="I128" s="3" t="inlineStr"/>
      <c r="J128" s="3" t="inlineStr"/>
      <c r="K128" s="3" t="inlineStr"/>
      <c r="L128" s="3" t="inlineStr"/>
      <c r="M128" s="3" t="inlineStr"/>
      <c r="N128" s="3" t="inlineStr"/>
      <c r="O128" s="3" t="inlineStr"/>
      <c r="P128" s="3" t="inlineStr"/>
    </row>
    <row r="129">
      <c r="A129" s="3" t="inlineStr"/>
      <c r="B129" s="3" t="inlineStr">
        <is>
          <t>Bonusberechtigte Stunden Sonderprojekt</t>
        </is>
      </c>
      <c r="C129" s="3" t="inlineStr"/>
      <c r="D129" s="3" t="inlineStr"/>
      <c r="E129" s="3" t="inlineStr"/>
      <c r="F129" s="6">
        <f>G129+H129</f>
        <v/>
      </c>
      <c r="G129" s="6" t="n">
        <v>10.75</v>
      </c>
      <c r="H129" s="6">
        <f>SUM(H92,H93,H94)</f>
        <v/>
      </c>
      <c r="I129" s="3" t="inlineStr"/>
      <c r="J129" s="3" t="inlineStr"/>
      <c r="K129" s="3" t="inlineStr"/>
      <c r="L129" s="3" t="inlineStr"/>
      <c r="M129" s="3" t="inlineStr"/>
      <c r="N129" s="3" t="inlineStr"/>
      <c r="O129" s="3" t="inlineStr"/>
      <c r="P129" s="3" t="inlineStr"/>
    </row>
    <row r="130">
      <c r="A130" s="3" t="inlineStr"/>
      <c r="B130" s="3" t="inlineStr">
        <is>
          <t>Zugeordnete Stunden von anderen MA</t>
        </is>
      </c>
      <c r="C130" s="3" t="inlineStr"/>
      <c r="D130" s="3" t="inlineStr"/>
      <c r="E130" s="3" t="inlineStr"/>
      <c r="F130" s="6">
        <f>SUM(K92:K126)</f>
        <v/>
      </c>
      <c r="G130" s="3" t="inlineStr"/>
      <c r="H130" s="3" t="inlineStr"/>
      <c r="I130" s="3" t="inlineStr"/>
      <c r="J130" s="3" t="inlineStr"/>
      <c r="K130" s="3" t="inlineStr"/>
      <c r="L130" s="3" t="inlineStr"/>
      <c r="M130" s="3" t="inlineStr"/>
      <c r="N130" s="3" t="inlineStr"/>
      <c r="O130" s="3" t="inlineStr"/>
      <c r="P130" s="3" t="inlineStr"/>
    </row>
    <row r="131">
      <c r="A131" s="18" t="inlineStr"/>
      <c r="B131" s="18" t="inlineStr">
        <is>
          <t>Gesamt Bonus Stunden</t>
        </is>
      </c>
      <c r="C131" s="18" t="inlineStr"/>
      <c r="D131" s="18" t="inlineStr"/>
      <c r="E131" s="18" t="inlineStr"/>
      <c r="F131" s="19">
        <f>F128+F129+F130</f>
        <v/>
      </c>
      <c r="G131" s="18" t="inlineStr"/>
      <c r="H131" s="18" t="inlineStr"/>
      <c r="I131" s="18" t="inlineStr"/>
      <c r="J131" s="18" t="inlineStr"/>
      <c r="K131" s="18" t="inlineStr"/>
      <c r="L131" s="18" t="n"/>
      <c r="M131" s="18" t="n"/>
      <c r="N131" s="18" t="n"/>
      <c r="O131" s="18" t="n"/>
      <c r="P131" s="18" t="n"/>
    </row>
    <row r="133">
      <c r="A133" s="2" t="inlineStr">
        <is>
          <t>--- Übertragshilfe ---</t>
        </is>
      </c>
    </row>
    <row r="134">
      <c r="A134" s="3" t="inlineStr">
        <is>
          <t>Monat</t>
        </is>
      </c>
      <c r="B134" s="3" t="inlineStr">
        <is>
          <t>Mitarbeiter</t>
        </is>
      </c>
      <c r="C134" s="3" t="inlineStr">
        <is>
          <t>Prod. Stunden</t>
        </is>
      </c>
      <c r="D134" s="3" t="inlineStr">
        <is>
          <t>Bonusberechtigte Stunden</t>
        </is>
      </c>
      <c r="E134" s="3" t="inlineStr">
        <is>
          <t>Bonusberechtigte Stunden Sonderprojekt</t>
        </is>
      </c>
      <c r="F134" s="3" t="inlineStr">
        <is>
          <t>Zugeordnet von anderen</t>
        </is>
      </c>
      <c r="G134" s="3" t="inlineStr">
        <is>
          <t>Gesamt Bonus</t>
        </is>
      </c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</row>
    <row r="135">
      <c r="A135" s="4" t="inlineStr">
        <is>
          <t>Juli 2025</t>
        </is>
      </c>
      <c r="B135" s="4" t="inlineStr">
        <is>
          <t>O. Haag BS-CAD</t>
        </is>
      </c>
      <c r="C135" s="4">
        <f>F43</f>
        <v/>
      </c>
      <c r="D135" s="4">
        <f>F44</f>
        <v/>
      </c>
      <c r="E135" s="4">
        <f>F45</f>
        <v/>
      </c>
      <c r="F135" s="4">
        <f>F46</f>
        <v/>
      </c>
      <c r="G135" s="4">
        <f>F47</f>
        <v/>
      </c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</row>
    <row r="136">
      <c r="A136" s="4" t="inlineStr">
        <is>
          <t>August 2025</t>
        </is>
      </c>
      <c r="B136" s="4" t="inlineStr">
        <is>
          <t>O. Haag BS-CAD</t>
        </is>
      </c>
      <c r="C136" s="4">
        <f>F84</f>
        <v/>
      </c>
      <c r="D136" s="4">
        <f>F85</f>
        <v/>
      </c>
      <c r="E136" s="4">
        <f>F86</f>
        <v/>
      </c>
      <c r="F136" s="4">
        <f>F87</f>
        <v/>
      </c>
      <c r="G136" s="4">
        <f>F88</f>
        <v/>
      </c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</row>
    <row r="137">
      <c r="A137" s="4" t="inlineStr">
        <is>
          <t>September 2025</t>
        </is>
      </c>
      <c r="B137" s="4" t="inlineStr">
        <is>
          <t>O. Haag BS-CAD</t>
        </is>
      </c>
      <c r="C137" s="4">
        <f>F127</f>
        <v/>
      </c>
      <c r="D137" s="4">
        <f>F128</f>
        <v/>
      </c>
      <c r="E137" s="4">
        <f>F129</f>
        <v/>
      </c>
      <c r="F137" s="4">
        <f>F130</f>
        <v/>
      </c>
      <c r="G137" s="4">
        <f>F131</f>
        <v/>
      </c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</row>
    <row r="140">
      <c r="A140" s="2" t="inlineStr">
        <is>
          <t>--- Gesamtstunden 2025Q3 ---</t>
        </is>
      </c>
    </row>
    <row r="141">
      <c r="A141" s="12" t="inlineStr">
        <is>
          <t>Gesamt eingetragene Stunden:</t>
        </is>
      </c>
      <c r="B141" s="12" t="n">
        <v>342.75</v>
      </c>
      <c r="C141" s="12" t="n"/>
      <c r="D141" s="12" t="n"/>
      <c r="E141" s="12" t="n"/>
      <c r="F141" s="12" t="n"/>
      <c r="G141" s="12" t="n"/>
      <c r="H141" s="12" t="n"/>
      <c r="I141" s="12" t="n"/>
      <c r="J141" s="12" t="n"/>
      <c r="K141" s="12" t="n"/>
      <c r="L141" s="12" t="n"/>
      <c r="M141" s="12" t="n"/>
      <c r="N141" s="12" t="n"/>
      <c r="O141" s="12" t="n"/>
      <c r="P141" s="12" t="n"/>
    </row>
    <row r="142">
      <c r="A142" s="12" t="inlineStr">
        <is>
          <t>Bonusberechtigte Stunden (Quartal):</t>
        </is>
      </c>
      <c r="B142" s="20">
        <f>SUM(F44,F85,F128)</f>
        <v/>
      </c>
      <c r="C142" s="12" t="n"/>
      <c r="D142" s="12" t="n"/>
      <c r="E142" s="12" t="n"/>
      <c r="F142" s="12" t="n"/>
      <c r="G142" s="12" t="n"/>
      <c r="H142" s="12" t="n"/>
      <c r="I142" s="12" t="n"/>
      <c r="J142" s="12" t="n"/>
      <c r="K142" s="12" t="n"/>
      <c r="L142" s="12" t="n"/>
      <c r="M142" s="12" t="n"/>
      <c r="N142" s="12" t="n"/>
      <c r="O142" s="12" t="n"/>
      <c r="P142" s="12" t="n"/>
    </row>
    <row r="143">
      <c r="A143" s="12" t="inlineStr">
        <is>
          <t>Bonusberechtigte Stunden Sonderprojekt (Quartal):</t>
        </is>
      </c>
      <c r="B143" s="20">
        <f>SUM(F45,F86,F129)</f>
        <v/>
      </c>
      <c r="C143" s="12" t="n"/>
      <c r="D143" s="12" t="n"/>
      <c r="E143" s="12" t="n"/>
      <c r="F143" s="12" t="n"/>
      <c r="G143" s="12" t="n"/>
      <c r="H143" s="12" t="n"/>
      <c r="I143" s="12" t="n"/>
      <c r="J143" s="12" t="n"/>
      <c r="K143" s="12" t="n"/>
      <c r="L143" s="12" t="n"/>
      <c r="M143" s="12" t="n"/>
      <c r="N143" s="12" t="n"/>
      <c r="O143" s="12" t="n"/>
      <c r="P143" s="12" t="n"/>
    </row>
  </sheetData>
  <mergeCells count="9">
    <mergeCell ref="A104:A105"/>
    <mergeCell ref="A112:A113"/>
    <mergeCell ref="A51:A52"/>
    <mergeCell ref="A92:A94"/>
    <mergeCell ref="A29:A30"/>
    <mergeCell ref="A23:A24"/>
    <mergeCell ref="A40:A41"/>
    <mergeCell ref="A56:A58"/>
    <mergeCell ref="A114:A115"/>
  </mergeCells>
  <conditionalFormatting sqref="I6">
    <cfRule type="cellIs" priority="1" operator="lessThan" dxfId="0" stopIfTrue="1">
      <formula>0</formula>
    </cfRule>
  </conditionalFormatting>
  <conditionalFormatting sqref="I7">
    <cfRule type="cellIs" priority="2" operator="lessThan" dxfId="0" stopIfTrue="1">
      <formula>0</formula>
    </cfRule>
  </conditionalFormatting>
  <conditionalFormatting sqref="I8">
    <cfRule type="cellIs" priority="3" operator="lessThan" dxfId="0" stopIfTrue="1">
      <formula>0</formula>
    </cfRule>
  </conditionalFormatting>
  <conditionalFormatting sqref="I9">
    <cfRule type="cellIs" priority="4" operator="lessThan" dxfId="0" stopIfTrue="1">
      <formula>0</formula>
    </cfRule>
  </conditionalFormatting>
  <conditionalFormatting sqref="I10">
    <cfRule type="cellIs" priority="5" operator="lessThan" dxfId="0" stopIfTrue="1">
      <formula>0</formula>
    </cfRule>
  </conditionalFormatting>
  <conditionalFormatting sqref="I11">
    <cfRule type="cellIs" priority="6" operator="lessThan" dxfId="0" stopIfTrue="1">
      <formula>0</formula>
    </cfRule>
  </conditionalFormatting>
  <conditionalFormatting sqref="I12">
    <cfRule type="cellIs" priority="7" operator="lessThan" dxfId="0" stopIfTrue="1">
      <formula>0</formula>
    </cfRule>
  </conditionalFormatting>
  <conditionalFormatting sqref="I13">
    <cfRule type="cellIs" priority="8" operator="lessThan" dxfId="0" stopIfTrue="1">
      <formula>0</formula>
    </cfRule>
  </conditionalFormatting>
  <conditionalFormatting sqref="I14">
    <cfRule type="cellIs" priority="9" operator="lessThan" dxfId="0" stopIfTrue="1">
      <formula>0</formula>
    </cfRule>
  </conditionalFormatting>
  <conditionalFormatting sqref="I15">
    <cfRule type="cellIs" priority="10" operator="lessThan" dxfId="0" stopIfTrue="1">
      <formula>0</formula>
    </cfRule>
  </conditionalFormatting>
  <conditionalFormatting sqref="I16">
    <cfRule type="cellIs" priority="11" operator="lessThan" dxfId="0" stopIfTrue="1">
      <formula>0</formula>
    </cfRule>
  </conditionalFormatting>
  <conditionalFormatting sqref="I17">
    <cfRule type="cellIs" priority="12" operator="lessThan" dxfId="0" stopIfTrue="1">
      <formula>0</formula>
    </cfRule>
  </conditionalFormatting>
  <conditionalFormatting sqref="I18">
    <cfRule type="cellIs" priority="13" operator="lessThan" dxfId="0" stopIfTrue="1">
      <formula>0</formula>
    </cfRule>
  </conditionalFormatting>
  <conditionalFormatting sqref="I19">
    <cfRule type="cellIs" priority="14" operator="lessThan" dxfId="0" stopIfTrue="1">
      <formula>0</formula>
    </cfRule>
  </conditionalFormatting>
  <conditionalFormatting sqref="I20">
    <cfRule type="cellIs" priority="15" operator="lessThan" dxfId="0" stopIfTrue="1">
      <formula>0</formula>
    </cfRule>
  </conditionalFormatting>
  <conditionalFormatting sqref="I21">
    <cfRule type="cellIs" priority="16" operator="lessThan" dxfId="0" stopIfTrue="1">
      <formula>0</formula>
    </cfRule>
  </conditionalFormatting>
  <conditionalFormatting sqref="I22">
    <cfRule type="cellIs" priority="17" operator="lessThan" dxfId="0" stopIfTrue="1">
      <formula>0</formula>
    </cfRule>
  </conditionalFormatting>
  <conditionalFormatting sqref="I23">
    <cfRule type="cellIs" priority="18" operator="lessThan" dxfId="0" stopIfTrue="1">
      <formula>0</formula>
    </cfRule>
  </conditionalFormatting>
  <conditionalFormatting sqref="I24">
    <cfRule type="cellIs" priority="19" operator="lessThan" dxfId="0" stopIfTrue="1">
      <formula>0</formula>
    </cfRule>
  </conditionalFormatting>
  <conditionalFormatting sqref="I25">
    <cfRule type="cellIs" priority="20" operator="lessThan" dxfId="0" stopIfTrue="1">
      <formula>0</formula>
    </cfRule>
  </conditionalFormatting>
  <conditionalFormatting sqref="I26">
    <cfRule type="cellIs" priority="21" operator="lessThan" dxfId="0" stopIfTrue="1">
      <formula>0</formula>
    </cfRule>
  </conditionalFormatting>
  <conditionalFormatting sqref="I27">
    <cfRule type="cellIs" priority="22" operator="lessThan" dxfId="0" stopIfTrue="1">
      <formula>0</formula>
    </cfRule>
  </conditionalFormatting>
  <conditionalFormatting sqref="I28">
    <cfRule type="cellIs" priority="23" operator="lessThan" dxfId="0" stopIfTrue="1">
      <formula>0</formula>
    </cfRule>
  </conditionalFormatting>
  <conditionalFormatting sqref="I29">
    <cfRule type="cellIs" priority="24" operator="lessThan" dxfId="0" stopIfTrue="1">
      <formula>0</formula>
    </cfRule>
  </conditionalFormatting>
  <conditionalFormatting sqref="I30">
    <cfRule type="cellIs" priority="25" operator="lessThan" dxfId="0" stopIfTrue="1">
      <formula>0</formula>
    </cfRule>
  </conditionalFormatting>
  <conditionalFormatting sqref="I31">
    <cfRule type="cellIs" priority="26" operator="lessThan" dxfId="0" stopIfTrue="1">
      <formula>0</formula>
    </cfRule>
  </conditionalFormatting>
  <conditionalFormatting sqref="I32">
    <cfRule type="cellIs" priority="27" operator="lessThan" dxfId="0" stopIfTrue="1">
      <formula>0</formula>
    </cfRule>
  </conditionalFormatting>
  <conditionalFormatting sqref="I33">
    <cfRule type="cellIs" priority="28" operator="lessThan" dxfId="0" stopIfTrue="1">
      <formula>0</formula>
    </cfRule>
  </conditionalFormatting>
  <conditionalFormatting sqref="I34">
    <cfRule type="cellIs" priority="29" operator="lessThan" dxfId="0" stopIfTrue="1">
      <formula>0</formula>
    </cfRule>
  </conditionalFormatting>
  <conditionalFormatting sqref="I35">
    <cfRule type="cellIs" priority="30" operator="lessThan" dxfId="0" stopIfTrue="1">
      <formula>0</formula>
    </cfRule>
  </conditionalFormatting>
  <conditionalFormatting sqref="I36">
    <cfRule type="cellIs" priority="31" operator="lessThan" dxfId="0" stopIfTrue="1">
      <formula>0</formula>
    </cfRule>
  </conditionalFormatting>
  <conditionalFormatting sqref="I37">
    <cfRule type="cellIs" priority="32" operator="lessThan" dxfId="0" stopIfTrue="1">
      <formula>0</formula>
    </cfRule>
  </conditionalFormatting>
  <conditionalFormatting sqref="I38">
    <cfRule type="cellIs" priority="33" operator="lessThan" dxfId="0" stopIfTrue="1">
      <formula>0</formula>
    </cfRule>
  </conditionalFormatting>
  <conditionalFormatting sqref="I39">
    <cfRule type="cellIs" priority="34" operator="lessThan" dxfId="0" stopIfTrue="1">
      <formula>0</formula>
    </cfRule>
  </conditionalFormatting>
  <conditionalFormatting sqref="I40">
    <cfRule type="cellIs" priority="35" operator="lessThan" dxfId="0" stopIfTrue="1">
      <formula>0</formula>
    </cfRule>
  </conditionalFormatting>
  <conditionalFormatting sqref="I41">
    <cfRule type="cellIs" priority="36" operator="lessThan" dxfId="0" stopIfTrue="1">
      <formula>0</formula>
    </cfRule>
  </conditionalFormatting>
  <conditionalFormatting sqref="I42">
    <cfRule type="cellIs" priority="37" operator="lessThan" dxfId="0" stopIfTrue="1">
      <formula>0</formula>
    </cfRule>
  </conditionalFormatting>
  <conditionalFormatting sqref="I51">
    <cfRule type="cellIs" priority="38" operator="lessThan" dxfId="0" stopIfTrue="1">
      <formula>0</formula>
    </cfRule>
  </conditionalFormatting>
  <conditionalFormatting sqref="I52">
    <cfRule type="cellIs" priority="39" operator="lessThan" dxfId="0" stopIfTrue="1">
      <formula>0</formula>
    </cfRule>
  </conditionalFormatting>
  <conditionalFormatting sqref="I53">
    <cfRule type="cellIs" priority="40" operator="lessThan" dxfId="0" stopIfTrue="1">
      <formula>0</formula>
    </cfRule>
  </conditionalFormatting>
  <conditionalFormatting sqref="I54">
    <cfRule type="cellIs" priority="41" operator="lessThan" dxfId="0" stopIfTrue="1">
      <formula>0</formula>
    </cfRule>
  </conditionalFormatting>
  <conditionalFormatting sqref="I55">
    <cfRule type="cellIs" priority="42" operator="lessThan" dxfId="0" stopIfTrue="1">
      <formula>0</formula>
    </cfRule>
  </conditionalFormatting>
  <conditionalFormatting sqref="I56">
    <cfRule type="cellIs" priority="43" operator="lessThan" dxfId="0" stopIfTrue="1">
      <formula>0</formula>
    </cfRule>
  </conditionalFormatting>
  <conditionalFormatting sqref="I57">
    <cfRule type="cellIs" priority="44" operator="lessThan" dxfId="0" stopIfTrue="1">
      <formula>0</formula>
    </cfRule>
  </conditionalFormatting>
  <conditionalFormatting sqref="I58">
    <cfRule type="cellIs" priority="45" operator="lessThan" dxfId="0" stopIfTrue="1">
      <formula>0</formula>
    </cfRule>
  </conditionalFormatting>
  <conditionalFormatting sqref="I59">
    <cfRule type="cellIs" priority="46" operator="lessThan" dxfId="0" stopIfTrue="1">
      <formula>0</formula>
    </cfRule>
  </conditionalFormatting>
  <conditionalFormatting sqref="I60">
    <cfRule type="cellIs" priority="47" operator="lessThan" dxfId="0" stopIfTrue="1">
      <formula>0</formula>
    </cfRule>
  </conditionalFormatting>
  <conditionalFormatting sqref="I61">
    <cfRule type="cellIs" priority="48" operator="lessThan" dxfId="0" stopIfTrue="1">
      <formula>0</formula>
    </cfRule>
  </conditionalFormatting>
  <conditionalFormatting sqref="I62">
    <cfRule type="cellIs" priority="49" operator="lessThan" dxfId="0" stopIfTrue="1">
      <formula>0</formula>
    </cfRule>
  </conditionalFormatting>
  <conditionalFormatting sqref="I63">
    <cfRule type="cellIs" priority="50" operator="lessThan" dxfId="0" stopIfTrue="1">
      <formula>0</formula>
    </cfRule>
  </conditionalFormatting>
  <conditionalFormatting sqref="I64">
    <cfRule type="cellIs" priority="51" operator="lessThan" dxfId="0" stopIfTrue="1">
      <formula>0</formula>
    </cfRule>
  </conditionalFormatting>
  <conditionalFormatting sqref="I65">
    <cfRule type="cellIs" priority="52" operator="lessThan" dxfId="0" stopIfTrue="1">
      <formula>0</formula>
    </cfRule>
  </conditionalFormatting>
  <conditionalFormatting sqref="I66">
    <cfRule type="cellIs" priority="53" operator="lessThan" dxfId="0" stopIfTrue="1">
      <formula>0</formula>
    </cfRule>
  </conditionalFormatting>
  <conditionalFormatting sqref="I67">
    <cfRule type="cellIs" priority="54" operator="lessThan" dxfId="0" stopIfTrue="1">
      <formula>0</formula>
    </cfRule>
  </conditionalFormatting>
  <conditionalFormatting sqref="I68">
    <cfRule type="cellIs" priority="55" operator="lessThan" dxfId="0" stopIfTrue="1">
      <formula>0</formula>
    </cfRule>
  </conditionalFormatting>
  <conditionalFormatting sqref="I69">
    <cfRule type="cellIs" priority="56" operator="lessThan" dxfId="0" stopIfTrue="1">
      <formula>0</formula>
    </cfRule>
  </conditionalFormatting>
  <conditionalFormatting sqref="I70">
    <cfRule type="cellIs" priority="57" operator="lessThan" dxfId="0" stopIfTrue="1">
      <formula>0</formula>
    </cfRule>
  </conditionalFormatting>
  <conditionalFormatting sqref="I71">
    <cfRule type="cellIs" priority="58" operator="lessThan" dxfId="0" stopIfTrue="1">
      <formula>0</formula>
    </cfRule>
  </conditionalFormatting>
  <conditionalFormatting sqref="I72">
    <cfRule type="cellIs" priority="59" operator="lessThan" dxfId="0" stopIfTrue="1">
      <formula>0</formula>
    </cfRule>
  </conditionalFormatting>
  <conditionalFormatting sqref="I73">
    <cfRule type="cellIs" priority="60" operator="lessThan" dxfId="0" stopIfTrue="1">
      <formula>0</formula>
    </cfRule>
  </conditionalFormatting>
  <conditionalFormatting sqref="I74">
    <cfRule type="cellIs" priority="61" operator="lessThan" dxfId="0" stopIfTrue="1">
      <formula>0</formula>
    </cfRule>
  </conditionalFormatting>
  <conditionalFormatting sqref="I75">
    <cfRule type="cellIs" priority="62" operator="lessThan" dxfId="0" stopIfTrue="1">
      <formula>0</formula>
    </cfRule>
  </conditionalFormatting>
  <conditionalFormatting sqref="I76">
    <cfRule type="cellIs" priority="63" operator="lessThan" dxfId="0" stopIfTrue="1">
      <formula>0</formula>
    </cfRule>
  </conditionalFormatting>
  <conditionalFormatting sqref="I77">
    <cfRule type="cellIs" priority="64" operator="lessThan" dxfId="0" stopIfTrue="1">
      <formula>0</formula>
    </cfRule>
  </conditionalFormatting>
  <conditionalFormatting sqref="I78">
    <cfRule type="cellIs" priority="65" operator="lessThan" dxfId="0" stopIfTrue="1">
      <formula>0</formula>
    </cfRule>
  </conditionalFormatting>
  <conditionalFormatting sqref="I79">
    <cfRule type="cellIs" priority="66" operator="lessThan" dxfId="0" stopIfTrue="1">
      <formula>0</formula>
    </cfRule>
  </conditionalFormatting>
  <conditionalFormatting sqref="I80">
    <cfRule type="cellIs" priority="67" operator="lessThan" dxfId="0" stopIfTrue="1">
      <formula>0</formula>
    </cfRule>
  </conditionalFormatting>
  <conditionalFormatting sqref="I81">
    <cfRule type="cellIs" priority="68" operator="lessThan" dxfId="0" stopIfTrue="1">
      <formula>0</formula>
    </cfRule>
  </conditionalFormatting>
  <conditionalFormatting sqref="I82">
    <cfRule type="cellIs" priority="69" operator="lessThan" dxfId="0" stopIfTrue="1">
      <formula>0</formula>
    </cfRule>
  </conditionalFormatting>
  <conditionalFormatting sqref="I83">
    <cfRule type="cellIs" priority="70" operator="lessThan" dxfId="0" stopIfTrue="1">
      <formula>0</formula>
    </cfRule>
  </conditionalFormatting>
  <conditionalFormatting sqref="I92">
    <cfRule type="cellIs" priority="71" operator="lessThan" dxfId="0" stopIfTrue="1">
      <formula>0</formula>
    </cfRule>
  </conditionalFormatting>
  <conditionalFormatting sqref="I93">
    <cfRule type="cellIs" priority="72" operator="lessThan" dxfId="0" stopIfTrue="1">
      <formula>0</formula>
    </cfRule>
  </conditionalFormatting>
  <conditionalFormatting sqref="I94">
    <cfRule type="cellIs" priority="73" operator="lessThan" dxfId="0" stopIfTrue="1">
      <formula>0</formula>
    </cfRule>
  </conditionalFormatting>
  <conditionalFormatting sqref="I95">
    <cfRule type="cellIs" priority="74" operator="lessThan" dxfId="0" stopIfTrue="1">
      <formula>0</formula>
    </cfRule>
  </conditionalFormatting>
  <conditionalFormatting sqref="I96">
    <cfRule type="cellIs" priority="75" operator="lessThan" dxfId="0" stopIfTrue="1">
      <formula>0</formula>
    </cfRule>
  </conditionalFormatting>
  <conditionalFormatting sqref="I97">
    <cfRule type="cellIs" priority="76" operator="lessThan" dxfId="0" stopIfTrue="1">
      <formula>0</formula>
    </cfRule>
  </conditionalFormatting>
  <conditionalFormatting sqref="I98">
    <cfRule type="cellIs" priority="77" operator="lessThan" dxfId="0" stopIfTrue="1">
      <formula>0</formula>
    </cfRule>
  </conditionalFormatting>
  <conditionalFormatting sqref="I99">
    <cfRule type="cellIs" priority="78" operator="lessThan" dxfId="0" stopIfTrue="1">
      <formula>0</formula>
    </cfRule>
  </conditionalFormatting>
  <conditionalFormatting sqref="I100">
    <cfRule type="cellIs" priority="79" operator="lessThan" dxfId="0" stopIfTrue="1">
      <formula>0</formula>
    </cfRule>
  </conditionalFormatting>
  <conditionalFormatting sqref="I101">
    <cfRule type="cellIs" priority="80" operator="lessThan" dxfId="0" stopIfTrue="1">
      <formula>0</formula>
    </cfRule>
  </conditionalFormatting>
  <conditionalFormatting sqref="I102">
    <cfRule type="cellIs" priority="81" operator="lessThan" dxfId="0" stopIfTrue="1">
      <formula>0</formula>
    </cfRule>
  </conditionalFormatting>
  <conditionalFormatting sqref="I103">
    <cfRule type="cellIs" priority="82" operator="lessThan" dxfId="0" stopIfTrue="1">
      <formula>0</formula>
    </cfRule>
  </conditionalFormatting>
  <conditionalFormatting sqref="I104">
    <cfRule type="cellIs" priority="83" operator="lessThan" dxfId="0" stopIfTrue="1">
      <formula>0</formula>
    </cfRule>
  </conditionalFormatting>
  <conditionalFormatting sqref="I105">
    <cfRule type="cellIs" priority="84" operator="lessThan" dxfId="0" stopIfTrue="1">
      <formula>0</formula>
    </cfRule>
  </conditionalFormatting>
  <conditionalFormatting sqref="I106">
    <cfRule type="cellIs" priority="85" operator="lessThan" dxfId="0" stopIfTrue="1">
      <formula>0</formula>
    </cfRule>
  </conditionalFormatting>
  <conditionalFormatting sqref="I107">
    <cfRule type="cellIs" priority="86" operator="lessThan" dxfId="0" stopIfTrue="1">
      <formula>0</formula>
    </cfRule>
  </conditionalFormatting>
  <conditionalFormatting sqref="I108">
    <cfRule type="cellIs" priority="87" operator="lessThan" dxfId="0" stopIfTrue="1">
      <formula>0</formula>
    </cfRule>
  </conditionalFormatting>
  <conditionalFormatting sqref="I109">
    <cfRule type="cellIs" priority="88" operator="lessThan" dxfId="0" stopIfTrue="1">
      <formula>0</formula>
    </cfRule>
  </conditionalFormatting>
  <conditionalFormatting sqref="I110">
    <cfRule type="cellIs" priority="89" operator="lessThan" dxfId="0" stopIfTrue="1">
      <formula>0</formula>
    </cfRule>
  </conditionalFormatting>
  <conditionalFormatting sqref="I111">
    <cfRule type="cellIs" priority="90" operator="lessThan" dxfId="0" stopIfTrue="1">
      <formula>0</formula>
    </cfRule>
  </conditionalFormatting>
  <conditionalFormatting sqref="I112">
    <cfRule type="cellIs" priority="91" operator="lessThan" dxfId="0" stopIfTrue="1">
      <formula>0</formula>
    </cfRule>
  </conditionalFormatting>
  <conditionalFormatting sqref="I113">
    <cfRule type="cellIs" priority="92" operator="lessThan" dxfId="0" stopIfTrue="1">
      <formula>0</formula>
    </cfRule>
  </conditionalFormatting>
  <conditionalFormatting sqref="I114">
    <cfRule type="cellIs" priority="93" operator="lessThan" dxfId="0" stopIfTrue="1">
      <formula>0</formula>
    </cfRule>
  </conditionalFormatting>
  <conditionalFormatting sqref="I115">
    <cfRule type="cellIs" priority="94" operator="lessThan" dxfId="0" stopIfTrue="1">
      <formula>0</formula>
    </cfRule>
  </conditionalFormatting>
  <conditionalFormatting sqref="I116">
    <cfRule type="cellIs" priority="95" operator="lessThan" dxfId="0" stopIfTrue="1">
      <formula>0</formula>
    </cfRule>
  </conditionalFormatting>
  <conditionalFormatting sqref="I117">
    <cfRule type="cellIs" priority="96" operator="lessThan" dxfId="0" stopIfTrue="1">
      <formula>0</formula>
    </cfRule>
  </conditionalFormatting>
  <conditionalFormatting sqref="I118">
    <cfRule type="cellIs" priority="97" operator="lessThan" dxfId="0" stopIfTrue="1">
      <formula>0</formula>
    </cfRule>
  </conditionalFormatting>
  <conditionalFormatting sqref="I119">
    <cfRule type="cellIs" priority="98" operator="lessThan" dxfId="0" stopIfTrue="1">
      <formula>0</formula>
    </cfRule>
  </conditionalFormatting>
  <conditionalFormatting sqref="I120">
    <cfRule type="cellIs" priority="99" operator="lessThan" dxfId="0" stopIfTrue="1">
      <formula>0</formula>
    </cfRule>
  </conditionalFormatting>
  <conditionalFormatting sqref="I121">
    <cfRule type="cellIs" priority="100" operator="lessThan" dxfId="0" stopIfTrue="1">
      <formula>0</formula>
    </cfRule>
  </conditionalFormatting>
  <conditionalFormatting sqref="I122">
    <cfRule type="cellIs" priority="101" operator="lessThan" dxfId="0" stopIfTrue="1">
      <formula>0</formula>
    </cfRule>
  </conditionalFormatting>
  <conditionalFormatting sqref="I123">
    <cfRule type="cellIs" priority="102" operator="lessThan" dxfId="0" stopIfTrue="1">
      <formula>0</formula>
    </cfRule>
  </conditionalFormatting>
  <conditionalFormatting sqref="I124">
    <cfRule type="cellIs" priority="103" operator="lessThan" dxfId="0" stopIfTrue="1">
      <formula>0</formula>
    </cfRule>
  </conditionalFormatting>
  <conditionalFormatting sqref="I125">
    <cfRule type="cellIs" priority="104" operator="lessThan" dxfId="0" stopIfTrue="1">
      <formula>0</formula>
    </cfRule>
  </conditionalFormatting>
  <conditionalFormatting sqref="I126">
    <cfRule type="cellIs" priority="105" operator="lessThan" dxfId="0" stopIfTrue="1">
      <formula>0</formula>
    </cfRule>
  </conditionalFormatting>
  <dataValidations count="41">
    <dataValidation sqref="B2" showDropDown="0" showInputMessage="0" showErrorMessage="0" allowBlank="0" type="list">
      <formula1>"SV,CAD,ADM,Pauschale,-"</formula1>
    </dataValidation>
    <dataValidation sqref="J6" showDropDown="0" showInputMessage="0" showErrorMessage="0" allowBlank="1" type="list">
      <formula1>"A. Kokott,C. Trapp SV,D. Brucker,E. Bieler,J. Dorchies,J. Dorn,P. Bergner,R. Böttiger,S. Schüler,T. Trautmann,U. Sutter ADM"</formula1>
    </dataValidation>
    <dataValidation sqref="J7" showDropDown="0" showInputMessage="0" showErrorMessage="0" allowBlank="1" type="list">
      <formula1>"M. Warner"</formula1>
    </dataValidation>
    <dataValidation sqref="J11" showDropDown="0" showInputMessage="0" showErrorMessage="0" allowBlank="1" type="list">
      <formula1>"R. Wagen CAD,S. Schüler"</formula1>
    </dataValidation>
    <dataValidation sqref="J12" showDropDown="0" showInputMessage="0" showErrorMessage="0" allowBlank="1" type="list">
      <formula1>"R. Wagen CAD"</formula1>
    </dataValidation>
    <dataValidation sqref="J16" showDropDown="0" showInputMessage="0" showErrorMessage="0" allowBlank="1" type="list">
      <formula1>"T. Trautmann"</formula1>
    </dataValidation>
    <dataValidation sqref="J17" showDropDown="0" showInputMessage="0" showErrorMessage="0" allowBlank="1" type="list">
      <formula1>"S. Schüler"</formula1>
    </dataValidation>
    <dataValidation sqref="J18" showDropDown="0" showInputMessage="0" showErrorMessage="0" allowBlank="1" type="list">
      <formula1>"S. Schüler"</formula1>
    </dataValidation>
    <dataValidation sqref="J19" showDropDown="0" showInputMessage="0" showErrorMessage="0" allowBlank="1" type="list">
      <formula1>"M. Warner"</formula1>
    </dataValidation>
    <dataValidation sqref="J26" showDropDown="0" showInputMessage="0" showErrorMessage="0" allowBlank="1" type="list">
      <formula1>"P. Bergner"</formula1>
    </dataValidation>
    <dataValidation sqref="J29" showDropDown="0" showInputMessage="0" showErrorMessage="0" allowBlank="1" type="list">
      <formula1>"R. Wagen CAD"</formula1>
    </dataValidation>
    <dataValidation sqref="J30" showDropDown="0" showInputMessage="0" showErrorMessage="0" allowBlank="1" type="list">
      <formula1>"R. Wagen CAD"</formula1>
    </dataValidation>
    <dataValidation sqref="J34" showDropDown="0" showInputMessage="0" showErrorMessage="0" allowBlank="1" type="list">
      <formula1>"P. Bergner"</formula1>
    </dataValidation>
    <dataValidation sqref="J40" showDropDown="0" showInputMessage="0" showErrorMessage="0" allowBlank="1" type="list">
      <formula1>"R. Wagen CAD"</formula1>
    </dataValidation>
    <dataValidation sqref="J41" showDropDown="0" showInputMessage="0" showErrorMessage="0" allowBlank="1" type="list">
      <formula1>"E. Bieler"</formula1>
    </dataValidation>
    <dataValidation sqref="J51" showDropDown="0" showInputMessage="0" showErrorMessage="0" allowBlank="1" type="list">
      <formula1>"A. Kokott,C. Trapp SV,D. Brucker,E. Bieler,J. Dorchies,J. Dorn,P. Bergner,R. Böttiger,S. Schüler,T. Trautmann,U. Sutter ADM"</formula1>
    </dataValidation>
    <dataValidation sqref="J52" showDropDown="0" showInputMessage="0" showErrorMessage="0" allowBlank="1" type="list">
      <formula1>"A. Kokott,C. Trapp SV,D. Brucker,E. Bieler,J. Dorchies,J. Dorn,M. Bandlofsky,P. Bergner,R. Wagen CAD,T. Trautmann,U. Sutter ADM"</formula1>
    </dataValidation>
    <dataValidation sqref="J56" showDropDown="0" showInputMessage="0" showErrorMessage="0" allowBlank="1" type="list">
      <formula1>"R. Wagen CAD,S. Schüler"</formula1>
    </dataValidation>
    <dataValidation sqref="J57" showDropDown="0" showInputMessage="0" showErrorMessage="0" allowBlank="1" type="list">
      <formula1>"S. Schüler"</formula1>
    </dataValidation>
    <dataValidation sqref="J58" showDropDown="0" showInputMessage="0" showErrorMessage="0" allowBlank="1" type="list">
      <formula1>"S. Schüler"</formula1>
    </dataValidation>
    <dataValidation sqref="J59" showDropDown="0" showInputMessage="0" showErrorMessage="0" allowBlank="1" type="list">
      <formula1>"S. Schüler"</formula1>
    </dataValidation>
    <dataValidation sqref="J60" showDropDown="0" showInputMessage="0" showErrorMessage="0" allowBlank="1" type="list">
      <formula1>"M. Warner"</formula1>
    </dataValidation>
    <dataValidation sqref="J64" showDropDown="0" showInputMessage="0" showErrorMessage="0" allowBlank="1" type="list">
      <formula1>"R. Wagen CAD"</formula1>
    </dataValidation>
    <dataValidation sqref="J67" showDropDown="0" showInputMessage="0" showErrorMessage="0" allowBlank="1" type="list">
      <formula1>"R. Wagen CAD"</formula1>
    </dataValidation>
    <dataValidation sqref="J71" showDropDown="0" showInputMessage="0" showErrorMessage="0" allowBlank="1" type="list">
      <formula1>"J. Dorn"</formula1>
    </dataValidation>
    <dataValidation sqref="J72" showDropDown="0" showInputMessage="0" showErrorMessage="0" allowBlank="1" type="list">
      <formula1>"R. Wagen CAD"</formula1>
    </dataValidation>
    <dataValidation sqref="J74" showDropDown="0" showInputMessage="0" showErrorMessage="0" allowBlank="1" type="list">
      <formula1>"P. Bergner"</formula1>
    </dataValidation>
    <dataValidation sqref="J81" showDropDown="0" showInputMessage="0" showErrorMessage="0" allowBlank="1" type="list">
      <formula1>"M. Warner"</formula1>
    </dataValidation>
    <dataValidation sqref="J83" showDropDown="0" showInputMessage="0" showErrorMessage="0" allowBlank="1" type="list">
      <formula1>"M. Warner"</formula1>
    </dataValidation>
    <dataValidation sqref="J92" showDropDown="0" showInputMessage="0" showErrorMessage="0" allowBlank="1" type="list">
      <formula1>"A. Kokott,C. Trapp SV,D. Brucker,E. Bieler,J. Dorchies,J. Dorn,P. Bergner,R. Böttiger,S. Schüler,T. Trautmann,U. Sutter ADM"</formula1>
    </dataValidation>
    <dataValidation sqref="J93" showDropDown="0" showInputMessage="0" showErrorMessage="0" allowBlank="1" type="list">
      <formula1>"A. Kokott,C. Trapp SV,D. Brucker,E. Bieler,J. Dorchies,J. Dorn,M. Bandlofsky,P. Bergner,R. Wagen CAD,T. Trautmann,U. Sutter ADM"</formula1>
    </dataValidation>
    <dataValidation sqref="J94" showDropDown="0" showInputMessage="0" showErrorMessage="0" allowBlank="1" type="list">
      <formula1>"C. Trapp SV,J. Dorn,P. Bergner,T. Trautmann"</formula1>
    </dataValidation>
    <dataValidation sqref="J100" showDropDown="0" showInputMessage="0" showErrorMessage="0" allowBlank="1" type="list">
      <formula1>"M. Bandlofsky CAD"</formula1>
    </dataValidation>
    <dataValidation sqref="J106" showDropDown="0" showInputMessage="0" showErrorMessage="0" allowBlank="1" type="list">
      <formula1>"A. Kokott,J. Dorn,M. Bandlofsky,T. Trautmann"</formula1>
    </dataValidation>
    <dataValidation sqref="J109" showDropDown="0" showInputMessage="0" showErrorMessage="0" allowBlank="1" type="list">
      <formula1>"A. Kokott,E. Bieler,J. Dorchies,J. Dorn,P. Bergner,R. Böttiger"</formula1>
    </dataValidation>
    <dataValidation sqref="J110" showDropDown="0" showInputMessage="0" showErrorMessage="0" allowBlank="1" type="list">
      <formula1>"P. Bergner"</formula1>
    </dataValidation>
    <dataValidation sqref="J114" showDropDown="0" showInputMessage="0" showErrorMessage="0" allowBlank="1" type="list">
      <formula1>"J. Dorn"</formula1>
    </dataValidation>
    <dataValidation sqref="J115" showDropDown="0" showInputMessage="0" showErrorMessage="0" allowBlank="1" type="list">
      <formula1>"R. Wagen CAD"</formula1>
    </dataValidation>
    <dataValidation sqref="J119" showDropDown="0" showInputMessage="0" showErrorMessage="0" allowBlank="1" type="list">
      <formula1>"S. Schüler"</formula1>
    </dataValidation>
    <dataValidation sqref="J122" showDropDown="0" showInputMessage="0" showErrorMessage="0" allowBlank="1" type="list">
      <formula1>"E. Bieler"</formula1>
    </dataValidation>
    <dataValidation sqref="J123" showDropDown="0" showInputMessage="0" showErrorMessage="0" allowBlank="1" type="list">
      <formula1>"R. Wagen CAD"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74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8" customWidth="1" min="3" max="3"/>
    <col width="12" customWidth="1" min="4" max="4"/>
    <col width="12" customWidth="1" min="5" max="5"/>
    <col width="12" customWidth="1" min="6" max="6"/>
    <col width="8" customWidth="1" min="7" max="7"/>
    <col width="16" customWidth="1" min="8" max="8"/>
    <col width="12" customWidth="1" min="9" max="9"/>
    <col width="25" customWidth="1" min="10" max="10"/>
    <col width="15" customWidth="1" min="11" max="11"/>
    <col width="18" customWidth="1" min="12" max="12"/>
    <col width="15" customWidth="1" min="13" max="13"/>
    <col width="18" customWidth="1" min="14" max="14"/>
    <col width="15" customWidth="1" min="15" max="15"/>
    <col width="22" customWidth="1" min="16" max="16"/>
  </cols>
  <sheetData>
    <row r="1">
      <c r="A1" t="inlineStr">
        <is>
          <t>P. Bergner - Quartalsreport 2025Q3</t>
        </is>
      </c>
    </row>
    <row r="2">
      <c r="A2" s="12" t="inlineStr">
        <is>
          <t>Position:</t>
        </is>
      </c>
      <c r="B2" t="inlineStr">
        <is>
          <t>SV</t>
        </is>
      </c>
    </row>
    <row r="4">
      <c r="A4" s="2" t="inlineStr">
        <is>
          <t>--- Juli 2025 ---</t>
        </is>
      </c>
    </row>
    <row r="5">
      <c r="A5" s="3" t="inlineStr">
        <is>
          <t>Projekt</t>
        </is>
      </c>
      <c r="B5" s="3" t="inlineStr">
        <is>
          <t>Meilenstein</t>
        </is>
      </c>
      <c r="C5" s="3" t="inlineStr">
        <is>
          <t>Typ</t>
        </is>
      </c>
      <c r="D5" s="3" t="inlineStr">
        <is>
          <t>Soll (h)</t>
        </is>
      </c>
      <c r="E5" s="3" t="inlineStr">
        <is>
          <t>Ist (h)</t>
        </is>
      </c>
      <c r="F5" s="3" t="inlineStr">
        <is>
          <t>Juli 2025 (h)</t>
        </is>
      </c>
      <c r="G5" s="3" t="inlineStr">
        <is>
          <t>%</t>
        </is>
      </c>
      <c r="H5" s="3" t="inlineStr">
        <is>
          <t>Bonus-Anpassung (h)</t>
        </is>
      </c>
      <c r="I5" s="3" t="inlineStr">
        <is>
          <t>Differenz (h)</t>
        </is>
      </c>
      <c r="J5" s="3" t="inlineStr">
        <is>
          <t>Zuordnen an</t>
        </is>
      </c>
      <c r="K5" s="3" t="inlineStr">
        <is>
          <t>Von anderen (h)</t>
        </is>
      </c>
      <c r="L5" s="3" t="inlineStr">
        <is>
          <t>Stundensatz (€/h)</t>
        </is>
      </c>
      <c r="M5" s="3" t="inlineStr">
        <is>
          <t>Umsatz (€)</t>
        </is>
      </c>
      <c r="N5" s="3" t="inlineStr">
        <is>
          <t>Budget Gesamt (€)</t>
        </is>
      </c>
      <c r="O5" s="3" t="inlineStr">
        <is>
          <t>Budget Ist (€)</t>
        </is>
      </c>
      <c r="P5" s="3" t="inlineStr">
        <is>
          <t>Budget Erwirtschaftet (€)</t>
        </is>
      </c>
    </row>
    <row r="6">
      <c r="A6" s="4" t="inlineStr">
        <is>
          <t>5156.03 LP8-LBBTR-SPES-N-Airbase-Spangdahlem</t>
        </is>
      </c>
      <c r="B6" s="4" t="inlineStr">
        <is>
          <t>(p) Pos. 8 LPH 8 Objektüberwachung</t>
        </is>
      </c>
      <c r="C6" s="4" t="inlineStr">
        <is>
          <t>G</t>
        </is>
      </c>
      <c r="D6" s="4" t="n">
        <v>295.5</v>
      </c>
      <c r="E6" s="4" t="n">
        <v>108.25</v>
      </c>
      <c r="F6" s="4" t="n">
        <v>8</v>
      </c>
      <c r="G6" s="17" t="n">
        <v>36.63</v>
      </c>
      <c r="H6" s="5" t="n"/>
      <c r="I6" s="5">
        <f>IF(H6=0,"",F6-H6)</f>
        <v/>
      </c>
      <c r="J6" s="4" t="n"/>
      <c r="K6" s="5">
        <f>IF('E. Bieler'!J10="P. Bergner",'E. Bieler'!I10,0)+IF('J. Dorn'!J9="P. Bergner",'J. Dorn'!I9,0)</f>
        <v/>
      </c>
      <c r="L6" s="11">
        <f>IF($B$2="-","",IF($B$2="Pauschale",IFERROR(INDEX('Projekt-Budget-Übersicht'!$H:$H,MATCH(A6,'Projekt-Budget-Übersicht'!$A:$A,0)),""),IF($B$2="SV",IFERROR(INDEX('Projekt-Budget-Übersicht'!$H:$H,MATCH(A6,'Projekt-Budget-Übersicht'!$A:$A,0)),""),IF($B$2="CAD",IFERROR(INDEX('Projekt-Budget-Übersicht'!$I:$I,MATCH(A6,'Projekt-Budget-Übersicht'!$A:$A,0)),""),IF($B$2="ADM",IFERROR(INDEX('Projekt-Budget-Übersicht'!$J:$J,MATCH(A6,'Projekt-Budget-Übersicht'!$A:$A,0)),""),"")))))</f>
        <v/>
      </c>
      <c r="M6" s="11">
        <f>IF($B$2="-","",L6*(F6+I6+K6))</f>
        <v/>
      </c>
      <c r="N6" s="11">
        <f>IFERROR(INDEX('Projekt-Budget-Übersicht'!$E:$E,MATCH(A6,'Projekt-Budget-Übersicht'!$A:$A,0)),"")</f>
        <v/>
      </c>
      <c r="O6" s="11" t="inlineStr"/>
      <c r="P6" s="11" t="inlineStr"/>
    </row>
    <row r="7">
      <c r="A7" s="4" t="inlineStr">
        <is>
          <t>6527.01 IO-Anp-BSK-Mühlenfeldstr1-Holzminden-Symotion</t>
        </is>
      </c>
      <c r="B7" s="4" t="inlineStr">
        <is>
          <t>SV</t>
        </is>
      </c>
      <c r="C7" s="4" t="inlineStr">
        <is>
          <t>G</t>
        </is>
      </c>
      <c r="D7" s="4" t="n">
        <v>6</v>
      </c>
      <c r="E7" s="4" t="n">
        <v>33.75</v>
      </c>
      <c r="F7" s="4" t="n">
        <v>3.5</v>
      </c>
      <c r="G7" s="16" t="n">
        <v>562.5</v>
      </c>
      <c r="H7" s="5" t="n"/>
      <c r="I7" s="5">
        <f>IF(H7=0,"",F7-H7)</f>
        <v/>
      </c>
      <c r="J7" s="4" t="n"/>
      <c r="K7" s="5">
        <f>IF('A. Kokott'!J14="P. Bergner",'A. Kokott'!I14,0)+IF('E. Bieler'!J20="P. Bergner",'E. Bieler'!I20,0)+IF('J. Dorchies'!J9="P. Bergner",'J. Dorchies'!I9,0)+IF('J. Dorn'!J23="P. Bergner",'J. Dorn'!I23,0)+IF('R. Böttiger'!J13="P. Bergner",'R. Böttiger'!I13,0)</f>
        <v/>
      </c>
      <c r="L7" s="11">
        <f>IF($B$2="-","",IF($B$2="Pauschale",IFERROR(INDEX('Projekt-Budget-Übersicht'!$H:$H,MATCH(A7,'Projekt-Budget-Übersicht'!$A:$A,0)),""),IF($B$2="SV",IFERROR(INDEX('Projekt-Budget-Übersicht'!$H:$H,MATCH(A7,'Projekt-Budget-Übersicht'!$A:$A,0)),""),IF($B$2="CAD",IFERROR(INDEX('Projekt-Budget-Übersicht'!$I:$I,MATCH(A7,'Projekt-Budget-Übersicht'!$A:$A,0)),""),IF($B$2="ADM",IFERROR(INDEX('Projekt-Budget-Übersicht'!$J:$J,MATCH(A7,'Projekt-Budget-Übersicht'!$A:$A,0)),""),"")))))</f>
        <v/>
      </c>
      <c r="M7" s="11">
        <f>IF($B$2="-","",L7*(F7+I7+K7))</f>
        <v/>
      </c>
      <c r="N7" s="11">
        <f>IFERROR(INDEX('Projekt-Budget-Übersicht'!$E:$E,MATCH(A7,'Projekt-Budget-Übersicht'!$A:$A,0)),"")</f>
        <v/>
      </c>
      <c r="O7" s="11" t="inlineStr"/>
      <c r="P7" s="11" t="inlineStr"/>
    </row>
    <row r="8">
      <c r="A8" s="4" t="inlineStr">
        <is>
          <t>6564.01 ROB-MCR-Weilerbach-Züblin-TP1</t>
        </is>
      </c>
      <c r="B8" s="4" t="inlineStr">
        <is>
          <t>8000-Objektüberwachung</t>
        </is>
      </c>
      <c r="C8" s="4" t="inlineStr">
        <is>
          <t>G</t>
        </is>
      </c>
      <c r="D8" s="4" t="n">
        <v>3640</v>
      </c>
      <c r="E8" s="4" t="n">
        <v>175.5</v>
      </c>
      <c r="F8" s="4" t="n">
        <v>15</v>
      </c>
      <c r="G8" s="17" t="n">
        <v>4.82</v>
      </c>
      <c r="H8" s="5" t="n"/>
      <c r="I8" s="5">
        <f>IF(H8=0,"",F8-H8)</f>
        <v/>
      </c>
      <c r="J8" s="4" t="n"/>
      <c r="K8" s="5">
        <f>IF('C. Trapp SV'!J19="P. Bergner",'C. Trapp SV'!I19,0)</f>
        <v/>
      </c>
      <c r="L8" s="11">
        <f>IF($B$2="-","",IF($B$2="Pauschale",IFERROR(INDEX('Projekt-Budget-Übersicht'!$H:$H,MATCH(A8,'Projekt-Budget-Übersicht'!$A:$A,0)),""),IF($B$2="SV",IFERROR(INDEX('Projekt-Budget-Übersicht'!$H:$H,MATCH(A8,'Projekt-Budget-Übersicht'!$A:$A,0)),""),IF($B$2="CAD",IFERROR(INDEX('Projekt-Budget-Übersicht'!$I:$I,MATCH(A8,'Projekt-Budget-Übersicht'!$A:$A,0)),""),IF($B$2="ADM",IFERROR(INDEX('Projekt-Budget-Übersicht'!$J:$J,MATCH(A8,'Projekt-Budget-Übersicht'!$A:$A,0)),""),"")))))</f>
        <v/>
      </c>
      <c r="M8" s="11">
        <f>IF($B$2="-","",L8*(F8+I8+K8))</f>
        <v/>
      </c>
      <c r="N8" s="11">
        <f>IFERROR(INDEX('Projekt-Budget-Übersicht'!$E:$E,MATCH(A8,'Projekt-Budget-Übersicht'!$A:$A,0)),"")</f>
        <v/>
      </c>
      <c r="O8" s="11" t="inlineStr"/>
      <c r="P8" s="11" t="inlineStr"/>
    </row>
    <row r="9">
      <c r="A9" s="4" t="inlineStr">
        <is>
          <t>6564.02 ROB-MCR-Weilerbach-Züblin-TP2</t>
        </is>
      </c>
      <c r="B9" s="4" t="inlineStr">
        <is>
          <t>5000-Ausführungsplanung</t>
        </is>
      </c>
      <c r="C9" s="4" t="inlineStr">
        <is>
          <t>G</t>
        </is>
      </c>
      <c r="D9" s="4" t="n">
        <v>1560</v>
      </c>
      <c r="E9" s="4" t="n">
        <v>452.75</v>
      </c>
      <c r="F9" s="4" t="n">
        <v>42</v>
      </c>
      <c r="G9" s="17" t="n">
        <v>29.02</v>
      </c>
      <c r="H9" s="5" t="n"/>
      <c r="I9" s="5">
        <f>IF(H9=0,"",F9-H9)</f>
        <v/>
      </c>
      <c r="J9" s="4" t="n"/>
      <c r="K9" s="5">
        <f>IF('O. Haag BS-CAD'!J26="P. Bergner",'O. Haag BS-CAD'!I26,0)</f>
        <v/>
      </c>
      <c r="L9" s="11">
        <f>IF($B$2="-","",IF($B$2="Pauschale",IFERROR(INDEX('Projekt-Budget-Übersicht'!$H:$H,MATCH(A9,'Projekt-Budget-Übersicht'!$A:$A,0)),""),IF($B$2="SV",IFERROR(INDEX('Projekt-Budget-Übersicht'!$H:$H,MATCH(A9,'Projekt-Budget-Übersicht'!$A:$A,0)),""),IF($B$2="CAD",IFERROR(INDEX('Projekt-Budget-Übersicht'!$I:$I,MATCH(A9,'Projekt-Budget-Übersicht'!$A:$A,0)),""),IF($B$2="ADM",IFERROR(INDEX('Projekt-Budget-Übersicht'!$J:$J,MATCH(A9,'Projekt-Budget-Übersicht'!$A:$A,0)),""),"")))))</f>
        <v/>
      </c>
      <c r="M9" s="11">
        <f>IF($B$2="-","",L9*(F9+I9+K9))</f>
        <v/>
      </c>
      <c r="N9" s="11">
        <f>IFERROR(INDEX('Projekt-Budget-Übersicht'!$E:$E,MATCH(A9,'Projekt-Budget-Übersicht'!$A:$A,0)),"")</f>
        <v/>
      </c>
      <c r="O9" s="11" t="inlineStr"/>
      <c r="P9" s="11" t="inlineStr"/>
    </row>
    <row r="10">
      <c r="A10" s="4" t="inlineStr">
        <is>
          <t>7065 LBB-IO-AHO-NB-Schießhauskomplex-(BHMH)-Smith-Barracks-Baumholder</t>
        </is>
      </c>
      <c r="B10" s="4" t="inlineStr">
        <is>
          <t>Pos. 1.80 GL (SV)</t>
        </is>
      </c>
      <c r="C10" s="4" t="inlineStr">
        <is>
          <t>G</t>
        </is>
      </c>
      <c r="D10" s="4" t="n">
        <v>25</v>
      </c>
      <c r="E10" s="4" t="n">
        <v>5.5</v>
      </c>
      <c r="F10" s="4" t="n">
        <v>2</v>
      </c>
      <c r="G10" s="17" t="n">
        <v>22</v>
      </c>
      <c r="H10" s="5" t="n"/>
      <c r="I10" s="5">
        <f>IF(H10=0,"",F10-H10)</f>
        <v/>
      </c>
      <c r="J10" s="4" t="n"/>
      <c r="K10" s="5" t="n">
        <v>0</v>
      </c>
      <c r="L10" s="11">
        <f>IF($B$2="-","",IF($B$2="Pauschale",IFERROR(INDEX('Projekt-Budget-Übersicht'!$H:$H,MATCH(A10,'Projekt-Budget-Übersicht'!$A:$A,0)),""),IF($B$2="SV",IFERROR(INDEX('Projekt-Budget-Übersicht'!$H:$H,MATCH(A10,'Projekt-Budget-Übersicht'!$A:$A,0)),""),IF($B$2="CAD",IFERROR(INDEX('Projekt-Budget-Übersicht'!$I:$I,MATCH(A10,'Projekt-Budget-Übersicht'!$A:$A,0)),""),IF($B$2="ADM",IFERROR(INDEX('Projekt-Budget-Übersicht'!$J:$J,MATCH(A10,'Projekt-Budget-Übersicht'!$A:$A,0)),""),"")))))</f>
        <v/>
      </c>
      <c r="M10" s="11">
        <f>IF($B$2="-","",L10*(F10+I10+K10))</f>
        <v/>
      </c>
      <c r="N10" s="11">
        <f>IFERROR(INDEX('Projekt-Budget-Übersicht'!$E:$E,MATCH(A10,'Projekt-Budget-Übersicht'!$A:$A,0)),"")</f>
        <v/>
      </c>
      <c r="O10" s="11" t="inlineStr"/>
      <c r="P10" s="11" t="inlineStr"/>
    </row>
    <row r="11">
      <c r="A11" s="13" t="inlineStr">
        <is>
          <t>7249 Klebl-AHO-Geb8259-Baumholder</t>
        </is>
      </c>
      <c r="B11" s="4" t="inlineStr">
        <is>
          <t>5000-Ausführungsplanung</t>
        </is>
      </c>
      <c r="C11" s="4" t="inlineStr">
        <is>
          <t>G</t>
        </is>
      </c>
      <c r="D11" s="4" t="n">
        <v>17</v>
      </c>
      <c r="E11" s="4" t="n">
        <v>12.5</v>
      </c>
      <c r="F11" s="4" t="n">
        <v>2</v>
      </c>
      <c r="G11" s="17" t="n">
        <v>73.53</v>
      </c>
      <c r="H11" s="5" t="n"/>
      <c r="I11" s="5">
        <f>IF(H11=0,"",F11-H11)</f>
        <v/>
      </c>
      <c r="J11" s="4" t="n"/>
      <c r="K11" s="5" t="n">
        <v>0</v>
      </c>
      <c r="L11" s="11">
        <f>IF($B$2="-","",IF($B$2="Pauschale",IFERROR(INDEX('Projekt-Budget-Übersicht'!$H:$H,MATCH(A11,'Projekt-Budget-Übersicht'!$A:$A,0)),""),IF($B$2="SV",IFERROR(INDEX('Projekt-Budget-Übersicht'!$H:$H,MATCH(A11,'Projekt-Budget-Übersicht'!$A:$A,0)),""),IF($B$2="CAD",IFERROR(INDEX('Projekt-Budget-Übersicht'!$I:$I,MATCH(A11,'Projekt-Budget-Übersicht'!$A:$A,0)),""),IF($B$2="ADM",IFERROR(INDEX('Projekt-Budget-Übersicht'!$J:$J,MATCH(A11,'Projekt-Budget-Übersicht'!$A:$A,0)),""),"")))))</f>
        <v/>
      </c>
      <c r="M11" s="11">
        <f>IF($B$2="-","",L11*(F11+I11+K11))</f>
        <v/>
      </c>
      <c r="N11" s="11">
        <f>IFERROR(INDEX('Projekt-Budget-Übersicht'!$E:$E,MATCH(A11,'Projekt-Budget-Übersicht'!$A:$A,0)),"")</f>
        <v/>
      </c>
      <c r="O11" s="11" t="inlineStr"/>
      <c r="P11" s="11" t="inlineStr"/>
    </row>
    <row r="12">
      <c r="A12" s="15" t="n"/>
      <c r="B12" s="4" t="inlineStr">
        <is>
          <t>5301-95% -Review, AFU-BAU…..</t>
        </is>
      </c>
      <c r="C12" s="4" t="inlineStr">
        <is>
          <t>G</t>
        </is>
      </c>
      <c r="D12" s="4" t="n">
        <v>10</v>
      </c>
      <c r="E12" s="4" t="n">
        <v>3.5</v>
      </c>
      <c r="F12" s="4" t="n">
        <v>2</v>
      </c>
      <c r="G12" s="17" t="n">
        <v>35</v>
      </c>
      <c r="H12" s="5" t="n"/>
      <c r="I12" s="5">
        <f>IF(H12=0,"",F12-H12)</f>
        <v/>
      </c>
      <c r="J12" s="4" t="n"/>
      <c r="K12" s="5" t="n">
        <v>0</v>
      </c>
      <c r="L12" s="11">
        <f>IF($B$2="-","",IF($B$2="Pauschale",IFERROR(INDEX('Projekt-Budget-Übersicht'!$H:$H,MATCH(A12,'Projekt-Budget-Übersicht'!$A:$A,0)),""),IF($B$2="SV",IFERROR(INDEX('Projekt-Budget-Übersicht'!$H:$H,MATCH(A12,'Projekt-Budget-Übersicht'!$A:$A,0)),""),IF($B$2="CAD",IFERROR(INDEX('Projekt-Budget-Übersicht'!$I:$I,MATCH(A12,'Projekt-Budget-Übersicht'!$A:$A,0)),""),IF($B$2="ADM",IFERROR(INDEX('Projekt-Budget-Übersicht'!$J:$J,MATCH(A12,'Projekt-Budget-Übersicht'!$A:$A,0)),""),"")))))</f>
        <v/>
      </c>
      <c r="M12" s="11">
        <f>IF($B$2="-","",L12*(F12+I12+K12))</f>
        <v/>
      </c>
      <c r="N12" s="11">
        <f>IFERROR(INDEX('Projekt-Budget-Übersicht'!$E:$E,MATCH(A12,'Projekt-Budget-Übersicht'!$A:$A,0)),"")</f>
        <v/>
      </c>
      <c r="O12" s="11" t="inlineStr"/>
      <c r="P12" s="11" t="inlineStr"/>
    </row>
    <row r="13">
      <c r="A13" s="3" t="inlineStr"/>
      <c r="B13" s="3" t="inlineStr">
        <is>
          <t>Summe</t>
        </is>
      </c>
      <c r="C13" s="3" t="inlineStr"/>
      <c r="D13" s="3" t="inlineStr"/>
      <c r="E13" s="3" t="inlineStr"/>
      <c r="F13" s="6" t="n">
        <v>74.5</v>
      </c>
      <c r="G13" s="3" t="inlineStr"/>
      <c r="H13" s="3" t="inlineStr"/>
      <c r="I13" s="3" t="inlineStr"/>
      <c r="J13" s="3" t="inlineStr"/>
      <c r="K13" s="3" t="inlineStr"/>
      <c r="L13" s="3" t="n"/>
      <c r="M13" s="3" t="n"/>
      <c r="N13" s="3" t="n"/>
      <c r="O13" s="3" t="n"/>
      <c r="P13" s="3" t="n"/>
    </row>
    <row r="14">
      <c r="A14" s="3" t="inlineStr"/>
      <c r="B14" s="3" t="inlineStr">
        <is>
          <t>Bonusberechtigte Stunden</t>
        </is>
      </c>
      <c r="C14" s="3" t="inlineStr"/>
      <c r="D14" s="3" t="inlineStr"/>
      <c r="E14" s="3" t="inlineStr"/>
      <c r="F14" s="6">
        <f>G14+H14</f>
        <v/>
      </c>
      <c r="G14" s="6" t="n">
        <v>71</v>
      </c>
      <c r="H14" s="6">
        <f>SUM(H6,H7,H8,H9,H10,H11,H12)</f>
        <v/>
      </c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</row>
    <row r="15">
      <c r="A15" s="3" t="inlineStr"/>
      <c r="B15" s="3" t="inlineStr">
        <is>
          <t>Bonusberechtigte Stunden Sonderprojekt</t>
        </is>
      </c>
      <c r="C15" s="3" t="inlineStr"/>
      <c r="D15" s="3" t="inlineStr"/>
      <c r="E15" s="3" t="inlineStr"/>
      <c r="F15" s="6" t="n">
        <v>0</v>
      </c>
      <c r="G15" s="6" t="n">
        <v>0</v>
      </c>
      <c r="H15" s="6" t="n">
        <v>0</v>
      </c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</row>
    <row r="16">
      <c r="A16" s="3" t="inlineStr"/>
      <c r="B16" s="3" t="inlineStr">
        <is>
          <t>Zugeordnete Stunden von anderen MA</t>
        </is>
      </c>
      <c r="C16" s="3" t="inlineStr"/>
      <c r="D16" s="3" t="inlineStr"/>
      <c r="E16" s="3" t="inlineStr"/>
      <c r="F16" s="6">
        <f>SUM(K6:K12)</f>
        <v/>
      </c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</row>
    <row r="17">
      <c r="A17" s="18" t="inlineStr"/>
      <c r="B17" s="18" t="inlineStr">
        <is>
          <t>Gesamt Bonus Stunden</t>
        </is>
      </c>
      <c r="C17" s="18" t="inlineStr"/>
      <c r="D17" s="18" t="inlineStr"/>
      <c r="E17" s="18" t="inlineStr"/>
      <c r="F17" s="19">
        <f>F14+F15+F16</f>
        <v/>
      </c>
      <c r="G17" s="18" t="inlineStr"/>
      <c r="H17" s="18" t="inlineStr"/>
      <c r="I17" s="18" t="inlineStr"/>
      <c r="J17" s="18" t="inlineStr"/>
      <c r="K17" s="18" t="inlineStr"/>
      <c r="L17" s="18" t="n"/>
      <c r="M17" s="18" t="n"/>
      <c r="N17" s="18" t="n"/>
      <c r="O17" s="18" t="n"/>
      <c r="P17" s="18" t="n"/>
    </row>
    <row r="19">
      <c r="A19" s="2" t="inlineStr">
        <is>
          <t>--- August 2025 ---</t>
        </is>
      </c>
    </row>
    <row r="20">
      <c r="A20" s="3" t="inlineStr">
        <is>
          <t>Projekt</t>
        </is>
      </c>
      <c r="B20" s="3" t="inlineStr">
        <is>
          <t>Meilenstein</t>
        </is>
      </c>
      <c r="C20" s="3" t="inlineStr">
        <is>
          <t>Typ</t>
        </is>
      </c>
      <c r="D20" s="3" t="inlineStr">
        <is>
          <t>Soll (h)</t>
        </is>
      </c>
      <c r="E20" s="3" t="inlineStr">
        <is>
          <t>Ist (h)</t>
        </is>
      </c>
      <c r="F20" s="3" t="inlineStr">
        <is>
          <t>August 2025 (h)</t>
        </is>
      </c>
      <c r="G20" s="3" t="inlineStr">
        <is>
          <t>%</t>
        </is>
      </c>
      <c r="H20" s="3" t="inlineStr">
        <is>
          <t>Bonus-Anpassung (h)</t>
        </is>
      </c>
      <c r="I20" s="3" t="inlineStr">
        <is>
          <t>Differenz (h)</t>
        </is>
      </c>
      <c r="J20" s="3" t="inlineStr">
        <is>
          <t>Zuordnen an</t>
        </is>
      </c>
      <c r="K20" s="3" t="inlineStr">
        <is>
          <t>Von anderen (h)</t>
        </is>
      </c>
      <c r="L20" s="3" t="inlineStr">
        <is>
          <t>Stundensatz (€/h)</t>
        </is>
      </c>
      <c r="M20" s="3" t="inlineStr">
        <is>
          <t>Umsatz (€)</t>
        </is>
      </c>
      <c r="N20" s="3" t="inlineStr">
        <is>
          <t>Budget Gesamt (€)</t>
        </is>
      </c>
      <c r="O20" s="3" t="inlineStr">
        <is>
          <t>Budget Ist (€)</t>
        </is>
      </c>
      <c r="P20" s="3" t="inlineStr">
        <is>
          <t>Budget Erwirtschaftet (€)</t>
        </is>
      </c>
    </row>
    <row r="21">
      <c r="A21" s="13" t="inlineStr">
        <is>
          <t>0000 Sonderprojekt für Bonus</t>
        </is>
      </c>
      <c r="B21" s="4" t="inlineStr">
        <is>
          <t>Angebote-Ausschreibungen-Kalkulationen (max. 8h/Monat pro MA)</t>
        </is>
      </c>
      <c r="C21" s="4" t="inlineStr">
        <is>
          <t>M</t>
        </is>
      </c>
      <c r="D21" s="4" t="n">
        <v>8</v>
      </c>
      <c r="E21" s="4" t="n">
        <v>0.5</v>
      </c>
      <c r="F21" s="4" t="n">
        <v>0.5</v>
      </c>
      <c r="G21" s="17" t="n">
        <v>6.25</v>
      </c>
      <c r="H21" s="5" t="n"/>
      <c r="I21" s="5">
        <f>IF(H21=0,"",F21-H21)</f>
        <v/>
      </c>
      <c r="J21" s="4" t="n"/>
      <c r="K21" s="5">
        <f>IF('A. Kokott'!J39="P. Bergner",'A. Kokott'!I39,0)+IF('J. Dorn'!J45="P. Bergner",'J. Dorn'!I45,0)+IF('O. Haag BS-CAD'!J51="P. Bergner",'O. Haag BS-CAD'!I51,0)+IF('R. Böttiger'!J31="P. Bergner",'R. Böttiger'!I31,0)+IF('T. Trautmann'!J28="P. Bergner",'T. Trautmann'!I28,0)+IF('U. Sutter ADM'!J28="P. Bergner",'U. Sutter ADM'!I28,0)</f>
        <v/>
      </c>
      <c r="L21" s="11">
        <f>IF($B$2="-","",IF($B$2="Pauschale",IFERROR(INDEX('Projekt-Budget-Übersicht'!$H:$H,MATCH(A21,'Projekt-Budget-Übersicht'!$A:$A,0)),""),IF($B$2="SV",IFERROR(INDEX('Projekt-Budget-Übersicht'!$H:$H,MATCH(A21,'Projekt-Budget-Übersicht'!$A:$A,0)),""),IF($B$2="CAD",IFERROR(INDEX('Projekt-Budget-Übersicht'!$I:$I,MATCH(A21,'Projekt-Budget-Übersicht'!$A:$A,0)),""),IF($B$2="ADM",IFERROR(INDEX('Projekt-Budget-Übersicht'!$J:$J,MATCH(A21,'Projekt-Budget-Übersicht'!$A:$A,0)),""),"")))))</f>
        <v/>
      </c>
      <c r="M21" s="11">
        <f>IF($B$2="-","",L21*(F21+I21+K21))</f>
        <v/>
      </c>
      <c r="N21" s="11">
        <f>IFERROR(INDEX('Projekt-Budget-Übersicht'!$E:$E,MATCH(A21,'Projekt-Budget-Übersicht'!$A:$A,0)),"")</f>
        <v/>
      </c>
      <c r="O21" s="11" t="inlineStr"/>
      <c r="P21" s="11" t="inlineStr"/>
    </row>
    <row r="22">
      <c r="A22" s="15" t="n"/>
      <c r="B22" s="4" t="inlineStr">
        <is>
          <t>Einarbeitung neuer Mitarbeiter (max. 8h/Monat pro MA)</t>
        </is>
      </c>
      <c r="C22" s="4" t="inlineStr">
        <is>
          <t>M</t>
        </is>
      </c>
      <c r="D22" s="4" t="n">
        <v>8</v>
      </c>
      <c r="E22" s="4" t="n">
        <v>5</v>
      </c>
      <c r="F22" s="4" t="n">
        <v>5</v>
      </c>
      <c r="G22" s="17" t="n">
        <v>62.5</v>
      </c>
      <c r="H22" s="5" t="n"/>
      <c r="I22" s="5">
        <f>IF(H22=0,"",F22-H22)</f>
        <v/>
      </c>
      <c r="J22" s="4" t="n"/>
      <c r="K22" s="5">
        <f>IF('A. Kokott'!J40="P. Bergner",'A. Kokott'!I40,0)+IF('M. Bandlofsky'!J26="P. Bergner",'M. Bandlofsky'!I26,0)+IF('O. Haag BS-CAD'!J52="P. Bergner",'O. Haag BS-CAD'!I52,0)+IF('R. Wagen CAD'!J31="P. Bergner",'R. Wagen CAD'!I31,0)+IF('T. Trautmann'!J29="P. Bergner",'T. Trautmann'!I29,0)+IF('U. Sutter ADM'!J29="P. Bergner",'U. Sutter ADM'!I29,0)</f>
        <v/>
      </c>
      <c r="L22" s="11">
        <f>IF($B$2="-","",IF($B$2="Pauschale",IFERROR(INDEX('Projekt-Budget-Übersicht'!$H:$H,MATCH(A22,'Projekt-Budget-Übersicht'!$A:$A,0)),""),IF($B$2="SV",IFERROR(INDEX('Projekt-Budget-Übersicht'!$H:$H,MATCH(A22,'Projekt-Budget-Übersicht'!$A:$A,0)),""),IF($B$2="CAD",IFERROR(INDEX('Projekt-Budget-Übersicht'!$I:$I,MATCH(A22,'Projekt-Budget-Übersicht'!$A:$A,0)),""),IF($B$2="ADM",IFERROR(INDEX('Projekt-Budget-Übersicht'!$J:$J,MATCH(A22,'Projekt-Budget-Übersicht'!$A:$A,0)),""),"")))))</f>
        <v/>
      </c>
      <c r="M22" s="11">
        <f>IF($B$2="-","",L22*(F22+I22+K22))</f>
        <v/>
      </c>
      <c r="N22" s="11">
        <f>IFERROR(INDEX('Projekt-Budget-Übersicht'!$E:$E,MATCH(A22,'Projekt-Budget-Übersicht'!$A:$A,0)),"")</f>
        <v/>
      </c>
      <c r="O22" s="11" t="inlineStr"/>
      <c r="P22" s="11" t="inlineStr"/>
    </row>
    <row r="23">
      <c r="A23" s="4" t="inlineStr">
        <is>
          <t>1914.109 Retailer-Avolta</t>
        </is>
      </c>
      <c r="B23" s="4" t="inlineStr">
        <is>
          <t>ANG BAB (aN) Pos. 1 LP 5 + 8</t>
        </is>
      </c>
      <c r="C23" s="4" t="inlineStr">
        <is>
          <t>G</t>
        </is>
      </c>
      <c r="D23" s="4" t="n">
        <v>192</v>
      </c>
      <c r="E23" s="4" t="n">
        <v>64</v>
      </c>
      <c r="F23" s="4" t="n">
        <v>6.5</v>
      </c>
      <c r="G23" s="17" t="n">
        <v>33.33</v>
      </c>
      <c r="H23" s="5" t="n"/>
      <c r="I23" s="5">
        <f>IF(H23=0,"",F23-H23)</f>
        <v/>
      </c>
      <c r="J23" s="4" t="n"/>
      <c r="K23" s="5" t="n">
        <v>0</v>
      </c>
      <c r="L23" s="11">
        <f>IF($B$2="-","",IF($B$2="Pauschale",IFERROR(INDEX('Projekt-Budget-Übersicht'!$H:$H,MATCH(A23,'Projekt-Budget-Übersicht'!$A:$A,0)),""),IF($B$2="SV",IFERROR(INDEX('Projekt-Budget-Übersicht'!$H:$H,MATCH(A23,'Projekt-Budget-Übersicht'!$A:$A,0)),""),IF($B$2="CAD",IFERROR(INDEX('Projekt-Budget-Übersicht'!$I:$I,MATCH(A23,'Projekt-Budget-Übersicht'!$A:$A,0)),""),IF($B$2="ADM",IFERROR(INDEX('Projekt-Budget-Übersicht'!$J:$J,MATCH(A23,'Projekt-Budget-Übersicht'!$A:$A,0)),""),"")))))</f>
        <v/>
      </c>
      <c r="M23" s="11">
        <f>IF($B$2="-","",L23*(F23+I23+K23))</f>
        <v/>
      </c>
      <c r="N23" s="11">
        <f>IFERROR(INDEX('Projekt-Budget-Übersicht'!$E:$E,MATCH(A23,'Projekt-Budget-Übersicht'!$A:$A,0)),"")</f>
        <v/>
      </c>
      <c r="O23" s="11" t="inlineStr"/>
      <c r="P23" s="11" t="inlineStr"/>
    </row>
    <row r="24">
      <c r="A24" s="4" t="inlineStr">
        <is>
          <t>2626.08 BSK-Maschinenfabrik-Passavant-Geiger-Straße1-Aarbergen</t>
        </is>
      </c>
      <c r="B24" s="4" t="inlineStr">
        <is>
          <t>2203-Ermittlung Brandlasten vor Ort….</t>
        </is>
      </c>
      <c r="C24" s="4" t="inlineStr">
        <is>
          <t>G</t>
        </is>
      </c>
      <c r="D24" s="4" t="n">
        <v>120</v>
      </c>
      <c r="E24" s="4" t="n">
        <v>26.5</v>
      </c>
      <c r="F24" s="4" t="n">
        <v>5</v>
      </c>
      <c r="G24" s="17" t="n">
        <v>22.08</v>
      </c>
      <c r="H24" s="5" t="n"/>
      <c r="I24" s="5">
        <f>IF(H24=0,"",F24-H24)</f>
        <v/>
      </c>
      <c r="J24" s="4" t="n"/>
      <c r="K24" s="5" t="n">
        <v>0</v>
      </c>
      <c r="L24" s="11">
        <f>IF($B$2="-","",IF($B$2="Pauschale",IFERROR(INDEX('Projekt-Budget-Übersicht'!$H:$H,MATCH(A24,'Projekt-Budget-Übersicht'!$A:$A,0)),""),IF($B$2="SV",IFERROR(INDEX('Projekt-Budget-Übersicht'!$H:$H,MATCH(A24,'Projekt-Budget-Übersicht'!$A:$A,0)),""),IF($B$2="CAD",IFERROR(INDEX('Projekt-Budget-Übersicht'!$I:$I,MATCH(A24,'Projekt-Budget-Übersicht'!$A:$A,0)),""),IF($B$2="ADM",IFERROR(INDEX('Projekt-Budget-Übersicht'!$J:$J,MATCH(A24,'Projekt-Budget-Übersicht'!$A:$A,0)),""),"")))))</f>
        <v/>
      </c>
      <c r="M24" s="11">
        <f>IF($B$2="-","",L24*(F24+I24+K24))</f>
        <v/>
      </c>
      <c r="N24" s="11">
        <f>IFERROR(INDEX('Projekt-Budget-Übersicht'!$E:$E,MATCH(A24,'Projekt-Budget-Übersicht'!$A:$A,0)),"")</f>
        <v/>
      </c>
      <c r="O24" s="11" t="inlineStr"/>
      <c r="P24" s="11" t="inlineStr"/>
    </row>
    <row r="25">
      <c r="A25" s="4" t="inlineStr">
        <is>
          <t>5395.04 Burkhardt-Witteler-BSK-Gesundheitszentrum-Industriestr17-Ladenburg</t>
        </is>
      </c>
      <c r="B25" s="4" t="inlineStr">
        <is>
          <t>SV</t>
        </is>
      </c>
      <c r="C25" s="4" t="inlineStr">
        <is>
          <t>G</t>
        </is>
      </c>
      <c r="D25" s="4" t="n">
        <v>30</v>
      </c>
      <c r="E25" s="4" t="n">
        <v>29</v>
      </c>
      <c r="F25" s="4" t="n">
        <v>2</v>
      </c>
      <c r="G25" s="14" t="n">
        <v>96.67</v>
      </c>
      <c r="H25" s="5" t="n"/>
      <c r="I25" s="5">
        <f>IF(H25=0,"",F25-H25)</f>
        <v/>
      </c>
      <c r="J25" s="4" t="n"/>
      <c r="K25" s="5">
        <f>IF('M. Bandlofsky'!J34="P. Bergner",'M. Bandlofsky'!I34,0)</f>
        <v/>
      </c>
      <c r="L25" s="11">
        <f>IF($B$2="-","",IF($B$2="Pauschale",IFERROR(INDEX('Projekt-Budget-Übersicht'!$H:$H,MATCH(A25,'Projekt-Budget-Übersicht'!$A:$A,0)),""),IF($B$2="SV",IFERROR(INDEX('Projekt-Budget-Übersicht'!$H:$H,MATCH(A25,'Projekt-Budget-Übersicht'!$A:$A,0)),""),IF($B$2="CAD",IFERROR(INDEX('Projekt-Budget-Übersicht'!$I:$I,MATCH(A25,'Projekt-Budget-Übersicht'!$A:$A,0)),""),IF($B$2="ADM",IFERROR(INDEX('Projekt-Budget-Übersicht'!$J:$J,MATCH(A25,'Projekt-Budget-Übersicht'!$A:$A,0)),""),"")))))</f>
        <v/>
      </c>
      <c r="M25" s="11">
        <f>IF($B$2="-","",L25*(F25+I25+K25))</f>
        <v/>
      </c>
      <c r="N25" s="11">
        <f>IFERROR(INDEX('Projekt-Budget-Übersicht'!$E:$E,MATCH(A25,'Projekt-Budget-Übersicht'!$A:$A,0)),"")</f>
        <v/>
      </c>
      <c r="O25" s="11" t="inlineStr"/>
      <c r="P25" s="11" t="inlineStr"/>
    </row>
    <row r="26">
      <c r="A26" s="4" t="inlineStr">
        <is>
          <t>5409.03 BAB-VBL-Campus-Haus1+2-HansThomaStr19-Karlsruhe</t>
        </is>
      </c>
      <c r="B26" s="4" t="inlineStr">
        <is>
          <t>8104-Statusbericht Bewertung auf Möglichkeiten zur Inbetriebnahme….</t>
        </is>
      </c>
      <c r="C26" s="4" t="inlineStr">
        <is>
          <t>G</t>
        </is>
      </c>
      <c r="D26" s="4" t="n">
        <v>8</v>
      </c>
      <c r="E26" s="4" t="n">
        <v>8</v>
      </c>
      <c r="F26" s="4" t="n">
        <v>1</v>
      </c>
      <c r="G26" s="14" t="n">
        <v>100</v>
      </c>
      <c r="H26" s="5" t="n"/>
      <c r="I26" s="5">
        <f>IF(H26=0,"",F26-H26)</f>
        <v/>
      </c>
      <c r="J26" s="4" t="n"/>
      <c r="K26" s="5" t="n">
        <v>0</v>
      </c>
      <c r="L26" s="11">
        <f>IF($B$2="-","",IF($B$2="Pauschale",IFERROR(INDEX('Projekt-Budget-Übersicht'!$H:$H,MATCH(A26,'Projekt-Budget-Übersicht'!$A:$A,0)),""),IF($B$2="SV",IFERROR(INDEX('Projekt-Budget-Übersicht'!$H:$H,MATCH(A26,'Projekt-Budget-Übersicht'!$A:$A,0)),""),IF($B$2="CAD",IFERROR(INDEX('Projekt-Budget-Übersicht'!$I:$I,MATCH(A26,'Projekt-Budget-Übersicht'!$A:$A,0)),""),IF($B$2="ADM",IFERROR(INDEX('Projekt-Budget-Übersicht'!$J:$J,MATCH(A26,'Projekt-Budget-Übersicht'!$A:$A,0)),""),"")))))</f>
        <v/>
      </c>
      <c r="M26" s="11">
        <f>IF($B$2="-","",L26*(F26+I26+K26))</f>
        <v/>
      </c>
      <c r="N26" s="11">
        <f>IFERROR(INDEX('Projekt-Budget-Übersicht'!$E:$E,MATCH(A26,'Projekt-Budget-Übersicht'!$A:$A,0)),"")</f>
        <v/>
      </c>
      <c r="O26" s="11" t="inlineStr"/>
      <c r="P26" s="11" t="inlineStr"/>
    </row>
    <row r="27">
      <c r="A27" s="4" t="inlineStr">
        <is>
          <t>6032.02 Stundensammler-AG?-BSK-Ascheröder-Str57-Schwalmstadt-Freudenberg</t>
        </is>
      </c>
      <c r="B27" s="4" t="inlineStr">
        <is>
          <t>SV</t>
        </is>
      </c>
      <c r="C27" s="4" t="inlineStr">
        <is>
          <t>G</t>
        </is>
      </c>
      <c r="D27" s="4" t="n">
        <v>55</v>
      </c>
      <c r="E27" s="4" t="n">
        <v>41.5</v>
      </c>
      <c r="F27" s="4" t="n">
        <v>9</v>
      </c>
      <c r="G27" s="17" t="n">
        <v>75.45</v>
      </c>
      <c r="H27" s="5" t="n"/>
      <c r="I27" s="5">
        <f>IF(H27=0,"",F27-H27)</f>
        <v/>
      </c>
      <c r="J27" s="4" t="n"/>
      <c r="K27" s="5" t="n">
        <v>0</v>
      </c>
      <c r="L27" s="11">
        <f>IF($B$2="-","",IF($B$2="Pauschale",IFERROR(INDEX('Projekt-Budget-Übersicht'!$H:$H,MATCH(A27,'Projekt-Budget-Übersicht'!$A:$A,0)),""),IF($B$2="SV",IFERROR(INDEX('Projekt-Budget-Übersicht'!$H:$H,MATCH(A27,'Projekt-Budget-Übersicht'!$A:$A,0)),""),IF($B$2="CAD",IFERROR(INDEX('Projekt-Budget-Übersicht'!$I:$I,MATCH(A27,'Projekt-Budget-Übersicht'!$A:$A,0)),""),IF($B$2="ADM",IFERROR(INDEX('Projekt-Budget-Übersicht'!$J:$J,MATCH(A27,'Projekt-Budget-Übersicht'!$A:$A,0)),""),"")))))</f>
        <v/>
      </c>
      <c r="M27" s="11">
        <f>IF($B$2="-","",L27*(F27+I27+K27))</f>
        <v/>
      </c>
      <c r="N27" s="11">
        <f>IFERROR(INDEX('Projekt-Budget-Übersicht'!$E:$E,MATCH(A27,'Projekt-Budget-Übersicht'!$A:$A,0)),"")</f>
        <v/>
      </c>
      <c r="O27" s="11" t="inlineStr"/>
      <c r="P27" s="11" t="inlineStr"/>
    </row>
    <row r="28">
      <c r="A28" s="4" t="inlineStr">
        <is>
          <t>6342 Rathausplatz-20-Ludwigshafen-Rathaus-Center-Rückbau</t>
        </is>
      </c>
      <c r="B28" s="4" t="inlineStr">
        <is>
          <t>8100-Prüfen der Ausführung auf prinzipielle Übereinstimmung (Stufe 1)....</t>
        </is>
      </c>
      <c r="C28" s="4" t="inlineStr">
        <is>
          <t>G</t>
        </is>
      </c>
      <c r="D28" s="4" t="n">
        <v>80</v>
      </c>
      <c r="E28" s="4" t="n">
        <v>78.75</v>
      </c>
      <c r="F28" s="4" t="n">
        <v>2.5</v>
      </c>
      <c r="G28" s="14" t="n">
        <v>98.44</v>
      </c>
      <c r="H28" s="5" t="n"/>
      <c r="I28" s="5">
        <f>IF(H28=0,"",F28-H28)</f>
        <v/>
      </c>
      <c r="J28" s="4" t="n"/>
      <c r="K28" s="5" t="n">
        <v>0</v>
      </c>
      <c r="L28" s="11">
        <f>IF($B$2="-","",IF($B$2="Pauschale",IFERROR(INDEX('Projekt-Budget-Übersicht'!$H:$H,MATCH(A28,'Projekt-Budget-Übersicht'!$A:$A,0)),""),IF($B$2="SV",IFERROR(INDEX('Projekt-Budget-Übersicht'!$H:$H,MATCH(A28,'Projekt-Budget-Übersicht'!$A:$A,0)),""),IF($B$2="CAD",IFERROR(INDEX('Projekt-Budget-Übersicht'!$I:$I,MATCH(A28,'Projekt-Budget-Übersicht'!$A:$A,0)),""),IF($B$2="ADM",IFERROR(INDEX('Projekt-Budget-Übersicht'!$J:$J,MATCH(A28,'Projekt-Budget-Übersicht'!$A:$A,0)),""),"")))))</f>
        <v/>
      </c>
      <c r="M28" s="11">
        <f>IF($B$2="-","",L28*(F28+I28+K28))</f>
        <v/>
      </c>
      <c r="N28" s="11">
        <f>IFERROR(INDEX('Projekt-Budget-Übersicht'!$E:$E,MATCH(A28,'Projekt-Budget-Übersicht'!$A:$A,0)),"")</f>
        <v/>
      </c>
      <c r="O28" s="11" t="inlineStr"/>
      <c r="P28" s="11" t="inlineStr"/>
    </row>
    <row r="29">
      <c r="A29" s="4" t="inlineStr">
        <is>
          <t>6342.01 BSK-Bauzeit-Rathausplatz-20-Ludwigshafen-Rathaus-Center-Rückbau</t>
        </is>
      </c>
      <c r="B29" s="4" t="inlineStr">
        <is>
          <t>8101-Kontrolle Verwendbarkeitsnachweise/Bescheinigungen….</t>
        </is>
      </c>
      <c r="C29" s="4" t="inlineStr">
        <is>
          <t>G</t>
        </is>
      </c>
      <c r="D29" s="4" t="n">
        <v>100</v>
      </c>
      <c r="E29" s="4" t="n">
        <v>67.25</v>
      </c>
      <c r="F29" s="4" t="n">
        <v>4.5</v>
      </c>
      <c r="G29" s="17" t="n">
        <v>67.25</v>
      </c>
      <c r="H29" s="5" t="n"/>
      <c r="I29" s="5">
        <f>IF(H29=0,"",F29-H29)</f>
        <v/>
      </c>
      <c r="J29" s="4" t="n"/>
      <c r="K29" s="5" t="n">
        <v>0</v>
      </c>
      <c r="L29" s="11">
        <f>IF($B$2="-","",IF($B$2="Pauschale",IFERROR(INDEX('Projekt-Budget-Übersicht'!$H:$H,MATCH(A29,'Projekt-Budget-Übersicht'!$A:$A,0)),""),IF($B$2="SV",IFERROR(INDEX('Projekt-Budget-Übersicht'!$H:$H,MATCH(A29,'Projekt-Budget-Übersicht'!$A:$A,0)),""),IF($B$2="CAD",IFERROR(INDEX('Projekt-Budget-Übersicht'!$I:$I,MATCH(A29,'Projekt-Budget-Übersicht'!$A:$A,0)),""),IF($B$2="ADM",IFERROR(INDEX('Projekt-Budget-Übersicht'!$J:$J,MATCH(A29,'Projekt-Budget-Übersicht'!$A:$A,0)),""),"")))))</f>
        <v/>
      </c>
      <c r="M29" s="11">
        <f>IF($B$2="-","",L29*(F29+I29+K29))</f>
        <v/>
      </c>
      <c r="N29" s="11">
        <f>IFERROR(INDEX('Projekt-Budget-Übersicht'!$E:$E,MATCH(A29,'Projekt-Budget-Übersicht'!$A:$A,0)),"")</f>
        <v/>
      </c>
      <c r="O29" s="11" t="inlineStr"/>
      <c r="P29" s="11" t="inlineStr"/>
    </row>
    <row r="30">
      <c r="A30" s="4" t="inlineStr">
        <is>
          <t>6564.02 ROB-MCR-Weilerbach-Züblin-TP2</t>
        </is>
      </c>
      <c r="B30" s="4" t="inlineStr">
        <is>
          <t>5000-Ausführungsplanung</t>
        </is>
      </c>
      <c r="C30" s="4" t="inlineStr">
        <is>
          <t>G</t>
        </is>
      </c>
      <c r="D30" s="4" t="n">
        <v>1560</v>
      </c>
      <c r="E30" s="4" t="n">
        <v>536</v>
      </c>
      <c r="F30" s="4" t="n">
        <v>83.25</v>
      </c>
      <c r="G30" s="17" t="n">
        <v>34.36</v>
      </c>
      <c r="H30" s="5" t="n"/>
      <c r="I30" s="5">
        <f>IF(H30=0,"",F30-H30)</f>
        <v/>
      </c>
      <c r="J30" s="4" t="n"/>
      <c r="K30" s="5" t="n">
        <v>0</v>
      </c>
      <c r="L30" s="11">
        <f>IF($B$2="-","",IF($B$2="Pauschale",IFERROR(INDEX('Projekt-Budget-Übersicht'!$H:$H,MATCH(A30,'Projekt-Budget-Übersicht'!$A:$A,0)),""),IF($B$2="SV",IFERROR(INDEX('Projekt-Budget-Übersicht'!$H:$H,MATCH(A30,'Projekt-Budget-Übersicht'!$A:$A,0)),""),IF($B$2="CAD",IFERROR(INDEX('Projekt-Budget-Übersicht'!$I:$I,MATCH(A30,'Projekt-Budget-Übersicht'!$A:$A,0)),""),IF($B$2="ADM",IFERROR(INDEX('Projekt-Budget-Übersicht'!$J:$J,MATCH(A30,'Projekt-Budget-Übersicht'!$A:$A,0)),""),"")))))</f>
        <v/>
      </c>
      <c r="M30" s="11">
        <f>IF($B$2="-","",L30*(F30+I30+K30))</f>
        <v/>
      </c>
      <c r="N30" s="11">
        <f>IFERROR(INDEX('Projekt-Budget-Übersicht'!$E:$E,MATCH(A30,'Projekt-Budget-Übersicht'!$A:$A,0)),"")</f>
        <v/>
      </c>
      <c r="O30" s="11" t="inlineStr"/>
      <c r="P30" s="11" t="inlineStr"/>
    </row>
    <row r="31">
      <c r="A31" s="4" t="inlineStr">
        <is>
          <t>6564.03 ROB-MCR-Weilerbach-Züblin-TP3</t>
        </is>
      </c>
      <c r="B31" s="4" t="inlineStr">
        <is>
          <t>5000-Ausführungsplanung</t>
        </is>
      </c>
      <c r="C31" s="4" t="inlineStr">
        <is>
          <t>G</t>
        </is>
      </c>
      <c r="D31" s="4" t="n">
        <v>780</v>
      </c>
      <c r="E31" s="4" t="n">
        <v>351.75</v>
      </c>
      <c r="F31" s="4" t="n">
        <v>14.25</v>
      </c>
      <c r="G31" s="17" t="n">
        <v>45.1</v>
      </c>
      <c r="H31" s="5" t="n"/>
      <c r="I31" s="5">
        <f>IF(H31=0,"",F31-H31)</f>
        <v/>
      </c>
      <c r="J31" s="4" t="n"/>
      <c r="K31" s="5" t="n">
        <v>0</v>
      </c>
      <c r="L31" s="11">
        <f>IF($B$2="-","",IF($B$2="Pauschale",IFERROR(INDEX('Projekt-Budget-Übersicht'!$H:$H,MATCH(A31,'Projekt-Budget-Übersicht'!$A:$A,0)),""),IF($B$2="SV",IFERROR(INDEX('Projekt-Budget-Übersicht'!$H:$H,MATCH(A31,'Projekt-Budget-Übersicht'!$A:$A,0)),""),IF($B$2="CAD",IFERROR(INDEX('Projekt-Budget-Übersicht'!$I:$I,MATCH(A31,'Projekt-Budget-Übersicht'!$A:$A,0)),""),IF($B$2="ADM",IFERROR(INDEX('Projekt-Budget-Übersicht'!$J:$J,MATCH(A31,'Projekt-Budget-Übersicht'!$A:$A,0)),""),"")))))</f>
        <v/>
      </c>
      <c r="M31" s="11">
        <f>IF($B$2="-","",L31*(F31+I31+K31))</f>
        <v/>
      </c>
      <c r="N31" s="11">
        <f>IFERROR(INDEX('Projekt-Budget-Übersicht'!$E:$E,MATCH(A31,'Projekt-Budget-Übersicht'!$A:$A,0)),"")</f>
        <v/>
      </c>
      <c r="O31" s="11" t="inlineStr"/>
      <c r="P31" s="11" t="inlineStr"/>
    </row>
    <row r="32">
      <c r="A32" s="4" t="inlineStr">
        <is>
          <t>6712.011 Züblin-Strabag-NA02-LP5-BTB-Waldstr6-10-Weiterstadt</t>
        </is>
      </c>
      <c r="B32" s="4" t="inlineStr">
        <is>
          <t>5000-Ausführungsplanung</t>
        </is>
      </c>
      <c r="C32" s="4" t="inlineStr">
        <is>
          <t>G</t>
        </is>
      </c>
      <c r="D32" s="4" t="n">
        <v>25</v>
      </c>
      <c r="E32" s="4" t="n">
        <v>3.25</v>
      </c>
      <c r="F32" s="4" t="n">
        <v>2</v>
      </c>
      <c r="G32" s="17" t="n">
        <v>13</v>
      </c>
      <c r="H32" s="5" t="n"/>
      <c r="I32" s="5">
        <f>IF(H32=0,"",F32-H32)</f>
        <v/>
      </c>
      <c r="J32" s="4" t="n"/>
      <c r="K32" s="5">
        <f>IF('A. Kokott'!J52="P. Bergner",'A. Kokott'!I52,0)</f>
        <v/>
      </c>
      <c r="L32" s="11">
        <f>IF($B$2="-","",IF($B$2="Pauschale",IFERROR(INDEX('Projekt-Budget-Übersicht'!$H:$H,MATCH(A32,'Projekt-Budget-Übersicht'!$A:$A,0)),""),IF($B$2="SV",IFERROR(INDEX('Projekt-Budget-Übersicht'!$H:$H,MATCH(A32,'Projekt-Budget-Übersicht'!$A:$A,0)),""),IF($B$2="CAD",IFERROR(INDEX('Projekt-Budget-Übersicht'!$I:$I,MATCH(A32,'Projekt-Budget-Übersicht'!$A:$A,0)),""),IF($B$2="ADM",IFERROR(INDEX('Projekt-Budget-Übersicht'!$J:$J,MATCH(A32,'Projekt-Budget-Übersicht'!$A:$A,0)),""),"")))))</f>
        <v/>
      </c>
      <c r="M32" s="11">
        <f>IF($B$2="-","",L32*(F32+I32+K32))</f>
        <v/>
      </c>
      <c r="N32" s="11">
        <f>IFERROR(INDEX('Projekt-Budget-Übersicht'!$E:$E,MATCH(A32,'Projekt-Budget-Übersicht'!$A:$A,0)),"")</f>
        <v/>
      </c>
      <c r="O32" s="11" t="inlineStr"/>
      <c r="P32" s="11" t="inlineStr"/>
    </row>
    <row r="33">
      <c r="A33" s="4" t="inlineStr">
        <is>
          <t>7249 Klebl-AHO-Geb8259-Baumholder</t>
        </is>
      </c>
      <c r="B33" s="4" t="inlineStr">
        <is>
          <t>5304-100% -Review, AFU-BAU-FINALE-KORREKTUR…..</t>
        </is>
      </c>
      <c r="C33" s="4" t="inlineStr">
        <is>
          <t>G</t>
        </is>
      </c>
      <c r="D33" s="4" t="n">
        <v>8.5</v>
      </c>
      <c r="E33" s="4" t="n">
        <v>6</v>
      </c>
      <c r="F33" s="4" t="n">
        <v>3.5</v>
      </c>
      <c r="G33" s="17" t="n">
        <v>70.59</v>
      </c>
      <c r="H33" s="5" t="n"/>
      <c r="I33" s="5">
        <f>IF(H33=0,"",F33-H33)</f>
        <v/>
      </c>
      <c r="J33" s="4" t="n"/>
      <c r="K33" s="5" t="n">
        <v>0</v>
      </c>
      <c r="L33" s="11">
        <f>IF($B$2="-","",IF($B$2="Pauschale",IFERROR(INDEX('Projekt-Budget-Übersicht'!$H:$H,MATCH(A33,'Projekt-Budget-Übersicht'!$A:$A,0)),""),IF($B$2="SV",IFERROR(INDEX('Projekt-Budget-Übersicht'!$H:$H,MATCH(A33,'Projekt-Budget-Übersicht'!$A:$A,0)),""),IF($B$2="CAD",IFERROR(INDEX('Projekt-Budget-Übersicht'!$I:$I,MATCH(A33,'Projekt-Budget-Übersicht'!$A:$A,0)),""),IF($B$2="ADM",IFERROR(INDEX('Projekt-Budget-Übersicht'!$J:$J,MATCH(A33,'Projekt-Budget-Übersicht'!$A:$A,0)),""),"")))))</f>
        <v/>
      </c>
      <c r="M33" s="11">
        <f>IF($B$2="-","",L33*(F33+I33+K33))</f>
        <v/>
      </c>
      <c r="N33" s="11">
        <f>IFERROR(INDEX('Projekt-Budget-Übersicht'!$E:$E,MATCH(A33,'Projekt-Budget-Übersicht'!$A:$A,0)),"")</f>
        <v/>
      </c>
      <c r="O33" s="11" t="inlineStr"/>
      <c r="P33" s="11" t="inlineStr"/>
    </row>
    <row r="34">
      <c r="A34" s="3" t="inlineStr"/>
      <c r="B34" s="3" t="inlineStr">
        <is>
          <t>Summe</t>
        </is>
      </c>
      <c r="C34" s="3" t="inlineStr"/>
      <c r="D34" s="3" t="inlineStr"/>
      <c r="E34" s="3" t="inlineStr"/>
      <c r="F34" s="6" t="n">
        <v>139</v>
      </c>
      <c r="G34" s="3" t="inlineStr"/>
      <c r="H34" s="3" t="inlineStr"/>
      <c r="I34" s="3" t="inlineStr"/>
      <c r="J34" s="3" t="inlineStr"/>
      <c r="K34" s="3" t="inlineStr"/>
      <c r="L34" s="3" t="n"/>
      <c r="M34" s="3" t="n"/>
      <c r="N34" s="3" t="n"/>
      <c r="O34" s="3" t="n"/>
      <c r="P34" s="3" t="n"/>
    </row>
    <row r="35">
      <c r="A35" s="3" t="inlineStr"/>
      <c r="B35" s="3" t="inlineStr">
        <is>
          <t>Bonusberechtigte Stunden</t>
        </is>
      </c>
      <c r="C35" s="3" t="inlineStr"/>
      <c r="D35" s="3" t="inlineStr"/>
      <c r="E35" s="3" t="inlineStr"/>
      <c r="F35" s="6">
        <f>G35+H35</f>
        <v/>
      </c>
      <c r="G35" s="6" t="n">
        <v>133.5</v>
      </c>
      <c r="H35" s="6">
        <f>SUM(H23,H24,H25,H26,H27,H28,H29,H30,H31,H32,H33)</f>
        <v/>
      </c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</row>
    <row r="36">
      <c r="A36" s="3" t="inlineStr"/>
      <c r="B36" s="3" t="inlineStr">
        <is>
          <t>Bonusberechtigte Stunden Sonderprojekt</t>
        </is>
      </c>
      <c r="C36" s="3" t="inlineStr"/>
      <c r="D36" s="3" t="inlineStr"/>
      <c r="E36" s="3" t="inlineStr"/>
      <c r="F36" s="6">
        <f>G36+H36</f>
        <v/>
      </c>
      <c r="G36" s="6" t="n">
        <v>5.5</v>
      </c>
      <c r="H36" s="6">
        <f>SUM(H21,H22)</f>
        <v/>
      </c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</row>
    <row r="37">
      <c r="A37" s="3" t="inlineStr"/>
      <c r="B37" s="3" t="inlineStr">
        <is>
          <t>Zugeordnete Stunden von anderen MA</t>
        </is>
      </c>
      <c r="C37" s="3" t="inlineStr"/>
      <c r="D37" s="3" t="inlineStr"/>
      <c r="E37" s="3" t="inlineStr"/>
      <c r="F37" s="6">
        <f>SUM(K21:K33)</f>
        <v/>
      </c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</row>
    <row r="38">
      <c r="A38" s="18" t="inlineStr"/>
      <c r="B38" s="18" t="inlineStr">
        <is>
          <t>Gesamt Bonus Stunden</t>
        </is>
      </c>
      <c r="C38" s="18" t="inlineStr"/>
      <c r="D38" s="18" t="inlineStr"/>
      <c r="E38" s="18" t="inlineStr"/>
      <c r="F38" s="19">
        <f>F35+F36+F37</f>
        <v/>
      </c>
      <c r="G38" s="18" t="inlineStr"/>
      <c r="H38" s="18" t="inlineStr"/>
      <c r="I38" s="18" t="inlineStr"/>
      <c r="J38" s="18" t="inlineStr"/>
      <c r="K38" s="18" t="inlineStr"/>
      <c r="L38" s="18" t="n"/>
      <c r="M38" s="18" t="n"/>
      <c r="N38" s="18" t="n"/>
      <c r="O38" s="18" t="n"/>
      <c r="P38" s="18" t="n"/>
    </row>
    <row r="40">
      <c r="A40" s="2" t="inlineStr">
        <is>
          <t>--- September 2025 ---</t>
        </is>
      </c>
    </row>
    <row r="41">
      <c r="A41" s="3" t="inlineStr">
        <is>
          <t>Projekt</t>
        </is>
      </c>
      <c r="B41" s="3" t="inlineStr">
        <is>
          <t>Meilenstein</t>
        </is>
      </c>
      <c r="C41" s="3" t="inlineStr">
        <is>
          <t>Typ</t>
        </is>
      </c>
      <c r="D41" s="3" t="inlineStr">
        <is>
          <t>Soll (h)</t>
        </is>
      </c>
      <c r="E41" s="3" t="inlineStr">
        <is>
          <t>Ist (h)</t>
        </is>
      </c>
      <c r="F41" s="3" t="inlineStr">
        <is>
          <t>September 2025 (h)</t>
        </is>
      </c>
      <c r="G41" s="3" t="inlineStr">
        <is>
          <t>%</t>
        </is>
      </c>
      <c r="H41" s="3" t="inlineStr">
        <is>
          <t>Bonus-Anpassung (h)</t>
        </is>
      </c>
      <c r="I41" s="3" t="inlineStr">
        <is>
          <t>Differenz (h)</t>
        </is>
      </c>
      <c r="J41" s="3" t="inlineStr">
        <is>
          <t>Zuordnen an</t>
        </is>
      </c>
      <c r="K41" s="3" t="inlineStr">
        <is>
          <t>Von anderen (h)</t>
        </is>
      </c>
      <c r="L41" s="3" t="inlineStr">
        <is>
          <t>Stundensatz (€/h)</t>
        </is>
      </c>
      <c r="M41" s="3" t="inlineStr">
        <is>
          <t>Umsatz (€)</t>
        </is>
      </c>
      <c r="N41" s="3" t="inlineStr">
        <is>
          <t>Budget Gesamt (€)</t>
        </is>
      </c>
      <c r="O41" s="3" t="inlineStr">
        <is>
          <t>Budget Ist (€)</t>
        </is>
      </c>
      <c r="P41" s="3" t="inlineStr">
        <is>
          <t>Budget Erwirtschaftet (€)</t>
        </is>
      </c>
    </row>
    <row r="42">
      <c r="A42" s="13" t="inlineStr">
        <is>
          <t>0000 Sonderprojekt für Bonus</t>
        </is>
      </c>
      <c r="B42" s="4" t="inlineStr">
        <is>
          <t>Erstellung Vorlagen (übergreifend) (max. 8h/Monat pro MA)</t>
        </is>
      </c>
      <c r="C42" s="4" t="inlineStr">
        <is>
          <t>M</t>
        </is>
      </c>
      <c r="D42" s="4" t="n">
        <v>8</v>
      </c>
      <c r="E42" s="4" t="n">
        <v>6</v>
      </c>
      <c r="F42" s="4" t="n">
        <v>6</v>
      </c>
      <c r="G42" s="17" t="n">
        <v>75</v>
      </c>
      <c r="H42" s="5" t="n"/>
      <c r="I42" s="5">
        <f>IF(H42=0,"",F42-H42)</f>
        <v/>
      </c>
      <c r="J42" s="4" t="n"/>
      <c r="K42" s="5">
        <f>IF('C. Trapp SV'!J58="P. Bergner",'C. Trapp SV'!I58,0)+IF('J. Dorn'!J85="P. Bergner",'J. Dorn'!I85,0)+IF('O. Haag BS-CAD'!J94="P. Bergner",'O. Haag BS-CAD'!I94,0)+IF('T. Trautmann'!J73="P. Bergner",'T. Trautmann'!I73,0)</f>
        <v/>
      </c>
      <c r="L42" s="11">
        <f>IF($B$2="-","",IF($B$2="Pauschale",IFERROR(INDEX('Projekt-Budget-Übersicht'!$H:$H,MATCH(A42,'Projekt-Budget-Übersicht'!$A:$A,0)),""),IF($B$2="SV",IFERROR(INDEX('Projekt-Budget-Übersicht'!$H:$H,MATCH(A42,'Projekt-Budget-Übersicht'!$A:$A,0)),""),IF($B$2="CAD",IFERROR(INDEX('Projekt-Budget-Übersicht'!$I:$I,MATCH(A42,'Projekt-Budget-Übersicht'!$A:$A,0)),""),IF($B$2="ADM",IFERROR(INDEX('Projekt-Budget-Übersicht'!$J:$J,MATCH(A42,'Projekt-Budget-Übersicht'!$A:$A,0)),""),"")))))</f>
        <v/>
      </c>
      <c r="M42" s="11">
        <f>IF($B$2="-","",L42*(F42+I42+K42))</f>
        <v/>
      </c>
      <c r="N42" s="11">
        <f>IFERROR(INDEX('Projekt-Budget-Übersicht'!$E:$E,MATCH(A42,'Projekt-Budget-Übersicht'!$A:$A,0)),"")</f>
        <v/>
      </c>
      <c r="O42" s="11" t="inlineStr"/>
      <c r="P42" s="11" t="inlineStr"/>
    </row>
    <row r="43">
      <c r="A43" s="15" t="n"/>
      <c r="B43" s="4" t="inlineStr">
        <is>
          <t>Firmenveranstaltungen (max. 4h/Quartal pro MA)</t>
        </is>
      </c>
      <c r="C43" s="4" t="inlineStr">
        <is>
          <t>Q</t>
        </is>
      </c>
      <c r="D43" s="4" t="n">
        <v>4</v>
      </c>
      <c r="E43" s="4" t="n">
        <v>4</v>
      </c>
      <c r="F43" s="4" t="n">
        <v>4</v>
      </c>
      <c r="G43" s="14" t="n">
        <v>100</v>
      </c>
      <c r="H43" s="5" t="n"/>
      <c r="I43" s="5">
        <f>IF(H43=0,"",F43-H43)</f>
        <v/>
      </c>
      <c r="J43" s="4" t="n"/>
      <c r="K43" s="5" t="n">
        <v>0</v>
      </c>
      <c r="L43" s="11">
        <f>IF($B$2="-","",IF($B$2="Pauschale",IFERROR(INDEX('Projekt-Budget-Übersicht'!$H:$H,MATCH(A43,'Projekt-Budget-Übersicht'!$A:$A,0)),""),IF($B$2="SV",IFERROR(INDEX('Projekt-Budget-Übersicht'!$H:$H,MATCH(A43,'Projekt-Budget-Übersicht'!$A:$A,0)),""),IF($B$2="CAD",IFERROR(INDEX('Projekt-Budget-Übersicht'!$I:$I,MATCH(A43,'Projekt-Budget-Übersicht'!$A:$A,0)),""),IF($B$2="ADM",IFERROR(INDEX('Projekt-Budget-Übersicht'!$J:$J,MATCH(A43,'Projekt-Budget-Übersicht'!$A:$A,0)),""),"")))))</f>
        <v/>
      </c>
      <c r="M43" s="11">
        <f>IF($B$2="-","",L43*(F43+I43+K43))</f>
        <v/>
      </c>
      <c r="N43" s="11">
        <f>IFERROR(INDEX('Projekt-Budget-Übersicht'!$E:$E,MATCH(A43,'Projekt-Budget-Übersicht'!$A:$A,0)),"")</f>
        <v/>
      </c>
      <c r="O43" s="11" t="inlineStr"/>
      <c r="P43" s="11" t="inlineStr"/>
    </row>
    <row r="44">
      <c r="A44" s="4" t="inlineStr">
        <is>
          <t>4808.14 BST-Mainzer-Straße-29-Wiesbaden-HZD</t>
        </is>
      </c>
      <c r="B44" s="4" t="inlineStr">
        <is>
          <t>4101-Erläuterungsbericht Brandschutzkonzept….</t>
        </is>
      </c>
      <c r="C44" s="4" t="inlineStr">
        <is>
          <t>G</t>
        </is>
      </c>
      <c r="D44" s="4" t="n">
        <v>24</v>
      </c>
      <c r="E44" s="4" t="n">
        <v>34</v>
      </c>
      <c r="F44" s="4" t="n">
        <v>1.5</v>
      </c>
      <c r="G44" s="16" t="n">
        <v>141.67</v>
      </c>
      <c r="H44" s="5" t="n"/>
      <c r="I44" s="5">
        <f>IF(H44=0,"",F44-H44)</f>
        <v/>
      </c>
      <c r="J44" s="4" t="n"/>
      <c r="K44" s="5" t="n">
        <v>0</v>
      </c>
      <c r="L44" s="11">
        <f>IF($B$2="-","",IF($B$2="Pauschale",IFERROR(INDEX('Projekt-Budget-Übersicht'!$H:$H,MATCH(A44,'Projekt-Budget-Übersicht'!$A:$A,0)),""),IF($B$2="SV",IFERROR(INDEX('Projekt-Budget-Übersicht'!$H:$H,MATCH(A44,'Projekt-Budget-Übersicht'!$A:$A,0)),""),IF($B$2="CAD",IFERROR(INDEX('Projekt-Budget-Übersicht'!$I:$I,MATCH(A44,'Projekt-Budget-Übersicht'!$A:$A,0)),""),IF($B$2="ADM",IFERROR(INDEX('Projekt-Budget-Übersicht'!$J:$J,MATCH(A44,'Projekt-Budget-Übersicht'!$A:$A,0)),""),"")))))</f>
        <v/>
      </c>
      <c r="M44" s="11">
        <f>IF($B$2="-","",L44*(F44+I44+K44))</f>
        <v/>
      </c>
      <c r="N44" s="11">
        <f>IFERROR(INDEX('Projekt-Budget-Übersicht'!$E:$E,MATCH(A44,'Projekt-Budget-Übersicht'!$A:$A,0)),"")</f>
        <v/>
      </c>
      <c r="O44" s="11" t="inlineStr"/>
      <c r="P44" s="11" t="inlineStr"/>
    </row>
    <row r="45">
      <c r="A45" s="4" t="inlineStr">
        <is>
          <t>4930.02  BAB-Henschelplatz-1-Kassel-Mittelfeld-Halle-M45</t>
        </is>
      </c>
      <c r="B45" s="4" t="inlineStr">
        <is>
          <t>0300-QM, prüfen Plausibilität, Fertigstellung der Unterlagen</t>
        </is>
      </c>
      <c r="C45" s="4" t="inlineStr">
        <is>
          <t>G</t>
        </is>
      </c>
      <c r="D45" s="4" t="n">
        <v>4</v>
      </c>
      <c r="E45" s="4" t="n">
        <v>2</v>
      </c>
      <c r="F45" s="4" t="n">
        <v>2</v>
      </c>
      <c r="G45" s="17" t="n">
        <v>50</v>
      </c>
      <c r="H45" s="5" t="n"/>
      <c r="I45" s="5">
        <f>IF(H45=0,"",F45-H45)</f>
        <v/>
      </c>
      <c r="J45" s="4" t="n"/>
      <c r="K45" s="5" t="n">
        <v>0</v>
      </c>
      <c r="L45" s="11">
        <f>IF($B$2="-","",IF($B$2="Pauschale",IFERROR(INDEX('Projekt-Budget-Übersicht'!$H:$H,MATCH(A45,'Projekt-Budget-Übersicht'!$A:$A,0)),""),IF($B$2="SV",IFERROR(INDEX('Projekt-Budget-Übersicht'!$H:$H,MATCH(A45,'Projekt-Budget-Übersicht'!$A:$A,0)),""),IF($B$2="CAD",IFERROR(INDEX('Projekt-Budget-Übersicht'!$I:$I,MATCH(A45,'Projekt-Budget-Übersicht'!$A:$A,0)),""),IF($B$2="ADM",IFERROR(INDEX('Projekt-Budget-Übersicht'!$J:$J,MATCH(A45,'Projekt-Budget-Übersicht'!$A:$A,0)),""),"")))))</f>
        <v/>
      </c>
      <c r="M45" s="11">
        <f>IF($B$2="-","",L45*(F45+I45+K45))</f>
        <v/>
      </c>
      <c r="N45" s="11">
        <f>IFERROR(INDEX('Projekt-Budget-Übersicht'!$E:$E,MATCH(A45,'Projekt-Budget-Übersicht'!$A:$A,0)),"")</f>
        <v/>
      </c>
      <c r="O45" s="11" t="inlineStr"/>
      <c r="P45" s="11" t="inlineStr"/>
    </row>
    <row r="46">
      <c r="A46" s="4" t="inlineStr">
        <is>
          <t>6032.02 Stundensammler-AG?-BSK-Ascheröder-Str57-Schwalmstadt-Freudenberg</t>
        </is>
      </c>
      <c r="B46" s="4" t="inlineStr">
        <is>
          <t>SV</t>
        </is>
      </c>
      <c r="C46" s="4" t="inlineStr">
        <is>
          <t>G</t>
        </is>
      </c>
      <c r="D46" s="4" t="n">
        <v>55</v>
      </c>
      <c r="E46" s="4" t="n">
        <v>50.5</v>
      </c>
      <c r="F46" s="4" t="n">
        <v>9</v>
      </c>
      <c r="G46" s="14" t="n">
        <v>91.81999999999999</v>
      </c>
      <c r="H46" s="5" t="n"/>
      <c r="I46" s="5">
        <f>IF(H46=0,"",F46-H46)</f>
        <v/>
      </c>
      <c r="J46" s="4" t="n"/>
      <c r="K46" s="5" t="n">
        <v>0</v>
      </c>
      <c r="L46" s="11">
        <f>IF($B$2="-","",IF($B$2="Pauschale",IFERROR(INDEX('Projekt-Budget-Übersicht'!$H:$H,MATCH(A46,'Projekt-Budget-Übersicht'!$A:$A,0)),""),IF($B$2="SV",IFERROR(INDEX('Projekt-Budget-Übersicht'!$H:$H,MATCH(A46,'Projekt-Budget-Übersicht'!$A:$A,0)),""),IF($B$2="CAD",IFERROR(INDEX('Projekt-Budget-Übersicht'!$I:$I,MATCH(A46,'Projekt-Budget-Übersicht'!$A:$A,0)),""),IF($B$2="ADM",IFERROR(INDEX('Projekt-Budget-Übersicht'!$J:$J,MATCH(A46,'Projekt-Budget-Übersicht'!$A:$A,0)),""),"")))))</f>
        <v/>
      </c>
      <c r="M46" s="11">
        <f>IF($B$2="-","",L46*(F46+I46+K46))</f>
        <v/>
      </c>
      <c r="N46" s="11">
        <f>IFERROR(INDEX('Projekt-Budget-Übersicht'!$E:$E,MATCH(A46,'Projekt-Budget-Übersicht'!$A:$A,0)),"")</f>
        <v/>
      </c>
      <c r="O46" s="11" t="inlineStr"/>
      <c r="P46" s="11" t="inlineStr"/>
    </row>
    <row r="47">
      <c r="A47" s="4" t="inlineStr">
        <is>
          <t>6483.01  NAT-BST-Myliusstraße-25-27-Frankfurt-Bestandgebaude-Sprinkleranlage</t>
        </is>
      </c>
      <c r="B47" s="4" t="inlineStr">
        <is>
          <t>0300-QM, prüfen Plausibilität, Fertigstellung der Unterlagen</t>
        </is>
      </c>
      <c r="C47" s="4" t="inlineStr">
        <is>
          <t>G</t>
        </is>
      </c>
      <c r="D47" s="4" t="n">
        <v>2</v>
      </c>
      <c r="E47" s="4" t="n">
        <v>2</v>
      </c>
      <c r="F47" s="4" t="n">
        <v>2</v>
      </c>
      <c r="G47" s="14" t="n">
        <v>100</v>
      </c>
      <c r="H47" s="5" t="n"/>
      <c r="I47" s="5">
        <f>IF(H47=0,"",F47-H47)</f>
        <v/>
      </c>
      <c r="J47" s="4" t="n"/>
      <c r="K47" s="5" t="n">
        <v>0</v>
      </c>
      <c r="L47" s="11">
        <f>IF($B$2="-","",IF($B$2="Pauschale",IFERROR(INDEX('Projekt-Budget-Übersicht'!$H:$H,MATCH(A47,'Projekt-Budget-Übersicht'!$A:$A,0)),""),IF($B$2="SV",IFERROR(INDEX('Projekt-Budget-Übersicht'!$H:$H,MATCH(A47,'Projekt-Budget-Übersicht'!$A:$A,0)),""),IF($B$2="CAD",IFERROR(INDEX('Projekt-Budget-Übersicht'!$I:$I,MATCH(A47,'Projekt-Budget-Übersicht'!$A:$A,0)),""),IF($B$2="ADM",IFERROR(INDEX('Projekt-Budget-Übersicht'!$J:$J,MATCH(A47,'Projekt-Budget-Übersicht'!$A:$A,0)),""),"")))))</f>
        <v/>
      </c>
      <c r="M47" s="11">
        <f>IF($B$2="-","",L47*(F47+I47+K47))</f>
        <v/>
      </c>
      <c r="N47" s="11">
        <f>IFERROR(INDEX('Projekt-Budget-Übersicht'!$E:$E,MATCH(A47,'Projekt-Budget-Übersicht'!$A:$A,0)),"")</f>
        <v/>
      </c>
      <c r="O47" s="11" t="inlineStr"/>
      <c r="P47" s="11" t="inlineStr"/>
    </row>
    <row r="48">
      <c r="A48" s="4" t="inlineStr">
        <is>
          <t>6564.02 ROB-MCR-Weilerbach-Züblin-TP2</t>
        </is>
      </c>
      <c r="B48" s="4" t="inlineStr">
        <is>
          <t>5000-Ausführungsplanung</t>
        </is>
      </c>
      <c r="C48" s="4" t="inlineStr">
        <is>
          <t>G</t>
        </is>
      </c>
      <c r="D48" s="4" t="n">
        <v>1560</v>
      </c>
      <c r="E48" s="4" t="n">
        <v>625</v>
      </c>
      <c r="F48" s="4" t="n">
        <v>88</v>
      </c>
      <c r="G48" s="17" t="n">
        <v>40.06</v>
      </c>
      <c r="H48" s="5" t="n"/>
      <c r="I48" s="5">
        <f>IF(H48=0,"",F48-H48)</f>
        <v/>
      </c>
      <c r="J48" s="4" t="n"/>
      <c r="K48" s="5">
        <f>IF('O. Haag BS-CAD'!J110="P. Bergner",'O. Haag BS-CAD'!I110,0)</f>
        <v/>
      </c>
      <c r="L48" s="11">
        <f>IF($B$2="-","",IF($B$2="Pauschale",IFERROR(INDEX('Projekt-Budget-Übersicht'!$H:$H,MATCH(A48,'Projekt-Budget-Übersicht'!$A:$A,0)),""),IF($B$2="SV",IFERROR(INDEX('Projekt-Budget-Übersicht'!$H:$H,MATCH(A48,'Projekt-Budget-Übersicht'!$A:$A,0)),""),IF($B$2="CAD",IFERROR(INDEX('Projekt-Budget-Übersicht'!$I:$I,MATCH(A48,'Projekt-Budget-Übersicht'!$A:$A,0)),""),IF($B$2="ADM",IFERROR(INDEX('Projekt-Budget-Übersicht'!$J:$J,MATCH(A48,'Projekt-Budget-Übersicht'!$A:$A,0)),""),"")))))</f>
        <v/>
      </c>
      <c r="M48" s="11">
        <f>IF($B$2="-","",L48*(F48+I48+K48))</f>
        <v/>
      </c>
      <c r="N48" s="11">
        <f>IFERROR(INDEX('Projekt-Budget-Übersicht'!$E:$E,MATCH(A48,'Projekt-Budget-Übersicht'!$A:$A,0)),"")</f>
        <v/>
      </c>
      <c r="O48" s="11" t="inlineStr"/>
      <c r="P48" s="11" t="inlineStr"/>
    </row>
    <row r="49">
      <c r="A49" s="4" t="inlineStr">
        <is>
          <t>6753.01 BSK-Röntgenstraße-6-Alzenau-</t>
        </is>
      </c>
      <c r="B49" s="4" t="inlineStr">
        <is>
          <t>4100-Erläuterungsbericht Rechtsgrundlagen….</t>
        </is>
      </c>
      <c r="C49" s="4" t="inlineStr">
        <is>
          <t>G</t>
        </is>
      </c>
      <c r="D49" s="4" t="n">
        <v>12</v>
      </c>
      <c r="E49" s="4" t="n">
        <v>34</v>
      </c>
      <c r="F49" s="4" t="n">
        <v>2</v>
      </c>
      <c r="G49" s="16" t="n">
        <v>283.33</v>
      </c>
      <c r="H49" s="5" t="n"/>
      <c r="I49" s="5">
        <f>IF(H49=0,"",F49-H49)</f>
        <v/>
      </c>
      <c r="J49" s="4" t="n"/>
      <c r="K49" s="5" t="n">
        <v>0</v>
      </c>
      <c r="L49" s="11">
        <f>IF($B$2="-","",IF($B$2="Pauschale",IFERROR(INDEX('Projekt-Budget-Übersicht'!$H:$H,MATCH(A49,'Projekt-Budget-Übersicht'!$A:$A,0)),""),IF($B$2="SV",IFERROR(INDEX('Projekt-Budget-Übersicht'!$H:$H,MATCH(A49,'Projekt-Budget-Übersicht'!$A:$A,0)),""),IF($B$2="CAD",IFERROR(INDEX('Projekt-Budget-Übersicht'!$I:$I,MATCH(A49,'Projekt-Budget-Übersicht'!$A:$A,0)),""),IF($B$2="ADM",IFERROR(INDEX('Projekt-Budget-Übersicht'!$J:$J,MATCH(A49,'Projekt-Budget-Übersicht'!$A:$A,0)),""),"")))))</f>
        <v/>
      </c>
      <c r="M49" s="11">
        <f>IF($B$2="-","",L49*(F49+I49+K49))</f>
        <v/>
      </c>
      <c r="N49" s="11">
        <f>IFERROR(INDEX('Projekt-Budget-Übersicht'!$E:$E,MATCH(A49,'Projekt-Budget-Übersicht'!$A:$A,0)),"")</f>
        <v/>
      </c>
      <c r="O49" s="11" t="inlineStr"/>
      <c r="P49" s="11" t="inlineStr"/>
    </row>
    <row r="50">
      <c r="A50" s="4" t="inlineStr">
        <is>
          <t>7065 LBB-IO-AHO-NB-Schießhauskomplex-(BHMH)-Smith-Barracks-Baumholder</t>
        </is>
      </c>
      <c r="B50" s="4" t="inlineStr">
        <is>
          <t>Pos. 2.81 GL (SV) US-Recht</t>
        </is>
      </c>
      <c r="C50" s="4" t="inlineStr">
        <is>
          <t>G</t>
        </is>
      </c>
      <c r="D50" s="4" t="n">
        <v>8.5</v>
      </c>
      <c r="E50" s="4" t="n">
        <v>5.5</v>
      </c>
      <c r="F50" s="4" t="n">
        <v>4</v>
      </c>
      <c r="G50" s="17" t="n">
        <v>64.70999999999999</v>
      </c>
      <c r="H50" s="5" t="n"/>
      <c r="I50" s="5">
        <f>IF(H50=0,"",F50-H50)</f>
        <v/>
      </c>
      <c r="J50" s="4" t="n"/>
      <c r="K50" s="5" t="n">
        <v>0</v>
      </c>
      <c r="L50" s="11">
        <f>IF($B$2="-","",IF($B$2="Pauschale",IFERROR(INDEX('Projekt-Budget-Übersicht'!$H:$H,MATCH(A50,'Projekt-Budget-Übersicht'!$A:$A,0)),""),IF($B$2="SV",IFERROR(INDEX('Projekt-Budget-Übersicht'!$H:$H,MATCH(A50,'Projekt-Budget-Übersicht'!$A:$A,0)),""),IF($B$2="CAD",IFERROR(INDEX('Projekt-Budget-Übersicht'!$I:$I,MATCH(A50,'Projekt-Budget-Übersicht'!$A:$A,0)),""),IF($B$2="ADM",IFERROR(INDEX('Projekt-Budget-Übersicht'!$J:$J,MATCH(A50,'Projekt-Budget-Übersicht'!$A:$A,0)),""),"")))))</f>
        <v/>
      </c>
      <c r="M50" s="11">
        <f>IF($B$2="-","",L50*(F50+I50+K50))</f>
        <v/>
      </c>
      <c r="N50" s="11">
        <f>IFERROR(INDEX('Projekt-Budget-Übersicht'!$E:$E,MATCH(A50,'Projekt-Budget-Übersicht'!$A:$A,0)),"")</f>
        <v/>
      </c>
      <c r="O50" s="11" t="inlineStr"/>
      <c r="P50" s="11" t="inlineStr"/>
    </row>
    <row r="51">
      <c r="A51" s="4" t="inlineStr">
        <is>
          <t>7130 AECOM-Projekte</t>
        </is>
      </c>
      <c r="B51" s="4" t="inlineStr">
        <is>
          <t>(aN) ITR-CAC-Ansbach-Urlas</t>
        </is>
      </c>
      <c r="C51" s="4" t="inlineStr">
        <is>
          <t>G</t>
        </is>
      </c>
      <c r="D51" s="4" t="n">
        <v>30</v>
      </c>
      <c r="E51" s="4" t="n">
        <v>25</v>
      </c>
      <c r="F51" s="4" t="n">
        <v>25</v>
      </c>
      <c r="G51" s="17" t="n">
        <v>83.33</v>
      </c>
      <c r="H51" s="5" t="n"/>
      <c r="I51" s="5">
        <f>IF(H51=0,"",F51-H51)</f>
        <v/>
      </c>
      <c r="J51" s="4" t="n"/>
      <c r="K51" s="5" t="n">
        <v>0</v>
      </c>
      <c r="L51" s="11">
        <f>IF($B$2="-","",IF($B$2="Pauschale",IFERROR(INDEX('Projekt-Budget-Übersicht'!$H:$H,MATCH(A51,'Projekt-Budget-Übersicht'!$A:$A,0)),""),IF($B$2="SV",IFERROR(INDEX('Projekt-Budget-Übersicht'!$H:$H,MATCH(A51,'Projekt-Budget-Übersicht'!$A:$A,0)),""),IF($B$2="CAD",IFERROR(INDEX('Projekt-Budget-Übersicht'!$I:$I,MATCH(A51,'Projekt-Budget-Übersicht'!$A:$A,0)),""),IF($B$2="ADM",IFERROR(INDEX('Projekt-Budget-Übersicht'!$J:$J,MATCH(A51,'Projekt-Budget-Übersicht'!$A:$A,0)),""),"")))))</f>
        <v/>
      </c>
      <c r="M51" s="11">
        <f>IF($B$2="-","",L51*(F51+I51+K51))</f>
        <v/>
      </c>
      <c r="N51" s="11">
        <f>IFERROR(INDEX('Projekt-Budget-Übersicht'!$E:$E,MATCH(A51,'Projekt-Budget-Übersicht'!$A:$A,0)),"")</f>
        <v/>
      </c>
      <c r="O51" s="11" t="inlineStr"/>
      <c r="P51" s="11" t="inlineStr"/>
    </row>
    <row r="52">
      <c r="A52" s="4" t="inlineStr">
        <is>
          <t>7216.02 BSK-MailänderStr-3-23-Frankfurt</t>
        </is>
      </c>
      <c r="B52" s="4" t="inlineStr">
        <is>
          <t>0300-QM, prüfen Plausibilität, Fertigstellung der Unterlagen</t>
        </is>
      </c>
      <c r="C52" s="4" t="inlineStr">
        <is>
          <t>G</t>
        </is>
      </c>
      <c r="D52" s="4" t="n">
        <v>2</v>
      </c>
      <c r="E52" s="4" t="n">
        <v>2.75</v>
      </c>
      <c r="F52" s="4" t="n">
        <v>1.5</v>
      </c>
      <c r="G52" s="16" t="n">
        <v>137.5</v>
      </c>
      <c r="H52" s="5" t="n"/>
      <c r="I52" s="5">
        <f>IF(H52=0,"",F52-H52)</f>
        <v/>
      </c>
      <c r="J52" s="4" t="n"/>
      <c r="K52" s="5" t="n">
        <v>0</v>
      </c>
      <c r="L52" s="11">
        <f>IF($B$2="-","",IF($B$2="Pauschale",IFERROR(INDEX('Projekt-Budget-Übersicht'!$H:$H,MATCH(A52,'Projekt-Budget-Übersicht'!$A:$A,0)),""),IF($B$2="SV",IFERROR(INDEX('Projekt-Budget-Übersicht'!$H:$H,MATCH(A52,'Projekt-Budget-Übersicht'!$A:$A,0)),""),IF($B$2="CAD",IFERROR(INDEX('Projekt-Budget-Übersicht'!$I:$I,MATCH(A52,'Projekt-Budget-Übersicht'!$A:$A,0)),""),IF($B$2="ADM",IFERROR(INDEX('Projekt-Budget-Übersicht'!$J:$J,MATCH(A52,'Projekt-Budget-Übersicht'!$A:$A,0)),""),"")))))</f>
        <v/>
      </c>
      <c r="M52" s="11">
        <f>IF($B$2="-","",L52*(F52+I52+K52))</f>
        <v/>
      </c>
      <c r="N52" s="11">
        <f>IFERROR(INDEX('Projekt-Budget-Übersicht'!$E:$E,MATCH(A52,'Projekt-Budget-Übersicht'!$A:$A,0)),"")</f>
        <v/>
      </c>
      <c r="O52" s="11" t="inlineStr"/>
      <c r="P52" s="11" t="inlineStr"/>
    </row>
    <row r="53">
      <c r="A53" s="4" t="inlineStr">
        <is>
          <t>7355.01 Pfizer-BSK-Umnutzung-Mooswaldallee-1-Freiburg-Geb-K</t>
        </is>
      </c>
      <c r="B53" s="4" t="inlineStr">
        <is>
          <t>SV</t>
        </is>
      </c>
      <c r="C53" s="4" t="inlineStr">
        <is>
          <t>G</t>
        </is>
      </c>
      <c r="D53" s="4" t="n">
        <v>30</v>
      </c>
      <c r="E53" s="4" t="n">
        <v>73.75</v>
      </c>
      <c r="F53" s="4" t="n">
        <v>2</v>
      </c>
      <c r="G53" s="16" t="n">
        <v>245.83</v>
      </c>
      <c r="H53" s="5" t="n"/>
      <c r="I53" s="5">
        <f>IF(H53=0,"",F53-H53)</f>
        <v/>
      </c>
      <c r="J53" s="4" t="n"/>
      <c r="K53" s="5">
        <f>IF('R. Böttiger'!J61="P. Bergner",'R. Böttiger'!I61,0)</f>
        <v/>
      </c>
      <c r="L53" s="11">
        <f>IF($B$2="-","",IF($B$2="Pauschale",IFERROR(INDEX('Projekt-Budget-Übersicht'!$H:$H,MATCH(A53,'Projekt-Budget-Übersicht'!$A:$A,0)),""),IF($B$2="SV",IFERROR(INDEX('Projekt-Budget-Übersicht'!$H:$H,MATCH(A53,'Projekt-Budget-Übersicht'!$A:$A,0)),""),IF($B$2="CAD",IFERROR(INDEX('Projekt-Budget-Übersicht'!$I:$I,MATCH(A53,'Projekt-Budget-Übersicht'!$A:$A,0)),""),IF($B$2="ADM",IFERROR(INDEX('Projekt-Budget-Übersicht'!$J:$J,MATCH(A53,'Projekt-Budget-Übersicht'!$A:$A,0)),""),"")))))</f>
        <v/>
      </c>
      <c r="M53" s="11">
        <f>IF($B$2="-","",L53*(F53+I53+K53))</f>
        <v/>
      </c>
      <c r="N53" s="11">
        <f>IFERROR(INDEX('Projekt-Budget-Übersicht'!$E:$E,MATCH(A53,'Projekt-Budget-Übersicht'!$A:$A,0)),"")</f>
        <v/>
      </c>
      <c r="O53" s="11" t="inlineStr"/>
      <c r="P53" s="11" t="inlineStr"/>
    </row>
    <row r="54">
      <c r="A54" s="4" t="inlineStr">
        <is>
          <t>7530 Freiwald-BST-Wohnhaus-Zeppelinstr182-Heidelberg</t>
        </is>
      </c>
      <c r="B54" s="4" t="inlineStr">
        <is>
          <t>SV</t>
        </is>
      </c>
      <c r="C54" s="4" t="inlineStr">
        <is>
          <t>G</t>
        </is>
      </c>
      <c r="D54" s="4" t="n">
        <v>0</v>
      </c>
      <c r="E54" s="4" t="n">
        <v>0</v>
      </c>
      <c r="F54" s="4" t="n">
        <v>2</v>
      </c>
      <c r="G54" s="4" t="n">
        <v>0</v>
      </c>
      <c r="H54" s="5" t="n"/>
      <c r="I54" s="5">
        <f>IF(H54=0,"",F54-H54)</f>
        <v/>
      </c>
      <c r="J54" s="4" t="n"/>
      <c r="K54" s="5" t="n">
        <v>0</v>
      </c>
      <c r="L54" s="11">
        <f>IF($B$2="-","",IF($B$2="Pauschale",IFERROR(INDEX('Projekt-Budget-Übersicht'!$H:$H,MATCH(A54,'Projekt-Budget-Übersicht'!$A:$A,0)),""),IF($B$2="SV",IFERROR(INDEX('Projekt-Budget-Übersicht'!$H:$H,MATCH(A54,'Projekt-Budget-Übersicht'!$A:$A,0)),""),IF($B$2="CAD",IFERROR(INDEX('Projekt-Budget-Übersicht'!$I:$I,MATCH(A54,'Projekt-Budget-Übersicht'!$A:$A,0)),""),IF($B$2="ADM",IFERROR(INDEX('Projekt-Budget-Übersicht'!$J:$J,MATCH(A54,'Projekt-Budget-Übersicht'!$A:$A,0)),""),"")))))</f>
        <v/>
      </c>
      <c r="M54" s="11">
        <f>IF($B$2="-","",L54*(F54+I54+K54))</f>
        <v/>
      </c>
      <c r="N54" s="11">
        <f>IFERROR(INDEX('Projekt-Budget-Übersicht'!$E:$E,MATCH(A54,'Projekt-Budget-Übersicht'!$A:$A,0)),"")</f>
        <v/>
      </c>
      <c r="O54" s="11" t="inlineStr"/>
      <c r="P54" s="11" t="inlineStr"/>
    </row>
    <row r="55">
      <c r="A55" s="3" t="inlineStr"/>
      <c r="B55" s="3" t="inlineStr">
        <is>
          <t>Summe</t>
        </is>
      </c>
      <c r="C55" s="3" t="inlineStr"/>
      <c r="D55" s="3" t="inlineStr"/>
      <c r="E55" s="3" t="inlineStr"/>
      <c r="F55" s="6" t="n">
        <v>149</v>
      </c>
      <c r="G55" s="3" t="inlineStr"/>
      <c r="H55" s="3" t="inlineStr"/>
      <c r="I55" s="3" t="inlineStr"/>
      <c r="J55" s="3" t="inlineStr"/>
      <c r="K55" s="3" t="inlineStr"/>
      <c r="L55" s="3" t="n"/>
      <c r="M55" s="3" t="n"/>
      <c r="N55" s="3" t="n"/>
      <c r="O55" s="3" t="n"/>
      <c r="P55" s="3" t="n"/>
    </row>
    <row r="56">
      <c r="A56" s="3" t="inlineStr"/>
      <c r="B56" s="3" t="inlineStr">
        <is>
          <t>Bonusberechtigte Stunden</t>
        </is>
      </c>
      <c r="C56" s="3" t="inlineStr"/>
      <c r="D56" s="3" t="inlineStr"/>
      <c r="E56" s="3" t="inlineStr"/>
      <c r="F56" s="6">
        <f>G56+H56</f>
        <v/>
      </c>
      <c r="G56" s="6" t="n">
        <v>132</v>
      </c>
      <c r="H56" s="6">
        <f>SUM(H44,H45,H46,H47,H48,H49,H50,H51,H52,H53,H54)</f>
        <v/>
      </c>
      <c r="I56" s="3" t="inlineStr"/>
      <c r="J56" s="3" t="inlineStr"/>
      <c r="K56" s="3" t="inlineStr"/>
      <c r="L56" s="3" t="inlineStr"/>
      <c r="M56" s="3" t="inlineStr"/>
      <c r="N56" s="3" t="inlineStr"/>
      <c r="O56" s="3" t="inlineStr"/>
      <c r="P56" s="3" t="inlineStr"/>
    </row>
    <row r="57">
      <c r="A57" s="3" t="inlineStr"/>
      <c r="B57" s="3" t="inlineStr">
        <is>
          <t>Bonusberechtigte Stunden Sonderprojekt</t>
        </is>
      </c>
      <c r="C57" s="3" t="inlineStr"/>
      <c r="D57" s="3" t="inlineStr"/>
      <c r="E57" s="3" t="inlineStr"/>
      <c r="F57" s="6">
        <f>G57+H57</f>
        <v/>
      </c>
      <c r="G57" s="6" t="n">
        <v>10</v>
      </c>
      <c r="H57" s="6">
        <f>SUM(H42,H43)</f>
        <v/>
      </c>
      <c r="I57" s="3" t="inlineStr"/>
      <c r="J57" s="3" t="inlineStr"/>
      <c r="K57" s="3" t="inlineStr"/>
      <c r="L57" s="3" t="inlineStr"/>
      <c r="M57" s="3" t="inlineStr"/>
      <c r="N57" s="3" t="inlineStr"/>
      <c r="O57" s="3" t="inlineStr"/>
      <c r="P57" s="3" t="inlineStr"/>
    </row>
    <row r="58">
      <c r="A58" s="3" t="inlineStr"/>
      <c r="B58" s="3" t="inlineStr">
        <is>
          <t>Zugeordnete Stunden von anderen MA</t>
        </is>
      </c>
      <c r="C58" s="3" t="inlineStr"/>
      <c r="D58" s="3" t="inlineStr"/>
      <c r="E58" s="3" t="inlineStr"/>
      <c r="F58" s="6">
        <f>SUM(K42:K54)</f>
        <v/>
      </c>
      <c r="G58" s="3" t="inlineStr"/>
      <c r="H58" s="3" t="inlineStr"/>
      <c r="I58" s="3" t="inlineStr"/>
      <c r="J58" s="3" t="inlineStr"/>
      <c r="K58" s="3" t="inlineStr"/>
      <c r="L58" s="3" t="inlineStr"/>
      <c r="M58" s="3" t="inlineStr"/>
      <c r="N58" s="3" t="inlineStr"/>
      <c r="O58" s="3" t="inlineStr"/>
      <c r="P58" s="3" t="inlineStr"/>
    </row>
    <row r="59">
      <c r="A59" s="18" t="inlineStr"/>
      <c r="B59" s="18" t="inlineStr">
        <is>
          <t>Gesamt Bonus Stunden</t>
        </is>
      </c>
      <c r="C59" s="18" t="inlineStr"/>
      <c r="D59" s="18" t="inlineStr"/>
      <c r="E59" s="18" t="inlineStr"/>
      <c r="F59" s="19">
        <f>F56+F57+F58</f>
        <v/>
      </c>
      <c r="G59" s="18" t="inlineStr"/>
      <c r="H59" s="18" t="inlineStr"/>
      <c r="I59" s="18" t="inlineStr"/>
      <c r="J59" s="18" t="inlineStr"/>
      <c r="K59" s="18" t="inlineStr"/>
      <c r="L59" s="18" t="n"/>
      <c r="M59" s="18" t="n"/>
      <c r="N59" s="18" t="n"/>
      <c r="O59" s="18" t="n"/>
      <c r="P59" s="18" t="n"/>
    </row>
    <row r="61">
      <c r="A61" s="2" t="inlineStr">
        <is>
          <t>--- Übertragshilfe ---</t>
        </is>
      </c>
    </row>
    <row r="62">
      <c r="A62" s="3" t="inlineStr">
        <is>
          <t>Monat</t>
        </is>
      </c>
      <c r="B62" s="3" t="inlineStr">
        <is>
          <t>Mitarbeiter</t>
        </is>
      </c>
      <c r="C62" s="3" t="inlineStr">
        <is>
          <t>Prod. Stunden</t>
        </is>
      </c>
      <c r="D62" s="3" t="inlineStr">
        <is>
          <t>Bonusberechtigte Stunden</t>
        </is>
      </c>
      <c r="E62" s="3" t="inlineStr">
        <is>
          <t>Bonusberechtigte Stunden Sonderprojekt</t>
        </is>
      </c>
      <c r="F62" s="3" t="inlineStr">
        <is>
          <t>Zugeordnet von anderen</t>
        </is>
      </c>
      <c r="G62" s="3" t="inlineStr">
        <is>
          <t>Gesamt Bonus</t>
        </is>
      </c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</row>
    <row r="63">
      <c r="A63" s="4" t="inlineStr">
        <is>
          <t>Juli 2025</t>
        </is>
      </c>
      <c r="B63" s="4" t="inlineStr">
        <is>
          <t>P. Bergner</t>
        </is>
      </c>
      <c r="C63" s="4">
        <f>F13</f>
        <v/>
      </c>
      <c r="D63" s="4">
        <f>F14</f>
        <v/>
      </c>
      <c r="E63" s="4">
        <f>F15</f>
        <v/>
      </c>
      <c r="F63" s="4">
        <f>F16</f>
        <v/>
      </c>
      <c r="G63" s="4">
        <f>F17</f>
        <v/>
      </c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</row>
    <row r="64">
      <c r="A64" s="4" t="inlineStr">
        <is>
          <t>August 2025</t>
        </is>
      </c>
      <c r="B64" s="4" t="inlineStr">
        <is>
          <t>P. Bergner</t>
        </is>
      </c>
      <c r="C64" s="4">
        <f>F34</f>
        <v/>
      </c>
      <c r="D64" s="4">
        <f>F35</f>
        <v/>
      </c>
      <c r="E64" s="4">
        <f>F36</f>
        <v/>
      </c>
      <c r="F64" s="4">
        <f>F37</f>
        <v/>
      </c>
      <c r="G64" s="4">
        <f>F38</f>
        <v/>
      </c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</row>
    <row r="65">
      <c r="A65" s="4" t="inlineStr">
        <is>
          <t>September 2025</t>
        </is>
      </c>
      <c r="B65" s="4" t="inlineStr">
        <is>
          <t>P. Bergner</t>
        </is>
      </c>
      <c r="C65" s="4">
        <f>F55</f>
        <v/>
      </c>
      <c r="D65" s="4">
        <f>F56</f>
        <v/>
      </c>
      <c r="E65" s="4">
        <f>F57</f>
        <v/>
      </c>
      <c r="F65" s="4">
        <f>F58</f>
        <v/>
      </c>
      <c r="G65" s="4">
        <f>F59</f>
        <v/>
      </c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</row>
    <row r="67">
      <c r="A67" s="2" t="inlineStr">
        <is>
          <t>--- Quartalsübersicht 2025Q3 ---</t>
        </is>
      </c>
    </row>
    <row r="68">
      <c r="A68" s="3" t="inlineStr">
        <is>
          <t>Projekt</t>
        </is>
      </c>
      <c r="B68" s="3" t="inlineStr">
        <is>
          <t>Meilenstein</t>
        </is>
      </c>
      <c r="C68" s="3" t="inlineStr">
        <is>
          <t>Q-Soll (h)</t>
        </is>
      </c>
      <c r="D68" s="3" t="inlineStr">
        <is>
          <t>Q-Ist (h)</t>
        </is>
      </c>
      <c r="E68" s="3" t="inlineStr">
        <is>
          <t>%</t>
        </is>
      </c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</row>
    <row r="69">
      <c r="A69" s="4" t="inlineStr">
        <is>
          <t>0000 Sonderprojekt für Bonus</t>
        </is>
      </c>
      <c r="B69" s="4" t="inlineStr">
        <is>
          <t>Firmenveranstaltungen (max. 4h/Quartal pro MA)</t>
        </is>
      </c>
      <c r="C69" s="4" t="n">
        <v>4</v>
      </c>
      <c r="D69" s="4" t="n">
        <v>4</v>
      </c>
      <c r="E69" s="14" t="n">
        <v>100</v>
      </c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</row>
    <row r="71">
      <c r="A71" s="2" t="inlineStr">
        <is>
          <t>--- Gesamtstunden 2025Q3 ---</t>
        </is>
      </c>
    </row>
    <row r="72">
      <c r="A72" s="12" t="inlineStr">
        <is>
          <t>Gesamt eingetragene Stunden:</t>
        </is>
      </c>
      <c r="B72" s="12" t="n">
        <v>362.5</v>
      </c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  <c r="M72" s="12" t="n"/>
      <c r="N72" s="12" t="n"/>
      <c r="O72" s="12" t="n"/>
      <c r="P72" s="12" t="n"/>
    </row>
    <row r="73">
      <c r="A73" s="12" t="inlineStr">
        <is>
          <t>Bonusberechtigte Stunden (Quartal):</t>
        </is>
      </c>
      <c r="B73" s="20">
        <f>SUM(F14,F35,F56)</f>
        <v/>
      </c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</row>
    <row r="74">
      <c r="A74" s="12" t="inlineStr">
        <is>
          <t>Bonusberechtigte Stunden Sonderprojekt (Quartal):</t>
        </is>
      </c>
      <c r="B74" s="20">
        <f>SUM(F15,F36,F57)</f>
        <v/>
      </c>
      <c r="C74" s="12" t="n"/>
      <c r="D74" s="12" t="n"/>
      <c r="E74" s="12" t="n"/>
      <c r="F74" s="12" t="n"/>
      <c r="G74" s="12" t="n"/>
      <c r="H74" s="12" t="n"/>
      <c r="I74" s="12" t="n"/>
      <c r="J74" s="12" t="n"/>
      <c r="K74" s="12" t="n"/>
      <c r="L74" s="12" t="n"/>
      <c r="M74" s="12" t="n"/>
      <c r="N74" s="12" t="n"/>
      <c r="O74" s="12" t="n"/>
      <c r="P74" s="12" t="n"/>
    </row>
  </sheetData>
  <mergeCells count="3">
    <mergeCell ref="A42:A43"/>
    <mergeCell ref="A11:A12"/>
    <mergeCell ref="A21:A22"/>
  </mergeCells>
  <conditionalFormatting sqref="I6">
    <cfRule type="cellIs" priority="1" operator="lessThan" dxfId="0" stopIfTrue="1">
      <formula>0</formula>
    </cfRule>
  </conditionalFormatting>
  <conditionalFormatting sqref="I7">
    <cfRule type="cellIs" priority="2" operator="lessThan" dxfId="0" stopIfTrue="1">
      <formula>0</formula>
    </cfRule>
  </conditionalFormatting>
  <conditionalFormatting sqref="I8">
    <cfRule type="cellIs" priority="3" operator="lessThan" dxfId="0" stopIfTrue="1">
      <formula>0</formula>
    </cfRule>
  </conditionalFormatting>
  <conditionalFormatting sqref="I9">
    <cfRule type="cellIs" priority="4" operator="lessThan" dxfId="0" stopIfTrue="1">
      <formula>0</formula>
    </cfRule>
  </conditionalFormatting>
  <conditionalFormatting sqref="I10">
    <cfRule type="cellIs" priority="5" operator="lessThan" dxfId="0" stopIfTrue="1">
      <formula>0</formula>
    </cfRule>
  </conditionalFormatting>
  <conditionalFormatting sqref="I11">
    <cfRule type="cellIs" priority="6" operator="lessThan" dxfId="0" stopIfTrue="1">
      <formula>0</formula>
    </cfRule>
  </conditionalFormatting>
  <conditionalFormatting sqref="I12">
    <cfRule type="cellIs" priority="7" operator="lessThan" dxfId="0" stopIfTrue="1">
      <formula>0</formula>
    </cfRule>
  </conditionalFormatting>
  <conditionalFormatting sqref="I21">
    <cfRule type="cellIs" priority="8" operator="lessThan" dxfId="0" stopIfTrue="1">
      <formula>0</formula>
    </cfRule>
  </conditionalFormatting>
  <conditionalFormatting sqref="I22">
    <cfRule type="cellIs" priority="9" operator="lessThan" dxfId="0" stopIfTrue="1">
      <formula>0</formula>
    </cfRule>
  </conditionalFormatting>
  <conditionalFormatting sqref="I23">
    <cfRule type="cellIs" priority="10" operator="lessThan" dxfId="0" stopIfTrue="1">
      <formula>0</formula>
    </cfRule>
  </conditionalFormatting>
  <conditionalFormatting sqref="I24">
    <cfRule type="cellIs" priority="11" operator="lessThan" dxfId="0" stopIfTrue="1">
      <formula>0</formula>
    </cfRule>
  </conditionalFormatting>
  <conditionalFormatting sqref="I25">
    <cfRule type="cellIs" priority="12" operator="lessThan" dxfId="0" stopIfTrue="1">
      <formula>0</formula>
    </cfRule>
  </conditionalFormatting>
  <conditionalFormatting sqref="I26">
    <cfRule type="cellIs" priority="13" operator="lessThan" dxfId="0" stopIfTrue="1">
      <formula>0</formula>
    </cfRule>
  </conditionalFormatting>
  <conditionalFormatting sqref="I27">
    <cfRule type="cellIs" priority="14" operator="lessThan" dxfId="0" stopIfTrue="1">
      <formula>0</formula>
    </cfRule>
  </conditionalFormatting>
  <conditionalFormatting sqref="I28">
    <cfRule type="cellIs" priority="15" operator="lessThan" dxfId="0" stopIfTrue="1">
      <formula>0</formula>
    </cfRule>
  </conditionalFormatting>
  <conditionalFormatting sqref="I29">
    <cfRule type="cellIs" priority="16" operator="lessThan" dxfId="0" stopIfTrue="1">
      <formula>0</formula>
    </cfRule>
  </conditionalFormatting>
  <conditionalFormatting sqref="I30">
    <cfRule type="cellIs" priority="17" operator="lessThan" dxfId="0" stopIfTrue="1">
      <formula>0</formula>
    </cfRule>
  </conditionalFormatting>
  <conditionalFormatting sqref="I31">
    <cfRule type="cellIs" priority="18" operator="lessThan" dxfId="0" stopIfTrue="1">
      <formula>0</formula>
    </cfRule>
  </conditionalFormatting>
  <conditionalFormatting sqref="I32">
    <cfRule type="cellIs" priority="19" operator="lessThan" dxfId="0" stopIfTrue="1">
      <formula>0</formula>
    </cfRule>
  </conditionalFormatting>
  <conditionalFormatting sqref="I33">
    <cfRule type="cellIs" priority="20" operator="lessThan" dxfId="0" stopIfTrue="1">
      <formula>0</formula>
    </cfRule>
  </conditionalFormatting>
  <conditionalFormatting sqref="I42">
    <cfRule type="cellIs" priority="21" operator="lessThan" dxfId="0" stopIfTrue="1">
      <formula>0</formula>
    </cfRule>
  </conditionalFormatting>
  <conditionalFormatting sqref="I43">
    <cfRule type="cellIs" priority="22" operator="lessThan" dxfId="0" stopIfTrue="1">
      <formula>0</formula>
    </cfRule>
  </conditionalFormatting>
  <conditionalFormatting sqref="I44">
    <cfRule type="cellIs" priority="23" operator="lessThan" dxfId="0" stopIfTrue="1">
      <formula>0</formula>
    </cfRule>
  </conditionalFormatting>
  <conditionalFormatting sqref="I45">
    <cfRule type="cellIs" priority="24" operator="lessThan" dxfId="0" stopIfTrue="1">
      <formula>0</formula>
    </cfRule>
  </conditionalFormatting>
  <conditionalFormatting sqref="I46">
    <cfRule type="cellIs" priority="25" operator="lessThan" dxfId="0" stopIfTrue="1">
      <formula>0</formula>
    </cfRule>
  </conditionalFormatting>
  <conditionalFormatting sqref="I47">
    <cfRule type="cellIs" priority="26" operator="lessThan" dxfId="0" stopIfTrue="1">
      <formula>0</formula>
    </cfRule>
  </conditionalFormatting>
  <conditionalFormatting sqref="I48">
    <cfRule type="cellIs" priority="27" operator="lessThan" dxfId="0" stopIfTrue="1">
      <formula>0</formula>
    </cfRule>
  </conditionalFormatting>
  <conditionalFormatting sqref="I49">
    <cfRule type="cellIs" priority="28" operator="lessThan" dxfId="0" stopIfTrue="1">
      <formula>0</formula>
    </cfRule>
  </conditionalFormatting>
  <conditionalFormatting sqref="I50">
    <cfRule type="cellIs" priority="29" operator="lessThan" dxfId="0" stopIfTrue="1">
      <formula>0</formula>
    </cfRule>
  </conditionalFormatting>
  <conditionalFormatting sqref="I51">
    <cfRule type="cellIs" priority="30" operator="lessThan" dxfId="0" stopIfTrue="1">
      <formula>0</formula>
    </cfRule>
  </conditionalFormatting>
  <conditionalFormatting sqref="I52">
    <cfRule type="cellIs" priority="31" operator="lessThan" dxfId="0" stopIfTrue="1">
      <formula>0</formula>
    </cfRule>
  </conditionalFormatting>
  <conditionalFormatting sqref="I53">
    <cfRule type="cellIs" priority="32" operator="lessThan" dxfId="0" stopIfTrue="1">
      <formula>0</formula>
    </cfRule>
  </conditionalFormatting>
  <conditionalFormatting sqref="I54">
    <cfRule type="cellIs" priority="33" operator="lessThan" dxfId="0" stopIfTrue="1">
      <formula>0</formula>
    </cfRule>
  </conditionalFormatting>
  <dataValidations count="15">
    <dataValidation sqref="B2" showDropDown="0" showInputMessage="0" showErrorMessage="0" allowBlank="0" type="list">
      <formula1>"SV,CAD,ADM,Pauschale,-"</formula1>
    </dataValidation>
    <dataValidation sqref="J6" showDropDown="0" showInputMessage="0" showErrorMessage="0" allowBlank="1" type="list">
      <formula1>"E. Bieler,J. Dorn"</formula1>
    </dataValidation>
    <dataValidation sqref="J7" showDropDown="0" showInputMessage="0" showErrorMessage="0" allowBlank="1" type="list">
      <formula1>"A. Kokott,E. Bieler,J. Dorchies,J. Dorn,O. Haag BS-CAD,R. Böttiger"</formula1>
    </dataValidation>
    <dataValidation sqref="J8" showDropDown="0" showInputMessage="0" showErrorMessage="0" allowBlank="1" type="list">
      <formula1>"C. Trapp SV,S. Roßkopf"</formula1>
    </dataValidation>
    <dataValidation sqref="J9" showDropDown="0" showInputMessage="0" showErrorMessage="0" allowBlank="1" type="list">
      <formula1>"O. Haag BS-CAD"</formula1>
    </dataValidation>
    <dataValidation sqref="J11" showDropDown="0" showInputMessage="0" showErrorMessage="0" allowBlank="1" type="list">
      <formula1>"O. Haag BS-CAD"</formula1>
    </dataValidation>
    <dataValidation sqref="J21" showDropDown="0" showInputMessage="0" showErrorMessage="0" allowBlank="1" type="list">
      <formula1>"A. Kokott,C. Trapp SV,D. Brucker,E. Bieler,J. Dorchies,J. Dorn,O. Haag BS-CAD,R. Böttiger,S. Schüler,T. Trautmann,U. Sutter ADM"</formula1>
    </dataValidation>
    <dataValidation sqref="J22" showDropDown="0" showInputMessage="0" showErrorMessage="0" allowBlank="1" type="list">
      <formula1>"A. Kokott,C. Trapp SV,D. Brucker,E. Bieler,J. Dorchies,J. Dorn,M. Bandlofsky,O. Haag BS-CAD,R. Wagen CAD,T. Trautmann,U. Sutter ADM"</formula1>
    </dataValidation>
    <dataValidation sqref="J25" showDropDown="0" showInputMessage="0" showErrorMessage="0" allowBlank="1" type="list">
      <formula1>"M. Bandlofsky"</formula1>
    </dataValidation>
    <dataValidation sqref="J30" showDropDown="0" showInputMessage="0" showErrorMessage="0" allowBlank="1" type="list">
      <formula1>"O. Haag BS-CAD"</formula1>
    </dataValidation>
    <dataValidation sqref="J32" showDropDown="0" showInputMessage="0" showErrorMessage="0" allowBlank="1" type="list">
      <formula1>"A. Kokott"</formula1>
    </dataValidation>
    <dataValidation sqref="J33" showDropDown="0" showInputMessage="0" showErrorMessage="0" allowBlank="1" type="list">
      <formula1>"O. Haag BS-CAD"</formula1>
    </dataValidation>
    <dataValidation sqref="J42" showDropDown="0" showInputMessage="0" showErrorMessage="0" allowBlank="1" type="list">
      <formula1>"C. Trapp SV,J. Dorn,O. Haag BS-CAD,T. Trautmann"</formula1>
    </dataValidation>
    <dataValidation sqref="J48" showDropDown="0" showInputMessage="0" showErrorMessage="0" allowBlank="1" type="list">
      <formula1>"O. Haag BS-CAD"</formula1>
    </dataValidation>
    <dataValidation sqref="J53" showDropDown="0" showInputMessage="0" showErrorMessage="0" allowBlank="1" type="list">
      <formula1>"R. Böttiger"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86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8" customWidth="1" min="3" max="3"/>
    <col width="12" customWidth="1" min="4" max="4"/>
    <col width="12" customWidth="1" min="5" max="5"/>
    <col width="12" customWidth="1" min="6" max="6"/>
    <col width="8" customWidth="1" min="7" max="7"/>
    <col width="16" customWidth="1" min="8" max="8"/>
    <col width="12" customWidth="1" min="9" max="9"/>
    <col width="25" customWidth="1" min="10" max="10"/>
    <col width="15" customWidth="1" min="11" max="11"/>
    <col width="18" customWidth="1" min="12" max="12"/>
    <col width="15" customWidth="1" min="13" max="13"/>
    <col width="18" customWidth="1" min="14" max="14"/>
    <col width="15" customWidth="1" min="15" max="15"/>
    <col width="22" customWidth="1" min="16" max="16"/>
  </cols>
  <sheetData>
    <row r="1">
      <c r="A1" t="inlineStr">
        <is>
          <t>R. Böttiger - Quartalsreport 2025Q3</t>
        </is>
      </c>
    </row>
    <row r="2">
      <c r="A2" s="12" t="inlineStr">
        <is>
          <t>Position:</t>
        </is>
      </c>
      <c r="B2" t="inlineStr">
        <is>
          <t>SV</t>
        </is>
      </c>
    </row>
    <row r="4">
      <c r="A4" s="2" t="inlineStr">
        <is>
          <t>--- Juli 2025 ---</t>
        </is>
      </c>
    </row>
    <row r="5">
      <c r="A5" s="3" t="inlineStr">
        <is>
          <t>Projekt</t>
        </is>
      </c>
      <c r="B5" s="3" t="inlineStr">
        <is>
          <t>Meilenstein</t>
        </is>
      </c>
      <c r="C5" s="3" t="inlineStr">
        <is>
          <t>Typ</t>
        </is>
      </c>
      <c r="D5" s="3" t="inlineStr">
        <is>
          <t>Soll (h)</t>
        </is>
      </c>
      <c r="E5" s="3" t="inlineStr">
        <is>
          <t>Ist (h)</t>
        </is>
      </c>
      <c r="F5" s="3" t="inlineStr">
        <is>
          <t>Juli 2025 (h)</t>
        </is>
      </c>
      <c r="G5" s="3" t="inlineStr">
        <is>
          <t>%</t>
        </is>
      </c>
      <c r="H5" s="3" t="inlineStr">
        <is>
          <t>Bonus-Anpassung (h)</t>
        </is>
      </c>
      <c r="I5" s="3" t="inlineStr">
        <is>
          <t>Differenz (h)</t>
        </is>
      </c>
      <c r="J5" s="3" t="inlineStr">
        <is>
          <t>Zuordnen an</t>
        </is>
      </c>
      <c r="K5" s="3" t="inlineStr">
        <is>
          <t>Von anderen (h)</t>
        </is>
      </c>
      <c r="L5" s="3" t="inlineStr">
        <is>
          <t>Stundensatz (€/h)</t>
        </is>
      </c>
      <c r="M5" s="3" t="inlineStr">
        <is>
          <t>Umsatz (€)</t>
        </is>
      </c>
      <c r="N5" s="3" t="inlineStr">
        <is>
          <t>Budget Gesamt (€)</t>
        </is>
      </c>
      <c r="O5" s="3" t="inlineStr">
        <is>
          <t>Budget Ist (€)</t>
        </is>
      </c>
      <c r="P5" s="3" t="inlineStr">
        <is>
          <t>Budget Erwirtschaftet (€)</t>
        </is>
      </c>
    </row>
    <row r="6">
      <c r="A6" s="4" t="inlineStr">
        <is>
          <t>3381.02 Telehouse-KOF-C1-UG-Kleyerstraße79-89-FFM</t>
        </is>
      </c>
      <c r="B6" s="4" t="inlineStr">
        <is>
          <t>SV</t>
        </is>
      </c>
      <c r="C6" s="4" t="inlineStr">
        <is>
          <t>G</t>
        </is>
      </c>
      <c r="D6" s="4" t="n">
        <v>0</v>
      </c>
      <c r="E6" s="4" t="n">
        <v>15</v>
      </c>
      <c r="F6" s="4" t="n">
        <v>10.5</v>
      </c>
      <c r="G6" s="4" t="n">
        <v>0</v>
      </c>
      <c r="H6" s="5" t="n"/>
      <c r="I6" s="5">
        <f>IF(H6=0,"",F6-H6)</f>
        <v/>
      </c>
      <c r="J6" s="4" t="n"/>
      <c r="K6" s="5" t="n">
        <v>0</v>
      </c>
      <c r="L6" s="11">
        <f>IF($B$2="-","",IF($B$2="Pauschale",IFERROR(INDEX('Projekt-Budget-Übersicht'!$H:$H,MATCH(A6,'Projekt-Budget-Übersicht'!$A:$A,0)),""),IF($B$2="SV",IFERROR(INDEX('Projekt-Budget-Übersicht'!$H:$H,MATCH(A6,'Projekt-Budget-Übersicht'!$A:$A,0)),""),IF($B$2="CAD",IFERROR(INDEX('Projekt-Budget-Übersicht'!$I:$I,MATCH(A6,'Projekt-Budget-Übersicht'!$A:$A,0)),""),IF($B$2="ADM",IFERROR(INDEX('Projekt-Budget-Übersicht'!$J:$J,MATCH(A6,'Projekt-Budget-Übersicht'!$A:$A,0)),""),"")))))</f>
        <v/>
      </c>
      <c r="M6" s="11">
        <f>IF($B$2="-","",L6*(F6+I6+K6))</f>
        <v/>
      </c>
      <c r="N6" s="11">
        <f>IFERROR(INDEX('Projekt-Budget-Übersicht'!$E:$E,MATCH(A6,'Projekt-Budget-Übersicht'!$A:$A,0)),"")</f>
        <v/>
      </c>
      <c r="O6" s="11" t="inlineStr"/>
      <c r="P6" s="11" t="inlineStr"/>
    </row>
    <row r="7">
      <c r="A7" s="13" t="inlineStr">
        <is>
          <t>6313.05 rh-Construction-LG-EnSol-BSK-BAB-Limespark-Sulzbach</t>
        </is>
      </c>
      <c r="B7" s="4" t="inlineStr">
        <is>
          <t>(aN) Pos. 1 Abstimmungstermin mit den Behörden und Beratungsleistungen</t>
        </is>
      </c>
      <c r="C7" s="4" t="inlineStr">
        <is>
          <t>G</t>
        </is>
      </c>
      <c r="D7" s="4" t="n">
        <v>24</v>
      </c>
      <c r="E7" s="4" t="n">
        <v>18.25</v>
      </c>
      <c r="F7" s="4" t="n">
        <v>10.5</v>
      </c>
      <c r="G7" s="17" t="n">
        <v>76.04000000000001</v>
      </c>
      <c r="H7" s="5" t="n"/>
      <c r="I7" s="5">
        <f>IF(H7=0,"",F7-H7)</f>
        <v/>
      </c>
      <c r="J7" s="4" t="n"/>
      <c r="K7" s="5">
        <f>IF('E. Bieler'!J17="R. Böttiger",'E. Bieler'!I17,0)</f>
        <v/>
      </c>
      <c r="L7" s="11">
        <f>IF($B$2="-","",IF($B$2="Pauschale",IFERROR(INDEX('Projekt-Budget-Übersicht'!$H:$H,MATCH(A7,'Projekt-Budget-Übersicht'!$A:$A,0)),""),IF($B$2="SV",IFERROR(INDEX('Projekt-Budget-Übersicht'!$H:$H,MATCH(A7,'Projekt-Budget-Übersicht'!$A:$A,0)),""),IF($B$2="CAD",IFERROR(INDEX('Projekt-Budget-Übersicht'!$I:$I,MATCH(A7,'Projekt-Budget-Übersicht'!$A:$A,0)),""),IF($B$2="ADM",IFERROR(INDEX('Projekt-Budget-Übersicht'!$J:$J,MATCH(A7,'Projekt-Budget-Übersicht'!$A:$A,0)),""),"")))))</f>
        <v/>
      </c>
      <c r="M7" s="11">
        <f>IF($B$2="-","",L7*(F7+I7+K7))</f>
        <v/>
      </c>
      <c r="N7" s="11">
        <f>IFERROR(INDEX('Projekt-Budget-Übersicht'!$E:$E,MATCH(A7,'Projekt-Budget-Übersicht'!$A:$A,0)),"")</f>
        <v/>
      </c>
      <c r="O7" s="11" t="inlineStr"/>
      <c r="P7" s="11" t="inlineStr"/>
    </row>
    <row r="8">
      <c r="A8" s="15" t="n"/>
      <c r="B8" s="4" t="inlineStr">
        <is>
          <t>(p) Pos. 3 Brandschutzberatung in der Ausführungsplanung</t>
        </is>
      </c>
      <c r="C8" s="4" t="inlineStr">
        <is>
          <t>G</t>
        </is>
      </c>
      <c r="D8" s="4" t="n">
        <v>16</v>
      </c>
      <c r="E8" s="4" t="n">
        <v>22.25</v>
      </c>
      <c r="F8" s="4" t="n">
        <v>7.5</v>
      </c>
      <c r="G8" s="16" t="n">
        <v>139.06</v>
      </c>
      <c r="H8" s="5" t="n"/>
      <c r="I8" s="5">
        <f>IF(H8=0,"",F8-H8)</f>
        <v/>
      </c>
      <c r="J8" s="4" t="n"/>
      <c r="K8" s="5">
        <f>IF('E. Bieler'!J18="R. Böttiger",'E. Bieler'!I18,0)+IF('J. Dorn'!J20="R. Böttiger",'J. Dorn'!I20,0)</f>
        <v/>
      </c>
      <c r="L8" s="11">
        <f>IF($B$2="-","",IF($B$2="Pauschale",IFERROR(INDEX('Projekt-Budget-Übersicht'!$H:$H,MATCH(A8,'Projekt-Budget-Übersicht'!$A:$A,0)),""),IF($B$2="SV",IFERROR(INDEX('Projekt-Budget-Übersicht'!$H:$H,MATCH(A8,'Projekt-Budget-Übersicht'!$A:$A,0)),""),IF($B$2="CAD",IFERROR(INDEX('Projekt-Budget-Übersicht'!$I:$I,MATCH(A8,'Projekt-Budget-Übersicht'!$A:$A,0)),""),IF($B$2="ADM",IFERROR(INDEX('Projekt-Budget-Übersicht'!$J:$J,MATCH(A8,'Projekt-Budget-Übersicht'!$A:$A,0)),""),"")))))</f>
        <v/>
      </c>
      <c r="M8" s="11">
        <f>IF($B$2="-","",L8*(F8+I8+K8))</f>
        <v/>
      </c>
      <c r="N8" s="11">
        <f>IFERROR(INDEX('Projekt-Budget-Übersicht'!$E:$E,MATCH(A8,'Projekt-Budget-Übersicht'!$A:$A,0)),"")</f>
        <v/>
      </c>
      <c r="O8" s="11" t="inlineStr"/>
      <c r="P8" s="11" t="inlineStr"/>
    </row>
    <row r="9">
      <c r="A9" s="13" t="inlineStr">
        <is>
          <t>6313.06 BSK-Fitseveneleven-Limespark-Sulzbach-1.OG</t>
        </is>
      </c>
      <c r="B9" s="4" t="inlineStr">
        <is>
          <t>3100-Erarbeiten des Brandschutzkonzept/Nachweis/Stellungnahme</t>
        </is>
      </c>
      <c r="C9" s="4" t="inlineStr">
        <is>
          <t>G</t>
        </is>
      </c>
      <c r="D9" s="4" t="n">
        <v>10</v>
      </c>
      <c r="E9" s="4" t="n">
        <v>47</v>
      </c>
      <c r="F9" s="4" t="n">
        <v>2</v>
      </c>
      <c r="G9" s="16" t="n">
        <v>470</v>
      </c>
      <c r="H9" s="5" t="n"/>
      <c r="I9" s="5">
        <f>IF(H9=0,"",F9-H9)</f>
        <v/>
      </c>
      <c r="J9" s="4" t="n"/>
      <c r="K9" s="5" t="n">
        <v>0</v>
      </c>
      <c r="L9" s="11">
        <f>IF($B$2="-","",IF($B$2="Pauschale",IFERROR(INDEX('Projekt-Budget-Übersicht'!$H:$H,MATCH(A9,'Projekt-Budget-Übersicht'!$A:$A,0)),""),IF($B$2="SV",IFERROR(INDEX('Projekt-Budget-Übersicht'!$H:$H,MATCH(A9,'Projekt-Budget-Übersicht'!$A:$A,0)),""),IF($B$2="CAD",IFERROR(INDEX('Projekt-Budget-Übersicht'!$I:$I,MATCH(A9,'Projekt-Budget-Übersicht'!$A:$A,0)),""),IF($B$2="ADM",IFERROR(INDEX('Projekt-Budget-Übersicht'!$J:$J,MATCH(A9,'Projekt-Budget-Übersicht'!$A:$A,0)),""),"")))))</f>
        <v/>
      </c>
      <c r="M9" s="11">
        <f>IF($B$2="-","",L9*(F9+I9+K9))</f>
        <v/>
      </c>
      <c r="N9" s="11">
        <f>IFERROR(INDEX('Projekt-Budget-Übersicht'!$E:$E,MATCH(A9,'Projekt-Budget-Übersicht'!$A:$A,0)),"")</f>
        <v/>
      </c>
      <c r="O9" s="11" t="inlineStr"/>
      <c r="P9" s="11" t="inlineStr"/>
    </row>
    <row r="10">
      <c r="A10" s="21" t="n"/>
      <c r="B10" s="4" t="inlineStr">
        <is>
          <t>8000-Objektüberwachung</t>
        </is>
      </c>
      <c r="C10" s="4" t="inlineStr">
        <is>
          <t>G</t>
        </is>
      </c>
      <c r="D10" s="4" t="n">
        <v>16</v>
      </c>
      <c r="E10" s="4" t="n">
        <v>25.25</v>
      </c>
      <c r="F10" s="4" t="n">
        <v>4.5</v>
      </c>
      <c r="G10" s="16" t="n">
        <v>157.81</v>
      </c>
      <c r="H10" s="5" t="n"/>
      <c r="I10" s="5">
        <f>IF(H10=0,"",F10-H10)</f>
        <v/>
      </c>
      <c r="J10" s="4" t="n"/>
      <c r="K10" s="5">
        <f>IF('E. Bieler'!J19="R. Böttiger",'E. Bieler'!I19,0)</f>
        <v/>
      </c>
      <c r="L10" s="11">
        <f>IF($B$2="-","",IF($B$2="Pauschale",IFERROR(INDEX('Projekt-Budget-Übersicht'!$H:$H,MATCH(A10,'Projekt-Budget-Übersicht'!$A:$A,0)),""),IF($B$2="SV",IFERROR(INDEX('Projekt-Budget-Übersicht'!$H:$H,MATCH(A10,'Projekt-Budget-Übersicht'!$A:$A,0)),""),IF($B$2="CAD",IFERROR(INDEX('Projekt-Budget-Übersicht'!$I:$I,MATCH(A10,'Projekt-Budget-Übersicht'!$A:$A,0)),""),IF($B$2="ADM",IFERROR(INDEX('Projekt-Budget-Übersicht'!$J:$J,MATCH(A10,'Projekt-Budget-Übersicht'!$A:$A,0)),""),"")))))</f>
        <v/>
      </c>
      <c r="M10" s="11">
        <f>IF($B$2="-","",L10*(F10+I10+K10))</f>
        <v/>
      </c>
      <c r="N10" s="11">
        <f>IFERROR(INDEX('Projekt-Budget-Übersicht'!$E:$E,MATCH(A10,'Projekt-Budget-Übersicht'!$A:$A,0)),"")</f>
        <v/>
      </c>
      <c r="O10" s="11" t="inlineStr"/>
      <c r="P10" s="11" t="inlineStr"/>
    </row>
    <row r="11">
      <c r="A11" s="15" t="n"/>
      <c r="B11" s="4" t="inlineStr">
        <is>
          <t>SV</t>
        </is>
      </c>
      <c r="C11" s="4" t="inlineStr">
        <is>
          <t>G</t>
        </is>
      </c>
      <c r="D11" s="4" t="n">
        <v>3</v>
      </c>
      <c r="E11" s="4" t="n">
        <v>2.25</v>
      </c>
      <c r="F11" s="4" t="n">
        <v>0.25</v>
      </c>
      <c r="G11" s="17" t="n">
        <v>75</v>
      </c>
      <c r="H11" s="5" t="n"/>
      <c r="I11" s="5">
        <f>IF(H11=0,"",F11-H11)</f>
        <v/>
      </c>
      <c r="J11" s="4" t="n"/>
      <c r="K11" s="5" t="n">
        <v>0</v>
      </c>
      <c r="L11" s="11">
        <f>IF($B$2="-","",IF($B$2="Pauschale",IFERROR(INDEX('Projekt-Budget-Übersicht'!$H:$H,MATCH(A11,'Projekt-Budget-Übersicht'!$A:$A,0)),""),IF($B$2="SV",IFERROR(INDEX('Projekt-Budget-Übersicht'!$H:$H,MATCH(A11,'Projekt-Budget-Übersicht'!$A:$A,0)),""),IF($B$2="CAD",IFERROR(INDEX('Projekt-Budget-Übersicht'!$I:$I,MATCH(A11,'Projekt-Budget-Übersicht'!$A:$A,0)),""),IF($B$2="ADM",IFERROR(INDEX('Projekt-Budget-Übersicht'!$J:$J,MATCH(A11,'Projekt-Budget-Übersicht'!$A:$A,0)),""),"")))))</f>
        <v/>
      </c>
      <c r="M11" s="11">
        <f>IF($B$2="-","",L11*(F11+I11+K11))</f>
        <v/>
      </c>
      <c r="N11" s="11">
        <f>IFERROR(INDEX('Projekt-Budget-Übersicht'!$E:$E,MATCH(A11,'Projekt-Budget-Übersicht'!$A:$A,0)),"")</f>
        <v/>
      </c>
      <c r="O11" s="11" t="inlineStr"/>
      <c r="P11" s="11" t="inlineStr"/>
    </row>
    <row r="12">
      <c r="A12" s="4" t="inlineStr">
        <is>
          <t>6421.071 Weerts-NAT-BSK-DtAircraft-Leipzig</t>
        </is>
      </c>
      <c r="B12" s="4" t="inlineStr">
        <is>
          <t>(aN) Pos. 2 BTB Ausführungsplanung</t>
        </is>
      </c>
      <c r="C12" s="4" t="inlineStr">
        <is>
          <t>G</t>
        </is>
      </c>
      <c r="D12" s="4" t="n">
        <v>80</v>
      </c>
      <c r="E12" s="4" t="n">
        <v>39</v>
      </c>
      <c r="F12" s="4" t="n">
        <v>4</v>
      </c>
      <c r="G12" s="17" t="n">
        <v>48.75</v>
      </c>
      <c r="H12" s="5" t="n"/>
      <c r="I12" s="5">
        <f>IF(H12=0,"",F12-H12)</f>
        <v/>
      </c>
      <c r="J12" s="4" t="n"/>
      <c r="K12" s="5" t="n">
        <v>0</v>
      </c>
      <c r="L12" s="11">
        <f>IF($B$2="-","",IF($B$2="Pauschale",IFERROR(INDEX('Projekt-Budget-Übersicht'!$H:$H,MATCH(A12,'Projekt-Budget-Übersicht'!$A:$A,0)),""),IF($B$2="SV",IFERROR(INDEX('Projekt-Budget-Übersicht'!$H:$H,MATCH(A12,'Projekt-Budget-Übersicht'!$A:$A,0)),""),IF($B$2="CAD",IFERROR(INDEX('Projekt-Budget-Übersicht'!$I:$I,MATCH(A12,'Projekt-Budget-Übersicht'!$A:$A,0)),""),IF($B$2="ADM",IFERROR(INDEX('Projekt-Budget-Übersicht'!$J:$J,MATCH(A12,'Projekt-Budget-Übersicht'!$A:$A,0)),""),"")))))</f>
        <v/>
      </c>
      <c r="M12" s="11">
        <f>IF($B$2="-","",L12*(F12+I12+K12))</f>
        <v/>
      </c>
      <c r="N12" s="11">
        <f>IFERROR(INDEX('Projekt-Budget-Übersicht'!$E:$E,MATCH(A12,'Projekt-Budget-Übersicht'!$A:$A,0)),"")</f>
        <v/>
      </c>
      <c r="O12" s="11" t="inlineStr"/>
      <c r="P12" s="11" t="inlineStr"/>
    </row>
    <row r="13">
      <c r="A13" s="4" t="inlineStr">
        <is>
          <t>6527.01 IO-Anp-BSK-Mühlenfeldstr1-Holzminden-Symotion</t>
        </is>
      </c>
      <c r="B13" s="4" t="inlineStr">
        <is>
          <t>SV</t>
        </is>
      </c>
      <c r="C13" s="4" t="inlineStr">
        <is>
          <t>G</t>
        </is>
      </c>
      <c r="D13" s="4" t="n">
        <v>6</v>
      </c>
      <c r="E13" s="4" t="n">
        <v>33.75</v>
      </c>
      <c r="F13" s="4" t="n">
        <v>15</v>
      </c>
      <c r="G13" s="16" t="n">
        <v>562.5</v>
      </c>
      <c r="H13" s="5" t="n"/>
      <c r="I13" s="5">
        <f>IF(H13=0,"",F13-H13)</f>
        <v/>
      </c>
      <c r="J13" s="4" t="n"/>
      <c r="K13" s="5">
        <f>IF('A. Kokott'!J14="R. Böttiger",'A. Kokott'!I14,0)+IF('E. Bieler'!J20="R. Böttiger",'E. Bieler'!I20,0)+IF('J. Dorchies'!J9="R. Böttiger",'J. Dorchies'!I9,0)+IF('J. Dorn'!J23="R. Böttiger",'J. Dorn'!I23,0)+IF('P. Bergner'!J7="R. Böttiger",'P. Bergner'!I7,0)</f>
        <v/>
      </c>
      <c r="L13" s="11">
        <f>IF($B$2="-","",IF($B$2="Pauschale",IFERROR(INDEX('Projekt-Budget-Übersicht'!$H:$H,MATCH(A13,'Projekt-Budget-Übersicht'!$A:$A,0)),""),IF($B$2="SV",IFERROR(INDEX('Projekt-Budget-Übersicht'!$H:$H,MATCH(A13,'Projekt-Budget-Übersicht'!$A:$A,0)),""),IF($B$2="CAD",IFERROR(INDEX('Projekt-Budget-Übersicht'!$I:$I,MATCH(A13,'Projekt-Budget-Übersicht'!$A:$A,0)),""),IF($B$2="ADM",IFERROR(INDEX('Projekt-Budget-Übersicht'!$J:$J,MATCH(A13,'Projekt-Budget-Übersicht'!$A:$A,0)),""),"")))))</f>
        <v/>
      </c>
      <c r="M13" s="11">
        <f>IF($B$2="-","",L13*(F13+I13+K13))</f>
        <v/>
      </c>
      <c r="N13" s="11">
        <f>IFERROR(INDEX('Projekt-Budget-Übersicht'!$E:$E,MATCH(A13,'Projekt-Budget-Übersicht'!$A:$A,0)),"")</f>
        <v/>
      </c>
      <c r="O13" s="11" t="inlineStr"/>
      <c r="P13" s="11" t="inlineStr"/>
    </row>
    <row r="14">
      <c r="A14" s="4" t="inlineStr">
        <is>
          <t>7150 TFS-AHO-Neubau-betrWohnen-Kita-Alberichstraße-Mannheim</t>
        </is>
      </c>
      <c r="B14" s="4" t="inlineStr">
        <is>
          <t>SV</t>
        </is>
      </c>
      <c r="C14" s="4" t="inlineStr">
        <is>
          <t>G</t>
        </is>
      </c>
      <c r="D14" s="4" t="n">
        <v>13</v>
      </c>
      <c r="E14" s="4" t="n">
        <v>146.75</v>
      </c>
      <c r="F14" s="4" t="n">
        <v>10.25</v>
      </c>
      <c r="G14" s="16" t="n">
        <v>1128.85</v>
      </c>
      <c r="H14" s="5" t="n"/>
      <c r="I14" s="5">
        <f>IF(H14=0,"",F14-H14)</f>
        <v/>
      </c>
      <c r="J14" s="4" t="n"/>
      <c r="K14" s="5">
        <f>IF('E. Bieler'!J22="R. Böttiger",'E. Bieler'!I22,0)+IF('J. Dorchies'!J11="R. Böttiger",'J. Dorchies'!I11,0)+IF('J. Dorn'!J33="R. Böttiger",'J. Dorn'!I33,0)</f>
        <v/>
      </c>
      <c r="L14" s="11">
        <f>IF($B$2="-","",IF($B$2="Pauschale",IFERROR(INDEX('Projekt-Budget-Übersicht'!$H:$H,MATCH(A14,'Projekt-Budget-Übersicht'!$A:$A,0)),""),IF($B$2="SV",IFERROR(INDEX('Projekt-Budget-Übersicht'!$H:$H,MATCH(A14,'Projekt-Budget-Übersicht'!$A:$A,0)),""),IF($B$2="CAD",IFERROR(INDEX('Projekt-Budget-Übersicht'!$I:$I,MATCH(A14,'Projekt-Budget-Übersicht'!$A:$A,0)),""),IF($B$2="ADM",IFERROR(INDEX('Projekt-Budget-Übersicht'!$J:$J,MATCH(A14,'Projekt-Budget-Übersicht'!$A:$A,0)),""),"")))))</f>
        <v/>
      </c>
      <c r="M14" s="11">
        <f>IF($B$2="-","",L14*(F14+I14+K14))</f>
        <v/>
      </c>
      <c r="N14" s="11">
        <f>IFERROR(INDEX('Projekt-Budget-Übersicht'!$E:$E,MATCH(A14,'Projekt-Budget-Übersicht'!$A:$A,0)),"")</f>
        <v/>
      </c>
      <c r="O14" s="11" t="inlineStr"/>
      <c r="P14" s="11" t="inlineStr"/>
    </row>
    <row r="15">
      <c r="A15" s="4" t="inlineStr">
        <is>
          <t>7241 GemFreisen-BSP-Umbau-Sanierung-Festhalle-Oberkirchen-Freisen</t>
        </is>
      </c>
      <c r="B15" s="4" t="inlineStr">
        <is>
          <t>(p) Lph. 5 (Ausführungsplanung)</t>
        </is>
      </c>
      <c r="C15" s="4" t="inlineStr">
        <is>
          <t>G</t>
        </is>
      </c>
      <c r="D15" s="4" t="n">
        <v>26</v>
      </c>
      <c r="E15" s="4" t="n">
        <v>37.75</v>
      </c>
      <c r="F15" s="4" t="n">
        <v>0.25</v>
      </c>
      <c r="G15" s="16" t="n">
        <v>145.19</v>
      </c>
      <c r="H15" s="5" t="n"/>
      <c r="I15" s="5">
        <f>IF(H15=0,"",F15-H15)</f>
        <v/>
      </c>
      <c r="J15" s="4" t="n"/>
      <c r="K15" s="5">
        <f>IF('S. Schüler'!J29="R. Böttiger",'S. Schüler'!I29,0)</f>
        <v/>
      </c>
      <c r="L15" s="11">
        <f>IF($B$2="-","",IF($B$2="Pauschale",IFERROR(INDEX('Projekt-Budget-Übersicht'!$H:$H,MATCH(A15,'Projekt-Budget-Übersicht'!$A:$A,0)),""),IF($B$2="SV",IFERROR(INDEX('Projekt-Budget-Übersicht'!$H:$H,MATCH(A15,'Projekt-Budget-Übersicht'!$A:$A,0)),""),IF($B$2="CAD",IFERROR(INDEX('Projekt-Budget-Übersicht'!$I:$I,MATCH(A15,'Projekt-Budget-Übersicht'!$A:$A,0)),""),IF($B$2="ADM",IFERROR(INDEX('Projekt-Budget-Übersicht'!$J:$J,MATCH(A15,'Projekt-Budget-Übersicht'!$A:$A,0)),""),"")))))</f>
        <v/>
      </c>
      <c r="M15" s="11">
        <f>IF($B$2="-","",L15*(F15+I15+K15))</f>
        <v/>
      </c>
      <c r="N15" s="11">
        <f>IFERROR(INDEX('Projekt-Budget-Übersicht'!$E:$E,MATCH(A15,'Projekt-Budget-Übersicht'!$A:$A,0)),"")</f>
        <v/>
      </c>
      <c r="O15" s="11" t="inlineStr"/>
      <c r="P15" s="11" t="inlineStr"/>
    </row>
    <row r="16">
      <c r="A16" s="4" t="inlineStr">
        <is>
          <t>7355.01 Pfizer-BSK-Umnutzung-Mooswaldallee-1-Freiburg-Geb-K</t>
        </is>
      </c>
      <c r="B16" s="4" t="inlineStr">
        <is>
          <t>SV</t>
        </is>
      </c>
      <c r="C16" s="4" t="inlineStr">
        <is>
          <t>G</t>
        </is>
      </c>
      <c r="D16" s="4" t="n">
        <v>30</v>
      </c>
      <c r="E16" s="4" t="n">
        <v>48</v>
      </c>
      <c r="F16" s="4" t="n">
        <v>27</v>
      </c>
      <c r="G16" s="16" t="n">
        <v>160</v>
      </c>
      <c r="H16" s="5" t="n"/>
      <c r="I16" s="5">
        <f>IF(H16=0,"",F16-H16)</f>
        <v/>
      </c>
      <c r="J16" s="4" t="n"/>
      <c r="K16" s="5" t="n">
        <v>0</v>
      </c>
      <c r="L16" s="11">
        <f>IF($B$2="-","",IF($B$2="Pauschale",IFERROR(INDEX('Projekt-Budget-Übersicht'!$H:$H,MATCH(A16,'Projekt-Budget-Übersicht'!$A:$A,0)),""),IF($B$2="SV",IFERROR(INDEX('Projekt-Budget-Übersicht'!$H:$H,MATCH(A16,'Projekt-Budget-Übersicht'!$A:$A,0)),""),IF($B$2="CAD",IFERROR(INDEX('Projekt-Budget-Übersicht'!$I:$I,MATCH(A16,'Projekt-Budget-Übersicht'!$A:$A,0)),""),IF($B$2="ADM",IFERROR(INDEX('Projekt-Budget-Übersicht'!$J:$J,MATCH(A16,'Projekt-Budget-Übersicht'!$A:$A,0)),""),"")))))</f>
        <v/>
      </c>
      <c r="M16" s="11">
        <f>IF($B$2="-","",L16*(F16+I16+K16))</f>
        <v/>
      </c>
      <c r="N16" s="11">
        <f>IFERROR(INDEX('Projekt-Budget-Übersicht'!$E:$E,MATCH(A16,'Projekt-Budget-Übersicht'!$A:$A,0)),"")</f>
        <v/>
      </c>
      <c r="O16" s="11" t="inlineStr"/>
      <c r="P16" s="11" t="inlineStr"/>
    </row>
    <row r="17">
      <c r="A17" s="4" t="inlineStr">
        <is>
          <t>7365 UI-BTB-StGeorgenerStr-Freiburg-Breisgaucenter</t>
        </is>
      </c>
      <c r="B17" s="4" t="inlineStr">
        <is>
          <t>(aN) Pos. 1 Brandschutztechnische Beratung während der Planungsphase</t>
        </is>
      </c>
      <c r="C17" s="4" t="inlineStr">
        <is>
          <t>G</t>
        </is>
      </c>
      <c r="D17" s="4" t="n">
        <v>100</v>
      </c>
      <c r="E17" s="4" t="n">
        <v>81.75</v>
      </c>
      <c r="F17" s="4" t="n">
        <v>11</v>
      </c>
      <c r="G17" s="17" t="n">
        <v>81.75</v>
      </c>
      <c r="H17" s="5" t="n"/>
      <c r="I17" s="5">
        <f>IF(H17=0,"",F17-H17)</f>
        <v/>
      </c>
      <c r="J17" s="4" t="n"/>
      <c r="K17" s="5" t="n">
        <v>0</v>
      </c>
      <c r="L17" s="11">
        <f>IF($B$2="-","",IF($B$2="Pauschale",IFERROR(INDEX('Projekt-Budget-Übersicht'!$H:$H,MATCH(A17,'Projekt-Budget-Übersicht'!$A:$A,0)),""),IF($B$2="SV",IFERROR(INDEX('Projekt-Budget-Übersicht'!$H:$H,MATCH(A17,'Projekt-Budget-Übersicht'!$A:$A,0)),""),IF($B$2="CAD",IFERROR(INDEX('Projekt-Budget-Übersicht'!$I:$I,MATCH(A17,'Projekt-Budget-Übersicht'!$A:$A,0)),""),IF($B$2="ADM",IFERROR(INDEX('Projekt-Budget-Übersicht'!$J:$J,MATCH(A17,'Projekt-Budget-Übersicht'!$A:$A,0)),""),"")))))</f>
        <v/>
      </c>
      <c r="M17" s="11">
        <f>IF($B$2="-","",L17*(F17+I17+K17))</f>
        <v/>
      </c>
      <c r="N17" s="11">
        <f>IFERROR(INDEX('Projekt-Budget-Übersicht'!$E:$E,MATCH(A17,'Projekt-Budget-Übersicht'!$A:$A,0)),"")</f>
        <v/>
      </c>
      <c r="O17" s="11" t="inlineStr"/>
      <c r="P17" s="11" t="inlineStr"/>
    </row>
    <row r="18">
      <c r="A18" s="4" t="inlineStr">
        <is>
          <t>7419.01 Wild-Stiftung-Objektüberwachung-Sporthalle-Pestalozzistr10-Eppelheim</t>
        </is>
      </c>
      <c r="B18" s="4" t="inlineStr">
        <is>
          <t>(aN) Pos. 1 Objektüberwachung</t>
        </is>
      </c>
      <c r="C18" s="4" t="inlineStr">
        <is>
          <t>G</t>
        </is>
      </c>
      <c r="D18" s="4" t="n">
        <v>70</v>
      </c>
      <c r="E18" s="4" t="n">
        <v>23.25</v>
      </c>
      <c r="F18" s="4" t="n">
        <v>10.75</v>
      </c>
      <c r="G18" s="17" t="n">
        <v>33.21</v>
      </c>
      <c r="H18" s="5" t="n"/>
      <c r="I18" s="5">
        <f>IF(H18=0,"",F18-H18)</f>
        <v/>
      </c>
      <c r="J18" s="4" t="n"/>
      <c r="K18" s="5" t="n">
        <v>0</v>
      </c>
      <c r="L18" s="11">
        <f>IF($B$2="-","",IF($B$2="Pauschale",IFERROR(INDEX('Projekt-Budget-Übersicht'!$H:$H,MATCH(A18,'Projekt-Budget-Übersicht'!$A:$A,0)),""),IF($B$2="SV",IFERROR(INDEX('Projekt-Budget-Übersicht'!$H:$H,MATCH(A18,'Projekt-Budget-Übersicht'!$A:$A,0)),""),IF($B$2="CAD",IFERROR(INDEX('Projekt-Budget-Übersicht'!$I:$I,MATCH(A18,'Projekt-Budget-Übersicht'!$A:$A,0)),""),IF($B$2="ADM",IFERROR(INDEX('Projekt-Budget-Übersicht'!$J:$J,MATCH(A18,'Projekt-Budget-Übersicht'!$A:$A,0)),""),"")))))</f>
        <v/>
      </c>
      <c r="M18" s="11">
        <f>IF($B$2="-","",L18*(F18+I18+K18))</f>
        <v/>
      </c>
      <c r="N18" s="11">
        <f>IFERROR(INDEX('Projekt-Budget-Übersicht'!$E:$E,MATCH(A18,'Projekt-Budget-Übersicht'!$A:$A,0)),"")</f>
        <v/>
      </c>
      <c r="O18" s="11" t="inlineStr"/>
      <c r="P18" s="11" t="inlineStr"/>
    </row>
    <row r="19">
      <c r="A19" s="13" t="inlineStr">
        <is>
          <t>7800.01 LBB-RV-KL-MunLgr-KRI-TP04-MAH-Wasenbacher-Höhe-Kriegsfeld</t>
        </is>
      </c>
      <c r="B19" s="4" t="inlineStr">
        <is>
          <t>(p) Besprechungen Brandschutz gebündelt</t>
        </is>
      </c>
      <c r="C19" s="4" t="inlineStr">
        <is>
          <t>G</t>
        </is>
      </c>
      <c r="D19" s="4" t="n">
        <v>0</v>
      </c>
      <c r="E19" s="4" t="n">
        <v>2.75</v>
      </c>
      <c r="F19" s="4" t="n">
        <v>2.75</v>
      </c>
      <c r="G19" s="4" t="n">
        <v>0</v>
      </c>
      <c r="H19" s="5" t="n"/>
      <c r="I19" s="5">
        <f>IF(H19=0,"",F19-H19)</f>
        <v/>
      </c>
      <c r="J19" s="4" t="n"/>
      <c r="K19" s="5" t="n">
        <v>0</v>
      </c>
      <c r="L19" s="11">
        <f>IF($B$2="-","",IF($B$2="Pauschale",IFERROR(INDEX('Projekt-Budget-Übersicht'!$H:$H,MATCH(A19,'Projekt-Budget-Übersicht'!$A:$A,0)),""),IF($B$2="SV",IFERROR(INDEX('Projekt-Budget-Übersicht'!$H:$H,MATCH(A19,'Projekt-Budget-Übersicht'!$A:$A,0)),""),IF($B$2="CAD",IFERROR(INDEX('Projekt-Budget-Übersicht'!$I:$I,MATCH(A19,'Projekt-Budget-Übersicht'!$A:$A,0)),""),IF($B$2="ADM",IFERROR(INDEX('Projekt-Budget-Übersicht'!$J:$J,MATCH(A19,'Projekt-Budget-Übersicht'!$A:$A,0)),""),"")))))</f>
        <v/>
      </c>
      <c r="M19" s="11">
        <f>IF($B$2="-","",L19*(F19+I19+K19))</f>
        <v/>
      </c>
      <c r="N19" s="11">
        <f>IFERROR(INDEX('Projekt-Budget-Übersicht'!$E:$E,MATCH(A19,'Projekt-Budget-Übersicht'!$A:$A,0)),"")</f>
        <v/>
      </c>
      <c r="O19" s="11" t="inlineStr"/>
      <c r="P19" s="11" t="inlineStr"/>
    </row>
    <row r="20">
      <c r="A20" s="15" t="n"/>
      <c r="B20" s="4" t="inlineStr">
        <is>
          <t>(p) LP 1+2 RL (SV)</t>
        </is>
      </c>
      <c r="C20" s="4" t="inlineStr">
        <is>
          <t>G</t>
        </is>
      </c>
      <c r="D20" s="4" t="n">
        <v>47</v>
      </c>
      <c r="E20" s="4" t="n">
        <v>59.5</v>
      </c>
      <c r="F20" s="4" t="n">
        <v>21.5</v>
      </c>
      <c r="G20" s="16" t="n">
        <v>126.6</v>
      </c>
      <c r="H20" s="5" t="n"/>
      <c r="I20" s="5">
        <f>IF(H20=0,"",F20-H20)</f>
        <v/>
      </c>
      <c r="J20" s="4" t="n"/>
      <c r="K20" s="5">
        <f>IF('J. Dorn'!J36="R. Böttiger",'J. Dorn'!I36,0)</f>
        <v/>
      </c>
      <c r="L20" s="11">
        <f>IF($B$2="-","",IF($B$2="Pauschale",IFERROR(INDEX('Projekt-Budget-Übersicht'!$H:$H,MATCH(A20,'Projekt-Budget-Übersicht'!$A:$A,0)),""),IF($B$2="SV",IFERROR(INDEX('Projekt-Budget-Übersicht'!$H:$H,MATCH(A20,'Projekt-Budget-Übersicht'!$A:$A,0)),""),IF($B$2="CAD",IFERROR(INDEX('Projekt-Budget-Übersicht'!$I:$I,MATCH(A20,'Projekt-Budget-Übersicht'!$A:$A,0)),""),IF($B$2="ADM",IFERROR(INDEX('Projekt-Budget-Übersicht'!$J:$J,MATCH(A20,'Projekt-Budget-Übersicht'!$A:$A,0)),""),"")))))</f>
        <v/>
      </c>
      <c r="M20" s="11">
        <f>IF($B$2="-","",L20*(F20+I20+K20))</f>
        <v/>
      </c>
      <c r="N20" s="11">
        <f>IFERROR(INDEX('Projekt-Budget-Übersicht'!$E:$E,MATCH(A20,'Projekt-Budget-Übersicht'!$A:$A,0)),"")</f>
        <v/>
      </c>
      <c r="O20" s="11" t="inlineStr"/>
      <c r="P20" s="11" t="inlineStr"/>
    </row>
    <row r="21">
      <c r="A21" s="13" t="inlineStr">
        <is>
          <t>7800.02 LBB-RV-KL-MunLgr-KRI-TP06-MLH-WasenbacherHöhe-Kriegsfeld</t>
        </is>
      </c>
      <c r="B21" s="4" t="inlineStr">
        <is>
          <t>(p) Besprechungen Brandschutz gebündelt</t>
        </is>
      </c>
      <c r="C21" s="4" t="inlineStr">
        <is>
          <t>G</t>
        </is>
      </c>
      <c r="D21" s="4" t="n">
        <v>0</v>
      </c>
      <c r="E21" s="4" t="n">
        <v>3</v>
      </c>
      <c r="F21" s="4" t="n">
        <v>3</v>
      </c>
      <c r="G21" s="4" t="n">
        <v>0</v>
      </c>
      <c r="H21" s="5" t="n"/>
      <c r="I21" s="5">
        <f>IF(H21=0,"",F21-H21)</f>
        <v/>
      </c>
      <c r="J21" s="4" t="n"/>
      <c r="K21" s="5" t="n">
        <v>0</v>
      </c>
      <c r="L21" s="11">
        <f>IF($B$2="-","",IF($B$2="Pauschale",IFERROR(INDEX('Projekt-Budget-Übersicht'!$H:$H,MATCH(A21,'Projekt-Budget-Übersicht'!$A:$A,0)),""),IF($B$2="SV",IFERROR(INDEX('Projekt-Budget-Übersicht'!$H:$H,MATCH(A21,'Projekt-Budget-Übersicht'!$A:$A,0)),""),IF($B$2="CAD",IFERROR(INDEX('Projekt-Budget-Übersicht'!$I:$I,MATCH(A21,'Projekt-Budget-Übersicht'!$A:$A,0)),""),IF($B$2="ADM",IFERROR(INDEX('Projekt-Budget-Übersicht'!$J:$J,MATCH(A21,'Projekt-Budget-Übersicht'!$A:$A,0)),""),"")))))</f>
        <v/>
      </c>
      <c r="M21" s="11">
        <f>IF($B$2="-","",L21*(F21+I21+K21))</f>
        <v/>
      </c>
      <c r="N21" s="11">
        <f>IFERROR(INDEX('Projekt-Budget-Übersicht'!$E:$E,MATCH(A21,'Projekt-Budget-Übersicht'!$A:$A,0)),"")</f>
        <v/>
      </c>
      <c r="O21" s="11" t="inlineStr"/>
      <c r="P21" s="11" t="inlineStr"/>
    </row>
    <row r="22">
      <c r="A22" s="15" t="n"/>
      <c r="B22" s="4" t="inlineStr">
        <is>
          <t>(p) LP 1+2 RL (SV)</t>
        </is>
      </c>
      <c r="C22" s="4" t="inlineStr">
        <is>
          <t>G</t>
        </is>
      </c>
      <c r="D22" s="4" t="n">
        <v>3</v>
      </c>
      <c r="E22" s="4" t="n">
        <v>43.25</v>
      </c>
      <c r="F22" s="4" t="n">
        <v>14.25</v>
      </c>
      <c r="G22" s="16" t="n">
        <v>1441.67</v>
      </c>
      <c r="H22" s="5" t="n"/>
      <c r="I22" s="5">
        <f>IF(H22=0,"",F22-H22)</f>
        <v/>
      </c>
      <c r="J22" s="4" t="n"/>
      <c r="K22" s="5" t="n">
        <v>0</v>
      </c>
      <c r="L22" s="11">
        <f>IF($B$2="-","",IF($B$2="Pauschale",IFERROR(INDEX('Projekt-Budget-Übersicht'!$H:$H,MATCH(A22,'Projekt-Budget-Übersicht'!$A:$A,0)),""),IF($B$2="SV",IFERROR(INDEX('Projekt-Budget-Übersicht'!$H:$H,MATCH(A22,'Projekt-Budget-Übersicht'!$A:$A,0)),""),IF($B$2="CAD",IFERROR(INDEX('Projekt-Budget-Übersicht'!$I:$I,MATCH(A22,'Projekt-Budget-Übersicht'!$A:$A,0)),""),IF($B$2="ADM",IFERROR(INDEX('Projekt-Budget-Übersicht'!$J:$J,MATCH(A22,'Projekt-Budget-Übersicht'!$A:$A,0)),""),"")))))</f>
        <v/>
      </c>
      <c r="M22" s="11">
        <f>IF($B$2="-","",L22*(F22+I22+K22))</f>
        <v/>
      </c>
      <c r="N22" s="11">
        <f>IFERROR(INDEX('Projekt-Budget-Übersicht'!$E:$E,MATCH(A22,'Projekt-Budget-Übersicht'!$A:$A,0)),"")</f>
        <v/>
      </c>
      <c r="O22" s="11" t="inlineStr"/>
      <c r="P22" s="11" t="inlineStr"/>
    </row>
    <row r="23">
      <c r="A23" s="3" t="inlineStr"/>
      <c r="B23" s="3" t="inlineStr">
        <is>
          <t>Summe</t>
        </is>
      </c>
      <c r="C23" s="3" t="inlineStr"/>
      <c r="D23" s="3" t="inlineStr"/>
      <c r="E23" s="3" t="inlineStr"/>
      <c r="F23" s="6" t="n">
        <v>155</v>
      </c>
      <c r="G23" s="3" t="inlineStr"/>
      <c r="H23" s="3" t="inlineStr"/>
      <c r="I23" s="3" t="inlineStr"/>
      <c r="J23" s="3" t="inlineStr"/>
      <c r="K23" s="3" t="inlineStr"/>
      <c r="L23" s="3" t="n"/>
      <c r="M23" s="3" t="n"/>
      <c r="N23" s="3" t="n"/>
      <c r="O23" s="3" t="n"/>
      <c r="P23" s="3" t="n"/>
    </row>
    <row r="24">
      <c r="A24" s="3" t="inlineStr"/>
      <c r="B24" s="3" t="inlineStr">
        <is>
          <t>Bonusberechtigte Stunden</t>
        </is>
      </c>
      <c r="C24" s="3" t="inlineStr"/>
      <c r="D24" s="3" t="inlineStr"/>
      <c r="E24" s="3" t="inlineStr"/>
      <c r="F24" s="6">
        <f>G24+H24</f>
        <v/>
      </c>
      <c r="G24" s="6" t="n">
        <v>52.75</v>
      </c>
      <c r="H24" s="6">
        <f>SUM(H6,H7,H8,H9,H10,H11,H12,H13,H14,H15,H16,H17,H18,H19,H20,H21,H22)</f>
        <v/>
      </c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</row>
    <row r="25">
      <c r="A25" s="3" t="inlineStr"/>
      <c r="B25" s="3" t="inlineStr">
        <is>
          <t>Bonusberechtigte Stunden Sonderprojekt</t>
        </is>
      </c>
      <c r="C25" s="3" t="inlineStr"/>
      <c r="D25" s="3" t="inlineStr"/>
      <c r="E25" s="3" t="inlineStr"/>
      <c r="F25" s="6" t="n">
        <v>0</v>
      </c>
      <c r="G25" s="6" t="n">
        <v>0</v>
      </c>
      <c r="H25" s="6" t="n">
        <v>0</v>
      </c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</row>
    <row r="26">
      <c r="A26" s="3" t="inlineStr"/>
      <c r="B26" s="3" t="inlineStr">
        <is>
          <t>Zugeordnete Stunden von anderen MA</t>
        </is>
      </c>
      <c r="C26" s="3" t="inlineStr"/>
      <c r="D26" s="3" t="inlineStr"/>
      <c r="E26" s="3" t="inlineStr"/>
      <c r="F26" s="6">
        <f>SUM(K6:K22)</f>
        <v/>
      </c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</row>
    <row r="27">
      <c r="A27" s="18" t="inlineStr"/>
      <c r="B27" s="18" t="inlineStr">
        <is>
          <t>Gesamt Bonus Stunden</t>
        </is>
      </c>
      <c r="C27" s="18" t="inlineStr"/>
      <c r="D27" s="18" t="inlineStr"/>
      <c r="E27" s="18" t="inlineStr"/>
      <c r="F27" s="19">
        <f>F24+F25+F26</f>
        <v/>
      </c>
      <c r="G27" s="18" t="inlineStr"/>
      <c r="H27" s="18" t="inlineStr"/>
      <c r="I27" s="18" t="inlineStr"/>
      <c r="J27" s="18" t="inlineStr"/>
      <c r="K27" s="18" t="inlineStr"/>
      <c r="L27" s="18" t="n"/>
      <c r="M27" s="18" t="n"/>
      <c r="N27" s="18" t="n"/>
      <c r="O27" s="18" t="n"/>
      <c r="P27" s="18" t="n"/>
    </row>
    <row r="29">
      <c r="A29" s="2" t="inlineStr">
        <is>
          <t>--- August 2025 ---</t>
        </is>
      </c>
    </row>
    <row r="30">
      <c r="A30" s="3" t="inlineStr">
        <is>
          <t>Projekt</t>
        </is>
      </c>
      <c r="B30" s="3" t="inlineStr">
        <is>
          <t>Meilenstein</t>
        </is>
      </c>
      <c r="C30" s="3" t="inlineStr">
        <is>
          <t>Typ</t>
        </is>
      </c>
      <c r="D30" s="3" t="inlineStr">
        <is>
          <t>Soll (h)</t>
        </is>
      </c>
      <c r="E30" s="3" t="inlineStr">
        <is>
          <t>Ist (h)</t>
        </is>
      </c>
      <c r="F30" s="3" t="inlineStr">
        <is>
          <t>August 2025 (h)</t>
        </is>
      </c>
      <c r="G30" s="3" t="inlineStr">
        <is>
          <t>%</t>
        </is>
      </c>
      <c r="H30" s="3" t="inlineStr">
        <is>
          <t>Bonus-Anpassung (h)</t>
        </is>
      </c>
      <c r="I30" s="3" t="inlineStr">
        <is>
          <t>Differenz (h)</t>
        </is>
      </c>
      <c r="J30" s="3" t="inlineStr">
        <is>
          <t>Zuordnen an</t>
        </is>
      </c>
      <c r="K30" s="3" t="inlineStr">
        <is>
          <t>Von anderen (h)</t>
        </is>
      </c>
      <c r="L30" s="3" t="inlineStr">
        <is>
          <t>Stundensatz (€/h)</t>
        </is>
      </c>
      <c r="M30" s="3" t="inlineStr">
        <is>
          <t>Umsatz (€)</t>
        </is>
      </c>
      <c r="N30" s="3" t="inlineStr">
        <is>
          <t>Budget Gesamt (€)</t>
        </is>
      </c>
      <c r="O30" s="3" t="inlineStr">
        <is>
          <t>Budget Ist (€)</t>
        </is>
      </c>
      <c r="P30" s="3" t="inlineStr">
        <is>
          <t>Budget Erwirtschaftet (€)</t>
        </is>
      </c>
    </row>
    <row r="31">
      <c r="A31" s="4" t="inlineStr">
        <is>
          <t>0000 Sonderprojekt für Bonus</t>
        </is>
      </c>
      <c r="B31" s="4" t="inlineStr">
        <is>
          <t>Angebote-Ausschreibungen-Kalkulationen (max. 8h/Monat pro MA)</t>
        </is>
      </c>
      <c r="C31" s="4" t="inlineStr">
        <is>
          <t>M</t>
        </is>
      </c>
      <c r="D31" s="4" t="n">
        <v>8</v>
      </c>
      <c r="E31" s="4" t="n">
        <v>1</v>
      </c>
      <c r="F31" s="4" t="n">
        <v>1</v>
      </c>
      <c r="G31" s="17" t="n">
        <v>12.5</v>
      </c>
      <c r="H31" s="5" t="n"/>
      <c r="I31" s="5">
        <f>IF(H31=0,"",F31-H31)</f>
        <v/>
      </c>
      <c r="J31" s="4" t="n"/>
      <c r="K31" s="5">
        <f>IF('A. Kokott'!J39="R. Böttiger",'A. Kokott'!I39,0)+IF('J. Dorn'!J45="R. Böttiger",'J. Dorn'!I45,0)+IF('O. Haag BS-CAD'!J51="R. Böttiger",'O. Haag BS-CAD'!I51,0)+IF('P. Bergner'!J21="R. Böttiger",'P. Bergner'!I21,0)+IF('T. Trautmann'!J28="R. Böttiger",'T. Trautmann'!I28,0)+IF('U. Sutter ADM'!J28="R. Böttiger",'U. Sutter ADM'!I28,0)</f>
        <v/>
      </c>
      <c r="L31" s="11">
        <f>IF($B$2="-","",IF($B$2="Pauschale",IFERROR(INDEX('Projekt-Budget-Übersicht'!$H:$H,MATCH(A31,'Projekt-Budget-Übersicht'!$A:$A,0)),""),IF($B$2="SV",IFERROR(INDEX('Projekt-Budget-Übersicht'!$H:$H,MATCH(A31,'Projekt-Budget-Übersicht'!$A:$A,0)),""),IF($B$2="CAD",IFERROR(INDEX('Projekt-Budget-Übersicht'!$I:$I,MATCH(A31,'Projekt-Budget-Übersicht'!$A:$A,0)),""),IF($B$2="ADM",IFERROR(INDEX('Projekt-Budget-Übersicht'!$J:$J,MATCH(A31,'Projekt-Budget-Übersicht'!$A:$A,0)),""),"")))))</f>
        <v/>
      </c>
      <c r="M31" s="11">
        <f>IF($B$2="-","",L31*(F31+I31+K31))</f>
        <v/>
      </c>
      <c r="N31" s="11">
        <f>IFERROR(INDEX('Projekt-Budget-Übersicht'!$E:$E,MATCH(A31,'Projekt-Budget-Übersicht'!$A:$A,0)),"")</f>
        <v/>
      </c>
      <c r="O31" s="11" t="inlineStr"/>
      <c r="P31" s="11" t="inlineStr"/>
    </row>
    <row r="32">
      <c r="A32" s="4" t="inlineStr">
        <is>
          <t>1015.02 VuBBaWü-BTB-Kurfürstenanlage15-HD-Justizzentrum</t>
        </is>
      </c>
      <c r="B32" s="4" t="inlineStr">
        <is>
          <t>SV</t>
        </is>
      </c>
      <c r="C32" s="4" t="inlineStr">
        <is>
          <t>G</t>
        </is>
      </c>
      <c r="D32" s="4" t="n">
        <v>15</v>
      </c>
      <c r="E32" s="4" t="n">
        <v>-0.25</v>
      </c>
      <c r="F32" s="4" t="n">
        <v>0.75</v>
      </c>
      <c r="G32" s="17" t="n">
        <v>-1.67</v>
      </c>
      <c r="H32" s="5" t="n"/>
      <c r="I32" s="5">
        <f>IF(H32=0,"",F32-H32)</f>
        <v/>
      </c>
      <c r="J32" s="4" t="n"/>
      <c r="K32" s="5" t="n">
        <v>0</v>
      </c>
      <c r="L32" s="11">
        <f>IF($B$2="-","",IF($B$2="Pauschale",IFERROR(INDEX('Projekt-Budget-Übersicht'!$H:$H,MATCH(A32,'Projekt-Budget-Übersicht'!$A:$A,0)),""),IF($B$2="SV",IFERROR(INDEX('Projekt-Budget-Übersicht'!$H:$H,MATCH(A32,'Projekt-Budget-Übersicht'!$A:$A,0)),""),IF($B$2="CAD",IFERROR(INDEX('Projekt-Budget-Übersicht'!$I:$I,MATCH(A32,'Projekt-Budget-Übersicht'!$A:$A,0)),""),IF($B$2="ADM",IFERROR(INDEX('Projekt-Budget-Übersicht'!$J:$J,MATCH(A32,'Projekt-Budget-Übersicht'!$A:$A,0)),""),"")))))</f>
        <v/>
      </c>
      <c r="M32" s="11">
        <f>IF($B$2="-","",L32*(F32+I32+K32))</f>
        <v/>
      </c>
      <c r="N32" s="11">
        <f>IFERROR(INDEX('Projekt-Budget-Übersicht'!$E:$E,MATCH(A32,'Projekt-Budget-Übersicht'!$A:$A,0)),"")</f>
        <v/>
      </c>
      <c r="O32" s="11" t="inlineStr"/>
      <c r="P32" s="11" t="inlineStr"/>
    </row>
    <row r="33">
      <c r="A33" s="13" t="inlineStr">
        <is>
          <t>6313.05 rh-Construction-LG-EnSol-BSK-BAB-Limespark-Sulzbach</t>
        </is>
      </c>
      <c r="B33" s="4" t="inlineStr">
        <is>
          <t>(p) Pos. 3 Brandschutzberatung in der Ausführungsplanung</t>
        </is>
      </c>
      <c r="C33" s="4" t="inlineStr">
        <is>
          <t>G</t>
        </is>
      </c>
      <c r="D33" s="4" t="n">
        <v>16</v>
      </c>
      <c r="E33" s="4" t="n">
        <v>22.75</v>
      </c>
      <c r="F33" s="4" t="n">
        <v>0.5</v>
      </c>
      <c r="G33" s="16" t="n">
        <v>142.19</v>
      </c>
      <c r="H33" s="5" t="n"/>
      <c r="I33" s="5">
        <f>IF(H33=0,"",F33-H33)</f>
        <v/>
      </c>
      <c r="J33" s="4" t="n"/>
      <c r="K33" s="5" t="n">
        <v>0</v>
      </c>
      <c r="L33" s="11">
        <f>IF($B$2="-","",IF($B$2="Pauschale",IFERROR(INDEX('Projekt-Budget-Übersicht'!$H:$H,MATCH(A33,'Projekt-Budget-Übersicht'!$A:$A,0)),""),IF($B$2="SV",IFERROR(INDEX('Projekt-Budget-Übersicht'!$H:$H,MATCH(A33,'Projekt-Budget-Übersicht'!$A:$A,0)),""),IF($B$2="CAD",IFERROR(INDEX('Projekt-Budget-Übersicht'!$I:$I,MATCH(A33,'Projekt-Budget-Übersicht'!$A:$A,0)),""),IF($B$2="ADM",IFERROR(INDEX('Projekt-Budget-Übersicht'!$J:$J,MATCH(A33,'Projekt-Budget-Übersicht'!$A:$A,0)),""),"")))))</f>
        <v/>
      </c>
      <c r="M33" s="11">
        <f>IF($B$2="-","",L33*(F33+I33+K33))</f>
        <v/>
      </c>
      <c r="N33" s="11">
        <f>IFERROR(INDEX('Projekt-Budget-Übersicht'!$E:$E,MATCH(A33,'Projekt-Budget-Übersicht'!$A:$A,0)),"")</f>
        <v/>
      </c>
      <c r="O33" s="11" t="inlineStr"/>
      <c r="P33" s="11" t="inlineStr"/>
    </row>
    <row r="34">
      <c r="A34" s="15" t="n"/>
      <c r="B34" s="4" t="inlineStr">
        <is>
          <t>3100-Erarbeiten des Brandschutzkonzept/Nachweis/Stellungnahme (SV)</t>
        </is>
      </c>
      <c r="C34" s="4" t="inlineStr">
        <is>
          <t>G</t>
        </is>
      </c>
      <c r="D34" s="4" t="n">
        <v>10</v>
      </c>
      <c r="E34" s="4" t="n">
        <v>19.75</v>
      </c>
      <c r="F34" s="4" t="n">
        <v>3.75</v>
      </c>
      <c r="G34" s="16" t="n">
        <v>197.5</v>
      </c>
      <c r="H34" s="5" t="n"/>
      <c r="I34" s="5">
        <f>IF(H34=0,"",F34-H34)</f>
        <v/>
      </c>
      <c r="J34" s="4" t="n"/>
      <c r="K34" s="5" t="n">
        <v>0</v>
      </c>
      <c r="L34" s="11">
        <f>IF($B$2="-","",IF($B$2="Pauschale",IFERROR(INDEX('Projekt-Budget-Übersicht'!$H:$H,MATCH(A34,'Projekt-Budget-Übersicht'!$A:$A,0)),""),IF($B$2="SV",IFERROR(INDEX('Projekt-Budget-Übersicht'!$H:$H,MATCH(A34,'Projekt-Budget-Übersicht'!$A:$A,0)),""),IF($B$2="CAD",IFERROR(INDEX('Projekt-Budget-Übersicht'!$I:$I,MATCH(A34,'Projekt-Budget-Übersicht'!$A:$A,0)),""),IF($B$2="ADM",IFERROR(INDEX('Projekt-Budget-Übersicht'!$J:$J,MATCH(A34,'Projekt-Budget-Übersicht'!$A:$A,0)),""),"")))))</f>
        <v/>
      </c>
      <c r="M34" s="11">
        <f>IF($B$2="-","",L34*(F34+I34+K34))</f>
        <v/>
      </c>
      <c r="N34" s="11">
        <f>IFERROR(INDEX('Projekt-Budget-Übersicht'!$E:$E,MATCH(A34,'Projekt-Budget-Übersicht'!$A:$A,0)),"")</f>
        <v/>
      </c>
      <c r="O34" s="11" t="inlineStr"/>
      <c r="P34" s="11" t="inlineStr"/>
    </row>
    <row r="35">
      <c r="A35" s="4" t="inlineStr">
        <is>
          <t>6313.06 BSK-Fitseveneleven-Limespark-Sulzbach-1.OG</t>
        </is>
      </c>
      <c r="B35" s="4" t="inlineStr">
        <is>
          <t>8000-Objektüberwachung</t>
        </is>
      </c>
      <c r="C35" s="4" t="inlineStr">
        <is>
          <t>G</t>
        </is>
      </c>
      <c r="D35" s="4" t="n">
        <v>16</v>
      </c>
      <c r="E35" s="4" t="n">
        <v>36.75</v>
      </c>
      <c r="F35" s="4" t="n">
        <v>11</v>
      </c>
      <c r="G35" s="16" t="n">
        <v>229.69</v>
      </c>
      <c r="H35" s="5" t="n"/>
      <c r="I35" s="5">
        <f>IF(H35=0,"",F35-H35)</f>
        <v/>
      </c>
      <c r="J35" s="4" t="n"/>
      <c r="K35" s="5">
        <f>IF('J. Dorn'!J58="R. Böttiger",'J. Dorn'!I58,0)</f>
        <v/>
      </c>
      <c r="L35" s="11">
        <f>IF($B$2="-","",IF($B$2="Pauschale",IFERROR(INDEX('Projekt-Budget-Übersicht'!$H:$H,MATCH(A35,'Projekt-Budget-Übersicht'!$A:$A,0)),""),IF($B$2="SV",IFERROR(INDEX('Projekt-Budget-Übersicht'!$H:$H,MATCH(A35,'Projekt-Budget-Übersicht'!$A:$A,0)),""),IF($B$2="CAD",IFERROR(INDEX('Projekt-Budget-Übersicht'!$I:$I,MATCH(A35,'Projekt-Budget-Übersicht'!$A:$A,0)),""),IF($B$2="ADM",IFERROR(INDEX('Projekt-Budget-Übersicht'!$J:$J,MATCH(A35,'Projekt-Budget-Übersicht'!$A:$A,0)),""),"")))))</f>
        <v/>
      </c>
      <c r="M35" s="11">
        <f>IF($B$2="-","",L35*(F35+I35+K35))</f>
        <v/>
      </c>
      <c r="N35" s="11">
        <f>IFERROR(INDEX('Projekt-Budget-Übersicht'!$E:$E,MATCH(A35,'Projekt-Budget-Übersicht'!$A:$A,0)),"")</f>
        <v/>
      </c>
      <c r="O35" s="11" t="inlineStr"/>
      <c r="P35" s="11" t="inlineStr"/>
    </row>
    <row r="36">
      <c r="A36" s="4" t="inlineStr">
        <is>
          <t>6421.071 Weerts-NAT-BSK-DtAircraft-Leipzig</t>
        </is>
      </c>
      <c r="B36" s="4" t="inlineStr">
        <is>
          <t>(aN) Pos. 2 BTB Ausführungsplanung</t>
        </is>
      </c>
      <c r="C36" s="4" t="inlineStr">
        <is>
          <t>G</t>
        </is>
      </c>
      <c r="D36" s="4" t="n">
        <v>80</v>
      </c>
      <c r="E36" s="4" t="n">
        <v>43</v>
      </c>
      <c r="F36" s="4" t="n">
        <v>4</v>
      </c>
      <c r="G36" s="17" t="n">
        <v>53.75</v>
      </c>
      <c r="H36" s="5" t="n"/>
      <c r="I36" s="5">
        <f>IF(H36=0,"",F36-H36)</f>
        <v/>
      </c>
      <c r="J36" s="4" t="n"/>
      <c r="K36" s="5" t="n">
        <v>0</v>
      </c>
      <c r="L36" s="11">
        <f>IF($B$2="-","",IF($B$2="Pauschale",IFERROR(INDEX('Projekt-Budget-Übersicht'!$H:$H,MATCH(A36,'Projekt-Budget-Übersicht'!$A:$A,0)),""),IF($B$2="SV",IFERROR(INDEX('Projekt-Budget-Übersicht'!$H:$H,MATCH(A36,'Projekt-Budget-Übersicht'!$A:$A,0)),""),IF($B$2="CAD",IFERROR(INDEX('Projekt-Budget-Übersicht'!$I:$I,MATCH(A36,'Projekt-Budget-Übersicht'!$A:$A,0)),""),IF($B$2="ADM",IFERROR(INDEX('Projekt-Budget-Übersicht'!$J:$J,MATCH(A36,'Projekt-Budget-Übersicht'!$A:$A,0)),""),"")))))</f>
        <v/>
      </c>
      <c r="M36" s="11">
        <f>IF($B$2="-","",L36*(F36+I36+K36))</f>
        <v/>
      </c>
      <c r="N36" s="11">
        <f>IFERROR(INDEX('Projekt-Budget-Übersicht'!$E:$E,MATCH(A36,'Projekt-Budget-Übersicht'!$A:$A,0)),"")</f>
        <v/>
      </c>
      <c r="O36" s="11" t="inlineStr"/>
      <c r="P36" s="11" t="inlineStr"/>
    </row>
    <row r="37">
      <c r="A37" s="4" t="inlineStr">
        <is>
          <t>7150 TFS-AHO-Neubau-betrWohnen-Kita-Alberichstraße-Mannheim</t>
        </is>
      </c>
      <c r="B37" s="4" t="inlineStr">
        <is>
          <t>(p) LP 5</t>
        </is>
      </c>
      <c r="C37" s="4" t="inlineStr">
        <is>
          <t>G</t>
        </is>
      </c>
      <c r="D37" s="4" t="n">
        <v>46.5</v>
      </c>
      <c r="E37" s="4" t="n">
        <v>2.5</v>
      </c>
      <c r="F37" s="4" t="n">
        <v>0.5</v>
      </c>
      <c r="G37" s="17" t="n">
        <v>5.38</v>
      </c>
      <c r="H37" s="5" t="n"/>
      <c r="I37" s="5">
        <f>IF(H37=0,"",F37-H37)</f>
        <v/>
      </c>
      <c r="J37" s="4" t="n"/>
      <c r="K37" s="5" t="n">
        <v>0</v>
      </c>
      <c r="L37" s="11">
        <f>IF($B$2="-","",IF($B$2="Pauschale",IFERROR(INDEX('Projekt-Budget-Übersicht'!$H:$H,MATCH(A37,'Projekt-Budget-Übersicht'!$A:$A,0)),""),IF($B$2="SV",IFERROR(INDEX('Projekt-Budget-Übersicht'!$H:$H,MATCH(A37,'Projekt-Budget-Übersicht'!$A:$A,0)),""),IF($B$2="CAD",IFERROR(INDEX('Projekt-Budget-Übersicht'!$I:$I,MATCH(A37,'Projekt-Budget-Übersicht'!$A:$A,0)),""),IF($B$2="ADM",IFERROR(INDEX('Projekt-Budget-Übersicht'!$J:$J,MATCH(A37,'Projekt-Budget-Übersicht'!$A:$A,0)),""),"")))))</f>
        <v/>
      </c>
      <c r="M37" s="11">
        <f>IF($B$2="-","",L37*(F37+I37+K37))</f>
        <v/>
      </c>
      <c r="N37" s="11">
        <f>IFERROR(INDEX('Projekt-Budget-Übersicht'!$E:$E,MATCH(A37,'Projekt-Budget-Übersicht'!$A:$A,0)),"")</f>
        <v/>
      </c>
      <c r="O37" s="11" t="inlineStr"/>
      <c r="P37" s="11" t="inlineStr"/>
    </row>
    <row r="38">
      <c r="A38" s="4" t="inlineStr">
        <is>
          <t>7355.01 Pfizer-BSK-Umnutzung-Mooswaldallee-1-Freiburg-Geb-K</t>
        </is>
      </c>
      <c r="B38" s="4" t="inlineStr">
        <is>
          <t>SV</t>
        </is>
      </c>
      <c r="C38" s="4" t="inlineStr">
        <is>
          <t>G</t>
        </is>
      </c>
      <c r="D38" s="4" t="n">
        <v>30</v>
      </c>
      <c r="E38" s="4" t="n">
        <v>51.5</v>
      </c>
      <c r="F38" s="4" t="n">
        <v>3.5</v>
      </c>
      <c r="G38" s="16" t="n">
        <v>171.67</v>
      </c>
      <c r="H38" s="5" t="n"/>
      <c r="I38" s="5">
        <f>IF(H38=0,"",F38-H38)</f>
        <v/>
      </c>
      <c r="J38" s="4" t="n"/>
      <c r="K38" s="5" t="n">
        <v>0</v>
      </c>
      <c r="L38" s="11">
        <f>IF($B$2="-","",IF($B$2="Pauschale",IFERROR(INDEX('Projekt-Budget-Übersicht'!$H:$H,MATCH(A38,'Projekt-Budget-Übersicht'!$A:$A,0)),""),IF($B$2="SV",IFERROR(INDEX('Projekt-Budget-Übersicht'!$H:$H,MATCH(A38,'Projekt-Budget-Übersicht'!$A:$A,0)),""),IF($B$2="CAD",IFERROR(INDEX('Projekt-Budget-Übersicht'!$I:$I,MATCH(A38,'Projekt-Budget-Übersicht'!$A:$A,0)),""),IF($B$2="ADM",IFERROR(INDEX('Projekt-Budget-Übersicht'!$J:$J,MATCH(A38,'Projekt-Budget-Übersicht'!$A:$A,0)),""),"")))))</f>
        <v/>
      </c>
      <c r="M38" s="11">
        <f>IF($B$2="-","",L38*(F38+I38+K38))</f>
        <v/>
      </c>
      <c r="N38" s="11">
        <f>IFERROR(INDEX('Projekt-Budget-Übersicht'!$E:$E,MATCH(A38,'Projekt-Budget-Übersicht'!$A:$A,0)),"")</f>
        <v/>
      </c>
      <c r="O38" s="11" t="inlineStr"/>
      <c r="P38" s="11" t="inlineStr"/>
    </row>
    <row r="39">
      <c r="A39" s="4" t="inlineStr">
        <is>
          <t>7365 UI-BTB-StGeorgenerStr-Freiburg-Breisgaucenter</t>
        </is>
      </c>
      <c r="B39" s="4" t="inlineStr">
        <is>
          <t>(aN) Pos. 1 Brandschutztechnische Beratung während der Planungsphase</t>
        </is>
      </c>
      <c r="C39" s="4" t="inlineStr">
        <is>
          <t>G</t>
        </is>
      </c>
      <c r="D39" s="4" t="n">
        <v>100</v>
      </c>
      <c r="E39" s="4" t="n">
        <v>88.5</v>
      </c>
      <c r="F39" s="4" t="n">
        <v>6</v>
      </c>
      <c r="G39" s="17" t="n">
        <v>88.5</v>
      </c>
      <c r="H39" s="5" t="n"/>
      <c r="I39" s="5">
        <f>IF(H39=0,"",F39-H39)</f>
        <v/>
      </c>
      <c r="J39" s="4" t="n"/>
      <c r="K39" s="5">
        <f>IF('T. Trautmann'!J57="R. Böttiger",'T. Trautmann'!I57,0)</f>
        <v/>
      </c>
      <c r="L39" s="11">
        <f>IF($B$2="-","",IF($B$2="Pauschale",IFERROR(INDEX('Projekt-Budget-Übersicht'!$H:$H,MATCH(A39,'Projekt-Budget-Übersicht'!$A:$A,0)),""),IF($B$2="SV",IFERROR(INDEX('Projekt-Budget-Übersicht'!$H:$H,MATCH(A39,'Projekt-Budget-Übersicht'!$A:$A,0)),""),IF($B$2="CAD",IFERROR(INDEX('Projekt-Budget-Übersicht'!$I:$I,MATCH(A39,'Projekt-Budget-Übersicht'!$A:$A,0)),""),IF($B$2="ADM",IFERROR(INDEX('Projekt-Budget-Übersicht'!$J:$J,MATCH(A39,'Projekt-Budget-Übersicht'!$A:$A,0)),""),"")))))</f>
        <v/>
      </c>
      <c r="M39" s="11">
        <f>IF($B$2="-","",L39*(F39+I39+K39))</f>
        <v/>
      </c>
      <c r="N39" s="11">
        <f>IFERROR(INDEX('Projekt-Budget-Übersicht'!$E:$E,MATCH(A39,'Projekt-Budget-Übersicht'!$A:$A,0)),"")</f>
        <v/>
      </c>
      <c r="O39" s="11" t="inlineStr"/>
      <c r="P39" s="11" t="inlineStr"/>
    </row>
    <row r="40">
      <c r="A40" s="4" t="inlineStr">
        <is>
          <t>7365.01 UI-BST-StGeorgener-Str-2-Freiburg-Breisgaucenter</t>
        </is>
      </c>
      <c r="B40" s="4" t="inlineStr">
        <is>
          <t>3100-Erarbeiten des Brandschutzkonzept/Nachweis/Stellungnahme</t>
        </is>
      </c>
      <c r="C40" s="4" t="inlineStr">
        <is>
          <t>G</t>
        </is>
      </c>
      <c r="D40" s="4" t="n">
        <v>20</v>
      </c>
      <c r="E40" s="4" t="n">
        <v>19.25</v>
      </c>
      <c r="F40" s="4" t="n">
        <v>10.25</v>
      </c>
      <c r="G40" s="14" t="n">
        <v>96.25</v>
      </c>
      <c r="H40" s="5" t="n"/>
      <c r="I40" s="5">
        <f>IF(H40=0,"",F40-H40)</f>
        <v/>
      </c>
      <c r="J40" s="4" t="n"/>
      <c r="K40" s="5">
        <f>IF('A. Kokott'!J58="R. Böttiger",'A. Kokott'!I58,0)</f>
        <v/>
      </c>
      <c r="L40" s="11">
        <f>IF($B$2="-","",IF($B$2="Pauschale",IFERROR(INDEX('Projekt-Budget-Übersicht'!$H:$H,MATCH(A40,'Projekt-Budget-Übersicht'!$A:$A,0)),""),IF($B$2="SV",IFERROR(INDEX('Projekt-Budget-Übersicht'!$H:$H,MATCH(A40,'Projekt-Budget-Übersicht'!$A:$A,0)),""),IF($B$2="CAD",IFERROR(INDEX('Projekt-Budget-Übersicht'!$I:$I,MATCH(A40,'Projekt-Budget-Übersicht'!$A:$A,0)),""),IF($B$2="ADM",IFERROR(INDEX('Projekt-Budget-Übersicht'!$J:$J,MATCH(A40,'Projekt-Budget-Übersicht'!$A:$A,0)),""),"")))))</f>
        <v/>
      </c>
      <c r="M40" s="11">
        <f>IF($B$2="-","",L40*(F40+I40+K40))</f>
        <v/>
      </c>
      <c r="N40" s="11">
        <f>IFERROR(INDEX('Projekt-Budget-Übersicht'!$E:$E,MATCH(A40,'Projekt-Budget-Übersicht'!$A:$A,0)),"")</f>
        <v/>
      </c>
      <c r="O40" s="11" t="inlineStr"/>
      <c r="P40" s="11" t="inlineStr"/>
    </row>
    <row r="41">
      <c r="A41" s="4" t="inlineStr">
        <is>
          <t>7419.01 Wild-Stiftung-Objektüberwachung-Sporthalle-Pestalozzistr10-Eppelheim</t>
        </is>
      </c>
      <c r="B41" s="4" t="inlineStr">
        <is>
          <t>(aN) Pos. 1 Objektüberwachung</t>
        </is>
      </c>
      <c r="C41" s="4" t="inlineStr">
        <is>
          <t>G</t>
        </is>
      </c>
      <c r="D41" s="4" t="n">
        <v>70</v>
      </c>
      <c r="E41" s="4" t="n">
        <v>36.75</v>
      </c>
      <c r="F41" s="4" t="n">
        <v>13.5</v>
      </c>
      <c r="G41" s="17" t="n">
        <v>52.5</v>
      </c>
      <c r="H41" s="5" t="n"/>
      <c r="I41" s="5">
        <f>IF(H41=0,"",F41-H41)</f>
        <v/>
      </c>
      <c r="J41" s="4" t="n"/>
      <c r="K41" s="5" t="n">
        <v>0</v>
      </c>
      <c r="L41" s="11">
        <f>IF($B$2="-","",IF($B$2="Pauschale",IFERROR(INDEX('Projekt-Budget-Übersicht'!$H:$H,MATCH(A41,'Projekt-Budget-Übersicht'!$A:$A,0)),""),IF($B$2="SV",IFERROR(INDEX('Projekt-Budget-Übersicht'!$H:$H,MATCH(A41,'Projekt-Budget-Übersicht'!$A:$A,0)),""),IF($B$2="CAD",IFERROR(INDEX('Projekt-Budget-Übersicht'!$I:$I,MATCH(A41,'Projekt-Budget-Übersicht'!$A:$A,0)),""),IF($B$2="ADM",IFERROR(INDEX('Projekt-Budget-Übersicht'!$J:$J,MATCH(A41,'Projekt-Budget-Übersicht'!$A:$A,0)),""),"")))))</f>
        <v/>
      </c>
      <c r="M41" s="11">
        <f>IF($B$2="-","",L41*(F41+I41+K41))</f>
        <v/>
      </c>
      <c r="N41" s="11">
        <f>IFERROR(INDEX('Projekt-Budget-Übersicht'!$E:$E,MATCH(A41,'Projekt-Budget-Übersicht'!$A:$A,0)),"")</f>
        <v/>
      </c>
      <c r="O41" s="11" t="inlineStr"/>
      <c r="P41" s="11" t="inlineStr"/>
    </row>
    <row r="42">
      <c r="A42" s="4" t="inlineStr">
        <is>
          <t>7419.03 Zech-BSO-Sporthalle-Pestalozzistr10-Eppelheim</t>
        </is>
      </c>
      <c r="B42" s="4" t="inlineStr">
        <is>
          <t>SV</t>
        </is>
      </c>
      <c r="C42" s="4" t="inlineStr">
        <is>
          <t>G</t>
        </is>
      </c>
      <c r="D42" s="4" t="n">
        <v>8</v>
      </c>
      <c r="E42" s="4" t="n">
        <v>7.75</v>
      </c>
      <c r="F42" s="4" t="n">
        <v>1</v>
      </c>
      <c r="G42" s="14" t="n">
        <v>96.88</v>
      </c>
      <c r="H42" s="5" t="n"/>
      <c r="I42" s="5">
        <f>IF(H42=0,"",F42-H42)</f>
        <v/>
      </c>
      <c r="J42" s="4" t="n"/>
      <c r="K42" s="5">
        <f>IF('H. Bektas'!J35="R. Böttiger",'H. Bektas'!I35,0)+IF('T. Trautmann'!J59="R. Böttiger",'T. Trautmann'!I59,0)</f>
        <v/>
      </c>
      <c r="L42" s="11">
        <f>IF($B$2="-","",IF($B$2="Pauschale",IFERROR(INDEX('Projekt-Budget-Übersicht'!$H:$H,MATCH(A42,'Projekt-Budget-Übersicht'!$A:$A,0)),""),IF($B$2="SV",IFERROR(INDEX('Projekt-Budget-Übersicht'!$H:$H,MATCH(A42,'Projekt-Budget-Übersicht'!$A:$A,0)),""),IF($B$2="CAD",IFERROR(INDEX('Projekt-Budget-Übersicht'!$I:$I,MATCH(A42,'Projekt-Budget-Übersicht'!$A:$A,0)),""),IF($B$2="ADM",IFERROR(INDEX('Projekt-Budget-Übersicht'!$J:$J,MATCH(A42,'Projekt-Budget-Übersicht'!$A:$A,0)),""),"")))))</f>
        <v/>
      </c>
      <c r="M42" s="11">
        <f>IF($B$2="-","",L42*(F42+I42+K42))</f>
        <v/>
      </c>
      <c r="N42" s="11">
        <f>IFERROR(INDEX('Projekt-Budget-Übersicht'!$E:$E,MATCH(A42,'Projekt-Budget-Übersicht'!$A:$A,0)),"")</f>
        <v/>
      </c>
      <c r="O42" s="11" t="inlineStr"/>
      <c r="P42" s="11" t="inlineStr"/>
    </row>
    <row r="43">
      <c r="A43" s="13" t="inlineStr">
        <is>
          <t>7800.01 LBB-RV-KL-MunLgr-KRI-TP04-MAH-Wasenbacher-Höhe-Kriegsfeld</t>
        </is>
      </c>
      <c r="B43" s="4" t="inlineStr">
        <is>
          <t>(p) 5 Besprechungen á 4 h Brandschutz nicht gebündet behandelt</t>
        </is>
      </c>
      <c r="C43" s="4" t="inlineStr">
        <is>
          <t>G</t>
        </is>
      </c>
      <c r="D43" s="4" t="n">
        <v>40</v>
      </c>
      <c r="E43" s="4" t="n">
        <v>37</v>
      </c>
      <c r="F43" s="4" t="n">
        <v>11</v>
      </c>
      <c r="G43" s="14" t="n">
        <v>92.5</v>
      </c>
      <c r="H43" s="5" t="n"/>
      <c r="I43" s="5">
        <f>IF(H43=0,"",F43-H43)</f>
        <v/>
      </c>
      <c r="J43" s="4" t="n"/>
      <c r="K43" s="5" t="n">
        <v>0</v>
      </c>
      <c r="L43" s="11">
        <f>IF($B$2="-","",IF($B$2="Pauschale",IFERROR(INDEX('Projekt-Budget-Übersicht'!$H:$H,MATCH(A43,'Projekt-Budget-Übersicht'!$A:$A,0)),""),IF($B$2="SV",IFERROR(INDEX('Projekt-Budget-Übersicht'!$H:$H,MATCH(A43,'Projekt-Budget-Übersicht'!$A:$A,0)),""),IF($B$2="CAD",IFERROR(INDEX('Projekt-Budget-Übersicht'!$I:$I,MATCH(A43,'Projekt-Budget-Übersicht'!$A:$A,0)),""),IF($B$2="ADM",IFERROR(INDEX('Projekt-Budget-Übersicht'!$J:$J,MATCH(A43,'Projekt-Budget-Übersicht'!$A:$A,0)),""),"")))))</f>
        <v/>
      </c>
      <c r="M43" s="11">
        <f>IF($B$2="-","",L43*(F43+I43+K43))</f>
        <v/>
      </c>
      <c r="N43" s="11">
        <f>IFERROR(INDEX('Projekt-Budget-Übersicht'!$E:$E,MATCH(A43,'Projekt-Budget-Übersicht'!$A:$A,0)),"")</f>
        <v/>
      </c>
      <c r="O43" s="11" t="inlineStr"/>
      <c r="P43" s="11" t="inlineStr"/>
    </row>
    <row r="44">
      <c r="A44" s="15" t="n"/>
      <c r="B44" s="4" t="inlineStr">
        <is>
          <t>(p) LP 1+2 RL (SV)</t>
        </is>
      </c>
      <c r="C44" s="4" t="inlineStr">
        <is>
          <t>G</t>
        </is>
      </c>
      <c r="D44" s="4" t="n">
        <v>47</v>
      </c>
      <c r="E44" s="4" t="n">
        <v>88</v>
      </c>
      <c r="F44" s="4" t="n">
        <v>27</v>
      </c>
      <c r="G44" s="16" t="n">
        <v>187.23</v>
      </c>
      <c r="H44" s="5" t="n"/>
      <c r="I44" s="5">
        <f>IF(H44=0,"",F44-H44)</f>
        <v/>
      </c>
      <c r="J44" s="4" t="n"/>
      <c r="K44" s="5">
        <f>IF('J. Dorn'!J73="R. Böttiger",'J. Dorn'!I73,0)</f>
        <v/>
      </c>
      <c r="L44" s="11">
        <f>IF($B$2="-","",IF($B$2="Pauschale",IFERROR(INDEX('Projekt-Budget-Übersicht'!$H:$H,MATCH(A44,'Projekt-Budget-Übersicht'!$A:$A,0)),""),IF($B$2="SV",IFERROR(INDEX('Projekt-Budget-Übersicht'!$H:$H,MATCH(A44,'Projekt-Budget-Übersicht'!$A:$A,0)),""),IF($B$2="CAD",IFERROR(INDEX('Projekt-Budget-Übersicht'!$I:$I,MATCH(A44,'Projekt-Budget-Übersicht'!$A:$A,0)),""),IF($B$2="ADM",IFERROR(INDEX('Projekt-Budget-Übersicht'!$J:$J,MATCH(A44,'Projekt-Budget-Übersicht'!$A:$A,0)),""),"")))))</f>
        <v/>
      </c>
      <c r="M44" s="11">
        <f>IF($B$2="-","",L44*(F44+I44+K44))</f>
        <v/>
      </c>
      <c r="N44" s="11">
        <f>IFERROR(INDEX('Projekt-Budget-Übersicht'!$E:$E,MATCH(A44,'Projekt-Budget-Übersicht'!$A:$A,0)),"")</f>
        <v/>
      </c>
      <c r="O44" s="11" t="inlineStr"/>
      <c r="P44" s="11" t="inlineStr"/>
    </row>
    <row r="45">
      <c r="A45" s="13" t="inlineStr">
        <is>
          <t>7800.02 LBB-RV-KL-MunLgr-KRI-TP06-MLH-WasenbacherHöhe-Kriegsfeld</t>
        </is>
      </c>
      <c r="B45" s="4" t="inlineStr">
        <is>
          <t>(p) 5 Besprechungen á 4 h Brandschutz nicht gebündet behandelt</t>
        </is>
      </c>
      <c r="C45" s="4" t="inlineStr">
        <is>
          <t>G</t>
        </is>
      </c>
      <c r="D45" s="4" t="n">
        <v>20</v>
      </c>
      <c r="E45" s="4" t="n">
        <v>35.25</v>
      </c>
      <c r="F45" s="4" t="n">
        <v>7</v>
      </c>
      <c r="G45" s="16" t="n">
        <v>176.25</v>
      </c>
      <c r="H45" s="5" t="n"/>
      <c r="I45" s="5">
        <f>IF(H45=0,"",F45-H45)</f>
        <v/>
      </c>
      <c r="J45" s="4" t="n"/>
      <c r="K45" s="5" t="n">
        <v>0</v>
      </c>
      <c r="L45" s="11">
        <f>IF($B$2="-","",IF($B$2="Pauschale",IFERROR(INDEX('Projekt-Budget-Übersicht'!$H:$H,MATCH(A45,'Projekt-Budget-Übersicht'!$A:$A,0)),""),IF($B$2="SV",IFERROR(INDEX('Projekt-Budget-Übersicht'!$H:$H,MATCH(A45,'Projekt-Budget-Übersicht'!$A:$A,0)),""),IF($B$2="CAD",IFERROR(INDEX('Projekt-Budget-Übersicht'!$I:$I,MATCH(A45,'Projekt-Budget-Übersicht'!$A:$A,0)),""),IF($B$2="ADM",IFERROR(INDEX('Projekt-Budget-Übersicht'!$J:$J,MATCH(A45,'Projekt-Budget-Übersicht'!$A:$A,0)),""),"")))))</f>
        <v/>
      </c>
      <c r="M45" s="11">
        <f>IF($B$2="-","",L45*(F45+I45+K45))</f>
        <v/>
      </c>
      <c r="N45" s="11">
        <f>IFERROR(INDEX('Projekt-Budget-Übersicht'!$E:$E,MATCH(A45,'Projekt-Budget-Übersicht'!$A:$A,0)),"")</f>
        <v/>
      </c>
      <c r="O45" s="11" t="inlineStr"/>
      <c r="P45" s="11" t="inlineStr"/>
    </row>
    <row r="46">
      <c r="A46" s="15" t="n"/>
      <c r="B46" s="4" t="inlineStr">
        <is>
          <t>(p) LP 1+2 RL (SV)</t>
        </is>
      </c>
      <c r="C46" s="4" t="inlineStr">
        <is>
          <t>G</t>
        </is>
      </c>
      <c r="D46" s="4" t="n">
        <v>3</v>
      </c>
      <c r="E46" s="4" t="n">
        <v>64.25</v>
      </c>
      <c r="F46" s="4" t="n">
        <v>19.25</v>
      </c>
      <c r="G46" s="16" t="n">
        <v>2141.67</v>
      </c>
      <c r="H46" s="5" t="n"/>
      <c r="I46" s="5">
        <f>IF(H46=0,"",F46-H46)</f>
        <v/>
      </c>
      <c r="J46" s="4" t="n"/>
      <c r="K46" s="5">
        <f>IF('J. Dorn'!J74="R. Böttiger",'J. Dorn'!I74,0)</f>
        <v/>
      </c>
      <c r="L46" s="11">
        <f>IF($B$2="-","",IF($B$2="Pauschale",IFERROR(INDEX('Projekt-Budget-Übersicht'!$H:$H,MATCH(A46,'Projekt-Budget-Übersicht'!$A:$A,0)),""),IF($B$2="SV",IFERROR(INDEX('Projekt-Budget-Übersicht'!$H:$H,MATCH(A46,'Projekt-Budget-Übersicht'!$A:$A,0)),""),IF($B$2="CAD",IFERROR(INDEX('Projekt-Budget-Übersicht'!$I:$I,MATCH(A46,'Projekt-Budget-Übersicht'!$A:$A,0)),""),IF($B$2="ADM",IFERROR(INDEX('Projekt-Budget-Übersicht'!$J:$J,MATCH(A46,'Projekt-Budget-Übersicht'!$A:$A,0)),""),"")))))</f>
        <v/>
      </c>
      <c r="M46" s="11">
        <f>IF($B$2="-","",L46*(F46+I46+K46))</f>
        <v/>
      </c>
      <c r="N46" s="11">
        <f>IFERROR(INDEX('Projekt-Budget-Übersicht'!$E:$E,MATCH(A46,'Projekt-Budget-Übersicht'!$A:$A,0)),"")</f>
        <v/>
      </c>
      <c r="O46" s="11" t="inlineStr"/>
      <c r="P46" s="11" t="inlineStr"/>
    </row>
    <row r="47">
      <c r="A47" s="3" t="inlineStr"/>
      <c r="B47" s="3" t="inlineStr">
        <is>
          <t>Summe</t>
        </is>
      </c>
      <c r="C47" s="3" t="inlineStr"/>
      <c r="D47" s="3" t="inlineStr"/>
      <c r="E47" s="3" t="inlineStr"/>
      <c r="F47" s="6" t="n">
        <v>120</v>
      </c>
      <c r="G47" s="3" t="inlineStr"/>
      <c r="H47" s="3" t="inlineStr"/>
      <c r="I47" s="3" t="inlineStr"/>
      <c r="J47" s="3" t="inlineStr"/>
      <c r="K47" s="3" t="inlineStr"/>
      <c r="L47" s="3" t="n"/>
      <c r="M47" s="3" t="n"/>
      <c r="N47" s="3" t="n"/>
      <c r="O47" s="3" t="n"/>
      <c r="P47" s="3" t="n"/>
    </row>
    <row r="48">
      <c r="A48" s="3" t="inlineStr"/>
      <c r="B48" s="3" t="inlineStr">
        <is>
          <t>Bonusberechtigte Stunden</t>
        </is>
      </c>
      <c r="C48" s="3" t="inlineStr"/>
      <c r="D48" s="3" t="inlineStr"/>
      <c r="E48" s="3" t="inlineStr"/>
      <c r="F48" s="6">
        <f>G48+H48</f>
        <v/>
      </c>
      <c r="G48" s="6" t="n">
        <v>47</v>
      </c>
      <c r="H48" s="6">
        <f>SUM(H32,H33,H34,H35,H36,H37,H38,H39,H40,H41,H42,H43,H44,H45,H46)</f>
        <v/>
      </c>
      <c r="I48" s="3" t="inlineStr"/>
      <c r="J48" s="3" t="inlineStr"/>
      <c r="K48" s="3" t="inlineStr"/>
      <c r="L48" s="3" t="inlineStr"/>
      <c r="M48" s="3" t="inlineStr"/>
      <c r="N48" s="3" t="inlineStr"/>
      <c r="O48" s="3" t="inlineStr"/>
      <c r="P48" s="3" t="inlineStr"/>
    </row>
    <row r="49">
      <c r="A49" s="3" t="inlineStr"/>
      <c r="B49" s="3" t="inlineStr">
        <is>
          <t>Bonusberechtigte Stunden Sonderprojekt</t>
        </is>
      </c>
      <c r="C49" s="3" t="inlineStr"/>
      <c r="D49" s="3" t="inlineStr"/>
      <c r="E49" s="3" t="inlineStr"/>
      <c r="F49" s="6">
        <f>G49+H49</f>
        <v/>
      </c>
      <c r="G49" s="6" t="n">
        <v>1</v>
      </c>
      <c r="H49" s="6">
        <f>SUM(H31)</f>
        <v/>
      </c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inlineStr"/>
    </row>
    <row r="50">
      <c r="A50" s="3" t="inlineStr"/>
      <c r="B50" s="3" t="inlineStr">
        <is>
          <t>Zugeordnete Stunden von anderen MA</t>
        </is>
      </c>
      <c r="C50" s="3" t="inlineStr"/>
      <c r="D50" s="3" t="inlineStr"/>
      <c r="E50" s="3" t="inlineStr"/>
      <c r="F50" s="6">
        <f>SUM(K31:K46)</f>
        <v/>
      </c>
      <c r="G50" s="3" t="inlineStr"/>
      <c r="H50" s="3" t="inlineStr"/>
      <c r="I50" s="3" t="inlineStr"/>
      <c r="J50" s="3" t="inlineStr"/>
      <c r="K50" s="3" t="inlineStr"/>
      <c r="L50" s="3" t="inlineStr"/>
      <c r="M50" s="3" t="inlineStr"/>
      <c r="N50" s="3" t="inlineStr"/>
      <c r="O50" s="3" t="inlineStr"/>
      <c r="P50" s="3" t="inlineStr"/>
    </row>
    <row r="51">
      <c r="A51" s="18" t="inlineStr"/>
      <c r="B51" s="18" t="inlineStr">
        <is>
          <t>Gesamt Bonus Stunden</t>
        </is>
      </c>
      <c r="C51" s="18" t="inlineStr"/>
      <c r="D51" s="18" t="inlineStr"/>
      <c r="E51" s="18" t="inlineStr"/>
      <c r="F51" s="19">
        <f>F48+F49+F50</f>
        <v/>
      </c>
      <c r="G51" s="18" t="inlineStr"/>
      <c r="H51" s="18" t="inlineStr"/>
      <c r="I51" s="18" t="inlineStr"/>
      <c r="J51" s="18" t="inlineStr"/>
      <c r="K51" s="18" t="inlineStr"/>
      <c r="L51" s="18" t="n"/>
      <c r="M51" s="18" t="n"/>
      <c r="N51" s="18" t="n"/>
      <c r="O51" s="18" t="n"/>
      <c r="P51" s="18" t="n"/>
    </row>
    <row r="53">
      <c r="A53" s="2" t="inlineStr">
        <is>
          <t>--- September 2025 ---</t>
        </is>
      </c>
    </row>
    <row r="54">
      <c r="A54" s="3" t="inlineStr">
        <is>
          <t>Projekt</t>
        </is>
      </c>
      <c r="B54" s="3" t="inlineStr">
        <is>
          <t>Meilenstein</t>
        </is>
      </c>
      <c r="C54" s="3" t="inlineStr">
        <is>
          <t>Typ</t>
        </is>
      </c>
      <c r="D54" s="3" t="inlineStr">
        <is>
          <t>Soll (h)</t>
        </is>
      </c>
      <c r="E54" s="3" t="inlineStr">
        <is>
          <t>Ist (h)</t>
        </is>
      </c>
      <c r="F54" s="3" t="inlineStr">
        <is>
          <t>September 2025 (h)</t>
        </is>
      </c>
      <c r="G54" s="3" t="inlineStr">
        <is>
          <t>%</t>
        </is>
      </c>
      <c r="H54" s="3" t="inlineStr">
        <is>
          <t>Bonus-Anpassung (h)</t>
        </is>
      </c>
      <c r="I54" s="3" t="inlineStr">
        <is>
          <t>Differenz (h)</t>
        </is>
      </c>
      <c r="J54" s="3" t="inlineStr">
        <is>
          <t>Zuordnen an</t>
        </is>
      </c>
      <c r="K54" s="3" t="inlineStr">
        <is>
          <t>Von anderen (h)</t>
        </is>
      </c>
      <c r="L54" s="3" t="inlineStr">
        <is>
          <t>Stundensatz (€/h)</t>
        </is>
      </c>
      <c r="M54" s="3" t="inlineStr">
        <is>
          <t>Umsatz (€)</t>
        </is>
      </c>
      <c r="N54" s="3" t="inlineStr">
        <is>
          <t>Budget Gesamt (€)</t>
        </is>
      </c>
      <c r="O54" s="3" t="inlineStr">
        <is>
          <t>Budget Ist (€)</t>
        </is>
      </c>
      <c r="P54" s="3" t="inlineStr">
        <is>
          <t>Budget Erwirtschaftet (€)</t>
        </is>
      </c>
    </row>
    <row r="55">
      <c r="A55" s="4" t="inlineStr">
        <is>
          <t>1015.02 VuBBaWü-BTB-Kurfürstenanlage15-HD-Justizzentrum</t>
        </is>
      </c>
      <c r="B55" s="4" t="inlineStr">
        <is>
          <t>SV</t>
        </is>
      </c>
      <c r="C55" s="4" t="inlineStr">
        <is>
          <t>G</t>
        </is>
      </c>
      <c r="D55" s="4" t="n">
        <v>15</v>
      </c>
      <c r="E55" s="4" t="n">
        <v>0</v>
      </c>
      <c r="F55" s="4" t="n">
        <v>0.25</v>
      </c>
      <c r="G55" s="17" t="n">
        <v>0</v>
      </c>
      <c r="H55" s="5" t="n"/>
      <c r="I55" s="5">
        <f>IF(H55=0,"",F55-H55)</f>
        <v/>
      </c>
      <c r="J55" s="4" t="n"/>
      <c r="K55" s="5" t="n">
        <v>0</v>
      </c>
      <c r="L55" s="11">
        <f>IF($B$2="-","",IF($B$2="Pauschale",IFERROR(INDEX('Projekt-Budget-Übersicht'!$H:$H,MATCH(A55,'Projekt-Budget-Übersicht'!$A:$A,0)),""),IF($B$2="SV",IFERROR(INDEX('Projekt-Budget-Übersicht'!$H:$H,MATCH(A55,'Projekt-Budget-Übersicht'!$A:$A,0)),""),IF($B$2="CAD",IFERROR(INDEX('Projekt-Budget-Übersicht'!$I:$I,MATCH(A55,'Projekt-Budget-Übersicht'!$A:$A,0)),""),IF($B$2="ADM",IFERROR(INDEX('Projekt-Budget-Übersicht'!$J:$J,MATCH(A55,'Projekt-Budget-Übersicht'!$A:$A,0)),""),"")))))</f>
        <v/>
      </c>
      <c r="M55" s="11">
        <f>IF($B$2="-","",L55*(F55+I55+K55))</f>
        <v/>
      </c>
      <c r="N55" s="11">
        <f>IFERROR(INDEX('Projekt-Budget-Übersicht'!$E:$E,MATCH(A55,'Projekt-Budget-Übersicht'!$A:$A,0)),"")</f>
        <v/>
      </c>
      <c r="O55" s="11" t="inlineStr"/>
      <c r="P55" s="11" t="inlineStr"/>
    </row>
    <row r="56">
      <c r="A56" s="4" t="inlineStr">
        <is>
          <t>6313.05 rh-Construction-LG-EnSol-BSK-BAB-Limespark-Sulzbach</t>
        </is>
      </c>
      <c r="B56" s="4" t="inlineStr">
        <is>
          <t>3100-Erarbeiten des Brandschutzkonzept/Nachweis/Stellungnahme (SV)</t>
        </is>
      </c>
      <c r="C56" s="4" t="inlineStr">
        <is>
          <t>G</t>
        </is>
      </c>
      <c r="D56" s="4" t="n">
        <v>10</v>
      </c>
      <c r="E56" s="4" t="n">
        <v>20.5</v>
      </c>
      <c r="F56" s="4" t="n">
        <v>0.75</v>
      </c>
      <c r="G56" s="16" t="n">
        <v>205</v>
      </c>
      <c r="H56" s="5" t="n"/>
      <c r="I56" s="5">
        <f>IF(H56=0,"",F56-H56)</f>
        <v/>
      </c>
      <c r="J56" s="4" t="n"/>
      <c r="K56" s="5" t="n">
        <v>0</v>
      </c>
      <c r="L56" s="11">
        <f>IF($B$2="-","",IF($B$2="Pauschale",IFERROR(INDEX('Projekt-Budget-Übersicht'!$H:$H,MATCH(A56,'Projekt-Budget-Übersicht'!$A:$A,0)),""),IF($B$2="SV",IFERROR(INDEX('Projekt-Budget-Übersicht'!$H:$H,MATCH(A56,'Projekt-Budget-Übersicht'!$A:$A,0)),""),IF($B$2="CAD",IFERROR(INDEX('Projekt-Budget-Übersicht'!$I:$I,MATCH(A56,'Projekt-Budget-Übersicht'!$A:$A,0)),""),IF($B$2="ADM",IFERROR(INDEX('Projekt-Budget-Übersicht'!$J:$J,MATCH(A56,'Projekt-Budget-Übersicht'!$A:$A,0)),""),"")))))</f>
        <v/>
      </c>
      <c r="M56" s="11">
        <f>IF($B$2="-","",L56*(F56+I56+K56))</f>
        <v/>
      </c>
      <c r="N56" s="11">
        <f>IFERROR(INDEX('Projekt-Budget-Übersicht'!$E:$E,MATCH(A56,'Projekt-Budget-Übersicht'!$A:$A,0)),"")</f>
        <v/>
      </c>
      <c r="O56" s="11" t="inlineStr"/>
      <c r="P56" s="11" t="inlineStr"/>
    </row>
    <row r="57">
      <c r="A57" s="4" t="inlineStr">
        <is>
          <t>6313.061 Fitseveneleven-BSO-Limespark-Sulzbach-1.OG</t>
        </is>
      </c>
      <c r="B57" s="4" t="inlineStr">
        <is>
          <t>SV</t>
        </is>
      </c>
      <c r="C57" s="4" t="inlineStr">
        <is>
          <t>G</t>
        </is>
      </c>
      <c r="D57" s="4" t="n">
        <v>0</v>
      </c>
      <c r="E57" s="4" t="n">
        <v>0</v>
      </c>
      <c r="F57" s="4" t="n">
        <v>6.25</v>
      </c>
      <c r="G57" s="4" t="n">
        <v>0</v>
      </c>
      <c r="H57" s="5" t="n"/>
      <c r="I57" s="5">
        <f>IF(H57=0,"",F57-H57)</f>
        <v/>
      </c>
      <c r="J57" s="4" t="n"/>
      <c r="K57" s="5" t="n">
        <v>0</v>
      </c>
      <c r="L57" s="11">
        <f>IF($B$2="-","",IF($B$2="Pauschale",IFERROR(INDEX('Projekt-Budget-Übersicht'!$H:$H,MATCH(A57,'Projekt-Budget-Übersicht'!$A:$A,0)),""),IF($B$2="SV",IFERROR(INDEX('Projekt-Budget-Übersicht'!$H:$H,MATCH(A57,'Projekt-Budget-Übersicht'!$A:$A,0)),""),IF($B$2="CAD",IFERROR(INDEX('Projekt-Budget-Übersicht'!$I:$I,MATCH(A57,'Projekt-Budget-Übersicht'!$A:$A,0)),""),IF($B$2="ADM",IFERROR(INDEX('Projekt-Budget-Übersicht'!$J:$J,MATCH(A57,'Projekt-Budget-Übersicht'!$A:$A,0)),""),"")))))</f>
        <v/>
      </c>
      <c r="M57" s="11">
        <f>IF($B$2="-","",L57*(F57+I57+K57))</f>
        <v/>
      </c>
      <c r="N57" s="11">
        <f>IFERROR(INDEX('Projekt-Budget-Übersicht'!$E:$E,MATCH(A57,'Projekt-Budget-Übersicht'!$A:$A,0)),"")</f>
        <v/>
      </c>
      <c r="O57" s="11" t="inlineStr"/>
      <c r="P57" s="11" t="inlineStr"/>
    </row>
    <row r="58">
      <c r="A58" s="4" t="inlineStr">
        <is>
          <t>6313.100 Quantum-Allgemeine-BTB-Limespark-Sulzbach</t>
        </is>
      </c>
      <c r="B58" s="4" t="inlineStr">
        <is>
          <t>2302-Beratungsleistungen - Beratung</t>
        </is>
      </c>
      <c r="C58" s="4" t="inlineStr">
        <is>
          <t>G</t>
        </is>
      </c>
      <c r="D58" s="4" t="n">
        <v>0</v>
      </c>
      <c r="E58" s="4" t="n">
        <v>0</v>
      </c>
      <c r="F58" s="4" t="n">
        <v>1</v>
      </c>
      <c r="G58" s="4" t="n">
        <v>0</v>
      </c>
      <c r="H58" s="5" t="n"/>
      <c r="I58" s="5">
        <f>IF(H58=0,"",F58-H58)</f>
        <v/>
      </c>
      <c r="J58" s="4" t="n"/>
      <c r="K58" s="5" t="n">
        <v>0</v>
      </c>
      <c r="L58" s="11">
        <f>IF($B$2="-","",IF($B$2="Pauschale",IFERROR(INDEX('Projekt-Budget-Übersicht'!$H:$H,MATCH(A58,'Projekt-Budget-Übersicht'!$A:$A,0)),""),IF($B$2="SV",IFERROR(INDEX('Projekt-Budget-Übersicht'!$H:$H,MATCH(A58,'Projekt-Budget-Übersicht'!$A:$A,0)),""),IF($B$2="CAD",IFERROR(INDEX('Projekt-Budget-Übersicht'!$I:$I,MATCH(A58,'Projekt-Budget-Übersicht'!$A:$A,0)),""),IF($B$2="ADM",IFERROR(INDEX('Projekt-Budget-Übersicht'!$J:$J,MATCH(A58,'Projekt-Budget-Übersicht'!$A:$A,0)),""),"")))))</f>
        <v/>
      </c>
      <c r="M58" s="11">
        <f>IF($B$2="-","",L58*(F58+I58+K58))</f>
        <v/>
      </c>
      <c r="N58" s="11">
        <f>IFERROR(INDEX('Projekt-Budget-Übersicht'!$E:$E,MATCH(A58,'Projekt-Budget-Übersicht'!$A:$A,0)),"")</f>
        <v/>
      </c>
      <c r="O58" s="11" t="inlineStr"/>
      <c r="P58" s="11" t="inlineStr"/>
    </row>
    <row r="59">
      <c r="A59" s="4" t="inlineStr">
        <is>
          <t>6421.071 Weerts-NAT-BSK-DtAircraft-Leipzig</t>
        </is>
      </c>
      <c r="B59" s="4" t="inlineStr">
        <is>
          <t>(aN) Pos. 2 BTB Ausführungsplanung</t>
        </is>
      </c>
      <c r="C59" s="4" t="inlineStr">
        <is>
          <t>G</t>
        </is>
      </c>
      <c r="D59" s="4" t="n">
        <v>80</v>
      </c>
      <c r="E59" s="4" t="n">
        <v>46.5</v>
      </c>
      <c r="F59" s="4" t="n">
        <v>3.5</v>
      </c>
      <c r="G59" s="17" t="n">
        <v>58.13</v>
      </c>
      <c r="H59" s="5" t="n"/>
      <c r="I59" s="5">
        <f>IF(H59=0,"",F59-H59)</f>
        <v/>
      </c>
      <c r="J59" s="4" t="n"/>
      <c r="K59" s="5" t="n">
        <v>0</v>
      </c>
      <c r="L59" s="11">
        <f>IF($B$2="-","",IF($B$2="Pauschale",IFERROR(INDEX('Projekt-Budget-Übersicht'!$H:$H,MATCH(A59,'Projekt-Budget-Übersicht'!$A:$A,0)),""),IF($B$2="SV",IFERROR(INDEX('Projekt-Budget-Übersicht'!$H:$H,MATCH(A59,'Projekt-Budget-Übersicht'!$A:$A,0)),""),IF($B$2="CAD",IFERROR(INDEX('Projekt-Budget-Übersicht'!$I:$I,MATCH(A59,'Projekt-Budget-Übersicht'!$A:$A,0)),""),IF($B$2="ADM",IFERROR(INDEX('Projekt-Budget-Übersicht'!$J:$J,MATCH(A59,'Projekt-Budget-Übersicht'!$A:$A,0)),""),"")))))</f>
        <v/>
      </c>
      <c r="M59" s="11">
        <f>IF($B$2="-","",L59*(F59+I59+K59))</f>
        <v/>
      </c>
      <c r="N59" s="11">
        <f>IFERROR(INDEX('Projekt-Budget-Übersicht'!$E:$E,MATCH(A59,'Projekt-Budget-Übersicht'!$A:$A,0)),"")</f>
        <v/>
      </c>
      <c r="O59" s="11" t="inlineStr"/>
      <c r="P59" s="11" t="inlineStr"/>
    </row>
    <row r="60">
      <c r="A60" s="4" t="inlineStr">
        <is>
          <t>7196 DRESO-BSK-TDE-Genset-Container-Austausch-NEA-Kleyerstr75-89-FFM</t>
        </is>
      </c>
      <c r="B60" s="4" t="inlineStr">
        <is>
          <t>SV</t>
        </is>
      </c>
      <c r="C60" s="4" t="inlineStr">
        <is>
          <t>G</t>
        </is>
      </c>
      <c r="D60" s="4" t="n">
        <v>19</v>
      </c>
      <c r="E60" s="4" t="n">
        <v>22</v>
      </c>
      <c r="F60" s="4" t="n">
        <v>0.75</v>
      </c>
      <c r="G60" s="16" t="n">
        <v>115.79</v>
      </c>
      <c r="H60" s="5" t="n"/>
      <c r="I60" s="5">
        <f>IF(H60=0,"",F60-H60)</f>
        <v/>
      </c>
      <c r="J60" s="4" t="n"/>
      <c r="K60" s="5">
        <f>IF('J. Dorn'!J102="R. Böttiger",'J. Dorn'!I102,0)+IF('T. Trautmann'!J94="R. Böttiger",'T. Trautmann'!I94,0)</f>
        <v/>
      </c>
      <c r="L60" s="11">
        <f>IF($B$2="-","",IF($B$2="Pauschale",IFERROR(INDEX('Projekt-Budget-Übersicht'!$H:$H,MATCH(A60,'Projekt-Budget-Übersicht'!$A:$A,0)),""),IF($B$2="SV",IFERROR(INDEX('Projekt-Budget-Übersicht'!$H:$H,MATCH(A60,'Projekt-Budget-Übersicht'!$A:$A,0)),""),IF($B$2="CAD",IFERROR(INDEX('Projekt-Budget-Übersicht'!$I:$I,MATCH(A60,'Projekt-Budget-Übersicht'!$A:$A,0)),""),IF($B$2="ADM",IFERROR(INDEX('Projekt-Budget-Übersicht'!$J:$J,MATCH(A60,'Projekt-Budget-Übersicht'!$A:$A,0)),""),"")))))</f>
        <v/>
      </c>
      <c r="M60" s="11">
        <f>IF($B$2="-","",L60*(F60+I60+K60))</f>
        <v/>
      </c>
      <c r="N60" s="11">
        <f>IFERROR(INDEX('Projekt-Budget-Übersicht'!$E:$E,MATCH(A60,'Projekt-Budget-Übersicht'!$A:$A,0)),"")</f>
        <v/>
      </c>
      <c r="O60" s="11" t="inlineStr"/>
      <c r="P60" s="11" t="inlineStr"/>
    </row>
    <row r="61">
      <c r="A61" s="4" t="inlineStr">
        <is>
          <t>7355.01 Pfizer-BSK-Umnutzung-Mooswaldallee-1-Freiburg-Geb-K</t>
        </is>
      </c>
      <c r="B61" s="4" t="inlineStr">
        <is>
          <t>SV</t>
        </is>
      </c>
      <c r="C61" s="4" t="inlineStr">
        <is>
          <t>G</t>
        </is>
      </c>
      <c r="D61" s="4" t="n">
        <v>30</v>
      </c>
      <c r="E61" s="4" t="n">
        <v>73.75</v>
      </c>
      <c r="F61" s="4" t="n">
        <v>20.25</v>
      </c>
      <c r="G61" s="16" t="n">
        <v>245.83</v>
      </c>
      <c r="H61" s="5" t="n"/>
      <c r="I61" s="5">
        <f>IF(H61=0,"",F61-H61)</f>
        <v/>
      </c>
      <c r="J61" s="4" t="n"/>
      <c r="K61" s="5">
        <f>IF('P. Bergner'!J53="R. Böttiger",'P. Bergner'!I53,0)</f>
        <v/>
      </c>
      <c r="L61" s="11">
        <f>IF($B$2="-","",IF($B$2="Pauschale",IFERROR(INDEX('Projekt-Budget-Übersicht'!$H:$H,MATCH(A61,'Projekt-Budget-Übersicht'!$A:$A,0)),""),IF($B$2="SV",IFERROR(INDEX('Projekt-Budget-Übersicht'!$H:$H,MATCH(A61,'Projekt-Budget-Übersicht'!$A:$A,0)),""),IF($B$2="CAD",IFERROR(INDEX('Projekt-Budget-Übersicht'!$I:$I,MATCH(A61,'Projekt-Budget-Übersicht'!$A:$A,0)),""),IF($B$2="ADM",IFERROR(INDEX('Projekt-Budget-Übersicht'!$J:$J,MATCH(A61,'Projekt-Budget-Übersicht'!$A:$A,0)),""),"")))))</f>
        <v/>
      </c>
      <c r="M61" s="11">
        <f>IF($B$2="-","",L61*(F61+I61+K61))</f>
        <v/>
      </c>
      <c r="N61" s="11">
        <f>IFERROR(INDEX('Projekt-Budget-Übersicht'!$E:$E,MATCH(A61,'Projekt-Budget-Übersicht'!$A:$A,0)),"")</f>
        <v/>
      </c>
      <c r="O61" s="11" t="inlineStr"/>
      <c r="P61" s="11" t="inlineStr"/>
    </row>
    <row r="62">
      <c r="A62" s="4" t="inlineStr">
        <is>
          <t>7355.02 Pfizer-BTB-Aufst-Wärmepumpen-Mooswaldallee-1-Freiburg-Geb-V-H-N</t>
        </is>
      </c>
      <c r="B62" s="4" t="inlineStr">
        <is>
          <t>SV</t>
        </is>
      </c>
      <c r="C62" s="4" t="inlineStr">
        <is>
          <t>G</t>
        </is>
      </c>
      <c r="D62" s="4" t="n">
        <v>20</v>
      </c>
      <c r="E62" s="4" t="n">
        <v>23.5</v>
      </c>
      <c r="F62" s="4" t="n">
        <v>3.75</v>
      </c>
      <c r="G62" s="16" t="n">
        <v>117.5</v>
      </c>
      <c r="H62" s="5" t="n"/>
      <c r="I62" s="5">
        <f>IF(H62=0,"",F62-H62)</f>
        <v/>
      </c>
      <c r="J62" s="4" t="n"/>
      <c r="K62" s="5" t="n">
        <v>0</v>
      </c>
      <c r="L62" s="11">
        <f>IF($B$2="-","",IF($B$2="Pauschale",IFERROR(INDEX('Projekt-Budget-Übersicht'!$H:$H,MATCH(A62,'Projekt-Budget-Übersicht'!$A:$A,0)),""),IF($B$2="SV",IFERROR(INDEX('Projekt-Budget-Übersicht'!$H:$H,MATCH(A62,'Projekt-Budget-Übersicht'!$A:$A,0)),""),IF($B$2="CAD",IFERROR(INDEX('Projekt-Budget-Übersicht'!$I:$I,MATCH(A62,'Projekt-Budget-Übersicht'!$A:$A,0)),""),IF($B$2="ADM",IFERROR(INDEX('Projekt-Budget-Übersicht'!$J:$J,MATCH(A62,'Projekt-Budget-Übersicht'!$A:$A,0)),""),"")))))</f>
        <v/>
      </c>
      <c r="M62" s="11">
        <f>IF($B$2="-","",L62*(F62+I62+K62))</f>
        <v/>
      </c>
      <c r="N62" s="11">
        <f>IFERROR(INDEX('Projekt-Budget-Übersicht'!$E:$E,MATCH(A62,'Projekt-Budget-Übersicht'!$A:$A,0)),"")</f>
        <v/>
      </c>
      <c r="O62" s="11" t="inlineStr"/>
      <c r="P62" s="11" t="inlineStr"/>
    </row>
    <row r="63">
      <c r="A63" s="4" t="inlineStr">
        <is>
          <t>7365 UI-BTB-StGeorgenerStr-Freiburg-Breisgaucenter</t>
        </is>
      </c>
      <c r="B63" s="4" t="inlineStr">
        <is>
          <t>(aN) Pos. 1 Brandschutztechnische Beratung während der Planungsphase</t>
        </is>
      </c>
      <c r="C63" s="4" t="inlineStr">
        <is>
          <t>G</t>
        </is>
      </c>
      <c r="D63" s="4" t="n">
        <v>100</v>
      </c>
      <c r="E63" s="4" t="n">
        <v>88.75</v>
      </c>
      <c r="F63" s="4" t="n">
        <v>0.25</v>
      </c>
      <c r="G63" s="17" t="n">
        <v>88.75</v>
      </c>
      <c r="H63" s="5" t="n"/>
      <c r="I63" s="5">
        <f>IF(H63=0,"",F63-H63)</f>
        <v/>
      </c>
      <c r="J63" s="4" t="n"/>
      <c r="K63" s="5" t="n">
        <v>0</v>
      </c>
      <c r="L63" s="11">
        <f>IF($B$2="-","",IF($B$2="Pauschale",IFERROR(INDEX('Projekt-Budget-Übersicht'!$H:$H,MATCH(A63,'Projekt-Budget-Übersicht'!$A:$A,0)),""),IF($B$2="SV",IFERROR(INDEX('Projekt-Budget-Übersicht'!$H:$H,MATCH(A63,'Projekt-Budget-Übersicht'!$A:$A,0)),""),IF($B$2="CAD",IFERROR(INDEX('Projekt-Budget-Übersicht'!$I:$I,MATCH(A63,'Projekt-Budget-Übersicht'!$A:$A,0)),""),IF($B$2="ADM",IFERROR(INDEX('Projekt-Budget-Übersicht'!$J:$J,MATCH(A63,'Projekt-Budget-Übersicht'!$A:$A,0)),""),"")))))</f>
        <v/>
      </c>
      <c r="M63" s="11">
        <f>IF($B$2="-","",L63*(F63+I63+K63))</f>
        <v/>
      </c>
      <c r="N63" s="11">
        <f>IFERROR(INDEX('Projekt-Budget-Übersicht'!$E:$E,MATCH(A63,'Projekt-Budget-Übersicht'!$A:$A,0)),"")</f>
        <v/>
      </c>
      <c r="O63" s="11" t="inlineStr"/>
      <c r="P63" s="11" t="inlineStr"/>
    </row>
    <row r="64">
      <c r="A64" s="13" t="inlineStr">
        <is>
          <t>7800.01 LBB-RV-KL-MunLgr-KRI-TP04-MAH-Wasenbacher-Höhe-Kriegsfeld</t>
        </is>
      </c>
      <c r="B64" s="4" t="inlineStr">
        <is>
          <t>(p) 5 Besprechungen á 4 h Brandschutz nicht gebündet behandelt</t>
        </is>
      </c>
      <c r="C64" s="4" t="inlineStr">
        <is>
          <t>G</t>
        </is>
      </c>
      <c r="D64" s="4" t="n">
        <v>40</v>
      </c>
      <c r="E64" s="4" t="n">
        <v>39</v>
      </c>
      <c r="F64" s="4" t="n">
        <v>2</v>
      </c>
      <c r="G64" s="14" t="n">
        <v>97.5</v>
      </c>
      <c r="H64" s="5" t="n"/>
      <c r="I64" s="5">
        <f>IF(H64=0,"",F64-H64)</f>
        <v/>
      </c>
      <c r="J64" s="4" t="n"/>
      <c r="K64" s="5" t="n">
        <v>0</v>
      </c>
      <c r="L64" s="11">
        <f>IF($B$2="-","",IF($B$2="Pauschale",IFERROR(INDEX('Projekt-Budget-Übersicht'!$H:$H,MATCH(A64,'Projekt-Budget-Übersicht'!$A:$A,0)),""),IF($B$2="SV",IFERROR(INDEX('Projekt-Budget-Übersicht'!$H:$H,MATCH(A64,'Projekt-Budget-Übersicht'!$A:$A,0)),""),IF($B$2="CAD",IFERROR(INDEX('Projekt-Budget-Übersicht'!$I:$I,MATCH(A64,'Projekt-Budget-Übersicht'!$A:$A,0)),""),IF($B$2="ADM",IFERROR(INDEX('Projekt-Budget-Übersicht'!$J:$J,MATCH(A64,'Projekt-Budget-Übersicht'!$A:$A,0)),""),"")))))</f>
        <v/>
      </c>
      <c r="M64" s="11">
        <f>IF($B$2="-","",L64*(F64+I64+K64))</f>
        <v/>
      </c>
      <c r="N64" s="11">
        <f>IFERROR(INDEX('Projekt-Budget-Übersicht'!$E:$E,MATCH(A64,'Projekt-Budget-Übersicht'!$A:$A,0)),"")</f>
        <v/>
      </c>
      <c r="O64" s="11" t="inlineStr"/>
      <c r="P64" s="11" t="inlineStr"/>
    </row>
    <row r="65">
      <c r="A65" s="21" t="n"/>
      <c r="B65" s="4" t="inlineStr">
        <is>
          <t>(p) Besprechungen Brandschutz gebündelt</t>
        </is>
      </c>
      <c r="C65" s="4" t="inlineStr">
        <is>
          <t>G</t>
        </is>
      </c>
      <c r="D65" s="4" t="n">
        <v>0</v>
      </c>
      <c r="E65" s="4" t="n">
        <v>4</v>
      </c>
      <c r="F65" s="4" t="n">
        <v>1.25</v>
      </c>
      <c r="G65" s="4" t="n">
        <v>0</v>
      </c>
      <c r="H65" s="5" t="n"/>
      <c r="I65" s="5">
        <f>IF(H65=0,"",F65-H65)</f>
        <v/>
      </c>
      <c r="J65" s="4" t="n"/>
      <c r="K65" s="5" t="n">
        <v>0</v>
      </c>
      <c r="L65" s="11">
        <f>IF($B$2="-","",IF($B$2="Pauschale",IFERROR(INDEX('Projekt-Budget-Übersicht'!$H:$H,MATCH(A65,'Projekt-Budget-Übersicht'!$A:$A,0)),""),IF($B$2="SV",IFERROR(INDEX('Projekt-Budget-Übersicht'!$H:$H,MATCH(A65,'Projekt-Budget-Übersicht'!$A:$A,0)),""),IF($B$2="CAD",IFERROR(INDEX('Projekt-Budget-Übersicht'!$I:$I,MATCH(A65,'Projekt-Budget-Übersicht'!$A:$A,0)),""),IF($B$2="ADM",IFERROR(INDEX('Projekt-Budget-Übersicht'!$J:$J,MATCH(A65,'Projekt-Budget-Übersicht'!$A:$A,0)),""),"")))))</f>
        <v/>
      </c>
      <c r="M65" s="11">
        <f>IF($B$2="-","",L65*(F65+I65+K65))</f>
        <v/>
      </c>
      <c r="N65" s="11">
        <f>IFERROR(INDEX('Projekt-Budget-Übersicht'!$E:$E,MATCH(A65,'Projekt-Budget-Übersicht'!$A:$A,0)),"")</f>
        <v/>
      </c>
      <c r="O65" s="11" t="inlineStr"/>
      <c r="P65" s="11" t="inlineStr"/>
    </row>
    <row r="66">
      <c r="A66" s="15" t="n"/>
      <c r="B66" s="4" t="inlineStr">
        <is>
          <t>(p) LP 1+2 RL (SV)</t>
        </is>
      </c>
      <c r="C66" s="4" t="inlineStr">
        <is>
          <t>G</t>
        </is>
      </c>
      <c r="D66" s="4" t="n">
        <v>47</v>
      </c>
      <c r="E66" s="4" t="n">
        <v>92.25</v>
      </c>
      <c r="F66" s="4" t="n">
        <v>4.25</v>
      </c>
      <c r="G66" s="16" t="n">
        <v>196.28</v>
      </c>
      <c r="H66" s="5" t="n"/>
      <c r="I66" s="5">
        <f>IF(H66=0,"",F66-H66)</f>
        <v/>
      </c>
      <c r="J66" s="4" t="n"/>
      <c r="K66" s="5" t="n">
        <v>0</v>
      </c>
      <c r="L66" s="11">
        <f>IF($B$2="-","",IF($B$2="Pauschale",IFERROR(INDEX('Projekt-Budget-Übersicht'!$H:$H,MATCH(A66,'Projekt-Budget-Übersicht'!$A:$A,0)),""),IF($B$2="SV",IFERROR(INDEX('Projekt-Budget-Übersicht'!$H:$H,MATCH(A66,'Projekt-Budget-Übersicht'!$A:$A,0)),""),IF($B$2="CAD",IFERROR(INDEX('Projekt-Budget-Übersicht'!$I:$I,MATCH(A66,'Projekt-Budget-Übersicht'!$A:$A,0)),""),IF($B$2="ADM",IFERROR(INDEX('Projekt-Budget-Übersicht'!$J:$J,MATCH(A66,'Projekt-Budget-Übersicht'!$A:$A,0)),""),"")))))</f>
        <v/>
      </c>
      <c r="M66" s="11">
        <f>IF($B$2="-","",L66*(F66+I66+K66))</f>
        <v/>
      </c>
      <c r="N66" s="11">
        <f>IFERROR(INDEX('Projekt-Budget-Übersicht'!$E:$E,MATCH(A66,'Projekt-Budget-Übersicht'!$A:$A,0)),"")</f>
        <v/>
      </c>
      <c r="O66" s="11" t="inlineStr"/>
      <c r="P66" s="11" t="inlineStr"/>
    </row>
    <row r="67">
      <c r="A67" s="13" t="inlineStr">
        <is>
          <t>7800.02 LBB-RV-KL-MunLgr-KRI-TP06-MLH-WasenbacherHöhe-Kriegsfeld</t>
        </is>
      </c>
      <c r="B67" s="4" t="inlineStr">
        <is>
          <t>(p) 5 Besprechungen á 4 h Brandschutz nicht gebündet behandelt</t>
        </is>
      </c>
      <c r="C67" s="4" t="inlineStr">
        <is>
          <t>G</t>
        </is>
      </c>
      <c r="D67" s="4" t="n">
        <v>20</v>
      </c>
      <c r="E67" s="4" t="n">
        <v>38</v>
      </c>
      <c r="F67" s="4" t="n">
        <v>2.75</v>
      </c>
      <c r="G67" s="16" t="n">
        <v>190</v>
      </c>
      <c r="H67" s="5" t="n"/>
      <c r="I67" s="5">
        <f>IF(H67=0,"",F67-H67)</f>
        <v/>
      </c>
      <c r="J67" s="4" t="n"/>
      <c r="K67" s="5" t="n">
        <v>0</v>
      </c>
      <c r="L67" s="11">
        <f>IF($B$2="-","",IF($B$2="Pauschale",IFERROR(INDEX('Projekt-Budget-Übersicht'!$H:$H,MATCH(A67,'Projekt-Budget-Übersicht'!$A:$A,0)),""),IF($B$2="SV",IFERROR(INDEX('Projekt-Budget-Übersicht'!$H:$H,MATCH(A67,'Projekt-Budget-Übersicht'!$A:$A,0)),""),IF($B$2="CAD",IFERROR(INDEX('Projekt-Budget-Übersicht'!$I:$I,MATCH(A67,'Projekt-Budget-Übersicht'!$A:$A,0)),""),IF($B$2="ADM",IFERROR(INDEX('Projekt-Budget-Übersicht'!$J:$J,MATCH(A67,'Projekt-Budget-Übersicht'!$A:$A,0)),""),"")))))</f>
        <v/>
      </c>
      <c r="M67" s="11">
        <f>IF($B$2="-","",L67*(F67+I67+K67))</f>
        <v/>
      </c>
      <c r="N67" s="11">
        <f>IFERROR(INDEX('Projekt-Budget-Übersicht'!$E:$E,MATCH(A67,'Projekt-Budget-Übersicht'!$A:$A,0)),"")</f>
        <v/>
      </c>
      <c r="O67" s="11" t="inlineStr"/>
      <c r="P67" s="11" t="inlineStr"/>
    </row>
    <row r="68">
      <c r="A68" s="21" t="n"/>
      <c r="B68" s="4" t="inlineStr">
        <is>
          <t>(p) Besprechungen Brandschutz gebündelt</t>
        </is>
      </c>
      <c r="C68" s="4" t="inlineStr">
        <is>
          <t>G</t>
        </is>
      </c>
      <c r="D68" s="4" t="n">
        <v>0</v>
      </c>
      <c r="E68" s="4" t="n">
        <v>4.25</v>
      </c>
      <c r="F68" s="4" t="n">
        <v>1.25</v>
      </c>
      <c r="G68" s="4" t="n">
        <v>0</v>
      </c>
      <c r="H68" s="5" t="n"/>
      <c r="I68" s="5">
        <f>IF(H68=0,"",F68-H68)</f>
        <v/>
      </c>
      <c r="J68" s="4" t="n"/>
      <c r="K68" s="5" t="n">
        <v>0</v>
      </c>
      <c r="L68" s="11">
        <f>IF($B$2="-","",IF($B$2="Pauschale",IFERROR(INDEX('Projekt-Budget-Übersicht'!$H:$H,MATCH(A68,'Projekt-Budget-Übersicht'!$A:$A,0)),""),IF($B$2="SV",IFERROR(INDEX('Projekt-Budget-Übersicht'!$H:$H,MATCH(A68,'Projekt-Budget-Übersicht'!$A:$A,0)),""),IF($B$2="CAD",IFERROR(INDEX('Projekt-Budget-Übersicht'!$I:$I,MATCH(A68,'Projekt-Budget-Übersicht'!$A:$A,0)),""),IF($B$2="ADM",IFERROR(INDEX('Projekt-Budget-Übersicht'!$J:$J,MATCH(A68,'Projekt-Budget-Übersicht'!$A:$A,0)),""),"")))))</f>
        <v/>
      </c>
      <c r="M68" s="11">
        <f>IF($B$2="-","",L68*(F68+I68+K68))</f>
        <v/>
      </c>
      <c r="N68" s="11">
        <f>IFERROR(INDEX('Projekt-Budget-Übersicht'!$E:$E,MATCH(A68,'Projekt-Budget-Übersicht'!$A:$A,0)),"")</f>
        <v/>
      </c>
      <c r="O68" s="11" t="inlineStr"/>
      <c r="P68" s="11" t="inlineStr"/>
    </row>
    <row r="69">
      <c r="A69" s="15" t="n"/>
      <c r="B69" s="4" t="inlineStr">
        <is>
          <t>(p) LP 1+2 RL (SV)</t>
        </is>
      </c>
      <c r="C69" s="4" t="inlineStr">
        <is>
          <t>G</t>
        </is>
      </c>
      <c r="D69" s="4" t="n">
        <v>3</v>
      </c>
      <c r="E69" s="4" t="n">
        <v>66.5</v>
      </c>
      <c r="F69" s="4" t="n">
        <v>2.25</v>
      </c>
      <c r="G69" s="16" t="n">
        <v>2216.67</v>
      </c>
      <c r="H69" s="5" t="n"/>
      <c r="I69" s="5">
        <f>IF(H69=0,"",F69-H69)</f>
        <v/>
      </c>
      <c r="J69" s="4" t="n"/>
      <c r="K69" s="5" t="n">
        <v>0</v>
      </c>
      <c r="L69" s="11">
        <f>IF($B$2="-","",IF($B$2="Pauschale",IFERROR(INDEX('Projekt-Budget-Übersicht'!$H:$H,MATCH(A69,'Projekt-Budget-Übersicht'!$A:$A,0)),""),IF($B$2="SV",IFERROR(INDEX('Projekt-Budget-Übersicht'!$H:$H,MATCH(A69,'Projekt-Budget-Übersicht'!$A:$A,0)),""),IF($B$2="CAD",IFERROR(INDEX('Projekt-Budget-Übersicht'!$I:$I,MATCH(A69,'Projekt-Budget-Übersicht'!$A:$A,0)),""),IF($B$2="ADM",IFERROR(INDEX('Projekt-Budget-Übersicht'!$J:$J,MATCH(A69,'Projekt-Budget-Übersicht'!$A:$A,0)),""),"")))))</f>
        <v/>
      </c>
      <c r="M69" s="11">
        <f>IF($B$2="-","",L69*(F69+I69+K69))</f>
        <v/>
      </c>
      <c r="N69" s="11">
        <f>IFERROR(INDEX('Projekt-Budget-Übersicht'!$E:$E,MATCH(A69,'Projekt-Budget-Übersicht'!$A:$A,0)),"")</f>
        <v/>
      </c>
      <c r="O69" s="11" t="inlineStr"/>
      <c r="P69" s="11" t="inlineStr"/>
    </row>
    <row r="70">
      <c r="A70" s="3" t="inlineStr"/>
      <c r="B70" s="3" t="inlineStr">
        <is>
          <t>Summe</t>
        </is>
      </c>
      <c r="C70" s="3" t="inlineStr"/>
      <c r="D70" s="3" t="inlineStr"/>
      <c r="E70" s="3" t="inlineStr"/>
      <c r="F70" s="6" t="n">
        <v>50.5</v>
      </c>
      <c r="G70" s="3" t="inlineStr"/>
      <c r="H70" s="3" t="inlineStr"/>
      <c r="I70" s="3" t="inlineStr"/>
      <c r="J70" s="3" t="inlineStr"/>
      <c r="K70" s="3" t="inlineStr"/>
      <c r="L70" s="3" t="n"/>
      <c r="M70" s="3" t="n"/>
      <c r="N70" s="3" t="n"/>
      <c r="O70" s="3" t="n"/>
      <c r="P70" s="3" t="n"/>
    </row>
    <row r="71">
      <c r="A71" s="3" t="inlineStr"/>
      <c r="B71" s="3" t="inlineStr">
        <is>
          <t>Bonusberechtigte Stunden</t>
        </is>
      </c>
      <c r="C71" s="3" t="inlineStr"/>
      <c r="D71" s="3" t="inlineStr"/>
      <c r="E71" s="3" t="inlineStr"/>
      <c r="F71" s="6">
        <f>G71+H71</f>
        <v/>
      </c>
      <c r="G71" s="6" t="n">
        <v>15.75</v>
      </c>
      <c r="H71" s="6">
        <f>SUM(H55,H56,H57,H58,H59,H60,H61,H62,H63,H64,H65,H66,H67,H68,H69)</f>
        <v/>
      </c>
      <c r="I71" s="3" t="inlineStr"/>
      <c r="J71" s="3" t="inlineStr"/>
      <c r="K71" s="3" t="inlineStr"/>
      <c r="L71" s="3" t="inlineStr"/>
      <c r="M71" s="3" t="inlineStr"/>
      <c r="N71" s="3" t="inlineStr"/>
      <c r="O71" s="3" t="inlineStr"/>
      <c r="P71" s="3" t="inlineStr"/>
    </row>
    <row r="72">
      <c r="A72" s="3" t="inlineStr"/>
      <c r="B72" s="3" t="inlineStr">
        <is>
          <t>Bonusberechtigte Stunden Sonderprojekt</t>
        </is>
      </c>
      <c r="C72" s="3" t="inlineStr"/>
      <c r="D72" s="3" t="inlineStr"/>
      <c r="E72" s="3" t="inlineStr"/>
      <c r="F72" s="6" t="n">
        <v>0</v>
      </c>
      <c r="G72" s="6" t="n">
        <v>0</v>
      </c>
      <c r="H72" s="6" t="n">
        <v>0</v>
      </c>
      <c r="I72" s="3" t="inlineStr"/>
      <c r="J72" s="3" t="inlineStr"/>
      <c r="K72" s="3" t="inlineStr"/>
      <c r="L72" s="3" t="inlineStr"/>
      <c r="M72" s="3" t="inlineStr"/>
      <c r="N72" s="3" t="inlineStr"/>
      <c r="O72" s="3" t="inlineStr"/>
      <c r="P72" s="3" t="inlineStr"/>
    </row>
    <row r="73">
      <c r="A73" s="3" t="inlineStr"/>
      <c r="B73" s="3" t="inlineStr">
        <is>
          <t>Zugeordnete Stunden von anderen MA</t>
        </is>
      </c>
      <c r="C73" s="3" t="inlineStr"/>
      <c r="D73" s="3" t="inlineStr"/>
      <c r="E73" s="3" t="inlineStr"/>
      <c r="F73" s="6">
        <f>SUM(K55:K69)</f>
        <v/>
      </c>
      <c r="G73" s="3" t="inlineStr"/>
      <c r="H73" s="3" t="inlineStr"/>
      <c r="I73" s="3" t="inlineStr"/>
      <c r="J73" s="3" t="inlineStr"/>
      <c r="K73" s="3" t="inlineStr"/>
      <c r="L73" s="3" t="inlineStr"/>
      <c r="M73" s="3" t="inlineStr"/>
      <c r="N73" s="3" t="inlineStr"/>
      <c r="O73" s="3" t="inlineStr"/>
      <c r="P73" s="3" t="inlineStr"/>
    </row>
    <row r="74">
      <c r="A74" s="18" t="inlineStr"/>
      <c r="B74" s="18" t="inlineStr">
        <is>
          <t>Gesamt Bonus Stunden</t>
        </is>
      </c>
      <c r="C74" s="18" t="inlineStr"/>
      <c r="D74" s="18" t="inlineStr"/>
      <c r="E74" s="18" t="inlineStr"/>
      <c r="F74" s="19">
        <f>F71+F72+F73</f>
        <v/>
      </c>
      <c r="G74" s="18" t="inlineStr"/>
      <c r="H74" s="18" t="inlineStr"/>
      <c r="I74" s="18" t="inlineStr"/>
      <c r="J74" s="18" t="inlineStr"/>
      <c r="K74" s="18" t="inlineStr"/>
      <c r="L74" s="18" t="n"/>
      <c r="M74" s="18" t="n"/>
      <c r="N74" s="18" t="n"/>
      <c r="O74" s="18" t="n"/>
      <c r="P74" s="18" t="n"/>
    </row>
    <row r="76">
      <c r="A76" s="2" t="inlineStr">
        <is>
          <t>--- Übertragshilfe ---</t>
        </is>
      </c>
    </row>
    <row r="77">
      <c r="A77" s="3" t="inlineStr">
        <is>
          <t>Monat</t>
        </is>
      </c>
      <c r="B77" s="3" t="inlineStr">
        <is>
          <t>Mitarbeiter</t>
        </is>
      </c>
      <c r="C77" s="3" t="inlineStr">
        <is>
          <t>Prod. Stunden</t>
        </is>
      </c>
      <c r="D77" s="3" t="inlineStr">
        <is>
          <t>Bonusberechtigte Stunden</t>
        </is>
      </c>
      <c r="E77" s="3" t="inlineStr">
        <is>
          <t>Bonusberechtigte Stunden Sonderprojekt</t>
        </is>
      </c>
      <c r="F77" s="3" t="inlineStr">
        <is>
          <t>Zugeordnet von anderen</t>
        </is>
      </c>
      <c r="G77" s="3" t="inlineStr">
        <is>
          <t>Gesamt Bonus</t>
        </is>
      </c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</row>
    <row r="78">
      <c r="A78" s="4" t="inlineStr">
        <is>
          <t>Juli 2025</t>
        </is>
      </c>
      <c r="B78" s="4" t="inlineStr">
        <is>
          <t>R. Böttiger</t>
        </is>
      </c>
      <c r="C78" s="4">
        <f>F23</f>
        <v/>
      </c>
      <c r="D78" s="4">
        <f>F24</f>
        <v/>
      </c>
      <c r="E78" s="4">
        <f>F25</f>
        <v/>
      </c>
      <c r="F78" s="4">
        <f>F26</f>
        <v/>
      </c>
      <c r="G78" s="4">
        <f>F27</f>
        <v/>
      </c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</row>
    <row r="79">
      <c r="A79" s="4" t="inlineStr">
        <is>
          <t>August 2025</t>
        </is>
      </c>
      <c r="B79" s="4" t="inlineStr">
        <is>
          <t>R. Böttiger</t>
        </is>
      </c>
      <c r="C79" s="4">
        <f>F47</f>
        <v/>
      </c>
      <c r="D79" s="4">
        <f>F48</f>
        <v/>
      </c>
      <c r="E79" s="4">
        <f>F49</f>
        <v/>
      </c>
      <c r="F79" s="4">
        <f>F50</f>
        <v/>
      </c>
      <c r="G79" s="4">
        <f>F51</f>
        <v/>
      </c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</row>
    <row r="80">
      <c r="A80" s="4" t="inlineStr">
        <is>
          <t>September 2025</t>
        </is>
      </c>
      <c r="B80" s="4" t="inlineStr">
        <is>
          <t>R. Böttiger</t>
        </is>
      </c>
      <c r="C80" s="4">
        <f>F70</f>
        <v/>
      </c>
      <c r="D80" s="4">
        <f>F71</f>
        <v/>
      </c>
      <c r="E80" s="4">
        <f>F72</f>
        <v/>
      </c>
      <c r="F80" s="4">
        <f>F73</f>
        <v/>
      </c>
      <c r="G80" s="4">
        <f>F74</f>
        <v/>
      </c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</row>
    <row r="83">
      <c r="A83" s="2" t="inlineStr">
        <is>
          <t>--- Gesamtstunden 2025Q3 ---</t>
        </is>
      </c>
    </row>
    <row r="84">
      <c r="A84" s="12" t="inlineStr">
        <is>
          <t>Gesamt eingetragene Stunden:</t>
        </is>
      </c>
      <c r="B84" s="12" t="n">
        <v>325.5</v>
      </c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  <c r="P84" s="12" t="n"/>
    </row>
    <row r="85">
      <c r="A85" s="12" t="inlineStr">
        <is>
          <t>Bonusberechtigte Stunden (Quartal):</t>
        </is>
      </c>
      <c r="B85" s="20">
        <f>SUM(F24,F48,F71)</f>
        <v/>
      </c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</row>
    <row r="86">
      <c r="A86" s="12" t="inlineStr">
        <is>
          <t>Bonusberechtigte Stunden Sonderprojekt (Quartal):</t>
        </is>
      </c>
      <c r="B86" s="20">
        <f>SUM(F25,F49,F72)</f>
        <v/>
      </c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  <c r="O86" s="12" t="n"/>
      <c r="P86" s="12" t="n"/>
    </row>
  </sheetData>
  <mergeCells count="9">
    <mergeCell ref="A43:A44"/>
    <mergeCell ref="A67:A69"/>
    <mergeCell ref="A33:A34"/>
    <mergeCell ref="A7:A8"/>
    <mergeCell ref="A45:A46"/>
    <mergeCell ref="A64:A66"/>
    <mergeCell ref="A19:A20"/>
    <mergeCell ref="A9:A11"/>
    <mergeCell ref="A21:A22"/>
  </mergeCells>
  <conditionalFormatting sqref="I6">
    <cfRule type="cellIs" priority="1" operator="lessThan" dxfId="0" stopIfTrue="1">
      <formula>0</formula>
    </cfRule>
  </conditionalFormatting>
  <conditionalFormatting sqref="I7">
    <cfRule type="cellIs" priority="2" operator="lessThan" dxfId="0" stopIfTrue="1">
      <formula>0</formula>
    </cfRule>
  </conditionalFormatting>
  <conditionalFormatting sqref="I8">
    <cfRule type="cellIs" priority="3" operator="lessThan" dxfId="0" stopIfTrue="1">
      <formula>0</formula>
    </cfRule>
  </conditionalFormatting>
  <conditionalFormatting sqref="I9">
    <cfRule type="cellIs" priority="4" operator="lessThan" dxfId="0" stopIfTrue="1">
      <formula>0</formula>
    </cfRule>
  </conditionalFormatting>
  <conditionalFormatting sqref="I10">
    <cfRule type="cellIs" priority="5" operator="lessThan" dxfId="0" stopIfTrue="1">
      <formula>0</formula>
    </cfRule>
  </conditionalFormatting>
  <conditionalFormatting sqref="I11">
    <cfRule type="cellIs" priority="6" operator="lessThan" dxfId="0" stopIfTrue="1">
      <formula>0</formula>
    </cfRule>
  </conditionalFormatting>
  <conditionalFormatting sqref="I12">
    <cfRule type="cellIs" priority="7" operator="lessThan" dxfId="0" stopIfTrue="1">
      <formula>0</formula>
    </cfRule>
  </conditionalFormatting>
  <conditionalFormatting sqref="I13">
    <cfRule type="cellIs" priority="8" operator="lessThan" dxfId="0" stopIfTrue="1">
      <formula>0</formula>
    </cfRule>
  </conditionalFormatting>
  <conditionalFormatting sqref="I14">
    <cfRule type="cellIs" priority="9" operator="lessThan" dxfId="0" stopIfTrue="1">
      <formula>0</formula>
    </cfRule>
  </conditionalFormatting>
  <conditionalFormatting sqref="I15">
    <cfRule type="cellIs" priority="10" operator="lessThan" dxfId="0" stopIfTrue="1">
      <formula>0</formula>
    </cfRule>
  </conditionalFormatting>
  <conditionalFormatting sqref="I16">
    <cfRule type="cellIs" priority="11" operator="lessThan" dxfId="0" stopIfTrue="1">
      <formula>0</formula>
    </cfRule>
  </conditionalFormatting>
  <conditionalFormatting sqref="I17">
    <cfRule type="cellIs" priority="12" operator="lessThan" dxfId="0" stopIfTrue="1">
      <formula>0</formula>
    </cfRule>
  </conditionalFormatting>
  <conditionalFormatting sqref="I18">
    <cfRule type="cellIs" priority="13" operator="lessThan" dxfId="0" stopIfTrue="1">
      <formula>0</formula>
    </cfRule>
  </conditionalFormatting>
  <conditionalFormatting sqref="I19">
    <cfRule type="cellIs" priority="14" operator="lessThan" dxfId="0" stopIfTrue="1">
      <formula>0</formula>
    </cfRule>
  </conditionalFormatting>
  <conditionalFormatting sqref="I20">
    <cfRule type="cellIs" priority="15" operator="lessThan" dxfId="0" stopIfTrue="1">
      <formula>0</formula>
    </cfRule>
  </conditionalFormatting>
  <conditionalFormatting sqref="I21">
    <cfRule type="cellIs" priority="16" operator="lessThan" dxfId="0" stopIfTrue="1">
      <formula>0</formula>
    </cfRule>
  </conditionalFormatting>
  <conditionalFormatting sqref="I22">
    <cfRule type="cellIs" priority="17" operator="lessThan" dxfId="0" stopIfTrue="1">
      <formula>0</formula>
    </cfRule>
  </conditionalFormatting>
  <conditionalFormatting sqref="I31">
    <cfRule type="cellIs" priority="18" operator="lessThan" dxfId="0" stopIfTrue="1">
      <formula>0</formula>
    </cfRule>
  </conditionalFormatting>
  <conditionalFormatting sqref="I32">
    <cfRule type="cellIs" priority="19" operator="lessThan" dxfId="0" stopIfTrue="1">
      <formula>0</formula>
    </cfRule>
  </conditionalFormatting>
  <conditionalFormatting sqref="I33">
    <cfRule type="cellIs" priority="20" operator="lessThan" dxfId="0" stopIfTrue="1">
      <formula>0</formula>
    </cfRule>
  </conditionalFormatting>
  <conditionalFormatting sqref="I34">
    <cfRule type="cellIs" priority="21" operator="lessThan" dxfId="0" stopIfTrue="1">
      <formula>0</formula>
    </cfRule>
  </conditionalFormatting>
  <conditionalFormatting sqref="I35">
    <cfRule type="cellIs" priority="22" operator="lessThan" dxfId="0" stopIfTrue="1">
      <formula>0</formula>
    </cfRule>
  </conditionalFormatting>
  <conditionalFormatting sqref="I36">
    <cfRule type="cellIs" priority="23" operator="lessThan" dxfId="0" stopIfTrue="1">
      <formula>0</formula>
    </cfRule>
  </conditionalFormatting>
  <conditionalFormatting sqref="I37">
    <cfRule type="cellIs" priority="24" operator="lessThan" dxfId="0" stopIfTrue="1">
      <formula>0</formula>
    </cfRule>
  </conditionalFormatting>
  <conditionalFormatting sqref="I38">
    <cfRule type="cellIs" priority="25" operator="lessThan" dxfId="0" stopIfTrue="1">
      <formula>0</formula>
    </cfRule>
  </conditionalFormatting>
  <conditionalFormatting sqref="I39">
    <cfRule type="cellIs" priority="26" operator="lessThan" dxfId="0" stopIfTrue="1">
      <formula>0</formula>
    </cfRule>
  </conditionalFormatting>
  <conditionalFormatting sqref="I40">
    <cfRule type="cellIs" priority="27" operator="lessThan" dxfId="0" stopIfTrue="1">
      <formula>0</formula>
    </cfRule>
  </conditionalFormatting>
  <conditionalFormatting sqref="I41">
    <cfRule type="cellIs" priority="28" operator="lessThan" dxfId="0" stopIfTrue="1">
      <formula>0</formula>
    </cfRule>
  </conditionalFormatting>
  <conditionalFormatting sqref="I42">
    <cfRule type="cellIs" priority="29" operator="lessThan" dxfId="0" stopIfTrue="1">
      <formula>0</formula>
    </cfRule>
  </conditionalFormatting>
  <conditionalFormatting sqref="I43">
    <cfRule type="cellIs" priority="30" operator="lessThan" dxfId="0" stopIfTrue="1">
      <formula>0</formula>
    </cfRule>
  </conditionalFormatting>
  <conditionalFormatting sqref="I44">
    <cfRule type="cellIs" priority="31" operator="lessThan" dxfId="0" stopIfTrue="1">
      <formula>0</formula>
    </cfRule>
  </conditionalFormatting>
  <conditionalFormatting sqref="I45">
    <cfRule type="cellIs" priority="32" operator="lessThan" dxfId="0" stopIfTrue="1">
      <formula>0</formula>
    </cfRule>
  </conditionalFormatting>
  <conditionalFormatting sqref="I46">
    <cfRule type="cellIs" priority="33" operator="lessThan" dxfId="0" stopIfTrue="1">
      <formula>0</formula>
    </cfRule>
  </conditionalFormatting>
  <conditionalFormatting sqref="I55">
    <cfRule type="cellIs" priority="34" operator="lessThan" dxfId="0" stopIfTrue="1">
      <formula>0</formula>
    </cfRule>
  </conditionalFormatting>
  <conditionalFormatting sqref="I56">
    <cfRule type="cellIs" priority="35" operator="lessThan" dxfId="0" stopIfTrue="1">
      <formula>0</formula>
    </cfRule>
  </conditionalFormatting>
  <conditionalFormatting sqref="I57">
    <cfRule type="cellIs" priority="36" operator="lessThan" dxfId="0" stopIfTrue="1">
      <formula>0</formula>
    </cfRule>
  </conditionalFormatting>
  <conditionalFormatting sqref="I58">
    <cfRule type="cellIs" priority="37" operator="lessThan" dxfId="0" stopIfTrue="1">
      <formula>0</formula>
    </cfRule>
  </conditionalFormatting>
  <conditionalFormatting sqref="I59">
    <cfRule type="cellIs" priority="38" operator="lessThan" dxfId="0" stopIfTrue="1">
      <formula>0</formula>
    </cfRule>
  </conditionalFormatting>
  <conditionalFormatting sqref="I60">
    <cfRule type="cellIs" priority="39" operator="lessThan" dxfId="0" stopIfTrue="1">
      <formula>0</formula>
    </cfRule>
  </conditionalFormatting>
  <conditionalFormatting sqref="I61">
    <cfRule type="cellIs" priority="40" operator="lessThan" dxfId="0" stopIfTrue="1">
      <formula>0</formula>
    </cfRule>
  </conditionalFormatting>
  <conditionalFormatting sqref="I62">
    <cfRule type="cellIs" priority="41" operator="lessThan" dxfId="0" stopIfTrue="1">
      <formula>0</formula>
    </cfRule>
  </conditionalFormatting>
  <conditionalFormatting sqref="I63">
    <cfRule type="cellIs" priority="42" operator="lessThan" dxfId="0" stopIfTrue="1">
      <formula>0</formula>
    </cfRule>
  </conditionalFormatting>
  <conditionalFormatting sqref="I64">
    <cfRule type="cellIs" priority="43" operator="lessThan" dxfId="0" stopIfTrue="1">
      <formula>0</formula>
    </cfRule>
  </conditionalFormatting>
  <conditionalFormatting sqref="I65">
    <cfRule type="cellIs" priority="44" operator="lessThan" dxfId="0" stopIfTrue="1">
      <formula>0</formula>
    </cfRule>
  </conditionalFormatting>
  <conditionalFormatting sqref="I66">
    <cfRule type="cellIs" priority="45" operator="lessThan" dxfId="0" stopIfTrue="1">
      <formula>0</formula>
    </cfRule>
  </conditionalFormatting>
  <conditionalFormatting sqref="I67">
    <cfRule type="cellIs" priority="46" operator="lessThan" dxfId="0" stopIfTrue="1">
      <formula>0</formula>
    </cfRule>
  </conditionalFormatting>
  <conditionalFormatting sqref="I68">
    <cfRule type="cellIs" priority="47" operator="lessThan" dxfId="0" stopIfTrue="1">
      <formula>0</formula>
    </cfRule>
  </conditionalFormatting>
  <conditionalFormatting sqref="I69">
    <cfRule type="cellIs" priority="48" operator="lessThan" dxfId="0" stopIfTrue="1">
      <formula>0</formula>
    </cfRule>
  </conditionalFormatting>
  <dataValidations count="27">
    <dataValidation sqref="B2" showDropDown="0" showInputMessage="0" showErrorMessage="0" allowBlank="0" type="list">
      <formula1>"SV,CAD,ADM,Pauschale,-"</formula1>
    </dataValidation>
    <dataValidation sqref="J7" showDropDown="0" showInputMessage="0" showErrorMessage="0" allowBlank="1" type="list">
      <formula1>"E. Bieler"</formula1>
    </dataValidation>
    <dataValidation sqref="J8" showDropDown="0" showInputMessage="0" showErrorMessage="0" allowBlank="1" type="list">
      <formula1>"E. Bieler,J. Dorn"</formula1>
    </dataValidation>
    <dataValidation sqref="J10" showDropDown="0" showInputMessage="0" showErrorMessage="0" allowBlank="1" type="list">
      <formula1>"E. Bieler,J. Dorn"</formula1>
    </dataValidation>
    <dataValidation sqref="J13" showDropDown="0" showInputMessage="0" showErrorMessage="0" allowBlank="1" type="list">
      <formula1>"A. Kokott,E. Bieler,J. Dorchies,J. Dorn,O. Haag BS-CAD,P. Bergner"</formula1>
    </dataValidation>
    <dataValidation sqref="J14" showDropDown="0" showInputMessage="0" showErrorMessage="0" allowBlank="1" type="list">
      <formula1>"E. Bieler,J. Dorchies,J. Dorn"</formula1>
    </dataValidation>
    <dataValidation sqref="J15" showDropDown="0" showInputMessage="0" showErrorMessage="0" allowBlank="1" type="list">
      <formula1>"S. Schüler"</formula1>
    </dataValidation>
    <dataValidation sqref="J16" showDropDown="0" showInputMessage="0" showErrorMessage="0" allowBlank="1" type="list">
      <formula1>"P. Bergner"</formula1>
    </dataValidation>
    <dataValidation sqref="J17" showDropDown="0" showInputMessage="0" showErrorMessage="0" allowBlank="1" type="list">
      <formula1>"T. Trautmann"</formula1>
    </dataValidation>
    <dataValidation sqref="J18" showDropDown="0" showInputMessage="0" showErrorMessage="0" allowBlank="1" type="list">
      <formula1>"A. Kokott"</formula1>
    </dataValidation>
    <dataValidation sqref="J20" showDropDown="0" showInputMessage="0" showErrorMessage="0" allowBlank="1" type="list">
      <formula1>"J. Dorn"</formula1>
    </dataValidation>
    <dataValidation sqref="J22" showDropDown="0" showInputMessage="0" showErrorMessage="0" allowBlank="1" type="list">
      <formula1>"J. Dorn"</formula1>
    </dataValidation>
    <dataValidation sqref="J31" showDropDown="0" showInputMessage="0" showErrorMessage="0" allowBlank="1" type="list">
      <formula1>"A. Kokott,C. Trapp SV,D. Brucker,E. Bieler,J. Dorchies,J. Dorn,O. Haag BS-CAD,P. Bergner,S. Schüler,T. Trautmann,U. Sutter ADM"</formula1>
    </dataValidation>
    <dataValidation sqref="J33" showDropDown="0" showInputMessage="0" showErrorMessage="0" allowBlank="1" type="list">
      <formula1>"E. Bieler,J. Dorn"</formula1>
    </dataValidation>
    <dataValidation sqref="J35" showDropDown="0" showInputMessage="0" showErrorMessage="0" allowBlank="1" type="list">
      <formula1>"E. Bieler,J. Dorn"</formula1>
    </dataValidation>
    <dataValidation sqref="J38" showDropDown="0" showInputMessage="0" showErrorMessage="0" allowBlank="1" type="list">
      <formula1>"P. Bergner"</formula1>
    </dataValidation>
    <dataValidation sqref="J39" showDropDown="0" showInputMessage="0" showErrorMessage="0" allowBlank="1" type="list">
      <formula1>"T. Trautmann"</formula1>
    </dataValidation>
    <dataValidation sqref="J40" showDropDown="0" showInputMessage="0" showErrorMessage="0" allowBlank="1" type="list">
      <formula1>"A. Kokott"</formula1>
    </dataValidation>
    <dataValidation sqref="J41" showDropDown="0" showInputMessage="0" showErrorMessage="0" allowBlank="1" type="list">
      <formula1>"A. Kokott"</formula1>
    </dataValidation>
    <dataValidation sqref="J42" showDropDown="0" showInputMessage="0" showErrorMessage="0" allowBlank="1" type="list">
      <formula1>"H. Bektas,T. Trautmann"</formula1>
    </dataValidation>
    <dataValidation sqref="J44" showDropDown="0" showInputMessage="0" showErrorMessage="0" allowBlank="1" type="list">
      <formula1>"J. Dorn"</formula1>
    </dataValidation>
    <dataValidation sqref="J46" showDropDown="0" showInputMessage="0" showErrorMessage="0" allowBlank="1" type="list">
      <formula1>"J. Dorn"</formula1>
    </dataValidation>
    <dataValidation sqref="J60" showDropDown="0" showInputMessage="0" showErrorMessage="0" allowBlank="1" type="list">
      <formula1>"J. Dorn,T. Trautmann"</formula1>
    </dataValidation>
    <dataValidation sqref="J61" showDropDown="0" showInputMessage="0" showErrorMessage="0" allowBlank="1" type="list">
      <formula1>"P. Bergner"</formula1>
    </dataValidation>
    <dataValidation sqref="J63" showDropDown="0" showInputMessage="0" showErrorMessage="0" allowBlank="1" type="list">
      <formula1>"T. Trautmann"</formula1>
    </dataValidation>
    <dataValidation sqref="J66" showDropDown="0" showInputMessage="0" showErrorMessage="0" allowBlank="1" type="list">
      <formula1>"J. Dorn"</formula1>
    </dataValidation>
    <dataValidation sqref="J69" showDropDown="0" showInputMessage="0" showErrorMessage="0" allowBlank="1" type="list">
      <formula1>"J. Dorn"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79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8" customWidth="1" min="3" max="3"/>
    <col width="12" customWidth="1" min="4" max="4"/>
    <col width="12" customWidth="1" min="5" max="5"/>
    <col width="12" customWidth="1" min="6" max="6"/>
    <col width="8" customWidth="1" min="7" max="7"/>
    <col width="16" customWidth="1" min="8" max="8"/>
    <col width="12" customWidth="1" min="9" max="9"/>
    <col width="25" customWidth="1" min="10" max="10"/>
    <col width="15" customWidth="1" min="11" max="11"/>
    <col width="18" customWidth="1" min="12" max="12"/>
    <col width="15" customWidth="1" min="13" max="13"/>
    <col width="18" customWidth="1" min="14" max="14"/>
    <col width="15" customWidth="1" min="15" max="15"/>
    <col width="22" customWidth="1" min="16" max="16"/>
  </cols>
  <sheetData>
    <row r="1">
      <c r="A1" t="inlineStr">
        <is>
          <t>R. Wagen CAD - Quartalsreport 2025Q3</t>
        </is>
      </c>
    </row>
    <row r="2">
      <c r="A2" s="12" t="inlineStr">
        <is>
          <t>Position:</t>
        </is>
      </c>
      <c r="B2" t="inlineStr">
        <is>
          <t>SV</t>
        </is>
      </c>
    </row>
    <row r="4">
      <c r="A4" s="2" t="inlineStr">
        <is>
          <t>--- Juli 2025 ---</t>
        </is>
      </c>
    </row>
    <row r="5">
      <c r="A5" s="3" t="inlineStr">
        <is>
          <t>Projekt</t>
        </is>
      </c>
      <c r="B5" s="3" t="inlineStr">
        <is>
          <t>Meilenstein</t>
        </is>
      </c>
      <c r="C5" s="3" t="inlineStr">
        <is>
          <t>Typ</t>
        </is>
      </c>
      <c r="D5" s="3" t="inlineStr">
        <is>
          <t>Soll (h)</t>
        </is>
      </c>
      <c r="E5" s="3" t="inlineStr">
        <is>
          <t>Ist (h)</t>
        </is>
      </c>
      <c r="F5" s="3" t="inlineStr">
        <is>
          <t>Juli 2025 (h)</t>
        </is>
      </c>
      <c r="G5" s="3" t="inlineStr">
        <is>
          <t>%</t>
        </is>
      </c>
      <c r="H5" s="3" t="inlineStr">
        <is>
          <t>Bonus-Anpassung (h)</t>
        </is>
      </c>
      <c r="I5" s="3" t="inlineStr">
        <is>
          <t>Differenz (h)</t>
        </is>
      </c>
      <c r="J5" s="3" t="inlineStr">
        <is>
          <t>Zuordnen an</t>
        </is>
      </c>
      <c r="K5" s="3" t="inlineStr">
        <is>
          <t>Von anderen (h)</t>
        </is>
      </c>
      <c r="L5" s="3" t="inlineStr">
        <is>
          <t>Stundensatz (€/h)</t>
        </is>
      </c>
      <c r="M5" s="3" t="inlineStr">
        <is>
          <t>Umsatz (€)</t>
        </is>
      </c>
      <c r="N5" s="3" t="inlineStr">
        <is>
          <t>Budget Gesamt (€)</t>
        </is>
      </c>
      <c r="O5" s="3" t="inlineStr">
        <is>
          <t>Budget Ist (€)</t>
        </is>
      </c>
      <c r="P5" s="3" t="inlineStr">
        <is>
          <t>Budget Erwirtschaftet (€)</t>
        </is>
      </c>
    </row>
    <row r="6">
      <c r="A6" s="13" t="inlineStr">
        <is>
          <t>4899.09 Berkel-FWP-Erbachstraße-18-Ludwigshafen</t>
        </is>
      </c>
      <c r="B6" s="4" t="inlineStr">
        <is>
          <t>(aN) Pos. 1 Aktualisierung der Flucht- und Rettungspläne (CAD)</t>
        </is>
      </c>
      <c r="C6" s="4" t="inlineStr">
        <is>
          <t>G</t>
        </is>
      </c>
      <c r="D6" s="4" t="n">
        <v>26</v>
      </c>
      <c r="E6" s="4" t="n">
        <v>5</v>
      </c>
      <c r="F6" s="4" t="n">
        <v>3.5</v>
      </c>
      <c r="G6" s="17" t="n">
        <v>19.23</v>
      </c>
      <c r="H6" s="5" t="n"/>
      <c r="I6" s="5">
        <f>IF(H6=0,"",F6-H6)</f>
        <v/>
      </c>
      <c r="J6" s="4" t="n"/>
      <c r="K6" s="5" t="n">
        <v>0</v>
      </c>
      <c r="L6" s="11">
        <f>IF($B$2="-","",IF($B$2="Pauschale",IFERROR(INDEX('Projekt-Budget-Übersicht'!$H:$H,MATCH(A6,'Projekt-Budget-Übersicht'!$A:$A,0)),""),IF($B$2="SV",IFERROR(INDEX('Projekt-Budget-Übersicht'!$H:$H,MATCH(A6,'Projekt-Budget-Übersicht'!$A:$A,0)),""),IF($B$2="CAD",IFERROR(INDEX('Projekt-Budget-Übersicht'!$I:$I,MATCH(A6,'Projekt-Budget-Übersicht'!$A:$A,0)),""),IF($B$2="ADM",IFERROR(INDEX('Projekt-Budget-Übersicht'!$J:$J,MATCH(A6,'Projekt-Budget-Übersicht'!$A:$A,0)),""),"")))))</f>
        <v/>
      </c>
      <c r="M6" s="11">
        <f>IF($B$2="-","",L6*(F6+I6+K6))</f>
        <v/>
      </c>
      <c r="N6" s="11">
        <f>IFERROR(INDEX('Projekt-Budget-Übersicht'!$E:$E,MATCH(A6,'Projekt-Budget-Übersicht'!$A:$A,0)),"")</f>
        <v/>
      </c>
      <c r="O6" s="11" t="inlineStr"/>
      <c r="P6" s="11" t="inlineStr"/>
    </row>
    <row r="7">
      <c r="A7" s="21" t="n"/>
      <c r="B7" s="4" t="inlineStr">
        <is>
          <t>(aN) Pos. 2 Begehung zu Bestandsaufnahme für die Flucht- und Rettungspläne (CAD)</t>
        </is>
      </c>
      <c r="C7" s="4" t="inlineStr">
        <is>
          <t>G</t>
        </is>
      </c>
      <c r="D7" s="4" t="n">
        <v>8</v>
      </c>
      <c r="E7" s="4" t="n">
        <v>2.25</v>
      </c>
      <c r="F7" s="4" t="n">
        <v>1.5</v>
      </c>
      <c r="G7" s="17" t="n">
        <v>28.12</v>
      </c>
      <c r="H7" s="5" t="n"/>
      <c r="I7" s="5">
        <f>IF(H7=0,"",F7-H7)</f>
        <v/>
      </c>
      <c r="J7" s="4" t="n"/>
      <c r="K7" s="5" t="n">
        <v>0</v>
      </c>
      <c r="L7" s="11">
        <f>IF($B$2="-","",IF($B$2="Pauschale",IFERROR(INDEX('Projekt-Budget-Übersicht'!$H:$H,MATCH(A7,'Projekt-Budget-Übersicht'!$A:$A,0)),""),IF($B$2="SV",IFERROR(INDEX('Projekt-Budget-Übersicht'!$H:$H,MATCH(A7,'Projekt-Budget-Übersicht'!$A:$A,0)),""),IF($B$2="CAD",IFERROR(INDEX('Projekt-Budget-Übersicht'!$I:$I,MATCH(A7,'Projekt-Budget-Übersicht'!$A:$A,0)),""),IF($B$2="ADM",IFERROR(INDEX('Projekt-Budget-Übersicht'!$J:$J,MATCH(A7,'Projekt-Budget-Übersicht'!$A:$A,0)),""),"")))))</f>
        <v/>
      </c>
      <c r="M7" s="11">
        <f>IF($B$2="-","",L7*(F7+I7+K7))</f>
        <v/>
      </c>
      <c r="N7" s="11">
        <f>IFERROR(INDEX('Projekt-Budget-Übersicht'!$E:$E,MATCH(A7,'Projekt-Budget-Übersicht'!$A:$A,0)),"")</f>
        <v/>
      </c>
      <c r="O7" s="11" t="inlineStr"/>
      <c r="P7" s="11" t="inlineStr"/>
    </row>
    <row r="8">
      <c r="A8" s="21" t="n"/>
      <c r="B8" s="4" t="inlineStr">
        <is>
          <t>(aN) Pos. 3 Überarbeitung der Feuerwehrpläne aufgrund neuer Vorgaben der Feuerwehr  (CAD)</t>
        </is>
      </c>
      <c r="C8" s="4" t="inlineStr">
        <is>
          <t>G</t>
        </is>
      </c>
      <c r="D8" s="4" t="n">
        <v>16</v>
      </c>
      <c r="E8" s="4" t="n">
        <v>9.5</v>
      </c>
      <c r="F8" s="4" t="n">
        <v>4.5</v>
      </c>
      <c r="G8" s="17" t="n">
        <v>59.38</v>
      </c>
      <c r="H8" s="5" t="n"/>
      <c r="I8" s="5">
        <f>IF(H8=0,"",F8-H8)</f>
        <v/>
      </c>
      <c r="J8" s="4" t="n"/>
      <c r="K8" s="5" t="n">
        <v>0</v>
      </c>
      <c r="L8" s="11">
        <f>IF($B$2="-","",IF($B$2="Pauschale",IFERROR(INDEX('Projekt-Budget-Übersicht'!$H:$H,MATCH(A8,'Projekt-Budget-Übersicht'!$A:$A,0)),""),IF($B$2="SV",IFERROR(INDEX('Projekt-Budget-Übersicht'!$H:$H,MATCH(A8,'Projekt-Budget-Übersicht'!$A:$A,0)),""),IF($B$2="CAD",IFERROR(INDEX('Projekt-Budget-Übersicht'!$I:$I,MATCH(A8,'Projekt-Budget-Übersicht'!$A:$A,0)),""),IF($B$2="ADM",IFERROR(INDEX('Projekt-Budget-Übersicht'!$J:$J,MATCH(A8,'Projekt-Budget-Übersicht'!$A:$A,0)),""),"")))))</f>
        <v/>
      </c>
      <c r="M8" s="11">
        <f>IF($B$2="-","",L8*(F8+I8+K8))</f>
        <v/>
      </c>
      <c r="N8" s="11">
        <f>IFERROR(INDEX('Projekt-Budget-Übersicht'!$E:$E,MATCH(A8,'Projekt-Budget-Übersicht'!$A:$A,0)),"")</f>
        <v/>
      </c>
      <c r="O8" s="11" t="inlineStr"/>
      <c r="P8" s="11" t="inlineStr"/>
    </row>
    <row r="9">
      <c r="A9" s="21" t="n"/>
      <c r="B9" s="4" t="inlineStr">
        <is>
          <t>(aN) Pos. 4 Digitalisierung der Pläne (CAD)</t>
        </is>
      </c>
      <c r="C9" s="4" t="inlineStr">
        <is>
          <t>G</t>
        </is>
      </c>
      <c r="D9" s="4" t="n">
        <v>25</v>
      </c>
      <c r="E9" s="4" t="n">
        <v>27</v>
      </c>
      <c r="F9" s="4" t="n">
        <v>2.5</v>
      </c>
      <c r="G9" s="16" t="n">
        <v>108</v>
      </c>
      <c r="H9" s="5" t="n"/>
      <c r="I9" s="5">
        <f>IF(H9=0,"",F9-H9)</f>
        <v/>
      </c>
      <c r="J9" s="4" t="n"/>
      <c r="K9" s="5" t="n">
        <v>0</v>
      </c>
      <c r="L9" s="11">
        <f>IF($B$2="-","",IF($B$2="Pauschale",IFERROR(INDEX('Projekt-Budget-Übersicht'!$H:$H,MATCH(A9,'Projekt-Budget-Übersicht'!$A:$A,0)),""),IF($B$2="SV",IFERROR(INDEX('Projekt-Budget-Übersicht'!$H:$H,MATCH(A9,'Projekt-Budget-Übersicht'!$A:$A,0)),""),IF($B$2="CAD",IFERROR(INDEX('Projekt-Budget-Übersicht'!$I:$I,MATCH(A9,'Projekt-Budget-Übersicht'!$A:$A,0)),""),IF($B$2="ADM",IFERROR(INDEX('Projekt-Budget-Übersicht'!$J:$J,MATCH(A9,'Projekt-Budget-Übersicht'!$A:$A,0)),""),"")))))</f>
        <v/>
      </c>
      <c r="M9" s="11">
        <f>IF($B$2="-","",L9*(F9+I9+K9))</f>
        <v/>
      </c>
      <c r="N9" s="11">
        <f>IFERROR(INDEX('Projekt-Budget-Übersicht'!$E:$E,MATCH(A9,'Projekt-Budget-Übersicht'!$A:$A,0)),"")</f>
        <v/>
      </c>
      <c r="O9" s="11" t="inlineStr"/>
      <c r="P9" s="11" t="inlineStr"/>
    </row>
    <row r="10">
      <c r="A10" s="15" t="n"/>
      <c r="B10" s="4" t="inlineStr">
        <is>
          <t>(p) Pos. 1 Aktualisierung der Feuerwehrpläne</t>
        </is>
      </c>
      <c r="C10" s="4" t="inlineStr">
        <is>
          <t>G</t>
        </is>
      </c>
      <c r="D10" s="4" t="n">
        <v>55</v>
      </c>
      <c r="E10" s="4" t="n">
        <v>57</v>
      </c>
      <c r="F10" s="4" t="n">
        <v>2</v>
      </c>
      <c r="G10" s="16" t="n">
        <v>103.64</v>
      </c>
      <c r="H10" s="5" t="n"/>
      <c r="I10" s="5">
        <f>IF(H10=0,"",F10-H10)</f>
        <v/>
      </c>
      <c r="J10" s="4" t="n"/>
      <c r="K10" s="5" t="n">
        <v>0</v>
      </c>
      <c r="L10" s="11">
        <f>IF($B$2="-","",IF($B$2="Pauschale",IFERROR(INDEX('Projekt-Budget-Übersicht'!$H:$H,MATCH(A10,'Projekt-Budget-Übersicht'!$A:$A,0)),""),IF($B$2="SV",IFERROR(INDEX('Projekt-Budget-Übersicht'!$H:$H,MATCH(A10,'Projekt-Budget-Übersicht'!$A:$A,0)),""),IF($B$2="CAD",IFERROR(INDEX('Projekt-Budget-Übersicht'!$I:$I,MATCH(A10,'Projekt-Budget-Übersicht'!$A:$A,0)),""),IF($B$2="ADM",IFERROR(INDEX('Projekt-Budget-Übersicht'!$J:$J,MATCH(A10,'Projekt-Budget-Übersicht'!$A:$A,0)),""),"")))))</f>
        <v/>
      </c>
      <c r="M10" s="11">
        <f>IF($B$2="-","",L10*(F10+I10+K10))</f>
        <v/>
      </c>
      <c r="N10" s="11">
        <f>IFERROR(INDEX('Projekt-Budget-Übersicht'!$E:$E,MATCH(A10,'Projekt-Budget-Übersicht'!$A:$A,0)),"")</f>
        <v/>
      </c>
      <c r="O10" s="11" t="inlineStr"/>
      <c r="P10" s="11" t="inlineStr"/>
    </row>
    <row r="11">
      <c r="A11" s="4" t="inlineStr">
        <is>
          <t>5328.06 Flugfeldklinikum-Böblingen-Fortschr-BSK-FFK</t>
        </is>
      </c>
      <c r="B11" s="4" t="inlineStr">
        <is>
          <t>4103-Erarbeiten Brandschutzkonzeptpläne….</t>
        </is>
      </c>
      <c r="C11" s="4" t="inlineStr">
        <is>
          <t>G</t>
        </is>
      </c>
      <c r="D11" s="4" t="n">
        <v>160</v>
      </c>
      <c r="E11" s="4" t="n">
        <v>244.75</v>
      </c>
      <c r="F11" s="4" t="n">
        <v>0.5</v>
      </c>
      <c r="G11" s="16" t="n">
        <v>152.97</v>
      </c>
      <c r="H11" s="5" t="n"/>
      <c r="I11" s="5">
        <f>IF(H11=0,"",F11-H11)</f>
        <v/>
      </c>
      <c r="J11" s="4" t="n"/>
      <c r="K11" s="5" t="n">
        <v>0</v>
      </c>
      <c r="L11" s="11">
        <f>IF($B$2="-","",IF($B$2="Pauschale",IFERROR(INDEX('Projekt-Budget-Übersicht'!$H:$H,MATCH(A11,'Projekt-Budget-Übersicht'!$A:$A,0)),""),IF($B$2="SV",IFERROR(INDEX('Projekt-Budget-Übersicht'!$H:$H,MATCH(A11,'Projekt-Budget-Übersicht'!$A:$A,0)),""),IF($B$2="CAD",IFERROR(INDEX('Projekt-Budget-Übersicht'!$I:$I,MATCH(A11,'Projekt-Budget-Übersicht'!$A:$A,0)),""),IF($B$2="ADM",IFERROR(INDEX('Projekt-Budget-Übersicht'!$J:$J,MATCH(A11,'Projekt-Budget-Übersicht'!$A:$A,0)),""),"")))))</f>
        <v/>
      </c>
      <c r="M11" s="11">
        <f>IF($B$2="-","",L11*(F11+I11+K11))</f>
        <v/>
      </c>
      <c r="N11" s="11">
        <f>IFERROR(INDEX('Projekt-Budget-Übersicht'!$E:$E,MATCH(A11,'Projekt-Budget-Übersicht'!$A:$A,0)),"")</f>
        <v/>
      </c>
      <c r="O11" s="11" t="inlineStr"/>
      <c r="P11" s="11" t="inlineStr"/>
    </row>
    <row r="12">
      <c r="A12" s="4" t="inlineStr">
        <is>
          <t>5793 Eschholzstraße-118-Freiburg-Rettungszentrum</t>
        </is>
      </c>
      <c r="B12" s="4" t="inlineStr">
        <is>
          <t>BL FWP</t>
        </is>
      </c>
      <c r="C12" s="4" t="inlineStr">
        <is>
          <t>G</t>
        </is>
      </c>
      <c r="D12" s="4" t="n">
        <v>24</v>
      </c>
      <c r="E12" s="4" t="n">
        <v>41</v>
      </c>
      <c r="F12" s="4" t="n">
        <v>5.75</v>
      </c>
      <c r="G12" s="16" t="n">
        <v>170.83</v>
      </c>
      <c r="H12" s="5" t="n"/>
      <c r="I12" s="5">
        <f>IF(H12=0,"",F12-H12)</f>
        <v/>
      </c>
      <c r="J12" s="4" t="n"/>
      <c r="K12" s="5" t="n">
        <v>0</v>
      </c>
      <c r="L12" s="11">
        <f>IF($B$2="-","",IF($B$2="Pauschale",IFERROR(INDEX('Projekt-Budget-Übersicht'!$H:$H,MATCH(A12,'Projekt-Budget-Übersicht'!$A:$A,0)),""),IF($B$2="SV",IFERROR(INDEX('Projekt-Budget-Übersicht'!$H:$H,MATCH(A12,'Projekt-Budget-Übersicht'!$A:$A,0)),""),IF($B$2="CAD",IFERROR(INDEX('Projekt-Budget-Übersicht'!$I:$I,MATCH(A12,'Projekt-Budget-Übersicht'!$A:$A,0)),""),IF($B$2="ADM",IFERROR(INDEX('Projekt-Budget-Übersicht'!$J:$J,MATCH(A12,'Projekt-Budget-Übersicht'!$A:$A,0)),""),"")))))</f>
        <v/>
      </c>
      <c r="M12" s="11">
        <f>IF($B$2="-","",L12*(F12+I12+K12))</f>
        <v/>
      </c>
      <c r="N12" s="11">
        <f>IFERROR(INDEX('Projekt-Budget-Übersicht'!$E:$E,MATCH(A12,'Projekt-Budget-Übersicht'!$A:$A,0)),"")</f>
        <v/>
      </c>
      <c r="O12" s="11" t="inlineStr"/>
      <c r="P12" s="11" t="inlineStr"/>
    </row>
    <row r="13">
      <c r="A13" s="4" t="inlineStr">
        <is>
          <t>6313.100 Quantum-Allgemeine-BTB-Limespark-Sulzbach</t>
        </is>
      </c>
      <c r="B13" s="4" t="inlineStr">
        <is>
          <t>9200-Erstellen od. Prüfen Feuerwehrpläne….</t>
        </is>
      </c>
      <c r="C13" s="4" t="inlineStr">
        <is>
          <t>G</t>
        </is>
      </c>
      <c r="D13" s="4" t="n">
        <v>0</v>
      </c>
      <c r="E13" s="4" t="n">
        <v>0</v>
      </c>
      <c r="F13" s="4" t="n">
        <v>0.75</v>
      </c>
      <c r="G13" s="4" t="n">
        <v>0</v>
      </c>
      <c r="H13" s="5" t="n"/>
      <c r="I13" s="5">
        <f>IF(H13=0,"",F13-H13)</f>
        <v/>
      </c>
      <c r="J13" s="4" t="n"/>
      <c r="K13" s="5" t="n">
        <v>0</v>
      </c>
      <c r="L13" s="11">
        <f>IF($B$2="-","",IF($B$2="Pauschale",IFERROR(INDEX('Projekt-Budget-Übersicht'!$H:$H,MATCH(A13,'Projekt-Budget-Übersicht'!$A:$A,0)),""),IF($B$2="SV",IFERROR(INDEX('Projekt-Budget-Übersicht'!$H:$H,MATCH(A13,'Projekt-Budget-Übersicht'!$A:$A,0)),""),IF($B$2="CAD",IFERROR(INDEX('Projekt-Budget-Übersicht'!$I:$I,MATCH(A13,'Projekt-Budget-Übersicht'!$A:$A,0)),""),IF($B$2="ADM",IFERROR(INDEX('Projekt-Budget-Übersicht'!$J:$J,MATCH(A13,'Projekt-Budget-Übersicht'!$A:$A,0)),""),"")))))</f>
        <v/>
      </c>
      <c r="M13" s="11">
        <f>IF($B$2="-","",L13*(F13+I13+K13))</f>
        <v/>
      </c>
      <c r="N13" s="11">
        <f>IFERROR(INDEX('Projekt-Budget-Übersicht'!$E:$E,MATCH(A13,'Projekt-Budget-Übersicht'!$A:$A,0)),"")</f>
        <v/>
      </c>
      <c r="O13" s="11" t="inlineStr"/>
      <c r="P13" s="11" t="inlineStr"/>
    </row>
    <row r="14">
      <c r="A14" s="13" t="inlineStr">
        <is>
          <t>6974 IO-Diehl-Fast-Track-V2-AHO-Liegenschaft-Maasberg-Mariahütte</t>
        </is>
      </c>
      <c r="B14" s="4" t="inlineStr">
        <is>
          <t>LP 4 vorab, BAU offen</t>
        </is>
      </c>
      <c r="C14" s="4" t="inlineStr">
        <is>
          <t>G</t>
        </is>
      </c>
      <c r="D14" s="4" t="n">
        <v>0</v>
      </c>
      <c r="E14" s="4" t="n">
        <v>-1.5</v>
      </c>
      <c r="F14" s="4" t="n">
        <v>15.75</v>
      </c>
      <c r="G14" s="4" t="n">
        <v>0</v>
      </c>
      <c r="H14" s="5" t="n"/>
      <c r="I14" s="5">
        <f>IF(H14=0,"",F14-H14)</f>
        <v/>
      </c>
      <c r="J14" s="4" t="n"/>
      <c r="K14" s="5" t="n">
        <v>0</v>
      </c>
      <c r="L14" s="11">
        <f>IF($B$2="-","",IF($B$2="Pauschale",IFERROR(INDEX('Projekt-Budget-Übersicht'!$H:$H,MATCH(A14,'Projekt-Budget-Übersicht'!$A:$A,0)),""),IF($B$2="SV",IFERROR(INDEX('Projekt-Budget-Übersicht'!$H:$H,MATCH(A14,'Projekt-Budget-Übersicht'!$A:$A,0)),""),IF($B$2="CAD",IFERROR(INDEX('Projekt-Budget-Übersicht'!$I:$I,MATCH(A14,'Projekt-Budget-Übersicht'!$A:$A,0)),""),IF($B$2="ADM",IFERROR(INDEX('Projekt-Budget-Übersicht'!$J:$J,MATCH(A14,'Projekt-Budget-Übersicht'!$A:$A,0)),""),"")))))</f>
        <v/>
      </c>
      <c r="M14" s="11">
        <f>IF($B$2="-","",L14*(F14+I14+K14))</f>
        <v/>
      </c>
      <c r="N14" s="11">
        <f>IFERROR(INDEX('Projekt-Budget-Übersicht'!$E:$E,MATCH(A14,'Projekt-Budget-Übersicht'!$A:$A,0)),"")</f>
        <v/>
      </c>
      <c r="O14" s="11" t="inlineStr"/>
      <c r="P14" s="11" t="inlineStr"/>
    </row>
    <row r="15">
      <c r="A15" s="15" t="n"/>
      <c r="B15" s="4" t="inlineStr">
        <is>
          <t>LP 5 Stundendsammler vorab, ANG noch nicht erstellt</t>
        </is>
      </c>
      <c r="C15" s="4" t="inlineStr">
        <is>
          <t>G</t>
        </is>
      </c>
      <c r="D15" s="4" t="n">
        <v>0</v>
      </c>
      <c r="E15" s="4" t="n">
        <v>-0.5</v>
      </c>
      <c r="F15" s="4" t="n">
        <v>4</v>
      </c>
      <c r="G15" s="4" t="n">
        <v>0</v>
      </c>
      <c r="H15" s="5" t="n"/>
      <c r="I15" s="5">
        <f>IF(H15=0,"",F15-H15)</f>
        <v/>
      </c>
      <c r="J15" s="4" t="n"/>
      <c r="K15" s="5">
        <f>IF('O. Haag BS-CAD'!J30="R. Wagen CAD",'O. Haag BS-CAD'!I30,0)</f>
        <v/>
      </c>
      <c r="L15" s="11">
        <f>IF($B$2="-","",IF($B$2="Pauschale",IFERROR(INDEX('Projekt-Budget-Übersicht'!$H:$H,MATCH(A15,'Projekt-Budget-Übersicht'!$A:$A,0)),""),IF($B$2="SV",IFERROR(INDEX('Projekt-Budget-Übersicht'!$H:$H,MATCH(A15,'Projekt-Budget-Übersicht'!$A:$A,0)),""),IF($B$2="CAD",IFERROR(INDEX('Projekt-Budget-Übersicht'!$I:$I,MATCH(A15,'Projekt-Budget-Übersicht'!$A:$A,0)),""),IF($B$2="ADM",IFERROR(INDEX('Projekt-Budget-Übersicht'!$J:$J,MATCH(A15,'Projekt-Budget-Übersicht'!$A:$A,0)),""),"")))))</f>
        <v/>
      </c>
      <c r="M15" s="11">
        <f>IF($B$2="-","",L15*(F15+I15+K15))</f>
        <v/>
      </c>
      <c r="N15" s="11">
        <f>IFERROR(INDEX('Projekt-Budget-Übersicht'!$E:$E,MATCH(A15,'Projekt-Budget-Übersicht'!$A:$A,0)),"")</f>
        <v/>
      </c>
      <c r="O15" s="11" t="inlineStr"/>
      <c r="P15" s="11" t="inlineStr"/>
    </row>
    <row r="16">
      <c r="A16" s="4" t="inlineStr">
        <is>
          <t>7236 Würth - Stundennachweise</t>
        </is>
      </c>
      <c r="B16" s="4" t="inlineStr">
        <is>
          <t>CAD</t>
        </is>
      </c>
      <c r="C16" s="4" t="inlineStr">
        <is>
          <t>G</t>
        </is>
      </c>
      <c r="D16" s="4" t="n">
        <v>0</v>
      </c>
      <c r="E16" s="4" t="n">
        <v>30.25</v>
      </c>
      <c r="F16" s="4" t="n">
        <v>7.5</v>
      </c>
      <c r="G16" s="4" t="n">
        <v>0</v>
      </c>
      <c r="H16" s="5" t="n"/>
      <c r="I16" s="5">
        <f>IF(H16=0,"",F16-H16)</f>
        <v/>
      </c>
      <c r="J16" s="4" t="n"/>
      <c r="K16" s="5" t="n">
        <v>0</v>
      </c>
      <c r="L16" s="11">
        <f>IF($B$2="-","",IF($B$2="Pauschale",IFERROR(INDEX('Projekt-Budget-Übersicht'!$H:$H,MATCH(A16,'Projekt-Budget-Übersicht'!$A:$A,0)),""),IF($B$2="SV",IFERROR(INDEX('Projekt-Budget-Übersicht'!$H:$H,MATCH(A16,'Projekt-Budget-Übersicht'!$A:$A,0)),""),IF($B$2="CAD",IFERROR(INDEX('Projekt-Budget-Übersicht'!$I:$I,MATCH(A16,'Projekt-Budget-Übersicht'!$A:$A,0)),""),IF($B$2="ADM",IFERROR(INDEX('Projekt-Budget-Übersicht'!$J:$J,MATCH(A16,'Projekt-Budget-Übersicht'!$A:$A,0)),""),"")))))</f>
        <v/>
      </c>
      <c r="M16" s="11">
        <f>IF($B$2="-","",L16*(F16+I16+K16))</f>
        <v/>
      </c>
      <c r="N16" s="11">
        <f>IFERROR(INDEX('Projekt-Budget-Übersicht'!$E:$E,MATCH(A16,'Projekt-Budget-Übersicht'!$A:$A,0)),"")</f>
        <v/>
      </c>
      <c r="O16" s="11" t="inlineStr"/>
      <c r="P16" s="11" t="inlineStr"/>
    </row>
    <row r="17">
      <c r="A17" s="4" t="inlineStr">
        <is>
          <t>7361 Energieprojekte-DK-BSK-WP-Thalfingen+Repowering-Anlage-Seligweiler-Bayern</t>
        </is>
      </c>
      <c r="B17" s="4" t="inlineStr">
        <is>
          <t>CAD</t>
        </is>
      </c>
      <c r="C17" s="4" t="inlineStr">
        <is>
          <t>G</t>
        </is>
      </c>
      <c r="D17" s="4" t="n">
        <v>6</v>
      </c>
      <c r="E17" s="4" t="n">
        <v>6</v>
      </c>
      <c r="F17" s="4" t="n">
        <v>6</v>
      </c>
      <c r="G17" s="14" t="n">
        <v>100</v>
      </c>
      <c r="H17" s="5" t="n"/>
      <c r="I17" s="5">
        <f>IF(H17=0,"",F17-H17)</f>
        <v/>
      </c>
      <c r="J17" s="4" t="n"/>
      <c r="K17" s="5" t="n">
        <v>0</v>
      </c>
      <c r="L17" s="11">
        <f>IF($B$2="-","",IF($B$2="Pauschale",IFERROR(INDEX('Projekt-Budget-Übersicht'!$H:$H,MATCH(A17,'Projekt-Budget-Übersicht'!$A:$A,0)),""),IF($B$2="SV",IFERROR(INDEX('Projekt-Budget-Übersicht'!$H:$H,MATCH(A17,'Projekt-Budget-Übersicht'!$A:$A,0)),""),IF($B$2="CAD",IFERROR(INDEX('Projekt-Budget-Übersicht'!$I:$I,MATCH(A17,'Projekt-Budget-Übersicht'!$A:$A,0)),""),IF($B$2="ADM",IFERROR(INDEX('Projekt-Budget-Übersicht'!$J:$J,MATCH(A17,'Projekt-Budget-Übersicht'!$A:$A,0)),""),"")))))</f>
        <v/>
      </c>
      <c r="M17" s="11">
        <f>IF($B$2="-","",L17*(F17+I17+K17))</f>
        <v/>
      </c>
      <c r="N17" s="11">
        <f>IFERROR(INDEX('Projekt-Budget-Übersicht'!$E:$E,MATCH(A17,'Projekt-Budget-Übersicht'!$A:$A,0)),"")</f>
        <v/>
      </c>
      <c r="O17" s="11" t="inlineStr"/>
      <c r="P17" s="11" t="inlineStr"/>
    </row>
    <row r="18">
      <c r="A18" s="4" t="inlineStr">
        <is>
          <t>7364 SHE-BSK-WP-Göttingen-Baden-Württemberg</t>
        </is>
      </c>
      <c r="B18" s="4" t="inlineStr">
        <is>
          <t>CAD</t>
        </is>
      </c>
      <c r="C18" s="4" t="inlineStr">
        <is>
          <t>G</t>
        </is>
      </c>
      <c r="D18" s="4" t="n">
        <v>6</v>
      </c>
      <c r="E18" s="4" t="n">
        <v>6</v>
      </c>
      <c r="F18" s="4" t="n">
        <v>6</v>
      </c>
      <c r="G18" s="14" t="n">
        <v>100</v>
      </c>
      <c r="H18" s="5" t="n"/>
      <c r="I18" s="5">
        <f>IF(H18=0,"",F18-H18)</f>
        <v/>
      </c>
      <c r="J18" s="4" t="n"/>
      <c r="K18" s="5" t="n">
        <v>0</v>
      </c>
      <c r="L18" s="11">
        <f>IF($B$2="-","",IF($B$2="Pauschale",IFERROR(INDEX('Projekt-Budget-Übersicht'!$H:$H,MATCH(A18,'Projekt-Budget-Übersicht'!$A:$A,0)),""),IF($B$2="SV",IFERROR(INDEX('Projekt-Budget-Übersicht'!$H:$H,MATCH(A18,'Projekt-Budget-Übersicht'!$A:$A,0)),""),IF($B$2="CAD",IFERROR(INDEX('Projekt-Budget-Übersicht'!$I:$I,MATCH(A18,'Projekt-Budget-Übersicht'!$A:$A,0)),""),IF($B$2="ADM",IFERROR(INDEX('Projekt-Budget-Übersicht'!$J:$J,MATCH(A18,'Projekt-Budget-Übersicht'!$A:$A,0)),""),"")))))</f>
        <v/>
      </c>
      <c r="M18" s="11">
        <f>IF($B$2="-","",L18*(F18+I18+K18))</f>
        <v/>
      </c>
      <c r="N18" s="11">
        <f>IFERROR(INDEX('Projekt-Budget-Übersicht'!$E:$E,MATCH(A18,'Projekt-Budget-Übersicht'!$A:$A,0)),"")</f>
        <v/>
      </c>
      <c r="O18" s="11" t="inlineStr"/>
      <c r="P18" s="11" t="inlineStr"/>
    </row>
    <row r="19">
      <c r="A19" s="4" t="inlineStr">
        <is>
          <t>7419.02 Zech-FRP-FWP-Sporthalle-Pestalozzistr10-Eppelheim</t>
        </is>
      </c>
      <c r="B19" s="4" t="inlineStr">
        <is>
          <t>(p) Pos. 3 FRP (CAD)</t>
        </is>
      </c>
      <c r="C19" s="4" t="inlineStr">
        <is>
          <t>G</t>
        </is>
      </c>
      <c r="D19" s="4" t="n">
        <v>20</v>
      </c>
      <c r="E19" s="4" t="n">
        <v>10.25</v>
      </c>
      <c r="F19" s="4" t="n">
        <v>3.5</v>
      </c>
      <c r="G19" s="17" t="n">
        <v>51.25</v>
      </c>
      <c r="H19" s="5" t="n"/>
      <c r="I19" s="5">
        <f>IF(H19=0,"",F19-H19)</f>
        <v/>
      </c>
      <c r="J19" s="4" t="n"/>
      <c r="K19" s="5">
        <f>IF('O. Haag BS-CAD'!J40="R. Wagen CAD",'O. Haag BS-CAD'!I40,0)</f>
        <v/>
      </c>
      <c r="L19" s="11">
        <f>IF($B$2="-","",IF($B$2="Pauschale",IFERROR(INDEX('Projekt-Budget-Übersicht'!$H:$H,MATCH(A19,'Projekt-Budget-Übersicht'!$A:$A,0)),""),IF($B$2="SV",IFERROR(INDEX('Projekt-Budget-Übersicht'!$H:$H,MATCH(A19,'Projekt-Budget-Übersicht'!$A:$A,0)),""),IF($B$2="CAD",IFERROR(INDEX('Projekt-Budget-Übersicht'!$I:$I,MATCH(A19,'Projekt-Budget-Übersicht'!$A:$A,0)),""),IF($B$2="ADM",IFERROR(INDEX('Projekt-Budget-Übersicht'!$J:$J,MATCH(A19,'Projekt-Budget-Übersicht'!$A:$A,0)),""),"")))))</f>
        <v/>
      </c>
      <c r="M19" s="11">
        <f>IF($B$2="-","",L19*(F19+I19+K19))</f>
        <v/>
      </c>
      <c r="N19" s="11">
        <f>IFERROR(INDEX('Projekt-Budget-Übersicht'!$E:$E,MATCH(A19,'Projekt-Budget-Übersicht'!$A:$A,0)),"")</f>
        <v/>
      </c>
      <c r="O19" s="11" t="inlineStr"/>
      <c r="P19" s="11" t="inlineStr"/>
    </row>
    <row r="20">
      <c r="A20" s="4" t="inlineStr">
        <is>
          <t>7435 wiwi-BSK-WEA-Spiesheim-Wörrstadt-Ost</t>
        </is>
      </c>
      <c r="B20" s="4" t="inlineStr">
        <is>
          <t>CAD</t>
        </is>
      </c>
      <c r="C20" s="4" t="inlineStr">
        <is>
          <t>G</t>
        </is>
      </c>
      <c r="D20" s="4" t="n">
        <v>4</v>
      </c>
      <c r="E20" s="4" t="n">
        <v>1</v>
      </c>
      <c r="F20" s="4" t="n">
        <v>1</v>
      </c>
      <c r="G20" s="17" t="n">
        <v>25</v>
      </c>
      <c r="H20" s="5" t="n"/>
      <c r="I20" s="5">
        <f>IF(H20=0,"",F20-H20)</f>
        <v/>
      </c>
      <c r="J20" s="4" t="n"/>
      <c r="K20" s="5" t="n">
        <v>0</v>
      </c>
      <c r="L20" s="11">
        <f>IF($B$2="-","",IF($B$2="Pauschale",IFERROR(INDEX('Projekt-Budget-Übersicht'!$H:$H,MATCH(A20,'Projekt-Budget-Übersicht'!$A:$A,0)),""),IF($B$2="SV",IFERROR(INDEX('Projekt-Budget-Übersicht'!$H:$H,MATCH(A20,'Projekt-Budget-Übersicht'!$A:$A,0)),""),IF($B$2="CAD",IFERROR(INDEX('Projekt-Budget-Übersicht'!$I:$I,MATCH(A20,'Projekt-Budget-Übersicht'!$A:$A,0)),""),IF($B$2="ADM",IFERROR(INDEX('Projekt-Budget-Übersicht'!$J:$J,MATCH(A20,'Projekt-Budget-Übersicht'!$A:$A,0)),""),"")))))</f>
        <v/>
      </c>
      <c r="M20" s="11">
        <f>IF($B$2="-","",L20*(F20+I20+K20))</f>
        <v/>
      </c>
      <c r="N20" s="11">
        <f>IFERROR(INDEX('Projekt-Budget-Übersicht'!$E:$E,MATCH(A20,'Projekt-Budget-Übersicht'!$A:$A,0)),"")</f>
        <v/>
      </c>
      <c r="O20" s="11" t="inlineStr"/>
      <c r="P20" s="11" t="inlineStr"/>
    </row>
    <row r="21">
      <c r="A21" s="4" t="inlineStr">
        <is>
          <t>7441 Baupionier-Garagenpark-Öhringen-BSK</t>
        </is>
      </c>
      <c r="B21" s="4" t="inlineStr">
        <is>
          <t>CAD</t>
        </is>
      </c>
      <c r="C21" s="4" t="inlineStr">
        <is>
          <t>G</t>
        </is>
      </c>
      <c r="D21" s="4" t="n">
        <v>8</v>
      </c>
      <c r="E21" s="4" t="n">
        <v>8.75</v>
      </c>
      <c r="F21" s="4" t="n">
        <v>8.75</v>
      </c>
      <c r="G21" s="16" t="n">
        <v>109.38</v>
      </c>
      <c r="H21" s="5" t="n"/>
      <c r="I21" s="5">
        <f>IF(H21=0,"",F21-H21)</f>
        <v/>
      </c>
      <c r="J21" s="4" t="n"/>
      <c r="K21" s="5" t="n">
        <v>0</v>
      </c>
      <c r="L21" s="11">
        <f>IF($B$2="-","",IF($B$2="Pauschale",IFERROR(INDEX('Projekt-Budget-Übersicht'!$H:$H,MATCH(A21,'Projekt-Budget-Übersicht'!$A:$A,0)),""),IF($B$2="SV",IFERROR(INDEX('Projekt-Budget-Übersicht'!$H:$H,MATCH(A21,'Projekt-Budget-Übersicht'!$A:$A,0)),""),IF($B$2="CAD",IFERROR(INDEX('Projekt-Budget-Übersicht'!$I:$I,MATCH(A21,'Projekt-Budget-Übersicht'!$A:$A,0)),""),IF($B$2="ADM",IFERROR(INDEX('Projekt-Budget-Übersicht'!$J:$J,MATCH(A21,'Projekt-Budget-Übersicht'!$A:$A,0)),""),"")))))</f>
        <v/>
      </c>
      <c r="M21" s="11">
        <f>IF($B$2="-","",L21*(F21+I21+K21))</f>
        <v/>
      </c>
      <c r="N21" s="11">
        <f>IFERROR(INDEX('Projekt-Budget-Übersicht'!$E:$E,MATCH(A21,'Projekt-Budget-Übersicht'!$A:$A,0)),"")</f>
        <v/>
      </c>
      <c r="O21" s="11" t="inlineStr"/>
      <c r="P21" s="11" t="inlineStr"/>
    </row>
    <row r="22">
      <c r="A22" s="4" t="inlineStr">
        <is>
          <t>7500 Baupionier-PCP-RV-diverse-Garagenparks</t>
        </is>
      </c>
      <c r="B22" s="4" t="inlineStr">
        <is>
          <t>CAD</t>
        </is>
      </c>
      <c r="C22" s="4" t="inlineStr">
        <is>
          <t>G</t>
        </is>
      </c>
      <c r="D22" s="4" t="n">
        <v>0</v>
      </c>
      <c r="E22" s="4" t="n">
        <v>0</v>
      </c>
      <c r="F22" s="4" t="n">
        <v>9</v>
      </c>
      <c r="G22" s="4" t="n">
        <v>0</v>
      </c>
      <c r="H22" s="5" t="n"/>
      <c r="I22" s="5">
        <f>IF(H22=0,"",F22-H22)</f>
        <v/>
      </c>
      <c r="J22" s="4" t="n"/>
      <c r="K22" s="5" t="n">
        <v>0</v>
      </c>
      <c r="L22" s="11">
        <f>IF($B$2="-","",IF($B$2="Pauschale",IFERROR(INDEX('Projekt-Budget-Übersicht'!$H:$H,MATCH(A22,'Projekt-Budget-Übersicht'!$A:$A,0)),""),IF($B$2="SV",IFERROR(INDEX('Projekt-Budget-Übersicht'!$H:$H,MATCH(A22,'Projekt-Budget-Übersicht'!$A:$A,0)),""),IF($B$2="CAD",IFERROR(INDEX('Projekt-Budget-Übersicht'!$I:$I,MATCH(A22,'Projekt-Budget-Übersicht'!$A:$A,0)),""),IF($B$2="ADM",IFERROR(INDEX('Projekt-Budget-Übersicht'!$J:$J,MATCH(A22,'Projekt-Budget-Übersicht'!$A:$A,0)),""),"")))))</f>
        <v/>
      </c>
      <c r="M22" s="11">
        <f>IF($B$2="-","",L22*(F22+I22+K22))</f>
        <v/>
      </c>
      <c r="N22" s="11">
        <f>IFERROR(INDEX('Projekt-Budget-Übersicht'!$E:$E,MATCH(A22,'Projekt-Budget-Übersicht'!$A:$A,0)),"")</f>
        <v/>
      </c>
      <c r="O22" s="11" t="inlineStr"/>
      <c r="P22" s="11" t="inlineStr"/>
    </row>
    <row r="23">
      <c r="A23" s="3" t="inlineStr"/>
      <c r="B23" s="3" t="inlineStr">
        <is>
          <t>Summe</t>
        </is>
      </c>
      <c r="C23" s="3" t="inlineStr"/>
      <c r="D23" s="3" t="inlineStr"/>
      <c r="E23" s="3" t="inlineStr"/>
      <c r="F23" s="6" t="n">
        <v>82.5</v>
      </c>
      <c r="G23" s="3" t="inlineStr"/>
      <c r="H23" s="3" t="inlineStr"/>
      <c r="I23" s="3" t="inlineStr"/>
      <c r="J23" s="3" t="inlineStr"/>
      <c r="K23" s="3" t="inlineStr"/>
      <c r="L23" s="3" t="n"/>
      <c r="M23" s="3" t="n"/>
      <c r="N23" s="3" t="n"/>
      <c r="O23" s="3" t="n"/>
      <c r="P23" s="3" t="n"/>
    </row>
    <row r="24">
      <c r="A24" s="3" t="inlineStr"/>
      <c r="B24" s="3" t="inlineStr">
        <is>
          <t>Bonusberechtigte Stunden</t>
        </is>
      </c>
      <c r="C24" s="3" t="inlineStr"/>
      <c r="D24" s="3" t="inlineStr"/>
      <c r="E24" s="3" t="inlineStr"/>
      <c r="F24" s="6">
        <f>G24+H24</f>
        <v/>
      </c>
      <c r="G24" s="6" t="n">
        <v>63</v>
      </c>
      <c r="H24" s="6">
        <f>SUM(H6,H7,H8,H9,H10,H11,H12,H13,H14,H15,H16,H17,H18,H19,H20,H21,H22)</f>
        <v/>
      </c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</row>
    <row r="25">
      <c r="A25" s="3" t="inlineStr"/>
      <c r="B25" s="3" t="inlineStr">
        <is>
          <t>Bonusberechtigte Stunden Sonderprojekt</t>
        </is>
      </c>
      <c r="C25" s="3" t="inlineStr"/>
      <c r="D25" s="3" t="inlineStr"/>
      <c r="E25" s="3" t="inlineStr"/>
      <c r="F25" s="6" t="n">
        <v>0</v>
      </c>
      <c r="G25" s="6" t="n">
        <v>0</v>
      </c>
      <c r="H25" s="6" t="n">
        <v>0</v>
      </c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</row>
    <row r="26">
      <c r="A26" s="3" t="inlineStr"/>
      <c r="B26" s="3" t="inlineStr">
        <is>
          <t>Zugeordnete Stunden von anderen MA</t>
        </is>
      </c>
      <c r="C26" s="3" t="inlineStr"/>
      <c r="D26" s="3" t="inlineStr"/>
      <c r="E26" s="3" t="inlineStr"/>
      <c r="F26" s="6">
        <f>SUM(K6:K22)</f>
        <v/>
      </c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</row>
    <row r="27">
      <c r="A27" s="18" t="inlineStr"/>
      <c r="B27" s="18" t="inlineStr">
        <is>
          <t>Gesamt Bonus Stunden</t>
        </is>
      </c>
      <c r="C27" s="18" t="inlineStr"/>
      <c r="D27" s="18" t="inlineStr"/>
      <c r="E27" s="18" t="inlineStr"/>
      <c r="F27" s="19">
        <f>F24+F25+F26</f>
        <v/>
      </c>
      <c r="G27" s="18" t="inlineStr"/>
      <c r="H27" s="18" t="inlineStr"/>
      <c r="I27" s="18" t="inlineStr"/>
      <c r="J27" s="18" t="inlineStr"/>
      <c r="K27" s="18" t="inlineStr"/>
      <c r="L27" s="18" t="n"/>
      <c r="M27" s="18" t="n"/>
      <c r="N27" s="18" t="n"/>
      <c r="O27" s="18" t="n"/>
      <c r="P27" s="18" t="n"/>
    </row>
    <row r="29">
      <c r="A29" s="2" t="inlineStr">
        <is>
          <t>--- August 2025 ---</t>
        </is>
      </c>
    </row>
    <row r="30">
      <c r="A30" s="3" t="inlineStr">
        <is>
          <t>Projekt</t>
        </is>
      </c>
      <c r="B30" s="3" t="inlineStr">
        <is>
          <t>Meilenstein</t>
        </is>
      </c>
      <c r="C30" s="3" t="inlineStr">
        <is>
          <t>Typ</t>
        </is>
      </c>
      <c r="D30" s="3" t="inlineStr">
        <is>
          <t>Soll (h)</t>
        </is>
      </c>
      <c r="E30" s="3" t="inlineStr">
        <is>
          <t>Ist (h)</t>
        </is>
      </c>
      <c r="F30" s="3" t="inlineStr">
        <is>
          <t>August 2025 (h)</t>
        </is>
      </c>
      <c r="G30" s="3" t="inlineStr">
        <is>
          <t>%</t>
        </is>
      </c>
      <c r="H30" s="3" t="inlineStr">
        <is>
          <t>Bonus-Anpassung (h)</t>
        </is>
      </c>
      <c r="I30" s="3" t="inlineStr">
        <is>
          <t>Differenz (h)</t>
        </is>
      </c>
      <c r="J30" s="3" t="inlineStr">
        <is>
          <t>Zuordnen an</t>
        </is>
      </c>
      <c r="K30" s="3" t="inlineStr">
        <is>
          <t>Von anderen (h)</t>
        </is>
      </c>
      <c r="L30" s="3" t="inlineStr">
        <is>
          <t>Stundensatz (€/h)</t>
        </is>
      </c>
      <c r="M30" s="3" t="inlineStr">
        <is>
          <t>Umsatz (€)</t>
        </is>
      </c>
      <c r="N30" s="3" t="inlineStr">
        <is>
          <t>Budget Gesamt (€)</t>
        </is>
      </c>
      <c r="O30" s="3" t="inlineStr">
        <is>
          <t>Budget Ist (€)</t>
        </is>
      </c>
      <c r="P30" s="3" t="inlineStr">
        <is>
          <t>Budget Erwirtschaftet (€)</t>
        </is>
      </c>
    </row>
    <row r="31">
      <c r="A31" s="4" t="inlineStr">
        <is>
          <t>0000 Sonderprojekt für Bonus</t>
        </is>
      </c>
      <c r="B31" s="4" t="inlineStr">
        <is>
          <t>Einarbeitung neuer Mitarbeiter (max. 8h/Monat pro MA)</t>
        </is>
      </c>
      <c r="C31" s="4" t="inlineStr">
        <is>
          <t>M</t>
        </is>
      </c>
      <c r="D31" s="4" t="n">
        <v>8</v>
      </c>
      <c r="E31" s="4" t="n">
        <v>8</v>
      </c>
      <c r="F31" s="4" t="n">
        <v>8</v>
      </c>
      <c r="G31" s="14" t="n">
        <v>100</v>
      </c>
      <c r="H31" s="5" t="n"/>
      <c r="I31" s="5">
        <f>IF(H31=0,"",F31-H31)</f>
        <v/>
      </c>
      <c r="J31" s="4" t="n"/>
      <c r="K31" s="5">
        <f>IF('A. Kokott'!J40="R. Wagen CAD",'A. Kokott'!I40,0)+IF('M. Bandlofsky'!J26="R. Wagen CAD",'M. Bandlofsky'!I26,0)+IF('O. Haag BS-CAD'!J52="R. Wagen CAD",'O. Haag BS-CAD'!I52,0)+IF('P. Bergner'!J22="R. Wagen CAD",'P. Bergner'!I22,0)+IF('T. Trautmann'!J29="R. Wagen CAD",'T. Trautmann'!I29,0)+IF('U. Sutter ADM'!J29="R. Wagen CAD",'U. Sutter ADM'!I29,0)</f>
        <v/>
      </c>
      <c r="L31" s="11">
        <f>IF($B$2="-","",IF($B$2="Pauschale",IFERROR(INDEX('Projekt-Budget-Übersicht'!$H:$H,MATCH(A31,'Projekt-Budget-Übersicht'!$A:$A,0)),""),IF($B$2="SV",IFERROR(INDEX('Projekt-Budget-Übersicht'!$H:$H,MATCH(A31,'Projekt-Budget-Übersicht'!$A:$A,0)),""),IF($B$2="CAD",IFERROR(INDEX('Projekt-Budget-Übersicht'!$I:$I,MATCH(A31,'Projekt-Budget-Übersicht'!$A:$A,0)),""),IF($B$2="ADM",IFERROR(INDEX('Projekt-Budget-Übersicht'!$J:$J,MATCH(A31,'Projekt-Budget-Übersicht'!$A:$A,0)),""),"")))))</f>
        <v/>
      </c>
      <c r="M31" s="11">
        <f>IF($B$2="-","",L31*(F31+I31+K31))</f>
        <v/>
      </c>
      <c r="N31" s="11">
        <f>IFERROR(INDEX('Projekt-Budget-Übersicht'!$E:$E,MATCH(A31,'Projekt-Budget-Übersicht'!$A:$A,0)),"")</f>
        <v/>
      </c>
      <c r="O31" s="11" t="inlineStr"/>
      <c r="P31" s="11" t="inlineStr"/>
    </row>
    <row r="32">
      <c r="A32" s="4" t="inlineStr">
        <is>
          <t>4436.04 BTB Krankenhaus-Bergstraße-Viernheimer-Straße-2-Heppenheim</t>
        </is>
      </c>
      <c r="B32" s="4" t="inlineStr">
        <is>
          <t>4103-Erarbeiten Brandschutzkonzeptpläne….</t>
        </is>
      </c>
      <c r="C32" s="4" t="inlineStr">
        <is>
          <t>G</t>
        </is>
      </c>
      <c r="D32" s="4" t="n">
        <v>26.5</v>
      </c>
      <c r="E32" s="4" t="n">
        <v>34.25</v>
      </c>
      <c r="F32" s="4" t="n">
        <v>1</v>
      </c>
      <c r="G32" s="16" t="n">
        <v>129.25</v>
      </c>
      <c r="H32" s="5" t="n"/>
      <c r="I32" s="5">
        <f>IF(H32=0,"",F32-H32)</f>
        <v/>
      </c>
      <c r="J32" s="4" t="n"/>
      <c r="K32" s="5">
        <f>IF('O. Haag BS-CAD'!J56="R. Wagen CAD",'O. Haag BS-CAD'!I56,0)</f>
        <v/>
      </c>
      <c r="L32" s="11">
        <f>IF($B$2="-","",IF($B$2="Pauschale",IFERROR(INDEX('Projekt-Budget-Übersicht'!$H:$H,MATCH(A32,'Projekt-Budget-Übersicht'!$A:$A,0)),""),IF($B$2="SV",IFERROR(INDEX('Projekt-Budget-Übersicht'!$H:$H,MATCH(A32,'Projekt-Budget-Übersicht'!$A:$A,0)),""),IF($B$2="CAD",IFERROR(INDEX('Projekt-Budget-Übersicht'!$I:$I,MATCH(A32,'Projekt-Budget-Übersicht'!$A:$A,0)),""),IF($B$2="ADM",IFERROR(INDEX('Projekt-Budget-Übersicht'!$J:$J,MATCH(A32,'Projekt-Budget-Übersicht'!$A:$A,0)),""),"")))))</f>
        <v/>
      </c>
      <c r="M32" s="11">
        <f>IF($B$2="-","",L32*(F32+I32+K32))</f>
        <v/>
      </c>
      <c r="N32" s="11">
        <f>IFERROR(INDEX('Projekt-Budget-Übersicht'!$E:$E,MATCH(A32,'Projekt-Budget-Übersicht'!$A:$A,0)),"")</f>
        <v/>
      </c>
      <c r="O32" s="11" t="inlineStr"/>
      <c r="P32" s="11" t="inlineStr"/>
    </row>
    <row r="33">
      <c r="A33" s="4" t="inlineStr">
        <is>
          <t>4894.031 Aktualisierung-Pläne-BA1-Fiduciastraße-20-Karlsruhe</t>
        </is>
      </c>
      <c r="B33" s="4" t="inlineStr">
        <is>
          <t>9201-Erstellen od. Prüfen FuR pauschal</t>
        </is>
      </c>
      <c r="C33" s="4" t="inlineStr">
        <is>
          <t>G</t>
        </is>
      </c>
      <c r="D33" s="4" t="n">
        <v>0</v>
      </c>
      <c r="E33" s="4" t="n">
        <v>0</v>
      </c>
      <c r="F33" s="4" t="n">
        <v>0.75</v>
      </c>
      <c r="G33" s="4" t="n">
        <v>0</v>
      </c>
      <c r="H33" s="5" t="n"/>
      <c r="I33" s="5">
        <f>IF(H33=0,"",F33-H33)</f>
        <v/>
      </c>
      <c r="J33" s="4" t="n"/>
      <c r="K33" s="5" t="n">
        <v>0</v>
      </c>
      <c r="L33" s="11">
        <f>IF($B$2="-","",IF($B$2="Pauschale",IFERROR(INDEX('Projekt-Budget-Übersicht'!$H:$H,MATCH(A33,'Projekt-Budget-Übersicht'!$A:$A,0)),""),IF($B$2="SV",IFERROR(INDEX('Projekt-Budget-Übersicht'!$H:$H,MATCH(A33,'Projekt-Budget-Übersicht'!$A:$A,0)),""),IF($B$2="CAD",IFERROR(INDEX('Projekt-Budget-Übersicht'!$I:$I,MATCH(A33,'Projekt-Budget-Übersicht'!$A:$A,0)),""),IF($B$2="ADM",IFERROR(INDEX('Projekt-Budget-Übersicht'!$J:$J,MATCH(A33,'Projekt-Budget-Übersicht'!$A:$A,0)),""),"")))))</f>
        <v/>
      </c>
      <c r="M33" s="11">
        <f>IF($B$2="-","",L33*(F33+I33+K33))</f>
        <v/>
      </c>
      <c r="N33" s="11">
        <f>IFERROR(INDEX('Projekt-Budget-Übersicht'!$E:$E,MATCH(A33,'Projekt-Budget-Übersicht'!$A:$A,0)),"")</f>
        <v/>
      </c>
      <c r="O33" s="11" t="inlineStr"/>
      <c r="P33" s="11" t="inlineStr"/>
    </row>
    <row r="34">
      <c r="A34" s="13" t="inlineStr">
        <is>
          <t>4899.09 Berkel-FWP-Erbachstraße-18-Ludwigshafen</t>
        </is>
      </c>
      <c r="B34" s="4" t="inlineStr">
        <is>
          <t>(aN) Pos. 1 Aktualisierung der Flucht- und Rettungspläne (CAD)</t>
        </is>
      </c>
      <c r="C34" s="4" t="inlineStr">
        <is>
          <t>G</t>
        </is>
      </c>
      <c r="D34" s="4" t="n">
        <v>26</v>
      </c>
      <c r="E34" s="4" t="n">
        <v>27.5</v>
      </c>
      <c r="F34" s="4" t="n">
        <v>22.5</v>
      </c>
      <c r="G34" s="16" t="n">
        <v>105.77</v>
      </c>
      <c r="H34" s="5" t="n"/>
      <c r="I34" s="5">
        <f>IF(H34=0,"",F34-H34)</f>
        <v/>
      </c>
      <c r="J34" s="4" t="n"/>
      <c r="K34" s="5" t="n">
        <v>0</v>
      </c>
      <c r="L34" s="11">
        <f>IF($B$2="-","",IF($B$2="Pauschale",IFERROR(INDEX('Projekt-Budget-Übersicht'!$H:$H,MATCH(A34,'Projekt-Budget-Übersicht'!$A:$A,0)),""),IF($B$2="SV",IFERROR(INDEX('Projekt-Budget-Übersicht'!$H:$H,MATCH(A34,'Projekt-Budget-Übersicht'!$A:$A,0)),""),IF($B$2="CAD",IFERROR(INDEX('Projekt-Budget-Übersicht'!$I:$I,MATCH(A34,'Projekt-Budget-Übersicht'!$A:$A,0)),""),IF($B$2="ADM",IFERROR(INDEX('Projekt-Budget-Übersicht'!$J:$J,MATCH(A34,'Projekt-Budget-Übersicht'!$A:$A,0)),""),"")))))</f>
        <v/>
      </c>
      <c r="M34" s="11">
        <f>IF($B$2="-","",L34*(F34+I34+K34))</f>
        <v/>
      </c>
      <c r="N34" s="11">
        <f>IFERROR(INDEX('Projekt-Budget-Übersicht'!$E:$E,MATCH(A34,'Projekt-Budget-Übersicht'!$A:$A,0)),"")</f>
        <v/>
      </c>
      <c r="O34" s="11" t="inlineStr"/>
      <c r="P34" s="11" t="inlineStr"/>
    </row>
    <row r="35">
      <c r="A35" s="21" t="n"/>
      <c r="B35" s="4" t="inlineStr">
        <is>
          <t>(aN) Pos. 2 Begehung zu Bestandsaufnahme für die Flucht- und Rettungspläne (CAD)</t>
        </is>
      </c>
      <c r="C35" s="4" t="inlineStr">
        <is>
          <t>G</t>
        </is>
      </c>
      <c r="D35" s="4" t="n">
        <v>8</v>
      </c>
      <c r="E35" s="4" t="n">
        <v>9.25</v>
      </c>
      <c r="F35" s="4" t="n">
        <v>7</v>
      </c>
      <c r="G35" s="16" t="n">
        <v>115.62</v>
      </c>
      <c r="H35" s="5" t="n"/>
      <c r="I35" s="5">
        <f>IF(H35=0,"",F35-H35)</f>
        <v/>
      </c>
      <c r="J35" s="4" t="n"/>
      <c r="K35" s="5" t="n">
        <v>0</v>
      </c>
      <c r="L35" s="11">
        <f>IF($B$2="-","",IF($B$2="Pauschale",IFERROR(INDEX('Projekt-Budget-Übersicht'!$H:$H,MATCH(A35,'Projekt-Budget-Übersicht'!$A:$A,0)),""),IF($B$2="SV",IFERROR(INDEX('Projekt-Budget-Übersicht'!$H:$H,MATCH(A35,'Projekt-Budget-Übersicht'!$A:$A,0)),""),IF($B$2="CAD",IFERROR(INDEX('Projekt-Budget-Übersicht'!$I:$I,MATCH(A35,'Projekt-Budget-Übersicht'!$A:$A,0)),""),IF($B$2="ADM",IFERROR(INDEX('Projekt-Budget-Übersicht'!$J:$J,MATCH(A35,'Projekt-Budget-Übersicht'!$A:$A,0)),""),"")))))</f>
        <v/>
      </c>
      <c r="M35" s="11">
        <f>IF($B$2="-","",L35*(F35+I35+K35))</f>
        <v/>
      </c>
      <c r="N35" s="11">
        <f>IFERROR(INDEX('Projekt-Budget-Übersicht'!$E:$E,MATCH(A35,'Projekt-Budget-Übersicht'!$A:$A,0)),"")</f>
        <v/>
      </c>
      <c r="O35" s="11" t="inlineStr"/>
      <c r="P35" s="11" t="inlineStr"/>
    </row>
    <row r="36">
      <c r="A36" s="21" t="n"/>
      <c r="B36" s="4" t="inlineStr">
        <is>
          <t>(aN) Pos. 3 Überarbeitung der Feuerwehrpläne aufgrund neuer Vorgaben der Feuerwehr  (CAD)</t>
        </is>
      </c>
      <c r="C36" s="4" t="inlineStr">
        <is>
          <t>G</t>
        </is>
      </c>
      <c r="D36" s="4" t="n">
        <v>16</v>
      </c>
      <c r="E36" s="4" t="n">
        <v>13</v>
      </c>
      <c r="F36" s="4" t="n">
        <v>3.5</v>
      </c>
      <c r="G36" s="17" t="n">
        <v>81.25</v>
      </c>
      <c r="H36" s="5" t="n"/>
      <c r="I36" s="5">
        <f>IF(H36=0,"",F36-H36)</f>
        <v/>
      </c>
      <c r="J36" s="4" t="n"/>
      <c r="K36" s="5" t="n">
        <v>0</v>
      </c>
      <c r="L36" s="11">
        <f>IF($B$2="-","",IF($B$2="Pauschale",IFERROR(INDEX('Projekt-Budget-Übersicht'!$H:$H,MATCH(A36,'Projekt-Budget-Übersicht'!$A:$A,0)),""),IF($B$2="SV",IFERROR(INDEX('Projekt-Budget-Übersicht'!$H:$H,MATCH(A36,'Projekt-Budget-Übersicht'!$A:$A,0)),""),IF($B$2="CAD",IFERROR(INDEX('Projekt-Budget-Übersicht'!$I:$I,MATCH(A36,'Projekt-Budget-Übersicht'!$A:$A,0)),""),IF($B$2="ADM",IFERROR(INDEX('Projekt-Budget-Übersicht'!$J:$J,MATCH(A36,'Projekt-Budget-Übersicht'!$A:$A,0)),""),"")))))</f>
        <v/>
      </c>
      <c r="M36" s="11">
        <f>IF($B$2="-","",L36*(F36+I36+K36))</f>
        <v/>
      </c>
      <c r="N36" s="11">
        <f>IFERROR(INDEX('Projekt-Budget-Übersicht'!$E:$E,MATCH(A36,'Projekt-Budget-Übersicht'!$A:$A,0)),"")</f>
        <v/>
      </c>
      <c r="O36" s="11" t="inlineStr"/>
      <c r="P36" s="11" t="inlineStr"/>
    </row>
    <row r="37">
      <c r="A37" s="15" t="n"/>
      <c r="B37" s="4" t="inlineStr">
        <is>
          <t>(p) Pos. 1 Aktualisierung der Feuerwehrpläne</t>
        </is>
      </c>
      <c r="C37" s="4" t="inlineStr">
        <is>
          <t>G</t>
        </is>
      </c>
      <c r="D37" s="4" t="n">
        <v>55</v>
      </c>
      <c r="E37" s="4" t="n">
        <v>59.75</v>
      </c>
      <c r="F37" s="4" t="n">
        <v>2.75</v>
      </c>
      <c r="G37" s="16" t="n">
        <v>108.64</v>
      </c>
      <c r="H37" s="5" t="n"/>
      <c r="I37" s="5">
        <f>IF(H37=0,"",F37-H37)</f>
        <v/>
      </c>
      <c r="J37" s="4" t="n"/>
      <c r="K37" s="5" t="n">
        <v>0</v>
      </c>
      <c r="L37" s="11">
        <f>IF($B$2="-","",IF($B$2="Pauschale",IFERROR(INDEX('Projekt-Budget-Übersicht'!$H:$H,MATCH(A37,'Projekt-Budget-Übersicht'!$A:$A,0)),""),IF($B$2="SV",IFERROR(INDEX('Projekt-Budget-Übersicht'!$H:$H,MATCH(A37,'Projekt-Budget-Übersicht'!$A:$A,0)),""),IF($B$2="CAD",IFERROR(INDEX('Projekt-Budget-Übersicht'!$I:$I,MATCH(A37,'Projekt-Budget-Übersicht'!$A:$A,0)),""),IF($B$2="ADM",IFERROR(INDEX('Projekt-Budget-Übersicht'!$J:$J,MATCH(A37,'Projekt-Budget-Übersicht'!$A:$A,0)),""),"")))))</f>
        <v/>
      </c>
      <c r="M37" s="11">
        <f>IF($B$2="-","",L37*(F37+I37+K37))</f>
        <v/>
      </c>
      <c r="N37" s="11">
        <f>IFERROR(INDEX('Projekt-Budget-Übersicht'!$E:$E,MATCH(A37,'Projekt-Budget-Übersicht'!$A:$A,0)),"")</f>
        <v/>
      </c>
      <c r="O37" s="11" t="inlineStr"/>
      <c r="P37" s="11" t="inlineStr"/>
    </row>
    <row r="38">
      <c r="A38" s="4" t="inlineStr">
        <is>
          <t>5328.06 Flugfeldklinikum-Böblingen-Fortschr-BSK-FFK</t>
        </is>
      </c>
      <c r="B38" s="4" t="inlineStr">
        <is>
          <t>4103-Erarbeiten Brandschutzkonzeptpläne….</t>
        </is>
      </c>
      <c r="C38" s="4" t="inlineStr">
        <is>
          <t>G</t>
        </is>
      </c>
      <c r="D38" s="4" t="n">
        <v>160</v>
      </c>
      <c r="E38" s="4" t="n">
        <v>291</v>
      </c>
      <c r="F38" s="4" t="n">
        <v>46.25</v>
      </c>
      <c r="G38" s="16" t="n">
        <v>181.88</v>
      </c>
      <c r="H38" s="5" t="n"/>
      <c r="I38" s="5">
        <f>IF(H38=0,"",F38-H38)</f>
        <v/>
      </c>
      <c r="J38" s="4" t="n"/>
      <c r="K38" s="5" t="n">
        <v>0</v>
      </c>
      <c r="L38" s="11">
        <f>IF($B$2="-","",IF($B$2="Pauschale",IFERROR(INDEX('Projekt-Budget-Übersicht'!$H:$H,MATCH(A38,'Projekt-Budget-Übersicht'!$A:$A,0)),""),IF($B$2="SV",IFERROR(INDEX('Projekt-Budget-Übersicht'!$H:$H,MATCH(A38,'Projekt-Budget-Übersicht'!$A:$A,0)),""),IF($B$2="CAD",IFERROR(INDEX('Projekt-Budget-Übersicht'!$I:$I,MATCH(A38,'Projekt-Budget-Übersicht'!$A:$A,0)),""),IF($B$2="ADM",IFERROR(INDEX('Projekt-Budget-Übersicht'!$J:$J,MATCH(A38,'Projekt-Budget-Übersicht'!$A:$A,0)),""),"")))))</f>
        <v/>
      </c>
      <c r="M38" s="11">
        <f>IF($B$2="-","",L38*(F38+I38+K38))</f>
        <v/>
      </c>
      <c r="N38" s="11">
        <f>IFERROR(INDEX('Projekt-Budget-Übersicht'!$E:$E,MATCH(A38,'Projekt-Budget-Übersicht'!$A:$A,0)),"")</f>
        <v/>
      </c>
      <c r="O38" s="11" t="inlineStr"/>
      <c r="P38" s="11" t="inlineStr"/>
    </row>
    <row r="39">
      <c r="A39" s="4" t="inlineStr">
        <is>
          <t>5607.06 Pläne-NB-J4-Zentralinstitut-für-seelische-Gesundheit-Mannheim</t>
        </is>
      </c>
      <c r="B39" s="4" t="inlineStr">
        <is>
          <t>9200-Erstellen od. Prüfen Feuerwehrpläne….</t>
        </is>
      </c>
      <c r="C39" s="4" t="inlineStr">
        <is>
          <t>G</t>
        </is>
      </c>
      <c r="D39" s="4" t="n">
        <v>57</v>
      </c>
      <c r="E39" s="4" t="n">
        <v>27.25</v>
      </c>
      <c r="F39" s="4" t="n">
        <v>0.5</v>
      </c>
      <c r="G39" s="17" t="n">
        <v>47.81</v>
      </c>
      <c r="H39" s="5" t="n"/>
      <c r="I39" s="5">
        <f>IF(H39=0,"",F39-H39)</f>
        <v/>
      </c>
      <c r="J39" s="4" t="n"/>
      <c r="K39" s="5" t="n">
        <v>0</v>
      </c>
      <c r="L39" s="11">
        <f>IF($B$2="-","",IF($B$2="Pauschale",IFERROR(INDEX('Projekt-Budget-Übersicht'!$H:$H,MATCH(A39,'Projekt-Budget-Übersicht'!$A:$A,0)),""),IF($B$2="SV",IFERROR(INDEX('Projekt-Budget-Übersicht'!$H:$H,MATCH(A39,'Projekt-Budget-Übersicht'!$A:$A,0)),""),IF($B$2="CAD",IFERROR(INDEX('Projekt-Budget-Übersicht'!$I:$I,MATCH(A39,'Projekt-Budget-Übersicht'!$A:$A,0)),""),IF($B$2="ADM",IFERROR(INDEX('Projekt-Budget-Übersicht'!$J:$J,MATCH(A39,'Projekt-Budget-Übersicht'!$A:$A,0)),""),"")))))</f>
        <v/>
      </c>
      <c r="M39" s="11">
        <f>IF($B$2="-","",L39*(F39+I39+K39))</f>
        <v/>
      </c>
      <c r="N39" s="11">
        <f>IFERROR(INDEX('Projekt-Budget-Übersicht'!$E:$E,MATCH(A39,'Projekt-Budget-Übersicht'!$A:$A,0)),"")</f>
        <v/>
      </c>
      <c r="O39" s="11" t="inlineStr"/>
      <c r="P39" s="11" t="inlineStr"/>
    </row>
    <row r="40">
      <c r="A40" s="4" t="inlineStr">
        <is>
          <t>5793 Eschholzstraße-118-Freiburg-Rettungszentrum</t>
        </is>
      </c>
      <c r="B40" s="4" t="inlineStr">
        <is>
          <t>BL FWP</t>
        </is>
      </c>
      <c r="C40" s="4" t="inlineStr">
        <is>
          <t>G</t>
        </is>
      </c>
      <c r="D40" s="4" t="n">
        <v>24</v>
      </c>
      <c r="E40" s="4" t="n">
        <v>41.5</v>
      </c>
      <c r="F40" s="4" t="n">
        <v>0.5</v>
      </c>
      <c r="G40" s="16" t="n">
        <v>172.92</v>
      </c>
      <c r="H40" s="5" t="n"/>
      <c r="I40" s="5">
        <f>IF(H40=0,"",F40-H40)</f>
        <v/>
      </c>
      <c r="J40" s="4" t="n"/>
      <c r="K40" s="5" t="n">
        <v>0</v>
      </c>
      <c r="L40" s="11">
        <f>IF($B$2="-","",IF($B$2="Pauschale",IFERROR(INDEX('Projekt-Budget-Übersicht'!$H:$H,MATCH(A40,'Projekt-Budget-Übersicht'!$A:$A,0)),""),IF($B$2="SV",IFERROR(INDEX('Projekt-Budget-Übersicht'!$H:$H,MATCH(A40,'Projekt-Budget-Übersicht'!$A:$A,0)),""),IF($B$2="CAD",IFERROR(INDEX('Projekt-Budget-Übersicht'!$I:$I,MATCH(A40,'Projekt-Budget-Übersicht'!$A:$A,0)),""),IF($B$2="ADM",IFERROR(INDEX('Projekt-Budget-Übersicht'!$J:$J,MATCH(A40,'Projekt-Budget-Übersicht'!$A:$A,0)),""),"")))))</f>
        <v/>
      </c>
      <c r="M40" s="11">
        <f>IF($B$2="-","",L40*(F40+I40+K40))</f>
        <v/>
      </c>
      <c r="N40" s="11">
        <f>IFERROR(INDEX('Projekt-Budget-Übersicht'!$E:$E,MATCH(A40,'Projekt-Budget-Übersicht'!$A:$A,0)),"")</f>
        <v/>
      </c>
      <c r="O40" s="11" t="inlineStr"/>
      <c r="P40" s="11" t="inlineStr"/>
    </row>
    <row r="41">
      <c r="A41" s="4" t="inlineStr">
        <is>
          <t>6285.13 Clarus-FWP-Opernplatz-14-Frankfurt</t>
        </is>
      </c>
      <c r="B41" s="4" t="inlineStr">
        <is>
          <t>9200-Erstellen od. Prüfen Feuerwehrpläne….</t>
        </is>
      </c>
      <c r="C41" s="4" t="inlineStr">
        <is>
          <t>G</t>
        </is>
      </c>
      <c r="D41" s="4" t="n">
        <v>30</v>
      </c>
      <c r="E41" s="4" t="n">
        <v>12</v>
      </c>
      <c r="F41" s="4" t="n">
        <v>1.75</v>
      </c>
      <c r="G41" s="17" t="n">
        <v>40</v>
      </c>
      <c r="H41" s="5" t="n"/>
      <c r="I41" s="5">
        <f>IF(H41=0,"",F41-H41)</f>
        <v/>
      </c>
      <c r="J41" s="4" t="n"/>
      <c r="K41" s="5">
        <f>IF('O. Haag BS-CAD'!J64="R. Wagen CAD",'O. Haag BS-CAD'!I64,0)</f>
        <v/>
      </c>
      <c r="L41" s="11">
        <f>IF($B$2="-","",IF($B$2="Pauschale",IFERROR(INDEX('Projekt-Budget-Übersicht'!$H:$H,MATCH(A41,'Projekt-Budget-Übersicht'!$A:$A,0)),""),IF($B$2="SV",IFERROR(INDEX('Projekt-Budget-Übersicht'!$H:$H,MATCH(A41,'Projekt-Budget-Übersicht'!$A:$A,0)),""),IF($B$2="CAD",IFERROR(INDEX('Projekt-Budget-Übersicht'!$I:$I,MATCH(A41,'Projekt-Budget-Übersicht'!$A:$A,0)),""),IF($B$2="ADM",IFERROR(INDEX('Projekt-Budget-Übersicht'!$J:$J,MATCH(A41,'Projekt-Budget-Übersicht'!$A:$A,0)),""),"")))))</f>
        <v/>
      </c>
      <c r="M41" s="11">
        <f>IF($B$2="-","",L41*(F41+I41+K41))</f>
        <v/>
      </c>
      <c r="N41" s="11">
        <f>IFERROR(INDEX('Projekt-Budget-Übersicht'!$E:$E,MATCH(A41,'Projekt-Budget-Übersicht'!$A:$A,0)),"")</f>
        <v/>
      </c>
      <c r="O41" s="11" t="inlineStr"/>
      <c r="P41" s="11" t="inlineStr"/>
    </row>
    <row r="42">
      <c r="A42" s="4" t="inlineStr">
        <is>
          <t>6704 BSK-BTB+FWP-FuR-ZsG-Lörrach</t>
        </is>
      </c>
      <c r="B42" s="4" t="inlineStr">
        <is>
          <t>(p) Pos. 1 Feuerwehrpläne LP 9</t>
        </is>
      </c>
      <c r="C42" s="4" t="inlineStr">
        <is>
          <t>G</t>
        </is>
      </c>
      <c r="D42" s="4" t="n">
        <v>154</v>
      </c>
      <c r="E42" s="4" t="n">
        <v>96.25</v>
      </c>
      <c r="F42" s="4" t="n">
        <v>0.5</v>
      </c>
      <c r="G42" s="17" t="n">
        <v>62.5</v>
      </c>
      <c r="H42" s="5" t="n"/>
      <c r="I42" s="5">
        <f>IF(H42=0,"",F42-H42)</f>
        <v/>
      </c>
      <c r="J42" s="4" t="n"/>
      <c r="K42" s="5">
        <f>IF('O. Haag BS-CAD'!J67="R. Wagen CAD",'O. Haag BS-CAD'!I67,0)</f>
        <v/>
      </c>
      <c r="L42" s="11">
        <f>IF($B$2="-","",IF($B$2="Pauschale",IFERROR(INDEX('Projekt-Budget-Übersicht'!$H:$H,MATCH(A42,'Projekt-Budget-Übersicht'!$A:$A,0)),""),IF($B$2="SV",IFERROR(INDEX('Projekt-Budget-Übersicht'!$H:$H,MATCH(A42,'Projekt-Budget-Übersicht'!$A:$A,0)),""),IF($B$2="CAD",IFERROR(INDEX('Projekt-Budget-Übersicht'!$I:$I,MATCH(A42,'Projekt-Budget-Übersicht'!$A:$A,0)),""),IF($B$2="ADM",IFERROR(INDEX('Projekt-Budget-Übersicht'!$J:$J,MATCH(A42,'Projekt-Budget-Übersicht'!$A:$A,0)),""),"")))))</f>
        <v/>
      </c>
      <c r="M42" s="11">
        <f>IF($B$2="-","",L42*(F42+I42+K42))</f>
        <v/>
      </c>
      <c r="N42" s="11">
        <f>IFERROR(INDEX('Projekt-Budget-Übersicht'!$E:$E,MATCH(A42,'Projekt-Budget-Übersicht'!$A:$A,0)),"")</f>
        <v/>
      </c>
      <c r="O42" s="11" t="inlineStr"/>
      <c r="P42" s="11" t="inlineStr"/>
    </row>
    <row r="43">
      <c r="A43" s="4" t="inlineStr">
        <is>
          <t>6974 IO-Diehl-Fast-Track-V2-AHO-Liegenschaft-Maasberg-Mariahütte</t>
        </is>
      </c>
      <c r="B43" s="4" t="inlineStr">
        <is>
          <t>CAD</t>
        </is>
      </c>
      <c r="C43" s="4" t="inlineStr">
        <is>
          <t>G</t>
        </is>
      </c>
      <c r="D43" s="4" t="n">
        <v>0</v>
      </c>
      <c r="E43" s="4" t="n">
        <v>0</v>
      </c>
      <c r="F43" s="4" t="n">
        <v>24.5</v>
      </c>
      <c r="G43" s="4" t="n">
        <v>0</v>
      </c>
      <c r="H43" s="5" t="n"/>
      <c r="I43" s="5">
        <f>IF(H43=0,"",F43-H43)</f>
        <v/>
      </c>
      <c r="J43" s="4" t="n"/>
      <c r="K43" s="5" t="n">
        <v>0</v>
      </c>
      <c r="L43" s="11">
        <f>IF($B$2="-","",IF($B$2="Pauschale",IFERROR(INDEX('Projekt-Budget-Übersicht'!$H:$H,MATCH(A43,'Projekt-Budget-Übersicht'!$A:$A,0)),""),IF($B$2="SV",IFERROR(INDEX('Projekt-Budget-Übersicht'!$H:$H,MATCH(A43,'Projekt-Budget-Übersicht'!$A:$A,0)),""),IF($B$2="CAD",IFERROR(INDEX('Projekt-Budget-Übersicht'!$I:$I,MATCH(A43,'Projekt-Budget-Übersicht'!$A:$A,0)),""),IF($B$2="ADM",IFERROR(INDEX('Projekt-Budget-Übersicht'!$J:$J,MATCH(A43,'Projekt-Budget-Übersicht'!$A:$A,0)),""),"")))))</f>
        <v/>
      </c>
      <c r="M43" s="11">
        <f>IF($B$2="-","",L43*(F43+I43+K43))</f>
        <v/>
      </c>
      <c r="N43" s="11">
        <f>IFERROR(INDEX('Projekt-Budget-Übersicht'!$E:$E,MATCH(A43,'Projekt-Budget-Übersicht'!$A:$A,0)),"")</f>
        <v/>
      </c>
      <c r="O43" s="11" t="inlineStr"/>
      <c r="P43" s="11" t="inlineStr"/>
    </row>
    <row r="44">
      <c r="A44" s="4" t="inlineStr">
        <is>
          <t>7169 FRP-Pollhornbogen-8-Hamburg-svt</t>
        </is>
      </c>
      <c r="B44" s="4" t="inlineStr">
        <is>
          <t>9201-Erstellen od. Prüfen Flucht- und Rettungspläne….</t>
        </is>
      </c>
      <c r="C44" s="4" t="inlineStr">
        <is>
          <t>G</t>
        </is>
      </c>
      <c r="D44" s="4" t="n">
        <v>8</v>
      </c>
      <c r="E44" s="4" t="n">
        <v>4.5</v>
      </c>
      <c r="F44" s="4" t="n">
        <v>0.75</v>
      </c>
      <c r="G44" s="17" t="n">
        <v>56.25</v>
      </c>
      <c r="H44" s="5" t="n"/>
      <c r="I44" s="5">
        <f>IF(H44=0,"",F44-H44)</f>
        <v/>
      </c>
      <c r="J44" s="4" t="n"/>
      <c r="K44" s="5">
        <f>IF('O. Haag BS-CAD'!J72="R. Wagen CAD",'O. Haag BS-CAD'!I72,0)</f>
        <v/>
      </c>
      <c r="L44" s="11">
        <f>IF($B$2="-","",IF($B$2="Pauschale",IFERROR(INDEX('Projekt-Budget-Übersicht'!$H:$H,MATCH(A44,'Projekt-Budget-Übersicht'!$A:$A,0)),""),IF($B$2="SV",IFERROR(INDEX('Projekt-Budget-Übersicht'!$H:$H,MATCH(A44,'Projekt-Budget-Übersicht'!$A:$A,0)),""),IF($B$2="CAD",IFERROR(INDEX('Projekt-Budget-Übersicht'!$I:$I,MATCH(A44,'Projekt-Budget-Übersicht'!$A:$A,0)),""),IF($B$2="ADM",IFERROR(INDEX('Projekt-Budget-Übersicht'!$J:$J,MATCH(A44,'Projekt-Budget-Übersicht'!$A:$A,0)),""),"")))))</f>
        <v/>
      </c>
      <c r="M44" s="11">
        <f>IF($B$2="-","",L44*(F44+I44+K44))</f>
        <v/>
      </c>
      <c r="N44" s="11">
        <f>IFERROR(INDEX('Projekt-Budget-Übersicht'!$E:$E,MATCH(A44,'Projekt-Budget-Übersicht'!$A:$A,0)),"")</f>
        <v/>
      </c>
      <c r="O44" s="11" t="inlineStr"/>
      <c r="P44" s="11" t="inlineStr"/>
    </row>
    <row r="45">
      <c r="A45" s="4" t="inlineStr">
        <is>
          <t>7405 VWPA-BSK-WEA-Hollfeld-Daniel-Koglin</t>
        </is>
      </c>
      <c r="B45" s="4" t="inlineStr">
        <is>
          <t>CAD</t>
        </is>
      </c>
      <c r="C45" s="4" t="inlineStr">
        <is>
          <t>G</t>
        </is>
      </c>
      <c r="D45" s="4" t="n">
        <v>5</v>
      </c>
      <c r="E45" s="4" t="n">
        <v>5</v>
      </c>
      <c r="F45" s="4" t="n">
        <v>5</v>
      </c>
      <c r="G45" s="14" t="n">
        <v>100</v>
      </c>
      <c r="H45" s="5" t="n"/>
      <c r="I45" s="5">
        <f>IF(H45=0,"",F45-H45)</f>
        <v/>
      </c>
      <c r="J45" s="4" t="n"/>
      <c r="K45" s="5" t="n">
        <v>0</v>
      </c>
      <c r="L45" s="11">
        <f>IF($B$2="-","",IF($B$2="Pauschale",IFERROR(INDEX('Projekt-Budget-Übersicht'!$H:$H,MATCH(A45,'Projekt-Budget-Übersicht'!$A:$A,0)),""),IF($B$2="SV",IFERROR(INDEX('Projekt-Budget-Übersicht'!$H:$H,MATCH(A45,'Projekt-Budget-Übersicht'!$A:$A,0)),""),IF($B$2="CAD",IFERROR(INDEX('Projekt-Budget-Übersicht'!$I:$I,MATCH(A45,'Projekt-Budget-Übersicht'!$A:$A,0)),""),IF($B$2="ADM",IFERROR(INDEX('Projekt-Budget-Übersicht'!$J:$J,MATCH(A45,'Projekt-Budget-Übersicht'!$A:$A,0)),""),"")))))</f>
        <v/>
      </c>
      <c r="M45" s="11">
        <f>IF($B$2="-","",L45*(F45+I45+K45))</f>
        <v/>
      </c>
      <c r="N45" s="11">
        <f>IFERROR(INDEX('Projekt-Budget-Übersicht'!$E:$E,MATCH(A45,'Projekt-Budget-Übersicht'!$A:$A,0)),"")</f>
        <v/>
      </c>
      <c r="O45" s="11" t="inlineStr"/>
      <c r="P45" s="11" t="inlineStr"/>
    </row>
    <row r="46">
      <c r="A46" s="4" t="inlineStr">
        <is>
          <t>7422 Energieprojekte-DK-BSK-WEA-Aschbach-Ilmenau</t>
        </is>
      </c>
      <c r="B46" s="4" t="inlineStr">
        <is>
          <t>CAD</t>
        </is>
      </c>
      <c r="C46" s="4" t="inlineStr">
        <is>
          <t>G</t>
        </is>
      </c>
      <c r="D46" s="4" t="n">
        <v>5</v>
      </c>
      <c r="E46" s="4" t="n">
        <v>5</v>
      </c>
      <c r="F46" s="4" t="n">
        <v>5</v>
      </c>
      <c r="G46" s="14" t="n">
        <v>100</v>
      </c>
      <c r="H46" s="5" t="n"/>
      <c r="I46" s="5">
        <f>IF(H46=0,"",F46-H46)</f>
        <v/>
      </c>
      <c r="J46" s="4" t="n"/>
      <c r="K46" s="5" t="n">
        <v>0</v>
      </c>
      <c r="L46" s="11">
        <f>IF($B$2="-","",IF($B$2="Pauschale",IFERROR(INDEX('Projekt-Budget-Übersicht'!$H:$H,MATCH(A46,'Projekt-Budget-Übersicht'!$A:$A,0)),""),IF($B$2="SV",IFERROR(INDEX('Projekt-Budget-Übersicht'!$H:$H,MATCH(A46,'Projekt-Budget-Übersicht'!$A:$A,0)),""),IF($B$2="CAD",IFERROR(INDEX('Projekt-Budget-Übersicht'!$I:$I,MATCH(A46,'Projekt-Budget-Übersicht'!$A:$A,0)),""),IF($B$2="ADM",IFERROR(INDEX('Projekt-Budget-Übersicht'!$J:$J,MATCH(A46,'Projekt-Budget-Übersicht'!$A:$A,0)),""),"")))))</f>
        <v/>
      </c>
      <c r="M46" s="11">
        <f>IF($B$2="-","",L46*(F46+I46+K46))</f>
        <v/>
      </c>
      <c r="N46" s="11">
        <f>IFERROR(INDEX('Projekt-Budget-Übersicht'!$E:$E,MATCH(A46,'Projekt-Budget-Übersicht'!$A:$A,0)),"")</f>
        <v/>
      </c>
      <c r="O46" s="11" t="inlineStr"/>
      <c r="P46" s="11" t="inlineStr"/>
    </row>
    <row r="47">
      <c r="A47" s="4" t="inlineStr">
        <is>
          <t>7435 wiwi-BSK-WEA-Spiesheim-Wörrstadt-Ost</t>
        </is>
      </c>
      <c r="B47" s="4" t="inlineStr">
        <is>
          <t>CAD</t>
        </is>
      </c>
      <c r="C47" s="4" t="inlineStr">
        <is>
          <t>G</t>
        </is>
      </c>
      <c r="D47" s="4" t="n">
        <v>4</v>
      </c>
      <c r="E47" s="4" t="n">
        <v>4</v>
      </c>
      <c r="F47" s="4" t="n">
        <v>3</v>
      </c>
      <c r="G47" s="14" t="n">
        <v>100</v>
      </c>
      <c r="H47" s="5" t="n"/>
      <c r="I47" s="5">
        <f>IF(H47=0,"",F47-H47)</f>
        <v/>
      </c>
      <c r="J47" s="4" t="n"/>
      <c r="K47" s="5" t="n">
        <v>0</v>
      </c>
      <c r="L47" s="11">
        <f>IF($B$2="-","",IF($B$2="Pauschale",IFERROR(INDEX('Projekt-Budget-Übersicht'!$H:$H,MATCH(A47,'Projekt-Budget-Übersicht'!$A:$A,0)),""),IF($B$2="SV",IFERROR(INDEX('Projekt-Budget-Übersicht'!$H:$H,MATCH(A47,'Projekt-Budget-Übersicht'!$A:$A,0)),""),IF($B$2="CAD",IFERROR(INDEX('Projekt-Budget-Übersicht'!$I:$I,MATCH(A47,'Projekt-Budget-Übersicht'!$A:$A,0)),""),IF($B$2="ADM",IFERROR(INDEX('Projekt-Budget-Übersicht'!$J:$J,MATCH(A47,'Projekt-Budget-Übersicht'!$A:$A,0)),""),"")))))</f>
        <v/>
      </c>
      <c r="M47" s="11">
        <f>IF($B$2="-","",L47*(F47+I47+K47))</f>
        <v/>
      </c>
      <c r="N47" s="11">
        <f>IFERROR(INDEX('Projekt-Budget-Übersicht'!$E:$E,MATCH(A47,'Projekt-Budget-Übersicht'!$A:$A,0)),"")</f>
        <v/>
      </c>
      <c r="O47" s="11" t="inlineStr"/>
      <c r="P47" s="11" t="inlineStr"/>
    </row>
    <row r="48">
      <c r="A48" s="4" t="inlineStr">
        <is>
          <t>7437 MVV-BSK-UW3-Käfertal-Mannheim</t>
        </is>
      </c>
      <c r="B48" s="4" t="inlineStr">
        <is>
          <t>Erarbeiten Brandschutzkonzeptpläne</t>
        </is>
      </c>
      <c r="C48" s="4" t="inlineStr">
        <is>
          <t>G</t>
        </is>
      </c>
      <c r="D48" s="4" t="n">
        <v>10</v>
      </c>
      <c r="E48" s="4" t="n">
        <v>10</v>
      </c>
      <c r="F48" s="4" t="n">
        <v>10</v>
      </c>
      <c r="G48" s="14" t="n">
        <v>100</v>
      </c>
      <c r="H48" s="5" t="n"/>
      <c r="I48" s="5">
        <f>IF(H48=0,"",F48-H48)</f>
        <v/>
      </c>
      <c r="J48" s="4" t="n"/>
      <c r="K48" s="5" t="n">
        <v>0</v>
      </c>
      <c r="L48" s="11">
        <f>IF($B$2="-","",IF($B$2="Pauschale",IFERROR(INDEX('Projekt-Budget-Übersicht'!$H:$H,MATCH(A48,'Projekt-Budget-Übersicht'!$A:$A,0)),""),IF($B$2="SV",IFERROR(INDEX('Projekt-Budget-Übersicht'!$H:$H,MATCH(A48,'Projekt-Budget-Übersicht'!$A:$A,0)),""),IF($B$2="CAD",IFERROR(INDEX('Projekt-Budget-Übersicht'!$I:$I,MATCH(A48,'Projekt-Budget-Übersicht'!$A:$A,0)),""),IF($B$2="ADM",IFERROR(INDEX('Projekt-Budget-Übersicht'!$J:$J,MATCH(A48,'Projekt-Budget-Übersicht'!$A:$A,0)),""),"")))))</f>
        <v/>
      </c>
      <c r="M48" s="11">
        <f>IF($B$2="-","",L48*(F48+I48+K48))</f>
        <v/>
      </c>
      <c r="N48" s="11">
        <f>IFERROR(INDEX('Projekt-Budget-Übersicht'!$E:$E,MATCH(A48,'Projekt-Budget-Übersicht'!$A:$A,0)),"")</f>
        <v/>
      </c>
      <c r="O48" s="11" t="inlineStr"/>
      <c r="P48" s="11" t="inlineStr"/>
    </row>
    <row r="49">
      <c r="A49" s="3" t="inlineStr"/>
      <c r="B49" s="3" t="inlineStr">
        <is>
          <t>Summe</t>
        </is>
      </c>
      <c r="C49" s="3" t="inlineStr"/>
      <c r="D49" s="3" t="inlineStr"/>
      <c r="E49" s="3" t="inlineStr"/>
      <c r="F49" s="6" t="n">
        <v>143.25</v>
      </c>
      <c r="G49" s="3" t="inlineStr"/>
      <c r="H49" s="3" t="inlineStr"/>
      <c r="I49" s="3" t="inlineStr"/>
      <c r="J49" s="3" t="inlineStr"/>
      <c r="K49" s="3" t="inlineStr"/>
      <c r="L49" s="3" t="n"/>
      <c r="M49" s="3" t="n"/>
      <c r="N49" s="3" t="n"/>
      <c r="O49" s="3" t="n"/>
      <c r="P49" s="3" t="n"/>
    </row>
    <row r="50">
      <c r="A50" s="3" t="inlineStr"/>
      <c r="B50" s="3" t="inlineStr">
        <is>
          <t>Bonusberechtigte Stunden</t>
        </is>
      </c>
      <c r="C50" s="3" t="inlineStr"/>
      <c r="D50" s="3" t="inlineStr"/>
      <c r="E50" s="3" t="inlineStr"/>
      <c r="F50" s="6">
        <f>G50+H50</f>
        <v/>
      </c>
      <c r="G50" s="6" t="n">
        <v>55.25</v>
      </c>
      <c r="H50" s="6">
        <f>SUM(H32,H33,H34,H35,H36,H37,H38,H39,H40,H41,H42,H43,H44,H45,H46,H47,H48)</f>
        <v/>
      </c>
      <c r="I50" s="3" t="inlineStr"/>
      <c r="J50" s="3" t="inlineStr"/>
      <c r="K50" s="3" t="inlineStr"/>
      <c r="L50" s="3" t="inlineStr"/>
      <c r="M50" s="3" t="inlineStr"/>
      <c r="N50" s="3" t="inlineStr"/>
      <c r="O50" s="3" t="inlineStr"/>
      <c r="P50" s="3" t="inlineStr"/>
    </row>
    <row r="51">
      <c r="A51" s="3" t="inlineStr"/>
      <c r="B51" s="3" t="inlineStr">
        <is>
          <t>Bonusberechtigte Stunden Sonderprojekt</t>
        </is>
      </c>
      <c r="C51" s="3" t="inlineStr"/>
      <c r="D51" s="3" t="inlineStr"/>
      <c r="E51" s="3" t="inlineStr"/>
      <c r="F51" s="6">
        <f>G51+H51</f>
        <v/>
      </c>
      <c r="G51" s="6" t="n">
        <v>8</v>
      </c>
      <c r="H51" s="6">
        <f>SUM(H31)</f>
        <v/>
      </c>
      <c r="I51" s="3" t="inlineStr"/>
      <c r="J51" s="3" t="inlineStr"/>
      <c r="K51" s="3" t="inlineStr"/>
      <c r="L51" s="3" t="inlineStr"/>
      <c r="M51" s="3" t="inlineStr"/>
      <c r="N51" s="3" t="inlineStr"/>
      <c r="O51" s="3" t="inlineStr"/>
      <c r="P51" s="3" t="inlineStr"/>
    </row>
    <row r="52">
      <c r="A52" s="3" t="inlineStr"/>
      <c r="B52" s="3" t="inlineStr">
        <is>
          <t>Zugeordnete Stunden von anderen MA</t>
        </is>
      </c>
      <c r="C52" s="3" t="inlineStr"/>
      <c r="D52" s="3" t="inlineStr"/>
      <c r="E52" s="3" t="inlineStr"/>
      <c r="F52" s="6">
        <f>SUM(K31:K48)</f>
        <v/>
      </c>
      <c r="G52" s="3" t="inlineStr"/>
      <c r="H52" s="3" t="inlineStr"/>
      <c r="I52" s="3" t="inlineStr"/>
      <c r="J52" s="3" t="inlineStr"/>
      <c r="K52" s="3" t="inlineStr"/>
      <c r="L52" s="3" t="inlineStr"/>
      <c r="M52" s="3" t="inlineStr"/>
      <c r="N52" s="3" t="inlineStr"/>
      <c r="O52" s="3" t="inlineStr"/>
      <c r="P52" s="3" t="inlineStr"/>
    </row>
    <row r="53">
      <c r="A53" s="18" t="inlineStr"/>
      <c r="B53" s="18" t="inlineStr">
        <is>
          <t>Gesamt Bonus Stunden</t>
        </is>
      </c>
      <c r="C53" s="18" t="inlineStr"/>
      <c r="D53" s="18" t="inlineStr"/>
      <c r="E53" s="18" t="inlineStr"/>
      <c r="F53" s="19">
        <f>F50+F51+F52</f>
        <v/>
      </c>
      <c r="G53" s="18" t="inlineStr"/>
      <c r="H53" s="18" t="inlineStr"/>
      <c r="I53" s="18" t="inlineStr"/>
      <c r="J53" s="18" t="inlineStr"/>
      <c r="K53" s="18" t="inlineStr"/>
      <c r="L53" s="18" t="n"/>
      <c r="M53" s="18" t="n"/>
      <c r="N53" s="18" t="n"/>
      <c r="O53" s="18" t="n"/>
      <c r="P53" s="18" t="n"/>
    </row>
    <row r="55">
      <c r="A55" s="2" t="inlineStr">
        <is>
          <t>--- September 2025 ---</t>
        </is>
      </c>
    </row>
    <row r="56">
      <c r="A56" s="3" t="inlineStr">
        <is>
          <t>Projekt</t>
        </is>
      </c>
      <c r="B56" s="3" t="inlineStr">
        <is>
          <t>Meilenstein</t>
        </is>
      </c>
      <c r="C56" s="3" t="inlineStr">
        <is>
          <t>Typ</t>
        </is>
      </c>
      <c r="D56" s="3" t="inlineStr">
        <is>
          <t>Soll (h)</t>
        </is>
      </c>
      <c r="E56" s="3" t="inlineStr">
        <is>
          <t>Ist (h)</t>
        </is>
      </c>
      <c r="F56" s="3" t="inlineStr">
        <is>
          <t>September 2025 (h)</t>
        </is>
      </c>
      <c r="G56" s="3" t="inlineStr">
        <is>
          <t>%</t>
        </is>
      </c>
      <c r="H56" s="3" t="inlineStr">
        <is>
          <t>Bonus-Anpassung (h)</t>
        </is>
      </c>
      <c r="I56" s="3" t="inlineStr">
        <is>
          <t>Differenz (h)</t>
        </is>
      </c>
      <c r="J56" s="3" t="inlineStr">
        <is>
          <t>Zuordnen an</t>
        </is>
      </c>
      <c r="K56" s="3" t="inlineStr">
        <is>
          <t>Von anderen (h)</t>
        </is>
      </c>
      <c r="L56" s="3" t="inlineStr">
        <is>
          <t>Stundensatz (€/h)</t>
        </is>
      </c>
      <c r="M56" s="3" t="inlineStr">
        <is>
          <t>Umsatz (€)</t>
        </is>
      </c>
      <c r="N56" s="3" t="inlineStr">
        <is>
          <t>Budget Gesamt (€)</t>
        </is>
      </c>
      <c r="O56" s="3" t="inlineStr">
        <is>
          <t>Budget Ist (€)</t>
        </is>
      </c>
      <c r="P56" s="3" t="inlineStr">
        <is>
          <t>Budget Erwirtschaftet (€)</t>
        </is>
      </c>
    </row>
    <row r="57">
      <c r="A57" s="4" t="inlineStr">
        <is>
          <t>0000 Sonderprojekt für Bonus</t>
        </is>
      </c>
      <c r="B57" s="4" t="inlineStr">
        <is>
          <t>Einarbeitung neuer Mitarbeiter (max. 8h/Monat pro MA)</t>
        </is>
      </c>
      <c r="C57" s="4" t="inlineStr">
        <is>
          <t>M</t>
        </is>
      </c>
      <c r="D57" s="4" t="n">
        <v>8</v>
      </c>
      <c r="E57" s="4" t="n">
        <v>1</v>
      </c>
      <c r="F57" s="4" t="n">
        <v>1</v>
      </c>
      <c r="G57" s="17" t="n">
        <v>12.5</v>
      </c>
      <c r="H57" s="5" t="n"/>
      <c r="I57" s="5">
        <f>IF(H57=0,"",F57-H57)</f>
        <v/>
      </c>
      <c r="J57" s="4" t="n"/>
      <c r="K57" s="5">
        <f>IF('A. Kokott'!J86="R. Wagen CAD",'A. Kokott'!I86,0)+IF('C. Trapp SV'!J57="R. Wagen CAD",'C. Trapp SV'!I57,0)+IF('J. Dorn'!J84="R. Wagen CAD",'J. Dorn'!I84,0)+IF('M. Bandlofsky'!J45="R. Wagen CAD",'M. Bandlofsky'!I45,0)+IF('O. Haag BS-CAD'!J93="R. Wagen CAD",'O. Haag BS-CAD'!I93,0)+IF('T. Trautmann'!J72="R. Wagen CAD",'T. Trautmann'!I72,0)+IF('U. Sutter ADM'!J52="R. Wagen CAD",'U. Sutter ADM'!I52,0)</f>
        <v/>
      </c>
      <c r="L57" s="11">
        <f>IF($B$2="-","",IF($B$2="Pauschale",IFERROR(INDEX('Projekt-Budget-Übersicht'!$H:$H,MATCH(A57,'Projekt-Budget-Übersicht'!$A:$A,0)),""),IF($B$2="SV",IFERROR(INDEX('Projekt-Budget-Übersicht'!$H:$H,MATCH(A57,'Projekt-Budget-Übersicht'!$A:$A,0)),""),IF($B$2="CAD",IFERROR(INDEX('Projekt-Budget-Übersicht'!$I:$I,MATCH(A57,'Projekt-Budget-Übersicht'!$A:$A,0)),""),IF($B$2="ADM",IFERROR(INDEX('Projekt-Budget-Übersicht'!$J:$J,MATCH(A57,'Projekt-Budget-Übersicht'!$A:$A,0)),""),"")))))</f>
        <v/>
      </c>
      <c r="M57" s="11">
        <f>IF($B$2="-","",L57*(F57+I57+K57))</f>
        <v/>
      </c>
      <c r="N57" s="11">
        <f>IFERROR(INDEX('Projekt-Budget-Übersicht'!$E:$E,MATCH(A57,'Projekt-Budget-Übersicht'!$A:$A,0)),"")</f>
        <v/>
      </c>
      <c r="O57" s="11" t="inlineStr"/>
      <c r="P57" s="11" t="inlineStr"/>
    </row>
    <row r="58">
      <c r="A58" s="13" t="inlineStr">
        <is>
          <t>4899.09 Berkel-FWP-Erbachstraße-18-Ludwigshafen</t>
        </is>
      </c>
      <c r="B58" s="4" t="inlineStr">
        <is>
          <t>(aN) Pos. 1 Aktualisierung der Flucht- und Rettungspläne (CAD)</t>
        </is>
      </c>
      <c r="C58" s="4" t="inlineStr">
        <is>
          <t>G</t>
        </is>
      </c>
      <c r="D58" s="4" t="n">
        <v>26</v>
      </c>
      <c r="E58" s="4" t="n">
        <v>28</v>
      </c>
      <c r="F58" s="4" t="n">
        <v>0.5</v>
      </c>
      <c r="G58" s="16" t="n">
        <v>107.69</v>
      </c>
      <c r="H58" s="5" t="n"/>
      <c r="I58" s="5">
        <f>IF(H58=0,"",F58-H58)</f>
        <v/>
      </c>
      <c r="J58" s="4" t="n"/>
      <c r="K58" s="5" t="n">
        <v>0</v>
      </c>
      <c r="L58" s="11">
        <f>IF($B$2="-","",IF($B$2="Pauschale",IFERROR(INDEX('Projekt-Budget-Übersicht'!$H:$H,MATCH(A58,'Projekt-Budget-Übersicht'!$A:$A,0)),""),IF($B$2="SV",IFERROR(INDEX('Projekt-Budget-Übersicht'!$H:$H,MATCH(A58,'Projekt-Budget-Übersicht'!$A:$A,0)),""),IF($B$2="CAD",IFERROR(INDEX('Projekt-Budget-Übersicht'!$I:$I,MATCH(A58,'Projekt-Budget-Übersicht'!$A:$A,0)),""),IF($B$2="ADM",IFERROR(INDEX('Projekt-Budget-Übersicht'!$J:$J,MATCH(A58,'Projekt-Budget-Übersicht'!$A:$A,0)),""),"")))))</f>
        <v/>
      </c>
      <c r="M58" s="11">
        <f>IF($B$2="-","",L58*(F58+I58+K58))</f>
        <v/>
      </c>
      <c r="N58" s="11">
        <f>IFERROR(INDEX('Projekt-Budget-Übersicht'!$E:$E,MATCH(A58,'Projekt-Budget-Übersicht'!$A:$A,0)),"")</f>
        <v/>
      </c>
      <c r="O58" s="11" t="inlineStr"/>
      <c r="P58" s="11" t="inlineStr"/>
    </row>
    <row r="59">
      <c r="A59" s="21" t="n"/>
      <c r="B59" s="4" t="inlineStr">
        <is>
          <t>(aN) Pos. 3 Überarbeitung der Feuerwehrpläne aufgrund neuer Vorgaben der Feuerwehr  (CAD)</t>
        </is>
      </c>
      <c r="C59" s="4" t="inlineStr">
        <is>
          <t>G</t>
        </is>
      </c>
      <c r="D59" s="4" t="n">
        <v>16</v>
      </c>
      <c r="E59" s="4" t="n">
        <v>38.75</v>
      </c>
      <c r="F59" s="4" t="n">
        <v>25.75</v>
      </c>
      <c r="G59" s="16" t="n">
        <v>242.19</v>
      </c>
      <c r="H59" s="5" t="n"/>
      <c r="I59" s="5">
        <f>IF(H59=0,"",F59-H59)</f>
        <v/>
      </c>
      <c r="J59" s="4" t="n"/>
      <c r="K59" s="5" t="n">
        <v>0</v>
      </c>
      <c r="L59" s="11">
        <f>IF($B$2="-","",IF($B$2="Pauschale",IFERROR(INDEX('Projekt-Budget-Übersicht'!$H:$H,MATCH(A59,'Projekt-Budget-Übersicht'!$A:$A,0)),""),IF($B$2="SV",IFERROR(INDEX('Projekt-Budget-Übersicht'!$H:$H,MATCH(A59,'Projekt-Budget-Übersicht'!$A:$A,0)),""),IF($B$2="CAD",IFERROR(INDEX('Projekt-Budget-Übersicht'!$I:$I,MATCH(A59,'Projekt-Budget-Übersicht'!$A:$A,0)),""),IF($B$2="ADM",IFERROR(INDEX('Projekt-Budget-Übersicht'!$J:$J,MATCH(A59,'Projekt-Budget-Übersicht'!$A:$A,0)),""),"")))))</f>
        <v/>
      </c>
      <c r="M59" s="11">
        <f>IF($B$2="-","",L59*(F59+I59+K59))</f>
        <v/>
      </c>
      <c r="N59" s="11">
        <f>IFERROR(INDEX('Projekt-Budget-Übersicht'!$E:$E,MATCH(A59,'Projekt-Budget-Übersicht'!$A:$A,0)),"")</f>
        <v/>
      </c>
      <c r="O59" s="11" t="inlineStr"/>
      <c r="P59" s="11" t="inlineStr"/>
    </row>
    <row r="60">
      <c r="A60" s="15" t="n"/>
      <c r="B60" s="4" t="inlineStr">
        <is>
          <t>(p) Pos. 1 Aktualisierung der Feuerwehrpläne</t>
        </is>
      </c>
      <c r="C60" s="4" t="inlineStr">
        <is>
          <t>G</t>
        </is>
      </c>
      <c r="D60" s="4" t="n">
        <v>55</v>
      </c>
      <c r="E60" s="4" t="n">
        <v>61</v>
      </c>
      <c r="F60" s="4" t="n">
        <v>1.25</v>
      </c>
      <c r="G60" s="16" t="n">
        <v>110.91</v>
      </c>
      <c r="H60" s="5" t="n"/>
      <c r="I60" s="5">
        <f>IF(H60=0,"",F60-H60)</f>
        <v/>
      </c>
      <c r="J60" s="4" t="n"/>
      <c r="K60" s="5" t="n">
        <v>0</v>
      </c>
      <c r="L60" s="11">
        <f>IF($B$2="-","",IF($B$2="Pauschale",IFERROR(INDEX('Projekt-Budget-Übersicht'!$H:$H,MATCH(A60,'Projekt-Budget-Übersicht'!$A:$A,0)),""),IF($B$2="SV",IFERROR(INDEX('Projekt-Budget-Übersicht'!$H:$H,MATCH(A60,'Projekt-Budget-Übersicht'!$A:$A,0)),""),IF($B$2="CAD",IFERROR(INDEX('Projekt-Budget-Übersicht'!$I:$I,MATCH(A60,'Projekt-Budget-Übersicht'!$A:$A,0)),""),IF($B$2="ADM",IFERROR(INDEX('Projekt-Budget-Übersicht'!$J:$J,MATCH(A60,'Projekt-Budget-Übersicht'!$A:$A,0)),""),"")))))</f>
        <v/>
      </c>
      <c r="M60" s="11">
        <f>IF($B$2="-","",L60*(F60+I60+K60))</f>
        <v/>
      </c>
      <c r="N60" s="11">
        <f>IFERROR(INDEX('Projekt-Budget-Übersicht'!$E:$E,MATCH(A60,'Projekt-Budget-Übersicht'!$A:$A,0)),"")</f>
        <v/>
      </c>
      <c r="O60" s="11" t="inlineStr"/>
      <c r="P60" s="11" t="inlineStr"/>
    </row>
    <row r="61">
      <c r="A61" s="4" t="inlineStr">
        <is>
          <t>5328.06 Flugfeldklinikum-Böblingen-Fortschr-BSK-FFK</t>
        </is>
      </c>
      <c r="B61" s="4" t="inlineStr">
        <is>
          <t>4103-Erarbeiten Brandschutzkonzeptpläne….</t>
        </is>
      </c>
      <c r="C61" s="4" t="inlineStr">
        <is>
          <t>G</t>
        </is>
      </c>
      <c r="D61" s="4" t="n">
        <v>160</v>
      </c>
      <c r="E61" s="4" t="n">
        <v>304.75</v>
      </c>
      <c r="F61" s="4" t="n">
        <v>13.75</v>
      </c>
      <c r="G61" s="16" t="n">
        <v>190.47</v>
      </c>
      <c r="H61" s="5" t="n"/>
      <c r="I61" s="5">
        <f>IF(H61=0,"",F61-H61)</f>
        <v/>
      </c>
      <c r="J61" s="4" t="n"/>
      <c r="K61" s="5" t="n">
        <v>0</v>
      </c>
      <c r="L61" s="11">
        <f>IF($B$2="-","",IF($B$2="Pauschale",IFERROR(INDEX('Projekt-Budget-Übersicht'!$H:$H,MATCH(A61,'Projekt-Budget-Übersicht'!$A:$A,0)),""),IF($B$2="SV",IFERROR(INDEX('Projekt-Budget-Übersicht'!$H:$H,MATCH(A61,'Projekt-Budget-Übersicht'!$A:$A,0)),""),IF($B$2="CAD",IFERROR(INDEX('Projekt-Budget-Übersicht'!$I:$I,MATCH(A61,'Projekt-Budget-Übersicht'!$A:$A,0)),""),IF($B$2="ADM",IFERROR(INDEX('Projekt-Budget-Übersicht'!$J:$J,MATCH(A61,'Projekt-Budget-Übersicht'!$A:$A,0)),""),"")))))</f>
        <v/>
      </c>
      <c r="M61" s="11">
        <f>IF($B$2="-","",L61*(F61+I61+K61))</f>
        <v/>
      </c>
      <c r="N61" s="11">
        <f>IFERROR(INDEX('Projekt-Budget-Übersicht'!$E:$E,MATCH(A61,'Projekt-Budget-Übersicht'!$A:$A,0)),"")</f>
        <v/>
      </c>
      <c r="O61" s="11" t="inlineStr"/>
      <c r="P61" s="11" t="inlineStr"/>
    </row>
    <row r="62">
      <c r="A62" s="4" t="inlineStr">
        <is>
          <t>5834.07 Fuchs-Digit-Bestandspläne-Werner-HeisenbergStr1-KL</t>
        </is>
      </c>
      <c r="B62" s="4" t="inlineStr">
        <is>
          <t>CAD</t>
        </is>
      </c>
      <c r="C62" s="4" t="inlineStr">
        <is>
          <t>G</t>
        </is>
      </c>
      <c r="D62" s="4" t="n">
        <v>56</v>
      </c>
      <c r="E62" s="4" t="n">
        <v>19</v>
      </c>
      <c r="F62" s="4" t="n">
        <v>18.5</v>
      </c>
      <c r="G62" s="17" t="n">
        <v>33.93</v>
      </c>
      <c r="H62" s="5" t="n"/>
      <c r="I62" s="5">
        <f>IF(H62=0,"",F62-H62)</f>
        <v/>
      </c>
      <c r="J62" s="4" t="n"/>
      <c r="K62" s="5" t="n">
        <v>0</v>
      </c>
      <c r="L62" s="11">
        <f>IF($B$2="-","",IF($B$2="Pauschale",IFERROR(INDEX('Projekt-Budget-Übersicht'!$H:$H,MATCH(A62,'Projekt-Budget-Übersicht'!$A:$A,0)),""),IF($B$2="SV",IFERROR(INDEX('Projekt-Budget-Übersicht'!$H:$H,MATCH(A62,'Projekt-Budget-Übersicht'!$A:$A,0)),""),IF($B$2="CAD",IFERROR(INDEX('Projekt-Budget-Übersicht'!$I:$I,MATCH(A62,'Projekt-Budget-Übersicht'!$A:$A,0)),""),IF($B$2="ADM",IFERROR(INDEX('Projekt-Budget-Übersicht'!$J:$J,MATCH(A62,'Projekt-Budget-Übersicht'!$A:$A,0)),""),"")))))</f>
        <v/>
      </c>
      <c r="M62" s="11">
        <f>IF($B$2="-","",L62*(F62+I62+K62))</f>
        <v/>
      </c>
      <c r="N62" s="11">
        <f>IFERROR(INDEX('Projekt-Budget-Übersicht'!$E:$E,MATCH(A62,'Projekt-Budget-Übersicht'!$A:$A,0)),"")</f>
        <v/>
      </c>
      <c r="O62" s="11" t="inlineStr"/>
      <c r="P62" s="11" t="inlineStr"/>
    </row>
    <row r="63">
      <c r="A63" s="3" t="inlineStr"/>
      <c r="B63" s="3" t="inlineStr">
        <is>
          <t>Summe</t>
        </is>
      </c>
      <c r="C63" s="3" t="inlineStr"/>
      <c r="D63" s="3" t="inlineStr"/>
      <c r="E63" s="3" t="inlineStr"/>
      <c r="F63" s="6" t="n">
        <v>60.75</v>
      </c>
      <c r="G63" s="3" t="inlineStr"/>
      <c r="H63" s="3" t="inlineStr"/>
      <c r="I63" s="3" t="inlineStr"/>
      <c r="J63" s="3" t="inlineStr"/>
      <c r="K63" s="3" t="inlineStr"/>
      <c r="L63" s="3" t="n"/>
      <c r="M63" s="3" t="n"/>
      <c r="N63" s="3" t="n"/>
      <c r="O63" s="3" t="n"/>
      <c r="P63" s="3" t="n"/>
    </row>
    <row r="64">
      <c r="A64" s="3" t="inlineStr"/>
      <c r="B64" s="3" t="inlineStr">
        <is>
          <t>Bonusberechtigte Stunden</t>
        </is>
      </c>
      <c r="C64" s="3" t="inlineStr"/>
      <c r="D64" s="3" t="inlineStr"/>
      <c r="E64" s="3" t="inlineStr"/>
      <c r="F64" s="6">
        <f>G64+H64</f>
        <v/>
      </c>
      <c r="G64" s="6" t="n">
        <v>18.5</v>
      </c>
      <c r="H64" s="6">
        <f>SUM(H58,H59,H60,H61,H62)</f>
        <v/>
      </c>
      <c r="I64" s="3" t="inlineStr"/>
      <c r="J64" s="3" t="inlineStr"/>
      <c r="K64" s="3" t="inlineStr"/>
      <c r="L64" s="3" t="inlineStr"/>
      <c r="M64" s="3" t="inlineStr"/>
      <c r="N64" s="3" t="inlineStr"/>
      <c r="O64" s="3" t="inlineStr"/>
      <c r="P64" s="3" t="inlineStr"/>
    </row>
    <row r="65">
      <c r="A65" s="3" t="inlineStr"/>
      <c r="B65" s="3" t="inlineStr">
        <is>
          <t>Bonusberechtigte Stunden Sonderprojekt</t>
        </is>
      </c>
      <c r="C65" s="3" t="inlineStr"/>
      <c r="D65" s="3" t="inlineStr"/>
      <c r="E65" s="3" t="inlineStr"/>
      <c r="F65" s="6">
        <f>G65+H65</f>
        <v/>
      </c>
      <c r="G65" s="6" t="n">
        <v>1</v>
      </c>
      <c r="H65" s="6">
        <f>SUM(H57)</f>
        <v/>
      </c>
      <c r="I65" s="3" t="inlineStr"/>
      <c r="J65" s="3" t="inlineStr"/>
      <c r="K65" s="3" t="inlineStr"/>
      <c r="L65" s="3" t="inlineStr"/>
      <c r="M65" s="3" t="inlineStr"/>
      <c r="N65" s="3" t="inlineStr"/>
      <c r="O65" s="3" t="inlineStr"/>
      <c r="P65" s="3" t="inlineStr"/>
    </row>
    <row r="66">
      <c r="A66" s="3" t="inlineStr"/>
      <c r="B66" s="3" t="inlineStr">
        <is>
          <t>Zugeordnete Stunden von anderen MA</t>
        </is>
      </c>
      <c r="C66" s="3" t="inlineStr"/>
      <c r="D66" s="3" t="inlineStr"/>
      <c r="E66" s="3" t="inlineStr"/>
      <c r="F66" s="6">
        <f>SUM(K57:K62)</f>
        <v/>
      </c>
      <c r="G66" s="3" t="inlineStr"/>
      <c r="H66" s="3" t="inlineStr"/>
      <c r="I66" s="3" t="inlineStr"/>
      <c r="J66" s="3" t="inlineStr"/>
      <c r="K66" s="3" t="inlineStr"/>
      <c r="L66" s="3" t="inlineStr"/>
      <c r="M66" s="3" t="inlineStr"/>
      <c r="N66" s="3" t="inlineStr"/>
      <c r="O66" s="3" t="inlineStr"/>
      <c r="P66" s="3" t="inlineStr"/>
    </row>
    <row r="67">
      <c r="A67" s="18" t="inlineStr"/>
      <c r="B67" s="18" t="inlineStr">
        <is>
          <t>Gesamt Bonus Stunden</t>
        </is>
      </c>
      <c r="C67" s="18" t="inlineStr"/>
      <c r="D67" s="18" t="inlineStr"/>
      <c r="E67" s="18" t="inlineStr"/>
      <c r="F67" s="19">
        <f>F64+F65+F66</f>
        <v/>
      </c>
      <c r="G67" s="18" t="inlineStr"/>
      <c r="H67" s="18" t="inlineStr"/>
      <c r="I67" s="18" t="inlineStr"/>
      <c r="J67" s="18" t="inlineStr"/>
      <c r="K67" s="18" t="inlineStr"/>
      <c r="L67" s="18" t="n"/>
      <c r="M67" s="18" t="n"/>
      <c r="N67" s="18" t="n"/>
      <c r="O67" s="18" t="n"/>
      <c r="P67" s="18" t="n"/>
    </row>
    <row r="69">
      <c r="A69" s="2" t="inlineStr">
        <is>
          <t>--- Übertragshilfe ---</t>
        </is>
      </c>
    </row>
    <row r="70">
      <c r="A70" s="3" t="inlineStr">
        <is>
          <t>Monat</t>
        </is>
      </c>
      <c r="B70" s="3" t="inlineStr">
        <is>
          <t>Mitarbeiter</t>
        </is>
      </c>
      <c r="C70" s="3" t="inlineStr">
        <is>
          <t>Prod. Stunden</t>
        </is>
      </c>
      <c r="D70" s="3" t="inlineStr">
        <is>
          <t>Bonusberechtigte Stunden</t>
        </is>
      </c>
      <c r="E70" s="3" t="inlineStr">
        <is>
          <t>Bonusberechtigte Stunden Sonderprojekt</t>
        </is>
      </c>
      <c r="F70" s="3" t="inlineStr">
        <is>
          <t>Zugeordnet von anderen</t>
        </is>
      </c>
      <c r="G70" s="3" t="inlineStr">
        <is>
          <t>Gesamt Bonus</t>
        </is>
      </c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</row>
    <row r="71">
      <c r="A71" s="4" t="inlineStr">
        <is>
          <t>Juli 2025</t>
        </is>
      </c>
      <c r="B71" s="4" t="inlineStr">
        <is>
          <t>R. Wagen CAD</t>
        </is>
      </c>
      <c r="C71" s="4">
        <f>F23</f>
        <v/>
      </c>
      <c r="D71" s="4">
        <f>F24</f>
        <v/>
      </c>
      <c r="E71" s="4">
        <f>F25</f>
        <v/>
      </c>
      <c r="F71" s="4">
        <f>F26</f>
        <v/>
      </c>
      <c r="G71" s="4">
        <f>F27</f>
        <v/>
      </c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</row>
    <row r="72">
      <c r="A72" s="4" t="inlineStr">
        <is>
          <t>August 2025</t>
        </is>
      </c>
      <c r="B72" s="4" t="inlineStr">
        <is>
          <t>R. Wagen CAD</t>
        </is>
      </c>
      <c r="C72" s="4">
        <f>F49</f>
        <v/>
      </c>
      <c r="D72" s="4">
        <f>F50</f>
        <v/>
      </c>
      <c r="E72" s="4">
        <f>F51</f>
        <v/>
      </c>
      <c r="F72" s="4">
        <f>F52</f>
        <v/>
      </c>
      <c r="G72" s="4">
        <f>F53</f>
        <v/>
      </c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</row>
    <row r="73">
      <c r="A73" s="4" t="inlineStr">
        <is>
          <t>September 2025</t>
        </is>
      </c>
      <c r="B73" s="4" t="inlineStr">
        <is>
          <t>R. Wagen CAD</t>
        </is>
      </c>
      <c r="C73" s="4">
        <f>F63</f>
        <v/>
      </c>
      <c r="D73" s="4">
        <f>F64</f>
        <v/>
      </c>
      <c r="E73" s="4">
        <f>F65</f>
        <v/>
      </c>
      <c r="F73" s="4">
        <f>F66</f>
        <v/>
      </c>
      <c r="G73" s="4">
        <f>F67</f>
        <v/>
      </c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</row>
    <row r="76">
      <c r="A76" s="2" t="inlineStr">
        <is>
          <t>--- Gesamtstunden 2025Q3 ---</t>
        </is>
      </c>
    </row>
    <row r="77">
      <c r="A77" s="12" t="inlineStr">
        <is>
          <t>Gesamt eingetragene Stunden:</t>
        </is>
      </c>
      <c r="B77" s="12" t="n">
        <v>286.5</v>
      </c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</row>
    <row r="78">
      <c r="A78" s="12" t="inlineStr">
        <is>
          <t>Bonusberechtigte Stunden (Quartal):</t>
        </is>
      </c>
      <c r="B78" s="20">
        <f>SUM(F24,F50,F64)</f>
        <v/>
      </c>
      <c r="C78" s="12" t="n"/>
      <c r="D78" s="12" t="n"/>
      <c r="E78" s="12" t="n"/>
      <c r="F78" s="12" t="n"/>
      <c r="G78" s="12" t="n"/>
      <c r="H78" s="12" t="n"/>
      <c r="I78" s="12" t="n"/>
      <c r="J78" s="12" t="n"/>
      <c r="K78" s="12" t="n"/>
      <c r="L78" s="12" t="n"/>
      <c r="M78" s="12" t="n"/>
      <c r="N78" s="12" t="n"/>
      <c r="O78" s="12" t="n"/>
      <c r="P78" s="12" t="n"/>
    </row>
    <row r="79">
      <c r="A79" s="12" t="inlineStr">
        <is>
          <t>Bonusberechtigte Stunden Sonderprojekt (Quartal):</t>
        </is>
      </c>
      <c r="B79" s="20">
        <f>SUM(F25,F51,F65)</f>
        <v/>
      </c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</row>
  </sheetData>
  <mergeCells count="4">
    <mergeCell ref="A34:A37"/>
    <mergeCell ref="A58:A60"/>
    <mergeCell ref="A14:A15"/>
    <mergeCell ref="A6:A10"/>
  </mergeCells>
  <conditionalFormatting sqref="I6">
    <cfRule type="cellIs" priority="1" operator="lessThan" dxfId="0" stopIfTrue="1">
      <formula>0</formula>
    </cfRule>
  </conditionalFormatting>
  <conditionalFormatting sqref="I7">
    <cfRule type="cellIs" priority="2" operator="lessThan" dxfId="0" stopIfTrue="1">
      <formula>0</formula>
    </cfRule>
  </conditionalFormatting>
  <conditionalFormatting sqref="I8">
    <cfRule type="cellIs" priority="3" operator="lessThan" dxfId="0" stopIfTrue="1">
      <formula>0</formula>
    </cfRule>
  </conditionalFormatting>
  <conditionalFormatting sqref="I9">
    <cfRule type="cellIs" priority="4" operator="lessThan" dxfId="0" stopIfTrue="1">
      <formula>0</formula>
    </cfRule>
  </conditionalFormatting>
  <conditionalFormatting sqref="I10">
    <cfRule type="cellIs" priority="5" operator="lessThan" dxfId="0" stopIfTrue="1">
      <formula>0</formula>
    </cfRule>
  </conditionalFormatting>
  <conditionalFormatting sqref="I11">
    <cfRule type="cellIs" priority="6" operator="lessThan" dxfId="0" stopIfTrue="1">
      <formula>0</formula>
    </cfRule>
  </conditionalFormatting>
  <conditionalFormatting sqref="I12">
    <cfRule type="cellIs" priority="7" operator="lessThan" dxfId="0" stopIfTrue="1">
      <formula>0</formula>
    </cfRule>
  </conditionalFormatting>
  <conditionalFormatting sqref="I13">
    <cfRule type="cellIs" priority="8" operator="lessThan" dxfId="0" stopIfTrue="1">
      <formula>0</formula>
    </cfRule>
  </conditionalFormatting>
  <conditionalFormatting sqref="I14">
    <cfRule type="cellIs" priority="9" operator="lessThan" dxfId="0" stopIfTrue="1">
      <formula>0</formula>
    </cfRule>
  </conditionalFormatting>
  <conditionalFormatting sqref="I15">
    <cfRule type="cellIs" priority="10" operator="lessThan" dxfId="0" stopIfTrue="1">
      <formula>0</formula>
    </cfRule>
  </conditionalFormatting>
  <conditionalFormatting sqref="I16">
    <cfRule type="cellIs" priority="11" operator="lessThan" dxfId="0" stopIfTrue="1">
      <formula>0</formula>
    </cfRule>
  </conditionalFormatting>
  <conditionalFormatting sqref="I17">
    <cfRule type="cellIs" priority="12" operator="lessThan" dxfId="0" stopIfTrue="1">
      <formula>0</formula>
    </cfRule>
  </conditionalFormatting>
  <conditionalFormatting sqref="I18">
    <cfRule type="cellIs" priority="13" operator="lessThan" dxfId="0" stopIfTrue="1">
      <formula>0</formula>
    </cfRule>
  </conditionalFormatting>
  <conditionalFormatting sqref="I19">
    <cfRule type="cellIs" priority="14" operator="lessThan" dxfId="0" stopIfTrue="1">
      <formula>0</formula>
    </cfRule>
  </conditionalFormatting>
  <conditionalFormatting sqref="I20">
    <cfRule type="cellIs" priority="15" operator="lessThan" dxfId="0" stopIfTrue="1">
      <formula>0</formula>
    </cfRule>
  </conditionalFormatting>
  <conditionalFormatting sqref="I21">
    <cfRule type="cellIs" priority="16" operator="lessThan" dxfId="0" stopIfTrue="1">
      <formula>0</formula>
    </cfRule>
  </conditionalFormatting>
  <conditionalFormatting sqref="I22">
    <cfRule type="cellIs" priority="17" operator="lessThan" dxfId="0" stopIfTrue="1">
      <formula>0</formula>
    </cfRule>
  </conditionalFormatting>
  <conditionalFormatting sqref="I31">
    <cfRule type="cellIs" priority="18" operator="lessThan" dxfId="0" stopIfTrue="1">
      <formula>0</formula>
    </cfRule>
  </conditionalFormatting>
  <conditionalFormatting sqref="I32">
    <cfRule type="cellIs" priority="19" operator="lessThan" dxfId="0" stopIfTrue="1">
      <formula>0</formula>
    </cfRule>
  </conditionalFormatting>
  <conditionalFormatting sqref="I33">
    <cfRule type="cellIs" priority="20" operator="lessThan" dxfId="0" stopIfTrue="1">
      <formula>0</formula>
    </cfRule>
  </conditionalFormatting>
  <conditionalFormatting sqref="I34">
    <cfRule type="cellIs" priority="21" operator="lessThan" dxfId="0" stopIfTrue="1">
      <formula>0</formula>
    </cfRule>
  </conditionalFormatting>
  <conditionalFormatting sqref="I35">
    <cfRule type="cellIs" priority="22" operator="lessThan" dxfId="0" stopIfTrue="1">
      <formula>0</formula>
    </cfRule>
  </conditionalFormatting>
  <conditionalFormatting sqref="I36">
    <cfRule type="cellIs" priority="23" operator="lessThan" dxfId="0" stopIfTrue="1">
      <formula>0</formula>
    </cfRule>
  </conditionalFormatting>
  <conditionalFormatting sqref="I37">
    <cfRule type="cellIs" priority="24" operator="lessThan" dxfId="0" stopIfTrue="1">
      <formula>0</formula>
    </cfRule>
  </conditionalFormatting>
  <conditionalFormatting sqref="I38">
    <cfRule type="cellIs" priority="25" operator="lessThan" dxfId="0" stopIfTrue="1">
      <formula>0</formula>
    </cfRule>
  </conditionalFormatting>
  <conditionalFormatting sqref="I39">
    <cfRule type="cellIs" priority="26" operator="lessThan" dxfId="0" stopIfTrue="1">
      <formula>0</formula>
    </cfRule>
  </conditionalFormatting>
  <conditionalFormatting sqref="I40">
    <cfRule type="cellIs" priority="27" operator="lessThan" dxfId="0" stopIfTrue="1">
      <formula>0</formula>
    </cfRule>
  </conditionalFormatting>
  <conditionalFormatting sqref="I41">
    <cfRule type="cellIs" priority="28" operator="lessThan" dxfId="0" stopIfTrue="1">
      <formula>0</formula>
    </cfRule>
  </conditionalFormatting>
  <conditionalFormatting sqref="I42">
    <cfRule type="cellIs" priority="29" operator="lessThan" dxfId="0" stopIfTrue="1">
      <formula>0</formula>
    </cfRule>
  </conditionalFormatting>
  <conditionalFormatting sqref="I43">
    <cfRule type="cellIs" priority="30" operator="lessThan" dxfId="0" stopIfTrue="1">
      <formula>0</formula>
    </cfRule>
  </conditionalFormatting>
  <conditionalFormatting sqref="I44">
    <cfRule type="cellIs" priority="31" operator="lessThan" dxfId="0" stopIfTrue="1">
      <formula>0</formula>
    </cfRule>
  </conditionalFormatting>
  <conditionalFormatting sqref="I45">
    <cfRule type="cellIs" priority="32" operator="lessThan" dxfId="0" stopIfTrue="1">
      <formula>0</formula>
    </cfRule>
  </conditionalFormatting>
  <conditionalFormatting sqref="I46">
    <cfRule type="cellIs" priority="33" operator="lessThan" dxfId="0" stopIfTrue="1">
      <formula>0</formula>
    </cfRule>
  </conditionalFormatting>
  <conditionalFormatting sqref="I47">
    <cfRule type="cellIs" priority="34" operator="lessThan" dxfId="0" stopIfTrue="1">
      <formula>0</formula>
    </cfRule>
  </conditionalFormatting>
  <conditionalFormatting sqref="I48">
    <cfRule type="cellIs" priority="35" operator="lessThan" dxfId="0" stopIfTrue="1">
      <formula>0</formula>
    </cfRule>
  </conditionalFormatting>
  <conditionalFormatting sqref="I57">
    <cfRule type="cellIs" priority="36" operator="lessThan" dxfId="0" stopIfTrue="1">
      <formula>0</formula>
    </cfRule>
  </conditionalFormatting>
  <conditionalFormatting sqref="I58">
    <cfRule type="cellIs" priority="37" operator="lessThan" dxfId="0" stopIfTrue="1">
      <formula>0</formula>
    </cfRule>
  </conditionalFormatting>
  <conditionalFormatting sqref="I59">
    <cfRule type="cellIs" priority="38" operator="lessThan" dxfId="0" stopIfTrue="1">
      <formula>0</formula>
    </cfRule>
  </conditionalFormatting>
  <conditionalFormatting sqref="I60">
    <cfRule type="cellIs" priority="39" operator="lessThan" dxfId="0" stopIfTrue="1">
      <formula>0</formula>
    </cfRule>
  </conditionalFormatting>
  <conditionalFormatting sqref="I61">
    <cfRule type="cellIs" priority="40" operator="lessThan" dxfId="0" stopIfTrue="1">
      <formula>0</formula>
    </cfRule>
  </conditionalFormatting>
  <conditionalFormatting sqref="I62">
    <cfRule type="cellIs" priority="41" operator="lessThan" dxfId="0" stopIfTrue="1">
      <formula>0</formula>
    </cfRule>
  </conditionalFormatting>
  <dataValidations count="13">
    <dataValidation sqref="B2" showDropDown="0" showInputMessage="0" showErrorMessage="0" allowBlank="0" type="list">
      <formula1>"SV,CAD,ADM,Pauschale,-"</formula1>
    </dataValidation>
    <dataValidation sqref="J14" showDropDown="0" showInputMessage="0" showErrorMessage="0" allowBlank="1" type="list">
      <formula1>"J. Dorn"</formula1>
    </dataValidation>
    <dataValidation sqref="J15" showDropDown="0" showInputMessage="0" showErrorMessage="0" allowBlank="1" type="list">
      <formula1>"O. Haag BS-CAD"</formula1>
    </dataValidation>
    <dataValidation sqref="J19" showDropDown="0" showInputMessage="0" showErrorMessage="0" allowBlank="1" type="list">
      <formula1>"O. Haag BS-CAD"</formula1>
    </dataValidation>
    <dataValidation sqref="J21" showDropDown="0" showInputMessage="0" showErrorMessage="0" allowBlank="1" type="list">
      <formula1>"O. Haag BS-CAD"</formula1>
    </dataValidation>
    <dataValidation sqref="J31" showDropDown="0" showInputMessage="0" showErrorMessage="0" allowBlank="1" type="list">
      <formula1>"A. Kokott,C. Trapp SV,D. Brucker,E. Bieler,J. Dorchies,J. Dorn,M. Bandlofsky,O. Haag BS-CAD,P. Bergner,T. Trautmann,U. Sutter ADM"</formula1>
    </dataValidation>
    <dataValidation sqref="J32" showDropDown="0" showInputMessage="0" showErrorMessage="0" allowBlank="1" type="list">
      <formula1>"O. Haag BS-CAD,S. Schüler"</formula1>
    </dataValidation>
    <dataValidation sqref="J33" showDropDown="0" showInputMessage="0" showErrorMessage="0" allowBlank="1" type="list">
      <formula1>"O. Haag BS-CAD"</formula1>
    </dataValidation>
    <dataValidation sqref="J41" showDropDown="0" showInputMessage="0" showErrorMessage="0" allowBlank="1" type="list">
      <formula1>"O. Haag BS-CAD"</formula1>
    </dataValidation>
    <dataValidation sqref="J42" showDropDown="0" showInputMessage="0" showErrorMessage="0" allowBlank="1" type="list">
      <formula1>"O. Haag BS-CAD"</formula1>
    </dataValidation>
    <dataValidation sqref="J43" showDropDown="0" showInputMessage="0" showErrorMessage="0" allowBlank="1" type="list">
      <formula1>"O. Haag BS-CAD"</formula1>
    </dataValidation>
    <dataValidation sqref="J44" showDropDown="0" showInputMessage="0" showErrorMessage="0" allowBlank="1" type="list">
      <formula1>"O. Haag BS-CAD"</formula1>
    </dataValidation>
    <dataValidation sqref="J57" showDropDown="0" showInputMessage="0" showErrorMessage="0" allowBlank="1" type="list">
      <formula1>"A. Kokott,C. Trapp SV,D. Brucker,E. Bieler,J. Dorchies,J. Dorn,M. Bandlofsky,O. Haag BS-CAD,P. Bergner,T. Trautmann,U. Sutter ADM"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8" customWidth="1" min="3" max="3"/>
    <col width="12" customWidth="1" min="4" max="4"/>
    <col width="12" customWidth="1" min="5" max="5"/>
    <col width="12" customWidth="1" min="6" max="6"/>
    <col width="8" customWidth="1" min="7" max="7"/>
    <col width="16" customWidth="1" min="8" max="8"/>
    <col width="12" customWidth="1" min="9" max="9"/>
    <col width="25" customWidth="1" min="10" max="10"/>
    <col width="15" customWidth="1" min="11" max="11"/>
    <col width="18" customWidth="1" min="12" max="12"/>
    <col width="15" customWidth="1" min="13" max="13"/>
    <col width="18" customWidth="1" min="14" max="14"/>
    <col width="15" customWidth="1" min="15" max="15"/>
    <col width="22" customWidth="1" min="16" max="16"/>
  </cols>
  <sheetData>
    <row r="1">
      <c r="A1" t="inlineStr">
        <is>
          <t>S. Roßkopf - Quartalsreport 2025Q3</t>
        </is>
      </c>
    </row>
    <row r="2">
      <c r="A2" s="12" t="inlineStr">
        <is>
          <t>Position:</t>
        </is>
      </c>
      <c r="B2" t="inlineStr">
        <is>
          <t>SV</t>
        </is>
      </c>
    </row>
    <row r="4">
      <c r="A4" s="2" t="inlineStr">
        <is>
          <t>--- August 2025 ---</t>
        </is>
      </c>
    </row>
    <row r="5">
      <c r="A5" s="3" t="inlineStr">
        <is>
          <t>Projekt</t>
        </is>
      </c>
      <c r="B5" s="3" t="inlineStr">
        <is>
          <t>Meilenstein</t>
        </is>
      </c>
      <c r="C5" s="3" t="inlineStr">
        <is>
          <t>Typ</t>
        </is>
      </c>
      <c r="D5" s="3" t="inlineStr">
        <is>
          <t>Soll (h)</t>
        </is>
      </c>
      <c r="E5" s="3" t="inlineStr">
        <is>
          <t>Ist (h)</t>
        </is>
      </c>
      <c r="F5" s="3" t="inlineStr">
        <is>
          <t>August 2025 (h)</t>
        </is>
      </c>
      <c r="G5" s="3" t="inlineStr">
        <is>
          <t>%</t>
        </is>
      </c>
      <c r="H5" s="3" t="inlineStr">
        <is>
          <t>Bonus-Anpassung (h)</t>
        </is>
      </c>
      <c r="I5" s="3" t="inlineStr">
        <is>
          <t>Differenz (h)</t>
        </is>
      </c>
      <c r="J5" s="3" t="inlineStr">
        <is>
          <t>Zuordnen an</t>
        </is>
      </c>
      <c r="K5" s="3" t="inlineStr">
        <is>
          <t>Von anderen (h)</t>
        </is>
      </c>
      <c r="L5" s="3" t="inlineStr">
        <is>
          <t>Stundensatz (€/h)</t>
        </is>
      </c>
      <c r="M5" s="3" t="inlineStr">
        <is>
          <t>Umsatz (€)</t>
        </is>
      </c>
      <c r="N5" s="3" t="inlineStr">
        <is>
          <t>Budget Gesamt (€)</t>
        </is>
      </c>
      <c r="O5" s="3" t="inlineStr">
        <is>
          <t>Budget Ist (€)</t>
        </is>
      </c>
      <c r="P5" s="3" t="inlineStr">
        <is>
          <t>Budget Erwirtschaftet (€)</t>
        </is>
      </c>
    </row>
    <row r="6">
      <c r="A6" s="4" t="inlineStr">
        <is>
          <t>5328 Flugfeldklinikum-Böblingen</t>
        </is>
      </c>
      <c r="B6" s="4" t="inlineStr">
        <is>
          <t>8200-Prüfen der Ausführung - system. stichprobenart. Kontrolle (Stufe 2)….</t>
        </is>
      </c>
      <c r="C6" s="4" t="inlineStr">
        <is>
          <t>G</t>
        </is>
      </c>
      <c r="D6" s="4" t="n">
        <v>562</v>
      </c>
      <c r="E6" s="4" t="n">
        <v>244.5</v>
      </c>
      <c r="F6" s="4" t="n">
        <v>18.5</v>
      </c>
      <c r="G6" s="17" t="n">
        <v>43.51</v>
      </c>
      <c r="H6" s="5" t="n"/>
      <c r="I6" s="5">
        <f>IF(H6=0,"",F6-H6)</f>
        <v/>
      </c>
      <c r="J6" s="4" t="n"/>
      <c r="K6" s="5">
        <f>IF('C. Trapp SV'!J38="S. Roßkopf",'C. Trapp SV'!I38,0)</f>
        <v/>
      </c>
      <c r="L6" s="11">
        <f>IF($B$2="-","",IF($B$2="Pauschale",IFERROR(INDEX('Projekt-Budget-Übersicht'!$H:$H,MATCH(A6,'Projekt-Budget-Übersicht'!$A:$A,0)),""),IF($B$2="SV",IFERROR(INDEX('Projekt-Budget-Übersicht'!$H:$H,MATCH(A6,'Projekt-Budget-Übersicht'!$A:$A,0)),""),IF($B$2="CAD",IFERROR(INDEX('Projekt-Budget-Übersicht'!$I:$I,MATCH(A6,'Projekt-Budget-Übersicht'!$A:$A,0)),""),IF($B$2="ADM",IFERROR(INDEX('Projekt-Budget-Übersicht'!$J:$J,MATCH(A6,'Projekt-Budget-Übersicht'!$A:$A,0)),""),"")))))</f>
        <v/>
      </c>
      <c r="M6" s="11">
        <f>IF($B$2="-","",L6*(F6+I6+K6))</f>
        <v/>
      </c>
      <c r="N6" s="11">
        <f>IFERROR(INDEX('Projekt-Budget-Übersicht'!$E:$E,MATCH(A6,'Projekt-Budget-Übersicht'!$A:$A,0)),"")</f>
        <v/>
      </c>
      <c r="O6" s="11" t="inlineStr"/>
      <c r="P6" s="11" t="inlineStr"/>
    </row>
    <row r="7">
      <c r="A7" s="4" t="inlineStr">
        <is>
          <t>5607.05 BAB-NB-J4-Zentralinstitut-für-seelische-Gesundheit-Mannheim</t>
        </is>
      </c>
      <c r="B7" s="4" t="inlineStr">
        <is>
          <t>(p) NAT03-Bestandsaufnahme (Ist-Aufnahme)</t>
        </is>
      </c>
      <c r="C7" s="4" t="inlineStr">
        <is>
          <t>G</t>
        </is>
      </c>
      <c r="D7" s="4" t="n">
        <v>32</v>
      </c>
      <c r="E7" s="4" t="n">
        <v>51.75</v>
      </c>
      <c r="F7" s="4" t="n">
        <v>16</v>
      </c>
      <c r="G7" s="16" t="n">
        <v>161.72</v>
      </c>
      <c r="H7" s="5" t="n"/>
      <c r="I7" s="5">
        <f>IF(H7=0,"",F7-H7)</f>
        <v/>
      </c>
      <c r="J7" s="4" t="n"/>
      <c r="K7" s="5">
        <f>IF('A. Kokott'!J47="S. Roßkopf",'A. Kokott'!I47,0)+IF('C. Trapp SV'!J39="S. Roßkopf",'C. Trapp SV'!I39,0)</f>
        <v/>
      </c>
      <c r="L7" s="11">
        <f>IF($B$2="-","",IF($B$2="Pauschale",IFERROR(INDEX('Projekt-Budget-Übersicht'!$H:$H,MATCH(A7,'Projekt-Budget-Übersicht'!$A:$A,0)),""),IF($B$2="SV",IFERROR(INDEX('Projekt-Budget-Übersicht'!$H:$H,MATCH(A7,'Projekt-Budget-Übersicht'!$A:$A,0)),""),IF($B$2="CAD",IFERROR(INDEX('Projekt-Budget-Übersicht'!$I:$I,MATCH(A7,'Projekt-Budget-Übersicht'!$A:$A,0)),""),IF($B$2="ADM",IFERROR(INDEX('Projekt-Budget-Übersicht'!$J:$J,MATCH(A7,'Projekt-Budget-Übersicht'!$A:$A,0)),""),"")))))</f>
        <v/>
      </c>
      <c r="M7" s="11">
        <f>IF($B$2="-","",L7*(F7+I7+K7))</f>
        <v/>
      </c>
      <c r="N7" s="11">
        <f>IFERROR(INDEX('Projekt-Budget-Übersicht'!$E:$E,MATCH(A7,'Projekt-Budget-Übersicht'!$A:$A,0)),"")</f>
        <v/>
      </c>
      <c r="O7" s="11" t="inlineStr"/>
      <c r="P7" s="11" t="inlineStr"/>
    </row>
    <row r="8">
      <c r="A8" s="4" t="inlineStr">
        <is>
          <t>6564.01 ROB-MCR-Weilerbach-Züblin-TP1</t>
        </is>
      </c>
      <c r="B8" s="4" t="inlineStr">
        <is>
          <t>8000-Objektüberwachung</t>
        </is>
      </c>
      <c r="C8" s="4" t="inlineStr">
        <is>
          <t>G</t>
        </is>
      </c>
      <c r="D8" s="4" t="n">
        <v>3640</v>
      </c>
      <c r="E8" s="4" t="n">
        <v>200</v>
      </c>
      <c r="F8" s="4" t="n">
        <v>7</v>
      </c>
      <c r="G8" s="17" t="n">
        <v>5.49</v>
      </c>
      <c r="H8" s="5" t="n"/>
      <c r="I8" s="5">
        <f>IF(H8=0,"",F8-H8)</f>
        <v/>
      </c>
      <c r="J8" s="4" t="n"/>
      <c r="K8" s="5">
        <f>IF('C. Trapp SV'!J42="S. Roßkopf",'C. Trapp SV'!I42,0)</f>
        <v/>
      </c>
      <c r="L8" s="11">
        <f>IF($B$2="-","",IF($B$2="Pauschale",IFERROR(INDEX('Projekt-Budget-Übersicht'!$H:$H,MATCH(A8,'Projekt-Budget-Übersicht'!$A:$A,0)),""),IF($B$2="SV",IFERROR(INDEX('Projekt-Budget-Übersicht'!$H:$H,MATCH(A8,'Projekt-Budget-Übersicht'!$A:$A,0)),""),IF($B$2="CAD",IFERROR(INDEX('Projekt-Budget-Übersicht'!$I:$I,MATCH(A8,'Projekt-Budget-Übersicht'!$A:$A,0)),""),IF($B$2="ADM",IFERROR(INDEX('Projekt-Budget-Übersicht'!$J:$J,MATCH(A8,'Projekt-Budget-Übersicht'!$A:$A,0)),""),"")))))</f>
        <v/>
      </c>
      <c r="M8" s="11">
        <f>IF($B$2="-","",L8*(F8+I8+K8))</f>
        <v/>
      </c>
      <c r="N8" s="11">
        <f>IFERROR(INDEX('Projekt-Budget-Übersicht'!$E:$E,MATCH(A8,'Projekt-Budget-Übersicht'!$A:$A,0)),"")</f>
        <v/>
      </c>
      <c r="O8" s="11" t="inlineStr"/>
      <c r="P8" s="11" t="inlineStr"/>
    </row>
    <row r="9">
      <c r="A9" s="4" t="inlineStr">
        <is>
          <t>6643 BTB-FRP-FWP-Ersatzneubau-Krankenhaus-Hohenlohe-Öhringen-Vamed</t>
        </is>
      </c>
      <c r="B9" s="4" t="inlineStr">
        <is>
          <t>8200-Prüfen der Ausführung - system. stichprobenart. Kontrolle (Stufe 2)….</t>
        </is>
      </c>
      <c r="C9" s="4" t="inlineStr">
        <is>
          <t>G</t>
        </is>
      </c>
      <c r="D9" s="4" t="n">
        <v>540</v>
      </c>
      <c r="E9" s="4" t="n">
        <v>448</v>
      </c>
      <c r="F9" s="4" t="n">
        <v>14.75</v>
      </c>
      <c r="G9" s="17" t="n">
        <v>82.95999999999999</v>
      </c>
      <c r="H9" s="5" t="n"/>
      <c r="I9" s="5">
        <f>IF(H9=0,"",F9-H9)</f>
        <v/>
      </c>
      <c r="J9" s="4" t="n"/>
      <c r="K9" s="5">
        <f>IF('C. Trapp SV'!J46="S. Roßkopf",'C. Trapp SV'!I46,0)+IF('U. Sutter ADM'!J40="S. Roßkopf",'U. Sutter ADM'!I40,0)</f>
        <v/>
      </c>
      <c r="L9" s="11">
        <f>IF($B$2="-","",IF($B$2="Pauschale",IFERROR(INDEX('Projekt-Budget-Übersicht'!$H:$H,MATCH(A9,'Projekt-Budget-Übersicht'!$A:$A,0)),""),IF($B$2="SV",IFERROR(INDEX('Projekt-Budget-Übersicht'!$H:$H,MATCH(A9,'Projekt-Budget-Übersicht'!$A:$A,0)),""),IF($B$2="CAD",IFERROR(INDEX('Projekt-Budget-Übersicht'!$I:$I,MATCH(A9,'Projekt-Budget-Übersicht'!$A:$A,0)),""),IF($B$2="ADM",IFERROR(INDEX('Projekt-Budget-Übersicht'!$J:$J,MATCH(A9,'Projekt-Budget-Übersicht'!$A:$A,0)),""),"")))))</f>
        <v/>
      </c>
      <c r="M9" s="11">
        <f>IF($B$2="-","",L9*(F9+I9+K9))</f>
        <v/>
      </c>
      <c r="N9" s="11">
        <f>IFERROR(INDEX('Projekt-Budget-Übersicht'!$E:$E,MATCH(A9,'Projekt-Budget-Übersicht'!$A:$A,0)),"")</f>
        <v/>
      </c>
      <c r="O9" s="11" t="inlineStr"/>
      <c r="P9" s="11" t="inlineStr"/>
    </row>
    <row r="10">
      <c r="A10" s="3" t="inlineStr"/>
      <c r="B10" s="3" t="inlineStr">
        <is>
          <t>Summe</t>
        </is>
      </c>
      <c r="C10" s="3" t="inlineStr"/>
      <c r="D10" s="3" t="inlineStr"/>
      <c r="E10" s="3" t="inlineStr"/>
      <c r="F10" s="6" t="n">
        <v>56.25</v>
      </c>
      <c r="G10" s="3" t="inlineStr"/>
      <c r="H10" s="3" t="inlineStr"/>
      <c r="I10" s="3" t="inlineStr"/>
      <c r="J10" s="3" t="inlineStr"/>
      <c r="K10" s="3" t="inlineStr"/>
      <c r="L10" s="3" t="n"/>
      <c r="M10" s="3" t="n"/>
      <c r="N10" s="3" t="n"/>
      <c r="O10" s="3" t="n"/>
      <c r="P10" s="3" t="n"/>
    </row>
    <row r="11">
      <c r="A11" s="3" t="inlineStr"/>
      <c r="B11" s="3" t="inlineStr">
        <is>
          <t>Bonusberechtigte Stunden</t>
        </is>
      </c>
      <c r="C11" s="3" t="inlineStr"/>
      <c r="D11" s="3" t="inlineStr"/>
      <c r="E11" s="3" t="inlineStr"/>
      <c r="F11" s="6">
        <f>G11+H11</f>
        <v/>
      </c>
      <c r="G11" s="6" t="n">
        <v>40.25</v>
      </c>
      <c r="H11" s="6">
        <f>SUM(H6,H7,H8,H9)</f>
        <v/>
      </c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</row>
    <row r="12">
      <c r="A12" s="3" t="inlineStr"/>
      <c r="B12" s="3" t="inlineStr">
        <is>
          <t>Bonusberechtigte Stunden Sonderprojekt</t>
        </is>
      </c>
      <c r="C12" s="3" t="inlineStr"/>
      <c r="D12" s="3" t="inlineStr"/>
      <c r="E12" s="3" t="inlineStr"/>
      <c r="F12" s="6" t="n">
        <v>0</v>
      </c>
      <c r="G12" s="6" t="n">
        <v>0</v>
      </c>
      <c r="H12" s="6" t="n">
        <v>0</v>
      </c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</row>
    <row r="13">
      <c r="A13" s="3" t="inlineStr"/>
      <c r="B13" s="3" t="inlineStr">
        <is>
          <t>Zugeordnete Stunden von anderen MA</t>
        </is>
      </c>
      <c r="C13" s="3" t="inlineStr"/>
      <c r="D13" s="3" t="inlineStr"/>
      <c r="E13" s="3" t="inlineStr"/>
      <c r="F13" s="6">
        <f>SUM(K6:K9)</f>
        <v/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</row>
    <row r="14">
      <c r="A14" s="18" t="inlineStr"/>
      <c r="B14" s="18" t="inlineStr">
        <is>
          <t>Gesamt Bonus Stunden</t>
        </is>
      </c>
      <c r="C14" s="18" t="inlineStr"/>
      <c r="D14" s="18" t="inlineStr"/>
      <c r="E14" s="18" t="inlineStr"/>
      <c r="F14" s="19">
        <f>F11+F12+F13</f>
        <v/>
      </c>
      <c r="G14" s="18" t="inlineStr"/>
      <c r="H14" s="18" t="inlineStr"/>
      <c r="I14" s="18" t="inlineStr"/>
      <c r="J14" s="18" t="inlineStr"/>
      <c r="K14" s="18" t="inlineStr"/>
      <c r="L14" s="18" t="n"/>
      <c r="M14" s="18" t="n"/>
      <c r="N14" s="18" t="n"/>
      <c r="O14" s="18" t="n"/>
      <c r="P14" s="18" t="n"/>
    </row>
    <row r="16">
      <c r="A16" s="2" t="inlineStr">
        <is>
          <t>--- September 2025 ---</t>
        </is>
      </c>
    </row>
    <row r="17">
      <c r="A17" s="3" t="inlineStr">
        <is>
          <t>Projekt</t>
        </is>
      </c>
      <c r="B17" s="3" t="inlineStr">
        <is>
          <t>Meilenstein</t>
        </is>
      </c>
      <c r="C17" s="3" t="inlineStr">
        <is>
          <t>Typ</t>
        </is>
      </c>
      <c r="D17" s="3" t="inlineStr">
        <is>
          <t>Soll (h)</t>
        </is>
      </c>
      <c r="E17" s="3" t="inlineStr">
        <is>
          <t>Ist (h)</t>
        </is>
      </c>
      <c r="F17" s="3" t="inlineStr">
        <is>
          <t>September 2025 (h)</t>
        </is>
      </c>
      <c r="G17" s="3" t="inlineStr">
        <is>
          <t>%</t>
        </is>
      </c>
      <c r="H17" s="3" t="inlineStr">
        <is>
          <t>Bonus-Anpassung (h)</t>
        </is>
      </c>
      <c r="I17" s="3" t="inlineStr">
        <is>
          <t>Differenz (h)</t>
        </is>
      </c>
      <c r="J17" s="3" t="inlineStr">
        <is>
          <t>Zuordnen an</t>
        </is>
      </c>
      <c r="K17" s="3" t="inlineStr">
        <is>
          <t>Von anderen (h)</t>
        </is>
      </c>
      <c r="L17" s="3" t="inlineStr">
        <is>
          <t>Stundensatz (€/h)</t>
        </is>
      </c>
      <c r="M17" s="3" t="inlineStr">
        <is>
          <t>Umsatz (€)</t>
        </is>
      </c>
      <c r="N17" s="3" t="inlineStr">
        <is>
          <t>Budget Gesamt (€)</t>
        </is>
      </c>
      <c r="O17" s="3" t="inlineStr">
        <is>
          <t>Budget Ist (€)</t>
        </is>
      </c>
      <c r="P17" s="3" t="inlineStr">
        <is>
          <t>Budget Erwirtschaftet (€)</t>
        </is>
      </c>
    </row>
    <row r="18">
      <c r="A18" s="4" t="inlineStr">
        <is>
          <t>5328 Flugfeldklinikum-Böblingen</t>
        </is>
      </c>
      <c r="B18" s="4" t="inlineStr">
        <is>
          <t>8200-Prüfen der Ausführung - system. stichprobenart. Kontrolle (Stufe 2)….</t>
        </is>
      </c>
      <c r="C18" s="4" t="inlineStr">
        <is>
          <t>G</t>
        </is>
      </c>
      <c r="D18" s="4" t="n">
        <v>562</v>
      </c>
      <c r="E18" s="4" t="n">
        <v>285.25</v>
      </c>
      <c r="F18" s="4" t="n">
        <v>14.25</v>
      </c>
      <c r="G18" s="17" t="n">
        <v>50.76</v>
      </c>
      <c r="H18" s="5" t="n"/>
      <c r="I18" s="5">
        <f>IF(H18=0,"",F18-H18)</f>
        <v/>
      </c>
      <c r="J18" s="4" t="n"/>
      <c r="K18" s="5">
        <f>IF('C. Trapp SV'!J61="S. Roßkopf",'C. Trapp SV'!I61,0)</f>
        <v/>
      </c>
      <c r="L18" s="11">
        <f>IF($B$2="-","",IF($B$2="Pauschale",IFERROR(INDEX('Projekt-Budget-Übersicht'!$H:$H,MATCH(A18,'Projekt-Budget-Übersicht'!$A:$A,0)),""),IF($B$2="SV",IFERROR(INDEX('Projekt-Budget-Übersicht'!$H:$H,MATCH(A18,'Projekt-Budget-Übersicht'!$A:$A,0)),""),IF($B$2="CAD",IFERROR(INDEX('Projekt-Budget-Übersicht'!$I:$I,MATCH(A18,'Projekt-Budget-Übersicht'!$A:$A,0)),""),IF($B$2="ADM",IFERROR(INDEX('Projekt-Budget-Übersicht'!$J:$J,MATCH(A18,'Projekt-Budget-Übersicht'!$A:$A,0)),""),"")))))</f>
        <v/>
      </c>
      <c r="M18" s="11">
        <f>IF($B$2="-","",L18*(F18+I18+K18))</f>
        <v/>
      </c>
      <c r="N18" s="11">
        <f>IFERROR(INDEX('Projekt-Budget-Übersicht'!$E:$E,MATCH(A18,'Projekt-Budget-Übersicht'!$A:$A,0)),"")</f>
        <v/>
      </c>
      <c r="O18" s="11" t="inlineStr"/>
      <c r="P18" s="11" t="inlineStr"/>
    </row>
    <row r="19">
      <c r="A19" s="4" t="inlineStr">
        <is>
          <t>5607.05 BAB-NB-J4-Zentralinstitut-für-seelische-Gesundheit-Mannheim</t>
        </is>
      </c>
      <c r="B19" s="4" t="inlineStr">
        <is>
          <t>(aN) 8200-Prüfen der Ausführung - system. stichprobenart. Kontrolle (Stufe 2)….</t>
        </is>
      </c>
      <c r="C19" s="4" t="inlineStr">
        <is>
          <t>G</t>
        </is>
      </c>
      <c r="D19" s="4" t="n">
        <v>240</v>
      </c>
      <c r="E19" s="4" t="n">
        <v>188.5</v>
      </c>
      <c r="F19" s="4" t="n">
        <v>10.5</v>
      </c>
      <c r="G19" s="17" t="n">
        <v>78.54000000000001</v>
      </c>
      <c r="H19" s="5" t="n"/>
      <c r="I19" s="5">
        <f>IF(H19=0,"",F19-H19)</f>
        <v/>
      </c>
      <c r="J19" s="4" t="n"/>
      <c r="K19" s="5">
        <f>IF('C. Trapp SV'!J62="S. Roßkopf",'C. Trapp SV'!I62,0)+IF('U. Sutter ADM'!J56="S. Roßkopf",'U. Sutter ADM'!I56,0)</f>
        <v/>
      </c>
      <c r="L19" s="11">
        <f>IF($B$2="-","",IF($B$2="Pauschale",IFERROR(INDEX('Projekt-Budget-Übersicht'!$H:$H,MATCH(A19,'Projekt-Budget-Übersicht'!$A:$A,0)),""),IF($B$2="SV",IFERROR(INDEX('Projekt-Budget-Übersicht'!$H:$H,MATCH(A19,'Projekt-Budget-Übersicht'!$A:$A,0)),""),IF($B$2="CAD",IFERROR(INDEX('Projekt-Budget-Übersicht'!$I:$I,MATCH(A19,'Projekt-Budget-Übersicht'!$A:$A,0)),""),IF($B$2="ADM",IFERROR(INDEX('Projekt-Budget-Übersicht'!$J:$J,MATCH(A19,'Projekt-Budget-Übersicht'!$A:$A,0)),""),"")))))</f>
        <v/>
      </c>
      <c r="M19" s="11">
        <f>IF($B$2="-","",L19*(F19+I19+K19))</f>
        <v/>
      </c>
      <c r="N19" s="11">
        <f>IFERROR(INDEX('Projekt-Budget-Übersicht'!$E:$E,MATCH(A19,'Projekt-Budget-Übersicht'!$A:$A,0)),"")</f>
        <v/>
      </c>
      <c r="O19" s="11" t="inlineStr"/>
      <c r="P19" s="11" t="inlineStr"/>
    </row>
    <row r="20">
      <c r="A20" s="4" t="inlineStr">
        <is>
          <t>6564.01 ROB-MCR-Weilerbach-Züblin-TP1</t>
        </is>
      </c>
      <c r="B20" s="4" t="inlineStr">
        <is>
          <t>8000-Objektüberwachung</t>
        </is>
      </c>
      <c r="C20" s="4" t="inlineStr">
        <is>
          <t>G</t>
        </is>
      </c>
      <c r="D20" s="4" t="n">
        <v>3640</v>
      </c>
      <c r="E20" s="4" t="n">
        <v>230</v>
      </c>
      <c r="F20" s="4" t="n">
        <v>5</v>
      </c>
      <c r="G20" s="17" t="n">
        <v>6.32</v>
      </c>
      <c r="H20" s="5" t="n"/>
      <c r="I20" s="5">
        <f>IF(H20=0,"",F20-H20)</f>
        <v/>
      </c>
      <c r="J20" s="4" t="n"/>
      <c r="K20" s="5">
        <f>IF('C. Trapp SV'!J63="S. Roßkopf",'C. Trapp SV'!I63,0)</f>
        <v/>
      </c>
      <c r="L20" s="11">
        <f>IF($B$2="-","",IF($B$2="Pauschale",IFERROR(INDEX('Projekt-Budget-Übersicht'!$H:$H,MATCH(A20,'Projekt-Budget-Übersicht'!$A:$A,0)),""),IF($B$2="SV",IFERROR(INDEX('Projekt-Budget-Übersicht'!$H:$H,MATCH(A20,'Projekt-Budget-Übersicht'!$A:$A,0)),""),IF($B$2="CAD",IFERROR(INDEX('Projekt-Budget-Übersicht'!$I:$I,MATCH(A20,'Projekt-Budget-Übersicht'!$A:$A,0)),""),IF($B$2="ADM",IFERROR(INDEX('Projekt-Budget-Übersicht'!$J:$J,MATCH(A20,'Projekt-Budget-Übersicht'!$A:$A,0)),""),"")))))</f>
        <v/>
      </c>
      <c r="M20" s="11">
        <f>IF($B$2="-","",L20*(F20+I20+K20))</f>
        <v/>
      </c>
      <c r="N20" s="11">
        <f>IFERROR(INDEX('Projekt-Budget-Übersicht'!$E:$E,MATCH(A20,'Projekt-Budget-Übersicht'!$A:$A,0)),"")</f>
        <v/>
      </c>
      <c r="O20" s="11" t="inlineStr"/>
      <c r="P20" s="11" t="inlineStr"/>
    </row>
    <row r="21">
      <c r="A21" s="4" t="inlineStr">
        <is>
          <t>6643 BTB-FRP-FWP-Ersatzneubau-Krankenhaus-Hohenlohe-Öhringen-Vamed</t>
        </is>
      </c>
      <c r="B21" s="4" t="inlineStr">
        <is>
          <t>8200-Prüfen der Ausführung - system. stichprobenart. Kontrolle (Stufe 2)….</t>
        </is>
      </c>
      <c r="C21" s="4" t="inlineStr">
        <is>
          <t>G</t>
        </is>
      </c>
      <c r="D21" s="4" t="n">
        <v>540</v>
      </c>
      <c r="E21" s="4" t="n">
        <v>536.5</v>
      </c>
      <c r="F21" s="4" t="n">
        <v>41.5</v>
      </c>
      <c r="G21" s="14" t="n">
        <v>99.34999999999999</v>
      </c>
      <c r="H21" s="5" t="n"/>
      <c r="I21" s="5">
        <f>IF(H21=0,"",F21-H21)</f>
        <v/>
      </c>
      <c r="J21" s="4" t="n"/>
      <c r="K21" s="5">
        <f>IF('C. Trapp SV'!J64="S. Roßkopf",'C. Trapp SV'!I64,0)</f>
        <v/>
      </c>
      <c r="L21" s="11">
        <f>IF($B$2="-","",IF($B$2="Pauschale",IFERROR(INDEX('Projekt-Budget-Übersicht'!$H:$H,MATCH(A21,'Projekt-Budget-Übersicht'!$A:$A,0)),""),IF($B$2="SV",IFERROR(INDEX('Projekt-Budget-Übersicht'!$H:$H,MATCH(A21,'Projekt-Budget-Übersicht'!$A:$A,0)),""),IF($B$2="CAD",IFERROR(INDEX('Projekt-Budget-Übersicht'!$I:$I,MATCH(A21,'Projekt-Budget-Übersicht'!$A:$A,0)),""),IF($B$2="ADM",IFERROR(INDEX('Projekt-Budget-Übersicht'!$J:$J,MATCH(A21,'Projekt-Budget-Übersicht'!$A:$A,0)),""),"")))))</f>
        <v/>
      </c>
      <c r="M21" s="11">
        <f>IF($B$2="-","",L21*(F21+I21+K21))</f>
        <v/>
      </c>
      <c r="N21" s="11">
        <f>IFERROR(INDEX('Projekt-Budget-Übersicht'!$E:$E,MATCH(A21,'Projekt-Budget-Übersicht'!$A:$A,0)),"")</f>
        <v/>
      </c>
      <c r="O21" s="11" t="inlineStr"/>
      <c r="P21" s="11" t="inlineStr"/>
    </row>
    <row r="22">
      <c r="A22" s="3" t="inlineStr"/>
      <c r="B22" s="3" t="inlineStr">
        <is>
          <t>Summe</t>
        </is>
      </c>
      <c r="C22" s="3" t="inlineStr"/>
      <c r="D22" s="3" t="inlineStr"/>
      <c r="E22" s="3" t="inlineStr"/>
      <c r="F22" s="6" t="n">
        <v>71.25</v>
      </c>
      <c r="G22" s="3" t="inlineStr"/>
      <c r="H22" s="3" t="inlineStr"/>
      <c r="I22" s="3" t="inlineStr"/>
      <c r="J22" s="3" t="inlineStr"/>
      <c r="K22" s="3" t="inlineStr"/>
      <c r="L22" s="3" t="n"/>
      <c r="M22" s="3" t="n"/>
      <c r="N22" s="3" t="n"/>
      <c r="O22" s="3" t="n"/>
      <c r="P22" s="3" t="n"/>
    </row>
    <row r="23">
      <c r="A23" s="3" t="inlineStr"/>
      <c r="B23" s="3" t="inlineStr">
        <is>
          <t>Bonusberechtigte Stunden</t>
        </is>
      </c>
      <c r="C23" s="3" t="inlineStr"/>
      <c r="D23" s="3" t="inlineStr"/>
      <c r="E23" s="3" t="inlineStr"/>
      <c r="F23" s="6">
        <f>G23+H23</f>
        <v/>
      </c>
      <c r="G23" s="6" t="n">
        <v>71.25</v>
      </c>
      <c r="H23" s="6">
        <f>SUM(H18,H19,H20,H21)</f>
        <v/>
      </c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</row>
    <row r="24">
      <c r="A24" s="3" t="inlineStr"/>
      <c r="B24" s="3" t="inlineStr">
        <is>
          <t>Bonusberechtigte Stunden Sonderprojekt</t>
        </is>
      </c>
      <c r="C24" s="3" t="inlineStr"/>
      <c r="D24" s="3" t="inlineStr"/>
      <c r="E24" s="3" t="inlineStr"/>
      <c r="F24" s="6" t="n">
        <v>0</v>
      </c>
      <c r="G24" s="6" t="n">
        <v>0</v>
      </c>
      <c r="H24" s="6" t="n">
        <v>0</v>
      </c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</row>
    <row r="25">
      <c r="A25" s="3" t="inlineStr"/>
      <c r="B25" s="3" t="inlineStr">
        <is>
          <t>Zugeordnete Stunden von anderen MA</t>
        </is>
      </c>
      <c r="C25" s="3" t="inlineStr"/>
      <c r="D25" s="3" t="inlineStr"/>
      <c r="E25" s="3" t="inlineStr"/>
      <c r="F25" s="6">
        <f>SUM(K18:K21)</f>
        <v/>
      </c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</row>
    <row r="26">
      <c r="A26" s="18" t="inlineStr"/>
      <c r="B26" s="18" t="inlineStr">
        <is>
          <t>Gesamt Bonus Stunden</t>
        </is>
      </c>
      <c r="C26" s="18" t="inlineStr"/>
      <c r="D26" s="18" t="inlineStr"/>
      <c r="E26" s="18" t="inlineStr"/>
      <c r="F26" s="19">
        <f>F23+F24+F25</f>
        <v/>
      </c>
      <c r="G26" s="18" t="inlineStr"/>
      <c r="H26" s="18" t="inlineStr"/>
      <c r="I26" s="18" t="inlineStr"/>
      <c r="J26" s="18" t="inlineStr"/>
      <c r="K26" s="18" t="inlineStr"/>
      <c r="L26" s="18" t="n"/>
      <c r="M26" s="18" t="n"/>
      <c r="N26" s="18" t="n"/>
      <c r="O26" s="18" t="n"/>
      <c r="P26" s="18" t="n"/>
    </row>
    <row r="28">
      <c r="A28" s="2" t="inlineStr">
        <is>
          <t>--- Übertragshilfe ---</t>
        </is>
      </c>
    </row>
    <row r="29">
      <c r="A29" s="3" t="inlineStr">
        <is>
          <t>Monat</t>
        </is>
      </c>
      <c r="B29" s="3" t="inlineStr">
        <is>
          <t>Mitarbeiter</t>
        </is>
      </c>
      <c r="C29" s="3" t="inlineStr">
        <is>
          <t>Prod. Stunden</t>
        </is>
      </c>
      <c r="D29" s="3" t="inlineStr">
        <is>
          <t>Bonusberechtigte Stunden</t>
        </is>
      </c>
      <c r="E29" s="3" t="inlineStr">
        <is>
          <t>Bonusberechtigte Stunden Sonderprojekt</t>
        </is>
      </c>
      <c r="F29" s="3" t="inlineStr">
        <is>
          <t>Zugeordnet von anderen</t>
        </is>
      </c>
      <c r="G29" s="3" t="inlineStr">
        <is>
          <t>Gesamt Bonus</t>
        </is>
      </c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</row>
    <row r="30">
      <c r="A30" s="4" t="inlineStr">
        <is>
          <t>August 2025</t>
        </is>
      </c>
      <c r="B30" s="4" t="inlineStr">
        <is>
          <t>S. Roßkopf</t>
        </is>
      </c>
      <c r="C30" s="4">
        <f>F10</f>
        <v/>
      </c>
      <c r="D30" s="4">
        <f>F11</f>
        <v/>
      </c>
      <c r="E30" s="4">
        <f>F12</f>
        <v/>
      </c>
      <c r="F30" s="4">
        <f>F13</f>
        <v/>
      </c>
      <c r="G30" s="4">
        <f>F14</f>
        <v/>
      </c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</row>
    <row r="31">
      <c r="A31" s="4" t="inlineStr">
        <is>
          <t>September 2025</t>
        </is>
      </c>
      <c r="B31" s="4" t="inlineStr">
        <is>
          <t>S. Roßkopf</t>
        </is>
      </c>
      <c r="C31" s="4">
        <f>F22</f>
        <v/>
      </c>
      <c r="D31" s="4">
        <f>F23</f>
        <v/>
      </c>
      <c r="E31" s="4">
        <f>F24</f>
        <v/>
      </c>
      <c r="F31" s="4">
        <f>F25</f>
        <v/>
      </c>
      <c r="G31" s="4">
        <f>F26</f>
        <v/>
      </c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</row>
    <row r="34">
      <c r="A34" s="2" t="inlineStr">
        <is>
          <t>--- Gesamtstunden 2025Q3 ---</t>
        </is>
      </c>
    </row>
    <row r="35">
      <c r="A35" s="12" t="inlineStr">
        <is>
          <t>Gesamt eingetragene Stunden:</t>
        </is>
      </c>
      <c r="B35" s="12" t="n">
        <v>127.5</v>
      </c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</row>
    <row r="36">
      <c r="A36" s="12" t="inlineStr">
        <is>
          <t>Bonusberechtigte Stunden (Quartal):</t>
        </is>
      </c>
      <c r="B36" s="20">
        <f>SUM(F11,F23)</f>
        <v/>
      </c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</row>
    <row r="37">
      <c r="A37" s="12" t="inlineStr">
        <is>
          <t>Bonusberechtigte Stunden Sonderprojekt (Quartal):</t>
        </is>
      </c>
      <c r="B37" s="20">
        <f>SUM(F12,F24)</f>
        <v/>
      </c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</row>
  </sheetData>
  <conditionalFormatting sqref="I6">
    <cfRule type="cellIs" priority="1" operator="lessThan" dxfId="0" stopIfTrue="1">
      <formula>0</formula>
    </cfRule>
  </conditionalFormatting>
  <conditionalFormatting sqref="I7">
    <cfRule type="cellIs" priority="2" operator="lessThan" dxfId="0" stopIfTrue="1">
      <formula>0</formula>
    </cfRule>
  </conditionalFormatting>
  <conditionalFormatting sqref="I8">
    <cfRule type="cellIs" priority="3" operator="lessThan" dxfId="0" stopIfTrue="1">
      <formula>0</formula>
    </cfRule>
  </conditionalFormatting>
  <conditionalFormatting sqref="I9">
    <cfRule type="cellIs" priority="4" operator="lessThan" dxfId="0" stopIfTrue="1">
      <formula>0</formula>
    </cfRule>
  </conditionalFormatting>
  <conditionalFormatting sqref="I18">
    <cfRule type="cellIs" priority="5" operator="lessThan" dxfId="0" stopIfTrue="1">
      <formula>0</formula>
    </cfRule>
  </conditionalFormatting>
  <conditionalFormatting sqref="I19">
    <cfRule type="cellIs" priority="6" operator="lessThan" dxfId="0" stopIfTrue="1">
      <formula>0</formula>
    </cfRule>
  </conditionalFormatting>
  <conditionalFormatting sqref="I20">
    <cfRule type="cellIs" priority="7" operator="lessThan" dxfId="0" stopIfTrue="1">
      <formula>0</formula>
    </cfRule>
  </conditionalFormatting>
  <conditionalFormatting sqref="I21">
    <cfRule type="cellIs" priority="8" operator="lessThan" dxfId="0" stopIfTrue="1">
      <formula>0</formula>
    </cfRule>
  </conditionalFormatting>
  <dataValidations count="9">
    <dataValidation sqref="B2" showDropDown="0" showInputMessage="0" showErrorMessage="0" allowBlank="0" type="list">
      <formula1>"SV,CAD,ADM,Pauschale,-"</formula1>
    </dataValidation>
    <dataValidation sqref="J6" showDropDown="0" showInputMessage="0" showErrorMessage="0" allowBlank="1" type="list">
      <formula1>"C. Trapp SV"</formula1>
    </dataValidation>
    <dataValidation sqref="J7" showDropDown="0" showInputMessage="0" showErrorMessage="0" allowBlank="1" type="list">
      <formula1>"A. Kokott,C. Trapp SV"</formula1>
    </dataValidation>
    <dataValidation sqref="J8" showDropDown="0" showInputMessage="0" showErrorMessage="0" allowBlank="1" type="list">
      <formula1>"C. Trapp SV,P. Bergner"</formula1>
    </dataValidation>
    <dataValidation sqref="J9" showDropDown="0" showInputMessage="0" showErrorMessage="0" allowBlank="1" type="list">
      <formula1>"C. Trapp SV,U. Sutter ADM"</formula1>
    </dataValidation>
    <dataValidation sqref="J18" showDropDown="0" showInputMessage="0" showErrorMessage="0" allowBlank="1" type="list">
      <formula1>"C. Trapp SV"</formula1>
    </dataValidation>
    <dataValidation sqref="J19" showDropDown="0" showInputMessage="0" showErrorMessage="0" allowBlank="1" type="list">
      <formula1>"C. Trapp SV,U. Sutter ADM"</formula1>
    </dataValidation>
    <dataValidation sqref="J20" showDropDown="0" showInputMessage="0" showErrorMessage="0" allowBlank="1" type="list">
      <formula1>"C. Trapp SV,P. Bergner"</formula1>
    </dataValidation>
    <dataValidation sqref="J21" showDropDown="0" showInputMessage="0" showErrorMessage="0" allowBlank="1" type="list">
      <formula1>"C. Trapp SV,U. Sutter ADM"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134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8" customWidth="1" min="3" max="3"/>
    <col width="12" customWidth="1" min="4" max="4"/>
    <col width="12" customWidth="1" min="5" max="5"/>
    <col width="12" customWidth="1" min="6" max="6"/>
    <col width="8" customWidth="1" min="7" max="7"/>
    <col width="16" customWidth="1" min="8" max="8"/>
    <col width="12" customWidth="1" min="9" max="9"/>
    <col width="25" customWidth="1" min="10" max="10"/>
    <col width="15" customWidth="1" min="11" max="11"/>
    <col width="18" customWidth="1" min="12" max="12"/>
    <col width="15" customWidth="1" min="13" max="13"/>
    <col width="18" customWidth="1" min="14" max="14"/>
    <col width="15" customWidth="1" min="15" max="15"/>
    <col width="22" customWidth="1" min="16" max="16"/>
  </cols>
  <sheetData>
    <row r="1">
      <c r="A1" t="inlineStr">
        <is>
          <t>S. Schüler - Quartalsreport 2025Q3</t>
        </is>
      </c>
    </row>
    <row r="2">
      <c r="A2" s="12" t="inlineStr">
        <is>
          <t>Position:</t>
        </is>
      </c>
      <c r="B2" t="inlineStr">
        <is>
          <t>SV</t>
        </is>
      </c>
    </row>
    <row r="4">
      <c r="A4" s="2" t="inlineStr">
        <is>
          <t>--- Juli 2025 ---</t>
        </is>
      </c>
    </row>
    <row r="5">
      <c r="A5" s="3" t="inlineStr">
        <is>
          <t>Projekt</t>
        </is>
      </c>
      <c r="B5" s="3" t="inlineStr">
        <is>
          <t>Meilenstein</t>
        </is>
      </c>
      <c r="C5" s="3" t="inlineStr">
        <is>
          <t>Typ</t>
        </is>
      </c>
      <c r="D5" s="3" t="inlineStr">
        <is>
          <t>Soll (h)</t>
        </is>
      </c>
      <c r="E5" s="3" t="inlineStr">
        <is>
          <t>Ist (h)</t>
        </is>
      </c>
      <c r="F5" s="3" t="inlineStr">
        <is>
          <t>Juli 2025 (h)</t>
        </is>
      </c>
      <c r="G5" s="3" t="inlineStr">
        <is>
          <t>%</t>
        </is>
      </c>
      <c r="H5" s="3" t="inlineStr">
        <is>
          <t>Bonus-Anpassung (h)</t>
        </is>
      </c>
      <c r="I5" s="3" t="inlineStr">
        <is>
          <t>Differenz (h)</t>
        </is>
      </c>
      <c r="J5" s="3" t="inlineStr">
        <is>
          <t>Zuordnen an</t>
        </is>
      </c>
      <c r="K5" s="3" t="inlineStr">
        <is>
          <t>Von anderen (h)</t>
        </is>
      </c>
      <c r="L5" s="3" t="inlineStr">
        <is>
          <t>Stundensatz (€/h)</t>
        </is>
      </c>
      <c r="M5" s="3" t="inlineStr">
        <is>
          <t>Umsatz (€)</t>
        </is>
      </c>
      <c r="N5" s="3" t="inlineStr">
        <is>
          <t>Budget Gesamt (€)</t>
        </is>
      </c>
      <c r="O5" s="3" t="inlineStr">
        <is>
          <t>Budget Ist (€)</t>
        </is>
      </c>
      <c r="P5" s="3" t="inlineStr">
        <is>
          <t>Budget Erwirtschaftet (€)</t>
        </is>
      </c>
    </row>
    <row r="6">
      <c r="A6" s="4" t="inlineStr">
        <is>
          <t>0000 Sonderprojekt für Bonus</t>
        </is>
      </c>
      <c r="B6" s="4" t="inlineStr">
        <is>
          <t>Angebote-Ausschreibungen-Kalkulationen (max. 8h/Monat pro MA)</t>
        </is>
      </c>
      <c r="C6" s="4" t="inlineStr">
        <is>
          <t>M</t>
        </is>
      </c>
      <c r="D6" s="4" t="n">
        <v>8</v>
      </c>
      <c r="E6" s="4" t="n">
        <v>7.5</v>
      </c>
      <c r="F6" s="4" t="n">
        <v>7.5</v>
      </c>
      <c r="G6" s="14" t="n">
        <v>93.75</v>
      </c>
      <c r="H6" s="5" t="n"/>
      <c r="I6" s="5">
        <f>IF(H6=0,"",F6-H6)</f>
        <v/>
      </c>
      <c r="J6" s="4" t="n"/>
      <c r="K6" s="5">
        <f>IF('A. Kokott'!J6="S. Schüler",'A. Kokott'!I6,0)+IF('D. Brucker'!J6="S. Schüler",'D. Brucker'!I6,0)+IF('E. Bieler'!J6="S. Schüler",'E. Bieler'!I6,0)+IF('J. Dorchies'!J6="S. Schüler",'J. Dorchies'!I6,0)+IF('O. Haag BS-CAD'!J6="S. Schüler",'O. Haag BS-CAD'!I6,0)+IF('T. Trautmann'!J6="S. Schüler",'T. Trautmann'!I6,0)+IF('U. Sutter ADM'!J6="S. Schüler",'U. Sutter ADM'!I6,0)</f>
        <v/>
      </c>
      <c r="L6" s="11">
        <f>IF($B$2="-","",IF($B$2="Pauschale",IFERROR(INDEX('Projekt-Budget-Übersicht'!$H:$H,MATCH(A6,'Projekt-Budget-Übersicht'!$A:$A,0)),""),IF($B$2="SV",IFERROR(INDEX('Projekt-Budget-Übersicht'!$H:$H,MATCH(A6,'Projekt-Budget-Übersicht'!$A:$A,0)),""),IF($B$2="CAD",IFERROR(INDEX('Projekt-Budget-Übersicht'!$I:$I,MATCH(A6,'Projekt-Budget-Übersicht'!$A:$A,0)),""),IF($B$2="ADM",IFERROR(INDEX('Projekt-Budget-Übersicht'!$J:$J,MATCH(A6,'Projekt-Budget-Übersicht'!$A:$A,0)),""),"")))))</f>
        <v/>
      </c>
      <c r="M6" s="11">
        <f>IF($B$2="-","",L6*(F6+I6+K6))</f>
        <v/>
      </c>
      <c r="N6" s="11">
        <f>IFERROR(INDEX('Projekt-Budget-Übersicht'!$E:$E,MATCH(A6,'Projekt-Budget-Übersicht'!$A:$A,0)),"")</f>
        <v/>
      </c>
      <c r="O6" s="11" t="inlineStr"/>
      <c r="P6" s="11" t="inlineStr"/>
    </row>
    <row r="7">
      <c r="A7" s="4" t="inlineStr">
        <is>
          <t>1257.03 LP3-8-Germersheim-Army-Depot-Gebäude-7915</t>
        </is>
      </c>
      <c r="B7" s="4" t="inlineStr">
        <is>
          <t>5100-Beraten Planer ausführungsreife Lösungen….</t>
        </is>
      </c>
      <c r="C7" s="4" t="inlineStr">
        <is>
          <t>G</t>
        </is>
      </c>
      <c r="D7" s="4" t="n">
        <v>42</v>
      </c>
      <c r="E7" s="4" t="n">
        <v>20</v>
      </c>
      <c r="F7" s="4" t="n">
        <v>0.5</v>
      </c>
      <c r="G7" s="17" t="n">
        <v>47.62</v>
      </c>
      <c r="H7" s="5" t="n"/>
      <c r="I7" s="5">
        <f>IF(H7=0,"",F7-H7)</f>
        <v/>
      </c>
      <c r="J7" s="4" t="n"/>
      <c r="K7" s="5">
        <f>IF('J. Dorchies'!J8="S. Schüler",'J. Dorchies'!I8,0)</f>
        <v/>
      </c>
      <c r="L7" s="11">
        <f>IF($B$2="-","",IF($B$2="Pauschale",IFERROR(INDEX('Projekt-Budget-Übersicht'!$H:$H,MATCH(A7,'Projekt-Budget-Übersicht'!$A:$A,0)),""),IF($B$2="SV",IFERROR(INDEX('Projekt-Budget-Übersicht'!$H:$H,MATCH(A7,'Projekt-Budget-Übersicht'!$A:$A,0)),""),IF($B$2="CAD",IFERROR(INDEX('Projekt-Budget-Übersicht'!$I:$I,MATCH(A7,'Projekt-Budget-Übersicht'!$A:$A,0)),""),IF($B$2="ADM",IFERROR(INDEX('Projekt-Budget-Übersicht'!$J:$J,MATCH(A7,'Projekt-Budget-Übersicht'!$A:$A,0)),""),"")))))</f>
        <v/>
      </c>
      <c r="M7" s="11">
        <f>IF($B$2="-","",L7*(F7+I7+K7))</f>
        <v/>
      </c>
      <c r="N7" s="11">
        <f>IFERROR(INDEX('Projekt-Budget-Übersicht'!$E:$E,MATCH(A7,'Projekt-Budget-Übersicht'!$A:$A,0)),"")</f>
        <v/>
      </c>
      <c r="O7" s="11" t="inlineStr"/>
      <c r="P7" s="11" t="inlineStr"/>
    </row>
    <row r="8">
      <c r="A8" s="13" t="inlineStr">
        <is>
          <t>4436.04 BTB Krankenhaus-Bergstraße-Viernheimer-Straße-2-Heppenheim</t>
        </is>
      </c>
      <c r="B8" s="4" t="inlineStr">
        <is>
          <t>1101-Zusammenstellen Ergebnisse….</t>
        </is>
      </c>
      <c r="C8" s="4" t="inlineStr">
        <is>
          <t>G</t>
        </is>
      </c>
      <c r="D8" s="4" t="n">
        <v>2</v>
      </c>
      <c r="E8" s="4" t="n">
        <v>1</v>
      </c>
      <c r="F8" s="4" t="n">
        <v>1</v>
      </c>
      <c r="G8" s="17" t="n">
        <v>50</v>
      </c>
      <c r="H8" s="5" t="n"/>
      <c r="I8" s="5">
        <f>IF(H8=0,"",F8-H8)</f>
        <v/>
      </c>
      <c r="J8" s="4" t="n"/>
      <c r="K8" s="5" t="n">
        <v>0</v>
      </c>
      <c r="L8" s="11">
        <f>IF($B$2="-","",IF($B$2="Pauschale",IFERROR(INDEX('Projekt-Budget-Übersicht'!$H:$H,MATCH(A8,'Projekt-Budget-Übersicht'!$A:$A,0)),""),IF($B$2="SV",IFERROR(INDEX('Projekt-Budget-Übersicht'!$H:$H,MATCH(A8,'Projekt-Budget-Übersicht'!$A:$A,0)),""),IF($B$2="CAD",IFERROR(INDEX('Projekt-Budget-Übersicht'!$I:$I,MATCH(A8,'Projekt-Budget-Übersicht'!$A:$A,0)),""),IF($B$2="ADM",IFERROR(INDEX('Projekt-Budget-Übersicht'!$J:$J,MATCH(A8,'Projekt-Budget-Übersicht'!$A:$A,0)),""),"")))))</f>
        <v/>
      </c>
      <c r="M8" s="11">
        <f>IF($B$2="-","",L8*(F8+I8+K8))</f>
        <v/>
      </c>
      <c r="N8" s="11">
        <f>IFERROR(INDEX('Projekt-Budget-Übersicht'!$E:$E,MATCH(A8,'Projekt-Budget-Übersicht'!$A:$A,0)),"")</f>
        <v/>
      </c>
      <c r="O8" s="11" t="inlineStr"/>
      <c r="P8" s="11" t="inlineStr"/>
    </row>
    <row r="9">
      <c r="A9" s="21" t="n"/>
      <c r="B9" s="4" t="inlineStr">
        <is>
          <t>2101-Erarbeiten Eckdaten Brandschutzkonzept….</t>
        </is>
      </c>
      <c r="C9" s="4" t="inlineStr">
        <is>
          <t>G</t>
        </is>
      </c>
      <c r="D9" s="4" t="n">
        <v>31.5</v>
      </c>
      <c r="E9" s="4" t="n">
        <v>100.5</v>
      </c>
      <c r="F9" s="4" t="n">
        <v>5.75</v>
      </c>
      <c r="G9" s="16" t="n">
        <v>319.05</v>
      </c>
      <c r="H9" s="5" t="n"/>
      <c r="I9" s="5">
        <f>IF(H9=0,"",F9-H9)</f>
        <v/>
      </c>
      <c r="J9" s="4" t="n"/>
      <c r="K9" s="5">
        <f>IF('E. Iago Barros de Oliveira'!J7="S. Schüler",'E. Iago Barros de Oliveira'!I7,0)</f>
        <v/>
      </c>
      <c r="L9" s="11">
        <f>IF($B$2="-","",IF($B$2="Pauschale",IFERROR(INDEX('Projekt-Budget-Übersicht'!$H:$H,MATCH(A9,'Projekt-Budget-Übersicht'!$A:$A,0)),""),IF($B$2="SV",IFERROR(INDEX('Projekt-Budget-Übersicht'!$H:$H,MATCH(A9,'Projekt-Budget-Übersicht'!$A:$A,0)),""),IF($B$2="CAD",IFERROR(INDEX('Projekt-Budget-Übersicht'!$I:$I,MATCH(A9,'Projekt-Budget-Übersicht'!$A:$A,0)),""),IF($B$2="ADM",IFERROR(INDEX('Projekt-Budget-Übersicht'!$J:$J,MATCH(A9,'Projekt-Budget-Übersicht'!$A:$A,0)),""),"")))))</f>
        <v/>
      </c>
      <c r="M9" s="11">
        <f>IF($B$2="-","",L9*(F9+I9+K9))</f>
        <v/>
      </c>
      <c r="N9" s="11">
        <f>IFERROR(INDEX('Projekt-Budget-Übersicht'!$E:$E,MATCH(A9,'Projekt-Budget-Übersicht'!$A:$A,0)),"")</f>
        <v/>
      </c>
      <c r="O9" s="11" t="inlineStr"/>
      <c r="P9" s="11" t="inlineStr"/>
    </row>
    <row r="10">
      <c r="A10" s="21" t="n"/>
      <c r="B10" s="4" t="inlineStr">
        <is>
          <t>2105-Erstellen Brandschutzskizzen....</t>
        </is>
      </c>
      <c r="C10" s="4" t="inlineStr">
        <is>
          <t>G</t>
        </is>
      </c>
      <c r="D10" s="4" t="n">
        <v>21</v>
      </c>
      <c r="E10" s="4" t="n">
        <v>18</v>
      </c>
      <c r="F10" s="4" t="n">
        <v>3</v>
      </c>
      <c r="G10" s="17" t="n">
        <v>85.70999999999999</v>
      </c>
      <c r="H10" s="5" t="n"/>
      <c r="I10" s="5">
        <f>IF(H10=0,"",F10-H10)</f>
        <v/>
      </c>
      <c r="J10" s="4" t="n"/>
      <c r="K10" s="5" t="n">
        <v>0</v>
      </c>
      <c r="L10" s="11">
        <f>IF($B$2="-","",IF($B$2="Pauschale",IFERROR(INDEX('Projekt-Budget-Übersicht'!$H:$H,MATCH(A10,'Projekt-Budget-Übersicht'!$A:$A,0)),""),IF($B$2="SV",IFERROR(INDEX('Projekt-Budget-Übersicht'!$H:$H,MATCH(A10,'Projekt-Budget-Übersicht'!$A:$A,0)),""),IF($B$2="CAD",IFERROR(INDEX('Projekt-Budget-Übersicht'!$I:$I,MATCH(A10,'Projekt-Budget-Übersicht'!$A:$A,0)),""),IF($B$2="ADM",IFERROR(INDEX('Projekt-Budget-Übersicht'!$J:$J,MATCH(A10,'Projekt-Budget-Übersicht'!$A:$A,0)),""),"")))))</f>
        <v/>
      </c>
      <c r="M10" s="11">
        <f>IF($B$2="-","",L10*(F10+I10+K10))</f>
        <v/>
      </c>
      <c r="N10" s="11">
        <f>IFERROR(INDEX('Projekt-Budget-Übersicht'!$E:$E,MATCH(A10,'Projekt-Budget-Übersicht'!$A:$A,0)),"")</f>
        <v/>
      </c>
      <c r="O10" s="11" t="inlineStr"/>
      <c r="P10" s="11" t="inlineStr"/>
    </row>
    <row r="11">
      <c r="A11" s="21" t="n"/>
      <c r="B11" s="4" t="inlineStr">
        <is>
          <t>4101-Erläuterungsbericht Brandschutzkonzept….</t>
        </is>
      </c>
      <c r="C11" s="4" t="inlineStr">
        <is>
          <t>G</t>
        </is>
      </c>
      <c r="D11" s="4" t="n">
        <v>23</v>
      </c>
      <c r="E11" s="4" t="n">
        <v>103.75</v>
      </c>
      <c r="F11" s="4" t="n">
        <v>6</v>
      </c>
      <c r="G11" s="16" t="n">
        <v>451.09</v>
      </c>
      <c r="H11" s="5" t="n"/>
      <c r="I11" s="5">
        <f>IF(H11=0,"",F11-H11)</f>
        <v/>
      </c>
      <c r="J11" s="4" t="n"/>
      <c r="K11" s="5" t="n">
        <v>0</v>
      </c>
      <c r="L11" s="11">
        <f>IF($B$2="-","",IF($B$2="Pauschale",IFERROR(INDEX('Projekt-Budget-Übersicht'!$H:$H,MATCH(A11,'Projekt-Budget-Übersicht'!$A:$A,0)),""),IF($B$2="SV",IFERROR(INDEX('Projekt-Budget-Übersicht'!$H:$H,MATCH(A11,'Projekt-Budget-Übersicht'!$A:$A,0)),""),IF($B$2="CAD",IFERROR(INDEX('Projekt-Budget-Übersicht'!$I:$I,MATCH(A11,'Projekt-Budget-Übersicht'!$A:$A,0)),""),IF($B$2="ADM",IFERROR(INDEX('Projekt-Budget-Übersicht'!$J:$J,MATCH(A11,'Projekt-Budget-Übersicht'!$A:$A,0)),""),"")))))</f>
        <v/>
      </c>
      <c r="M11" s="11">
        <f>IF($B$2="-","",L11*(F11+I11+K11))</f>
        <v/>
      </c>
      <c r="N11" s="11">
        <f>IFERROR(INDEX('Projekt-Budget-Übersicht'!$E:$E,MATCH(A11,'Projekt-Budget-Übersicht'!$A:$A,0)),"")</f>
        <v/>
      </c>
      <c r="O11" s="11" t="inlineStr"/>
      <c r="P11" s="11" t="inlineStr"/>
    </row>
    <row r="12">
      <c r="A12" s="21" t="n"/>
      <c r="B12" s="4" t="inlineStr">
        <is>
          <t>4103-Erarbeiten Brandschutzkonzeptpläne….</t>
        </is>
      </c>
      <c r="C12" s="4" t="inlineStr">
        <is>
          <t>G</t>
        </is>
      </c>
      <c r="D12" s="4" t="n">
        <v>26.5</v>
      </c>
      <c r="E12" s="4" t="n">
        <v>32.75</v>
      </c>
      <c r="F12" s="4" t="n">
        <v>4</v>
      </c>
      <c r="G12" s="16" t="n">
        <v>123.58</v>
      </c>
      <c r="H12" s="5" t="n"/>
      <c r="I12" s="5">
        <f>IF(H12=0,"",F12-H12)</f>
        <v/>
      </c>
      <c r="J12" s="4" t="n"/>
      <c r="K12" s="5">
        <f>IF('O. Haag BS-CAD'!J11="S. Schüler",'O. Haag BS-CAD'!I11,0)</f>
        <v/>
      </c>
      <c r="L12" s="11">
        <f>IF($B$2="-","",IF($B$2="Pauschale",IFERROR(INDEX('Projekt-Budget-Übersicht'!$H:$H,MATCH(A12,'Projekt-Budget-Übersicht'!$A:$A,0)),""),IF($B$2="SV",IFERROR(INDEX('Projekt-Budget-Übersicht'!$H:$H,MATCH(A12,'Projekt-Budget-Übersicht'!$A:$A,0)),""),IF($B$2="CAD",IFERROR(INDEX('Projekt-Budget-Übersicht'!$I:$I,MATCH(A12,'Projekt-Budget-Übersicht'!$A:$A,0)),""),IF($B$2="ADM",IFERROR(INDEX('Projekt-Budget-Übersicht'!$J:$J,MATCH(A12,'Projekt-Budget-Übersicht'!$A:$A,0)),""),"")))))</f>
        <v/>
      </c>
      <c r="M12" s="11">
        <f>IF($B$2="-","",L12*(F12+I12+K12))</f>
        <v/>
      </c>
      <c r="N12" s="11">
        <f>IFERROR(INDEX('Projekt-Budget-Übersicht'!$E:$E,MATCH(A12,'Projekt-Budget-Übersicht'!$A:$A,0)),"")</f>
        <v/>
      </c>
      <c r="O12" s="11" t="inlineStr"/>
      <c r="P12" s="11" t="inlineStr"/>
    </row>
    <row r="13">
      <c r="A13" s="21" t="n"/>
      <c r="B13" s="4" t="inlineStr">
        <is>
          <t>5100-Beraten Planer ausführungsreife Lösungen….</t>
        </is>
      </c>
      <c r="C13" s="4" t="inlineStr">
        <is>
          <t>G</t>
        </is>
      </c>
      <c r="D13" s="4" t="n">
        <v>52</v>
      </c>
      <c r="E13" s="4" t="n">
        <v>146.75</v>
      </c>
      <c r="F13" s="4" t="n">
        <v>10.75</v>
      </c>
      <c r="G13" s="16" t="n">
        <v>282.21</v>
      </c>
      <c r="H13" s="5" t="n"/>
      <c r="I13" s="5">
        <f>IF(H13=0,"",F13-H13)</f>
        <v/>
      </c>
      <c r="J13" s="4" t="n"/>
      <c r="K13" s="5">
        <f>IF('C. Trapp SV'!J9="S. Schüler",'C. Trapp SV'!I9,0)</f>
        <v/>
      </c>
      <c r="L13" s="11">
        <f>IF($B$2="-","",IF($B$2="Pauschale",IFERROR(INDEX('Projekt-Budget-Übersicht'!$H:$H,MATCH(A13,'Projekt-Budget-Übersicht'!$A:$A,0)),""),IF($B$2="SV",IFERROR(INDEX('Projekt-Budget-Übersicht'!$H:$H,MATCH(A13,'Projekt-Budget-Übersicht'!$A:$A,0)),""),IF($B$2="CAD",IFERROR(INDEX('Projekt-Budget-Übersicht'!$I:$I,MATCH(A13,'Projekt-Budget-Übersicht'!$A:$A,0)),""),IF($B$2="ADM",IFERROR(INDEX('Projekt-Budget-Übersicht'!$J:$J,MATCH(A13,'Projekt-Budget-Übersicht'!$A:$A,0)),""),"")))))</f>
        <v/>
      </c>
      <c r="M13" s="11">
        <f>IF($B$2="-","",L13*(F13+I13+K13))</f>
        <v/>
      </c>
      <c r="N13" s="11">
        <f>IFERROR(INDEX('Projekt-Budget-Übersicht'!$E:$E,MATCH(A13,'Projekt-Budget-Übersicht'!$A:$A,0)),"")</f>
        <v/>
      </c>
      <c r="O13" s="11" t="inlineStr"/>
      <c r="P13" s="11" t="inlineStr"/>
    </row>
    <row r="14">
      <c r="A14" s="21" t="n"/>
      <c r="B14" s="4" t="inlineStr">
        <is>
          <t>5102-Zusammenstellen Ergebnisse….</t>
        </is>
      </c>
      <c r="C14" s="4" t="inlineStr">
        <is>
          <t>G</t>
        </is>
      </c>
      <c r="D14" s="4" t="n">
        <v>6.5</v>
      </c>
      <c r="E14" s="4" t="n">
        <v>10.5</v>
      </c>
      <c r="F14" s="4" t="n">
        <v>3.75</v>
      </c>
      <c r="G14" s="16" t="n">
        <v>161.54</v>
      </c>
      <c r="H14" s="5" t="n"/>
      <c r="I14" s="5">
        <f>IF(H14=0,"",F14-H14)</f>
        <v/>
      </c>
      <c r="J14" s="4" t="n"/>
      <c r="K14" s="5">
        <f>IF('U. Sutter ADM'!J11="S. Schüler",'U. Sutter ADM'!I11,0)</f>
        <v/>
      </c>
      <c r="L14" s="11">
        <f>IF($B$2="-","",IF($B$2="Pauschale",IFERROR(INDEX('Projekt-Budget-Übersicht'!$H:$H,MATCH(A14,'Projekt-Budget-Übersicht'!$A:$A,0)),""),IF($B$2="SV",IFERROR(INDEX('Projekt-Budget-Übersicht'!$H:$H,MATCH(A14,'Projekt-Budget-Übersicht'!$A:$A,0)),""),IF($B$2="CAD",IFERROR(INDEX('Projekt-Budget-Übersicht'!$I:$I,MATCH(A14,'Projekt-Budget-Übersicht'!$A:$A,0)),""),IF($B$2="ADM",IFERROR(INDEX('Projekt-Budget-Übersicht'!$J:$J,MATCH(A14,'Projekt-Budget-Übersicht'!$A:$A,0)),""),"")))))</f>
        <v/>
      </c>
      <c r="M14" s="11">
        <f>IF($B$2="-","",L14*(F14+I14+K14))</f>
        <v/>
      </c>
      <c r="N14" s="11">
        <f>IFERROR(INDEX('Projekt-Budget-Übersicht'!$E:$E,MATCH(A14,'Projekt-Budget-Übersicht'!$A:$A,0)),"")</f>
        <v/>
      </c>
      <c r="O14" s="11" t="inlineStr"/>
      <c r="P14" s="11" t="inlineStr"/>
    </row>
    <row r="15">
      <c r="A15" s="15" t="n"/>
      <c r="B15" s="4" t="inlineStr">
        <is>
          <t>5207-Planung Ausstattung Feuerlöscher....</t>
        </is>
      </c>
      <c r="C15" s="4" t="inlineStr">
        <is>
          <t>G</t>
        </is>
      </c>
      <c r="D15" s="4" t="n">
        <v>28.5</v>
      </c>
      <c r="E15" s="4" t="n">
        <v>3.25</v>
      </c>
      <c r="F15" s="4" t="n">
        <v>3.25</v>
      </c>
      <c r="G15" s="17" t="n">
        <v>11.4</v>
      </c>
      <c r="H15" s="5" t="n"/>
      <c r="I15" s="5">
        <f>IF(H15=0,"",F15-H15)</f>
        <v/>
      </c>
      <c r="J15" s="4" t="n"/>
      <c r="K15" s="5" t="n">
        <v>0</v>
      </c>
      <c r="L15" s="11">
        <f>IF($B$2="-","",IF($B$2="Pauschale",IFERROR(INDEX('Projekt-Budget-Übersicht'!$H:$H,MATCH(A15,'Projekt-Budget-Übersicht'!$A:$A,0)),""),IF($B$2="SV",IFERROR(INDEX('Projekt-Budget-Übersicht'!$H:$H,MATCH(A15,'Projekt-Budget-Übersicht'!$A:$A,0)),""),IF($B$2="CAD",IFERROR(INDEX('Projekt-Budget-Übersicht'!$I:$I,MATCH(A15,'Projekt-Budget-Übersicht'!$A:$A,0)),""),IF($B$2="ADM",IFERROR(INDEX('Projekt-Budget-Übersicht'!$J:$J,MATCH(A15,'Projekt-Budget-Übersicht'!$A:$A,0)),""),"")))))</f>
        <v/>
      </c>
      <c r="M15" s="11">
        <f>IF($B$2="-","",L15*(F15+I15+K15))</f>
        <v/>
      </c>
      <c r="N15" s="11">
        <f>IFERROR(INDEX('Projekt-Budget-Übersicht'!$E:$E,MATCH(A15,'Projekt-Budget-Übersicht'!$A:$A,0)),"")</f>
        <v/>
      </c>
      <c r="O15" s="11" t="inlineStr"/>
      <c r="P15" s="11" t="inlineStr"/>
    </row>
    <row r="16">
      <c r="A16" s="4" t="inlineStr">
        <is>
          <t>4436.041 BTB-NAT-02-KKH-Bergstraße-Viernheimer-Straße-2-Heppenheim-Bauphase</t>
        </is>
      </c>
      <c r="B16" s="4" t="inlineStr">
        <is>
          <t>3100-Erarbeiten des Brandschutzkonzept/Nachweis/Stellungnahme</t>
        </is>
      </c>
      <c r="C16" s="4" t="inlineStr">
        <is>
          <t>G</t>
        </is>
      </c>
      <c r="D16" s="4" t="n">
        <v>57</v>
      </c>
      <c r="E16" s="4" t="n">
        <v>29.75</v>
      </c>
      <c r="F16" s="4" t="n">
        <v>1.75</v>
      </c>
      <c r="G16" s="17" t="n">
        <v>52.19</v>
      </c>
      <c r="H16" s="5" t="n"/>
      <c r="I16" s="5">
        <f>IF(H16=0,"",F16-H16)</f>
        <v/>
      </c>
      <c r="J16" s="4" t="n"/>
      <c r="K16" s="5" t="n">
        <v>0</v>
      </c>
      <c r="L16" s="11">
        <f>IF($B$2="-","",IF($B$2="Pauschale",IFERROR(INDEX('Projekt-Budget-Übersicht'!$H:$H,MATCH(A16,'Projekt-Budget-Übersicht'!$A:$A,0)),""),IF($B$2="SV",IFERROR(INDEX('Projekt-Budget-Übersicht'!$H:$H,MATCH(A16,'Projekt-Budget-Übersicht'!$A:$A,0)),""),IF($B$2="CAD",IFERROR(INDEX('Projekt-Budget-Übersicht'!$I:$I,MATCH(A16,'Projekt-Budget-Übersicht'!$A:$A,0)),""),IF($B$2="ADM",IFERROR(INDEX('Projekt-Budget-Übersicht'!$J:$J,MATCH(A16,'Projekt-Budget-Übersicht'!$A:$A,0)),""),"")))))</f>
        <v/>
      </c>
      <c r="M16" s="11">
        <f>IF($B$2="-","",L16*(F16+I16+K16))</f>
        <v/>
      </c>
      <c r="N16" s="11">
        <f>IFERROR(INDEX('Projekt-Budget-Übersicht'!$E:$E,MATCH(A16,'Projekt-Budget-Übersicht'!$A:$A,0)),"")</f>
        <v/>
      </c>
      <c r="O16" s="11" t="inlineStr"/>
      <c r="P16" s="11" t="inlineStr"/>
    </row>
    <row r="17">
      <c r="A17" s="4" t="inlineStr">
        <is>
          <t>4436.043 FWP-NA003-KKH-Bergstraße-Viernheimer-Straße-2-Heppenheim-Bauphase+NB-BauteilG</t>
        </is>
      </c>
      <c r="B17" s="4" t="inlineStr">
        <is>
          <t>9200-Erstellen od. Prüfen Feuerwehrpläne….</t>
        </is>
      </c>
      <c r="C17" s="4" t="inlineStr">
        <is>
          <t>G</t>
        </is>
      </c>
      <c r="D17" s="4" t="n">
        <v>230</v>
      </c>
      <c r="E17" s="4" t="n">
        <v>24.75</v>
      </c>
      <c r="F17" s="4" t="n">
        <v>1.5</v>
      </c>
      <c r="G17" s="17" t="n">
        <v>10.76</v>
      </c>
      <c r="H17" s="5" t="n"/>
      <c r="I17" s="5">
        <f>IF(H17=0,"",F17-H17)</f>
        <v/>
      </c>
      <c r="J17" s="4" t="n"/>
      <c r="K17" s="5" t="n">
        <v>0</v>
      </c>
      <c r="L17" s="11">
        <f>IF($B$2="-","",IF($B$2="Pauschale",IFERROR(INDEX('Projekt-Budget-Übersicht'!$H:$H,MATCH(A17,'Projekt-Budget-Übersicht'!$A:$A,0)),""),IF($B$2="SV",IFERROR(INDEX('Projekt-Budget-Übersicht'!$H:$H,MATCH(A17,'Projekt-Budget-Übersicht'!$A:$A,0)),""),IF($B$2="CAD",IFERROR(INDEX('Projekt-Budget-Übersicht'!$I:$I,MATCH(A17,'Projekt-Budget-Übersicht'!$A:$A,0)),""),IF($B$2="ADM",IFERROR(INDEX('Projekt-Budget-Übersicht'!$J:$J,MATCH(A17,'Projekt-Budget-Übersicht'!$A:$A,0)),""),"")))))</f>
        <v/>
      </c>
      <c r="M17" s="11">
        <f>IF($B$2="-","",L17*(F17+I17+K17))</f>
        <v/>
      </c>
      <c r="N17" s="11">
        <f>IFERROR(INDEX('Projekt-Budget-Übersicht'!$E:$E,MATCH(A17,'Projekt-Budget-Übersicht'!$A:$A,0)),"")</f>
        <v/>
      </c>
      <c r="O17" s="11" t="inlineStr"/>
      <c r="P17" s="11" t="inlineStr"/>
    </row>
    <row r="18">
      <c r="A18" s="13" t="inlineStr">
        <is>
          <t>5607.05 BAB-NB-J4-Zentralinstitut-für-seelische-Gesundheit-Mannheim</t>
        </is>
      </c>
      <c r="B18" s="4" t="inlineStr">
        <is>
          <t>9000-Beratungsleistungen</t>
        </is>
      </c>
      <c r="C18" s="4" t="inlineStr">
        <is>
          <t>G</t>
        </is>
      </c>
      <c r="D18" s="4" t="n">
        <v>14.75</v>
      </c>
      <c r="E18" s="4" t="n">
        <v>44.25</v>
      </c>
      <c r="F18" s="4" t="n">
        <v>8.75</v>
      </c>
      <c r="G18" s="16" t="n">
        <v>300</v>
      </c>
      <c r="H18" s="5" t="n"/>
      <c r="I18" s="5">
        <f>IF(H18=0,"",F18-H18)</f>
        <v/>
      </c>
      <c r="J18" s="4" t="n"/>
      <c r="K18" s="5" t="n">
        <v>0</v>
      </c>
      <c r="L18" s="11">
        <f>IF($B$2="-","",IF($B$2="Pauschale",IFERROR(INDEX('Projekt-Budget-Übersicht'!$H:$H,MATCH(A18,'Projekt-Budget-Übersicht'!$A:$A,0)),""),IF($B$2="SV",IFERROR(INDEX('Projekt-Budget-Übersicht'!$H:$H,MATCH(A18,'Projekt-Budget-Übersicht'!$A:$A,0)),""),IF($B$2="CAD",IFERROR(INDEX('Projekt-Budget-Übersicht'!$I:$I,MATCH(A18,'Projekt-Budget-Übersicht'!$A:$A,0)),""),IF($B$2="ADM",IFERROR(INDEX('Projekt-Budget-Übersicht'!$J:$J,MATCH(A18,'Projekt-Budget-Übersicht'!$A:$A,0)),""),"")))))</f>
        <v/>
      </c>
      <c r="M18" s="11">
        <f>IF($B$2="-","",L18*(F18+I18+K18))</f>
        <v/>
      </c>
      <c r="N18" s="11">
        <f>IFERROR(INDEX('Projekt-Budget-Übersicht'!$E:$E,MATCH(A18,'Projekt-Budget-Übersicht'!$A:$A,0)),"")</f>
        <v/>
      </c>
      <c r="O18" s="11" t="inlineStr"/>
      <c r="P18" s="11" t="inlineStr"/>
    </row>
    <row r="19">
      <c r="A19" s="21" t="n"/>
      <c r="B19" s="4" t="inlineStr">
        <is>
          <t>9000-Mitwirken Abstimmung Behörden</t>
        </is>
      </c>
      <c r="C19" s="4" t="inlineStr">
        <is>
          <t>G</t>
        </is>
      </c>
      <c r="D19" s="4" t="n">
        <v>1.25</v>
      </c>
      <c r="E19" s="4" t="n">
        <v>2.25</v>
      </c>
      <c r="F19" s="4" t="n">
        <v>0.25</v>
      </c>
      <c r="G19" s="16" t="n">
        <v>180</v>
      </c>
      <c r="H19" s="5" t="n"/>
      <c r="I19" s="5">
        <f>IF(H19=0,"",F19-H19)</f>
        <v/>
      </c>
      <c r="J19" s="4" t="n"/>
      <c r="K19" s="5" t="n">
        <v>0</v>
      </c>
      <c r="L19" s="11">
        <f>IF($B$2="-","",IF($B$2="Pauschale",IFERROR(INDEX('Projekt-Budget-Übersicht'!$H:$H,MATCH(A19,'Projekt-Budget-Übersicht'!$A:$A,0)),""),IF($B$2="SV",IFERROR(INDEX('Projekt-Budget-Übersicht'!$H:$H,MATCH(A19,'Projekt-Budget-Übersicht'!$A:$A,0)),""),IF($B$2="CAD",IFERROR(INDEX('Projekt-Budget-Übersicht'!$I:$I,MATCH(A19,'Projekt-Budget-Übersicht'!$A:$A,0)),""),IF($B$2="ADM",IFERROR(INDEX('Projekt-Budget-Übersicht'!$J:$J,MATCH(A19,'Projekt-Budget-Übersicht'!$A:$A,0)),""),"")))))</f>
        <v/>
      </c>
      <c r="M19" s="11">
        <f>IF($B$2="-","",L19*(F19+I19+K19))</f>
        <v/>
      </c>
      <c r="N19" s="11">
        <f>IFERROR(INDEX('Projekt-Budget-Übersicht'!$E:$E,MATCH(A19,'Projekt-Budget-Übersicht'!$A:$A,0)),"")</f>
        <v/>
      </c>
      <c r="O19" s="11" t="inlineStr"/>
      <c r="P19" s="11" t="inlineStr"/>
    </row>
    <row r="20">
      <c r="A20" s="15" t="n"/>
      <c r="B20" s="4" t="inlineStr">
        <is>
          <t>9100-Aktualisierung Brandschutzkonzeptpläne….</t>
        </is>
      </c>
      <c r="C20" s="4" t="inlineStr">
        <is>
          <t>G</t>
        </is>
      </c>
      <c r="D20" s="4" t="n">
        <v>0</v>
      </c>
      <c r="E20" s="4" t="n">
        <v>3.5</v>
      </c>
      <c r="F20" s="4" t="n">
        <v>3.5</v>
      </c>
      <c r="G20" s="4" t="n">
        <v>0</v>
      </c>
      <c r="H20" s="5" t="n"/>
      <c r="I20" s="5">
        <f>IF(H20=0,"",F20-H20)</f>
        <v/>
      </c>
      <c r="J20" s="4" t="n"/>
      <c r="K20" s="5" t="n">
        <v>0</v>
      </c>
      <c r="L20" s="11">
        <f>IF($B$2="-","",IF($B$2="Pauschale",IFERROR(INDEX('Projekt-Budget-Übersicht'!$H:$H,MATCH(A20,'Projekt-Budget-Übersicht'!$A:$A,0)),""),IF($B$2="SV",IFERROR(INDEX('Projekt-Budget-Übersicht'!$H:$H,MATCH(A20,'Projekt-Budget-Übersicht'!$A:$A,0)),""),IF($B$2="CAD",IFERROR(INDEX('Projekt-Budget-Übersicht'!$I:$I,MATCH(A20,'Projekt-Budget-Übersicht'!$A:$A,0)),""),IF($B$2="ADM",IFERROR(INDEX('Projekt-Budget-Übersicht'!$J:$J,MATCH(A20,'Projekt-Budget-Übersicht'!$A:$A,0)),""),"")))))</f>
        <v/>
      </c>
      <c r="M20" s="11">
        <f>IF($B$2="-","",L20*(F20+I20+K20))</f>
        <v/>
      </c>
      <c r="N20" s="11">
        <f>IFERROR(INDEX('Projekt-Budget-Übersicht'!$E:$E,MATCH(A20,'Projekt-Budget-Übersicht'!$A:$A,0)),"")</f>
        <v/>
      </c>
      <c r="O20" s="11" t="inlineStr"/>
      <c r="P20" s="11" t="inlineStr"/>
    </row>
    <row r="21">
      <c r="A21" s="13" t="inlineStr">
        <is>
          <t>5607.15 BTB-2025-Zentralinstitut-für-seelische-Gesundheit-Mannheim</t>
        </is>
      </c>
      <c r="B21" s="4" t="inlineStr">
        <is>
          <t>2302-Beratungsleistungen in der Planungsphase...</t>
        </is>
      </c>
      <c r="C21" s="4" t="inlineStr">
        <is>
          <t>G</t>
        </is>
      </c>
      <c r="D21" s="4" t="n">
        <v>28</v>
      </c>
      <c r="E21" s="4" t="n">
        <v>1.25</v>
      </c>
      <c r="F21" s="4" t="n">
        <v>0.25</v>
      </c>
      <c r="G21" s="17" t="n">
        <v>4.46</v>
      </c>
      <c r="H21" s="5" t="n"/>
      <c r="I21" s="5">
        <f>IF(H21=0,"",F21-H21)</f>
        <v/>
      </c>
      <c r="J21" s="4" t="n"/>
      <c r="K21" s="5" t="n">
        <v>0</v>
      </c>
      <c r="L21" s="11">
        <f>IF($B$2="-","",IF($B$2="Pauschale",IFERROR(INDEX('Projekt-Budget-Übersicht'!$H:$H,MATCH(A21,'Projekt-Budget-Übersicht'!$A:$A,0)),""),IF($B$2="SV",IFERROR(INDEX('Projekt-Budget-Übersicht'!$H:$H,MATCH(A21,'Projekt-Budget-Übersicht'!$A:$A,0)),""),IF($B$2="CAD",IFERROR(INDEX('Projekt-Budget-Übersicht'!$I:$I,MATCH(A21,'Projekt-Budget-Übersicht'!$A:$A,0)),""),IF($B$2="ADM",IFERROR(INDEX('Projekt-Budget-Übersicht'!$J:$J,MATCH(A21,'Projekt-Budget-Übersicht'!$A:$A,0)),""),"")))))</f>
        <v/>
      </c>
      <c r="M21" s="11">
        <f>IF($B$2="-","",L21*(F21+I21+K21))</f>
        <v/>
      </c>
      <c r="N21" s="11">
        <f>IFERROR(INDEX('Projekt-Budget-Übersicht'!$E:$E,MATCH(A21,'Projekt-Budget-Übersicht'!$A:$A,0)),"")</f>
        <v/>
      </c>
      <c r="O21" s="11" t="inlineStr"/>
      <c r="P21" s="11" t="inlineStr"/>
    </row>
    <row r="22">
      <c r="A22" s="21" t="n"/>
      <c r="B22" s="4" t="inlineStr">
        <is>
          <t>3100-Erarbeiten des Brandschutzkonzept/Nachweis/Stellungnahme</t>
        </is>
      </c>
      <c r="C22" s="4" t="inlineStr">
        <is>
          <t>G</t>
        </is>
      </c>
      <c r="D22" s="4" t="n">
        <v>34</v>
      </c>
      <c r="E22" s="4" t="n">
        <v>11.75</v>
      </c>
      <c r="F22" s="4" t="n">
        <v>0.5</v>
      </c>
      <c r="G22" s="17" t="n">
        <v>34.56</v>
      </c>
      <c r="H22" s="5" t="n"/>
      <c r="I22" s="5">
        <f>IF(H22=0,"",F22-H22)</f>
        <v/>
      </c>
      <c r="J22" s="4" t="n"/>
      <c r="K22" s="5" t="n">
        <v>0</v>
      </c>
      <c r="L22" s="11">
        <f>IF($B$2="-","",IF($B$2="Pauschale",IFERROR(INDEX('Projekt-Budget-Übersicht'!$H:$H,MATCH(A22,'Projekt-Budget-Übersicht'!$A:$A,0)),""),IF($B$2="SV",IFERROR(INDEX('Projekt-Budget-Übersicht'!$H:$H,MATCH(A22,'Projekt-Budget-Übersicht'!$A:$A,0)),""),IF($B$2="CAD",IFERROR(INDEX('Projekt-Budget-Übersicht'!$I:$I,MATCH(A22,'Projekt-Budget-Übersicht'!$A:$A,0)),""),IF($B$2="ADM",IFERROR(INDEX('Projekt-Budget-Übersicht'!$J:$J,MATCH(A22,'Projekt-Budget-Übersicht'!$A:$A,0)),""),"")))))</f>
        <v/>
      </c>
      <c r="M22" s="11">
        <f>IF($B$2="-","",L22*(F22+I22+K22))</f>
        <v/>
      </c>
      <c r="N22" s="11">
        <f>IFERROR(INDEX('Projekt-Budget-Übersicht'!$E:$E,MATCH(A22,'Projekt-Budget-Übersicht'!$A:$A,0)),"")</f>
        <v/>
      </c>
      <c r="O22" s="11" t="inlineStr"/>
      <c r="P22" s="11" t="inlineStr"/>
    </row>
    <row r="23">
      <c r="A23" s="15" t="n"/>
      <c r="B23" s="4" t="inlineStr">
        <is>
          <t>4103-Erarbeiten Brandschutzkonzeptpläne….</t>
        </is>
      </c>
      <c r="C23" s="4" t="inlineStr">
        <is>
          <t>G</t>
        </is>
      </c>
      <c r="D23" s="4" t="n">
        <v>30</v>
      </c>
      <c r="E23" s="4" t="n">
        <v>9.25</v>
      </c>
      <c r="F23" s="4" t="n">
        <v>0.25</v>
      </c>
      <c r="G23" s="17" t="n">
        <v>30.83</v>
      </c>
      <c r="H23" s="5" t="n"/>
      <c r="I23" s="5">
        <f>IF(H23=0,"",F23-H23)</f>
        <v/>
      </c>
      <c r="J23" s="4" t="n"/>
      <c r="K23" s="5">
        <f>IF('O. Haag BS-CAD'!J18="S. Schüler",'O. Haag BS-CAD'!I18,0)</f>
        <v/>
      </c>
      <c r="L23" s="11">
        <f>IF($B$2="-","",IF($B$2="Pauschale",IFERROR(INDEX('Projekt-Budget-Übersicht'!$H:$H,MATCH(A23,'Projekt-Budget-Übersicht'!$A:$A,0)),""),IF($B$2="SV",IFERROR(INDEX('Projekt-Budget-Übersicht'!$H:$H,MATCH(A23,'Projekt-Budget-Übersicht'!$A:$A,0)),""),IF($B$2="CAD",IFERROR(INDEX('Projekt-Budget-Übersicht'!$I:$I,MATCH(A23,'Projekt-Budget-Übersicht'!$A:$A,0)),""),IF($B$2="ADM",IFERROR(INDEX('Projekt-Budget-Übersicht'!$J:$J,MATCH(A23,'Projekt-Budget-Übersicht'!$A:$A,0)),""),"")))))</f>
        <v/>
      </c>
      <c r="M23" s="11">
        <f>IF($B$2="-","",L23*(F23+I23+K23))</f>
        <v/>
      </c>
      <c r="N23" s="11">
        <f>IFERROR(INDEX('Projekt-Budget-Übersicht'!$E:$E,MATCH(A23,'Projekt-Budget-Übersicht'!$A:$A,0)),"")</f>
        <v/>
      </c>
      <c r="O23" s="11" t="inlineStr"/>
      <c r="P23" s="11" t="inlineStr"/>
    </row>
    <row r="24">
      <c r="A24" s="4" t="inlineStr">
        <is>
          <t>5875.13 John-Deere-BSK-Halle-V-HomburgerStr117-125-Zweibrücken</t>
        </is>
      </c>
      <c r="B24" s="4" t="inlineStr">
        <is>
          <t>SV</t>
        </is>
      </c>
      <c r="C24" s="4" t="inlineStr">
        <is>
          <t>G</t>
        </is>
      </c>
      <c r="D24" s="4" t="n">
        <v>200</v>
      </c>
      <c r="E24" s="4" t="n">
        <v>15</v>
      </c>
      <c r="F24" s="4" t="n">
        <v>2.5</v>
      </c>
      <c r="G24" s="17" t="n">
        <v>7.5</v>
      </c>
      <c r="H24" s="5" t="n"/>
      <c r="I24" s="5">
        <f>IF(H24=0,"",F24-H24)</f>
        <v/>
      </c>
      <c r="J24" s="4" t="n"/>
      <c r="K24" s="5" t="n">
        <v>0</v>
      </c>
      <c r="L24" s="11">
        <f>IF($B$2="-","",IF($B$2="Pauschale",IFERROR(INDEX('Projekt-Budget-Übersicht'!$H:$H,MATCH(A24,'Projekt-Budget-Übersicht'!$A:$A,0)),""),IF($B$2="SV",IFERROR(INDEX('Projekt-Budget-Übersicht'!$H:$H,MATCH(A24,'Projekt-Budget-Übersicht'!$A:$A,0)),""),IF($B$2="CAD",IFERROR(INDEX('Projekt-Budget-Übersicht'!$I:$I,MATCH(A24,'Projekt-Budget-Übersicht'!$A:$A,0)),""),IF($B$2="ADM",IFERROR(INDEX('Projekt-Budget-Übersicht'!$J:$J,MATCH(A24,'Projekt-Budget-Übersicht'!$A:$A,0)),""),"")))))</f>
        <v/>
      </c>
      <c r="M24" s="11">
        <f>IF($B$2="-","",L24*(F24+I24+K24))</f>
        <v/>
      </c>
      <c r="N24" s="11">
        <f>IFERROR(INDEX('Projekt-Budget-Übersicht'!$E:$E,MATCH(A24,'Projekt-Budget-Übersicht'!$A:$A,0)),"")</f>
        <v/>
      </c>
      <c r="O24" s="11" t="inlineStr"/>
      <c r="P24" s="11" t="inlineStr"/>
    </row>
    <row r="25">
      <c r="A25" s="4" t="inlineStr">
        <is>
          <t>6313.06 BSK-Fitseveneleven-Limespark-Sulzbach-1.OG</t>
        </is>
      </c>
      <c r="B25" s="4" t="inlineStr">
        <is>
          <t>4103-Erarbeiten Brandschutzkonzeptpläne….</t>
        </is>
      </c>
      <c r="C25" s="4" t="inlineStr">
        <is>
          <t>G</t>
        </is>
      </c>
      <c r="D25" s="4" t="n">
        <v>6</v>
      </c>
      <c r="E25" s="4" t="n">
        <v>2.25</v>
      </c>
      <c r="F25" s="4" t="n">
        <v>1</v>
      </c>
      <c r="G25" s="17" t="n">
        <v>37.5</v>
      </c>
      <c r="H25" s="5" t="n"/>
      <c r="I25" s="5">
        <f>IF(H25=0,"",F25-H25)</f>
        <v/>
      </c>
      <c r="J25" s="4" t="n"/>
      <c r="K25" s="5" t="n">
        <v>0</v>
      </c>
      <c r="L25" s="11">
        <f>IF($B$2="-","",IF($B$2="Pauschale",IFERROR(INDEX('Projekt-Budget-Übersicht'!$H:$H,MATCH(A25,'Projekt-Budget-Übersicht'!$A:$A,0)),""),IF($B$2="SV",IFERROR(INDEX('Projekt-Budget-Übersicht'!$H:$H,MATCH(A25,'Projekt-Budget-Übersicht'!$A:$A,0)),""),IF($B$2="CAD",IFERROR(INDEX('Projekt-Budget-Übersicht'!$I:$I,MATCH(A25,'Projekt-Budget-Übersicht'!$A:$A,0)),""),IF($B$2="ADM",IFERROR(INDEX('Projekt-Budget-Übersicht'!$J:$J,MATCH(A25,'Projekt-Budget-Übersicht'!$A:$A,0)),""),"")))))</f>
        <v/>
      </c>
      <c r="M25" s="11">
        <f>IF($B$2="-","",L25*(F25+I25+K25))</f>
        <v/>
      </c>
      <c r="N25" s="11">
        <f>IFERROR(INDEX('Projekt-Budget-Übersicht'!$E:$E,MATCH(A25,'Projekt-Budget-Übersicht'!$A:$A,0)),"")</f>
        <v/>
      </c>
      <c r="O25" s="11" t="inlineStr"/>
      <c r="P25" s="11" t="inlineStr"/>
    </row>
    <row r="26">
      <c r="A26" s="13" t="inlineStr">
        <is>
          <t>6680.02 GSKOK-Heidelberg-Kopfklinik-LP3</t>
        </is>
      </c>
      <c r="B26" s="4" t="inlineStr">
        <is>
          <t>SV</t>
        </is>
      </c>
      <c r="C26" s="4" t="inlineStr">
        <is>
          <t>G</t>
        </is>
      </c>
      <c r="D26" s="4" t="n">
        <v>40</v>
      </c>
      <c r="E26" s="4" t="n">
        <v>160</v>
      </c>
      <c r="F26" s="4" t="n">
        <v>10.25</v>
      </c>
      <c r="G26" s="16" t="n">
        <v>400</v>
      </c>
      <c r="H26" s="5" t="n"/>
      <c r="I26" s="5">
        <f>IF(H26=0,"",F26-H26)</f>
        <v/>
      </c>
      <c r="J26" s="4" t="n"/>
      <c r="K26" s="5" t="n">
        <v>0</v>
      </c>
      <c r="L26" s="11">
        <f>IF($B$2="-","",IF($B$2="Pauschale",IFERROR(INDEX('Projekt-Budget-Übersicht'!$H:$H,MATCH(A26,'Projekt-Budget-Übersicht'!$A:$A,0)),""),IF($B$2="SV",IFERROR(INDEX('Projekt-Budget-Übersicht'!$H:$H,MATCH(A26,'Projekt-Budget-Übersicht'!$A:$A,0)),""),IF($B$2="CAD",IFERROR(INDEX('Projekt-Budget-Übersicht'!$I:$I,MATCH(A26,'Projekt-Budget-Übersicht'!$A:$A,0)),""),IF($B$2="ADM",IFERROR(INDEX('Projekt-Budget-Übersicht'!$J:$J,MATCH(A26,'Projekt-Budget-Übersicht'!$A:$A,0)),""),"")))))</f>
        <v/>
      </c>
      <c r="M26" s="11">
        <f>IF($B$2="-","",L26*(F26+I26+K26))</f>
        <v/>
      </c>
      <c r="N26" s="11">
        <f>IFERROR(INDEX('Projekt-Budget-Übersicht'!$E:$E,MATCH(A26,'Projekt-Budget-Übersicht'!$A:$A,0)),"")</f>
        <v/>
      </c>
      <c r="O26" s="11" t="inlineStr"/>
      <c r="P26" s="11" t="inlineStr"/>
    </row>
    <row r="27">
      <c r="A27" s="15" t="n"/>
      <c r="B27" s="4" t="inlineStr">
        <is>
          <t>Teilnahme an Besprechungen (noch nicht beauftragt)</t>
        </is>
      </c>
      <c r="C27" s="4" t="inlineStr">
        <is>
          <t>G</t>
        </is>
      </c>
      <c r="D27" s="4" t="n">
        <v>0</v>
      </c>
      <c r="E27" s="4" t="n">
        <v>122.25</v>
      </c>
      <c r="F27" s="4" t="n">
        <v>3</v>
      </c>
      <c r="G27" s="4" t="n">
        <v>0</v>
      </c>
      <c r="H27" s="5" t="n"/>
      <c r="I27" s="5">
        <f>IF(H27=0,"",F27-H27)</f>
        <v/>
      </c>
      <c r="J27" s="4" t="n"/>
      <c r="K27" s="5" t="n">
        <v>0</v>
      </c>
      <c r="L27" s="11">
        <f>IF($B$2="-","",IF($B$2="Pauschale",IFERROR(INDEX('Projekt-Budget-Übersicht'!$H:$H,MATCH(A27,'Projekt-Budget-Übersicht'!$A:$A,0)),""),IF($B$2="SV",IFERROR(INDEX('Projekt-Budget-Übersicht'!$H:$H,MATCH(A27,'Projekt-Budget-Übersicht'!$A:$A,0)),""),IF($B$2="CAD",IFERROR(INDEX('Projekt-Budget-Übersicht'!$I:$I,MATCH(A27,'Projekt-Budget-Übersicht'!$A:$A,0)),""),IF($B$2="ADM",IFERROR(INDEX('Projekt-Budget-Übersicht'!$J:$J,MATCH(A27,'Projekt-Budget-Übersicht'!$A:$A,0)),""),"")))))</f>
        <v/>
      </c>
      <c r="M27" s="11">
        <f>IF($B$2="-","",L27*(F27+I27+K27))</f>
        <v/>
      </c>
      <c r="N27" s="11">
        <f>IFERROR(INDEX('Projekt-Budget-Übersicht'!$E:$E,MATCH(A27,'Projekt-Budget-Übersicht'!$A:$A,0)),"")</f>
        <v/>
      </c>
      <c r="O27" s="11" t="inlineStr"/>
      <c r="P27" s="11" t="inlineStr"/>
    </row>
    <row r="28">
      <c r="A28" s="4" t="inlineStr">
        <is>
          <t>7184 Lichtblick-BSN-Frisörsalon-Abstellräume-Ramsaystr17-Hanau</t>
        </is>
      </c>
      <c r="B28" s="4" t="inlineStr">
        <is>
          <t>(p) Pos. 1 Erstellung eines Brandschutznachweises GK 4</t>
        </is>
      </c>
      <c r="C28" s="4" t="inlineStr">
        <is>
          <t>G</t>
        </is>
      </c>
      <c r="D28" s="4" t="n">
        <v>20</v>
      </c>
      <c r="E28" s="4" t="n">
        <v>30.5</v>
      </c>
      <c r="F28" s="4" t="n">
        <v>6.75</v>
      </c>
      <c r="G28" s="16" t="n">
        <v>152.5</v>
      </c>
      <c r="H28" s="5" t="n"/>
      <c r="I28" s="5">
        <f>IF(H28=0,"",F28-H28)</f>
        <v/>
      </c>
      <c r="J28" s="4" t="n"/>
      <c r="K28" s="5">
        <f>IF('J. Dorn'!J34="S. Schüler",'J. Dorn'!I34,0)</f>
        <v/>
      </c>
      <c r="L28" s="11">
        <f>IF($B$2="-","",IF($B$2="Pauschale",IFERROR(INDEX('Projekt-Budget-Übersicht'!$H:$H,MATCH(A28,'Projekt-Budget-Übersicht'!$A:$A,0)),""),IF($B$2="SV",IFERROR(INDEX('Projekt-Budget-Übersicht'!$H:$H,MATCH(A28,'Projekt-Budget-Übersicht'!$A:$A,0)),""),IF($B$2="CAD",IFERROR(INDEX('Projekt-Budget-Übersicht'!$I:$I,MATCH(A28,'Projekt-Budget-Übersicht'!$A:$A,0)),""),IF($B$2="ADM",IFERROR(INDEX('Projekt-Budget-Übersicht'!$J:$J,MATCH(A28,'Projekt-Budget-Übersicht'!$A:$A,0)),""),"")))))</f>
        <v/>
      </c>
      <c r="M28" s="11">
        <f>IF($B$2="-","",L28*(F28+I28+K28))</f>
        <v/>
      </c>
      <c r="N28" s="11">
        <f>IFERROR(INDEX('Projekt-Budget-Übersicht'!$E:$E,MATCH(A28,'Projekt-Budget-Übersicht'!$A:$A,0)),"")</f>
        <v/>
      </c>
      <c r="O28" s="11" t="inlineStr"/>
      <c r="P28" s="11" t="inlineStr"/>
    </row>
    <row r="29">
      <c r="A29" s="4" t="inlineStr">
        <is>
          <t>7241 GemFreisen-BSP-Umbau-Sanierung-Festhalle-Oberkirchen-Freisen</t>
        </is>
      </c>
      <c r="B29" s="4" t="inlineStr">
        <is>
          <t>(p) Lph. 5 (Ausführungsplanung)</t>
        </is>
      </c>
      <c r="C29" s="4" t="inlineStr">
        <is>
          <t>G</t>
        </is>
      </c>
      <c r="D29" s="4" t="n">
        <v>26</v>
      </c>
      <c r="E29" s="4" t="n">
        <v>37.75</v>
      </c>
      <c r="F29" s="4" t="n">
        <v>1.75</v>
      </c>
      <c r="G29" s="16" t="n">
        <v>145.19</v>
      </c>
      <c r="H29" s="5" t="n"/>
      <c r="I29" s="5">
        <f>IF(H29=0,"",F29-H29)</f>
        <v/>
      </c>
      <c r="J29" s="4" t="n"/>
      <c r="K29" s="5">
        <f>IF('R. Böttiger'!J15="S. Schüler",'R. Böttiger'!I15,0)</f>
        <v/>
      </c>
      <c r="L29" s="11">
        <f>IF($B$2="-","",IF($B$2="Pauschale",IFERROR(INDEX('Projekt-Budget-Übersicht'!$H:$H,MATCH(A29,'Projekt-Budget-Übersicht'!$A:$A,0)),""),IF($B$2="SV",IFERROR(INDEX('Projekt-Budget-Übersicht'!$H:$H,MATCH(A29,'Projekt-Budget-Übersicht'!$A:$A,0)),""),IF($B$2="CAD",IFERROR(INDEX('Projekt-Budget-Übersicht'!$I:$I,MATCH(A29,'Projekt-Budget-Übersicht'!$A:$A,0)),""),IF($B$2="ADM",IFERROR(INDEX('Projekt-Budget-Übersicht'!$J:$J,MATCH(A29,'Projekt-Budget-Übersicht'!$A:$A,0)),""),"")))))</f>
        <v/>
      </c>
      <c r="M29" s="11">
        <f>IF($B$2="-","",L29*(F29+I29+K29))</f>
        <v/>
      </c>
      <c r="N29" s="11">
        <f>IFERROR(INDEX('Projekt-Budget-Übersicht'!$E:$E,MATCH(A29,'Projekt-Budget-Übersicht'!$A:$A,0)),"")</f>
        <v/>
      </c>
      <c r="O29" s="11" t="inlineStr"/>
      <c r="P29" s="11" t="inlineStr"/>
    </row>
    <row r="30">
      <c r="A30" s="4" t="inlineStr">
        <is>
          <t>7247 Hoepfner-BTB-NL-Grünwinkel</t>
        </is>
      </c>
      <c r="B30" s="4" t="inlineStr">
        <is>
          <t>(aN) Pos. 1 Brandschutztechnische Beratung und SOLL-IST-Abgleich (SV)</t>
        </is>
      </c>
      <c r="C30" s="4" t="inlineStr">
        <is>
          <t>G</t>
        </is>
      </c>
      <c r="D30" s="4" t="n">
        <v>100</v>
      </c>
      <c r="E30" s="4" t="n">
        <v>0.5</v>
      </c>
      <c r="F30" s="4" t="n">
        <v>0.25</v>
      </c>
      <c r="G30" s="17" t="n">
        <v>0.5</v>
      </c>
      <c r="H30" s="5" t="n"/>
      <c r="I30" s="5">
        <f>IF(H30=0,"",F30-H30)</f>
        <v/>
      </c>
      <c r="J30" s="4" t="n"/>
      <c r="K30" s="5" t="n">
        <v>0</v>
      </c>
      <c r="L30" s="11">
        <f>IF($B$2="-","",IF($B$2="Pauschale",IFERROR(INDEX('Projekt-Budget-Übersicht'!$H:$H,MATCH(A30,'Projekt-Budget-Übersicht'!$A:$A,0)),""),IF($B$2="SV",IFERROR(INDEX('Projekt-Budget-Übersicht'!$H:$H,MATCH(A30,'Projekt-Budget-Übersicht'!$A:$A,0)),""),IF($B$2="CAD",IFERROR(INDEX('Projekt-Budget-Übersicht'!$I:$I,MATCH(A30,'Projekt-Budget-Übersicht'!$A:$A,0)),""),IF($B$2="ADM",IFERROR(INDEX('Projekt-Budget-Übersicht'!$J:$J,MATCH(A30,'Projekt-Budget-Übersicht'!$A:$A,0)),""),"")))))</f>
        <v/>
      </c>
      <c r="M30" s="11">
        <f>IF($B$2="-","",L30*(F30+I30+K30))</f>
        <v/>
      </c>
      <c r="N30" s="11">
        <f>IFERROR(INDEX('Projekt-Budget-Übersicht'!$E:$E,MATCH(A30,'Projekt-Budget-Übersicht'!$A:$A,0)),"")</f>
        <v/>
      </c>
      <c r="O30" s="11" t="inlineStr"/>
      <c r="P30" s="11" t="inlineStr"/>
    </row>
    <row r="31">
      <c r="A31" s="4" t="inlineStr">
        <is>
          <t>7247.01 Hoepfner-BST-Zentrale-Karlsruhe</t>
        </is>
      </c>
      <c r="B31" s="4" t="inlineStr">
        <is>
          <t>2302-Beratungsleistungen in der Planungsphase...</t>
        </is>
      </c>
      <c r="C31" s="4" t="inlineStr">
        <is>
          <t>G</t>
        </is>
      </c>
      <c r="D31" s="4" t="n">
        <v>25</v>
      </c>
      <c r="E31" s="4" t="n">
        <v>0.5</v>
      </c>
      <c r="F31" s="4" t="n">
        <v>0.25</v>
      </c>
      <c r="G31" s="17" t="n">
        <v>2</v>
      </c>
      <c r="H31" s="5" t="n"/>
      <c r="I31" s="5">
        <f>IF(H31=0,"",F31-H31)</f>
        <v/>
      </c>
      <c r="J31" s="4" t="n"/>
      <c r="K31" s="5" t="n">
        <v>0</v>
      </c>
      <c r="L31" s="11">
        <f>IF($B$2="-","",IF($B$2="Pauschale",IFERROR(INDEX('Projekt-Budget-Übersicht'!$H:$H,MATCH(A31,'Projekt-Budget-Übersicht'!$A:$A,0)),""),IF($B$2="SV",IFERROR(INDEX('Projekt-Budget-Übersicht'!$H:$H,MATCH(A31,'Projekt-Budget-Übersicht'!$A:$A,0)),""),IF($B$2="CAD",IFERROR(INDEX('Projekt-Budget-Übersicht'!$I:$I,MATCH(A31,'Projekt-Budget-Übersicht'!$A:$A,0)),""),IF($B$2="ADM",IFERROR(INDEX('Projekt-Budget-Übersicht'!$J:$J,MATCH(A31,'Projekt-Budget-Übersicht'!$A:$A,0)),""),"")))))</f>
        <v/>
      </c>
      <c r="M31" s="11">
        <f>IF($B$2="-","",L31*(F31+I31+K31))</f>
        <v/>
      </c>
      <c r="N31" s="11">
        <f>IFERROR(INDEX('Projekt-Budget-Übersicht'!$E:$E,MATCH(A31,'Projekt-Budget-Übersicht'!$A:$A,0)),"")</f>
        <v/>
      </c>
      <c r="O31" s="11" t="inlineStr"/>
      <c r="P31" s="11" t="inlineStr"/>
    </row>
    <row r="32">
      <c r="A32" s="4" t="inlineStr">
        <is>
          <t>7277 DFMG-BSK-Funkturm-Mustergutachten</t>
        </is>
      </c>
      <c r="B32" s="4" t="inlineStr">
        <is>
          <t>3100-Erarbeiten des Brandschutzkonzept/Nachweis/Stellungnahme</t>
        </is>
      </c>
      <c r="C32" s="4" t="inlineStr">
        <is>
          <t>G</t>
        </is>
      </c>
      <c r="D32" s="4" t="n">
        <v>84</v>
      </c>
      <c r="E32" s="4" t="n">
        <v>50</v>
      </c>
      <c r="F32" s="4" t="n">
        <v>1.5</v>
      </c>
      <c r="G32" s="17" t="n">
        <v>59.52</v>
      </c>
      <c r="H32" s="5" t="n"/>
      <c r="I32" s="5">
        <f>IF(H32=0,"",F32-H32)</f>
        <v/>
      </c>
      <c r="J32" s="4" t="n"/>
      <c r="K32" s="5" t="n">
        <v>0</v>
      </c>
      <c r="L32" s="11">
        <f>IF($B$2="-","",IF($B$2="Pauschale",IFERROR(INDEX('Projekt-Budget-Übersicht'!$H:$H,MATCH(A32,'Projekt-Budget-Übersicht'!$A:$A,0)),""),IF($B$2="SV",IFERROR(INDEX('Projekt-Budget-Übersicht'!$H:$H,MATCH(A32,'Projekt-Budget-Übersicht'!$A:$A,0)),""),IF($B$2="CAD",IFERROR(INDEX('Projekt-Budget-Übersicht'!$I:$I,MATCH(A32,'Projekt-Budget-Übersicht'!$A:$A,0)),""),IF($B$2="ADM",IFERROR(INDEX('Projekt-Budget-Übersicht'!$J:$J,MATCH(A32,'Projekt-Budget-Übersicht'!$A:$A,0)),""),"")))))</f>
        <v/>
      </c>
      <c r="M32" s="11">
        <f>IF($B$2="-","",L32*(F32+I32+K32))</f>
        <v/>
      </c>
      <c r="N32" s="11">
        <f>IFERROR(INDEX('Projekt-Budget-Übersicht'!$E:$E,MATCH(A32,'Projekt-Budget-Übersicht'!$A:$A,0)),"")</f>
        <v/>
      </c>
      <c r="O32" s="11" t="inlineStr"/>
      <c r="P32" s="11" t="inlineStr"/>
    </row>
    <row r="33">
      <c r="A33" s="13" t="inlineStr">
        <is>
          <t>7330 LBB-IO-AHO-Truppenübungsplatz-NB-Schießhaus-Smith-Barracks-Baumholder</t>
        </is>
      </c>
      <c r="B33" s="4" t="inlineStr">
        <is>
          <t>Pos. 1.80 GL (SV)</t>
        </is>
      </c>
      <c r="C33" s="4" t="inlineStr">
        <is>
          <t>G</t>
        </is>
      </c>
      <c r="D33" s="4" t="n">
        <v>20.5</v>
      </c>
      <c r="E33" s="4" t="n">
        <v>3.75</v>
      </c>
      <c r="F33" s="4" t="n">
        <v>1.75</v>
      </c>
      <c r="G33" s="17" t="n">
        <v>18.29</v>
      </c>
      <c r="H33" s="5" t="n"/>
      <c r="I33" s="5">
        <f>IF(H33=0,"",F33-H33)</f>
        <v/>
      </c>
      <c r="J33" s="4" t="n"/>
      <c r="K33" s="5" t="n">
        <v>0</v>
      </c>
      <c r="L33" s="11">
        <f>IF($B$2="-","",IF($B$2="Pauschale",IFERROR(INDEX('Projekt-Budget-Übersicht'!$H:$H,MATCH(A33,'Projekt-Budget-Übersicht'!$A:$A,0)),""),IF($B$2="SV",IFERROR(INDEX('Projekt-Budget-Übersicht'!$H:$H,MATCH(A33,'Projekt-Budget-Übersicht'!$A:$A,0)),""),IF($B$2="CAD",IFERROR(INDEX('Projekt-Budget-Übersicht'!$I:$I,MATCH(A33,'Projekt-Budget-Übersicht'!$A:$A,0)),""),IF($B$2="ADM",IFERROR(INDEX('Projekt-Budget-Übersicht'!$J:$J,MATCH(A33,'Projekt-Budget-Übersicht'!$A:$A,0)),""),"")))))</f>
        <v/>
      </c>
      <c r="M33" s="11">
        <f>IF($B$2="-","",L33*(F33+I33+K33))</f>
        <v/>
      </c>
      <c r="N33" s="11">
        <f>IFERROR(INDEX('Projekt-Budget-Übersicht'!$E:$E,MATCH(A33,'Projekt-Budget-Übersicht'!$A:$A,0)),"")</f>
        <v/>
      </c>
      <c r="O33" s="11" t="inlineStr"/>
      <c r="P33" s="11" t="inlineStr"/>
    </row>
    <row r="34">
      <c r="A34" s="21" t="n"/>
      <c r="B34" s="4" t="inlineStr">
        <is>
          <t>Pos. 1.81 BL (SV)</t>
        </is>
      </c>
      <c r="C34" s="4" t="inlineStr">
        <is>
          <t>G</t>
        </is>
      </c>
      <c r="D34" s="4" t="n">
        <v>10.5</v>
      </c>
      <c r="E34" s="4" t="n">
        <v>6</v>
      </c>
      <c r="F34" s="4" t="n">
        <v>5</v>
      </c>
      <c r="G34" s="17" t="n">
        <v>57.14</v>
      </c>
      <c r="H34" s="5" t="n"/>
      <c r="I34" s="5">
        <f>IF(H34=0,"",F34-H34)</f>
        <v/>
      </c>
      <c r="J34" s="4" t="n"/>
      <c r="K34" s="5" t="n">
        <v>0</v>
      </c>
      <c r="L34" s="11">
        <f>IF($B$2="-","",IF($B$2="Pauschale",IFERROR(INDEX('Projekt-Budget-Übersicht'!$H:$H,MATCH(A34,'Projekt-Budget-Übersicht'!$A:$A,0)),""),IF($B$2="SV",IFERROR(INDEX('Projekt-Budget-Übersicht'!$H:$H,MATCH(A34,'Projekt-Budget-Übersicht'!$A:$A,0)),""),IF($B$2="CAD",IFERROR(INDEX('Projekt-Budget-Übersicht'!$I:$I,MATCH(A34,'Projekt-Budget-Übersicht'!$A:$A,0)),""),IF($B$2="ADM",IFERROR(INDEX('Projekt-Budget-Übersicht'!$J:$J,MATCH(A34,'Projekt-Budget-Übersicht'!$A:$A,0)),""),"")))))</f>
        <v/>
      </c>
      <c r="M34" s="11">
        <f>IF($B$2="-","",L34*(F34+I34+K34))</f>
        <v/>
      </c>
      <c r="N34" s="11">
        <f>IFERROR(INDEX('Projekt-Budget-Übersicht'!$E:$E,MATCH(A34,'Projekt-Budget-Übersicht'!$A:$A,0)),"")</f>
        <v/>
      </c>
      <c r="O34" s="11" t="inlineStr"/>
      <c r="P34" s="11" t="inlineStr"/>
    </row>
    <row r="35">
      <c r="A35" s="21" t="n"/>
      <c r="B35" s="4" t="inlineStr">
        <is>
          <t>Pos. 2.60 GL (SV) US-Recht</t>
        </is>
      </c>
      <c r="C35" s="4" t="inlineStr">
        <is>
          <t>G</t>
        </is>
      </c>
      <c r="D35" s="4" t="n">
        <v>15</v>
      </c>
      <c r="E35" s="4" t="n">
        <v>13.75</v>
      </c>
      <c r="F35" s="4" t="n">
        <v>0.5</v>
      </c>
      <c r="G35" s="14" t="n">
        <v>91.67</v>
      </c>
      <c r="H35" s="5" t="n"/>
      <c r="I35" s="5">
        <f>IF(H35=0,"",F35-H35)</f>
        <v/>
      </c>
      <c r="J35" s="4" t="n"/>
      <c r="K35" s="5" t="n">
        <v>0</v>
      </c>
      <c r="L35" s="11">
        <f>IF($B$2="-","",IF($B$2="Pauschale",IFERROR(INDEX('Projekt-Budget-Übersicht'!$H:$H,MATCH(A35,'Projekt-Budget-Übersicht'!$A:$A,0)),""),IF($B$2="SV",IFERROR(INDEX('Projekt-Budget-Übersicht'!$H:$H,MATCH(A35,'Projekt-Budget-Übersicht'!$A:$A,0)),""),IF($B$2="CAD",IFERROR(INDEX('Projekt-Budget-Übersicht'!$I:$I,MATCH(A35,'Projekt-Budget-Übersicht'!$A:$A,0)),""),IF($B$2="ADM",IFERROR(INDEX('Projekt-Budget-Übersicht'!$J:$J,MATCH(A35,'Projekt-Budget-Übersicht'!$A:$A,0)),""),"")))))</f>
        <v/>
      </c>
      <c r="M35" s="11">
        <f>IF($B$2="-","",L35*(F35+I35+K35))</f>
        <v/>
      </c>
      <c r="N35" s="11">
        <f>IFERROR(INDEX('Projekt-Budget-Übersicht'!$E:$E,MATCH(A35,'Projekt-Budget-Übersicht'!$A:$A,0)),"")</f>
        <v/>
      </c>
      <c r="O35" s="11" t="inlineStr"/>
      <c r="P35" s="11" t="inlineStr"/>
    </row>
    <row r="36">
      <c r="A36" s="21" t="n"/>
      <c r="B36" s="4" t="inlineStr">
        <is>
          <t>Pos. 2.82 GL (SV) US-Recht</t>
        </is>
      </c>
      <c r="C36" s="4" t="inlineStr">
        <is>
          <t>G</t>
        </is>
      </c>
      <c r="D36" s="4" t="n">
        <v>7.5</v>
      </c>
      <c r="E36" s="4" t="n">
        <v>2.5</v>
      </c>
      <c r="F36" s="4" t="n">
        <v>2.5</v>
      </c>
      <c r="G36" s="17" t="n">
        <v>33.33</v>
      </c>
      <c r="H36" s="5" t="n"/>
      <c r="I36" s="5">
        <f>IF(H36=0,"",F36-H36)</f>
        <v/>
      </c>
      <c r="J36" s="4" t="n"/>
      <c r="K36" s="5" t="n">
        <v>0</v>
      </c>
      <c r="L36" s="11">
        <f>IF($B$2="-","",IF($B$2="Pauschale",IFERROR(INDEX('Projekt-Budget-Übersicht'!$H:$H,MATCH(A36,'Projekt-Budget-Übersicht'!$A:$A,0)),""),IF($B$2="SV",IFERROR(INDEX('Projekt-Budget-Übersicht'!$H:$H,MATCH(A36,'Projekt-Budget-Übersicht'!$A:$A,0)),""),IF($B$2="CAD",IFERROR(INDEX('Projekt-Budget-Übersicht'!$I:$I,MATCH(A36,'Projekt-Budget-Übersicht'!$A:$A,0)),""),IF($B$2="ADM",IFERROR(INDEX('Projekt-Budget-Übersicht'!$J:$J,MATCH(A36,'Projekt-Budget-Übersicht'!$A:$A,0)),""),"")))))</f>
        <v/>
      </c>
      <c r="M36" s="11">
        <f>IF($B$2="-","",L36*(F36+I36+K36))</f>
        <v/>
      </c>
      <c r="N36" s="11">
        <f>IFERROR(INDEX('Projekt-Budget-Übersicht'!$E:$E,MATCH(A36,'Projekt-Budget-Übersicht'!$A:$A,0)),"")</f>
        <v/>
      </c>
      <c r="O36" s="11" t="inlineStr"/>
      <c r="P36" s="11" t="inlineStr"/>
    </row>
    <row r="37">
      <c r="A37" s="15" t="n"/>
      <c r="B37" s="4" t="inlineStr">
        <is>
          <t>Pos. 2.84 GL (SV) US-Recht</t>
        </is>
      </c>
      <c r="C37" s="4" t="inlineStr">
        <is>
          <t>G</t>
        </is>
      </c>
      <c r="D37" s="4" t="n">
        <v>2</v>
      </c>
      <c r="E37" s="4" t="n">
        <v>1</v>
      </c>
      <c r="F37" s="4" t="n">
        <v>1</v>
      </c>
      <c r="G37" s="17" t="n">
        <v>50</v>
      </c>
      <c r="H37" s="5" t="n"/>
      <c r="I37" s="5">
        <f>IF(H37=0,"",F37-H37)</f>
        <v/>
      </c>
      <c r="J37" s="4" t="n"/>
      <c r="K37" s="5" t="n">
        <v>0</v>
      </c>
      <c r="L37" s="11">
        <f>IF($B$2="-","",IF($B$2="Pauschale",IFERROR(INDEX('Projekt-Budget-Übersicht'!$H:$H,MATCH(A37,'Projekt-Budget-Übersicht'!$A:$A,0)),""),IF($B$2="SV",IFERROR(INDEX('Projekt-Budget-Übersicht'!$H:$H,MATCH(A37,'Projekt-Budget-Übersicht'!$A:$A,0)),""),IF($B$2="CAD",IFERROR(INDEX('Projekt-Budget-Übersicht'!$I:$I,MATCH(A37,'Projekt-Budget-Übersicht'!$A:$A,0)),""),IF($B$2="ADM",IFERROR(INDEX('Projekt-Budget-Übersicht'!$J:$J,MATCH(A37,'Projekt-Budget-Übersicht'!$A:$A,0)),""),"")))))</f>
        <v/>
      </c>
      <c r="M37" s="11">
        <f>IF($B$2="-","",L37*(F37+I37+K37))</f>
        <v/>
      </c>
      <c r="N37" s="11">
        <f>IFERROR(INDEX('Projekt-Budget-Übersicht'!$E:$E,MATCH(A37,'Projekt-Budget-Übersicht'!$A:$A,0)),"")</f>
        <v/>
      </c>
      <c r="O37" s="11" t="inlineStr"/>
      <c r="P37" s="11" t="inlineStr"/>
    </row>
    <row r="38">
      <c r="A38" s="4" t="inlineStr">
        <is>
          <t>7394.01 TCO-BST-divBestandsdächer-Soldev-div.-Standorte</t>
        </is>
      </c>
      <c r="B38" s="4" t="inlineStr">
        <is>
          <t>(aN) Pos. 1 Brandschutztechnische Stellungnahmen (SV)</t>
        </is>
      </c>
      <c r="C38" s="4" t="inlineStr">
        <is>
          <t>G</t>
        </is>
      </c>
      <c r="D38" s="4" t="n">
        <v>20</v>
      </c>
      <c r="E38" s="4" t="n">
        <v>20.5</v>
      </c>
      <c r="F38" s="4" t="n">
        <v>1.25</v>
      </c>
      <c r="G38" s="16" t="n">
        <v>102.5</v>
      </c>
      <c r="H38" s="5" t="n"/>
      <c r="I38" s="5">
        <f>IF(H38=0,"",F38-H38)</f>
        <v/>
      </c>
      <c r="J38" s="4" t="n"/>
      <c r="K38" s="5">
        <f>IF('D. Brucker'!J12="S. Schüler",'D. Brucker'!I12,0)</f>
        <v/>
      </c>
      <c r="L38" s="11">
        <f>IF($B$2="-","",IF($B$2="Pauschale",IFERROR(INDEX('Projekt-Budget-Übersicht'!$H:$H,MATCH(A38,'Projekt-Budget-Übersicht'!$A:$A,0)),""),IF($B$2="SV",IFERROR(INDEX('Projekt-Budget-Übersicht'!$H:$H,MATCH(A38,'Projekt-Budget-Übersicht'!$A:$A,0)),""),IF($B$2="CAD",IFERROR(INDEX('Projekt-Budget-Übersicht'!$I:$I,MATCH(A38,'Projekt-Budget-Übersicht'!$A:$A,0)),""),IF($B$2="ADM",IFERROR(INDEX('Projekt-Budget-Übersicht'!$J:$J,MATCH(A38,'Projekt-Budget-Übersicht'!$A:$A,0)),""),"")))))</f>
        <v/>
      </c>
      <c r="M38" s="11">
        <f>IF($B$2="-","",L38*(F38+I38+K38))</f>
        <v/>
      </c>
      <c r="N38" s="11">
        <f>IFERROR(INDEX('Projekt-Budget-Übersicht'!$E:$E,MATCH(A38,'Projekt-Budget-Übersicht'!$A:$A,0)),"")</f>
        <v/>
      </c>
      <c r="O38" s="11" t="inlineStr"/>
      <c r="P38" s="11" t="inlineStr"/>
    </row>
    <row r="39">
      <c r="A39" s="4" t="inlineStr">
        <is>
          <t>7436 JC-Samurai-BSK-Neubau-Sportstätte-Gravenbruchweg1-Offenbach</t>
        </is>
      </c>
      <c r="B39" s="4" t="inlineStr">
        <is>
          <t>SV</t>
        </is>
      </c>
      <c r="C39" s="4" t="inlineStr">
        <is>
          <t>G</t>
        </is>
      </c>
      <c r="D39" s="4" t="n">
        <v>47</v>
      </c>
      <c r="E39" s="4" t="n">
        <v>15</v>
      </c>
      <c r="F39" s="4" t="n">
        <v>4.25</v>
      </c>
      <c r="G39" s="17" t="n">
        <v>31.91</v>
      </c>
      <c r="H39" s="5" t="n"/>
      <c r="I39" s="5">
        <f>IF(H39=0,"",F39-H39)</f>
        <v/>
      </c>
      <c r="J39" s="4" t="n"/>
      <c r="K39" s="5" t="n">
        <v>0</v>
      </c>
      <c r="L39" s="11">
        <f>IF($B$2="-","",IF($B$2="Pauschale",IFERROR(INDEX('Projekt-Budget-Übersicht'!$H:$H,MATCH(A39,'Projekt-Budget-Übersicht'!$A:$A,0)),""),IF($B$2="SV",IFERROR(INDEX('Projekt-Budget-Übersicht'!$H:$H,MATCH(A39,'Projekt-Budget-Übersicht'!$A:$A,0)),""),IF($B$2="CAD",IFERROR(INDEX('Projekt-Budget-Übersicht'!$I:$I,MATCH(A39,'Projekt-Budget-Übersicht'!$A:$A,0)),""),IF($B$2="ADM",IFERROR(INDEX('Projekt-Budget-Übersicht'!$J:$J,MATCH(A39,'Projekt-Budget-Übersicht'!$A:$A,0)),""),"")))))</f>
        <v/>
      </c>
      <c r="M39" s="11">
        <f>IF($B$2="-","",L39*(F39+I39+K39))</f>
        <v/>
      </c>
      <c r="N39" s="11">
        <f>IFERROR(INDEX('Projekt-Budget-Übersicht'!$E:$E,MATCH(A39,'Projekt-Budget-Übersicht'!$A:$A,0)),"")</f>
        <v/>
      </c>
      <c r="O39" s="11" t="inlineStr"/>
      <c r="P39" s="11" t="inlineStr"/>
    </row>
    <row r="40">
      <c r="A40" s="4" t="inlineStr">
        <is>
          <t>7446 Hamm-Architektur-BSK-BTB-Dom-zu-Worms-Lutherring9-Worms</t>
        </is>
      </c>
      <c r="B40" s="4" t="inlineStr">
        <is>
          <t>(aN) Pos. 1 Grundlagenermittlung und Objektbegehung (Ortsbesichtigung inkludiert/SV)</t>
        </is>
      </c>
      <c r="C40" s="4" t="inlineStr">
        <is>
          <t>G</t>
        </is>
      </c>
      <c r="D40" s="4" t="n">
        <v>30</v>
      </c>
      <c r="E40" s="4" t="n">
        <v>15.5</v>
      </c>
      <c r="F40" s="4" t="n">
        <v>13.5</v>
      </c>
      <c r="G40" s="17" t="n">
        <v>51.67</v>
      </c>
      <c r="H40" s="5" t="n"/>
      <c r="I40" s="5">
        <f>IF(H40=0,"",F40-H40)</f>
        <v/>
      </c>
      <c r="J40" s="4" t="n"/>
      <c r="K40" s="5" t="n">
        <v>0</v>
      </c>
      <c r="L40" s="11">
        <f>IF($B$2="-","",IF($B$2="Pauschale",IFERROR(INDEX('Projekt-Budget-Übersicht'!$H:$H,MATCH(A40,'Projekt-Budget-Übersicht'!$A:$A,0)),""),IF($B$2="SV",IFERROR(INDEX('Projekt-Budget-Übersicht'!$H:$H,MATCH(A40,'Projekt-Budget-Übersicht'!$A:$A,0)),""),IF($B$2="CAD",IFERROR(INDEX('Projekt-Budget-Übersicht'!$I:$I,MATCH(A40,'Projekt-Budget-Übersicht'!$A:$A,0)),""),IF($B$2="ADM",IFERROR(INDEX('Projekt-Budget-Übersicht'!$J:$J,MATCH(A40,'Projekt-Budget-Übersicht'!$A:$A,0)),""),"")))))</f>
        <v/>
      </c>
      <c r="M40" s="11">
        <f>IF($B$2="-","",L40*(F40+I40+K40))</f>
        <v/>
      </c>
      <c r="N40" s="11">
        <f>IFERROR(INDEX('Projekt-Budget-Übersicht'!$E:$E,MATCH(A40,'Projekt-Budget-Übersicht'!$A:$A,0)),"")</f>
        <v/>
      </c>
      <c r="O40" s="11" t="inlineStr"/>
      <c r="P40" s="11" t="inlineStr"/>
    </row>
    <row r="41">
      <c r="A41" s="4" t="inlineStr">
        <is>
          <t>7500 Baupionier-PCP-RV-diverse-Garagenparks</t>
        </is>
      </c>
      <c r="B41" s="4" t="inlineStr">
        <is>
          <t>SV</t>
        </is>
      </c>
      <c r="C41" s="4" t="inlineStr">
        <is>
          <t>G</t>
        </is>
      </c>
      <c r="D41" s="4" t="n">
        <v>0</v>
      </c>
      <c r="E41" s="4" t="n">
        <v>-8</v>
      </c>
      <c r="F41" s="4" t="n">
        <v>1.25</v>
      </c>
      <c r="G41" s="4" t="n">
        <v>0</v>
      </c>
      <c r="H41" s="5" t="n"/>
      <c r="I41" s="5">
        <f>IF(H41=0,"",F41-H41)</f>
        <v/>
      </c>
      <c r="J41" s="4" t="n"/>
      <c r="K41" s="5">
        <f>IF('H. Bektas'!J22="S. Schüler",'H. Bektas'!I22,0)</f>
        <v/>
      </c>
      <c r="L41" s="11">
        <f>IF($B$2="-","",IF($B$2="Pauschale",IFERROR(INDEX('Projekt-Budget-Übersicht'!$H:$H,MATCH(A41,'Projekt-Budget-Übersicht'!$A:$A,0)),""),IF($B$2="SV",IFERROR(INDEX('Projekt-Budget-Übersicht'!$H:$H,MATCH(A41,'Projekt-Budget-Übersicht'!$A:$A,0)),""),IF($B$2="CAD",IFERROR(INDEX('Projekt-Budget-Übersicht'!$I:$I,MATCH(A41,'Projekt-Budget-Übersicht'!$A:$A,0)),""),IF($B$2="ADM",IFERROR(INDEX('Projekt-Budget-Übersicht'!$J:$J,MATCH(A41,'Projekt-Budget-Übersicht'!$A:$A,0)),""),"")))))</f>
        <v/>
      </c>
      <c r="M41" s="11">
        <f>IF($B$2="-","",L41*(F41+I41+K41))</f>
        <v/>
      </c>
      <c r="N41" s="11">
        <f>IFERROR(INDEX('Projekt-Budget-Übersicht'!$E:$E,MATCH(A41,'Projekt-Budget-Übersicht'!$A:$A,0)),"")</f>
        <v/>
      </c>
      <c r="O41" s="11" t="inlineStr"/>
      <c r="P41" s="11" t="inlineStr"/>
    </row>
    <row r="42">
      <c r="A42" s="13" t="inlineStr">
        <is>
          <t>8100 UStrich-Stunden-für-Mosaik-/Kaarst-Projekte</t>
        </is>
      </c>
      <c r="B42" s="4" t="inlineStr">
        <is>
          <t>Pos. 1.003</t>
        </is>
      </c>
      <c r="C42" s="4" t="inlineStr">
        <is>
          <t>G</t>
        </is>
      </c>
      <c r="D42" s="4" t="n">
        <v>0</v>
      </c>
      <c r="E42" s="4" t="n">
        <v>4.5</v>
      </c>
      <c r="F42" s="4" t="n">
        <v>4</v>
      </c>
      <c r="G42" s="4" t="n">
        <v>0</v>
      </c>
      <c r="H42" s="5" t="n"/>
      <c r="I42" s="5">
        <f>IF(H42=0,"",F42-H42)</f>
        <v/>
      </c>
      <c r="J42" s="4" t="n"/>
      <c r="K42" s="5" t="n">
        <v>0</v>
      </c>
      <c r="L42" s="11">
        <f>IF($B$2="-","",IF($B$2="Pauschale",IFERROR(INDEX('Projekt-Budget-Übersicht'!$H:$H,MATCH(A42,'Projekt-Budget-Übersicht'!$A:$A,0)),""),IF($B$2="SV",IFERROR(INDEX('Projekt-Budget-Übersicht'!$H:$H,MATCH(A42,'Projekt-Budget-Übersicht'!$A:$A,0)),""),IF($B$2="CAD",IFERROR(INDEX('Projekt-Budget-Übersicht'!$I:$I,MATCH(A42,'Projekt-Budget-Übersicht'!$A:$A,0)),""),IF($B$2="ADM",IFERROR(INDEX('Projekt-Budget-Übersicht'!$J:$J,MATCH(A42,'Projekt-Budget-Übersicht'!$A:$A,0)),""),"")))))</f>
        <v/>
      </c>
      <c r="M42" s="11">
        <f>IF($B$2="-","",L42*(F42+I42+K42))</f>
        <v/>
      </c>
      <c r="N42" s="11">
        <f>IFERROR(INDEX('Projekt-Budget-Übersicht'!$E:$E,MATCH(A42,'Projekt-Budget-Übersicht'!$A:$A,0)),"")</f>
        <v/>
      </c>
      <c r="O42" s="11" t="inlineStr"/>
      <c r="P42" s="11" t="inlineStr"/>
    </row>
    <row r="43">
      <c r="A43" s="21" t="n"/>
      <c r="B43" s="4" t="inlineStr">
        <is>
          <t>Pos. 2.002</t>
        </is>
      </c>
      <c r="C43" s="4" t="inlineStr">
        <is>
          <t>G</t>
        </is>
      </c>
      <c r="D43" s="4" t="n">
        <v>0</v>
      </c>
      <c r="E43" s="4" t="n">
        <v>2</v>
      </c>
      <c r="F43" s="4" t="n">
        <v>2</v>
      </c>
      <c r="G43" s="4" t="n">
        <v>0</v>
      </c>
      <c r="H43" s="5" t="n"/>
      <c r="I43" s="5">
        <f>IF(H43=0,"",F43-H43)</f>
        <v/>
      </c>
      <c r="J43" s="4" t="n"/>
      <c r="K43" s="5" t="n">
        <v>0</v>
      </c>
      <c r="L43" s="11">
        <f>IF($B$2="-","",IF($B$2="Pauschale",IFERROR(INDEX('Projekt-Budget-Übersicht'!$H:$H,MATCH(A43,'Projekt-Budget-Übersicht'!$A:$A,0)),""),IF($B$2="SV",IFERROR(INDEX('Projekt-Budget-Übersicht'!$H:$H,MATCH(A43,'Projekt-Budget-Übersicht'!$A:$A,0)),""),IF($B$2="CAD",IFERROR(INDEX('Projekt-Budget-Übersicht'!$I:$I,MATCH(A43,'Projekt-Budget-Übersicht'!$A:$A,0)),""),IF($B$2="ADM",IFERROR(INDEX('Projekt-Budget-Übersicht'!$J:$J,MATCH(A43,'Projekt-Budget-Übersicht'!$A:$A,0)),""),"")))))</f>
        <v/>
      </c>
      <c r="M43" s="11">
        <f>IF($B$2="-","",L43*(F43+I43+K43))</f>
        <v/>
      </c>
      <c r="N43" s="11">
        <f>IFERROR(INDEX('Projekt-Budget-Übersicht'!$E:$E,MATCH(A43,'Projekt-Budget-Übersicht'!$A:$A,0)),"")</f>
        <v/>
      </c>
      <c r="O43" s="11" t="inlineStr"/>
      <c r="P43" s="11" t="inlineStr"/>
    </row>
    <row r="44">
      <c r="A44" s="15" t="n"/>
      <c r="B44" s="4" t="inlineStr">
        <is>
          <t>Pos. 3.006</t>
        </is>
      </c>
      <c r="C44" s="4" t="inlineStr">
        <is>
          <t>G</t>
        </is>
      </c>
      <c r="D44" s="4" t="n">
        <v>0</v>
      </c>
      <c r="E44" s="4" t="n">
        <v>1</v>
      </c>
      <c r="F44" s="4" t="n">
        <v>1</v>
      </c>
      <c r="G44" s="4" t="n">
        <v>0</v>
      </c>
      <c r="H44" s="5" t="n"/>
      <c r="I44" s="5">
        <f>IF(H44=0,"",F44-H44)</f>
        <v/>
      </c>
      <c r="J44" s="4" t="n"/>
      <c r="K44" s="5" t="n">
        <v>0</v>
      </c>
      <c r="L44" s="11">
        <f>IF($B$2="-","",IF($B$2="Pauschale",IFERROR(INDEX('Projekt-Budget-Übersicht'!$H:$H,MATCH(A44,'Projekt-Budget-Übersicht'!$A:$A,0)),""),IF($B$2="SV",IFERROR(INDEX('Projekt-Budget-Übersicht'!$H:$H,MATCH(A44,'Projekt-Budget-Übersicht'!$A:$A,0)),""),IF($B$2="CAD",IFERROR(INDEX('Projekt-Budget-Übersicht'!$I:$I,MATCH(A44,'Projekt-Budget-Übersicht'!$A:$A,0)),""),IF($B$2="ADM",IFERROR(INDEX('Projekt-Budget-Übersicht'!$J:$J,MATCH(A44,'Projekt-Budget-Übersicht'!$A:$A,0)),""),"")))))</f>
        <v/>
      </c>
      <c r="M44" s="11">
        <f>IF($B$2="-","",L44*(F44+I44+K44))</f>
        <v/>
      </c>
      <c r="N44" s="11">
        <f>IFERROR(INDEX('Projekt-Budget-Übersicht'!$E:$E,MATCH(A44,'Projekt-Budget-Übersicht'!$A:$A,0)),"")</f>
        <v/>
      </c>
      <c r="O44" s="11" t="inlineStr"/>
      <c r="P44" s="11" t="inlineStr"/>
    </row>
    <row r="45">
      <c r="A45" s="3" t="inlineStr"/>
      <c r="B45" s="3" t="inlineStr">
        <is>
          <t>Summe</t>
        </is>
      </c>
      <c r="C45" s="3" t="inlineStr"/>
      <c r="D45" s="3" t="inlineStr"/>
      <c r="E45" s="3" t="inlineStr"/>
      <c r="F45" s="6" t="n">
        <v>127.5</v>
      </c>
      <c r="G45" s="3" t="inlineStr"/>
      <c r="H45" s="3" t="inlineStr"/>
      <c r="I45" s="3" t="inlineStr"/>
      <c r="J45" s="3" t="inlineStr"/>
      <c r="K45" s="3" t="inlineStr"/>
      <c r="L45" s="3" t="n"/>
      <c r="M45" s="3" t="n"/>
      <c r="N45" s="3" t="n"/>
      <c r="O45" s="3" t="n"/>
      <c r="P45" s="3" t="n"/>
    </row>
    <row r="46">
      <c r="A46" s="3" t="inlineStr"/>
      <c r="B46" s="3" t="inlineStr">
        <is>
          <t>Bonusberechtigte Stunden</t>
        </is>
      </c>
      <c r="C46" s="3" t="inlineStr"/>
      <c r="D46" s="3" t="inlineStr"/>
      <c r="E46" s="3" t="inlineStr"/>
      <c r="F46" s="6">
        <f>G46+H46</f>
        <v/>
      </c>
      <c r="G46" s="6" t="n">
        <v>60.75</v>
      </c>
      <c r="H46" s="6">
        <f>SUM(H7,H8,H9,H10,H11,H12,H13,H14,H15,H16,H17,H18,H19,H20,H21,H22,H23,H24,H25,H26,H27,H28,H29,H30,H31,H32,H33,H34,H35,H36,H37,H38,H39,H40,H41,H42,H43,H44)</f>
        <v/>
      </c>
      <c r="I46" s="3" t="inlineStr"/>
      <c r="J46" s="3" t="inlineStr"/>
      <c r="K46" s="3" t="inlineStr"/>
      <c r="L46" s="3" t="inlineStr"/>
      <c r="M46" s="3" t="inlineStr"/>
      <c r="N46" s="3" t="inlineStr"/>
      <c r="O46" s="3" t="inlineStr"/>
      <c r="P46" s="3" t="inlineStr"/>
    </row>
    <row r="47">
      <c r="A47" s="3" t="inlineStr"/>
      <c r="B47" s="3" t="inlineStr">
        <is>
          <t>Bonusberechtigte Stunden Sonderprojekt</t>
        </is>
      </c>
      <c r="C47" s="3" t="inlineStr"/>
      <c r="D47" s="3" t="inlineStr"/>
      <c r="E47" s="3" t="inlineStr"/>
      <c r="F47" s="6">
        <f>G47+H47</f>
        <v/>
      </c>
      <c r="G47" s="6" t="n">
        <v>7.5</v>
      </c>
      <c r="H47" s="6">
        <f>SUM(H6)</f>
        <v/>
      </c>
      <c r="I47" s="3" t="inlineStr"/>
      <c r="J47" s="3" t="inlineStr"/>
      <c r="K47" s="3" t="inlineStr"/>
      <c r="L47" s="3" t="inlineStr"/>
      <c r="M47" s="3" t="inlineStr"/>
      <c r="N47" s="3" t="inlineStr"/>
      <c r="O47" s="3" t="inlineStr"/>
      <c r="P47" s="3" t="inlineStr"/>
    </row>
    <row r="48">
      <c r="A48" s="3" t="inlineStr"/>
      <c r="B48" s="3" t="inlineStr">
        <is>
          <t>Zugeordnete Stunden von anderen MA</t>
        </is>
      </c>
      <c r="C48" s="3" t="inlineStr"/>
      <c r="D48" s="3" t="inlineStr"/>
      <c r="E48" s="3" t="inlineStr"/>
      <c r="F48" s="6">
        <f>SUM(K6:K44)</f>
        <v/>
      </c>
      <c r="G48" s="3" t="inlineStr"/>
      <c r="H48" s="3" t="inlineStr"/>
      <c r="I48" s="3" t="inlineStr"/>
      <c r="J48" s="3" t="inlineStr"/>
      <c r="K48" s="3" t="inlineStr"/>
      <c r="L48" s="3" t="inlineStr"/>
      <c r="M48" s="3" t="inlineStr"/>
      <c r="N48" s="3" t="inlineStr"/>
      <c r="O48" s="3" t="inlineStr"/>
      <c r="P48" s="3" t="inlineStr"/>
    </row>
    <row r="49">
      <c r="A49" s="18" t="inlineStr"/>
      <c r="B49" s="18" t="inlineStr">
        <is>
          <t>Gesamt Bonus Stunden</t>
        </is>
      </c>
      <c r="C49" s="18" t="inlineStr"/>
      <c r="D49" s="18" t="inlineStr"/>
      <c r="E49" s="18" t="inlineStr"/>
      <c r="F49" s="19">
        <f>F46+F47+F48</f>
        <v/>
      </c>
      <c r="G49" s="18" t="inlineStr"/>
      <c r="H49" s="18" t="inlineStr"/>
      <c r="I49" s="18" t="inlineStr"/>
      <c r="J49" s="18" t="inlineStr"/>
      <c r="K49" s="18" t="inlineStr"/>
      <c r="L49" s="18" t="n"/>
      <c r="M49" s="18" t="n"/>
      <c r="N49" s="18" t="n"/>
      <c r="O49" s="18" t="n"/>
      <c r="P49" s="18" t="n"/>
    </row>
    <row r="51">
      <c r="A51" s="2" t="inlineStr">
        <is>
          <t>--- August 2025 ---</t>
        </is>
      </c>
    </row>
    <row r="52">
      <c r="A52" s="3" t="inlineStr">
        <is>
          <t>Projekt</t>
        </is>
      </c>
      <c r="B52" s="3" t="inlineStr">
        <is>
          <t>Meilenstein</t>
        </is>
      </c>
      <c r="C52" s="3" t="inlineStr">
        <is>
          <t>Typ</t>
        </is>
      </c>
      <c r="D52" s="3" t="inlineStr">
        <is>
          <t>Soll (h)</t>
        </is>
      </c>
      <c r="E52" s="3" t="inlineStr">
        <is>
          <t>Ist (h)</t>
        </is>
      </c>
      <c r="F52" s="3" t="inlineStr">
        <is>
          <t>August 2025 (h)</t>
        </is>
      </c>
      <c r="G52" s="3" t="inlineStr">
        <is>
          <t>%</t>
        </is>
      </c>
      <c r="H52" s="3" t="inlineStr">
        <is>
          <t>Bonus-Anpassung (h)</t>
        </is>
      </c>
      <c r="I52" s="3" t="inlineStr">
        <is>
          <t>Differenz (h)</t>
        </is>
      </c>
      <c r="J52" s="3" t="inlineStr">
        <is>
          <t>Zuordnen an</t>
        </is>
      </c>
      <c r="K52" s="3" t="inlineStr">
        <is>
          <t>Von anderen (h)</t>
        </is>
      </c>
      <c r="L52" s="3" t="inlineStr">
        <is>
          <t>Stundensatz (€/h)</t>
        </is>
      </c>
      <c r="M52" s="3" t="inlineStr">
        <is>
          <t>Umsatz (€)</t>
        </is>
      </c>
      <c r="N52" s="3" t="inlineStr">
        <is>
          <t>Budget Gesamt (€)</t>
        </is>
      </c>
      <c r="O52" s="3" t="inlineStr">
        <is>
          <t>Budget Ist (€)</t>
        </is>
      </c>
      <c r="P52" s="3" t="inlineStr">
        <is>
          <t>Budget Erwirtschaftet (€)</t>
        </is>
      </c>
    </row>
    <row r="53">
      <c r="A53" s="13" t="inlineStr">
        <is>
          <t>4436.04 BTB Krankenhaus-Bergstraße-Viernheimer-Straße-2-Heppenheim</t>
        </is>
      </c>
      <c r="B53" s="4" t="inlineStr">
        <is>
          <t>4101-Erläuterungsbericht Brandschutzkonzept….</t>
        </is>
      </c>
      <c r="C53" s="4" t="inlineStr">
        <is>
          <t>G</t>
        </is>
      </c>
      <c r="D53" s="4" t="n">
        <v>23</v>
      </c>
      <c r="E53" s="4" t="n">
        <v>104.5</v>
      </c>
      <c r="F53" s="4" t="n">
        <v>0.75</v>
      </c>
      <c r="G53" s="16" t="n">
        <v>454.35</v>
      </c>
      <c r="H53" s="5" t="n"/>
      <c r="I53" s="5">
        <f>IF(H53=0,"",F53-H53)</f>
        <v/>
      </c>
      <c r="J53" s="4" t="n"/>
      <c r="K53" s="5" t="n">
        <v>0</v>
      </c>
      <c r="L53" s="11">
        <f>IF($B$2="-","",IF($B$2="Pauschale",IFERROR(INDEX('Projekt-Budget-Übersicht'!$H:$H,MATCH(A53,'Projekt-Budget-Übersicht'!$A:$A,0)),""),IF($B$2="SV",IFERROR(INDEX('Projekt-Budget-Übersicht'!$H:$H,MATCH(A53,'Projekt-Budget-Übersicht'!$A:$A,0)),""),IF($B$2="CAD",IFERROR(INDEX('Projekt-Budget-Übersicht'!$I:$I,MATCH(A53,'Projekt-Budget-Übersicht'!$A:$A,0)),""),IF($B$2="ADM",IFERROR(INDEX('Projekt-Budget-Übersicht'!$J:$J,MATCH(A53,'Projekt-Budget-Übersicht'!$A:$A,0)),""),"")))))</f>
        <v/>
      </c>
      <c r="M53" s="11">
        <f>IF($B$2="-","",L53*(F53+I53+K53))</f>
        <v/>
      </c>
      <c r="N53" s="11">
        <f>IFERROR(INDEX('Projekt-Budget-Übersicht'!$E:$E,MATCH(A53,'Projekt-Budget-Übersicht'!$A:$A,0)),"")</f>
        <v/>
      </c>
      <c r="O53" s="11" t="inlineStr"/>
      <c r="P53" s="11" t="inlineStr"/>
    </row>
    <row r="54">
      <c r="A54" s="21" t="n"/>
      <c r="B54" s="4" t="inlineStr">
        <is>
          <t>5100-Beraten Planer ausführungsreife Lösungen….</t>
        </is>
      </c>
      <c r="C54" s="4" t="inlineStr">
        <is>
          <t>G</t>
        </is>
      </c>
      <c r="D54" s="4" t="n">
        <v>52</v>
      </c>
      <c r="E54" s="4" t="n">
        <v>162.25</v>
      </c>
      <c r="F54" s="4" t="n">
        <v>15.5</v>
      </c>
      <c r="G54" s="16" t="n">
        <v>312.02</v>
      </c>
      <c r="H54" s="5" t="n"/>
      <c r="I54" s="5">
        <f>IF(H54=0,"",F54-H54)</f>
        <v/>
      </c>
      <c r="J54" s="4" t="n"/>
      <c r="K54" s="5" t="n">
        <v>0</v>
      </c>
      <c r="L54" s="11">
        <f>IF($B$2="-","",IF($B$2="Pauschale",IFERROR(INDEX('Projekt-Budget-Übersicht'!$H:$H,MATCH(A54,'Projekt-Budget-Übersicht'!$A:$A,0)),""),IF($B$2="SV",IFERROR(INDEX('Projekt-Budget-Übersicht'!$H:$H,MATCH(A54,'Projekt-Budget-Übersicht'!$A:$A,0)),""),IF($B$2="CAD",IFERROR(INDEX('Projekt-Budget-Übersicht'!$I:$I,MATCH(A54,'Projekt-Budget-Übersicht'!$A:$A,0)),""),IF($B$2="ADM",IFERROR(INDEX('Projekt-Budget-Übersicht'!$J:$J,MATCH(A54,'Projekt-Budget-Übersicht'!$A:$A,0)),""),"")))))</f>
        <v/>
      </c>
      <c r="M54" s="11">
        <f>IF($B$2="-","",L54*(F54+I54+K54))</f>
        <v/>
      </c>
      <c r="N54" s="11">
        <f>IFERROR(INDEX('Projekt-Budget-Übersicht'!$E:$E,MATCH(A54,'Projekt-Budget-Übersicht'!$A:$A,0)),"")</f>
        <v/>
      </c>
      <c r="O54" s="11" t="inlineStr"/>
      <c r="P54" s="11" t="inlineStr"/>
    </row>
    <row r="55">
      <c r="A55" s="21" t="n"/>
      <c r="B55" s="4" t="inlineStr">
        <is>
          <t>5101-Mitwirken Koordination Fachplanung….</t>
        </is>
      </c>
      <c r="C55" s="4" t="inlineStr">
        <is>
          <t>G</t>
        </is>
      </c>
      <c r="D55" s="4" t="n">
        <v>21</v>
      </c>
      <c r="E55" s="4" t="n">
        <v>30.75</v>
      </c>
      <c r="F55" s="4" t="n">
        <v>0.5</v>
      </c>
      <c r="G55" s="16" t="n">
        <v>146.43</v>
      </c>
      <c r="H55" s="5" t="n"/>
      <c r="I55" s="5">
        <f>IF(H55=0,"",F55-H55)</f>
        <v/>
      </c>
      <c r="J55" s="4" t="n"/>
      <c r="K55" s="5" t="n">
        <v>0</v>
      </c>
      <c r="L55" s="11">
        <f>IF($B$2="-","",IF($B$2="Pauschale",IFERROR(INDEX('Projekt-Budget-Übersicht'!$H:$H,MATCH(A55,'Projekt-Budget-Übersicht'!$A:$A,0)),""),IF($B$2="SV",IFERROR(INDEX('Projekt-Budget-Übersicht'!$H:$H,MATCH(A55,'Projekt-Budget-Übersicht'!$A:$A,0)),""),IF($B$2="CAD",IFERROR(INDEX('Projekt-Budget-Übersicht'!$I:$I,MATCH(A55,'Projekt-Budget-Übersicht'!$A:$A,0)),""),IF($B$2="ADM",IFERROR(INDEX('Projekt-Budget-Übersicht'!$J:$J,MATCH(A55,'Projekt-Budget-Übersicht'!$A:$A,0)),""),"")))))</f>
        <v/>
      </c>
      <c r="M55" s="11">
        <f>IF($B$2="-","",L55*(F55+I55+K55))</f>
        <v/>
      </c>
      <c r="N55" s="11">
        <f>IFERROR(INDEX('Projekt-Budget-Übersicht'!$E:$E,MATCH(A55,'Projekt-Budget-Übersicht'!$A:$A,0)),"")</f>
        <v/>
      </c>
      <c r="O55" s="11" t="inlineStr"/>
      <c r="P55" s="11" t="inlineStr"/>
    </row>
    <row r="56">
      <c r="A56" s="21" t="n"/>
      <c r="B56" s="4" t="inlineStr">
        <is>
          <t>5102-Zusammenstellen Ergebnisse….</t>
        </is>
      </c>
      <c r="C56" s="4" t="inlineStr">
        <is>
          <t>G</t>
        </is>
      </c>
      <c r="D56" s="4" t="n">
        <v>6.5</v>
      </c>
      <c r="E56" s="4" t="n">
        <v>13.25</v>
      </c>
      <c r="F56" s="4" t="n">
        <v>1</v>
      </c>
      <c r="G56" s="16" t="n">
        <v>203.85</v>
      </c>
      <c r="H56" s="5" t="n"/>
      <c r="I56" s="5">
        <f>IF(H56=0,"",F56-H56)</f>
        <v/>
      </c>
      <c r="J56" s="4" t="n"/>
      <c r="K56" s="5">
        <f>IF('U. Sutter ADM'!J31="S. Schüler",'U. Sutter ADM'!I31,0)</f>
        <v/>
      </c>
      <c r="L56" s="11">
        <f>IF($B$2="-","",IF($B$2="Pauschale",IFERROR(INDEX('Projekt-Budget-Übersicht'!$H:$H,MATCH(A56,'Projekt-Budget-Übersicht'!$A:$A,0)),""),IF($B$2="SV",IFERROR(INDEX('Projekt-Budget-Übersicht'!$H:$H,MATCH(A56,'Projekt-Budget-Übersicht'!$A:$A,0)),""),IF($B$2="CAD",IFERROR(INDEX('Projekt-Budget-Übersicht'!$I:$I,MATCH(A56,'Projekt-Budget-Übersicht'!$A:$A,0)),""),IF($B$2="ADM",IFERROR(INDEX('Projekt-Budget-Übersicht'!$J:$J,MATCH(A56,'Projekt-Budget-Übersicht'!$A:$A,0)),""),"")))))</f>
        <v/>
      </c>
      <c r="M56" s="11">
        <f>IF($B$2="-","",L56*(F56+I56+K56))</f>
        <v/>
      </c>
      <c r="N56" s="11">
        <f>IFERROR(INDEX('Projekt-Budget-Übersicht'!$E:$E,MATCH(A56,'Projekt-Budget-Übersicht'!$A:$A,0)),"")</f>
        <v/>
      </c>
      <c r="O56" s="11" t="inlineStr"/>
      <c r="P56" s="11" t="inlineStr"/>
    </row>
    <row r="57">
      <c r="A57" s="21" t="n"/>
      <c r="B57" s="4" t="inlineStr">
        <is>
          <t>5103-Prüfen Baugenehmigung auf Widerspruch BSK....</t>
        </is>
      </c>
      <c r="C57" s="4" t="inlineStr">
        <is>
          <t>G</t>
        </is>
      </c>
      <c r="D57" s="4" t="n">
        <v>9.5</v>
      </c>
      <c r="E57" s="4" t="n">
        <v>3</v>
      </c>
      <c r="F57" s="4" t="n">
        <v>0.75</v>
      </c>
      <c r="G57" s="17" t="n">
        <v>31.58</v>
      </c>
      <c r="H57" s="5" t="n"/>
      <c r="I57" s="5">
        <f>IF(H57=0,"",F57-H57)</f>
        <v/>
      </c>
      <c r="J57" s="4" t="n"/>
      <c r="K57" s="5">
        <f>IF('U. Sutter ADM'!J32="S. Schüler",'U. Sutter ADM'!I32,0)</f>
        <v/>
      </c>
      <c r="L57" s="11">
        <f>IF($B$2="-","",IF($B$2="Pauschale",IFERROR(INDEX('Projekt-Budget-Übersicht'!$H:$H,MATCH(A57,'Projekt-Budget-Übersicht'!$A:$A,0)),""),IF($B$2="SV",IFERROR(INDEX('Projekt-Budget-Übersicht'!$H:$H,MATCH(A57,'Projekt-Budget-Übersicht'!$A:$A,0)),""),IF($B$2="CAD",IFERROR(INDEX('Projekt-Budget-Übersicht'!$I:$I,MATCH(A57,'Projekt-Budget-Übersicht'!$A:$A,0)),""),IF($B$2="ADM",IFERROR(INDEX('Projekt-Budget-Übersicht'!$J:$J,MATCH(A57,'Projekt-Budget-Übersicht'!$A:$A,0)),""),"")))))</f>
        <v/>
      </c>
      <c r="M57" s="11">
        <f>IF($B$2="-","",L57*(F57+I57+K57))</f>
        <v/>
      </c>
      <c r="N57" s="11">
        <f>IFERROR(INDEX('Projekt-Budget-Übersicht'!$E:$E,MATCH(A57,'Projekt-Budget-Übersicht'!$A:$A,0)),"")</f>
        <v/>
      </c>
      <c r="O57" s="11" t="inlineStr"/>
      <c r="P57" s="11" t="inlineStr"/>
    </row>
    <row r="58">
      <c r="A58" s="21" t="n"/>
      <c r="B58" s="4" t="inlineStr">
        <is>
          <t>5104-Erstellen Brandfallsteuertabelle....</t>
        </is>
      </c>
      <c r="C58" s="4" t="inlineStr">
        <is>
          <t>G</t>
        </is>
      </c>
      <c r="D58" s="4" t="n">
        <v>8.5</v>
      </c>
      <c r="E58" s="4" t="n">
        <v>13.25</v>
      </c>
      <c r="F58" s="4" t="n">
        <v>0.5</v>
      </c>
      <c r="G58" s="16" t="n">
        <v>155.88</v>
      </c>
      <c r="H58" s="5" t="n"/>
      <c r="I58" s="5">
        <f>IF(H58=0,"",F58-H58)</f>
        <v/>
      </c>
      <c r="J58" s="4" t="n"/>
      <c r="K58" s="5">
        <f>IF('O. Haag BS-CAD'!J57="S. Schüler",'O. Haag BS-CAD'!I57,0)</f>
        <v/>
      </c>
      <c r="L58" s="11">
        <f>IF($B$2="-","",IF($B$2="Pauschale",IFERROR(INDEX('Projekt-Budget-Übersicht'!$H:$H,MATCH(A58,'Projekt-Budget-Übersicht'!$A:$A,0)),""),IF($B$2="SV",IFERROR(INDEX('Projekt-Budget-Übersicht'!$H:$H,MATCH(A58,'Projekt-Budget-Übersicht'!$A:$A,0)),""),IF($B$2="CAD",IFERROR(INDEX('Projekt-Budget-Übersicht'!$I:$I,MATCH(A58,'Projekt-Budget-Übersicht'!$A:$A,0)),""),IF($B$2="ADM",IFERROR(INDEX('Projekt-Budget-Übersicht'!$J:$J,MATCH(A58,'Projekt-Budget-Übersicht'!$A:$A,0)),""),"")))))</f>
        <v/>
      </c>
      <c r="M58" s="11">
        <f>IF($B$2="-","",L58*(F58+I58+K58))</f>
        <v/>
      </c>
      <c r="N58" s="11">
        <f>IFERROR(INDEX('Projekt-Budget-Übersicht'!$E:$E,MATCH(A58,'Projekt-Budget-Übersicht'!$A:$A,0)),"")</f>
        <v/>
      </c>
      <c r="O58" s="11" t="inlineStr"/>
      <c r="P58" s="11" t="inlineStr"/>
    </row>
    <row r="59">
      <c r="A59" s="21" t="n"/>
      <c r="B59" s="4" t="inlineStr">
        <is>
          <t>5206-Mitwirken Erstellen Brandschutzmatrix....</t>
        </is>
      </c>
      <c r="C59" s="4" t="inlineStr">
        <is>
          <t>G</t>
        </is>
      </c>
      <c r="D59" s="4" t="n">
        <v>34</v>
      </c>
      <c r="E59" s="4" t="n">
        <v>5.75</v>
      </c>
      <c r="F59" s="4" t="n">
        <v>5.75</v>
      </c>
      <c r="G59" s="17" t="n">
        <v>16.91</v>
      </c>
      <c r="H59" s="5" t="n"/>
      <c r="I59" s="5">
        <f>IF(H59=0,"",F59-H59)</f>
        <v/>
      </c>
      <c r="J59" s="4" t="n"/>
      <c r="K59" s="5" t="n">
        <v>0</v>
      </c>
      <c r="L59" s="11">
        <f>IF($B$2="-","",IF($B$2="Pauschale",IFERROR(INDEX('Projekt-Budget-Übersicht'!$H:$H,MATCH(A59,'Projekt-Budget-Übersicht'!$A:$A,0)),""),IF($B$2="SV",IFERROR(INDEX('Projekt-Budget-Übersicht'!$H:$H,MATCH(A59,'Projekt-Budget-Übersicht'!$A:$A,0)),""),IF($B$2="CAD",IFERROR(INDEX('Projekt-Budget-Übersicht'!$I:$I,MATCH(A59,'Projekt-Budget-Übersicht'!$A:$A,0)),""),IF($B$2="ADM",IFERROR(INDEX('Projekt-Budget-Übersicht'!$J:$J,MATCH(A59,'Projekt-Budget-Übersicht'!$A:$A,0)),""),"")))))</f>
        <v/>
      </c>
      <c r="M59" s="11">
        <f>IF($B$2="-","",L59*(F59+I59+K59))</f>
        <v/>
      </c>
      <c r="N59" s="11">
        <f>IFERROR(INDEX('Projekt-Budget-Übersicht'!$E:$E,MATCH(A59,'Projekt-Budget-Übersicht'!$A:$A,0)),"")</f>
        <v/>
      </c>
      <c r="O59" s="11" t="inlineStr"/>
      <c r="P59" s="11" t="inlineStr"/>
    </row>
    <row r="60">
      <c r="A60" s="15" t="n"/>
      <c r="B60" s="4" t="inlineStr">
        <is>
          <t>5207-Planung Ausstattung Feuerlöscher....</t>
        </is>
      </c>
      <c r="C60" s="4" t="inlineStr">
        <is>
          <t>G</t>
        </is>
      </c>
      <c r="D60" s="4" t="n">
        <v>28.5</v>
      </c>
      <c r="E60" s="4" t="n">
        <v>5.25</v>
      </c>
      <c r="F60" s="4" t="n">
        <v>1.75</v>
      </c>
      <c r="G60" s="17" t="n">
        <v>18.42</v>
      </c>
      <c r="H60" s="5" t="n"/>
      <c r="I60" s="5">
        <f>IF(H60=0,"",F60-H60)</f>
        <v/>
      </c>
      <c r="J60" s="4" t="n"/>
      <c r="K60" s="5">
        <f>IF('O. Haag BS-CAD'!J58="S. Schüler",'O. Haag BS-CAD'!I58,0)</f>
        <v/>
      </c>
      <c r="L60" s="11">
        <f>IF($B$2="-","",IF($B$2="Pauschale",IFERROR(INDEX('Projekt-Budget-Übersicht'!$H:$H,MATCH(A60,'Projekt-Budget-Übersicht'!$A:$A,0)),""),IF($B$2="SV",IFERROR(INDEX('Projekt-Budget-Übersicht'!$H:$H,MATCH(A60,'Projekt-Budget-Übersicht'!$A:$A,0)),""),IF($B$2="CAD",IFERROR(INDEX('Projekt-Budget-Übersicht'!$I:$I,MATCH(A60,'Projekt-Budget-Übersicht'!$A:$A,0)),""),IF($B$2="ADM",IFERROR(INDEX('Projekt-Budget-Übersicht'!$J:$J,MATCH(A60,'Projekt-Budget-Übersicht'!$A:$A,0)),""),"")))))</f>
        <v/>
      </c>
      <c r="M60" s="11">
        <f>IF($B$2="-","",L60*(F60+I60+K60))</f>
        <v/>
      </c>
      <c r="N60" s="11">
        <f>IFERROR(INDEX('Projekt-Budget-Übersicht'!$E:$E,MATCH(A60,'Projekt-Budget-Übersicht'!$A:$A,0)),"")</f>
        <v/>
      </c>
      <c r="O60" s="11" t="inlineStr"/>
      <c r="P60" s="11" t="inlineStr"/>
    </row>
    <row r="61">
      <c r="A61" s="4" t="inlineStr">
        <is>
          <t>4436.041 BTB-NAT-02-KKH-Bergstraße-Viernheimer-Straße-2-Heppenheim-Bauphase</t>
        </is>
      </c>
      <c r="B61" s="4" t="inlineStr">
        <is>
          <t>3100-Erarbeiten des Brandschutzkonzept/Nachweis/Stellungnahme</t>
        </is>
      </c>
      <c r="C61" s="4" t="inlineStr">
        <is>
          <t>G</t>
        </is>
      </c>
      <c r="D61" s="4" t="n">
        <v>57</v>
      </c>
      <c r="E61" s="4" t="n">
        <v>31.25</v>
      </c>
      <c r="F61" s="4" t="n">
        <v>1.5</v>
      </c>
      <c r="G61" s="17" t="n">
        <v>54.82</v>
      </c>
      <c r="H61" s="5" t="n"/>
      <c r="I61" s="5">
        <f>IF(H61=0,"",F61-H61)</f>
        <v/>
      </c>
      <c r="J61" s="4" t="n"/>
      <c r="K61" s="5" t="n">
        <v>0</v>
      </c>
      <c r="L61" s="11">
        <f>IF($B$2="-","",IF($B$2="Pauschale",IFERROR(INDEX('Projekt-Budget-Übersicht'!$H:$H,MATCH(A61,'Projekt-Budget-Übersicht'!$A:$A,0)),""),IF($B$2="SV",IFERROR(INDEX('Projekt-Budget-Übersicht'!$H:$H,MATCH(A61,'Projekt-Budget-Übersicht'!$A:$A,0)),""),IF($B$2="CAD",IFERROR(INDEX('Projekt-Budget-Übersicht'!$I:$I,MATCH(A61,'Projekt-Budget-Übersicht'!$A:$A,0)),""),IF($B$2="ADM",IFERROR(INDEX('Projekt-Budget-Übersicht'!$J:$J,MATCH(A61,'Projekt-Budget-Übersicht'!$A:$A,0)),""),"")))))</f>
        <v/>
      </c>
      <c r="M61" s="11">
        <f>IF($B$2="-","",L61*(F61+I61+K61))</f>
        <v/>
      </c>
      <c r="N61" s="11">
        <f>IFERROR(INDEX('Projekt-Budget-Übersicht'!$E:$E,MATCH(A61,'Projekt-Budget-Übersicht'!$A:$A,0)),"")</f>
        <v/>
      </c>
      <c r="O61" s="11" t="inlineStr"/>
      <c r="P61" s="11" t="inlineStr"/>
    </row>
    <row r="62">
      <c r="A62" s="4" t="inlineStr">
        <is>
          <t>4436.043 FWP-NA003-KKH-Bergstraße-Viernheimer-Straße-2-Heppenheim-Bauphase+NB-BauteilG</t>
        </is>
      </c>
      <c r="B62" s="4" t="inlineStr">
        <is>
          <t>9200-Erstellen od. Prüfen Feuerwehrpläne….</t>
        </is>
      </c>
      <c r="C62" s="4" t="inlineStr">
        <is>
          <t>G</t>
        </is>
      </c>
      <c r="D62" s="4" t="n">
        <v>230</v>
      </c>
      <c r="E62" s="4" t="n">
        <v>31.75</v>
      </c>
      <c r="F62" s="4" t="n">
        <v>1.25</v>
      </c>
      <c r="G62" s="17" t="n">
        <v>13.8</v>
      </c>
      <c r="H62" s="5" t="n"/>
      <c r="I62" s="5">
        <f>IF(H62=0,"",F62-H62)</f>
        <v/>
      </c>
      <c r="J62" s="4" t="n"/>
      <c r="K62" s="5">
        <f>IF('A. Kokott'!J45="S. Schüler",'A. Kokott'!I45,0)+IF('M. Warner'!J8="S. Schüler",'M. Warner'!I8,0)</f>
        <v/>
      </c>
      <c r="L62" s="11">
        <f>IF($B$2="-","",IF($B$2="Pauschale",IFERROR(INDEX('Projekt-Budget-Übersicht'!$H:$H,MATCH(A62,'Projekt-Budget-Übersicht'!$A:$A,0)),""),IF($B$2="SV",IFERROR(INDEX('Projekt-Budget-Übersicht'!$H:$H,MATCH(A62,'Projekt-Budget-Übersicht'!$A:$A,0)),""),IF($B$2="CAD",IFERROR(INDEX('Projekt-Budget-Übersicht'!$I:$I,MATCH(A62,'Projekt-Budget-Übersicht'!$A:$A,0)),""),IF($B$2="ADM",IFERROR(INDEX('Projekt-Budget-Übersicht'!$J:$J,MATCH(A62,'Projekt-Budget-Übersicht'!$A:$A,0)),""),"")))))</f>
        <v/>
      </c>
      <c r="M62" s="11">
        <f>IF($B$2="-","",L62*(F62+I62+K62))</f>
        <v/>
      </c>
      <c r="N62" s="11">
        <f>IFERROR(INDEX('Projekt-Budget-Übersicht'!$E:$E,MATCH(A62,'Projekt-Budget-Übersicht'!$A:$A,0)),"")</f>
        <v/>
      </c>
      <c r="O62" s="11" t="inlineStr"/>
      <c r="P62" s="11" t="inlineStr"/>
    </row>
    <row r="63">
      <c r="A63" s="13" t="inlineStr">
        <is>
          <t>5607.05 BAB-NB-J4-Zentralinstitut-für-seelische-Gesundheit-Mannheim</t>
        </is>
      </c>
      <c r="B63" s="4" t="inlineStr">
        <is>
          <t>9000-Beratungsleistungen</t>
        </is>
      </c>
      <c r="C63" s="4" t="inlineStr">
        <is>
          <t>G</t>
        </is>
      </c>
      <c r="D63" s="4" t="n">
        <v>14.75</v>
      </c>
      <c r="E63" s="4" t="n">
        <v>46.75</v>
      </c>
      <c r="F63" s="4" t="n">
        <v>2.5</v>
      </c>
      <c r="G63" s="16" t="n">
        <v>316.95</v>
      </c>
      <c r="H63" s="5" t="n"/>
      <c r="I63" s="5">
        <f>IF(H63=0,"",F63-H63)</f>
        <v/>
      </c>
      <c r="J63" s="4" t="n"/>
      <c r="K63" s="5" t="n">
        <v>0</v>
      </c>
      <c r="L63" s="11">
        <f>IF($B$2="-","",IF($B$2="Pauschale",IFERROR(INDEX('Projekt-Budget-Übersicht'!$H:$H,MATCH(A63,'Projekt-Budget-Übersicht'!$A:$A,0)),""),IF($B$2="SV",IFERROR(INDEX('Projekt-Budget-Übersicht'!$H:$H,MATCH(A63,'Projekt-Budget-Übersicht'!$A:$A,0)),""),IF($B$2="CAD",IFERROR(INDEX('Projekt-Budget-Übersicht'!$I:$I,MATCH(A63,'Projekt-Budget-Übersicht'!$A:$A,0)),""),IF($B$2="ADM",IFERROR(INDEX('Projekt-Budget-Übersicht'!$J:$J,MATCH(A63,'Projekt-Budget-Übersicht'!$A:$A,0)),""),"")))))</f>
        <v/>
      </c>
      <c r="M63" s="11">
        <f>IF($B$2="-","",L63*(F63+I63+K63))</f>
        <v/>
      </c>
      <c r="N63" s="11">
        <f>IFERROR(INDEX('Projekt-Budget-Übersicht'!$E:$E,MATCH(A63,'Projekt-Budget-Übersicht'!$A:$A,0)),"")</f>
        <v/>
      </c>
      <c r="O63" s="11" t="inlineStr"/>
      <c r="P63" s="11" t="inlineStr"/>
    </row>
    <row r="64">
      <c r="A64" s="15" t="n"/>
      <c r="B64" s="4" t="inlineStr">
        <is>
          <t>9101-Fortschreibung Brandschutzkonzept….</t>
        </is>
      </c>
      <c r="C64" s="4" t="inlineStr">
        <is>
          <t>G</t>
        </is>
      </c>
      <c r="D64" s="4" t="n">
        <v>14.25</v>
      </c>
      <c r="E64" s="4" t="n">
        <v>53.25</v>
      </c>
      <c r="F64" s="4" t="n">
        <v>7.75</v>
      </c>
      <c r="G64" s="16" t="n">
        <v>373.68</v>
      </c>
      <c r="H64" s="5" t="n"/>
      <c r="I64" s="5">
        <f>IF(H64=0,"",F64-H64)</f>
        <v/>
      </c>
      <c r="J64" s="4" t="n"/>
      <c r="K64" s="5">
        <f>IF('A. Kokott'!J48="S. Schüler",'A. Kokott'!I48,0)</f>
        <v/>
      </c>
      <c r="L64" s="11">
        <f>IF($B$2="-","",IF($B$2="Pauschale",IFERROR(INDEX('Projekt-Budget-Übersicht'!$H:$H,MATCH(A64,'Projekt-Budget-Übersicht'!$A:$A,0)),""),IF($B$2="SV",IFERROR(INDEX('Projekt-Budget-Übersicht'!$H:$H,MATCH(A64,'Projekt-Budget-Übersicht'!$A:$A,0)),""),IF($B$2="CAD",IFERROR(INDEX('Projekt-Budget-Übersicht'!$I:$I,MATCH(A64,'Projekt-Budget-Übersicht'!$A:$A,0)),""),IF($B$2="ADM",IFERROR(INDEX('Projekt-Budget-Übersicht'!$J:$J,MATCH(A64,'Projekt-Budget-Übersicht'!$A:$A,0)),""),"")))))</f>
        <v/>
      </c>
      <c r="M64" s="11">
        <f>IF($B$2="-","",L64*(F64+I64+K64))</f>
        <v/>
      </c>
      <c r="N64" s="11">
        <f>IFERROR(INDEX('Projekt-Budget-Übersicht'!$E:$E,MATCH(A64,'Projekt-Budget-Übersicht'!$A:$A,0)),"")</f>
        <v/>
      </c>
      <c r="O64" s="11" t="inlineStr"/>
      <c r="P64" s="11" t="inlineStr"/>
    </row>
    <row r="65">
      <c r="A65" s="4" t="inlineStr">
        <is>
          <t>5607.07 Fortschr-QBS-NB-J4-Zentralinstitut-für-seelische-Gesundheit-Mannheim</t>
        </is>
      </c>
      <c r="B65" s="4" t="inlineStr">
        <is>
          <t>Fortschr. Brandfallsteuertabelle</t>
        </is>
      </c>
      <c r="C65" s="4" t="inlineStr">
        <is>
          <t>G</t>
        </is>
      </c>
      <c r="D65" s="4" t="n">
        <v>40</v>
      </c>
      <c r="E65" s="4" t="n">
        <v>69</v>
      </c>
      <c r="F65" s="4" t="n">
        <v>0.75</v>
      </c>
      <c r="G65" s="16" t="n">
        <v>172.5</v>
      </c>
      <c r="H65" s="5" t="n"/>
      <c r="I65" s="5">
        <f>IF(H65=0,"",F65-H65)</f>
        <v/>
      </c>
      <c r="J65" s="4" t="n"/>
      <c r="K65" s="5" t="n">
        <v>0</v>
      </c>
      <c r="L65" s="11">
        <f>IF($B$2="-","",IF($B$2="Pauschale",IFERROR(INDEX('Projekt-Budget-Übersicht'!$H:$H,MATCH(A65,'Projekt-Budget-Übersicht'!$A:$A,0)),""),IF($B$2="SV",IFERROR(INDEX('Projekt-Budget-Übersicht'!$H:$H,MATCH(A65,'Projekt-Budget-Übersicht'!$A:$A,0)),""),IF($B$2="CAD",IFERROR(INDEX('Projekt-Budget-Übersicht'!$I:$I,MATCH(A65,'Projekt-Budget-Übersicht'!$A:$A,0)),""),IF($B$2="ADM",IFERROR(INDEX('Projekt-Budget-Übersicht'!$J:$J,MATCH(A65,'Projekt-Budget-Übersicht'!$A:$A,0)),""),"")))))</f>
        <v/>
      </c>
      <c r="M65" s="11">
        <f>IF($B$2="-","",L65*(F65+I65+K65))</f>
        <v/>
      </c>
      <c r="N65" s="11">
        <f>IFERROR(INDEX('Projekt-Budget-Übersicht'!$E:$E,MATCH(A65,'Projekt-Budget-Übersicht'!$A:$A,0)),"")</f>
        <v/>
      </c>
      <c r="O65" s="11" t="inlineStr"/>
      <c r="P65" s="11" t="inlineStr"/>
    </row>
    <row r="66">
      <c r="A66" s="4" t="inlineStr">
        <is>
          <t>5875.13 John-Deere-BSK-Halle-V-HomburgerStr117-125-Zweibrücken</t>
        </is>
      </c>
      <c r="B66" s="4" t="inlineStr">
        <is>
          <t>SV</t>
        </is>
      </c>
      <c r="C66" s="4" t="inlineStr">
        <is>
          <t>G</t>
        </is>
      </c>
      <c r="D66" s="4" t="n">
        <v>200</v>
      </c>
      <c r="E66" s="4" t="n">
        <v>15.75</v>
      </c>
      <c r="F66" s="4" t="n">
        <v>0.75</v>
      </c>
      <c r="G66" s="17" t="n">
        <v>7.88</v>
      </c>
      <c r="H66" s="5" t="n"/>
      <c r="I66" s="5">
        <f>IF(H66=0,"",F66-H66)</f>
        <v/>
      </c>
      <c r="J66" s="4" t="n"/>
      <c r="K66" s="5" t="n">
        <v>0</v>
      </c>
      <c r="L66" s="11">
        <f>IF($B$2="-","",IF($B$2="Pauschale",IFERROR(INDEX('Projekt-Budget-Übersicht'!$H:$H,MATCH(A66,'Projekt-Budget-Übersicht'!$A:$A,0)),""),IF($B$2="SV",IFERROR(INDEX('Projekt-Budget-Übersicht'!$H:$H,MATCH(A66,'Projekt-Budget-Übersicht'!$A:$A,0)),""),IF($B$2="CAD",IFERROR(INDEX('Projekt-Budget-Übersicht'!$I:$I,MATCH(A66,'Projekt-Budget-Übersicht'!$A:$A,0)),""),IF($B$2="ADM",IFERROR(INDEX('Projekt-Budget-Übersicht'!$J:$J,MATCH(A66,'Projekt-Budget-Übersicht'!$A:$A,0)),""),"")))))</f>
        <v/>
      </c>
      <c r="M66" s="11">
        <f>IF($B$2="-","",L66*(F66+I66+K66))</f>
        <v/>
      </c>
      <c r="N66" s="11">
        <f>IFERROR(INDEX('Projekt-Budget-Übersicht'!$E:$E,MATCH(A66,'Projekt-Budget-Übersicht'!$A:$A,0)),"")</f>
        <v/>
      </c>
      <c r="O66" s="11" t="inlineStr"/>
      <c r="P66" s="11" t="inlineStr"/>
    </row>
    <row r="67">
      <c r="A67" s="13" t="inlineStr">
        <is>
          <t>6680.02 GSKOK-Heidelberg-Kopfklinik-LP3</t>
        </is>
      </c>
      <c r="B67" s="4" t="inlineStr">
        <is>
          <t>SV</t>
        </is>
      </c>
      <c r="C67" s="4" t="inlineStr">
        <is>
          <t>G</t>
        </is>
      </c>
      <c r="D67" s="4" t="n">
        <v>40</v>
      </c>
      <c r="E67" s="4" t="n">
        <v>166.5</v>
      </c>
      <c r="F67" s="4" t="n">
        <v>5.25</v>
      </c>
      <c r="G67" s="16" t="n">
        <v>416.25</v>
      </c>
      <c r="H67" s="5" t="n"/>
      <c r="I67" s="5">
        <f>IF(H67=0,"",F67-H67)</f>
        <v/>
      </c>
      <c r="J67" s="4" t="n"/>
      <c r="K67" s="5">
        <f>IF('T. Trautmann'!J51="S. Schüler",'T. Trautmann'!I51,0)</f>
        <v/>
      </c>
      <c r="L67" s="11">
        <f>IF($B$2="-","",IF($B$2="Pauschale",IFERROR(INDEX('Projekt-Budget-Übersicht'!$H:$H,MATCH(A67,'Projekt-Budget-Übersicht'!$A:$A,0)),""),IF($B$2="SV",IFERROR(INDEX('Projekt-Budget-Übersicht'!$H:$H,MATCH(A67,'Projekt-Budget-Übersicht'!$A:$A,0)),""),IF($B$2="CAD",IFERROR(INDEX('Projekt-Budget-Übersicht'!$I:$I,MATCH(A67,'Projekt-Budget-Übersicht'!$A:$A,0)),""),IF($B$2="ADM",IFERROR(INDEX('Projekt-Budget-Übersicht'!$J:$J,MATCH(A67,'Projekt-Budget-Übersicht'!$A:$A,0)),""),"")))))</f>
        <v/>
      </c>
      <c r="M67" s="11">
        <f>IF($B$2="-","",L67*(F67+I67+K67))</f>
        <v/>
      </c>
      <c r="N67" s="11">
        <f>IFERROR(INDEX('Projekt-Budget-Übersicht'!$E:$E,MATCH(A67,'Projekt-Budget-Übersicht'!$A:$A,0)),"")</f>
        <v/>
      </c>
      <c r="O67" s="11" t="inlineStr"/>
      <c r="P67" s="11" t="inlineStr"/>
    </row>
    <row r="68">
      <c r="A68" s="15" t="n"/>
      <c r="B68" s="4" t="inlineStr">
        <is>
          <t>Teilnahme an Besprechungen (noch nicht beauftragt)</t>
        </is>
      </c>
      <c r="C68" s="4" t="inlineStr">
        <is>
          <t>G</t>
        </is>
      </c>
      <c r="D68" s="4" t="n">
        <v>0</v>
      </c>
      <c r="E68" s="4" t="n">
        <v>127.5</v>
      </c>
      <c r="F68" s="4" t="n">
        <v>4.25</v>
      </c>
      <c r="G68" s="4" t="n">
        <v>0</v>
      </c>
      <c r="H68" s="5" t="n"/>
      <c r="I68" s="5">
        <f>IF(H68=0,"",F68-H68)</f>
        <v/>
      </c>
      <c r="J68" s="4" t="n"/>
      <c r="K68" s="5">
        <f>IF('T. Trautmann'!J52="S. Schüler",'T. Trautmann'!I52,0)</f>
        <v/>
      </c>
      <c r="L68" s="11">
        <f>IF($B$2="-","",IF($B$2="Pauschale",IFERROR(INDEX('Projekt-Budget-Übersicht'!$H:$H,MATCH(A68,'Projekt-Budget-Übersicht'!$A:$A,0)),""),IF($B$2="SV",IFERROR(INDEX('Projekt-Budget-Übersicht'!$H:$H,MATCH(A68,'Projekt-Budget-Übersicht'!$A:$A,0)),""),IF($B$2="CAD",IFERROR(INDEX('Projekt-Budget-Übersicht'!$I:$I,MATCH(A68,'Projekt-Budget-Übersicht'!$A:$A,0)),""),IF($B$2="ADM",IFERROR(INDEX('Projekt-Budget-Übersicht'!$J:$J,MATCH(A68,'Projekt-Budget-Übersicht'!$A:$A,0)),""),"")))))</f>
        <v/>
      </c>
      <c r="M68" s="11">
        <f>IF($B$2="-","",L68*(F68+I68+K68))</f>
        <v/>
      </c>
      <c r="N68" s="11">
        <f>IFERROR(INDEX('Projekt-Budget-Übersicht'!$E:$E,MATCH(A68,'Projekt-Budget-Übersicht'!$A:$A,0)),"")</f>
        <v/>
      </c>
      <c r="O68" s="11" t="inlineStr"/>
      <c r="P68" s="11" t="inlineStr"/>
    </row>
    <row r="69">
      <c r="A69" s="4" t="inlineStr">
        <is>
          <t>6995 Telehouse-BSK-TDE-RZ-GebN-Kleyerstraße75-89-FFM</t>
        </is>
      </c>
      <c r="B69" s="4" t="inlineStr">
        <is>
          <t>Prüfen der Ausführung auf prinzipielle Übereinstimmung (Stufe 1)....</t>
        </is>
      </c>
      <c r="C69" s="4" t="inlineStr">
        <is>
          <t>G</t>
        </is>
      </c>
      <c r="D69" s="4" t="n">
        <v>80</v>
      </c>
      <c r="E69" s="4" t="n">
        <v>11.75</v>
      </c>
      <c r="F69" s="4" t="n">
        <v>9.5</v>
      </c>
      <c r="G69" s="17" t="n">
        <v>14.69</v>
      </c>
      <c r="H69" s="5" t="n"/>
      <c r="I69" s="5">
        <f>IF(H69=0,"",F69-H69)</f>
        <v/>
      </c>
      <c r="J69" s="4" t="n"/>
      <c r="K69" s="5" t="n">
        <v>0</v>
      </c>
      <c r="L69" s="11">
        <f>IF($B$2="-","",IF($B$2="Pauschale",IFERROR(INDEX('Projekt-Budget-Übersicht'!$H:$H,MATCH(A69,'Projekt-Budget-Übersicht'!$A:$A,0)),""),IF($B$2="SV",IFERROR(INDEX('Projekt-Budget-Übersicht'!$H:$H,MATCH(A69,'Projekt-Budget-Übersicht'!$A:$A,0)),""),IF($B$2="CAD",IFERROR(INDEX('Projekt-Budget-Übersicht'!$I:$I,MATCH(A69,'Projekt-Budget-Übersicht'!$A:$A,0)),""),IF($B$2="ADM",IFERROR(INDEX('Projekt-Budget-Übersicht'!$J:$J,MATCH(A69,'Projekt-Budget-Übersicht'!$A:$A,0)),""),"")))))</f>
        <v/>
      </c>
      <c r="M69" s="11">
        <f>IF($B$2="-","",L69*(F69+I69+K69))</f>
        <v/>
      </c>
      <c r="N69" s="11">
        <f>IFERROR(INDEX('Projekt-Budget-Übersicht'!$E:$E,MATCH(A69,'Projekt-Budget-Übersicht'!$A:$A,0)),"")</f>
        <v/>
      </c>
      <c r="O69" s="11" t="inlineStr"/>
      <c r="P69" s="11" t="inlineStr"/>
    </row>
    <row r="70">
      <c r="A70" s="4" t="inlineStr">
        <is>
          <t>7184 Lichtblick-BSN-Frisörsalon-Abstellräume-Ramsaystr17-Hanau</t>
        </is>
      </c>
      <c r="B70" s="4" t="inlineStr">
        <is>
          <t>(p) Pos. 1 Erstellung eines Brandschutznachweises GK 4</t>
        </is>
      </c>
      <c r="C70" s="4" t="inlineStr">
        <is>
          <t>G</t>
        </is>
      </c>
      <c r="D70" s="4" t="n">
        <v>20</v>
      </c>
      <c r="E70" s="4" t="n">
        <v>31.5</v>
      </c>
      <c r="F70" s="4" t="n">
        <v>1</v>
      </c>
      <c r="G70" s="16" t="n">
        <v>157.5</v>
      </c>
      <c r="H70" s="5" t="n"/>
      <c r="I70" s="5">
        <f>IF(H70=0,"",F70-H70)</f>
        <v/>
      </c>
      <c r="J70" s="4" t="n"/>
      <c r="K70" s="5" t="n">
        <v>0</v>
      </c>
      <c r="L70" s="11">
        <f>IF($B$2="-","",IF($B$2="Pauschale",IFERROR(INDEX('Projekt-Budget-Übersicht'!$H:$H,MATCH(A70,'Projekt-Budget-Übersicht'!$A:$A,0)),""),IF($B$2="SV",IFERROR(INDEX('Projekt-Budget-Übersicht'!$H:$H,MATCH(A70,'Projekt-Budget-Übersicht'!$A:$A,0)),""),IF($B$2="CAD",IFERROR(INDEX('Projekt-Budget-Übersicht'!$I:$I,MATCH(A70,'Projekt-Budget-Übersicht'!$A:$A,0)),""),IF($B$2="ADM",IFERROR(INDEX('Projekt-Budget-Übersicht'!$J:$J,MATCH(A70,'Projekt-Budget-Übersicht'!$A:$A,0)),""),"")))))</f>
        <v/>
      </c>
      <c r="M70" s="11">
        <f>IF($B$2="-","",L70*(F70+I70+K70))</f>
        <v/>
      </c>
      <c r="N70" s="11">
        <f>IFERROR(INDEX('Projekt-Budget-Übersicht'!$E:$E,MATCH(A70,'Projekt-Budget-Übersicht'!$A:$A,0)),"")</f>
        <v/>
      </c>
      <c r="O70" s="11" t="inlineStr"/>
      <c r="P70" s="11" t="inlineStr"/>
    </row>
    <row r="71">
      <c r="A71" s="4" t="inlineStr">
        <is>
          <t>7241 GemFreisen-BSP-Umbau-Sanierung-Festhalle-Oberkirchen-Freisen</t>
        </is>
      </c>
      <c r="B71" s="4" t="inlineStr">
        <is>
          <t>(p) Lph. 5 (Ausführungsplanung)</t>
        </is>
      </c>
      <c r="C71" s="4" t="inlineStr">
        <is>
          <t>G</t>
        </is>
      </c>
      <c r="D71" s="4" t="n">
        <v>26</v>
      </c>
      <c r="E71" s="4" t="n">
        <v>38.25</v>
      </c>
      <c r="F71" s="4" t="n">
        <v>0.5</v>
      </c>
      <c r="G71" s="16" t="n">
        <v>147.12</v>
      </c>
      <c r="H71" s="5" t="n"/>
      <c r="I71" s="5">
        <f>IF(H71=0,"",F71-H71)</f>
        <v/>
      </c>
      <c r="J71" s="4" t="n"/>
      <c r="K71" s="5" t="n">
        <v>0</v>
      </c>
      <c r="L71" s="11">
        <f>IF($B$2="-","",IF($B$2="Pauschale",IFERROR(INDEX('Projekt-Budget-Übersicht'!$H:$H,MATCH(A71,'Projekt-Budget-Übersicht'!$A:$A,0)),""),IF($B$2="SV",IFERROR(INDEX('Projekt-Budget-Übersicht'!$H:$H,MATCH(A71,'Projekt-Budget-Übersicht'!$A:$A,0)),""),IF($B$2="CAD",IFERROR(INDEX('Projekt-Budget-Übersicht'!$I:$I,MATCH(A71,'Projekt-Budget-Übersicht'!$A:$A,0)),""),IF($B$2="ADM",IFERROR(INDEX('Projekt-Budget-Übersicht'!$J:$J,MATCH(A71,'Projekt-Budget-Übersicht'!$A:$A,0)),""),"")))))</f>
        <v/>
      </c>
      <c r="M71" s="11">
        <f>IF($B$2="-","",L71*(F71+I71+K71))</f>
        <v/>
      </c>
      <c r="N71" s="11">
        <f>IFERROR(INDEX('Projekt-Budget-Übersicht'!$E:$E,MATCH(A71,'Projekt-Budget-Übersicht'!$A:$A,0)),"")</f>
        <v/>
      </c>
      <c r="O71" s="11" t="inlineStr"/>
      <c r="P71" s="11" t="inlineStr"/>
    </row>
    <row r="72">
      <c r="A72" s="4" t="inlineStr">
        <is>
          <t>7247 Hoepfner-BTB-NL-Grünwinkel</t>
        </is>
      </c>
      <c r="B72" s="4" t="inlineStr">
        <is>
          <t>(aN) Pos. 1 Brandschutztechnische Beratung und SOLL-IST-Abgleich (SV)</t>
        </is>
      </c>
      <c r="C72" s="4" t="inlineStr">
        <is>
          <t>G</t>
        </is>
      </c>
      <c r="D72" s="4" t="n">
        <v>100</v>
      </c>
      <c r="E72" s="4" t="n">
        <v>19.5</v>
      </c>
      <c r="F72" s="4" t="n">
        <v>12.5</v>
      </c>
      <c r="G72" s="17" t="n">
        <v>19.5</v>
      </c>
      <c r="H72" s="5" t="n"/>
      <c r="I72" s="5">
        <f>IF(H72=0,"",F72-H72)</f>
        <v/>
      </c>
      <c r="J72" s="4" t="n"/>
      <c r="K72" s="5">
        <f>IF('C. Trapp SV'!J47="S. Schüler",'C. Trapp SV'!I47,0)</f>
        <v/>
      </c>
      <c r="L72" s="11">
        <f>IF($B$2="-","",IF($B$2="Pauschale",IFERROR(INDEX('Projekt-Budget-Übersicht'!$H:$H,MATCH(A72,'Projekt-Budget-Übersicht'!$A:$A,0)),""),IF($B$2="SV",IFERROR(INDEX('Projekt-Budget-Übersicht'!$H:$H,MATCH(A72,'Projekt-Budget-Übersicht'!$A:$A,0)),""),IF($B$2="CAD",IFERROR(INDEX('Projekt-Budget-Übersicht'!$I:$I,MATCH(A72,'Projekt-Budget-Übersicht'!$A:$A,0)),""),IF($B$2="ADM",IFERROR(INDEX('Projekt-Budget-Übersicht'!$J:$J,MATCH(A72,'Projekt-Budget-Übersicht'!$A:$A,0)),""),"")))))</f>
        <v/>
      </c>
      <c r="M72" s="11">
        <f>IF($B$2="-","",L72*(F72+I72+K72))</f>
        <v/>
      </c>
      <c r="N72" s="11">
        <f>IFERROR(INDEX('Projekt-Budget-Übersicht'!$E:$E,MATCH(A72,'Projekt-Budget-Übersicht'!$A:$A,0)),"")</f>
        <v/>
      </c>
      <c r="O72" s="11" t="inlineStr"/>
      <c r="P72" s="11" t="inlineStr"/>
    </row>
    <row r="73">
      <c r="A73" s="4" t="inlineStr">
        <is>
          <t>7247.01 Hoepfner-BST-Zentrale-Karlsruhe</t>
        </is>
      </c>
      <c r="B73" s="4" t="inlineStr">
        <is>
          <t>2302-Beratungsleistungen in der Planungsphase...</t>
        </is>
      </c>
      <c r="C73" s="4" t="inlineStr">
        <is>
          <t>G</t>
        </is>
      </c>
      <c r="D73" s="4" t="n">
        <v>25</v>
      </c>
      <c r="E73" s="4" t="n">
        <v>1.25</v>
      </c>
      <c r="F73" s="4" t="n">
        <v>0.75</v>
      </c>
      <c r="G73" s="17" t="n">
        <v>5</v>
      </c>
      <c r="H73" s="5" t="n"/>
      <c r="I73" s="5">
        <f>IF(H73=0,"",F73-H73)</f>
        <v/>
      </c>
      <c r="J73" s="4" t="n"/>
      <c r="K73" s="5" t="n">
        <v>0</v>
      </c>
      <c r="L73" s="11">
        <f>IF($B$2="-","",IF($B$2="Pauschale",IFERROR(INDEX('Projekt-Budget-Übersicht'!$H:$H,MATCH(A73,'Projekt-Budget-Übersicht'!$A:$A,0)),""),IF($B$2="SV",IFERROR(INDEX('Projekt-Budget-Übersicht'!$H:$H,MATCH(A73,'Projekt-Budget-Übersicht'!$A:$A,0)),""),IF($B$2="CAD",IFERROR(INDEX('Projekt-Budget-Übersicht'!$I:$I,MATCH(A73,'Projekt-Budget-Übersicht'!$A:$A,0)),""),IF($B$2="ADM",IFERROR(INDEX('Projekt-Budget-Übersicht'!$J:$J,MATCH(A73,'Projekt-Budget-Übersicht'!$A:$A,0)),""),"")))))</f>
        <v/>
      </c>
      <c r="M73" s="11">
        <f>IF($B$2="-","",L73*(F73+I73+K73))</f>
        <v/>
      </c>
      <c r="N73" s="11">
        <f>IFERROR(INDEX('Projekt-Budget-Übersicht'!$E:$E,MATCH(A73,'Projekt-Budget-Übersicht'!$A:$A,0)),"")</f>
        <v/>
      </c>
      <c r="O73" s="11" t="inlineStr"/>
      <c r="P73" s="11" t="inlineStr"/>
    </row>
    <row r="74">
      <c r="A74" s="4" t="inlineStr">
        <is>
          <t>7277 DFMG-BSK-Funkturm-Mustergutachten</t>
        </is>
      </c>
      <c r="B74" s="4" t="inlineStr">
        <is>
          <t>3100-Erarbeiten des Brandschutzkonzept/Nachweis/Stellungnahme</t>
        </is>
      </c>
      <c r="C74" s="4" t="inlineStr">
        <is>
          <t>G</t>
        </is>
      </c>
      <c r="D74" s="4" t="n">
        <v>84</v>
      </c>
      <c r="E74" s="4" t="n">
        <v>57.5</v>
      </c>
      <c r="F74" s="4" t="n">
        <v>7.5</v>
      </c>
      <c r="G74" s="17" t="n">
        <v>68.45</v>
      </c>
      <c r="H74" s="5" t="n"/>
      <c r="I74" s="5">
        <f>IF(H74=0,"",F74-H74)</f>
        <v/>
      </c>
      <c r="J74" s="4" t="n"/>
      <c r="K74" s="5" t="n">
        <v>0</v>
      </c>
      <c r="L74" s="11">
        <f>IF($B$2="-","",IF($B$2="Pauschale",IFERROR(INDEX('Projekt-Budget-Übersicht'!$H:$H,MATCH(A74,'Projekt-Budget-Übersicht'!$A:$A,0)),""),IF($B$2="SV",IFERROR(INDEX('Projekt-Budget-Übersicht'!$H:$H,MATCH(A74,'Projekt-Budget-Übersicht'!$A:$A,0)),""),IF($B$2="CAD",IFERROR(INDEX('Projekt-Budget-Übersicht'!$I:$I,MATCH(A74,'Projekt-Budget-Übersicht'!$A:$A,0)),""),IF($B$2="ADM",IFERROR(INDEX('Projekt-Budget-Übersicht'!$J:$J,MATCH(A74,'Projekt-Budget-Übersicht'!$A:$A,0)),""),"")))))</f>
        <v/>
      </c>
      <c r="M74" s="11">
        <f>IF($B$2="-","",L74*(F74+I74+K74))</f>
        <v/>
      </c>
      <c r="N74" s="11">
        <f>IFERROR(INDEX('Projekt-Budget-Übersicht'!$E:$E,MATCH(A74,'Projekt-Budget-Übersicht'!$A:$A,0)),"")</f>
        <v/>
      </c>
      <c r="O74" s="11" t="inlineStr"/>
      <c r="P74" s="11" t="inlineStr"/>
    </row>
    <row r="75">
      <c r="A75" s="13" t="inlineStr">
        <is>
          <t>7330 LBB-IO-AHO-Truppenübungsplatz-NB-Schießhaus-Smith-Barracks-Baumholder</t>
        </is>
      </c>
      <c r="B75" s="4" t="inlineStr">
        <is>
          <t>Pos. 1.81 BL (SV)</t>
        </is>
      </c>
      <c r="C75" s="4" t="inlineStr">
        <is>
          <t>G</t>
        </is>
      </c>
      <c r="D75" s="4" t="n">
        <v>10.5</v>
      </c>
      <c r="E75" s="4" t="n">
        <v>9.5</v>
      </c>
      <c r="F75" s="4" t="n">
        <v>3.5</v>
      </c>
      <c r="G75" s="14" t="n">
        <v>90.48</v>
      </c>
      <c r="H75" s="5" t="n"/>
      <c r="I75" s="5">
        <f>IF(H75=0,"",F75-H75)</f>
        <v/>
      </c>
      <c r="J75" s="4" t="n"/>
      <c r="K75" s="5" t="n">
        <v>0</v>
      </c>
      <c r="L75" s="11">
        <f>IF($B$2="-","",IF($B$2="Pauschale",IFERROR(INDEX('Projekt-Budget-Übersicht'!$H:$H,MATCH(A75,'Projekt-Budget-Übersicht'!$A:$A,0)),""),IF($B$2="SV",IFERROR(INDEX('Projekt-Budget-Übersicht'!$H:$H,MATCH(A75,'Projekt-Budget-Übersicht'!$A:$A,0)),""),IF($B$2="CAD",IFERROR(INDEX('Projekt-Budget-Übersicht'!$I:$I,MATCH(A75,'Projekt-Budget-Übersicht'!$A:$A,0)),""),IF($B$2="ADM",IFERROR(INDEX('Projekt-Budget-Übersicht'!$J:$J,MATCH(A75,'Projekt-Budget-Übersicht'!$A:$A,0)),""),"")))))</f>
        <v/>
      </c>
      <c r="M75" s="11">
        <f>IF($B$2="-","",L75*(F75+I75+K75))</f>
        <v/>
      </c>
      <c r="N75" s="11">
        <f>IFERROR(INDEX('Projekt-Budget-Übersicht'!$E:$E,MATCH(A75,'Projekt-Budget-Übersicht'!$A:$A,0)),"")</f>
        <v/>
      </c>
      <c r="O75" s="11" t="inlineStr"/>
      <c r="P75" s="11" t="inlineStr"/>
    </row>
    <row r="76">
      <c r="A76" s="21" t="n"/>
      <c r="B76" s="4" t="inlineStr">
        <is>
          <t>Pos. 2.81 GL (SV) US-Recht</t>
        </is>
      </c>
      <c r="C76" s="4" t="inlineStr">
        <is>
          <t>G</t>
        </is>
      </c>
      <c r="D76" s="4" t="n">
        <v>6</v>
      </c>
      <c r="E76" s="4" t="n">
        <v>6</v>
      </c>
      <c r="F76" s="4" t="n">
        <v>6</v>
      </c>
      <c r="G76" s="14" t="n">
        <v>100</v>
      </c>
      <c r="H76" s="5" t="n"/>
      <c r="I76" s="5">
        <f>IF(H76=0,"",F76-H76)</f>
        <v/>
      </c>
      <c r="J76" s="4" t="n"/>
      <c r="K76" s="5" t="n">
        <v>0</v>
      </c>
      <c r="L76" s="11">
        <f>IF($B$2="-","",IF($B$2="Pauschale",IFERROR(INDEX('Projekt-Budget-Übersicht'!$H:$H,MATCH(A76,'Projekt-Budget-Übersicht'!$A:$A,0)),""),IF($B$2="SV",IFERROR(INDEX('Projekt-Budget-Übersicht'!$H:$H,MATCH(A76,'Projekt-Budget-Übersicht'!$A:$A,0)),""),IF($B$2="CAD",IFERROR(INDEX('Projekt-Budget-Übersicht'!$I:$I,MATCH(A76,'Projekt-Budget-Übersicht'!$A:$A,0)),""),IF($B$2="ADM",IFERROR(INDEX('Projekt-Budget-Übersicht'!$J:$J,MATCH(A76,'Projekt-Budget-Übersicht'!$A:$A,0)),""),"")))))</f>
        <v/>
      </c>
      <c r="M76" s="11">
        <f>IF($B$2="-","",L76*(F76+I76+K76))</f>
        <v/>
      </c>
      <c r="N76" s="11">
        <f>IFERROR(INDEX('Projekt-Budget-Übersicht'!$E:$E,MATCH(A76,'Projekt-Budget-Übersicht'!$A:$A,0)),"")</f>
        <v/>
      </c>
      <c r="O76" s="11" t="inlineStr"/>
      <c r="P76" s="11" t="inlineStr"/>
    </row>
    <row r="77">
      <c r="A77" s="21" t="n"/>
      <c r="B77" s="4" t="inlineStr">
        <is>
          <t>Pos. 2.84 GL (SV) US-Recht</t>
        </is>
      </c>
      <c r="C77" s="4" t="inlineStr">
        <is>
          <t>G</t>
        </is>
      </c>
      <c r="D77" s="4" t="n">
        <v>2</v>
      </c>
      <c r="E77" s="4" t="n">
        <v>1.25</v>
      </c>
      <c r="F77" s="4" t="n">
        <v>0.25</v>
      </c>
      <c r="G77" s="17" t="n">
        <v>62.5</v>
      </c>
      <c r="H77" s="5" t="n"/>
      <c r="I77" s="5">
        <f>IF(H77=0,"",F77-H77)</f>
        <v/>
      </c>
      <c r="J77" s="4" t="n"/>
      <c r="K77" s="5" t="n">
        <v>0</v>
      </c>
      <c r="L77" s="11">
        <f>IF($B$2="-","",IF($B$2="Pauschale",IFERROR(INDEX('Projekt-Budget-Übersicht'!$H:$H,MATCH(A77,'Projekt-Budget-Übersicht'!$A:$A,0)),""),IF($B$2="SV",IFERROR(INDEX('Projekt-Budget-Übersicht'!$H:$H,MATCH(A77,'Projekt-Budget-Übersicht'!$A:$A,0)),""),IF($B$2="CAD",IFERROR(INDEX('Projekt-Budget-Übersicht'!$I:$I,MATCH(A77,'Projekt-Budget-Übersicht'!$A:$A,0)),""),IF($B$2="ADM",IFERROR(INDEX('Projekt-Budget-Übersicht'!$J:$J,MATCH(A77,'Projekt-Budget-Übersicht'!$A:$A,0)),""),"")))))</f>
        <v/>
      </c>
      <c r="M77" s="11">
        <f>IF($B$2="-","",L77*(F77+I77+K77))</f>
        <v/>
      </c>
      <c r="N77" s="11">
        <f>IFERROR(INDEX('Projekt-Budget-Übersicht'!$E:$E,MATCH(A77,'Projekt-Budget-Übersicht'!$A:$A,0)),"")</f>
        <v/>
      </c>
      <c r="O77" s="11" t="inlineStr"/>
      <c r="P77" s="11" t="inlineStr"/>
    </row>
    <row r="78">
      <c r="A78" s="15" t="n"/>
      <c r="B78" s="4" t="inlineStr">
        <is>
          <t>Pos. 2.85 GL (SV) US-Recht</t>
        </is>
      </c>
      <c r="C78" s="4" t="inlineStr">
        <is>
          <t>G</t>
        </is>
      </c>
      <c r="D78" s="4" t="n">
        <v>7.5</v>
      </c>
      <c r="E78" s="4" t="n">
        <v>2.25</v>
      </c>
      <c r="F78" s="4" t="n">
        <v>2.25</v>
      </c>
      <c r="G78" s="17" t="n">
        <v>30</v>
      </c>
      <c r="H78" s="5" t="n"/>
      <c r="I78" s="5">
        <f>IF(H78=0,"",F78-H78)</f>
        <v/>
      </c>
      <c r="J78" s="4" t="n"/>
      <c r="K78" s="5" t="n">
        <v>0</v>
      </c>
      <c r="L78" s="11">
        <f>IF($B$2="-","",IF($B$2="Pauschale",IFERROR(INDEX('Projekt-Budget-Übersicht'!$H:$H,MATCH(A78,'Projekt-Budget-Übersicht'!$A:$A,0)),""),IF($B$2="SV",IFERROR(INDEX('Projekt-Budget-Übersicht'!$H:$H,MATCH(A78,'Projekt-Budget-Übersicht'!$A:$A,0)),""),IF($B$2="CAD",IFERROR(INDEX('Projekt-Budget-Übersicht'!$I:$I,MATCH(A78,'Projekt-Budget-Übersicht'!$A:$A,0)),""),IF($B$2="ADM",IFERROR(INDEX('Projekt-Budget-Übersicht'!$J:$J,MATCH(A78,'Projekt-Budget-Übersicht'!$A:$A,0)),""),"")))))</f>
        <v/>
      </c>
      <c r="M78" s="11">
        <f>IF($B$2="-","",L78*(F78+I78+K78))</f>
        <v/>
      </c>
      <c r="N78" s="11">
        <f>IFERROR(INDEX('Projekt-Budget-Übersicht'!$E:$E,MATCH(A78,'Projekt-Budget-Übersicht'!$A:$A,0)),"")</f>
        <v/>
      </c>
      <c r="O78" s="11" t="inlineStr"/>
      <c r="P78" s="11" t="inlineStr"/>
    </row>
    <row r="79">
      <c r="A79" s="4" t="inlineStr">
        <is>
          <t>7382 BST-Mustergutachten-Cteam</t>
        </is>
      </c>
      <c r="B79" s="4" t="inlineStr">
        <is>
          <t>3100-Erarbeiten des Brandschutzkonzept/Nachweis/Stellungnahme</t>
        </is>
      </c>
      <c r="C79" s="4" t="inlineStr">
        <is>
          <t>G</t>
        </is>
      </c>
      <c r="D79" s="4" t="n">
        <v>6</v>
      </c>
      <c r="E79" s="4" t="n">
        <v>9.75</v>
      </c>
      <c r="F79" s="4" t="n">
        <v>2.5</v>
      </c>
      <c r="G79" s="16" t="n">
        <v>162.5</v>
      </c>
      <c r="H79" s="5" t="n"/>
      <c r="I79" s="5">
        <f>IF(H79=0,"",F79-H79)</f>
        <v/>
      </c>
      <c r="J79" s="4" t="n"/>
      <c r="K79" s="5" t="n">
        <v>0</v>
      </c>
      <c r="L79" s="11">
        <f>IF($B$2="-","",IF($B$2="Pauschale",IFERROR(INDEX('Projekt-Budget-Übersicht'!$H:$H,MATCH(A79,'Projekt-Budget-Übersicht'!$A:$A,0)),""),IF($B$2="SV",IFERROR(INDEX('Projekt-Budget-Übersicht'!$H:$H,MATCH(A79,'Projekt-Budget-Übersicht'!$A:$A,0)),""),IF($B$2="CAD",IFERROR(INDEX('Projekt-Budget-Übersicht'!$I:$I,MATCH(A79,'Projekt-Budget-Übersicht'!$A:$A,0)),""),IF($B$2="ADM",IFERROR(INDEX('Projekt-Budget-Übersicht'!$J:$J,MATCH(A79,'Projekt-Budget-Übersicht'!$A:$A,0)),""),"")))))</f>
        <v/>
      </c>
      <c r="M79" s="11">
        <f>IF($B$2="-","",L79*(F79+I79+K79))</f>
        <v/>
      </c>
      <c r="N79" s="11">
        <f>IFERROR(INDEX('Projekt-Budget-Übersicht'!$E:$E,MATCH(A79,'Projekt-Budget-Übersicht'!$A:$A,0)),"")</f>
        <v/>
      </c>
      <c r="O79" s="11" t="inlineStr"/>
      <c r="P79" s="11" t="inlineStr"/>
    </row>
    <row r="80">
      <c r="A80" s="4" t="inlineStr">
        <is>
          <t>7436 JC-Samurai-BSK-Neubau-Sportstätte-Gravenbruchweg1-Offenbach</t>
        </is>
      </c>
      <c r="B80" s="4" t="inlineStr">
        <is>
          <t>SV</t>
        </is>
      </c>
      <c r="C80" s="4" t="inlineStr">
        <is>
          <t>G</t>
        </is>
      </c>
      <c r="D80" s="4" t="n">
        <v>47</v>
      </c>
      <c r="E80" s="4" t="n">
        <v>24.25</v>
      </c>
      <c r="F80" s="4" t="n">
        <v>9.25</v>
      </c>
      <c r="G80" s="17" t="n">
        <v>51.6</v>
      </c>
      <c r="H80" s="5" t="n"/>
      <c r="I80" s="5">
        <f>IF(H80=0,"",F80-H80)</f>
        <v/>
      </c>
      <c r="J80" s="4" t="n"/>
      <c r="K80" s="5" t="n">
        <v>0</v>
      </c>
      <c r="L80" s="11">
        <f>IF($B$2="-","",IF($B$2="Pauschale",IFERROR(INDEX('Projekt-Budget-Übersicht'!$H:$H,MATCH(A80,'Projekt-Budget-Übersicht'!$A:$A,0)),""),IF($B$2="SV",IFERROR(INDEX('Projekt-Budget-Übersicht'!$H:$H,MATCH(A80,'Projekt-Budget-Übersicht'!$A:$A,0)),""),IF($B$2="CAD",IFERROR(INDEX('Projekt-Budget-Übersicht'!$I:$I,MATCH(A80,'Projekt-Budget-Übersicht'!$A:$A,0)),""),IF($B$2="ADM",IFERROR(INDEX('Projekt-Budget-Übersicht'!$J:$J,MATCH(A80,'Projekt-Budget-Übersicht'!$A:$A,0)),""),"")))))</f>
        <v/>
      </c>
      <c r="M80" s="11">
        <f>IF($B$2="-","",L80*(F80+I80+K80))</f>
        <v/>
      </c>
      <c r="N80" s="11">
        <f>IFERROR(INDEX('Projekt-Budget-Übersicht'!$E:$E,MATCH(A80,'Projekt-Budget-Übersicht'!$A:$A,0)),"")</f>
        <v/>
      </c>
      <c r="O80" s="11" t="inlineStr"/>
      <c r="P80" s="11" t="inlineStr"/>
    </row>
    <row r="81">
      <c r="A81" s="4" t="inlineStr">
        <is>
          <t>7446 Hamm-Architektur-BSK-BTB-Dom-zu-Worms-Lutherring9-Worms</t>
        </is>
      </c>
      <c r="B81" s="4" t="inlineStr">
        <is>
          <t>(aN) Pos. 1 Grundlagenermittlung und Objektbegehung (Ortsbesichtigung inkludiert/SV)</t>
        </is>
      </c>
      <c r="C81" s="4" t="inlineStr">
        <is>
          <t>G</t>
        </is>
      </c>
      <c r="D81" s="4" t="n">
        <v>30</v>
      </c>
      <c r="E81" s="4" t="n">
        <v>19.5</v>
      </c>
      <c r="F81" s="4" t="n">
        <v>4</v>
      </c>
      <c r="G81" s="17" t="n">
        <v>65</v>
      </c>
      <c r="H81" s="5" t="n"/>
      <c r="I81" s="5">
        <f>IF(H81=0,"",F81-H81)</f>
        <v/>
      </c>
      <c r="J81" s="4" t="n"/>
      <c r="K81" s="5" t="n">
        <v>0</v>
      </c>
      <c r="L81" s="11">
        <f>IF($B$2="-","",IF($B$2="Pauschale",IFERROR(INDEX('Projekt-Budget-Übersicht'!$H:$H,MATCH(A81,'Projekt-Budget-Übersicht'!$A:$A,0)),""),IF($B$2="SV",IFERROR(INDEX('Projekt-Budget-Übersicht'!$H:$H,MATCH(A81,'Projekt-Budget-Übersicht'!$A:$A,0)),""),IF($B$2="CAD",IFERROR(INDEX('Projekt-Budget-Übersicht'!$I:$I,MATCH(A81,'Projekt-Budget-Übersicht'!$A:$A,0)),""),IF($B$2="ADM",IFERROR(INDEX('Projekt-Budget-Übersicht'!$J:$J,MATCH(A81,'Projekt-Budget-Übersicht'!$A:$A,0)),""),"")))))</f>
        <v/>
      </c>
      <c r="M81" s="11">
        <f>IF($B$2="-","",L81*(F81+I81+K81))</f>
        <v/>
      </c>
      <c r="N81" s="11">
        <f>IFERROR(INDEX('Projekt-Budget-Übersicht'!$E:$E,MATCH(A81,'Projekt-Budget-Übersicht'!$A:$A,0)),"")</f>
        <v/>
      </c>
      <c r="O81" s="11" t="inlineStr"/>
      <c r="P81" s="11" t="inlineStr"/>
    </row>
    <row r="82">
      <c r="A82" s="4" t="inlineStr">
        <is>
          <t>7485 Hijran-Sohrab-BSK-Europaplatz10-BKR</t>
        </is>
      </c>
      <c r="B82" s="4" t="inlineStr">
        <is>
          <t>(aN) Pos. 1 BST</t>
        </is>
      </c>
      <c r="C82" s="4" t="inlineStr">
        <is>
          <t>G</t>
        </is>
      </c>
      <c r="D82" s="4" t="n">
        <v>15.5</v>
      </c>
      <c r="E82" s="4" t="n">
        <v>15.5</v>
      </c>
      <c r="F82" s="4" t="n">
        <v>14.25</v>
      </c>
      <c r="G82" s="14" t="n">
        <v>100</v>
      </c>
      <c r="H82" s="5" t="n"/>
      <c r="I82" s="5">
        <f>IF(H82=0,"",F82-H82)</f>
        <v/>
      </c>
      <c r="J82" s="4" t="n"/>
      <c r="K82" s="5">
        <f>IF('T. Trautmann'!J62="S. Schüler",'T. Trautmann'!I62,0)</f>
        <v/>
      </c>
      <c r="L82" s="11">
        <f>IF($B$2="-","",IF($B$2="Pauschale",IFERROR(INDEX('Projekt-Budget-Übersicht'!$H:$H,MATCH(A82,'Projekt-Budget-Übersicht'!$A:$A,0)),""),IF($B$2="SV",IFERROR(INDEX('Projekt-Budget-Übersicht'!$H:$H,MATCH(A82,'Projekt-Budget-Übersicht'!$A:$A,0)),""),IF($B$2="CAD",IFERROR(INDEX('Projekt-Budget-Übersicht'!$I:$I,MATCH(A82,'Projekt-Budget-Übersicht'!$A:$A,0)),""),IF($B$2="ADM",IFERROR(INDEX('Projekt-Budget-Übersicht'!$J:$J,MATCH(A82,'Projekt-Budget-Übersicht'!$A:$A,0)),""),"")))))</f>
        <v/>
      </c>
      <c r="M82" s="11">
        <f>IF($B$2="-","",L82*(F82+I82+K82))</f>
        <v/>
      </c>
      <c r="N82" s="11">
        <f>IFERROR(INDEX('Projekt-Budget-Übersicht'!$E:$E,MATCH(A82,'Projekt-Budget-Übersicht'!$A:$A,0)),"")</f>
        <v/>
      </c>
      <c r="O82" s="11" t="inlineStr"/>
      <c r="P82" s="11" t="inlineStr"/>
    </row>
    <row r="83">
      <c r="A83" s="13" t="inlineStr">
        <is>
          <t>8100 UStrich-Stunden-für-Mosaik-/Kaarst-Projekte</t>
        </is>
      </c>
      <c r="B83" s="4" t="inlineStr">
        <is>
          <t>Pos. 1.003</t>
        </is>
      </c>
      <c r="C83" s="4" t="inlineStr">
        <is>
          <t>G</t>
        </is>
      </c>
      <c r="D83" s="4" t="n">
        <v>0</v>
      </c>
      <c r="E83" s="4" t="n">
        <v>5</v>
      </c>
      <c r="F83" s="4" t="n">
        <v>0.5</v>
      </c>
      <c r="G83" s="4" t="n">
        <v>0</v>
      </c>
      <c r="H83" s="5" t="n"/>
      <c r="I83" s="5">
        <f>IF(H83=0,"",F83-H83)</f>
        <v/>
      </c>
      <c r="J83" s="4" t="n"/>
      <c r="K83" s="5" t="n">
        <v>0</v>
      </c>
      <c r="L83" s="11">
        <f>IF($B$2="-","",IF($B$2="Pauschale",IFERROR(INDEX('Projekt-Budget-Übersicht'!$H:$H,MATCH(A83,'Projekt-Budget-Übersicht'!$A:$A,0)),""),IF($B$2="SV",IFERROR(INDEX('Projekt-Budget-Übersicht'!$H:$H,MATCH(A83,'Projekt-Budget-Übersicht'!$A:$A,0)),""),IF($B$2="CAD",IFERROR(INDEX('Projekt-Budget-Übersicht'!$I:$I,MATCH(A83,'Projekt-Budget-Übersicht'!$A:$A,0)),""),IF($B$2="ADM",IFERROR(INDEX('Projekt-Budget-Übersicht'!$J:$J,MATCH(A83,'Projekt-Budget-Übersicht'!$A:$A,0)),""),"")))))</f>
        <v/>
      </c>
      <c r="M83" s="11">
        <f>IF($B$2="-","",L83*(F83+I83+K83))</f>
        <v/>
      </c>
      <c r="N83" s="11">
        <f>IFERROR(INDEX('Projekt-Budget-Übersicht'!$E:$E,MATCH(A83,'Projekt-Budget-Übersicht'!$A:$A,0)),"")</f>
        <v/>
      </c>
      <c r="O83" s="11" t="inlineStr"/>
      <c r="P83" s="11" t="inlineStr"/>
    </row>
    <row r="84">
      <c r="A84" s="15" t="n"/>
      <c r="B84" s="4" t="inlineStr">
        <is>
          <t>Pos. 2.002</t>
        </is>
      </c>
      <c r="C84" s="4" t="inlineStr">
        <is>
          <t>G</t>
        </is>
      </c>
      <c r="D84" s="4" t="n">
        <v>0</v>
      </c>
      <c r="E84" s="4" t="n">
        <v>2.25</v>
      </c>
      <c r="F84" s="4" t="n">
        <v>0.25</v>
      </c>
      <c r="G84" s="4" t="n">
        <v>0</v>
      </c>
      <c r="H84" s="5" t="n"/>
      <c r="I84" s="5">
        <f>IF(H84=0,"",F84-H84)</f>
        <v/>
      </c>
      <c r="J84" s="4" t="n"/>
      <c r="K84" s="5" t="n">
        <v>0</v>
      </c>
      <c r="L84" s="11">
        <f>IF($B$2="-","",IF($B$2="Pauschale",IFERROR(INDEX('Projekt-Budget-Übersicht'!$H:$H,MATCH(A84,'Projekt-Budget-Übersicht'!$A:$A,0)),""),IF($B$2="SV",IFERROR(INDEX('Projekt-Budget-Übersicht'!$H:$H,MATCH(A84,'Projekt-Budget-Übersicht'!$A:$A,0)),""),IF($B$2="CAD",IFERROR(INDEX('Projekt-Budget-Übersicht'!$I:$I,MATCH(A84,'Projekt-Budget-Übersicht'!$A:$A,0)),""),IF($B$2="ADM",IFERROR(INDEX('Projekt-Budget-Übersicht'!$J:$J,MATCH(A84,'Projekt-Budget-Übersicht'!$A:$A,0)),""),"")))))</f>
        <v/>
      </c>
      <c r="M84" s="11">
        <f>IF($B$2="-","",L84*(F84+I84+K84))</f>
        <v/>
      </c>
      <c r="N84" s="11">
        <f>IFERROR(INDEX('Projekt-Budget-Übersicht'!$E:$E,MATCH(A84,'Projekt-Budget-Übersicht'!$A:$A,0)),"")</f>
        <v/>
      </c>
      <c r="O84" s="11" t="inlineStr"/>
      <c r="P84" s="11" t="inlineStr"/>
    </row>
    <row r="85">
      <c r="A85" s="3" t="inlineStr"/>
      <c r="B85" s="3" t="inlineStr">
        <is>
          <t>Summe</t>
        </is>
      </c>
      <c r="C85" s="3" t="inlineStr"/>
      <c r="D85" s="3" t="inlineStr"/>
      <c r="E85" s="3" t="inlineStr"/>
      <c r="F85" s="6" t="n">
        <v>125</v>
      </c>
      <c r="G85" s="3" t="inlineStr"/>
      <c r="H85" s="3" t="inlineStr"/>
      <c r="I85" s="3" t="inlineStr"/>
      <c r="J85" s="3" t="inlineStr"/>
      <c r="K85" s="3" t="inlineStr"/>
      <c r="L85" s="3" t="n"/>
      <c r="M85" s="3" t="n"/>
      <c r="N85" s="3" t="n"/>
      <c r="O85" s="3" t="n"/>
      <c r="P85" s="3" t="n"/>
    </row>
    <row r="86">
      <c r="A86" s="3" t="inlineStr"/>
      <c r="B86" s="3" t="inlineStr">
        <is>
          <t>Bonusberechtigte Stunden</t>
        </is>
      </c>
      <c r="C86" s="3" t="inlineStr"/>
      <c r="D86" s="3" t="inlineStr"/>
      <c r="E86" s="3" t="inlineStr"/>
      <c r="F86" s="6">
        <f>G86+H86</f>
        <v/>
      </c>
      <c r="G86" s="6" t="n">
        <v>86.5</v>
      </c>
      <c r="H86" s="6">
        <f>SUM(H53,H54,H55,H56,H57,H58,H59,H60,H61,H62,H63,H64,H65,H66,H67,H68,H69,H70,H71,H72,H73,H74,H75,H76,H77,H78,H79,H80,H81,H82,H83,H84)</f>
        <v/>
      </c>
      <c r="I86" s="3" t="inlineStr"/>
      <c r="J86" s="3" t="inlineStr"/>
      <c r="K86" s="3" t="inlineStr"/>
      <c r="L86" s="3" t="inlineStr"/>
      <c r="M86" s="3" t="inlineStr"/>
      <c r="N86" s="3" t="inlineStr"/>
      <c r="O86" s="3" t="inlineStr"/>
      <c r="P86" s="3" t="inlineStr"/>
    </row>
    <row r="87">
      <c r="A87" s="3" t="inlineStr"/>
      <c r="B87" s="3" t="inlineStr">
        <is>
          <t>Bonusberechtigte Stunden Sonderprojekt</t>
        </is>
      </c>
      <c r="C87" s="3" t="inlineStr"/>
      <c r="D87" s="3" t="inlineStr"/>
      <c r="E87" s="3" t="inlineStr"/>
      <c r="F87" s="6" t="n">
        <v>0</v>
      </c>
      <c r="G87" s="6" t="n">
        <v>0</v>
      </c>
      <c r="H87" s="6" t="n">
        <v>0</v>
      </c>
      <c r="I87" s="3" t="inlineStr"/>
      <c r="J87" s="3" t="inlineStr"/>
      <c r="K87" s="3" t="inlineStr"/>
      <c r="L87" s="3" t="inlineStr"/>
      <c r="M87" s="3" t="inlineStr"/>
      <c r="N87" s="3" t="inlineStr"/>
      <c r="O87" s="3" t="inlineStr"/>
      <c r="P87" s="3" t="inlineStr"/>
    </row>
    <row r="88">
      <c r="A88" s="3" t="inlineStr"/>
      <c r="B88" s="3" t="inlineStr">
        <is>
          <t>Zugeordnete Stunden von anderen MA</t>
        </is>
      </c>
      <c r="C88" s="3" t="inlineStr"/>
      <c r="D88" s="3" t="inlineStr"/>
      <c r="E88" s="3" t="inlineStr"/>
      <c r="F88" s="6">
        <f>SUM(K53:K84)</f>
        <v/>
      </c>
      <c r="G88" s="3" t="inlineStr"/>
      <c r="H88" s="3" t="inlineStr"/>
      <c r="I88" s="3" t="inlineStr"/>
      <c r="J88" s="3" t="inlineStr"/>
      <c r="K88" s="3" t="inlineStr"/>
      <c r="L88" s="3" t="inlineStr"/>
      <c r="M88" s="3" t="inlineStr"/>
      <c r="N88" s="3" t="inlineStr"/>
      <c r="O88" s="3" t="inlineStr"/>
      <c r="P88" s="3" t="inlineStr"/>
    </row>
    <row r="89">
      <c r="A89" s="18" t="inlineStr"/>
      <c r="B89" s="18" t="inlineStr">
        <is>
          <t>Gesamt Bonus Stunden</t>
        </is>
      </c>
      <c r="C89" s="18" t="inlineStr"/>
      <c r="D89" s="18" t="inlineStr"/>
      <c r="E89" s="18" t="inlineStr"/>
      <c r="F89" s="19">
        <f>F86+F87+F88</f>
        <v/>
      </c>
      <c r="G89" s="18" t="inlineStr"/>
      <c r="H89" s="18" t="inlineStr"/>
      <c r="I89" s="18" t="inlineStr"/>
      <c r="J89" s="18" t="inlineStr"/>
      <c r="K89" s="18" t="inlineStr"/>
      <c r="L89" s="18" t="n"/>
      <c r="M89" s="18" t="n"/>
      <c r="N89" s="18" t="n"/>
      <c r="O89" s="18" t="n"/>
      <c r="P89" s="18" t="n"/>
    </row>
    <row r="91">
      <c r="A91" s="2" t="inlineStr">
        <is>
          <t>--- September 2025 ---</t>
        </is>
      </c>
    </row>
    <row r="92">
      <c r="A92" s="3" t="inlineStr">
        <is>
          <t>Projekt</t>
        </is>
      </c>
      <c r="B92" s="3" t="inlineStr">
        <is>
          <t>Meilenstein</t>
        </is>
      </c>
      <c r="C92" s="3" t="inlineStr">
        <is>
          <t>Typ</t>
        </is>
      </c>
      <c r="D92" s="3" t="inlineStr">
        <is>
          <t>Soll (h)</t>
        </is>
      </c>
      <c r="E92" s="3" t="inlineStr">
        <is>
          <t>Ist (h)</t>
        </is>
      </c>
      <c r="F92" s="3" t="inlineStr">
        <is>
          <t>September 2025 (h)</t>
        </is>
      </c>
      <c r="G92" s="3" t="inlineStr">
        <is>
          <t>%</t>
        </is>
      </c>
      <c r="H92" s="3" t="inlineStr">
        <is>
          <t>Bonus-Anpassung (h)</t>
        </is>
      </c>
      <c r="I92" s="3" t="inlineStr">
        <is>
          <t>Differenz (h)</t>
        </is>
      </c>
      <c r="J92" s="3" t="inlineStr">
        <is>
          <t>Zuordnen an</t>
        </is>
      </c>
      <c r="K92" s="3" t="inlineStr">
        <is>
          <t>Von anderen (h)</t>
        </is>
      </c>
      <c r="L92" s="3" t="inlineStr">
        <is>
          <t>Stundensatz (€/h)</t>
        </is>
      </c>
      <c r="M92" s="3" t="inlineStr">
        <is>
          <t>Umsatz (€)</t>
        </is>
      </c>
      <c r="N92" s="3" t="inlineStr">
        <is>
          <t>Budget Gesamt (€)</t>
        </is>
      </c>
      <c r="O92" s="3" t="inlineStr">
        <is>
          <t>Budget Ist (€)</t>
        </is>
      </c>
      <c r="P92" s="3" t="inlineStr">
        <is>
          <t>Budget Erwirtschaftet (€)</t>
        </is>
      </c>
    </row>
    <row r="93">
      <c r="A93" s="4" t="inlineStr">
        <is>
          <t>0000 Sonderprojekt für Bonus</t>
        </is>
      </c>
      <c r="B93" s="4" t="inlineStr">
        <is>
          <t>Angebote-Ausschreibungen-Kalkulationen (max. 8h/Monat pro MA)</t>
        </is>
      </c>
      <c r="C93" s="4" t="inlineStr">
        <is>
          <t>M</t>
        </is>
      </c>
      <c r="D93" s="4" t="n">
        <v>8</v>
      </c>
      <c r="E93" s="4" t="n">
        <v>0.5</v>
      </c>
      <c r="F93" s="4" t="n">
        <v>0.5</v>
      </c>
      <c r="G93" s="17" t="n">
        <v>6.25</v>
      </c>
      <c r="H93" s="5" t="n"/>
      <c r="I93" s="5">
        <f>IF(H93=0,"",F93-H93)</f>
        <v/>
      </c>
      <c r="J93" s="4" t="n"/>
      <c r="K93" s="5">
        <f>IF('A. Kokott'!J85="S. Schüler",'A. Kokott'!I85,0)+IF('C. Trapp SV'!J56="S. Schüler",'C. Trapp SV'!I56,0)+IF('D. Brucker'!J33="S. Schüler",'D. Brucker'!I33,0)+IF('J. Dorn'!J83="S. Schüler",'J. Dorn'!I83,0)+IF('O. Haag BS-CAD'!J92="S. Schüler",'O. Haag BS-CAD'!I92,0)+IF('U. Sutter ADM'!J51="S. Schüler",'U. Sutter ADM'!I51,0)</f>
        <v/>
      </c>
      <c r="L93" s="11">
        <f>IF($B$2="-","",IF($B$2="Pauschale",IFERROR(INDEX('Projekt-Budget-Übersicht'!$H:$H,MATCH(A93,'Projekt-Budget-Übersicht'!$A:$A,0)),""),IF($B$2="SV",IFERROR(INDEX('Projekt-Budget-Übersicht'!$H:$H,MATCH(A93,'Projekt-Budget-Übersicht'!$A:$A,0)),""),IF($B$2="CAD",IFERROR(INDEX('Projekt-Budget-Übersicht'!$I:$I,MATCH(A93,'Projekt-Budget-Übersicht'!$A:$A,0)),""),IF($B$2="ADM",IFERROR(INDEX('Projekt-Budget-Übersicht'!$J:$J,MATCH(A93,'Projekt-Budget-Übersicht'!$A:$A,0)),""),"")))))</f>
        <v/>
      </c>
      <c r="M93" s="11">
        <f>IF($B$2="-","",L93*(F93+I93+K93))</f>
        <v/>
      </c>
      <c r="N93" s="11">
        <f>IFERROR(INDEX('Projekt-Budget-Übersicht'!$E:$E,MATCH(A93,'Projekt-Budget-Übersicht'!$A:$A,0)),"")</f>
        <v/>
      </c>
      <c r="O93" s="11" t="inlineStr"/>
      <c r="P93" s="11" t="inlineStr"/>
    </row>
    <row r="94">
      <c r="A94" s="13" t="inlineStr">
        <is>
          <t>4436.04 BTB Krankenhaus-Bergstraße-Viernheimer-Straße-2-Heppenheim</t>
        </is>
      </c>
      <c r="B94" s="4" t="inlineStr">
        <is>
          <t>5100-Beraten Planer ausführungsreife Lösungen….</t>
        </is>
      </c>
      <c r="C94" s="4" t="inlineStr">
        <is>
          <t>G</t>
        </is>
      </c>
      <c r="D94" s="4" t="n">
        <v>52</v>
      </c>
      <c r="E94" s="4" t="n">
        <v>201.5</v>
      </c>
      <c r="F94" s="4" t="n">
        <v>31.75</v>
      </c>
      <c r="G94" s="16" t="n">
        <v>387.5</v>
      </c>
      <c r="H94" s="5" t="n"/>
      <c r="I94" s="5">
        <f>IF(H94=0,"",F94-H94)</f>
        <v/>
      </c>
      <c r="J94" s="4" t="n"/>
      <c r="K94" s="5">
        <f>IF('C. Trapp SV'!J60="S. Schüler",'C. Trapp SV'!I60,0)</f>
        <v/>
      </c>
      <c r="L94" s="11">
        <f>IF($B$2="-","",IF($B$2="Pauschale",IFERROR(INDEX('Projekt-Budget-Übersicht'!$H:$H,MATCH(A94,'Projekt-Budget-Übersicht'!$A:$A,0)),""),IF($B$2="SV",IFERROR(INDEX('Projekt-Budget-Übersicht'!$H:$H,MATCH(A94,'Projekt-Budget-Übersicht'!$A:$A,0)),""),IF($B$2="CAD",IFERROR(INDEX('Projekt-Budget-Übersicht'!$I:$I,MATCH(A94,'Projekt-Budget-Übersicht'!$A:$A,0)),""),IF($B$2="ADM",IFERROR(INDEX('Projekt-Budget-Übersicht'!$J:$J,MATCH(A94,'Projekt-Budget-Übersicht'!$A:$A,0)),""),"")))))</f>
        <v/>
      </c>
      <c r="M94" s="11">
        <f>IF($B$2="-","",L94*(F94+I94+K94))</f>
        <v/>
      </c>
      <c r="N94" s="11">
        <f>IFERROR(INDEX('Projekt-Budget-Übersicht'!$E:$E,MATCH(A94,'Projekt-Budget-Übersicht'!$A:$A,0)),"")</f>
        <v/>
      </c>
      <c r="O94" s="11" t="inlineStr"/>
      <c r="P94" s="11" t="inlineStr"/>
    </row>
    <row r="95">
      <c r="A95" s="21" t="n"/>
      <c r="B95" s="4" t="inlineStr">
        <is>
          <t>5101-Mitwirken Koordination Fachplanung….</t>
        </is>
      </c>
      <c r="C95" s="4" t="inlineStr">
        <is>
          <t>G</t>
        </is>
      </c>
      <c r="D95" s="4" t="n">
        <v>21</v>
      </c>
      <c r="E95" s="4" t="n">
        <v>32.25</v>
      </c>
      <c r="F95" s="4" t="n">
        <v>1.5</v>
      </c>
      <c r="G95" s="16" t="n">
        <v>153.57</v>
      </c>
      <c r="H95" s="5" t="n"/>
      <c r="I95" s="5">
        <f>IF(H95=0,"",F95-H95)</f>
        <v/>
      </c>
      <c r="J95" s="4" t="n"/>
      <c r="K95" s="5" t="n">
        <v>0</v>
      </c>
      <c r="L95" s="11">
        <f>IF($B$2="-","",IF($B$2="Pauschale",IFERROR(INDEX('Projekt-Budget-Übersicht'!$H:$H,MATCH(A95,'Projekt-Budget-Übersicht'!$A:$A,0)),""),IF($B$2="SV",IFERROR(INDEX('Projekt-Budget-Übersicht'!$H:$H,MATCH(A95,'Projekt-Budget-Übersicht'!$A:$A,0)),""),IF($B$2="CAD",IFERROR(INDEX('Projekt-Budget-Übersicht'!$I:$I,MATCH(A95,'Projekt-Budget-Übersicht'!$A:$A,0)),""),IF($B$2="ADM",IFERROR(INDEX('Projekt-Budget-Übersicht'!$J:$J,MATCH(A95,'Projekt-Budget-Übersicht'!$A:$A,0)),""),"")))))</f>
        <v/>
      </c>
      <c r="M95" s="11">
        <f>IF($B$2="-","",L95*(F95+I95+K95))</f>
        <v/>
      </c>
      <c r="N95" s="11">
        <f>IFERROR(INDEX('Projekt-Budget-Übersicht'!$E:$E,MATCH(A95,'Projekt-Budget-Übersicht'!$A:$A,0)),"")</f>
        <v/>
      </c>
      <c r="O95" s="11" t="inlineStr"/>
      <c r="P95" s="11" t="inlineStr"/>
    </row>
    <row r="96">
      <c r="A96" s="15" t="n"/>
      <c r="B96" s="4" t="inlineStr">
        <is>
          <t>5103-Prüfen Baugenehmigung auf Widerspruch BSK....</t>
        </is>
      </c>
      <c r="C96" s="4" t="inlineStr">
        <is>
          <t>G</t>
        </is>
      </c>
      <c r="D96" s="4" t="n">
        <v>9.5</v>
      </c>
      <c r="E96" s="4" t="n">
        <v>5.5</v>
      </c>
      <c r="F96" s="4" t="n">
        <v>2.5</v>
      </c>
      <c r="G96" s="17" t="n">
        <v>57.89</v>
      </c>
      <c r="H96" s="5" t="n"/>
      <c r="I96" s="5">
        <f>IF(H96=0,"",F96-H96)</f>
        <v/>
      </c>
      <c r="J96" s="4" t="n"/>
      <c r="K96" s="5" t="n">
        <v>0</v>
      </c>
      <c r="L96" s="11">
        <f>IF($B$2="-","",IF($B$2="Pauschale",IFERROR(INDEX('Projekt-Budget-Übersicht'!$H:$H,MATCH(A96,'Projekt-Budget-Übersicht'!$A:$A,0)),""),IF($B$2="SV",IFERROR(INDEX('Projekt-Budget-Übersicht'!$H:$H,MATCH(A96,'Projekt-Budget-Übersicht'!$A:$A,0)),""),IF($B$2="CAD",IFERROR(INDEX('Projekt-Budget-Übersicht'!$I:$I,MATCH(A96,'Projekt-Budget-Übersicht'!$A:$A,0)),""),IF($B$2="ADM",IFERROR(INDEX('Projekt-Budget-Übersicht'!$J:$J,MATCH(A96,'Projekt-Budget-Übersicht'!$A:$A,0)),""),"")))))</f>
        <v/>
      </c>
      <c r="M96" s="11">
        <f>IF($B$2="-","",L96*(F96+I96+K96))</f>
        <v/>
      </c>
      <c r="N96" s="11">
        <f>IFERROR(INDEX('Projekt-Budget-Übersicht'!$E:$E,MATCH(A96,'Projekt-Budget-Übersicht'!$A:$A,0)),"")</f>
        <v/>
      </c>
      <c r="O96" s="11" t="inlineStr"/>
      <c r="P96" s="11" t="inlineStr"/>
    </row>
    <row r="97">
      <c r="A97" s="4" t="inlineStr">
        <is>
          <t>4436.043 FWP-NA003-KKH-Bergstraße-Viernheimer-Straße-2-Heppenheim-Bauphase+NB-BauteilG</t>
        </is>
      </c>
      <c r="B97" s="4" t="inlineStr">
        <is>
          <t>9200-Erstellen od. Prüfen Feuerwehrpläne….</t>
        </is>
      </c>
      <c r="C97" s="4" t="inlineStr">
        <is>
          <t>G</t>
        </is>
      </c>
      <c r="D97" s="4" t="n">
        <v>230</v>
      </c>
      <c r="E97" s="4" t="n">
        <v>140.25</v>
      </c>
      <c r="F97" s="4" t="n">
        <v>2.75</v>
      </c>
      <c r="G97" s="17" t="n">
        <v>60.98</v>
      </c>
      <c r="H97" s="5" t="n"/>
      <c r="I97" s="5">
        <f>IF(H97=0,"",F97-H97)</f>
        <v/>
      </c>
      <c r="J97" s="4" t="n"/>
      <c r="K97" s="5">
        <f>IF('A. Kokott'!J90="S. Schüler",'A. Kokott'!I90,0)+IF('M. Warner'!J24="S. Schüler",'M. Warner'!I24,0)</f>
        <v/>
      </c>
      <c r="L97" s="11">
        <f>IF($B$2="-","",IF($B$2="Pauschale",IFERROR(INDEX('Projekt-Budget-Übersicht'!$H:$H,MATCH(A97,'Projekt-Budget-Übersicht'!$A:$A,0)),""),IF($B$2="SV",IFERROR(INDEX('Projekt-Budget-Übersicht'!$H:$H,MATCH(A97,'Projekt-Budget-Übersicht'!$A:$A,0)),""),IF($B$2="CAD",IFERROR(INDEX('Projekt-Budget-Übersicht'!$I:$I,MATCH(A97,'Projekt-Budget-Übersicht'!$A:$A,0)),""),IF($B$2="ADM",IFERROR(INDEX('Projekt-Budget-Übersicht'!$J:$J,MATCH(A97,'Projekt-Budget-Übersicht'!$A:$A,0)),""),"")))))</f>
        <v/>
      </c>
      <c r="M97" s="11">
        <f>IF($B$2="-","",L97*(F97+I97+K97))</f>
        <v/>
      </c>
      <c r="N97" s="11">
        <f>IFERROR(INDEX('Projekt-Budget-Übersicht'!$E:$E,MATCH(A97,'Projekt-Budget-Übersicht'!$A:$A,0)),"")</f>
        <v/>
      </c>
      <c r="O97" s="11" t="inlineStr"/>
      <c r="P97" s="11" t="inlineStr"/>
    </row>
    <row r="98">
      <c r="A98" s="4" t="inlineStr">
        <is>
          <t>5607.07 Fortschr-QBS-NB-J4-Zentralinstitut-für-seelische-Gesundheit-Mannheim</t>
        </is>
      </c>
      <c r="B98" s="4" t="inlineStr">
        <is>
          <t>Fortschr. Brandfallsteuertabelle</t>
        </is>
      </c>
      <c r="C98" s="4" t="inlineStr">
        <is>
          <t>G</t>
        </is>
      </c>
      <c r="D98" s="4" t="n">
        <v>40</v>
      </c>
      <c r="E98" s="4" t="n">
        <v>70</v>
      </c>
      <c r="F98" s="4" t="n">
        <v>1</v>
      </c>
      <c r="G98" s="16" t="n">
        <v>175</v>
      </c>
      <c r="H98" s="5" t="n"/>
      <c r="I98" s="5">
        <f>IF(H98=0,"",F98-H98)</f>
        <v/>
      </c>
      <c r="J98" s="4" t="n"/>
      <c r="K98" s="5" t="n">
        <v>0</v>
      </c>
      <c r="L98" s="11">
        <f>IF($B$2="-","",IF($B$2="Pauschale",IFERROR(INDEX('Projekt-Budget-Übersicht'!$H:$H,MATCH(A98,'Projekt-Budget-Übersicht'!$A:$A,0)),""),IF($B$2="SV",IFERROR(INDEX('Projekt-Budget-Übersicht'!$H:$H,MATCH(A98,'Projekt-Budget-Übersicht'!$A:$A,0)),""),IF($B$2="CAD",IFERROR(INDEX('Projekt-Budget-Übersicht'!$I:$I,MATCH(A98,'Projekt-Budget-Übersicht'!$A:$A,0)),""),IF($B$2="ADM",IFERROR(INDEX('Projekt-Budget-Übersicht'!$J:$J,MATCH(A98,'Projekt-Budget-Übersicht'!$A:$A,0)),""),"")))))</f>
        <v/>
      </c>
      <c r="M98" s="11">
        <f>IF($B$2="-","",L98*(F98+I98+K98))</f>
        <v/>
      </c>
      <c r="N98" s="11">
        <f>IFERROR(INDEX('Projekt-Budget-Übersicht'!$E:$E,MATCH(A98,'Projekt-Budget-Übersicht'!$A:$A,0)),"")</f>
        <v/>
      </c>
      <c r="O98" s="11" t="inlineStr"/>
      <c r="P98" s="11" t="inlineStr"/>
    </row>
    <row r="99">
      <c r="A99" s="4" t="inlineStr">
        <is>
          <t>5607.15 BTB-2025-Zentralinstitut-für-seelische-Gesundheit-Mannheim</t>
        </is>
      </c>
      <c r="B99" s="4" t="inlineStr">
        <is>
          <t>3100-Erarbeiten des Brandschutzkonzept/Nachweis/Stellungnahme</t>
        </is>
      </c>
      <c r="C99" s="4" t="inlineStr">
        <is>
          <t>G</t>
        </is>
      </c>
      <c r="D99" s="4" t="n">
        <v>34</v>
      </c>
      <c r="E99" s="4" t="n">
        <v>13</v>
      </c>
      <c r="F99" s="4" t="n">
        <v>1.25</v>
      </c>
      <c r="G99" s="17" t="n">
        <v>38.24</v>
      </c>
      <c r="H99" s="5" t="n"/>
      <c r="I99" s="5">
        <f>IF(H99=0,"",F99-H99)</f>
        <v/>
      </c>
      <c r="J99" s="4" t="n"/>
      <c r="K99" s="5" t="n">
        <v>0</v>
      </c>
      <c r="L99" s="11">
        <f>IF($B$2="-","",IF($B$2="Pauschale",IFERROR(INDEX('Projekt-Budget-Übersicht'!$H:$H,MATCH(A99,'Projekt-Budget-Übersicht'!$A:$A,0)),""),IF($B$2="SV",IFERROR(INDEX('Projekt-Budget-Übersicht'!$H:$H,MATCH(A99,'Projekt-Budget-Übersicht'!$A:$A,0)),""),IF($B$2="CAD",IFERROR(INDEX('Projekt-Budget-Übersicht'!$I:$I,MATCH(A99,'Projekt-Budget-Übersicht'!$A:$A,0)),""),IF($B$2="ADM",IFERROR(INDEX('Projekt-Budget-Übersicht'!$J:$J,MATCH(A99,'Projekt-Budget-Übersicht'!$A:$A,0)),""),"")))))</f>
        <v/>
      </c>
      <c r="M99" s="11">
        <f>IF($B$2="-","",L99*(F99+I99+K99))</f>
        <v/>
      </c>
      <c r="N99" s="11">
        <f>IFERROR(INDEX('Projekt-Budget-Übersicht'!$E:$E,MATCH(A99,'Projekt-Budget-Übersicht'!$A:$A,0)),"")</f>
        <v/>
      </c>
      <c r="O99" s="11" t="inlineStr"/>
      <c r="P99" s="11" t="inlineStr"/>
    </row>
    <row r="100">
      <c r="A100" s="4" t="inlineStr">
        <is>
          <t>5875.061 John-Deere-Werk-Halle-N-HomburgerStr117-125-Zweibrücken</t>
        </is>
      </c>
      <c r="B100" s="4" t="inlineStr">
        <is>
          <t>(aN) Pos. 1 Ortstermin, Abstimmungen und BTB (SV)</t>
        </is>
      </c>
      <c r="C100" s="4" t="inlineStr">
        <is>
          <t>G</t>
        </is>
      </c>
      <c r="D100" s="4" t="n">
        <v>37</v>
      </c>
      <c r="E100" s="4" t="n">
        <v>1.5</v>
      </c>
      <c r="F100" s="4" t="n">
        <v>1.5</v>
      </c>
      <c r="G100" s="17" t="n">
        <v>4.05</v>
      </c>
      <c r="H100" s="5" t="n"/>
      <c r="I100" s="5">
        <f>IF(H100=0,"",F100-H100)</f>
        <v/>
      </c>
      <c r="J100" s="4" t="n"/>
      <c r="K100" s="5" t="n">
        <v>0</v>
      </c>
      <c r="L100" s="11">
        <f>IF($B$2="-","",IF($B$2="Pauschale",IFERROR(INDEX('Projekt-Budget-Übersicht'!$H:$H,MATCH(A100,'Projekt-Budget-Übersicht'!$A:$A,0)),""),IF($B$2="SV",IFERROR(INDEX('Projekt-Budget-Übersicht'!$H:$H,MATCH(A100,'Projekt-Budget-Übersicht'!$A:$A,0)),""),IF($B$2="CAD",IFERROR(INDEX('Projekt-Budget-Übersicht'!$I:$I,MATCH(A100,'Projekt-Budget-Übersicht'!$A:$A,0)),""),IF($B$2="ADM",IFERROR(INDEX('Projekt-Budget-Übersicht'!$J:$J,MATCH(A100,'Projekt-Budget-Übersicht'!$A:$A,0)),""),"")))))</f>
        <v/>
      </c>
      <c r="M100" s="11">
        <f>IF($B$2="-","",L100*(F100+I100+K100))</f>
        <v/>
      </c>
      <c r="N100" s="11">
        <f>IFERROR(INDEX('Projekt-Budget-Übersicht'!$E:$E,MATCH(A100,'Projekt-Budget-Übersicht'!$A:$A,0)),"")</f>
        <v/>
      </c>
      <c r="O100" s="11" t="inlineStr"/>
      <c r="P100" s="11" t="inlineStr"/>
    </row>
    <row r="101">
      <c r="A101" s="4" t="inlineStr">
        <is>
          <t>5875.071 John-Deere-BSK-Halle-R-HomburgerStr117-125-Zweibrücken-Pausencontainer</t>
        </is>
      </c>
      <c r="B101" s="4" t="inlineStr">
        <is>
          <t>SV</t>
        </is>
      </c>
      <c r="C101" s="4" t="inlineStr">
        <is>
          <t>G</t>
        </is>
      </c>
      <c r="D101" s="4" t="n">
        <v>84</v>
      </c>
      <c r="E101" s="4" t="n">
        <v>62.92</v>
      </c>
      <c r="F101" s="4" t="n">
        <v>2</v>
      </c>
      <c r="G101" s="17" t="n">
        <v>74.90000000000001</v>
      </c>
      <c r="H101" s="5" t="n"/>
      <c r="I101" s="5">
        <f>IF(H101=0,"",F101-H101)</f>
        <v/>
      </c>
      <c r="J101" s="4" t="n"/>
      <c r="K101" s="5" t="n">
        <v>0</v>
      </c>
      <c r="L101" s="11">
        <f>IF($B$2="-","",IF($B$2="Pauschale",IFERROR(INDEX('Projekt-Budget-Übersicht'!$H:$H,MATCH(A101,'Projekt-Budget-Übersicht'!$A:$A,0)),""),IF($B$2="SV",IFERROR(INDEX('Projekt-Budget-Übersicht'!$H:$H,MATCH(A101,'Projekt-Budget-Übersicht'!$A:$A,0)),""),IF($B$2="CAD",IFERROR(INDEX('Projekt-Budget-Übersicht'!$I:$I,MATCH(A101,'Projekt-Budget-Übersicht'!$A:$A,0)),""),IF($B$2="ADM",IFERROR(INDEX('Projekt-Budget-Übersicht'!$J:$J,MATCH(A101,'Projekt-Budget-Übersicht'!$A:$A,0)),""),"")))))</f>
        <v/>
      </c>
      <c r="M101" s="11">
        <f>IF($B$2="-","",L101*(F101+I101+K101))</f>
        <v/>
      </c>
      <c r="N101" s="11">
        <f>IFERROR(INDEX('Projekt-Budget-Übersicht'!$E:$E,MATCH(A101,'Projekt-Budget-Übersicht'!$A:$A,0)),"")</f>
        <v/>
      </c>
      <c r="O101" s="11" t="inlineStr"/>
      <c r="P101" s="11" t="inlineStr"/>
    </row>
    <row r="102">
      <c r="A102" s="4" t="inlineStr">
        <is>
          <t>5875.11 John-Deere-BSK-Halle-V-HomburgerStr117-125-Zweibrücken-Pausencontainer</t>
        </is>
      </c>
      <c r="B102" s="4" t="inlineStr">
        <is>
          <t>8100-Prüfen der Ausführung auf prinzipielle Übereinstimmung (Stufe 1)....</t>
        </is>
      </c>
      <c r="C102" s="4" t="inlineStr">
        <is>
          <t>G</t>
        </is>
      </c>
      <c r="D102" s="4" t="n">
        <v>40</v>
      </c>
      <c r="E102" s="4" t="n">
        <v>10.75</v>
      </c>
      <c r="F102" s="4" t="n">
        <v>7.25</v>
      </c>
      <c r="G102" s="17" t="n">
        <v>26.88</v>
      </c>
      <c r="H102" s="5" t="n"/>
      <c r="I102" s="5">
        <f>IF(H102=0,"",F102-H102)</f>
        <v/>
      </c>
      <c r="J102" s="4" t="n"/>
      <c r="K102" s="5" t="n">
        <v>0</v>
      </c>
      <c r="L102" s="11">
        <f>IF($B$2="-","",IF($B$2="Pauschale",IFERROR(INDEX('Projekt-Budget-Übersicht'!$H:$H,MATCH(A102,'Projekt-Budget-Übersicht'!$A:$A,0)),""),IF($B$2="SV",IFERROR(INDEX('Projekt-Budget-Übersicht'!$H:$H,MATCH(A102,'Projekt-Budget-Übersicht'!$A:$A,0)),""),IF($B$2="CAD",IFERROR(INDEX('Projekt-Budget-Übersicht'!$I:$I,MATCH(A102,'Projekt-Budget-Übersicht'!$A:$A,0)),""),IF($B$2="ADM",IFERROR(INDEX('Projekt-Budget-Übersicht'!$J:$J,MATCH(A102,'Projekt-Budget-Übersicht'!$A:$A,0)),""),"")))))</f>
        <v/>
      </c>
      <c r="M102" s="11">
        <f>IF($B$2="-","",L102*(F102+I102+K102))</f>
        <v/>
      </c>
      <c r="N102" s="11">
        <f>IFERROR(INDEX('Projekt-Budget-Übersicht'!$E:$E,MATCH(A102,'Projekt-Budget-Übersicht'!$A:$A,0)),"")</f>
        <v/>
      </c>
      <c r="O102" s="11" t="inlineStr"/>
      <c r="P102" s="11" t="inlineStr"/>
    </row>
    <row r="103">
      <c r="A103" s="4" t="inlineStr">
        <is>
          <t>5875.13 John-Deere-BSK-Halle-V-HomburgerStr117-125-Zweibrücken</t>
        </is>
      </c>
      <c r="B103" s="4" t="inlineStr">
        <is>
          <t>SV</t>
        </is>
      </c>
      <c r="C103" s="4" t="inlineStr">
        <is>
          <t>G</t>
        </is>
      </c>
      <c r="D103" s="4" t="n">
        <v>200</v>
      </c>
      <c r="E103" s="4" t="n">
        <v>27</v>
      </c>
      <c r="F103" s="4" t="n">
        <v>11.25</v>
      </c>
      <c r="G103" s="17" t="n">
        <v>13.5</v>
      </c>
      <c r="H103" s="5" t="n"/>
      <c r="I103" s="5">
        <f>IF(H103=0,"",F103-H103)</f>
        <v/>
      </c>
      <c r="J103" s="4" t="n"/>
      <c r="K103" s="5" t="n">
        <v>0</v>
      </c>
      <c r="L103" s="11">
        <f>IF($B$2="-","",IF($B$2="Pauschale",IFERROR(INDEX('Projekt-Budget-Übersicht'!$H:$H,MATCH(A103,'Projekt-Budget-Übersicht'!$A:$A,0)),""),IF($B$2="SV",IFERROR(INDEX('Projekt-Budget-Übersicht'!$H:$H,MATCH(A103,'Projekt-Budget-Übersicht'!$A:$A,0)),""),IF($B$2="CAD",IFERROR(INDEX('Projekt-Budget-Übersicht'!$I:$I,MATCH(A103,'Projekt-Budget-Übersicht'!$A:$A,0)),""),IF($B$2="ADM",IFERROR(INDEX('Projekt-Budget-Übersicht'!$J:$J,MATCH(A103,'Projekt-Budget-Übersicht'!$A:$A,0)),""),"")))))</f>
        <v/>
      </c>
      <c r="M103" s="11">
        <f>IF($B$2="-","",L103*(F103+I103+K103))</f>
        <v/>
      </c>
      <c r="N103" s="11">
        <f>IFERROR(INDEX('Projekt-Budget-Übersicht'!$E:$E,MATCH(A103,'Projekt-Budget-Übersicht'!$A:$A,0)),"")</f>
        <v/>
      </c>
      <c r="O103" s="11" t="inlineStr"/>
      <c r="P103" s="11" t="inlineStr"/>
    </row>
    <row r="104">
      <c r="A104" s="4" t="inlineStr">
        <is>
          <t>6377.04 IAV-BSK-Im-Kammertal10-Heimsheim</t>
        </is>
      </c>
      <c r="B104" s="4" t="inlineStr">
        <is>
          <t>SV</t>
        </is>
      </c>
      <c r="C104" s="4" t="inlineStr">
        <is>
          <t>G</t>
        </is>
      </c>
      <c r="D104" s="4" t="n">
        <v>22</v>
      </c>
      <c r="E104" s="4" t="n">
        <v>23.25</v>
      </c>
      <c r="F104" s="4" t="n">
        <v>19</v>
      </c>
      <c r="G104" s="16" t="n">
        <v>105.68</v>
      </c>
      <c r="H104" s="5" t="n"/>
      <c r="I104" s="5">
        <f>IF(H104=0,"",F104-H104)</f>
        <v/>
      </c>
      <c r="J104" s="4" t="n"/>
      <c r="K104" s="5">
        <f>IF('T. Trautmann'!J90="S. Schüler",'T. Trautmann'!I90,0)</f>
        <v/>
      </c>
      <c r="L104" s="11">
        <f>IF($B$2="-","",IF($B$2="Pauschale",IFERROR(INDEX('Projekt-Budget-Übersicht'!$H:$H,MATCH(A104,'Projekt-Budget-Übersicht'!$A:$A,0)),""),IF($B$2="SV",IFERROR(INDEX('Projekt-Budget-Übersicht'!$H:$H,MATCH(A104,'Projekt-Budget-Übersicht'!$A:$A,0)),""),IF($B$2="CAD",IFERROR(INDEX('Projekt-Budget-Übersicht'!$I:$I,MATCH(A104,'Projekt-Budget-Übersicht'!$A:$A,0)),""),IF($B$2="ADM",IFERROR(INDEX('Projekt-Budget-Übersicht'!$J:$J,MATCH(A104,'Projekt-Budget-Übersicht'!$A:$A,0)),""),"")))))</f>
        <v/>
      </c>
      <c r="M104" s="11">
        <f>IF($B$2="-","",L104*(F104+I104+K104))</f>
        <v/>
      </c>
      <c r="N104" s="11">
        <f>IFERROR(INDEX('Projekt-Budget-Übersicht'!$E:$E,MATCH(A104,'Projekt-Budget-Übersicht'!$A:$A,0)),"")</f>
        <v/>
      </c>
      <c r="O104" s="11" t="inlineStr"/>
      <c r="P104" s="11" t="inlineStr"/>
    </row>
    <row r="105">
      <c r="A105" s="13" t="inlineStr">
        <is>
          <t>6680.02 GSKOK-Heidelberg-Kopfklinik-LP3</t>
        </is>
      </c>
      <c r="B105" s="4" t="inlineStr">
        <is>
          <t>SV</t>
        </is>
      </c>
      <c r="C105" s="4" t="inlineStr">
        <is>
          <t>G</t>
        </is>
      </c>
      <c r="D105" s="4" t="n">
        <v>40</v>
      </c>
      <c r="E105" s="4" t="n">
        <v>167</v>
      </c>
      <c r="F105" s="4" t="n">
        <v>0.5</v>
      </c>
      <c r="G105" s="16" t="n">
        <v>417.5</v>
      </c>
      <c r="H105" s="5" t="n"/>
      <c r="I105" s="5">
        <f>IF(H105=0,"",F105-H105)</f>
        <v/>
      </c>
      <c r="J105" s="4" t="n"/>
      <c r="K105" s="5" t="n">
        <v>0</v>
      </c>
      <c r="L105" s="11">
        <f>IF($B$2="-","",IF($B$2="Pauschale",IFERROR(INDEX('Projekt-Budget-Übersicht'!$H:$H,MATCH(A105,'Projekt-Budget-Übersicht'!$A:$A,0)),""),IF($B$2="SV",IFERROR(INDEX('Projekt-Budget-Übersicht'!$H:$H,MATCH(A105,'Projekt-Budget-Übersicht'!$A:$A,0)),""),IF($B$2="CAD",IFERROR(INDEX('Projekt-Budget-Übersicht'!$I:$I,MATCH(A105,'Projekt-Budget-Übersicht'!$A:$A,0)),""),IF($B$2="ADM",IFERROR(INDEX('Projekt-Budget-Übersicht'!$J:$J,MATCH(A105,'Projekt-Budget-Übersicht'!$A:$A,0)),""),"")))))</f>
        <v/>
      </c>
      <c r="M105" s="11">
        <f>IF($B$2="-","",L105*(F105+I105+K105))</f>
        <v/>
      </c>
      <c r="N105" s="11">
        <f>IFERROR(INDEX('Projekt-Budget-Übersicht'!$E:$E,MATCH(A105,'Projekt-Budget-Übersicht'!$A:$A,0)),"")</f>
        <v/>
      </c>
      <c r="O105" s="11" t="inlineStr"/>
      <c r="P105" s="11" t="inlineStr"/>
    </row>
    <row r="106">
      <c r="A106" s="15" t="n"/>
      <c r="B106" s="4" t="inlineStr">
        <is>
          <t>Teilnahme an Besprechungen (noch nicht beauftragt)</t>
        </is>
      </c>
      <c r="C106" s="4" t="inlineStr">
        <is>
          <t>G</t>
        </is>
      </c>
      <c r="D106" s="4" t="n">
        <v>0</v>
      </c>
      <c r="E106" s="4" t="n">
        <v>139.75</v>
      </c>
      <c r="F106" s="4" t="n">
        <v>8.25</v>
      </c>
      <c r="G106" s="4" t="n">
        <v>0</v>
      </c>
      <c r="H106" s="5" t="n"/>
      <c r="I106" s="5">
        <f>IF(H106=0,"",F106-H106)</f>
        <v/>
      </c>
      <c r="J106" s="4" t="n"/>
      <c r="K106" s="5">
        <f>IF('T. Trautmann'!J92="S. Schüler",'T. Trautmann'!I92,0)</f>
        <v/>
      </c>
      <c r="L106" s="11">
        <f>IF($B$2="-","",IF($B$2="Pauschale",IFERROR(INDEX('Projekt-Budget-Übersicht'!$H:$H,MATCH(A106,'Projekt-Budget-Übersicht'!$A:$A,0)),""),IF($B$2="SV",IFERROR(INDEX('Projekt-Budget-Übersicht'!$H:$H,MATCH(A106,'Projekt-Budget-Übersicht'!$A:$A,0)),""),IF($B$2="CAD",IFERROR(INDEX('Projekt-Budget-Übersicht'!$I:$I,MATCH(A106,'Projekt-Budget-Übersicht'!$A:$A,0)),""),IF($B$2="ADM",IFERROR(INDEX('Projekt-Budget-Übersicht'!$J:$J,MATCH(A106,'Projekt-Budget-Übersicht'!$A:$A,0)),""),"")))))</f>
        <v/>
      </c>
      <c r="M106" s="11">
        <f>IF($B$2="-","",L106*(F106+I106+K106))</f>
        <v/>
      </c>
      <c r="N106" s="11">
        <f>IFERROR(INDEX('Projekt-Budget-Übersicht'!$E:$E,MATCH(A106,'Projekt-Budget-Übersicht'!$A:$A,0)),"")</f>
        <v/>
      </c>
      <c r="O106" s="11" t="inlineStr"/>
      <c r="P106" s="11" t="inlineStr"/>
    </row>
    <row r="107">
      <c r="A107" s="4" t="inlineStr">
        <is>
          <t>6995 Telehouse-BSK-TDE-RZ-GebN-Kleyerstraße75-89-FFM</t>
        </is>
      </c>
      <c r="B107" s="4" t="inlineStr">
        <is>
          <t>Prüfen der Ausführung auf prinzipielle Übereinstimmung (Stufe 1)....</t>
        </is>
      </c>
      <c r="C107" s="4" t="inlineStr">
        <is>
          <t>G</t>
        </is>
      </c>
      <c r="D107" s="4" t="n">
        <v>80</v>
      </c>
      <c r="E107" s="4" t="n">
        <v>15.25</v>
      </c>
      <c r="F107" s="4" t="n">
        <v>3.5</v>
      </c>
      <c r="G107" s="17" t="n">
        <v>19.06</v>
      </c>
      <c r="H107" s="5" t="n"/>
      <c r="I107" s="5">
        <f>IF(H107=0,"",F107-H107)</f>
        <v/>
      </c>
      <c r="J107" s="4" t="n"/>
      <c r="K107" s="5" t="n">
        <v>0</v>
      </c>
      <c r="L107" s="11">
        <f>IF($B$2="-","",IF($B$2="Pauschale",IFERROR(INDEX('Projekt-Budget-Übersicht'!$H:$H,MATCH(A107,'Projekt-Budget-Übersicht'!$A:$A,0)),""),IF($B$2="SV",IFERROR(INDEX('Projekt-Budget-Übersicht'!$H:$H,MATCH(A107,'Projekt-Budget-Übersicht'!$A:$A,0)),""),IF($B$2="CAD",IFERROR(INDEX('Projekt-Budget-Übersicht'!$I:$I,MATCH(A107,'Projekt-Budget-Übersicht'!$A:$A,0)),""),IF($B$2="ADM",IFERROR(INDEX('Projekt-Budget-Übersicht'!$J:$J,MATCH(A107,'Projekt-Budget-Übersicht'!$A:$A,0)),""),"")))))</f>
        <v/>
      </c>
      <c r="M107" s="11">
        <f>IF($B$2="-","",L107*(F107+I107+K107))</f>
        <v/>
      </c>
      <c r="N107" s="11">
        <f>IFERROR(INDEX('Projekt-Budget-Übersicht'!$E:$E,MATCH(A107,'Projekt-Budget-Übersicht'!$A:$A,0)),"")</f>
        <v/>
      </c>
      <c r="O107" s="11" t="inlineStr"/>
      <c r="P107" s="11" t="inlineStr"/>
    </row>
    <row r="108">
      <c r="A108" s="4" t="inlineStr">
        <is>
          <t>7241 GemFreisen-BSP-Umbau-Sanierung-Festhalle-Oberkirchen-Freisen</t>
        </is>
      </c>
      <c r="B108" s="4" t="inlineStr">
        <is>
          <t>(p) Lph. 5 (Ausführungsplanung)</t>
        </is>
      </c>
      <c r="C108" s="4" t="inlineStr">
        <is>
          <t>G</t>
        </is>
      </c>
      <c r="D108" s="4" t="n">
        <v>26</v>
      </c>
      <c r="E108" s="4" t="n">
        <v>38.5</v>
      </c>
      <c r="F108" s="4" t="n">
        <v>0.25</v>
      </c>
      <c r="G108" s="16" t="n">
        <v>148.08</v>
      </c>
      <c r="H108" s="5" t="n"/>
      <c r="I108" s="5">
        <f>IF(H108=0,"",F108-H108)</f>
        <v/>
      </c>
      <c r="J108" s="4" t="n"/>
      <c r="K108" s="5" t="n">
        <v>0</v>
      </c>
      <c r="L108" s="11">
        <f>IF($B$2="-","",IF($B$2="Pauschale",IFERROR(INDEX('Projekt-Budget-Übersicht'!$H:$H,MATCH(A108,'Projekt-Budget-Übersicht'!$A:$A,0)),""),IF($B$2="SV",IFERROR(INDEX('Projekt-Budget-Übersicht'!$H:$H,MATCH(A108,'Projekt-Budget-Übersicht'!$A:$A,0)),""),IF($B$2="CAD",IFERROR(INDEX('Projekt-Budget-Übersicht'!$I:$I,MATCH(A108,'Projekt-Budget-Übersicht'!$A:$A,0)),""),IF($B$2="ADM",IFERROR(INDEX('Projekt-Budget-Übersicht'!$J:$J,MATCH(A108,'Projekt-Budget-Übersicht'!$A:$A,0)),""),"")))))</f>
        <v/>
      </c>
      <c r="M108" s="11">
        <f>IF($B$2="-","",L108*(F108+I108+K108))</f>
        <v/>
      </c>
      <c r="N108" s="11">
        <f>IFERROR(INDEX('Projekt-Budget-Übersicht'!$E:$E,MATCH(A108,'Projekt-Budget-Übersicht'!$A:$A,0)),"")</f>
        <v/>
      </c>
      <c r="O108" s="11" t="inlineStr"/>
      <c r="P108" s="11" t="inlineStr"/>
    </row>
    <row r="109">
      <c r="A109" s="4" t="inlineStr">
        <is>
          <t>7247 Hoepfner-BTB-NL-Grünwinkel</t>
        </is>
      </c>
      <c r="B109" s="4" t="inlineStr">
        <is>
          <t>(aN) Pos. 1 Brandschutztechnische Beratung und SOLL-IST-Abgleich (SV)</t>
        </is>
      </c>
      <c r="C109" s="4" t="inlineStr">
        <is>
          <t>G</t>
        </is>
      </c>
      <c r="D109" s="4" t="n">
        <v>100</v>
      </c>
      <c r="E109" s="4" t="n">
        <v>26.5</v>
      </c>
      <c r="F109" s="4" t="n">
        <v>6.75</v>
      </c>
      <c r="G109" s="17" t="n">
        <v>26.5</v>
      </c>
      <c r="H109" s="5" t="n"/>
      <c r="I109" s="5">
        <f>IF(H109=0,"",F109-H109)</f>
        <v/>
      </c>
      <c r="J109" s="4" t="n"/>
      <c r="K109" s="5">
        <f>IF('A. Kokott'!J109="S. Schüler",'A. Kokott'!I109,0)</f>
        <v/>
      </c>
      <c r="L109" s="11">
        <f>IF($B$2="-","",IF($B$2="Pauschale",IFERROR(INDEX('Projekt-Budget-Übersicht'!$H:$H,MATCH(A109,'Projekt-Budget-Übersicht'!$A:$A,0)),""),IF($B$2="SV",IFERROR(INDEX('Projekt-Budget-Übersicht'!$H:$H,MATCH(A109,'Projekt-Budget-Übersicht'!$A:$A,0)),""),IF($B$2="CAD",IFERROR(INDEX('Projekt-Budget-Übersicht'!$I:$I,MATCH(A109,'Projekt-Budget-Übersicht'!$A:$A,0)),""),IF($B$2="ADM",IFERROR(INDEX('Projekt-Budget-Übersicht'!$J:$J,MATCH(A109,'Projekt-Budget-Übersicht'!$A:$A,0)),""),"")))))</f>
        <v/>
      </c>
      <c r="M109" s="11">
        <f>IF($B$2="-","",L109*(F109+I109+K109))</f>
        <v/>
      </c>
      <c r="N109" s="11">
        <f>IFERROR(INDEX('Projekt-Budget-Übersicht'!$E:$E,MATCH(A109,'Projekt-Budget-Übersicht'!$A:$A,0)),"")</f>
        <v/>
      </c>
      <c r="O109" s="11" t="inlineStr"/>
      <c r="P109" s="11" t="inlineStr"/>
    </row>
    <row r="110">
      <c r="A110" s="4" t="inlineStr">
        <is>
          <t>7247.01 Hoepfner-BST-Zentrale-Karlsruhe</t>
        </is>
      </c>
      <c r="B110" s="4" t="inlineStr">
        <is>
          <t>2302-Beratungsleistungen in der Planungsphase...</t>
        </is>
      </c>
      <c r="C110" s="4" t="inlineStr">
        <is>
          <t>G</t>
        </is>
      </c>
      <c r="D110" s="4" t="n">
        <v>25</v>
      </c>
      <c r="E110" s="4" t="n">
        <v>2.25</v>
      </c>
      <c r="F110" s="4" t="n">
        <v>1</v>
      </c>
      <c r="G110" s="17" t="n">
        <v>9</v>
      </c>
      <c r="H110" s="5" t="n"/>
      <c r="I110" s="5">
        <f>IF(H110=0,"",F110-H110)</f>
        <v/>
      </c>
      <c r="J110" s="4" t="n"/>
      <c r="K110" s="5" t="n">
        <v>0</v>
      </c>
      <c r="L110" s="11">
        <f>IF($B$2="-","",IF($B$2="Pauschale",IFERROR(INDEX('Projekt-Budget-Übersicht'!$H:$H,MATCH(A110,'Projekt-Budget-Übersicht'!$A:$A,0)),""),IF($B$2="SV",IFERROR(INDEX('Projekt-Budget-Übersicht'!$H:$H,MATCH(A110,'Projekt-Budget-Übersicht'!$A:$A,0)),""),IF($B$2="CAD",IFERROR(INDEX('Projekt-Budget-Übersicht'!$I:$I,MATCH(A110,'Projekt-Budget-Übersicht'!$A:$A,0)),""),IF($B$2="ADM",IFERROR(INDEX('Projekt-Budget-Übersicht'!$J:$J,MATCH(A110,'Projekt-Budget-Übersicht'!$A:$A,0)),""),"")))))</f>
        <v/>
      </c>
      <c r="M110" s="11">
        <f>IF($B$2="-","",L110*(F110+I110+K110))</f>
        <v/>
      </c>
      <c r="N110" s="11">
        <f>IFERROR(INDEX('Projekt-Budget-Übersicht'!$E:$E,MATCH(A110,'Projekt-Budget-Übersicht'!$A:$A,0)),"")</f>
        <v/>
      </c>
      <c r="O110" s="11" t="inlineStr"/>
      <c r="P110" s="11" t="inlineStr"/>
    </row>
    <row r="111">
      <c r="A111" s="4" t="inlineStr">
        <is>
          <t>7330 LBB-IO-AHO-Truppenübungsplatz-NB-Schießhaus-Smith-Barracks-Baumholder</t>
        </is>
      </c>
      <c r="B111" s="4" t="inlineStr">
        <is>
          <t>Pos. 1.80 GL (SV)</t>
        </is>
      </c>
      <c r="C111" s="4" t="inlineStr">
        <is>
          <t>G</t>
        </is>
      </c>
      <c r="D111" s="4" t="n">
        <v>20.5</v>
      </c>
      <c r="E111" s="4" t="n">
        <v>5</v>
      </c>
      <c r="F111" s="4" t="n">
        <v>1.25</v>
      </c>
      <c r="G111" s="17" t="n">
        <v>24.39</v>
      </c>
      <c r="H111" s="5" t="n"/>
      <c r="I111" s="5">
        <f>IF(H111=0,"",F111-H111)</f>
        <v/>
      </c>
      <c r="J111" s="4" t="n"/>
      <c r="K111" s="5" t="n">
        <v>0</v>
      </c>
      <c r="L111" s="11">
        <f>IF($B$2="-","",IF($B$2="Pauschale",IFERROR(INDEX('Projekt-Budget-Übersicht'!$H:$H,MATCH(A111,'Projekt-Budget-Übersicht'!$A:$A,0)),""),IF($B$2="SV",IFERROR(INDEX('Projekt-Budget-Übersicht'!$H:$H,MATCH(A111,'Projekt-Budget-Übersicht'!$A:$A,0)),""),IF($B$2="CAD",IFERROR(INDEX('Projekt-Budget-Übersicht'!$I:$I,MATCH(A111,'Projekt-Budget-Übersicht'!$A:$A,0)),""),IF($B$2="ADM",IFERROR(INDEX('Projekt-Budget-Übersicht'!$J:$J,MATCH(A111,'Projekt-Budget-Übersicht'!$A:$A,0)),""),"")))))</f>
        <v/>
      </c>
      <c r="M111" s="11">
        <f>IF($B$2="-","",L111*(F111+I111+K111))</f>
        <v/>
      </c>
      <c r="N111" s="11">
        <f>IFERROR(INDEX('Projekt-Budget-Übersicht'!$E:$E,MATCH(A111,'Projekt-Budget-Übersicht'!$A:$A,0)),"")</f>
        <v/>
      </c>
      <c r="O111" s="11" t="inlineStr"/>
      <c r="P111" s="11" t="inlineStr"/>
    </row>
    <row r="112">
      <c r="A112" s="4" t="inlineStr">
        <is>
          <t>7346.01 NAT-BSK-Flughafenstraße-6a-6h-Frankfurt-TG</t>
        </is>
      </c>
      <c r="B112" s="4" t="inlineStr">
        <is>
          <t>4100-Erläuterungsbericht Rechtsgrundlagen….</t>
        </is>
      </c>
      <c r="C112" s="4" t="inlineStr">
        <is>
          <t>G</t>
        </is>
      </c>
      <c r="D112" s="4" t="n">
        <v>15</v>
      </c>
      <c r="E112" s="4" t="n">
        <v>4</v>
      </c>
      <c r="F112" s="4" t="n">
        <v>1</v>
      </c>
      <c r="G112" s="17" t="n">
        <v>26.67</v>
      </c>
      <c r="H112" s="5" t="n"/>
      <c r="I112" s="5">
        <f>IF(H112=0,"",F112-H112)</f>
        <v/>
      </c>
      <c r="J112" s="4" t="n"/>
      <c r="K112" s="5" t="n">
        <v>0</v>
      </c>
      <c r="L112" s="11">
        <f>IF($B$2="-","",IF($B$2="Pauschale",IFERROR(INDEX('Projekt-Budget-Übersicht'!$H:$H,MATCH(A112,'Projekt-Budget-Übersicht'!$A:$A,0)),""),IF($B$2="SV",IFERROR(INDEX('Projekt-Budget-Übersicht'!$H:$H,MATCH(A112,'Projekt-Budget-Übersicht'!$A:$A,0)),""),IF($B$2="CAD",IFERROR(INDEX('Projekt-Budget-Übersicht'!$I:$I,MATCH(A112,'Projekt-Budget-Übersicht'!$A:$A,0)),""),IF($B$2="ADM",IFERROR(INDEX('Projekt-Budget-Übersicht'!$J:$J,MATCH(A112,'Projekt-Budget-Übersicht'!$A:$A,0)),""),"")))))</f>
        <v/>
      </c>
      <c r="M112" s="11">
        <f>IF($B$2="-","",L112*(F112+I112+K112))</f>
        <v/>
      </c>
      <c r="N112" s="11">
        <f>IFERROR(INDEX('Projekt-Budget-Übersicht'!$E:$E,MATCH(A112,'Projekt-Budget-Übersicht'!$A:$A,0)),"")</f>
        <v/>
      </c>
      <c r="O112" s="11" t="inlineStr"/>
      <c r="P112" s="11" t="inlineStr"/>
    </row>
    <row r="113">
      <c r="A113" s="4" t="inlineStr">
        <is>
          <t>7414 HJVV-BSK-NB-Wohnanlage-Trier-Ehrang</t>
        </is>
      </c>
      <c r="B113" s="4" t="inlineStr">
        <is>
          <t>(aN) Pos. 1 BTB + Abstimmungstermine (SV ~40h á 115€/h) 4.600€</t>
        </is>
      </c>
      <c r="C113" s="4" t="inlineStr">
        <is>
          <t>G</t>
        </is>
      </c>
      <c r="D113" s="4" t="n">
        <v>40</v>
      </c>
      <c r="E113" s="4" t="n">
        <v>36.75</v>
      </c>
      <c r="F113" s="4" t="n">
        <v>7.5</v>
      </c>
      <c r="G113" s="14" t="n">
        <v>91.88</v>
      </c>
      <c r="H113" s="5" t="n"/>
      <c r="I113" s="5">
        <f>IF(H113=0,"",F113-H113)</f>
        <v/>
      </c>
      <c r="J113" s="4" t="n"/>
      <c r="K113" s="5">
        <f>IF('D. Brucker'!J37="S. Schüler",'D. Brucker'!I37,0)</f>
        <v/>
      </c>
      <c r="L113" s="11">
        <f>IF($B$2="-","",IF($B$2="Pauschale",IFERROR(INDEX('Projekt-Budget-Übersicht'!$H:$H,MATCH(A113,'Projekt-Budget-Übersicht'!$A:$A,0)),""),IF($B$2="SV",IFERROR(INDEX('Projekt-Budget-Übersicht'!$H:$H,MATCH(A113,'Projekt-Budget-Übersicht'!$A:$A,0)),""),IF($B$2="CAD",IFERROR(INDEX('Projekt-Budget-Übersicht'!$I:$I,MATCH(A113,'Projekt-Budget-Übersicht'!$A:$A,0)),""),IF($B$2="ADM",IFERROR(INDEX('Projekt-Budget-Übersicht'!$J:$J,MATCH(A113,'Projekt-Budget-Übersicht'!$A:$A,0)),""),"")))))</f>
        <v/>
      </c>
      <c r="M113" s="11">
        <f>IF($B$2="-","",L113*(F113+I113+K113))</f>
        <v/>
      </c>
      <c r="N113" s="11">
        <f>IFERROR(INDEX('Projekt-Budget-Übersicht'!$E:$E,MATCH(A113,'Projekt-Budget-Übersicht'!$A:$A,0)),"")</f>
        <v/>
      </c>
      <c r="O113" s="11" t="inlineStr"/>
      <c r="P113" s="11" t="inlineStr"/>
    </row>
    <row r="114">
      <c r="A114" s="4" t="inlineStr">
        <is>
          <t>7436 JC-Samurai-BSK-Neubau-Sportstätte-Gravenbruchweg1-Offenbach</t>
        </is>
      </c>
      <c r="B114" s="4" t="inlineStr">
        <is>
          <t>SV</t>
        </is>
      </c>
      <c r="C114" s="4" t="inlineStr">
        <is>
          <t>G</t>
        </is>
      </c>
      <c r="D114" s="4" t="n">
        <v>47</v>
      </c>
      <c r="E114" s="4" t="n">
        <v>24.5</v>
      </c>
      <c r="F114" s="4" t="n">
        <v>0.25</v>
      </c>
      <c r="G114" s="17" t="n">
        <v>52.13</v>
      </c>
      <c r="H114" s="5" t="n"/>
      <c r="I114" s="5">
        <f>IF(H114=0,"",F114-H114)</f>
        <v/>
      </c>
      <c r="J114" s="4" t="n"/>
      <c r="K114" s="5" t="n">
        <v>0</v>
      </c>
      <c r="L114" s="11">
        <f>IF($B$2="-","",IF($B$2="Pauschale",IFERROR(INDEX('Projekt-Budget-Übersicht'!$H:$H,MATCH(A114,'Projekt-Budget-Übersicht'!$A:$A,0)),""),IF($B$2="SV",IFERROR(INDEX('Projekt-Budget-Übersicht'!$H:$H,MATCH(A114,'Projekt-Budget-Übersicht'!$A:$A,0)),""),IF($B$2="CAD",IFERROR(INDEX('Projekt-Budget-Übersicht'!$I:$I,MATCH(A114,'Projekt-Budget-Übersicht'!$A:$A,0)),""),IF($B$2="ADM",IFERROR(INDEX('Projekt-Budget-Übersicht'!$J:$J,MATCH(A114,'Projekt-Budget-Übersicht'!$A:$A,0)),""),"")))))</f>
        <v/>
      </c>
      <c r="M114" s="11">
        <f>IF($B$2="-","",L114*(F114+I114+K114))</f>
        <v/>
      </c>
      <c r="N114" s="11">
        <f>IFERROR(INDEX('Projekt-Budget-Übersicht'!$E:$E,MATCH(A114,'Projekt-Budget-Übersicht'!$A:$A,0)),"")</f>
        <v/>
      </c>
      <c r="O114" s="11" t="inlineStr"/>
      <c r="P114" s="11" t="inlineStr"/>
    </row>
    <row r="115">
      <c r="A115" s="4" t="inlineStr">
        <is>
          <t>7497 Fichter-BTB-Dachsanierung-Kettlerstraße44-Ludwigshafen</t>
        </is>
      </c>
      <c r="B115" s="4" t="inlineStr">
        <is>
          <t>(aN) Pos. 1 Brandschutztechnische Beratung während der Planungsphase (SV)</t>
        </is>
      </c>
      <c r="C115" s="4" t="inlineStr">
        <is>
          <t>G</t>
        </is>
      </c>
      <c r="D115" s="4" t="n">
        <v>6</v>
      </c>
      <c r="E115" s="4" t="n">
        <v>2.75</v>
      </c>
      <c r="F115" s="4" t="n">
        <v>1.5</v>
      </c>
      <c r="G115" s="17" t="n">
        <v>45.83</v>
      </c>
      <c r="H115" s="5" t="n"/>
      <c r="I115" s="5">
        <f>IF(H115=0,"",F115-H115)</f>
        <v/>
      </c>
      <c r="J115" s="4" t="n"/>
      <c r="K115" s="5" t="n">
        <v>0</v>
      </c>
      <c r="L115" s="11">
        <f>IF($B$2="-","",IF($B$2="Pauschale",IFERROR(INDEX('Projekt-Budget-Übersicht'!$H:$H,MATCH(A115,'Projekt-Budget-Übersicht'!$A:$A,0)),""),IF($B$2="SV",IFERROR(INDEX('Projekt-Budget-Übersicht'!$H:$H,MATCH(A115,'Projekt-Budget-Übersicht'!$A:$A,0)),""),IF($B$2="CAD",IFERROR(INDEX('Projekt-Budget-Übersicht'!$I:$I,MATCH(A115,'Projekt-Budget-Übersicht'!$A:$A,0)),""),IF($B$2="ADM",IFERROR(INDEX('Projekt-Budget-Übersicht'!$J:$J,MATCH(A115,'Projekt-Budget-Übersicht'!$A:$A,0)),""),"")))))</f>
        <v/>
      </c>
      <c r="M115" s="11">
        <f>IF($B$2="-","",L115*(F115+I115+K115))</f>
        <v/>
      </c>
      <c r="N115" s="11">
        <f>IFERROR(INDEX('Projekt-Budget-Übersicht'!$E:$E,MATCH(A115,'Projekt-Budget-Übersicht'!$A:$A,0)),"")</f>
        <v/>
      </c>
      <c r="O115" s="11" t="inlineStr"/>
      <c r="P115" s="11" t="inlineStr"/>
    </row>
    <row r="116">
      <c r="A116" s="13" t="inlineStr">
        <is>
          <t>7518 LBB-KL-AHO-Instandsetzung-Geb3205-Kleber-Kaserne-KL</t>
        </is>
      </c>
      <c r="B116" s="4" t="inlineStr">
        <is>
          <t>1.1  Grundlagenermittlung Regelleistungen</t>
        </is>
      </c>
      <c r="C116" s="4" t="inlineStr">
        <is>
          <t>G</t>
        </is>
      </c>
      <c r="D116" s="4" t="n">
        <v>0</v>
      </c>
      <c r="E116" s="4" t="n">
        <v>0</v>
      </c>
      <c r="F116" s="4" t="n">
        <v>0.5</v>
      </c>
      <c r="G116" s="4" t="n">
        <v>0</v>
      </c>
      <c r="H116" s="5" t="n"/>
      <c r="I116" s="5">
        <f>IF(H116=0,"",F116-H116)</f>
        <v/>
      </c>
      <c r="J116" s="4" t="n"/>
      <c r="K116" s="5" t="n">
        <v>0</v>
      </c>
      <c r="L116" s="11">
        <f>IF($B$2="-","",IF($B$2="Pauschale",IFERROR(INDEX('Projekt-Budget-Übersicht'!$H:$H,MATCH(A116,'Projekt-Budget-Übersicht'!$A:$A,0)),""),IF($B$2="SV",IFERROR(INDEX('Projekt-Budget-Übersicht'!$H:$H,MATCH(A116,'Projekt-Budget-Übersicht'!$A:$A,0)),""),IF($B$2="CAD",IFERROR(INDEX('Projekt-Budget-Übersicht'!$I:$I,MATCH(A116,'Projekt-Budget-Übersicht'!$A:$A,0)),""),IF($B$2="ADM",IFERROR(INDEX('Projekt-Budget-Übersicht'!$J:$J,MATCH(A116,'Projekt-Budget-Übersicht'!$A:$A,0)),""),"")))))</f>
        <v/>
      </c>
      <c r="M116" s="11">
        <f>IF($B$2="-","",L116*(F116+I116+K116))</f>
        <v/>
      </c>
      <c r="N116" s="11">
        <f>IFERROR(INDEX('Projekt-Budget-Übersicht'!$E:$E,MATCH(A116,'Projekt-Budget-Übersicht'!$A:$A,0)),"")</f>
        <v/>
      </c>
      <c r="O116" s="11" t="inlineStr"/>
      <c r="P116" s="11" t="inlineStr"/>
    </row>
    <row r="117">
      <c r="A117" s="15" t="n"/>
      <c r="B117" s="4" t="inlineStr">
        <is>
          <t>1.2. Grundlagenermittlung optionale Leistung</t>
        </is>
      </c>
      <c r="C117" s="4" t="inlineStr">
        <is>
          <t>G</t>
        </is>
      </c>
      <c r="D117" s="4" t="n">
        <v>0</v>
      </c>
      <c r="E117" s="4" t="n">
        <v>0</v>
      </c>
      <c r="F117" s="4" t="n">
        <v>6.25</v>
      </c>
      <c r="G117" s="4" t="n">
        <v>0</v>
      </c>
      <c r="H117" s="5" t="n"/>
      <c r="I117" s="5">
        <f>IF(H117=0,"",F117-H117)</f>
        <v/>
      </c>
      <c r="J117" s="4" t="n"/>
      <c r="K117" s="5" t="n">
        <v>0</v>
      </c>
      <c r="L117" s="11">
        <f>IF($B$2="-","",IF($B$2="Pauschale",IFERROR(INDEX('Projekt-Budget-Übersicht'!$H:$H,MATCH(A117,'Projekt-Budget-Übersicht'!$A:$A,0)),""),IF($B$2="SV",IFERROR(INDEX('Projekt-Budget-Übersicht'!$H:$H,MATCH(A117,'Projekt-Budget-Übersicht'!$A:$A,0)),""),IF($B$2="CAD",IFERROR(INDEX('Projekt-Budget-Übersicht'!$I:$I,MATCH(A117,'Projekt-Budget-Übersicht'!$A:$A,0)),""),IF($B$2="ADM",IFERROR(INDEX('Projekt-Budget-Übersicht'!$J:$J,MATCH(A117,'Projekt-Budget-Übersicht'!$A:$A,0)),""),"")))))</f>
        <v/>
      </c>
      <c r="M117" s="11">
        <f>IF($B$2="-","",L117*(F117+I117+K117))</f>
        <v/>
      </c>
      <c r="N117" s="11">
        <f>IFERROR(INDEX('Projekt-Budget-Übersicht'!$E:$E,MATCH(A117,'Projekt-Budget-Übersicht'!$A:$A,0)),"")</f>
        <v/>
      </c>
      <c r="O117" s="11" t="inlineStr"/>
      <c r="P117" s="11" t="inlineStr"/>
    </row>
    <row r="118">
      <c r="A118" s="3" t="inlineStr"/>
      <c r="B118" s="3" t="inlineStr">
        <is>
          <t>Summe</t>
        </is>
      </c>
      <c r="C118" s="3" t="inlineStr"/>
      <c r="D118" s="3" t="inlineStr"/>
      <c r="E118" s="3" t="inlineStr"/>
      <c r="F118" s="6" t="n">
        <v>120.75</v>
      </c>
      <c r="G118" s="3" t="inlineStr"/>
      <c r="H118" s="3" t="inlineStr"/>
      <c r="I118" s="3" t="inlineStr"/>
      <c r="J118" s="3" t="inlineStr"/>
      <c r="K118" s="3" t="inlineStr"/>
      <c r="L118" s="3" t="n"/>
      <c r="M118" s="3" t="n"/>
      <c r="N118" s="3" t="n"/>
      <c r="O118" s="3" t="n"/>
      <c r="P118" s="3" t="n"/>
    </row>
    <row r="119">
      <c r="A119" s="3" t="inlineStr"/>
      <c r="B119" s="3" t="inlineStr">
        <is>
          <t>Bonusberechtigte Stunden</t>
        </is>
      </c>
      <c r="C119" s="3" t="inlineStr"/>
      <c r="D119" s="3" t="inlineStr"/>
      <c r="E119" s="3" t="inlineStr"/>
      <c r="F119" s="6">
        <f>G119+H119</f>
        <v/>
      </c>
      <c r="G119" s="6" t="n">
        <v>66.25</v>
      </c>
      <c r="H119" s="6">
        <f>SUM(H94,H95,H96,H97,H98,H99,H100,H101,H102,H103,H104,H105,H106,H107,H108,H109,H110,H111,H112,H113,H114,H115,H116,H117)</f>
        <v/>
      </c>
      <c r="I119" s="3" t="inlineStr"/>
      <c r="J119" s="3" t="inlineStr"/>
      <c r="K119" s="3" t="inlineStr"/>
      <c r="L119" s="3" t="inlineStr"/>
      <c r="M119" s="3" t="inlineStr"/>
      <c r="N119" s="3" t="inlineStr"/>
      <c r="O119" s="3" t="inlineStr"/>
      <c r="P119" s="3" t="inlineStr"/>
    </row>
    <row r="120">
      <c r="A120" s="3" t="inlineStr"/>
      <c r="B120" s="3" t="inlineStr">
        <is>
          <t>Bonusberechtigte Stunden Sonderprojekt</t>
        </is>
      </c>
      <c r="C120" s="3" t="inlineStr"/>
      <c r="D120" s="3" t="inlineStr"/>
      <c r="E120" s="3" t="inlineStr"/>
      <c r="F120" s="6">
        <f>G120+H120</f>
        <v/>
      </c>
      <c r="G120" s="6" t="n">
        <v>0.5</v>
      </c>
      <c r="H120" s="6">
        <f>SUM(H93)</f>
        <v/>
      </c>
      <c r="I120" s="3" t="inlineStr"/>
      <c r="J120" s="3" t="inlineStr"/>
      <c r="K120" s="3" t="inlineStr"/>
      <c r="L120" s="3" t="inlineStr"/>
      <c r="M120" s="3" t="inlineStr"/>
      <c r="N120" s="3" t="inlineStr"/>
      <c r="O120" s="3" t="inlineStr"/>
      <c r="P120" s="3" t="inlineStr"/>
    </row>
    <row r="121">
      <c r="A121" s="3" t="inlineStr"/>
      <c r="B121" s="3" t="inlineStr">
        <is>
          <t>Zugeordnete Stunden von anderen MA</t>
        </is>
      </c>
      <c r="C121" s="3" t="inlineStr"/>
      <c r="D121" s="3" t="inlineStr"/>
      <c r="E121" s="3" t="inlineStr"/>
      <c r="F121" s="6">
        <f>SUM(K93:K117)</f>
        <v/>
      </c>
      <c r="G121" s="3" t="inlineStr"/>
      <c r="H121" s="3" t="inlineStr"/>
      <c r="I121" s="3" t="inlineStr"/>
      <c r="J121" s="3" t="inlineStr"/>
      <c r="K121" s="3" t="inlineStr"/>
      <c r="L121" s="3" t="inlineStr"/>
      <c r="M121" s="3" t="inlineStr"/>
      <c r="N121" s="3" t="inlineStr"/>
      <c r="O121" s="3" t="inlineStr"/>
      <c r="P121" s="3" t="inlineStr"/>
    </row>
    <row r="122">
      <c r="A122" s="18" t="inlineStr"/>
      <c r="B122" s="18" t="inlineStr">
        <is>
          <t>Gesamt Bonus Stunden</t>
        </is>
      </c>
      <c r="C122" s="18" t="inlineStr"/>
      <c r="D122" s="18" t="inlineStr"/>
      <c r="E122" s="18" t="inlineStr"/>
      <c r="F122" s="19">
        <f>F119+F120+F121</f>
        <v/>
      </c>
      <c r="G122" s="18" t="inlineStr"/>
      <c r="H122" s="18" t="inlineStr"/>
      <c r="I122" s="18" t="inlineStr"/>
      <c r="J122" s="18" t="inlineStr"/>
      <c r="K122" s="18" t="inlineStr"/>
      <c r="L122" s="18" t="n"/>
      <c r="M122" s="18" t="n"/>
      <c r="N122" s="18" t="n"/>
      <c r="O122" s="18" t="n"/>
      <c r="P122" s="18" t="n"/>
    </row>
    <row r="124">
      <c r="A124" s="2" t="inlineStr">
        <is>
          <t>--- Übertragshilfe ---</t>
        </is>
      </c>
    </row>
    <row r="125">
      <c r="A125" s="3" t="inlineStr">
        <is>
          <t>Monat</t>
        </is>
      </c>
      <c r="B125" s="3" t="inlineStr">
        <is>
          <t>Mitarbeiter</t>
        </is>
      </c>
      <c r="C125" s="3" t="inlineStr">
        <is>
          <t>Prod. Stunden</t>
        </is>
      </c>
      <c r="D125" s="3" t="inlineStr">
        <is>
          <t>Bonusberechtigte Stunden</t>
        </is>
      </c>
      <c r="E125" s="3" t="inlineStr">
        <is>
          <t>Bonusberechtigte Stunden Sonderprojekt</t>
        </is>
      </c>
      <c r="F125" s="3" t="inlineStr">
        <is>
          <t>Zugeordnet von anderen</t>
        </is>
      </c>
      <c r="G125" s="3" t="inlineStr">
        <is>
          <t>Gesamt Bonus</t>
        </is>
      </c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</row>
    <row r="126">
      <c r="A126" s="4" t="inlineStr">
        <is>
          <t>Juli 2025</t>
        </is>
      </c>
      <c r="B126" s="4" t="inlineStr">
        <is>
          <t>S. Schüler</t>
        </is>
      </c>
      <c r="C126" s="4">
        <f>F45</f>
        <v/>
      </c>
      <c r="D126" s="4">
        <f>F46</f>
        <v/>
      </c>
      <c r="E126" s="4">
        <f>F47</f>
        <v/>
      </c>
      <c r="F126" s="4">
        <f>F48</f>
        <v/>
      </c>
      <c r="G126" s="4">
        <f>F49</f>
        <v/>
      </c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</row>
    <row r="127">
      <c r="A127" s="4" t="inlineStr">
        <is>
          <t>August 2025</t>
        </is>
      </c>
      <c r="B127" s="4" t="inlineStr">
        <is>
          <t>S. Schüler</t>
        </is>
      </c>
      <c r="C127" s="4">
        <f>F85</f>
        <v/>
      </c>
      <c r="D127" s="4">
        <f>F86</f>
        <v/>
      </c>
      <c r="E127" s="4">
        <f>F87</f>
        <v/>
      </c>
      <c r="F127" s="4">
        <f>F88</f>
        <v/>
      </c>
      <c r="G127" s="4">
        <f>F89</f>
        <v/>
      </c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</row>
    <row r="128">
      <c r="A128" s="4" t="inlineStr">
        <is>
          <t>September 2025</t>
        </is>
      </c>
      <c r="B128" s="4" t="inlineStr">
        <is>
          <t>S. Schüler</t>
        </is>
      </c>
      <c r="C128" s="4">
        <f>F118</f>
        <v/>
      </c>
      <c r="D128" s="4">
        <f>F119</f>
        <v/>
      </c>
      <c r="E128" s="4">
        <f>F120</f>
        <v/>
      </c>
      <c r="F128" s="4">
        <f>F121</f>
        <v/>
      </c>
      <c r="G128" s="4">
        <f>F122</f>
        <v/>
      </c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</row>
    <row r="131">
      <c r="A131" s="2" t="inlineStr">
        <is>
          <t>--- Gesamtstunden 2025Q3 ---</t>
        </is>
      </c>
    </row>
    <row r="132">
      <c r="A132" s="12" t="inlineStr">
        <is>
          <t>Gesamt eingetragene Stunden:</t>
        </is>
      </c>
      <c r="B132" s="12" t="n">
        <v>373.25</v>
      </c>
      <c r="C132" s="12" t="n"/>
      <c r="D132" s="12" t="n"/>
      <c r="E132" s="12" t="n"/>
      <c r="F132" s="12" t="n"/>
      <c r="G132" s="12" t="n"/>
      <c r="H132" s="12" t="n"/>
      <c r="I132" s="12" t="n"/>
      <c r="J132" s="12" t="n"/>
      <c r="K132" s="12" t="n"/>
      <c r="L132" s="12" t="n"/>
      <c r="M132" s="12" t="n"/>
      <c r="N132" s="12" t="n"/>
      <c r="O132" s="12" t="n"/>
      <c r="P132" s="12" t="n"/>
    </row>
    <row r="133">
      <c r="A133" s="12" t="inlineStr">
        <is>
          <t>Bonusberechtigte Stunden (Quartal):</t>
        </is>
      </c>
      <c r="B133" s="20">
        <f>SUM(F46,F86,F119)</f>
        <v/>
      </c>
      <c r="C133" s="12" t="n"/>
      <c r="D133" s="12" t="n"/>
      <c r="E133" s="12" t="n"/>
      <c r="F133" s="12" t="n"/>
      <c r="G133" s="12" t="n"/>
      <c r="H133" s="12" t="n"/>
      <c r="I133" s="12" t="n"/>
      <c r="J133" s="12" t="n"/>
      <c r="K133" s="12" t="n"/>
      <c r="L133" s="12" t="n"/>
      <c r="M133" s="12" t="n"/>
      <c r="N133" s="12" t="n"/>
      <c r="O133" s="12" t="n"/>
      <c r="P133" s="12" t="n"/>
    </row>
    <row r="134">
      <c r="A134" s="12" t="inlineStr">
        <is>
          <t>Bonusberechtigte Stunden Sonderprojekt (Quartal):</t>
        </is>
      </c>
      <c r="B134" s="20">
        <f>SUM(F47,F87,F120)</f>
        <v/>
      </c>
      <c r="C134" s="12" t="n"/>
      <c r="D134" s="12" t="n"/>
      <c r="E134" s="12" t="n"/>
      <c r="F134" s="12" t="n"/>
      <c r="G134" s="12" t="n"/>
      <c r="H134" s="12" t="n"/>
      <c r="I134" s="12" t="n"/>
      <c r="J134" s="12" t="n"/>
      <c r="K134" s="12" t="n"/>
      <c r="L134" s="12" t="n"/>
      <c r="M134" s="12" t="n"/>
      <c r="N134" s="12" t="n"/>
      <c r="O134" s="12" t="n"/>
      <c r="P134" s="12" t="n"/>
    </row>
  </sheetData>
  <mergeCells count="14">
    <mergeCell ref="A21:A23"/>
    <mergeCell ref="A67:A68"/>
    <mergeCell ref="A8:A15"/>
    <mergeCell ref="A75:A78"/>
    <mergeCell ref="A26:A27"/>
    <mergeCell ref="A53:A60"/>
    <mergeCell ref="A83:A84"/>
    <mergeCell ref="A116:A117"/>
    <mergeCell ref="A94:A96"/>
    <mergeCell ref="A33:A37"/>
    <mergeCell ref="A63:A64"/>
    <mergeCell ref="A105:A106"/>
    <mergeCell ref="A42:A44"/>
    <mergeCell ref="A18:A20"/>
  </mergeCells>
  <conditionalFormatting sqref="I6">
    <cfRule type="cellIs" priority="1" operator="lessThan" dxfId="0" stopIfTrue="1">
      <formula>0</formula>
    </cfRule>
  </conditionalFormatting>
  <conditionalFormatting sqref="I7">
    <cfRule type="cellIs" priority="2" operator="lessThan" dxfId="0" stopIfTrue="1">
      <formula>0</formula>
    </cfRule>
  </conditionalFormatting>
  <conditionalFormatting sqref="I8">
    <cfRule type="cellIs" priority="3" operator="lessThan" dxfId="0" stopIfTrue="1">
      <formula>0</formula>
    </cfRule>
  </conditionalFormatting>
  <conditionalFormatting sqref="I9">
    <cfRule type="cellIs" priority="4" operator="lessThan" dxfId="0" stopIfTrue="1">
      <formula>0</formula>
    </cfRule>
  </conditionalFormatting>
  <conditionalFormatting sqref="I10">
    <cfRule type="cellIs" priority="5" operator="lessThan" dxfId="0" stopIfTrue="1">
      <formula>0</formula>
    </cfRule>
  </conditionalFormatting>
  <conditionalFormatting sqref="I11">
    <cfRule type="cellIs" priority="6" operator="lessThan" dxfId="0" stopIfTrue="1">
      <formula>0</formula>
    </cfRule>
  </conditionalFormatting>
  <conditionalFormatting sqref="I12">
    <cfRule type="cellIs" priority="7" operator="lessThan" dxfId="0" stopIfTrue="1">
      <formula>0</formula>
    </cfRule>
  </conditionalFormatting>
  <conditionalFormatting sqref="I13">
    <cfRule type="cellIs" priority="8" operator="lessThan" dxfId="0" stopIfTrue="1">
      <formula>0</formula>
    </cfRule>
  </conditionalFormatting>
  <conditionalFormatting sqref="I14">
    <cfRule type="cellIs" priority="9" operator="lessThan" dxfId="0" stopIfTrue="1">
      <formula>0</formula>
    </cfRule>
  </conditionalFormatting>
  <conditionalFormatting sqref="I15">
    <cfRule type="cellIs" priority="10" operator="lessThan" dxfId="0" stopIfTrue="1">
      <formula>0</formula>
    </cfRule>
  </conditionalFormatting>
  <conditionalFormatting sqref="I16">
    <cfRule type="cellIs" priority="11" operator="lessThan" dxfId="0" stopIfTrue="1">
      <formula>0</formula>
    </cfRule>
  </conditionalFormatting>
  <conditionalFormatting sqref="I17">
    <cfRule type="cellIs" priority="12" operator="lessThan" dxfId="0" stopIfTrue="1">
      <formula>0</formula>
    </cfRule>
  </conditionalFormatting>
  <conditionalFormatting sqref="I18">
    <cfRule type="cellIs" priority="13" operator="lessThan" dxfId="0" stopIfTrue="1">
      <formula>0</formula>
    </cfRule>
  </conditionalFormatting>
  <conditionalFormatting sqref="I19">
    <cfRule type="cellIs" priority="14" operator="lessThan" dxfId="0" stopIfTrue="1">
      <formula>0</formula>
    </cfRule>
  </conditionalFormatting>
  <conditionalFormatting sqref="I20">
    <cfRule type="cellIs" priority="15" operator="lessThan" dxfId="0" stopIfTrue="1">
      <formula>0</formula>
    </cfRule>
  </conditionalFormatting>
  <conditionalFormatting sqref="I21">
    <cfRule type="cellIs" priority="16" operator="lessThan" dxfId="0" stopIfTrue="1">
      <formula>0</formula>
    </cfRule>
  </conditionalFormatting>
  <conditionalFormatting sqref="I22">
    <cfRule type="cellIs" priority="17" operator="lessThan" dxfId="0" stopIfTrue="1">
      <formula>0</formula>
    </cfRule>
  </conditionalFormatting>
  <conditionalFormatting sqref="I23">
    <cfRule type="cellIs" priority="18" operator="lessThan" dxfId="0" stopIfTrue="1">
      <formula>0</formula>
    </cfRule>
  </conditionalFormatting>
  <conditionalFormatting sqref="I24">
    <cfRule type="cellIs" priority="19" operator="lessThan" dxfId="0" stopIfTrue="1">
      <formula>0</formula>
    </cfRule>
  </conditionalFormatting>
  <conditionalFormatting sqref="I25">
    <cfRule type="cellIs" priority="20" operator="lessThan" dxfId="0" stopIfTrue="1">
      <formula>0</formula>
    </cfRule>
  </conditionalFormatting>
  <conditionalFormatting sqref="I26">
    <cfRule type="cellIs" priority="21" operator="lessThan" dxfId="0" stopIfTrue="1">
      <formula>0</formula>
    </cfRule>
  </conditionalFormatting>
  <conditionalFormatting sqref="I27">
    <cfRule type="cellIs" priority="22" operator="lessThan" dxfId="0" stopIfTrue="1">
      <formula>0</formula>
    </cfRule>
  </conditionalFormatting>
  <conditionalFormatting sqref="I28">
    <cfRule type="cellIs" priority="23" operator="lessThan" dxfId="0" stopIfTrue="1">
      <formula>0</formula>
    </cfRule>
  </conditionalFormatting>
  <conditionalFormatting sqref="I29">
    <cfRule type="cellIs" priority="24" operator="lessThan" dxfId="0" stopIfTrue="1">
      <formula>0</formula>
    </cfRule>
  </conditionalFormatting>
  <conditionalFormatting sqref="I30">
    <cfRule type="cellIs" priority="25" operator="lessThan" dxfId="0" stopIfTrue="1">
      <formula>0</formula>
    </cfRule>
  </conditionalFormatting>
  <conditionalFormatting sqref="I31">
    <cfRule type="cellIs" priority="26" operator="lessThan" dxfId="0" stopIfTrue="1">
      <formula>0</formula>
    </cfRule>
  </conditionalFormatting>
  <conditionalFormatting sqref="I32">
    <cfRule type="cellIs" priority="27" operator="lessThan" dxfId="0" stopIfTrue="1">
      <formula>0</formula>
    </cfRule>
  </conditionalFormatting>
  <conditionalFormatting sqref="I33">
    <cfRule type="cellIs" priority="28" operator="lessThan" dxfId="0" stopIfTrue="1">
      <formula>0</formula>
    </cfRule>
  </conditionalFormatting>
  <conditionalFormatting sqref="I34">
    <cfRule type="cellIs" priority="29" operator="lessThan" dxfId="0" stopIfTrue="1">
      <formula>0</formula>
    </cfRule>
  </conditionalFormatting>
  <conditionalFormatting sqref="I35">
    <cfRule type="cellIs" priority="30" operator="lessThan" dxfId="0" stopIfTrue="1">
      <formula>0</formula>
    </cfRule>
  </conditionalFormatting>
  <conditionalFormatting sqref="I36">
    <cfRule type="cellIs" priority="31" operator="lessThan" dxfId="0" stopIfTrue="1">
      <formula>0</formula>
    </cfRule>
  </conditionalFormatting>
  <conditionalFormatting sqref="I37">
    <cfRule type="cellIs" priority="32" operator="lessThan" dxfId="0" stopIfTrue="1">
      <formula>0</formula>
    </cfRule>
  </conditionalFormatting>
  <conditionalFormatting sqref="I38">
    <cfRule type="cellIs" priority="33" operator="lessThan" dxfId="0" stopIfTrue="1">
      <formula>0</formula>
    </cfRule>
  </conditionalFormatting>
  <conditionalFormatting sqref="I39">
    <cfRule type="cellIs" priority="34" operator="lessThan" dxfId="0" stopIfTrue="1">
      <formula>0</formula>
    </cfRule>
  </conditionalFormatting>
  <conditionalFormatting sqref="I40">
    <cfRule type="cellIs" priority="35" operator="lessThan" dxfId="0" stopIfTrue="1">
      <formula>0</formula>
    </cfRule>
  </conditionalFormatting>
  <conditionalFormatting sqref="I41">
    <cfRule type="cellIs" priority="36" operator="lessThan" dxfId="0" stopIfTrue="1">
      <formula>0</formula>
    </cfRule>
  </conditionalFormatting>
  <conditionalFormatting sqref="I42">
    <cfRule type="cellIs" priority="37" operator="lessThan" dxfId="0" stopIfTrue="1">
      <formula>0</formula>
    </cfRule>
  </conditionalFormatting>
  <conditionalFormatting sqref="I43">
    <cfRule type="cellIs" priority="38" operator="lessThan" dxfId="0" stopIfTrue="1">
      <formula>0</formula>
    </cfRule>
  </conditionalFormatting>
  <conditionalFormatting sqref="I44">
    <cfRule type="cellIs" priority="39" operator="lessThan" dxfId="0" stopIfTrue="1">
      <formula>0</formula>
    </cfRule>
  </conditionalFormatting>
  <conditionalFormatting sqref="I53">
    <cfRule type="cellIs" priority="40" operator="lessThan" dxfId="0" stopIfTrue="1">
      <formula>0</formula>
    </cfRule>
  </conditionalFormatting>
  <conditionalFormatting sqref="I54">
    <cfRule type="cellIs" priority="41" operator="lessThan" dxfId="0" stopIfTrue="1">
      <formula>0</formula>
    </cfRule>
  </conditionalFormatting>
  <conditionalFormatting sqref="I55">
    <cfRule type="cellIs" priority="42" operator="lessThan" dxfId="0" stopIfTrue="1">
      <formula>0</formula>
    </cfRule>
  </conditionalFormatting>
  <conditionalFormatting sqref="I56">
    <cfRule type="cellIs" priority="43" operator="lessThan" dxfId="0" stopIfTrue="1">
      <formula>0</formula>
    </cfRule>
  </conditionalFormatting>
  <conditionalFormatting sqref="I57">
    <cfRule type="cellIs" priority="44" operator="lessThan" dxfId="0" stopIfTrue="1">
      <formula>0</formula>
    </cfRule>
  </conditionalFormatting>
  <conditionalFormatting sqref="I58">
    <cfRule type="cellIs" priority="45" operator="lessThan" dxfId="0" stopIfTrue="1">
      <formula>0</formula>
    </cfRule>
  </conditionalFormatting>
  <conditionalFormatting sqref="I59">
    <cfRule type="cellIs" priority="46" operator="lessThan" dxfId="0" stopIfTrue="1">
      <formula>0</formula>
    </cfRule>
  </conditionalFormatting>
  <conditionalFormatting sqref="I60">
    <cfRule type="cellIs" priority="47" operator="lessThan" dxfId="0" stopIfTrue="1">
      <formula>0</formula>
    </cfRule>
  </conditionalFormatting>
  <conditionalFormatting sqref="I61">
    <cfRule type="cellIs" priority="48" operator="lessThan" dxfId="0" stopIfTrue="1">
      <formula>0</formula>
    </cfRule>
  </conditionalFormatting>
  <conditionalFormatting sqref="I62">
    <cfRule type="cellIs" priority="49" operator="lessThan" dxfId="0" stopIfTrue="1">
      <formula>0</formula>
    </cfRule>
  </conditionalFormatting>
  <conditionalFormatting sqref="I63">
    <cfRule type="cellIs" priority="50" operator="lessThan" dxfId="0" stopIfTrue="1">
      <formula>0</formula>
    </cfRule>
  </conditionalFormatting>
  <conditionalFormatting sqref="I64">
    <cfRule type="cellIs" priority="51" operator="lessThan" dxfId="0" stopIfTrue="1">
      <formula>0</formula>
    </cfRule>
  </conditionalFormatting>
  <conditionalFormatting sqref="I65">
    <cfRule type="cellIs" priority="52" operator="lessThan" dxfId="0" stopIfTrue="1">
      <formula>0</formula>
    </cfRule>
  </conditionalFormatting>
  <conditionalFormatting sqref="I66">
    <cfRule type="cellIs" priority="53" operator="lessThan" dxfId="0" stopIfTrue="1">
      <formula>0</formula>
    </cfRule>
  </conditionalFormatting>
  <conditionalFormatting sqref="I67">
    <cfRule type="cellIs" priority="54" operator="lessThan" dxfId="0" stopIfTrue="1">
      <formula>0</formula>
    </cfRule>
  </conditionalFormatting>
  <conditionalFormatting sqref="I68">
    <cfRule type="cellIs" priority="55" operator="lessThan" dxfId="0" stopIfTrue="1">
      <formula>0</formula>
    </cfRule>
  </conditionalFormatting>
  <conditionalFormatting sqref="I69">
    <cfRule type="cellIs" priority="56" operator="lessThan" dxfId="0" stopIfTrue="1">
      <formula>0</formula>
    </cfRule>
  </conditionalFormatting>
  <conditionalFormatting sqref="I70">
    <cfRule type="cellIs" priority="57" operator="lessThan" dxfId="0" stopIfTrue="1">
      <formula>0</formula>
    </cfRule>
  </conditionalFormatting>
  <conditionalFormatting sqref="I71">
    <cfRule type="cellIs" priority="58" operator="lessThan" dxfId="0" stopIfTrue="1">
      <formula>0</formula>
    </cfRule>
  </conditionalFormatting>
  <conditionalFormatting sqref="I72">
    <cfRule type="cellIs" priority="59" operator="lessThan" dxfId="0" stopIfTrue="1">
      <formula>0</formula>
    </cfRule>
  </conditionalFormatting>
  <conditionalFormatting sqref="I73">
    <cfRule type="cellIs" priority="60" operator="lessThan" dxfId="0" stopIfTrue="1">
      <formula>0</formula>
    </cfRule>
  </conditionalFormatting>
  <conditionalFormatting sqref="I74">
    <cfRule type="cellIs" priority="61" operator="lessThan" dxfId="0" stopIfTrue="1">
      <formula>0</formula>
    </cfRule>
  </conditionalFormatting>
  <conditionalFormatting sqref="I75">
    <cfRule type="cellIs" priority="62" operator="lessThan" dxfId="0" stopIfTrue="1">
      <formula>0</formula>
    </cfRule>
  </conditionalFormatting>
  <conditionalFormatting sqref="I76">
    <cfRule type="cellIs" priority="63" operator="lessThan" dxfId="0" stopIfTrue="1">
      <formula>0</formula>
    </cfRule>
  </conditionalFormatting>
  <conditionalFormatting sqref="I77">
    <cfRule type="cellIs" priority="64" operator="lessThan" dxfId="0" stopIfTrue="1">
      <formula>0</formula>
    </cfRule>
  </conditionalFormatting>
  <conditionalFormatting sqref="I78">
    <cfRule type="cellIs" priority="65" operator="lessThan" dxfId="0" stopIfTrue="1">
      <formula>0</formula>
    </cfRule>
  </conditionalFormatting>
  <conditionalFormatting sqref="I79">
    <cfRule type="cellIs" priority="66" operator="lessThan" dxfId="0" stopIfTrue="1">
      <formula>0</formula>
    </cfRule>
  </conditionalFormatting>
  <conditionalFormatting sqref="I80">
    <cfRule type="cellIs" priority="67" operator="lessThan" dxfId="0" stopIfTrue="1">
      <formula>0</formula>
    </cfRule>
  </conditionalFormatting>
  <conditionalFormatting sqref="I81">
    <cfRule type="cellIs" priority="68" operator="lessThan" dxfId="0" stopIfTrue="1">
      <formula>0</formula>
    </cfRule>
  </conditionalFormatting>
  <conditionalFormatting sqref="I82">
    <cfRule type="cellIs" priority="69" operator="lessThan" dxfId="0" stopIfTrue="1">
      <formula>0</formula>
    </cfRule>
  </conditionalFormatting>
  <conditionalFormatting sqref="I83">
    <cfRule type="cellIs" priority="70" operator="lessThan" dxfId="0" stopIfTrue="1">
      <formula>0</formula>
    </cfRule>
  </conditionalFormatting>
  <conditionalFormatting sqref="I84">
    <cfRule type="cellIs" priority="71" operator="lessThan" dxfId="0" stopIfTrue="1">
      <formula>0</formula>
    </cfRule>
  </conditionalFormatting>
  <conditionalFormatting sqref="I93">
    <cfRule type="cellIs" priority="72" operator="lessThan" dxfId="0" stopIfTrue="1">
      <formula>0</formula>
    </cfRule>
  </conditionalFormatting>
  <conditionalFormatting sqref="I94">
    <cfRule type="cellIs" priority="73" operator="lessThan" dxfId="0" stopIfTrue="1">
      <formula>0</formula>
    </cfRule>
  </conditionalFormatting>
  <conditionalFormatting sqref="I95">
    <cfRule type="cellIs" priority="74" operator="lessThan" dxfId="0" stopIfTrue="1">
      <formula>0</formula>
    </cfRule>
  </conditionalFormatting>
  <conditionalFormatting sqref="I96">
    <cfRule type="cellIs" priority="75" operator="lessThan" dxfId="0" stopIfTrue="1">
      <formula>0</formula>
    </cfRule>
  </conditionalFormatting>
  <conditionalFormatting sqref="I97">
    <cfRule type="cellIs" priority="76" operator="lessThan" dxfId="0" stopIfTrue="1">
      <formula>0</formula>
    </cfRule>
  </conditionalFormatting>
  <conditionalFormatting sqref="I98">
    <cfRule type="cellIs" priority="77" operator="lessThan" dxfId="0" stopIfTrue="1">
      <formula>0</formula>
    </cfRule>
  </conditionalFormatting>
  <conditionalFormatting sqref="I99">
    <cfRule type="cellIs" priority="78" operator="lessThan" dxfId="0" stopIfTrue="1">
      <formula>0</formula>
    </cfRule>
  </conditionalFormatting>
  <conditionalFormatting sqref="I100">
    <cfRule type="cellIs" priority="79" operator="lessThan" dxfId="0" stopIfTrue="1">
      <formula>0</formula>
    </cfRule>
  </conditionalFormatting>
  <conditionalFormatting sqref="I101">
    <cfRule type="cellIs" priority="80" operator="lessThan" dxfId="0" stopIfTrue="1">
      <formula>0</formula>
    </cfRule>
  </conditionalFormatting>
  <conditionalFormatting sqref="I102">
    <cfRule type="cellIs" priority="81" operator="lessThan" dxfId="0" stopIfTrue="1">
      <formula>0</formula>
    </cfRule>
  </conditionalFormatting>
  <conditionalFormatting sqref="I103">
    <cfRule type="cellIs" priority="82" operator="lessThan" dxfId="0" stopIfTrue="1">
      <formula>0</formula>
    </cfRule>
  </conditionalFormatting>
  <conditionalFormatting sqref="I104">
    <cfRule type="cellIs" priority="83" operator="lessThan" dxfId="0" stopIfTrue="1">
      <formula>0</formula>
    </cfRule>
  </conditionalFormatting>
  <conditionalFormatting sqref="I105">
    <cfRule type="cellIs" priority="84" operator="lessThan" dxfId="0" stopIfTrue="1">
      <formula>0</formula>
    </cfRule>
  </conditionalFormatting>
  <conditionalFormatting sqref="I106">
    <cfRule type="cellIs" priority="85" operator="lessThan" dxfId="0" stopIfTrue="1">
      <formula>0</formula>
    </cfRule>
  </conditionalFormatting>
  <conditionalFormatting sqref="I107">
    <cfRule type="cellIs" priority="86" operator="lessThan" dxfId="0" stopIfTrue="1">
      <formula>0</formula>
    </cfRule>
  </conditionalFormatting>
  <conditionalFormatting sqref="I108">
    <cfRule type="cellIs" priority="87" operator="lessThan" dxfId="0" stopIfTrue="1">
      <formula>0</formula>
    </cfRule>
  </conditionalFormatting>
  <conditionalFormatting sqref="I109">
    <cfRule type="cellIs" priority="88" operator="lessThan" dxfId="0" stopIfTrue="1">
      <formula>0</formula>
    </cfRule>
  </conditionalFormatting>
  <conditionalFormatting sqref="I110">
    <cfRule type="cellIs" priority="89" operator="lessThan" dxfId="0" stopIfTrue="1">
      <formula>0</formula>
    </cfRule>
  </conditionalFormatting>
  <conditionalFormatting sqref="I111">
    <cfRule type="cellIs" priority="90" operator="lessThan" dxfId="0" stopIfTrue="1">
      <formula>0</formula>
    </cfRule>
  </conditionalFormatting>
  <conditionalFormatting sqref="I112">
    <cfRule type="cellIs" priority="91" operator="lessThan" dxfId="0" stopIfTrue="1">
      <formula>0</formula>
    </cfRule>
  </conditionalFormatting>
  <conditionalFormatting sqref="I113">
    <cfRule type="cellIs" priority="92" operator="lessThan" dxfId="0" stopIfTrue="1">
      <formula>0</formula>
    </cfRule>
  </conditionalFormatting>
  <conditionalFormatting sqref="I114">
    <cfRule type="cellIs" priority="93" operator="lessThan" dxfId="0" stopIfTrue="1">
      <formula>0</formula>
    </cfRule>
  </conditionalFormatting>
  <conditionalFormatting sqref="I115">
    <cfRule type="cellIs" priority="94" operator="lessThan" dxfId="0" stopIfTrue="1">
      <formula>0</formula>
    </cfRule>
  </conditionalFormatting>
  <conditionalFormatting sqref="I116">
    <cfRule type="cellIs" priority="95" operator="lessThan" dxfId="0" stopIfTrue="1">
      <formula>0</formula>
    </cfRule>
  </conditionalFormatting>
  <conditionalFormatting sqref="I117">
    <cfRule type="cellIs" priority="96" operator="lessThan" dxfId="0" stopIfTrue="1">
      <formula>0</formula>
    </cfRule>
  </conditionalFormatting>
  <dataValidations count="48">
    <dataValidation sqref="B2" showDropDown="0" showInputMessage="0" showErrorMessage="0" allowBlank="0" type="list">
      <formula1>"SV,CAD,ADM,Pauschale,-"</formula1>
    </dataValidation>
    <dataValidation sqref="J6" showDropDown="0" showInputMessage="0" showErrorMessage="0" allowBlank="1" type="list">
      <formula1>"A. Kokott,C. Trapp SV,D. Brucker,E. Bieler,J. Dorchies,J. Dorn,O. Haag BS-CAD,P. Bergner,R. Böttiger,T. Trautmann,U. Sutter ADM"</formula1>
    </dataValidation>
    <dataValidation sqref="J7" showDropDown="0" showInputMessage="0" showErrorMessage="0" allowBlank="1" type="list">
      <formula1>"J. Dorchies"</formula1>
    </dataValidation>
    <dataValidation sqref="J9" showDropDown="0" showInputMessage="0" showErrorMessage="0" allowBlank="1" type="list">
      <formula1>"E. Iago Barros de Oliveira"</formula1>
    </dataValidation>
    <dataValidation sqref="J12" showDropDown="0" showInputMessage="0" showErrorMessage="0" allowBlank="1" type="list">
      <formula1>"O. Haag BS-CAD,R. Wagen CAD"</formula1>
    </dataValidation>
    <dataValidation sqref="J13" showDropDown="0" showInputMessage="0" showErrorMessage="0" allowBlank="1" type="list">
      <formula1>"C. Trapp SV"</formula1>
    </dataValidation>
    <dataValidation sqref="J14" showDropDown="0" showInputMessage="0" showErrorMessage="0" allowBlank="1" type="list">
      <formula1>"U. Sutter ADM"</formula1>
    </dataValidation>
    <dataValidation sqref="J15" showDropDown="0" showInputMessage="0" showErrorMessage="0" allowBlank="1" type="list">
      <formula1>"O. Haag BS-CAD"</formula1>
    </dataValidation>
    <dataValidation sqref="J17" showDropDown="0" showInputMessage="0" showErrorMessage="0" allowBlank="1" type="list">
      <formula1>"A. Kokott,M. Warner"</formula1>
    </dataValidation>
    <dataValidation sqref="J19" showDropDown="0" showInputMessage="0" showErrorMessage="0" allowBlank="1" type="list">
      <formula1>"C. Trapp SV"</formula1>
    </dataValidation>
    <dataValidation sqref="J23" showDropDown="0" showInputMessage="0" showErrorMessage="0" allowBlank="1" type="list">
      <formula1>"O. Haag BS-CAD"</formula1>
    </dataValidation>
    <dataValidation sqref="J26" showDropDown="0" showInputMessage="0" showErrorMessage="0" allowBlank="1" type="list">
      <formula1>"T. Trautmann"</formula1>
    </dataValidation>
    <dataValidation sqref="J27" showDropDown="0" showInputMessage="0" showErrorMessage="0" allowBlank="1" type="list">
      <formula1>"T. Trautmann"</formula1>
    </dataValidation>
    <dataValidation sqref="J28" showDropDown="0" showInputMessage="0" showErrorMessage="0" allowBlank="1" type="list">
      <formula1>"J. Dorn"</formula1>
    </dataValidation>
    <dataValidation sqref="J29" showDropDown="0" showInputMessage="0" showErrorMessage="0" allowBlank="1" type="list">
      <formula1>"R. Böttiger"</formula1>
    </dataValidation>
    <dataValidation sqref="J30" showDropDown="0" showInputMessage="0" showErrorMessage="0" allowBlank="1" type="list">
      <formula1>"A. Kokott,C. Trapp SV"</formula1>
    </dataValidation>
    <dataValidation sqref="J34" showDropDown="0" showInputMessage="0" showErrorMessage="0" allowBlank="1" type="list">
      <formula1>"O. Haag BS-CAD"</formula1>
    </dataValidation>
    <dataValidation sqref="J38" showDropDown="0" showInputMessage="0" showErrorMessage="0" allowBlank="1" type="list">
      <formula1>"D. Brucker"</formula1>
    </dataValidation>
    <dataValidation sqref="J41" showDropDown="0" showInputMessage="0" showErrorMessage="0" allowBlank="1" type="list">
      <formula1>"H. Bektas"</formula1>
    </dataValidation>
    <dataValidation sqref="J54" showDropDown="0" showInputMessage="0" showErrorMessage="0" allowBlank="1" type="list">
      <formula1>"C. Trapp SV"</formula1>
    </dataValidation>
    <dataValidation sqref="J55" showDropDown="0" showInputMessage="0" showErrorMessage="0" allowBlank="1" type="list">
      <formula1>"C. Trapp SV"</formula1>
    </dataValidation>
    <dataValidation sqref="J56" showDropDown="0" showInputMessage="0" showErrorMessage="0" allowBlank="1" type="list">
      <formula1>"U. Sutter ADM"</formula1>
    </dataValidation>
    <dataValidation sqref="J57" showDropDown="0" showInputMessage="0" showErrorMessage="0" allowBlank="1" type="list">
      <formula1>"U. Sutter ADM"</formula1>
    </dataValidation>
    <dataValidation sqref="J58" showDropDown="0" showInputMessage="0" showErrorMessage="0" allowBlank="1" type="list">
      <formula1>"O. Haag BS-CAD"</formula1>
    </dataValidation>
    <dataValidation sqref="J60" showDropDown="0" showInputMessage="0" showErrorMessage="0" allowBlank="1" type="list">
      <formula1>"O. Haag BS-CAD"</formula1>
    </dataValidation>
    <dataValidation sqref="J62" showDropDown="0" showInputMessage="0" showErrorMessage="0" allowBlank="1" type="list">
      <formula1>"A. Kokott,M. Warner"</formula1>
    </dataValidation>
    <dataValidation sqref="J64" showDropDown="0" showInputMessage="0" showErrorMessage="0" allowBlank="1" type="list">
      <formula1>"A. Kokott"</formula1>
    </dataValidation>
    <dataValidation sqref="J65" showDropDown="0" showInputMessage="0" showErrorMessage="0" allowBlank="1" type="list">
      <formula1>"O. Haag BS-CAD"</formula1>
    </dataValidation>
    <dataValidation sqref="J67" showDropDown="0" showInputMessage="0" showErrorMessage="0" allowBlank="1" type="list">
      <formula1>"T. Trautmann"</formula1>
    </dataValidation>
    <dataValidation sqref="J68" showDropDown="0" showInputMessage="0" showErrorMessage="0" allowBlank="1" type="list">
      <formula1>"T. Trautmann"</formula1>
    </dataValidation>
    <dataValidation sqref="J70" showDropDown="0" showInputMessage="0" showErrorMessage="0" allowBlank="1" type="list">
      <formula1>"J. Dorn"</formula1>
    </dataValidation>
    <dataValidation sqref="J71" showDropDown="0" showInputMessage="0" showErrorMessage="0" allowBlank="1" type="list">
      <formula1>"R. Böttiger"</formula1>
    </dataValidation>
    <dataValidation sqref="J72" showDropDown="0" showInputMessage="0" showErrorMessage="0" allowBlank="1" type="list">
      <formula1>"A. Kokott,C. Trapp SV"</formula1>
    </dataValidation>
    <dataValidation sqref="J75" showDropDown="0" showInputMessage="0" showErrorMessage="0" allowBlank="1" type="list">
      <formula1>"O. Haag BS-CAD"</formula1>
    </dataValidation>
    <dataValidation sqref="J82" showDropDown="0" showInputMessage="0" showErrorMessage="0" allowBlank="1" type="list">
      <formula1>"T. Trautmann"</formula1>
    </dataValidation>
    <dataValidation sqref="J93" showDropDown="0" showInputMessage="0" showErrorMessage="0" allowBlank="1" type="list">
      <formula1>"A. Kokott,C. Trapp SV,D. Brucker,E. Bieler,J. Dorchies,J. Dorn,O. Haag BS-CAD,P. Bergner,R. Böttiger,T. Trautmann,U. Sutter ADM"</formula1>
    </dataValidation>
    <dataValidation sqref="J94" showDropDown="0" showInputMessage="0" showErrorMessage="0" allowBlank="1" type="list">
      <formula1>"C. Trapp SV"</formula1>
    </dataValidation>
    <dataValidation sqref="J95" showDropDown="0" showInputMessage="0" showErrorMessage="0" allowBlank="1" type="list">
      <formula1>"C. Trapp SV"</formula1>
    </dataValidation>
    <dataValidation sqref="J96" showDropDown="0" showInputMessage="0" showErrorMessage="0" allowBlank="1" type="list">
      <formula1>"U. Sutter ADM"</formula1>
    </dataValidation>
    <dataValidation sqref="J97" showDropDown="0" showInputMessage="0" showErrorMessage="0" allowBlank="1" type="list">
      <formula1>"A. Kokott,M. Warner"</formula1>
    </dataValidation>
    <dataValidation sqref="J98" showDropDown="0" showInputMessage="0" showErrorMessage="0" allowBlank="1" type="list">
      <formula1>"O. Haag BS-CAD"</formula1>
    </dataValidation>
    <dataValidation sqref="J104" showDropDown="0" showInputMessage="0" showErrorMessage="0" allowBlank="1" type="list">
      <formula1>"T. Trautmann"</formula1>
    </dataValidation>
    <dataValidation sqref="J105" showDropDown="0" showInputMessage="0" showErrorMessage="0" allowBlank="1" type="list">
      <formula1>"T. Trautmann"</formula1>
    </dataValidation>
    <dataValidation sqref="J106" showDropDown="0" showInputMessage="0" showErrorMessage="0" allowBlank="1" type="list">
      <formula1>"T. Trautmann"</formula1>
    </dataValidation>
    <dataValidation sqref="J108" showDropDown="0" showInputMessage="0" showErrorMessage="0" allowBlank="1" type="list">
      <formula1>"R. Böttiger"</formula1>
    </dataValidation>
    <dataValidation sqref="J109" showDropDown="0" showInputMessage="0" showErrorMessage="0" allowBlank="1" type="list">
      <formula1>"A. Kokott,C. Trapp SV"</formula1>
    </dataValidation>
    <dataValidation sqref="J113" showDropDown="0" showInputMessage="0" showErrorMessage="0" allowBlank="1" type="list">
      <formula1>"D. Brucker"</formula1>
    </dataValidation>
    <dataValidation sqref="J115" showDropDown="0" showInputMessage="0" showErrorMessage="0" allowBlank="1" type="list">
      <formula1>"A. Kokott"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113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8" customWidth="1" min="3" max="3"/>
    <col width="12" customWidth="1" min="4" max="4"/>
    <col width="12" customWidth="1" min="5" max="5"/>
    <col width="12" customWidth="1" min="6" max="6"/>
    <col width="8" customWidth="1" min="7" max="7"/>
    <col width="16" customWidth="1" min="8" max="8"/>
    <col width="12" customWidth="1" min="9" max="9"/>
    <col width="25" customWidth="1" min="10" max="10"/>
    <col width="15" customWidth="1" min="11" max="11"/>
    <col width="18" customWidth="1" min="12" max="12"/>
    <col width="15" customWidth="1" min="13" max="13"/>
    <col width="18" customWidth="1" min="14" max="14"/>
    <col width="15" customWidth="1" min="15" max="15"/>
    <col width="22" customWidth="1" min="16" max="16"/>
  </cols>
  <sheetData>
    <row r="1">
      <c r="A1" t="inlineStr">
        <is>
          <t>T. Trautmann - Quartalsreport 2025Q3</t>
        </is>
      </c>
    </row>
    <row r="2">
      <c r="A2" s="12" t="inlineStr">
        <is>
          <t>Position:</t>
        </is>
      </c>
      <c r="B2" t="inlineStr">
        <is>
          <t>SV</t>
        </is>
      </c>
    </row>
    <row r="4">
      <c r="A4" s="2" t="inlineStr">
        <is>
          <t>--- Juli 2025 ---</t>
        </is>
      </c>
    </row>
    <row r="5">
      <c r="A5" s="3" t="inlineStr">
        <is>
          <t>Projekt</t>
        </is>
      </c>
      <c r="B5" s="3" t="inlineStr">
        <is>
          <t>Meilenstein</t>
        </is>
      </c>
      <c r="C5" s="3" t="inlineStr">
        <is>
          <t>Typ</t>
        </is>
      </c>
      <c r="D5" s="3" t="inlineStr">
        <is>
          <t>Soll (h)</t>
        </is>
      </c>
      <c r="E5" s="3" t="inlineStr">
        <is>
          <t>Ist (h)</t>
        </is>
      </c>
      <c r="F5" s="3" t="inlineStr">
        <is>
          <t>Juli 2025 (h)</t>
        </is>
      </c>
      <c r="G5" s="3" t="inlineStr">
        <is>
          <t>%</t>
        </is>
      </c>
      <c r="H5" s="3" t="inlineStr">
        <is>
          <t>Bonus-Anpassung (h)</t>
        </is>
      </c>
      <c r="I5" s="3" t="inlineStr">
        <is>
          <t>Differenz (h)</t>
        </is>
      </c>
      <c r="J5" s="3" t="inlineStr">
        <is>
          <t>Zuordnen an</t>
        </is>
      </c>
      <c r="K5" s="3" t="inlineStr">
        <is>
          <t>Von anderen (h)</t>
        </is>
      </c>
      <c r="L5" s="3" t="inlineStr">
        <is>
          <t>Stundensatz (€/h)</t>
        </is>
      </c>
      <c r="M5" s="3" t="inlineStr">
        <is>
          <t>Umsatz (€)</t>
        </is>
      </c>
      <c r="N5" s="3" t="inlineStr">
        <is>
          <t>Budget Gesamt (€)</t>
        </is>
      </c>
      <c r="O5" s="3" t="inlineStr">
        <is>
          <t>Budget Ist (€)</t>
        </is>
      </c>
      <c r="P5" s="3" t="inlineStr">
        <is>
          <t>Budget Erwirtschaftet (€)</t>
        </is>
      </c>
    </row>
    <row r="6">
      <c r="A6" s="13" t="inlineStr">
        <is>
          <t>0000 Sonderprojekt für Bonus</t>
        </is>
      </c>
      <c r="B6" s="4" t="inlineStr">
        <is>
          <t>Angebote-Ausschreibungen-Kalkulationen (max. 8h/Monat pro MA)</t>
        </is>
      </c>
      <c r="C6" s="4" t="inlineStr">
        <is>
          <t>M</t>
        </is>
      </c>
      <c r="D6" s="4" t="n">
        <v>8</v>
      </c>
      <c r="E6" s="4" t="n">
        <v>3.25</v>
      </c>
      <c r="F6" s="4" t="n">
        <v>3.25</v>
      </c>
      <c r="G6" s="17" t="n">
        <v>40.62</v>
      </c>
      <c r="H6" s="5" t="n"/>
      <c r="I6" s="5">
        <f>IF(H6=0,"",F6-H6)</f>
        <v/>
      </c>
      <c r="J6" s="4" t="n"/>
      <c r="K6" s="5">
        <f>IF('A. Kokott'!J6="T. Trautmann",'A. Kokott'!I6,0)+IF('D. Brucker'!J6="T. Trautmann",'D. Brucker'!I6,0)+IF('E. Bieler'!J6="T. Trautmann",'E. Bieler'!I6,0)+IF('J. Dorchies'!J6="T. Trautmann",'J. Dorchies'!I6,0)+IF('O. Haag BS-CAD'!J6="T. Trautmann",'O. Haag BS-CAD'!I6,0)+IF('S. Schüler'!J6="T. Trautmann",'S. Schüler'!I6,0)+IF('U. Sutter ADM'!J6="T. Trautmann",'U. Sutter ADM'!I6,0)</f>
        <v/>
      </c>
      <c r="L6" s="11">
        <f>IF($B$2="-","",IF($B$2="Pauschale",IFERROR(INDEX('Projekt-Budget-Übersicht'!$H:$H,MATCH(A6,'Projekt-Budget-Übersicht'!$A:$A,0)),""),IF($B$2="SV",IFERROR(INDEX('Projekt-Budget-Übersicht'!$H:$H,MATCH(A6,'Projekt-Budget-Übersicht'!$A:$A,0)),""),IF($B$2="CAD",IFERROR(INDEX('Projekt-Budget-Übersicht'!$I:$I,MATCH(A6,'Projekt-Budget-Übersicht'!$A:$A,0)),""),IF($B$2="ADM",IFERROR(INDEX('Projekt-Budget-Übersicht'!$J:$J,MATCH(A6,'Projekt-Budget-Übersicht'!$A:$A,0)),""),"")))))</f>
        <v/>
      </c>
      <c r="M6" s="11">
        <f>IF($B$2="-","",L6*(F6+I6+K6))</f>
        <v/>
      </c>
      <c r="N6" s="11">
        <f>IFERROR(INDEX('Projekt-Budget-Übersicht'!$E:$E,MATCH(A6,'Projekt-Budget-Übersicht'!$A:$A,0)),"")</f>
        <v/>
      </c>
      <c r="O6" s="11" t="inlineStr"/>
      <c r="P6" s="11" t="inlineStr"/>
    </row>
    <row r="7">
      <c r="A7" s="21" t="n"/>
      <c r="B7" s="4" t="inlineStr">
        <is>
          <t>Einarbeitung neuer Mitarbeiter (max. 8h/Monat pro MA)</t>
        </is>
      </c>
      <c r="C7" s="4" t="inlineStr">
        <is>
          <t>M</t>
        </is>
      </c>
      <c r="D7" s="4" t="n">
        <v>8</v>
      </c>
      <c r="E7" s="4" t="n">
        <v>8</v>
      </c>
      <c r="F7" s="4" t="n">
        <v>8</v>
      </c>
      <c r="G7" s="14" t="n">
        <v>100</v>
      </c>
      <c r="H7" s="5" t="n"/>
      <c r="I7" s="5">
        <f>IF(H7=0,"",F7-H7)</f>
        <v/>
      </c>
      <c r="J7" s="4" t="n"/>
      <c r="K7" s="5">
        <f>IF('A. Kokott'!J7="T. Trautmann",'A. Kokott'!I7,0)+IF('C. Trapp SV'!J6="T. Trautmann",'C. Trapp SV'!I6,0)+IF('D. Brucker'!J7="T. Trautmann",'D. Brucker'!I7,0)+IF('E. Bieler'!J7="T. Trautmann",'E. Bieler'!I7,0)+IF('J. Dorchies'!J7="T. Trautmann",'J. Dorchies'!I7,0)+IF('J. Dorn'!J6="T. Trautmann",'J. Dorn'!I6,0)+IF('M. Bandlofsky'!J6="T. Trautmann",'M. Bandlofsky'!I6,0)+IF('U. Sutter ADM'!J7="T. Trautmann",'U. Sutter ADM'!I7,0)</f>
        <v/>
      </c>
      <c r="L7" s="11">
        <f>IF($B$2="-","",IF($B$2="Pauschale",IFERROR(INDEX('Projekt-Budget-Übersicht'!$H:$H,MATCH(A7,'Projekt-Budget-Übersicht'!$A:$A,0)),""),IF($B$2="SV",IFERROR(INDEX('Projekt-Budget-Übersicht'!$H:$H,MATCH(A7,'Projekt-Budget-Übersicht'!$A:$A,0)),""),IF($B$2="CAD",IFERROR(INDEX('Projekt-Budget-Übersicht'!$I:$I,MATCH(A7,'Projekt-Budget-Übersicht'!$A:$A,0)),""),IF($B$2="ADM",IFERROR(INDEX('Projekt-Budget-Übersicht'!$J:$J,MATCH(A7,'Projekt-Budget-Übersicht'!$A:$A,0)),""),"")))))</f>
        <v/>
      </c>
      <c r="M7" s="11">
        <f>IF($B$2="-","",L7*(F7+I7+K7))</f>
        <v/>
      </c>
      <c r="N7" s="11">
        <f>IFERROR(INDEX('Projekt-Budget-Übersicht'!$E:$E,MATCH(A7,'Projekt-Budget-Übersicht'!$A:$A,0)),"")</f>
        <v/>
      </c>
      <c r="O7" s="11" t="inlineStr"/>
      <c r="P7" s="11" t="inlineStr"/>
    </row>
    <row r="8">
      <c r="A8" s="15" t="n"/>
      <c r="B8" s="4" t="inlineStr">
        <is>
          <t>Erstellung Vorlagen (übergreifend) (max. 8h/Monat pro MA)</t>
        </is>
      </c>
      <c r="C8" s="4" t="inlineStr">
        <is>
          <t>M</t>
        </is>
      </c>
      <c r="D8" s="4" t="n">
        <v>8</v>
      </c>
      <c r="E8" s="4" t="n">
        <v>4.75</v>
      </c>
      <c r="F8" s="4" t="n">
        <v>4.75</v>
      </c>
      <c r="G8" s="17" t="n">
        <v>59.38</v>
      </c>
      <c r="H8" s="5" t="n"/>
      <c r="I8" s="5">
        <f>IF(H8=0,"",F8-H8)</f>
        <v/>
      </c>
      <c r="J8" s="4" t="n"/>
      <c r="K8" s="5">
        <f>IF('J. Dorn'!J7="T. Trautmann",'J. Dorn'!I7,0)</f>
        <v/>
      </c>
      <c r="L8" s="11">
        <f>IF($B$2="-","",IF($B$2="Pauschale",IFERROR(INDEX('Projekt-Budget-Übersicht'!$H:$H,MATCH(A8,'Projekt-Budget-Übersicht'!$A:$A,0)),""),IF($B$2="SV",IFERROR(INDEX('Projekt-Budget-Übersicht'!$H:$H,MATCH(A8,'Projekt-Budget-Übersicht'!$A:$A,0)),""),IF($B$2="CAD",IFERROR(INDEX('Projekt-Budget-Übersicht'!$I:$I,MATCH(A8,'Projekt-Budget-Übersicht'!$A:$A,0)),""),IF($B$2="ADM",IFERROR(INDEX('Projekt-Budget-Übersicht'!$J:$J,MATCH(A8,'Projekt-Budget-Übersicht'!$A:$A,0)),""),"")))))</f>
        <v/>
      </c>
      <c r="M8" s="11">
        <f>IF($B$2="-","",L8*(F8+I8+K8))</f>
        <v/>
      </c>
      <c r="N8" s="11">
        <f>IFERROR(INDEX('Projekt-Budget-Übersicht'!$E:$E,MATCH(A8,'Projekt-Budget-Übersicht'!$A:$A,0)),"")</f>
        <v/>
      </c>
      <c r="O8" s="11" t="inlineStr"/>
      <c r="P8" s="11" t="inlineStr"/>
    </row>
    <row r="9">
      <c r="A9" s="4" t="inlineStr">
        <is>
          <t>1914.102 Retailer-T3-Lagardère Travel Retail Deutschland Foodservice GmbH</t>
        </is>
      </c>
      <c r="B9" s="4" t="inlineStr">
        <is>
          <t>(a.N) Brandschutztechnische Beratung</t>
        </is>
      </c>
      <c r="C9" s="4" t="inlineStr">
        <is>
          <t>G</t>
        </is>
      </c>
      <c r="D9" s="4" t="n">
        <v>60</v>
      </c>
      <c r="E9" s="4" t="n">
        <v>40</v>
      </c>
      <c r="F9" s="4" t="n">
        <v>0.75</v>
      </c>
      <c r="G9" s="17" t="n">
        <v>66.67</v>
      </c>
      <c r="H9" s="5" t="n"/>
      <c r="I9" s="5">
        <f>IF(H9=0,"",F9-H9)</f>
        <v/>
      </c>
      <c r="J9" s="4" t="n"/>
      <c r="K9" s="5" t="n">
        <v>0</v>
      </c>
      <c r="L9" s="11">
        <f>IF($B$2="-","",IF($B$2="Pauschale",IFERROR(INDEX('Projekt-Budget-Übersicht'!$H:$H,MATCH(A9,'Projekt-Budget-Übersicht'!$A:$A,0)),""),IF($B$2="SV",IFERROR(INDEX('Projekt-Budget-Übersicht'!$H:$H,MATCH(A9,'Projekt-Budget-Übersicht'!$A:$A,0)),""),IF($B$2="CAD",IFERROR(INDEX('Projekt-Budget-Übersicht'!$I:$I,MATCH(A9,'Projekt-Budget-Übersicht'!$A:$A,0)),""),IF($B$2="ADM",IFERROR(INDEX('Projekt-Budget-Übersicht'!$J:$J,MATCH(A9,'Projekt-Budget-Übersicht'!$A:$A,0)),""),"")))))</f>
        <v/>
      </c>
      <c r="M9" s="11">
        <f>IF($B$2="-","",L9*(F9+I9+K9))</f>
        <v/>
      </c>
      <c r="N9" s="11">
        <f>IFERROR(INDEX('Projekt-Budget-Übersicht'!$E:$E,MATCH(A9,'Projekt-Budget-Übersicht'!$A:$A,0)),"")</f>
        <v/>
      </c>
      <c r="O9" s="11" t="inlineStr"/>
      <c r="P9" s="11" t="inlineStr"/>
    </row>
    <row r="10">
      <c r="A10" s="4" t="inlineStr">
        <is>
          <t>3869.24 KES-BST-1.OG-Bestandsgebäude-Marktstr1-3-Stuttgart</t>
        </is>
      </c>
      <c r="B10" s="4" t="inlineStr">
        <is>
          <t>SV</t>
        </is>
      </c>
      <c r="C10" s="4" t="inlineStr">
        <is>
          <t>G</t>
        </is>
      </c>
      <c r="D10" s="4" t="n">
        <v>20</v>
      </c>
      <c r="E10" s="4" t="n">
        <v>18.75</v>
      </c>
      <c r="F10" s="4" t="n">
        <v>16.25</v>
      </c>
      <c r="G10" s="14" t="n">
        <v>93.75</v>
      </c>
      <c r="H10" s="5" t="n"/>
      <c r="I10" s="5">
        <f>IF(H10=0,"",F10-H10)</f>
        <v/>
      </c>
      <c r="J10" s="4" t="n"/>
      <c r="K10" s="5">
        <f>IF('E. Bieler'!J8="T. Trautmann",'E. Bieler'!I8,0)</f>
        <v/>
      </c>
      <c r="L10" s="11">
        <f>IF($B$2="-","",IF($B$2="Pauschale",IFERROR(INDEX('Projekt-Budget-Übersicht'!$H:$H,MATCH(A10,'Projekt-Budget-Übersicht'!$A:$A,0)),""),IF($B$2="SV",IFERROR(INDEX('Projekt-Budget-Übersicht'!$H:$H,MATCH(A10,'Projekt-Budget-Übersicht'!$A:$A,0)),""),IF($B$2="CAD",IFERROR(INDEX('Projekt-Budget-Übersicht'!$I:$I,MATCH(A10,'Projekt-Budget-Übersicht'!$A:$A,0)),""),IF($B$2="ADM",IFERROR(INDEX('Projekt-Budget-Übersicht'!$J:$J,MATCH(A10,'Projekt-Budget-Übersicht'!$A:$A,0)),""),"")))))</f>
        <v/>
      </c>
      <c r="M10" s="11">
        <f>IF($B$2="-","",L10*(F10+I10+K10))</f>
        <v/>
      </c>
      <c r="N10" s="11">
        <f>IFERROR(INDEX('Projekt-Budget-Übersicht'!$E:$E,MATCH(A10,'Projekt-Budget-Übersicht'!$A:$A,0)),"")</f>
        <v/>
      </c>
      <c r="O10" s="11" t="inlineStr"/>
      <c r="P10" s="11" t="inlineStr"/>
    </row>
    <row r="11">
      <c r="A11" s="4" t="inlineStr">
        <is>
          <t>3937.08 Adidas-BTB-Adi-Dassler-Str1-Herzogenaurach</t>
        </is>
      </c>
      <c r="B11" s="4" t="inlineStr">
        <is>
          <t>(aN) Pos. 1 Brandschutztechnische Beratung</t>
        </is>
      </c>
      <c r="C11" s="4" t="inlineStr">
        <is>
          <t>G</t>
        </is>
      </c>
      <c r="D11" s="4" t="n">
        <v>40</v>
      </c>
      <c r="E11" s="4" t="n">
        <v>13.5</v>
      </c>
      <c r="F11" s="4" t="n">
        <v>5</v>
      </c>
      <c r="G11" s="17" t="n">
        <v>33.75</v>
      </c>
      <c r="H11" s="5" t="n"/>
      <c r="I11" s="5">
        <f>IF(H11=0,"",F11-H11)</f>
        <v/>
      </c>
      <c r="J11" s="4" t="n"/>
      <c r="K11" s="5" t="n">
        <v>0</v>
      </c>
      <c r="L11" s="11">
        <f>IF($B$2="-","",IF($B$2="Pauschale",IFERROR(INDEX('Projekt-Budget-Übersicht'!$H:$H,MATCH(A11,'Projekt-Budget-Übersicht'!$A:$A,0)),""),IF($B$2="SV",IFERROR(INDEX('Projekt-Budget-Übersicht'!$H:$H,MATCH(A11,'Projekt-Budget-Übersicht'!$A:$A,0)),""),IF($B$2="CAD",IFERROR(INDEX('Projekt-Budget-Übersicht'!$I:$I,MATCH(A11,'Projekt-Budget-Übersicht'!$A:$A,0)),""),IF($B$2="ADM",IFERROR(INDEX('Projekt-Budget-Übersicht'!$J:$J,MATCH(A11,'Projekt-Budget-Übersicht'!$A:$A,0)),""),"")))))</f>
        <v/>
      </c>
      <c r="M11" s="11">
        <f>IF($B$2="-","",L11*(F11+I11+K11))</f>
        <v/>
      </c>
      <c r="N11" s="11">
        <f>IFERROR(INDEX('Projekt-Budget-Übersicht'!$E:$E,MATCH(A11,'Projekt-Budget-Übersicht'!$A:$A,0)),"")</f>
        <v/>
      </c>
      <c r="O11" s="11" t="inlineStr"/>
      <c r="P11" s="11" t="inlineStr"/>
    </row>
    <row r="12">
      <c r="A12" s="4" t="inlineStr">
        <is>
          <t>4399.01 Hugo-Boss-AHO-NeubauH2-Dieselstr12-Metzingen</t>
        </is>
      </c>
      <c r="B12" s="4" t="inlineStr">
        <is>
          <t>(p) Pos. 4 LP 8 GL (SV)</t>
        </is>
      </c>
      <c r="C12" s="4" t="inlineStr">
        <is>
          <t>G</t>
        </is>
      </c>
      <c r="D12" s="4" t="n">
        <v>141</v>
      </c>
      <c r="E12" s="4" t="n">
        <v>29.75</v>
      </c>
      <c r="F12" s="4" t="n">
        <v>5.5</v>
      </c>
      <c r="G12" s="17" t="n">
        <v>21.1</v>
      </c>
      <c r="H12" s="5" t="n"/>
      <c r="I12" s="5">
        <f>IF(H12=0,"",F12-H12)</f>
        <v/>
      </c>
      <c r="J12" s="4" t="n"/>
      <c r="K12" s="5" t="n">
        <v>0</v>
      </c>
      <c r="L12" s="11">
        <f>IF($B$2="-","",IF($B$2="Pauschale",IFERROR(INDEX('Projekt-Budget-Übersicht'!$H:$H,MATCH(A12,'Projekt-Budget-Übersicht'!$A:$A,0)),""),IF($B$2="SV",IFERROR(INDEX('Projekt-Budget-Übersicht'!$H:$H,MATCH(A12,'Projekt-Budget-Übersicht'!$A:$A,0)),""),IF($B$2="CAD",IFERROR(INDEX('Projekt-Budget-Übersicht'!$I:$I,MATCH(A12,'Projekt-Budget-Übersicht'!$A:$A,0)),""),IF($B$2="ADM",IFERROR(INDEX('Projekt-Budget-Übersicht'!$J:$J,MATCH(A12,'Projekt-Budget-Übersicht'!$A:$A,0)),""),"")))))</f>
        <v/>
      </c>
      <c r="M12" s="11">
        <f>IF($B$2="-","",L12*(F12+I12+K12))</f>
        <v/>
      </c>
      <c r="N12" s="11">
        <f>IFERROR(INDEX('Projekt-Budget-Übersicht'!$E:$E,MATCH(A12,'Projekt-Budget-Übersicht'!$A:$A,0)),"")</f>
        <v/>
      </c>
      <c r="O12" s="11" t="inlineStr"/>
      <c r="P12" s="11" t="inlineStr"/>
    </row>
    <row r="13">
      <c r="A13" s="4" t="inlineStr">
        <is>
          <t>5437.02 BAB-Bissierstraße-Freiburg-Metzgergrün</t>
        </is>
      </c>
      <c r="B13" s="4" t="inlineStr">
        <is>
          <t>8100-Prüfen der Ausführung auf prinzipielle Übereinstimmung (Stufe 1)....</t>
        </is>
      </c>
      <c r="C13" s="4" t="inlineStr">
        <is>
          <t>G</t>
        </is>
      </c>
      <c r="D13" s="4" t="n">
        <v>180</v>
      </c>
      <c r="E13" s="4" t="n">
        <v>149.75</v>
      </c>
      <c r="F13" s="4" t="n">
        <v>7.5</v>
      </c>
      <c r="G13" s="17" t="n">
        <v>83.19</v>
      </c>
      <c r="H13" s="5" t="n"/>
      <c r="I13" s="5">
        <f>IF(H13=0,"",F13-H13)</f>
        <v/>
      </c>
      <c r="J13" s="4" t="n"/>
      <c r="K13" s="5" t="n">
        <v>0</v>
      </c>
      <c r="L13" s="11">
        <f>IF($B$2="-","",IF($B$2="Pauschale",IFERROR(INDEX('Projekt-Budget-Übersicht'!$H:$H,MATCH(A13,'Projekt-Budget-Übersicht'!$A:$A,0)),""),IF($B$2="SV",IFERROR(INDEX('Projekt-Budget-Übersicht'!$H:$H,MATCH(A13,'Projekt-Budget-Übersicht'!$A:$A,0)),""),IF($B$2="CAD",IFERROR(INDEX('Projekt-Budget-Übersicht'!$I:$I,MATCH(A13,'Projekt-Budget-Übersicht'!$A:$A,0)),""),IF($B$2="ADM",IFERROR(INDEX('Projekt-Budget-Übersicht'!$J:$J,MATCH(A13,'Projekt-Budget-Übersicht'!$A:$A,0)),""),"")))))</f>
        <v/>
      </c>
      <c r="M13" s="11">
        <f>IF($B$2="-","",L13*(F13+I13+K13))</f>
        <v/>
      </c>
      <c r="N13" s="11">
        <f>IFERROR(INDEX('Projekt-Budget-Übersicht'!$E:$E,MATCH(A13,'Projekt-Budget-Übersicht'!$A:$A,0)),"")</f>
        <v/>
      </c>
      <c r="O13" s="11" t="inlineStr"/>
      <c r="P13" s="11" t="inlineStr"/>
    </row>
    <row r="14">
      <c r="A14" s="4" t="inlineStr">
        <is>
          <t>5437.03 AHO-Brandschutzdienstleistungen-BAII-Bissierstraße-Freiburg-Metzgergrün</t>
        </is>
      </c>
      <c r="B14" s="4" t="inlineStr">
        <is>
          <t>5000-Ausführungsplanung</t>
        </is>
      </c>
      <c r="C14" s="4" t="inlineStr">
        <is>
          <t>G</t>
        </is>
      </c>
      <c r="D14" s="4" t="n">
        <v>85</v>
      </c>
      <c r="E14" s="4" t="n">
        <v>47.25</v>
      </c>
      <c r="F14" s="4" t="n">
        <v>8.75</v>
      </c>
      <c r="G14" s="17" t="n">
        <v>55.59</v>
      </c>
      <c r="H14" s="5" t="n"/>
      <c r="I14" s="5">
        <f>IF(H14=0,"",F14-H14)</f>
        <v/>
      </c>
      <c r="J14" s="4" t="n"/>
      <c r="K14" s="5">
        <f>IF('O. Haag BS-CAD'!J16="T. Trautmann",'O. Haag BS-CAD'!I16,0)</f>
        <v/>
      </c>
      <c r="L14" s="11">
        <f>IF($B$2="-","",IF($B$2="Pauschale",IFERROR(INDEX('Projekt-Budget-Übersicht'!$H:$H,MATCH(A14,'Projekt-Budget-Übersicht'!$A:$A,0)),""),IF($B$2="SV",IFERROR(INDEX('Projekt-Budget-Übersicht'!$H:$H,MATCH(A14,'Projekt-Budget-Übersicht'!$A:$A,0)),""),IF($B$2="CAD",IFERROR(INDEX('Projekt-Budget-Übersicht'!$I:$I,MATCH(A14,'Projekt-Budget-Übersicht'!$A:$A,0)),""),IF($B$2="ADM",IFERROR(INDEX('Projekt-Budget-Übersicht'!$J:$J,MATCH(A14,'Projekt-Budget-Übersicht'!$A:$A,0)),""),"")))))</f>
        <v/>
      </c>
      <c r="M14" s="11">
        <f>IF($B$2="-","",L14*(F14+I14+K14))</f>
        <v/>
      </c>
      <c r="N14" s="11">
        <f>IFERROR(INDEX('Projekt-Budget-Übersicht'!$E:$E,MATCH(A14,'Projekt-Budget-Übersicht'!$A:$A,0)),"")</f>
        <v/>
      </c>
      <c r="O14" s="11" t="inlineStr"/>
      <c r="P14" s="11" t="inlineStr"/>
    </row>
    <row r="15">
      <c r="A15" s="4" t="inlineStr">
        <is>
          <t>5757 Hirschberger-Straße-1-Schriesheim-Kurpfalz-Gymnasium</t>
        </is>
      </c>
      <c r="B15" s="4" t="inlineStr">
        <is>
          <t>8000-Objektüberwachung</t>
        </is>
      </c>
      <c r="C15" s="4" t="inlineStr">
        <is>
          <t>G</t>
        </is>
      </c>
      <c r="D15" s="4" t="n">
        <v>283</v>
      </c>
      <c r="E15" s="4" t="n">
        <v>232.5</v>
      </c>
      <c r="F15" s="4" t="n">
        <v>7.25</v>
      </c>
      <c r="G15" s="17" t="n">
        <v>82.16</v>
      </c>
      <c r="H15" s="5" t="n"/>
      <c r="I15" s="5">
        <f>IF(H15=0,"",F15-H15)</f>
        <v/>
      </c>
      <c r="J15" s="4" t="n"/>
      <c r="K15" s="5">
        <f>IF('M. Bandlofsky CAD'!J6="T. Trautmann",'M. Bandlofsky CAD'!I6,0)</f>
        <v/>
      </c>
      <c r="L15" s="11">
        <f>IF($B$2="-","",IF($B$2="Pauschale",IFERROR(INDEX('Projekt-Budget-Übersicht'!$H:$H,MATCH(A15,'Projekt-Budget-Übersicht'!$A:$A,0)),""),IF($B$2="SV",IFERROR(INDEX('Projekt-Budget-Übersicht'!$H:$H,MATCH(A15,'Projekt-Budget-Übersicht'!$A:$A,0)),""),IF($B$2="CAD",IFERROR(INDEX('Projekt-Budget-Übersicht'!$I:$I,MATCH(A15,'Projekt-Budget-Übersicht'!$A:$A,0)),""),IF($B$2="ADM",IFERROR(INDEX('Projekt-Budget-Übersicht'!$J:$J,MATCH(A15,'Projekt-Budget-Übersicht'!$A:$A,0)),""),"")))))</f>
        <v/>
      </c>
      <c r="M15" s="11">
        <f>IF($B$2="-","",L15*(F15+I15+K15))</f>
        <v/>
      </c>
      <c r="N15" s="11">
        <f>IFERROR(INDEX('Projekt-Budget-Übersicht'!$E:$E,MATCH(A15,'Projekt-Budget-Übersicht'!$A:$A,0)),"")</f>
        <v/>
      </c>
      <c r="O15" s="11" t="inlineStr"/>
      <c r="P15" s="11" t="inlineStr"/>
    </row>
    <row r="16">
      <c r="A16" s="4" t="inlineStr">
        <is>
          <t>5845.04 myStorage-BSK-John-Deere-Straße-79-Mannheim-1+2.OG</t>
        </is>
      </c>
      <c r="B16" s="4" t="inlineStr">
        <is>
          <t>3100-Erarbeiten des Brandschutzkonzept/Nachweis/Stellungnahme</t>
        </is>
      </c>
      <c r="C16" s="4" t="inlineStr">
        <is>
          <t>G</t>
        </is>
      </c>
      <c r="D16" s="4" t="n">
        <v>20</v>
      </c>
      <c r="E16" s="4" t="n">
        <v>3.25</v>
      </c>
      <c r="F16" s="4" t="n">
        <v>1</v>
      </c>
      <c r="G16" s="17" t="n">
        <v>16.25</v>
      </c>
      <c r="H16" s="5" t="n"/>
      <c r="I16" s="5">
        <f>IF(H16=0,"",F16-H16)</f>
        <v/>
      </c>
      <c r="J16" s="4" t="n"/>
      <c r="K16" s="5" t="n">
        <v>0</v>
      </c>
      <c r="L16" s="11">
        <f>IF($B$2="-","",IF($B$2="Pauschale",IFERROR(INDEX('Projekt-Budget-Übersicht'!$H:$H,MATCH(A16,'Projekt-Budget-Übersicht'!$A:$A,0)),""),IF($B$2="SV",IFERROR(INDEX('Projekt-Budget-Übersicht'!$H:$H,MATCH(A16,'Projekt-Budget-Übersicht'!$A:$A,0)),""),IF($B$2="CAD",IFERROR(INDEX('Projekt-Budget-Übersicht'!$I:$I,MATCH(A16,'Projekt-Budget-Übersicht'!$A:$A,0)),""),IF($B$2="ADM",IFERROR(INDEX('Projekt-Budget-Übersicht'!$J:$J,MATCH(A16,'Projekt-Budget-Übersicht'!$A:$A,0)),""),"")))))</f>
        <v/>
      </c>
      <c r="M16" s="11">
        <f>IF($B$2="-","",L16*(F16+I16+K16))</f>
        <v/>
      </c>
      <c r="N16" s="11">
        <f>IFERROR(INDEX('Projekt-Budget-Übersicht'!$E:$E,MATCH(A16,'Projekt-Budget-Übersicht'!$A:$A,0)),"")</f>
        <v/>
      </c>
      <c r="O16" s="11" t="inlineStr"/>
      <c r="P16" s="11" t="inlineStr"/>
    </row>
    <row r="17">
      <c r="A17" s="4" t="inlineStr">
        <is>
          <t>6238 Korntaler-Straße-1-Stammheim-Stadtteilhaus</t>
        </is>
      </c>
      <c r="B17" s="4" t="inlineStr">
        <is>
          <t>8000-Objektüberwachung</t>
        </is>
      </c>
      <c r="C17" s="4" t="inlineStr">
        <is>
          <t>G</t>
        </is>
      </c>
      <c r="D17" s="4" t="n">
        <v>50.5</v>
      </c>
      <c r="E17" s="4" t="n">
        <v>16.5</v>
      </c>
      <c r="F17" s="4" t="n">
        <v>3.75</v>
      </c>
      <c r="G17" s="17" t="n">
        <v>32.67</v>
      </c>
      <c r="H17" s="5" t="n"/>
      <c r="I17" s="5">
        <f>IF(H17=0,"",F17-H17)</f>
        <v/>
      </c>
      <c r="J17" s="4" t="n"/>
      <c r="K17" s="5" t="n">
        <v>0</v>
      </c>
      <c r="L17" s="11">
        <f>IF($B$2="-","",IF($B$2="Pauschale",IFERROR(INDEX('Projekt-Budget-Übersicht'!$H:$H,MATCH(A17,'Projekt-Budget-Übersicht'!$A:$A,0)),""),IF($B$2="SV",IFERROR(INDEX('Projekt-Budget-Übersicht'!$H:$H,MATCH(A17,'Projekt-Budget-Übersicht'!$A:$A,0)),""),IF($B$2="CAD",IFERROR(INDEX('Projekt-Budget-Übersicht'!$I:$I,MATCH(A17,'Projekt-Budget-Übersicht'!$A:$A,0)),""),IF($B$2="ADM",IFERROR(INDEX('Projekt-Budget-Übersicht'!$J:$J,MATCH(A17,'Projekt-Budget-Übersicht'!$A:$A,0)),""),"")))))</f>
        <v/>
      </c>
      <c r="M17" s="11">
        <f>IF($B$2="-","",L17*(F17+I17+K17))</f>
        <v/>
      </c>
      <c r="N17" s="11">
        <f>IFERROR(INDEX('Projekt-Budget-Übersicht'!$E:$E,MATCH(A17,'Projekt-Budget-Übersicht'!$A:$A,0)),"")</f>
        <v/>
      </c>
      <c r="O17" s="11" t="inlineStr"/>
      <c r="P17" s="11" t="inlineStr"/>
    </row>
    <row r="18">
      <c r="A18" s="4" t="inlineStr">
        <is>
          <t>6377 Alemannenstraße-21-Heimsheim-IAV</t>
        </is>
      </c>
      <c r="B18" s="4" t="inlineStr">
        <is>
          <t>8000-Objektüberwachung</t>
        </is>
      </c>
      <c r="C18" s="4" t="inlineStr">
        <is>
          <t>G</t>
        </is>
      </c>
      <c r="D18" s="4" t="n">
        <v>191.25</v>
      </c>
      <c r="E18" s="4" t="n">
        <v>76.5</v>
      </c>
      <c r="F18" s="4" t="n">
        <v>3.75</v>
      </c>
      <c r="G18" s="17" t="n">
        <v>40</v>
      </c>
      <c r="H18" s="5" t="n"/>
      <c r="I18" s="5">
        <f>IF(H18=0,"",F18-H18)</f>
        <v/>
      </c>
      <c r="J18" s="4" t="n"/>
      <c r="K18" s="5" t="n">
        <v>0</v>
      </c>
      <c r="L18" s="11">
        <f>IF($B$2="-","",IF($B$2="Pauschale",IFERROR(INDEX('Projekt-Budget-Übersicht'!$H:$H,MATCH(A18,'Projekt-Budget-Übersicht'!$A:$A,0)),""),IF($B$2="SV",IFERROR(INDEX('Projekt-Budget-Übersicht'!$H:$H,MATCH(A18,'Projekt-Budget-Übersicht'!$A:$A,0)),""),IF($B$2="CAD",IFERROR(INDEX('Projekt-Budget-Übersicht'!$I:$I,MATCH(A18,'Projekt-Budget-Übersicht'!$A:$A,0)),""),IF($B$2="ADM",IFERROR(INDEX('Projekt-Budget-Übersicht'!$J:$J,MATCH(A18,'Projekt-Budget-Übersicht'!$A:$A,0)),""),"")))))</f>
        <v/>
      </c>
      <c r="M18" s="11">
        <f>IF($B$2="-","",L18*(F18+I18+K18))</f>
        <v/>
      </c>
      <c r="N18" s="11">
        <f>IFERROR(INDEX('Projekt-Budget-Übersicht'!$E:$E,MATCH(A18,'Projekt-Budget-Übersicht'!$A:$A,0)),"")</f>
        <v/>
      </c>
      <c r="O18" s="11" t="inlineStr"/>
      <c r="P18" s="11" t="inlineStr"/>
    </row>
    <row r="19">
      <c r="A19" s="4" t="inlineStr">
        <is>
          <t>7040 Fraunhofer-AHO-BSK-ISE-Freiburg-Neubau-Hykos</t>
        </is>
      </c>
      <c r="B19" s="4" t="inlineStr">
        <is>
          <t>NAT 02 (aN) LP2 Hykos+H2T (Beratung a.N. bis Ausschreibung beauftragt)</t>
        </is>
      </c>
      <c r="C19" s="4" t="inlineStr">
        <is>
          <t>G</t>
        </is>
      </c>
      <c r="D19" s="4" t="n">
        <v>20</v>
      </c>
      <c r="E19" s="4" t="n">
        <v>49.5</v>
      </c>
      <c r="F19" s="4" t="n">
        <v>6.75</v>
      </c>
      <c r="G19" s="16" t="n">
        <v>247.5</v>
      </c>
      <c r="H19" s="5" t="n"/>
      <c r="I19" s="5">
        <f>IF(H19=0,"",F19-H19)</f>
        <v/>
      </c>
      <c r="J19" s="4" t="n"/>
      <c r="K19" s="5" t="n">
        <v>0</v>
      </c>
      <c r="L19" s="11">
        <f>IF($B$2="-","",IF($B$2="Pauschale",IFERROR(INDEX('Projekt-Budget-Übersicht'!$H:$H,MATCH(A19,'Projekt-Budget-Übersicht'!$A:$A,0)),""),IF($B$2="SV",IFERROR(INDEX('Projekt-Budget-Übersicht'!$H:$H,MATCH(A19,'Projekt-Budget-Übersicht'!$A:$A,0)),""),IF($B$2="CAD",IFERROR(INDEX('Projekt-Budget-Übersicht'!$I:$I,MATCH(A19,'Projekt-Budget-Übersicht'!$A:$A,0)),""),IF($B$2="ADM",IFERROR(INDEX('Projekt-Budget-Übersicht'!$J:$J,MATCH(A19,'Projekt-Budget-Übersicht'!$A:$A,0)),""),"")))))</f>
        <v/>
      </c>
      <c r="M19" s="11">
        <f>IF($B$2="-","",L19*(F19+I19+K19))</f>
        <v/>
      </c>
      <c r="N19" s="11">
        <f>IFERROR(INDEX('Projekt-Budget-Übersicht'!$E:$E,MATCH(A19,'Projekt-Budget-Übersicht'!$A:$A,0)),"")</f>
        <v/>
      </c>
      <c r="O19" s="11" t="inlineStr"/>
      <c r="P19" s="11" t="inlineStr"/>
    </row>
    <row r="20">
      <c r="A20" s="3" t="inlineStr"/>
      <c r="B20" s="3" t="inlineStr">
        <is>
          <t>Summe</t>
        </is>
      </c>
      <c r="C20" s="3" t="inlineStr"/>
      <c r="D20" s="3" t="inlineStr"/>
      <c r="E20" s="3" t="inlineStr"/>
      <c r="F20" s="6" t="n">
        <v>82.25</v>
      </c>
      <c r="G20" s="3" t="inlineStr"/>
      <c r="H20" s="3" t="inlineStr"/>
      <c r="I20" s="3" t="inlineStr"/>
      <c r="J20" s="3" t="inlineStr"/>
      <c r="K20" s="3" t="inlineStr"/>
      <c r="L20" s="3" t="n"/>
      <c r="M20" s="3" t="n"/>
      <c r="N20" s="3" t="n"/>
      <c r="O20" s="3" t="n"/>
      <c r="P20" s="3" t="n"/>
    </row>
    <row r="21">
      <c r="A21" s="3" t="inlineStr"/>
      <c r="B21" s="3" t="inlineStr">
        <is>
          <t>Bonusberechtigte Stunden</t>
        </is>
      </c>
      <c r="C21" s="3" t="inlineStr"/>
      <c r="D21" s="3" t="inlineStr"/>
      <c r="E21" s="3" t="inlineStr"/>
      <c r="F21" s="6">
        <f>G21+H21</f>
        <v/>
      </c>
      <c r="G21" s="6" t="n">
        <v>59.5</v>
      </c>
      <c r="H21" s="6">
        <f>SUM(H9,H10,H11,H12,H13,H14,H15,H16,H17,H18,H19)</f>
        <v/>
      </c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</row>
    <row r="22">
      <c r="A22" s="3" t="inlineStr"/>
      <c r="B22" s="3" t="inlineStr">
        <is>
          <t>Bonusberechtigte Stunden Sonderprojekt</t>
        </is>
      </c>
      <c r="C22" s="3" t="inlineStr"/>
      <c r="D22" s="3" t="inlineStr"/>
      <c r="E22" s="3" t="inlineStr"/>
      <c r="F22" s="6">
        <f>G22+H22</f>
        <v/>
      </c>
      <c r="G22" s="6" t="n">
        <v>16</v>
      </c>
      <c r="H22" s="6">
        <f>SUM(H6,H7,H8)</f>
        <v/>
      </c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</row>
    <row r="23">
      <c r="A23" s="3" t="inlineStr"/>
      <c r="B23" s="3" t="inlineStr">
        <is>
          <t>Zugeordnete Stunden von anderen MA</t>
        </is>
      </c>
      <c r="C23" s="3" t="inlineStr"/>
      <c r="D23" s="3" t="inlineStr"/>
      <c r="E23" s="3" t="inlineStr"/>
      <c r="F23" s="6">
        <f>SUM(K6:K19)</f>
        <v/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</row>
    <row r="24">
      <c r="A24" s="18" t="inlineStr"/>
      <c r="B24" s="18" t="inlineStr">
        <is>
          <t>Gesamt Bonus Stunden</t>
        </is>
      </c>
      <c r="C24" s="18" t="inlineStr"/>
      <c r="D24" s="18" t="inlineStr"/>
      <c r="E24" s="18" t="inlineStr"/>
      <c r="F24" s="19">
        <f>F21+F22+F23</f>
        <v/>
      </c>
      <c r="G24" s="18" t="inlineStr"/>
      <c r="H24" s="18" t="inlineStr"/>
      <c r="I24" s="18" t="inlineStr"/>
      <c r="J24" s="18" t="inlineStr"/>
      <c r="K24" s="18" t="inlineStr"/>
      <c r="L24" s="18" t="n"/>
      <c r="M24" s="18" t="n"/>
      <c r="N24" s="18" t="n"/>
      <c r="O24" s="18" t="n"/>
      <c r="P24" s="18" t="n"/>
    </row>
    <row r="26">
      <c r="A26" s="2" t="inlineStr">
        <is>
          <t>--- August 2025 ---</t>
        </is>
      </c>
    </row>
    <row r="27">
      <c r="A27" s="3" t="inlineStr">
        <is>
          <t>Projekt</t>
        </is>
      </c>
      <c r="B27" s="3" t="inlineStr">
        <is>
          <t>Meilenstein</t>
        </is>
      </c>
      <c r="C27" s="3" t="inlineStr">
        <is>
          <t>Typ</t>
        </is>
      </c>
      <c r="D27" s="3" t="inlineStr">
        <is>
          <t>Soll (h)</t>
        </is>
      </c>
      <c r="E27" s="3" t="inlineStr">
        <is>
          <t>Ist (h)</t>
        </is>
      </c>
      <c r="F27" s="3" t="inlineStr">
        <is>
          <t>August 2025 (h)</t>
        </is>
      </c>
      <c r="G27" s="3" t="inlineStr">
        <is>
          <t>%</t>
        </is>
      </c>
      <c r="H27" s="3" t="inlineStr">
        <is>
          <t>Bonus-Anpassung (h)</t>
        </is>
      </c>
      <c r="I27" s="3" t="inlineStr">
        <is>
          <t>Differenz (h)</t>
        </is>
      </c>
      <c r="J27" s="3" t="inlineStr">
        <is>
          <t>Zuordnen an</t>
        </is>
      </c>
      <c r="K27" s="3" t="inlineStr">
        <is>
          <t>Von anderen (h)</t>
        </is>
      </c>
      <c r="L27" s="3" t="inlineStr">
        <is>
          <t>Stundensatz (€/h)</t>
        </is>
      </c>
      <c r="M27" s="3" t="inlineStr">
        <is>
          <t>Umsatz (€)</t>
        </is>
      </c>
      <c r="N27" s="3" t="inlineStr">
        <is>
          <t>Budget Gesamt (€)</t>
        </is>
      </c>
      <c r="O27" s="3" t="inlineStr">
        <is>
          <t>Budget Ist (€)</t>
        </is>
      </c>
      <c r="P27" s="3" t="inlineStr">
        <is>
          <t>Budget Erwirtschaftet (€)</t>
        </is>
      </c>
    </row>
    <row r="28">
      <c r="A28" s="13" t="inlineStr">
        <is>
          <t>0000 Sonderprojekt für Bonus</t>
        </is>
      </c>
      <c r="B28" s="4" t="inlineStr">
        <is>
          <t>Angebote-Ausschreibungen-Kalkulationen (max. 8h/Monat pro MA)</t>
        </is>
      </c>
      <c r="C28" s="4" t="inlineStr">
        <is>
          <t>M</t>
        </is>
      </c>
      <c r="D28" s="4" t="n">
        <v>8</v>
      </c>
      <c r="E28" s="4" t="n">
        <v>7.75</v>
      </c>
      <c r="F28" s="4" t="n">
        <v>7.75</v>
      </c>
      <c r="G28" s="14" t="n">
        <v>96.88</v>
      </c>
      <c r="H28" s="5" t="n"/>
      <c r="I28" s="5">
        <f>IF(H28=0,"",F28-H28)</f>
        <v/>
      </c>
      <c r="J28" s="4" t="n"/>
      <c r="K28" s="5">
        <f>IF('A. Kokott'!J39="T. Trautmann",'A. Kokott'!I39,0)+IF('J. Dorn'!J45="T. Trautmann",'J. Dorn'!I45,0)+IF('O. Haag BS-CAD'!J51="T. Trautmann",'O. Haag BS-CAD'!I51,0)+IF('P. Bergner'!J21="T. Trautmann",'P. Bergner'!I21,0)+IF('R. Böttiger'!J31="T. Trautmann",'R. Böttiger'!I31,0)+IF('U. Sutter ADM'!J28="T. Trautmann",'U. Sutter ADM'!I28,0)</f>
        <v/>
      </c>
      <c r="L28" s="11">
        <f>IF($B$2="-","",IF($B$2="Pauschale",IFERROR(INDEX('Projekt-Budget-Übersicht'!$H:$H,MATCH(A28,'Projekt-Budget-Übersicht'!$A:$A,0)),""),IF($B$2="SV",IFERROR(INDEX('Projekt-Budget-Übersicht'!$H:$H,MATCH(A28,'Projekt-Budget-Übersicht'!$A:$A,0)),""),IF($B$2="CAD",IFERROR(INDEX('Projekt-Budget-Übersicht'!$I:$I,MATCH(A28,'Projekt-Budget-Übersicht'!$A:$A,0)),""),IF($B$2="ADM",IFERROR(INDEX('Projekt-Budget-Übersicht'!$J:$J,MATCH(A28,'Projekt-Budget-Übersicht'!$A:$A,0)),""),"")))))</f>
        <v/>
      </c>
      <c r="M28" s="11">
        <f>IF($B$2="-","",L28*(F28+I28+K28))</f>
        <v/>
      </c>
      <c r="N28" s="11">
        <f>IFERROR(INDEX('Projekt-Budget-Übersicht'!$E:$E,MATCH(A28,'Projekt-Budget-Übersicht'!$A:$A,0)),"")</f>
        <v/>
      </c>
      <c r="O28" s="11" t="inlineStr"/>
      <c r="P28" s="11" t="inlineStr"/>
    </row>
    <row r="29">
      <c r="A29" s="21" t="n"/>
      <c r="B29" s="4" t="inlineStr">
        <is>
          <t>Einarbeitung neuer Mitarbeiter (max. 8h/Monat pro MA)</t>
        </is>
      </c>
      <c r="C29" s="4" t="inlineStr">
        <is>
          <t>M</t>
        </is>
      </c>
      <c r="D29" s="4" t="n">
        <v>8</v>
      </c>
      <c r="E29" s="4" t="n">
        <v>6.5</v>
      </c>
      <c r="F29" s="4" t="n">
        <v>6.5</v>
      </c>
      <c r="G29" s="17" t="n">
        <v>81.25</v>
      </c>
      <c r="H29" s="5" t="n"/>
      <c r="I29" s="5">
        <f>IF(H29=0,"",F29-H29)</f>
        <v/>
      </c>
      <c r="J29" s="4" t="n"/>
      <c r="K29" s="5">
        <f>IF('A. Kokott'!J40="T. Trautmann",'A. Kokott'!I40,0)+IF('M. Bandlofsky'!J26="T. Trautmann",'M. Bandlofsky'!I26,0)+IF('O. Haag BS-CAD'!J52="T. Trautmann",'O. Haag BS-CAD'!I52,0)+IF('P. Bergner'!J22="T. Trautmann",'P. Bergner'!I22,0)+IF('R. Wagen CAD'!J31="T. Trautmann",'R. Wagen CAD'!I31,0)+IF('U. Sutter ADM'!J29="T. Trautmann",'U. Sutter ADM'!I29,0)</f>
        <v/>
      </c>
      <c r="L29" s="11">
        <f>IF($B$2="-","",IF($B$2="Pauschale",IFERROR(INDEX('Projekt-Budget-Übersicht'!$H:$H,MATCH(A29,'Projekt-Budget-Übersicht'!$A:$A,0)),""),IF($B$2="SV",IFERROR(INDEX('Projekt-Budget-Übersicht'!$H:$H,MATCH(A29,'Projekt-Budget-Übersicht'!$A:$A,0)),""),IF($B$2="CAD",IFERROR(INDEX('Projekt-Budget-Übersicht'!$I:$I,MATCH(A29,'Projekt-Budget-Übersicht'!$A:$A,0)),""),IF($B$2="ADM",IFERROR(INDEX('Projekt-Budget-Übersicht'!$J:$J,MATCH(A29,'Projekt-Budget-Übersicht'!$A:$A,0)),""),"")))))</f>
        <v/>
      </c>
      <c r="M29" s="11">
        <f>IF($B$2="-","",L29*(F29+I29+K29))</f>
        <v/>
      </c>
      <c r="N29" s="11">
        <f>IFERROR(INDEX('Projekt-Budget-Übersicht'!$E:$E,MATCH(A29,'Projekt-Budget-Übersicht'!$A:$A,0)),"")</f>
        <v/>
      </c>
      <c r="O29" s="11" t="inlineStr"/>
      <c r="P29" s="11" t="inlineStr"/>
    </row>
    <row r="30">
      <c r="A30" s="15" t="n"/>
      <c r="B30" s="4" t="inlineStr">
        <is>
          <t>Erstellung Vorlagen (übergreifend) (max. 8h/Monat pro MA)</t>
        </is>
      </c>
      <c r="C30" s="4" t="inlineStr">
        <is>
          <t>M</t>
        </is>
      </c>
      <c r="D30" s="4" t="n">
        <v>8</v>
      </c>
      <c r="E30" s="4" t="n">
        <v>2</v>
      </c>
      <c r="F30" s="4" t="n">
        <v>2</v>
      </c>
      <c r="G30" s="17" t="n">
        <v>25</v>
      </c>
      <c r="H30" s="5" t="n"/>
      <c r="I30" s="5">
        <f>IF(H30=0,"",F30-H30)</f>
        <v/>
      </c>
      <c r="J30" s="4" t="n"/>
      <c r="K30" s="5">
        <f>IF('C. Trapp SV'!J32="T. Trautmann",'C. Trapp SV'!I32,0)+IF('J. Dorn'!J46="T. Trautmann",'J. Dorn'!I46,0)</f>
        <v/>
      </c>
      <c r="L30" s="11">
        <f>IF($B$2="-","",IF($B$2="Pauschale",IFERROR(INDEX('Projekt-Budget-Übersicht'!$H:$H,MATCH(A30,'Projekt-Budget-Übersicht'!$A:$A,0)),""),IF($B$2="SV",IFERROR(INDEX('Projekt-Budget-Übersicht'!$H:$H,MATCH(A30,'Projekt-Budget-Übersicht'!$A:$A,0)),""),IF($B$2="CAD",IFERROR(INDEX('Projekt-Budget-Übersicht'!$I:$I,MATCH(A30,'Projekt-Budget-Übersicht'!$A:$A,0)),""),IF($B$2="ADM",IFERROR(INDEX('Projekt-Budget-Übersicht'!$J:$J,MATCH(A30,'Projekt-Budget-Übersicht'!$A:$A,0)),""),"")))))</f>
        <v/>
      </c>
      <c r="M30" s="11">
        <f>IF($B$2="-","",L30*(F30+I30+K30))</f>
        <v/>
      </c>
      <c r="N30" s="11">
        <f>IFERROR(INDEX('Projekt-Budget-Übersicht'!$E:$E,MATCH(A30,'Projekt-Budget-Übersicht'!$A:$A,0)),"")</f>
        <v/>
      </c>
      <c r="O30" s="11" t="inlineStr"/>
      <c r="P30" s="11" t="inlineStr"/>
    </row>
    <row r="31">
      <c r="A31" s="4" t="inlineStr">
        <is>
          <t>1914.102 Retailer-T3-Lagardère Travel Retail Deutschland Foodservice GmbH</t>
        </is>
      </c>
      <c r="B31" s="4" t="inlineStr">
        <is>
          <t>(a.N) Brandschutztechnische Beratung</t>
        </is>
      </c>
      <c r="C31" s="4" t="inlineStr">
        <is>
          <t>G</t>
        </is>
      </c>
      <c r="D31" s="4" t="n">
        <v>60</v>
      </c>
      <c r="E31" s="4" t="n">
        <v>40.5</v>
      </c>
      <c r="F31" s="4" t="n">
        <v>0.5</v>
      </c>
      <c r="G31" s="17" t="n">
        <v>67.5</v>
      </c>
      <c r="H31" s="5" t="n"/>
      <c r="I31" s="5">
        <f>IF(H31=0,"",F31-H31)</f>
        <v/>
      </c>
      <c r="J31" s="4" t="n"/>
      <c r="K31" s="5" t="n">
        <v>0</v>
      </c>
      <c r="L31" s="11">
        <f>IF($B$2="-","",IF($B$2="Pauschale",IFERROR(INDEX('Projekt-Budget-Übersicht'!$H:$H,MATCH(A31,'Projekt-Budget-Übersicht'!$A:$A,0)),""),IF($B$2="SV",IFERROR(INDEX('Projekt-Budget-Übersicht'!$H:$H,MATCH(A31,'Projekt-Budget-Übersicht'!$A:$A,0)),""),IF($B$2="CAD",IFERROR(INDEX('Projekt-Budget-Übersicht'!$I:$I,MATCH(A31,'Projekt-Budget-Übersicht'!$A:$A,0)),""),IF($B$2="ADM",IFERROR(INDEX('Projekt-Budget-Übersicht'!$J:$J,MATCH(A31,'Projekt-Budget-Übersicht'!$A:$A,0)),""),"")))))</f>
        <v/>
      </c>
      <c r="M31" s="11">
        <f>IF($B$2="-","",L31*(F31+I31+K31))</f>
        <v/>
      </c>
      <c r="N31" s="11">
        <f>IFERROR(INDEX('Projekt-Budget-Übersicht'!$E:$E,MATCH(A31,'Projekt-Budget-Übersicht'!$A:$A,0)),"")</f>
        <v/>
      </c>
      <c r="O31" s="11" t="inlineStr"/>
      <c r="P31" s="11" t="inlineStr"/>
    </row>
    <row r="32">
      <c r="A32" s="4" t="inlineStr">
        <is>
          <t>1914.111 Retailer-prosecur-ChangeGroup</t>
        </is>
      </c>
      <c r="B32" s="4" t="inlineStr">
        <is>
          <t>4101-Erläuterungsbericht Brandschutzkonzept….</t>
        </is>
      </c>
      <c r="C32" s="4" t="inlineStr">
        <is>
          <t>G</t>
        </is>
      </c>
      <c r="D32" s="4" t="n">
        <v>80</v>
      </c>
      <c r="E32" s="4" t="n">
        <v>67.5</v>
      </c>
      <c r="F32" s="4" t="n">
        <v>1.5</v>
      </c>
      <c r="G32" s="17" t="n">
        <v>84.38</v>
      </c>
      <c r="H32" s="5" t="n"/>
      <c r="I32" s="5">
        <f>IF(H32=0,"",F32-H32)</f>
        <v/>
      </c>
      <c r="J32" s="4" t="n"/>
      <c r="K32" s="5" t="n">
        <v>0</v>
      </c>
      <c r="L32" s="11">
        <f>IF($B$2="-","",IF($B$2="Pauschale",IFERROR(INDEX('Projekt-Budget-Übersicht'!$H:$H,MATCH(A32,'Projekt-Budget-Übersicht'!$A:$A,0)),""),IF($B$2="SV",IFERROR(INDEX('Projekt-Budget-Übersicht'!$H:$H,MATCH(A32,'Projekt-Budget-Übersicht'!$A:$A,0)),""),IF($B$2="CAD",IFERROR(INDEX('Projekt-Budget-Übersicht'!$I:$I,MATCH(A32,'Projekt-Budget-Übersicht'!$A:$A,0)),""),IF($B$2="ADM",IFERROR(INDEX('Projekt-Budget-Übersicht'!$J:$J,MATCH(A32,'Projekt-Budget-Übersicht'!$A:$A,0)),""),"")))))</f>
        <v/>
      </c>
      <c r="M32" s="11">
        <f>IF($B$2="-","",L32*(F32+I32+K32))</f>
        <v/>
      </c>
      <c r="N32" s="11">
        <f>IFERROR(INDEX('Projekt-Budget-Übersicht'!$E:$E,MATCH(A32,'Projekt-Budget-Übersicht'!$A:$A,0)),"")</f>
        <v/>
      </c>
      <c r="O32" s="11" t="inlineStr"/>
      <c r="P32" s="11" t="inlineStr"/>
    </row>
    <row r="33">
      <c r="A33" s="4" t="inlineStr">
        <is>
          <t>3869.23 (eh.3258.29) Breuninger-BSK-Bestandsgebäude-Marktstr1-3-Stuttgart</t>
        </is>
      </c>
      <c r="B33" s="4" t="inlineStr">
        <is>
          <t>SV</t>
        </is>
      </c>
      <c r="C33" s="4" t="inlineStr">
        <is>
          <t>G</t>
        </is>
      </c>
      <c r="D33" s="4" t="n">
        <v>70</v>
      </c>
      <c r="E33" s="4" t="n">
        <v>61.25</v>
      </c>
      <c r="F33" s="4" t="n">
        <v>9.5</v>
      </c>
      <c r="G33" s="17" t="n">
        <v>87.5</v>
      </c>
      <c r="H33" s="5" t="n"/>
      <c r="I33" s="5">
        <f>IF(H33=0,"",F33-H33)</f>
        <v/>
      </c>
      <c r="J33" s="4" t="n"/>
      <c r="K33" s="5" t="n">
        <v>0</v>
      </c>
      <c r="L33" s="11">
        <f>IF($B$2="-","",IF($B$2="Pauschale",IFERROR(INDEX('Projekt-Budget-Übersicht'!$H:$H,MATCH(A33,'Projekt-Budget-Übersicht'!$A:$A,0)),""),IF($B$2="SV",IFERROR(INDEX('Projekt-Budget-Übersicht'!$H:$H,MATCH(A33,'Projekt-Budget-Übersicht'!$A:$A,0)),""),IF($B$2="CAD",IFERROR(INDEX('Projekt-Budget-Übersicht'!$I:$I,MATCH(A33,'Projekt-Budget-Übersicht'!$A:$A,0)),""),IF($B$2="ADM",IFERROR(INDEX('Projekt-Budget-Übersicht'!$J:$J,MATCH(A33,'Projekt-Budget-Übersicht'!$A:$A,0)),""),"")))))</f>
        <v/>
      </c>
      <c r="M33" s="11">
        <f>IF($B$2="-","",L33*(F33+I33+K33))</f>
        <v/>
      </c>
      <c r="N33" s="11">
        <f>IFERROR(INDEX('Projekt-Budget-Übersicht'!$E:$E,MATCH(A33,'Projekt-Budget-Übersicht'!$A:$A,0)),"")</f>
        <v/>
      </c>
      <c r="O33" s="11" t="inlineStr"/>
      <c r="P33" s="11" t="inlineStr"/>
    </row>
    <row r="34">
      <c r="A34" s="4" t="inlineStr">
        <is>
          <t>3869.24 KES-BST-1.OG-Bestandsgebäude-Marktstr1-3-Stuttgart</t>
        </is>
      </c>
      <c r="B34" s="4" t="inlineStr">
        <is>
          <t>SV</t>
        </is>
      </c>
      <c r="C34" s="4" t="inlineStr">
        <is>
          <t>G</t>
        </is>
      </c>
      <c r="D34" s="4" t="n">
        <v>20</v>
      </c>
      <c r="E34" s="4" t="n">
        <v>21.5</v>
      </c>
      <c r="F34" s="4" t="n">
        <v>2.75</v>
      </c>
      <c r="G34" s="16" t="n">
        <v>107.5</v>
      </c>
      <c r="H34" s="5" t="n"/>
      <c r="I34" s="5">
        <f>IF(H34=0,"",F34-H34)</f>
        <v/>
      </c>
      <c r="J34" s="4" t="n"/>
      <c r="K34" s="5" t="n">
        <v>0</v>
      </c>
      <c r="L34" s="11">
        <f>IF($B$2="-","",IF($B$2="Pauschale",IFERROR(INDEX('Projekt-Budget-Übersicht'!$H:$H,MATCH(A34,'Projekt-Budget-Übersicht'!$A:$A,0)),""),IF($B$2="SV",IFERROR(INDEX('Projekt-Budget-Übersicht'!$H:$H,MATCH(A34,'Projekt-Budget-Übersicht'!$A:$A,0)),""),IF($B$2="CAD",IFERROR(INDEX('Projekt-Budget-Übersicht'!$I:$I,MATCH(A34,'Projekt-Budget-Übersicht'!$A:$A,0)),""),IF($B$2="ADM",IFERROR(INDEX('Projekt-Budget-Übersicht'!$J:$J,MATCH(A34,'Projekt-Budget-Übersicht'!$A:$A,0)),""),"")))))</f>
        <v/>
      </c>
      <c r="M34" s="11">
        <f>IF($B$2="-","",L34*(F34+I34+K34))</f>
        <v/>
      </c>
      <c r="N34" s="11">
        <f>IFERROR(INDEX('Projekt-Budget-Übersicht'!$E:$E,MATCH(A34,'Projekt-Budget-Übersicht'!$A:$A,0)),"")</f>
        <v/>
      </c>
      <c r="O34" s="11" t="inlineStr"/>
      <c r="P34" s="11" t="inlineStr"/>
    </row>
    <row r="35">
      <c r="A35" s="4" t="inlineStr">
        <is>
          <t>4249.101 Apleona-BST-Grundstückstrennung-IBM-Am-Keltenwald-Ehningen</t>
        </is>
      </c>
      <c r="B35" s="4" t="inlineStr">
        <is>
          <t>(aN) Pos. 1 Zusätzl. Beratungsleistungen</t>
        </is>
      </c>
      <c r="C35" s="4" t="inlineStr">
        <is>
          <t>G</t>
        </is>
      </c>
      <c r="D35" s="4" t="n">
        <v>70</v>
      </c>
      <c r="E35" s="4" t="n">
        <v>38.75</v>
      </c>
      <c r="F35" s="4" t="n">
        <v>4.75</v>
      </c>
      <c r="G35" s="17" t="n">
        <v>55.36</v>
      </c>
      <c r="H35" s="5" t="n"/>
      <c r="I35" s="5">
        <f>IF(H35=0,"",F35-H35)</f>
        <v/>
      </c>
      <c r="J35" s="4" t="n"/>
      <c r="K35" s="5" t="n">
        <v>0</v>
      </c>
      <c r="L35" s="11">
        <f>IF($B$2="-","",IF($B$2="Pauschale",IFERROR(INDEX('Projekt-Budget-Übersicht'!$H:$H,MATCH(A35,'Projekt-Budget-Übersicht'!$A:$A,0)),""),IF($B$2="SV",IFERROR(INDEX('Projekt-Budget-Übersicht'!$H:$H,MATCH(A35,'Projekt-Budget-Übersicht'!$A:$A,0)),""),IF($B$2="CAD",IFERROR(INDEX('Projekt-Budget-Übersicht'!$I:$I,MATCH(A35,'Projekt-Budget-Übersicht'!$A:$A,0)),""),IF($B$2="ADM",IFERROR(INDEX('Projekt-Budget-Übersicht'!$J:$J,MATCH(A35,'Projekt-Budget-Übersicht'!$A:$A,0)),""),"")))))</f>
        <v/>
      </c>
      <c r="M35" s="11">
        <f>IF($B$2="-","",L35*(F35+I35+K35))</f>
        <v/>
      </c>
      <c r="N35" s="11">
        <f>IFERROR(INDEX('Projekt-Budget-Übersicht'!$E:$E,MATCH(A35,'Projekt-Budget-Übersicht'!$A:$A,0)),"")</f>
        <v/>
      </c>
      <c r="O35" s="11" t="inlineStr"/>
      <c r="P35" s="11" t="inlineStr"/>
    </row>
    <row r="36">
      <c r="A36" s="4" t="inlineStr">
        <is>
          <t>4249.11 Apleona-Fortschr-BSK-Geb15-IBMAllee1-Ehningen</t>
        </is>
      </c>
      <c r="B36" s="4" t="inlineStr">
        <is>
          <t>(p) Pos. 1 BTB Geb. 15</t>
        </is>
      </c>
      <c r="C36" s="4" t="inlineStr">
        <is>
          <t>G</t>
        </is>
      </c>
      <c r="D36" s="4" t="n">
        <v>8</v>
      </c>
      <c r="E36" s="4" t="n">
        <v>5.75</v>
      </c>
      <c r="F36" s="4" t="n">
        <v>1</v>
      </c>
      <c r="G36" s="17" t="n">
        <v>71.88</v>
      </c>
      <c r="H36" s="5" t="n"/>
      <c r="I36" s="5">
        <f>IF(H36=0,"",F36-H36)</f>
        <v/>
      </c>
      <c r="J36" s="4" t="n"/>
      <c r="K36" s="5" t="n">
        <v>0</v>
      </c>
      <c r="L36" s="11">
        <f>IF($B$2="-","",IF($B$2="Pauschale",IFERROR(INDEX('Projekt-Budget-Übersicht'!$H:$H,MATCH(A36,'Projekt-Budget-Übersicht'!$A:$A,0)),""),IF($B$2="SV",IFERROR(INDEX('Projekt-Budget-Übersicht'!$H:$H,MATCH(A36,'Projekt-Budget-Übersicht'!$A:$A,0)),""),IF($B$2="CAD",IFERROR(INDEX('Projekt-Budget-Übersicht'!$I:$I,MATCH(A36,'Projekt-Budget-Übersicht'!$A:$A,0)),""),IF($B$2="ADM",IFERROR(INDEX('Projekt-Budget-Übersicht'!$J:$J,MATCH(A36,'Projekt-Budget-Übersicht'!$A:$A,0)),""),"")))))</f>
        <v/>
      </c>
      <c r="M36" s="11">
        <f>IF($B$2="-","",L36*(F36+I36+K36))</f>
        <v/>
      </c>
      <c r="N36" s="11">
        <f>IFERROR(INDEX('Projekt-Budget-Übersicht'!$E:$E,MATCH(A36,'Projekt-Budget-Übersicht'!$A:$A,0)),"")</f>
        <v/>
      </c>
      <c r="O36" s="11" t="inlineStr"/>
      <c r="P36" s="11" t="inlineStr"/>
    </row>
    <row r="37">
      <c r="A37" s="4" t="inlineStr">
        <is>
          <t>4399.01 Hugo-Boss-AHO-NeubauH2-Dieselstr12-Metzingen</t>
        </is>
      </c>
      <c r="B37" s="4" t="inlineStr">
        <is>
          <t>(p) Pos. 4 LP 8 GL (SV)</t>
        </is>
      </c>
      <c r="C37" s="4" t="inlineStr">
        <is>
          <t>G</t>
        </is>
      </c>
      <c r="D37" s="4" t="n">
        <v>141</v>
      </c>
      <c r="E37" s="4" t="n">
        <v>30</v>
      </c>
      <c r="F37" s="4" t="n">
        <v>0.25</v>
      </c>
      <c r="G37" s="17" t="n">
        <v>21.28</v>
      </c>
      <c r="H37" s="5" t="n"/>
      <c r="I37" s="5">
        <f>IF(H37=0,"",F37-H37)</f>
        <v/>
      </c>
      <c r="J37" s="4" t="n"/>
      <c r="K37" s="5" t="n">
        <v>0</v>
      </c>
      <c r="L37" s="11">
        <f>IF($B$2="-","",IF($B$2="Pauschale",IFERROR(INDEX('Projekt-Budget-Übersicht'!$H:$H,MATCH(A37,'Projekt-Budget-Übersicht'!$A:$A,0)),""),IF($B$2="SV",IFERROR(INDEX('Projekt-Budget-Übersicht'!$H:$H,MATCH(A37,'Projekt-Budget-Übersicht'!$A:$A,0)),""),IF($B$2="CAD",IFERROR(INDEX('Projekt-Budget-Übersicht'!$I:$I,MATCH(A37,'Projekt-Budget-Übersicht'!$A:$A,0)),""),IF($B$2="ADM",IFERROR(INDEX('Projekt-Budget-Übersicht'!$J:$J,MATCH(A37,'Projekt-Budget-Übersicht'!$A:$A,0)),""),"")))))</f>
        <v/>
      </c>
      <c r="M37" s="11">
        <f>IF($B$2="-","",L37*(F37+I37+K37))</f>
        <v/>
      </c>
      <c r="N37" s="11">
        <f>IFERROR(INDEX('Projekt-Budget-Übersicht'!$E:$E,MATCH(A37,'Projekt-Budget-Übersicht'!$A:$A,0)),"")</f>
        <v/>
      </c>
      <c r="O37" s="11" t="inlineStr"/>
      <c r="P37" s="11" t="inlineStr"/>
    </row>
    <row r="38">
      <c r="A38" s="4" t="inlineStr">
        <is>
          <t>5437.02 BAB-Bissierstraße-Freiburg-Metzgergrün</t>
        </is>
      </c>
      <c r="B38" s="4" t="inlineStr">
        <is>
          <t>8100-Prüfen der Ausführung auf prinzipielle Übereinstimmung (Stufe 1)....</t>
        </is>
      </c>
      <c r="C38" s="4" t="inlineStr">
        <is>
          <t>G</t>
        </is>
      </c>
      <c r="D38" s="4" t="n">
        <v>180</v>
      </c>
      <c r="E38" s="4" t="n">
        <v>158</v>
      </c>
      <c r="F38" s="4" t="n">
        <v>8.25</v>
      </c>
      <c r="G38" s="17" t="n">
        <v>87.78</v>
      </c>
      <c r="H38" s="5" t="n"/>
      <c r="I38" s="5">
        <f>IF(H38=0,"",F38-H38)</f>
        <v/>
      </c>
      <c r="J38" s="4" t="n"/>
      <c r="K38" s="5" t="n">
        <v>0</v>
      </c>
      <c r="L38" s="11">
        <f>IF($B$2="-","",IF($B$2="Pauschale",IFERROR(INDEX('Projekt-Budget-Übersicht'!$H:$H,MATCH(A38,'Projekt-Budget-Übersicht'!$A:$A,0)),""),IF($B$2="SV",IFERROR(INDEX('Projekt-Budget-Übersicht'!$H:$H,MATCH(A38,'Projekt-Budget-Übersicht'!$A:$A,0)),""),IF($B$2="CAD",IFERROR(INDEX('Projekt-Budget-Übersicht'!$I:$I,MATCH(A38,'Projekt-Budget-Übersicht'!$A:$A,0)),""),IF($B$2="ADM",IFERROR(INDEX('Projekt-Budget-Übersicht'!$J:$J,MATCH(A38,'Projekt-Budget-Übersicht'!$A:$A,0)),""),"")))))</f>
        <v/>
      </c>
      <c r="M38" s="11">
        <f>IF($B$2="-","",L38*(F38+I38+K38))</f>
        <v/>
      </c>
      <c r="N38" s="11">
        <f>IFERROR(INDEX('Projekt-Budget-Übersicht'!$E:$E,MATCH(A38,'Projekt-Budget-Übersicht'!$A:$A,0)),"")</f>
        <v/>
      </c>
      <c r="O38" s="11" t="inlineStr"/>
      <c r="P38" s="11" t="inlineStr"/>
    </row>
    <row r="39">
      <c r="A39" s="13" t="inlineStr">
        <is>
          <t>5437.03 AHO-Brandschutzdienstleistungen-BAII-Bissierstraße-Freiburg-Metzgergrün</t>
        </is>
      </c>
      <c r="B39" s="4" t="inlineStr">
        <is>
          <t>4000-Genehmigungsplanung</t>
        </is>
      </c>
      <c r="C39" s="4" t="inlineStr">
        <is>
          <t>G</t>
        </is>
      </c>
      <c r="D39" s="4" t="n">
        <v>71</v>
      </c>
      <c r="E39" s="4" t="n">
        <v>115.5</v>
      </c>
      <c r="F39" s="4" t="n">
        <v>3</v>
      </c>
      <c r="G39" s="16" t="n">
        <v>162.68</v>
      </c>
      <c r="H39" s="5" t="n"/>
      <c r="I39" s="5">
        <f>IF(H39=0,"",F39-H39)</f>
        <v/>
      </c>
      <c r="J39" s="4" t="n"/>
      <c r="K39" s="5" t="n">
        <v>0</v>
      </c>
      <c r="L39" s="11">
        <f>IF($B$2="-","",IF($B$2="Pauschale",IFERROR(INDEX('Projekt-Budget-Übersicht'!$H:$H,MATCH(A39,'Projekt-Budget-Übersicht'!$A:$A,0)),""),IF($B$2="SV",IFERROR(INDEX('Projekt-Budget-Übersicht'!$H:$H,MATCH(A39,'Projekt-Budget-Übersicht'!$A:$A,0)),""),IF($B$2="CAD",IFERROR(INDEX('Projekt-Budget-Übersicht'!$I:$I,MATCH(A39,'Projekt-Budget-Übersicht'!$A:$A,0)),""),IF($B$2="ADM",IFERROR(INDEX('Projekt-Budget-Übersicht'!$J:$J,MATCH(A39,'Projekt-Budget-Übersicht'!$A:$A,0)),""),"")))))</f>
        <v/>
      </c>
      <c r="M39" s="11">
        <f>IF($B$2="-","",L39*(F39+I39+K39))</f>
        <v/>
      </c>
      <c r="N39" s="11">
        <f>IFERROR(INDEX('Projekt-Budget-Übersicht'!$E:$E,MATCH(A39,'Projekt-Budget-Übersicht'!$A:$A,0)),"")</f>
        <v/>
      </c>
      <c r="O39" s="11" t="inlineStr"/>
      <c r="P39" s="11" t="inlineStr"/>
    </row>
    <row r="40">
      <c r="A40" s="15" t="n"/>
      <c r="B40" s="4" t="inlineStr">
        <is>
          <t>5000-Ausführungsplanung</t>
        </is>
      </c>
      <c r="C40" s="4" t="inlineStr">
        <is>
          <t>G</t>
        </is>
      </c>
      <c r="D40" s="4" t="n">
        <v>85</v>
      </c>
      <c r="E40" s="4" t="n">
        <v>56.25</v>
      </c>
      <c r="F40" s="4" t="n">
        <v>9</v>
      </c>
      <c r="G40" s="17" t="n">
        <v>66.18000000000001</v>
      </c>
      <c r="H40" s="5" t="n"/>
      <c r="I40" s="5">
        <f>IF(H40=0,"",F40-H40)</f>
        <v/>
      </c>
      <c r="J40" s="4" t="n"/>
      <c r="K40" s="5" t="n">
        <v>0</v>
      </c>
      <c r="L40" s="11">
        <f>IF($B$2="-","",IF($B$2="Pauschale",IFERROR(INDEX('Projekt-Budget-Übersicht'!$H:$H,MATCH(A40,'Projekt-Budget-Übersicht'!$A:$A,0)),""),IF($B$2="SV",IFERROR(INDEX('Projekt-Budget-Übersicht'!$H:$H,MATCH(A40,'Projekt-Budget-Übersicht'!$A:$A,0)),""),IF($B$2="CAD",IFERROR(INDEX('Projekt-Budget-Übersicht'!$I:$I,MATCH(A40,'Projekt-Budget-Übersicht'!$A:$A,0)),""),IF($B$2="ADM",IFERROR(INDEX('Projekt-Budget-Übersicht'!$J:$J,MATCH(A40,'Projekt-Budget-Übersicht'!$A:$A,0)),""),"")))))</f>
        <v/>
      </c>
      <c r="M40" s="11">
        <f>IF($B$2="-","",L40*(F40+I40+K40))</f>
        <v/>
      </c>
      <c r="N40" s="11">
        <f>IFERROR(INDEX('Projekt-Budget-Übersicht'!$E:$E,MATCH(A40,'Projekt-Budget-Übersicht'!$A:$A,0)),"")</f>
        <v/>
      </c>
      <c r="O40" s="11" t="inlineStr"/>
      <c r="P40" s="11" t="inlineStr"/>
    </row>
    <row r="41">
      <c r="A41" s="4" t="inlineStr">
        <is>
          <t>5664.19 (5667.04)  KOB-BAB-Umbau-Sprinkleranlage-Lauterstr50-Wolfstein</t>
        </is>
      </c>
      <c r="B41" s="4" t="inlineStr">
        <is>
          <t>3100-Erarbeiten des Brandschutzkonzept/Nachweis/Stellungnahme (SV)</t>
        </is>
      </c>
      <c r="C41" s="4" t="inlineStr">
        <is>
          <t>G</t>
        </is>
      </c>
      <c r="D41" s="4" t="n">
        <v>16</v>
      </c>
      <c r="E41" s="4" t="n">
        <v>18</v>
      </c>
      <c r="F41" s="4" t="n">
        <v>0.5</v>
      </c>
      <c r="G41" s="16" t="n">
        <v>112.5</v>
      </c>
      <c r="H41" s="5" t="n"/>
      <c r="I41" s="5">
        <f>IF(H41=0,"",F41-H41)</f>
        <v/>
      </c>
      <c r="J41" s="4" t="n"/>
      <c r="K41" s="5">
        <f>IF('A. Kokott'!J49="T. Trautmann",'A. Kokott'!I49,0)+IF('J. Dorn'!J51="T. Trautmann",'J. Dorn'!I51,0)</f>
        <v/>
      </c>
      <c r="L41" s="11">
        <f>IF($B$2="-","",IF($B$2="Pauschale",IFERROR(INDEX('Projekt-Budget-Übersicht'!$H:$H,MATCH(A41,'Projekt-Budget-Übersicht'!$A:$A,0)),""),IF($B$2="SV",IFERROR(INDEX('Projekt-Budget-Übersicht'!$H:$H,MATCH(A41,'Projekt-Budget-Übersicht'!$A:$A,0)),""),IF($B$2="CAD",IFERROR(INDEX('Projekt-Budget-Übersicht'!$I:$I,MATCH(A41,'Projekt-Budget-Übersicht'!$A:$A,0)),""),IF($B$2="ADM",IFERROR(INDEX('Projekt-Budget-Übersicht'!$J:$J,MATCH(A41,'Projekt-Budget-Übersicht'!$A:$A,0)),""),"")))))</f>
        <v/>
      </c>
      <c r="M41" s="11">
        <f>IF($B$2="-","",L41*(F41+I41+K41))</f>
        <v/>
      </c>
      <c r="N41" s="11">
        <f>IFERROR(INDEX('Projekt-Budget-Übersicht'!$E:$E,MATCH(A41,'Projekt-Budget-Übersicht'!$A:$A,0)),"")</f>
        <v/>
      </c>
      <c r="O41" s="11" t="inlineStr"/>
      <c r="P41" s="11" t="inlineStr"/>
    </row>
    <row r="42">
      <c r="A42" s="4" t="inlineStr">
        <is>
          <t>5664.20 KOB-BAB-Trinkwassertrennung-Lauterstraße-50-Wolfstein</t>
        </is>
      </c>
      <c r="B42" s="4" t="inlineStr">
        <is>
          <t>(aN) Pos. 1 Brandschutztechnische Beratung (SV 30h) 3.000€</t>
        </is>
      </c>
      <c r="C42" s="4" t="inlineStr">
        <is>
          <t>G</t>
        </is>
      </c>
      <c r="D42" s="4" t="n">
        <v>30</v>
      </c>
      <c r="E42" s="4" t="n">
        <v>12.5</v>
      </c>
      <c r="F42" s="4" t="n">
        <v>0.75</v>
      </c>
      <c r="G42" s="17" t="n">
        <v>41.67</v>
      </c>
      <c r="H42" s="5" t="n"/>
      <c r="I42" s="5">
        <f>IF(H42=0,"",F42-H42)</f>
        <v/>
      </c>
      <c r="J42" s="4" t="n"/>
      <c r="K42" s="5">
        <f>IF('J. Dorn'!J52="T. Trautmann",'J. Dorn'!I52,0)</f>
        <v/>
      </c>
      <c r="L42" s="11">
        <f>IF($B$2="-","",IF($B$2="Pauschale",IFERROR(INDEX('Projekt-Budget-Übersicht'!$H:$H,MATCH(A42,'Projekt-Budget-Übersicht'!$A:$A,0)),""),IF($B$2="SV",IFERROR(INDEX('Projekt-Budget-Übersicht'!$H:$H,MATCH(A42,'Projekt-Budget-Übersicht'!$A:$A,0)),""),IF($B$2="CAD",IFERROR(INDEX('Projekt-Budget-Übersicht'!$I:$I,MATCH(A42,'Projekt-Budget-Übersicht'!$A:$A,0)),""),IF($B$2="ADM",IFERROR(INDEX('Projekt-Budget-Übersicht'!$J:$J,MATCH(A42,'Projekt-Budget-Übersicht'!$A:$A,0)),""),"")))))</f>
        <v/>
      </c>
      <c r="M42" s="11">
        <f>IF($B$2="-","",L42*(F42+I42+K42))</f>
        <v/>
      </c>
      <c r="N42" s="11">
        <f>IFERROR(INDEX('Projekt-Budget-Übersicht'!$E:$E,MATCH(A42,'Projekt-Budget-Übersicht'!$A:$A,0)),"")</f>
        <v/>
      </c>
      <c r="O42" s="11" t="inlineStr"/>
      <c r="P42" s="11" t="inlineStr"/>
    </row>
    <row r="43">
      <c r="A43" s="4" t="inlineStr">
        <is>
          <t>5757 Hirschberger-Straße-1-Schriesheim-Kurpfalz-Gymnasium</t>
        </is>
      </c>
      <c r="B43" s="4" t="inlineStr">
        <is>
          <t>8000-Objektüberwachung</t>
        </is>
      </c>
      <c r="C43" s="4" t="inlineStr">
        <is>
          <t>G</t>
        </is>
      </c>
      <c r="D43" s="4" t="n">
        <v>283</v>
      </c>
      <c r="E43" s="4" t="n">
        <v>242.5</v>
      </c>
      <c r="F43" s="4" t="n">
        <v>10</v>
      </c>
      <c r="G43" s="17" t="n">
        <v>85.69</v>
      </c>
      <c r="H43" s="5" t="n"/>
      <c r="I43" s="5">
        <f>IF(H43=0,"",F43-H43)</f>
        <v/>
      </c>
      <c r="J43" s="4" t="n"/>
      <c r="K43" s="5" t="n">
        <v>0</v>
      </c>
      <c r="L43" s="11">
        <f>IF($B$2="-","",IF($B$2="Pauschale",IFERROR(INDEX('Projekt-Budget-Übersicht'!$H:$H,MATCH(A43,'Projekt-Budget-Übersicht'!$A:$A,0)),""),IF($B$2="SV",IFERROR(INDEX('Projekt-Budget-Übersicht'!$H:$H,MATCH(A43,'Projekt-Budget-Übersicht'!$A:$A,0)),""),IF($B$2="CAD",IFERROR(INDEX('Projekt-Budget-Übersicht'!$I:$I,MATCH(A43,'Projekt-Budget-Übersicht'!$A:$A,0)),""),IF($B$2="ADM",IFERROR(INDEX('Projekt-Budget-Übersicht'!$J:$J,MATCH(A43,'Projekt-Budget-Übersicht'!$A:$A,0)),""),"")))))</f>
        <v/>
      </c>
      <c r="M43" s="11">
        <f>IF($B$2="-","",L43*(F43+I43+K43))</f>
        <v/>
      </c>
      <c r="N43" s="11">
        <f>IFERROR(INDEX('Projekt-Budget-Übersicht'!$E:$E,MATCH(A43,'Projekt-Budget-Übersicht'!$A:$A,0)),"")</f>
        <v/>
      </c>
      <c r="O43" s="11" t="inlineStr"/>
      <c r="P43" s="11" t="inlineStr"/>
    </row>
    <row r="44">
      <c r="A44" s="4" t="inlineStr">
        <is>
          <t>5757.05 StadtSchriesheim-BSK-Gymnasium-Hirschbergstr1-Schriesheim</t>
        </is>
      </c>
      <c r="B44" s="4" t="inlineStr">
        <is>
          <t>SV Erarbeiten des Brandschutzkonzept/Nachweis/Stellungnahme</t>
        </is>
      </c>
      <c r="C44" s="4" t="inlineStr">
        <is>
          <t>G</t>
        </is>
      </c>
      <c r="D44" s="4" t="n">
        <v>8</v>
      </c>
      <c r="E44" s="4" t="n">
        <v>8.5</v>
      </c>
      <c r="F44" s="4" t="n">
        <v>7.25</v>
      </c>
      <c r="G44" s="16" t="n">
        <v>106.25</v>
      </c>
      <c r="H44" s="5" t="n"/>
      <c r="I44" s="5">
        <f>IF(H44=0,"",F44-H44)</f>
        <v/>
      </c>
      <c r="J44" s="4" t="n"/>
      <c r="K44" s="5" t="n">
        <v>0</v>
      </c>
      <c r="L44" s="11">
        <f>IF($B$2="-","",IF($B$2="Pauschale",IFERROR(INDEX('Projekt-Budget-Übersicht'!$H:$H,MATCH(A44,'Projekt-Budget-Übersicht'!$A:$A,0)),""),IF($B$2="SV",IFERROR(INDEX('Projekt-Budget-Übersicht'!$H:$H,MATCH(A44,'Projekt-Budget-Übersicht'!$A:$A,0)),""),IF($B$2="CAD",IFERROR(INDEX('Projekt-Budget-Übersicht'!$I:$I,MATCH(A44,'Projekt-Budget-Übersicht'!$A:$A,0)),""),IF($B$2="ADM",IFERROR(INDEX('Projekt-Budget-Übersicht'!$J:$J,MATCH(A44,'Projekt-Budget-Übersicht'!$A:$A,0)),""),"")))))</f>
        <v/>
      </c>
      <c r="M44" s="11">
        <f>IF($B$2="-","",L44*(F44+I44+K44))</f>
        <v/>
      </c>
      <c r="N44" s="11">
        <f>IFERROR(INDEX('Projekt-Budget-Übersicht'!$E:$E,MATCH(A44,'Projekt-Budget-Übersicht'!$A:$A,0)),"")</f>
        <v/>
      </c>
      <c r="O44" s="11" t="inlineStr"/>
      <c r="P44" s="11" t="inlineStr"/>
    </row>
    <row r="45">
      <c r="A45" s="4" t="inlineStr">
        <is>
          <t>5793 Eschholzstraße-118-Freiburg-Rettungszentrum</t>
        </is>
      </c>
      <c r="B45" s="4" t="inlineStr">
        <is>
          <t>Nr. 5/LP 8 GL</t>
        </is>
      </c>
      <c r="C45" s="4" t="inlineStr">
        <is>
          <t>G</t>
        </is>
      </c>
      <c r="D45" s="4" t="n">
        <v>94</v>
      </c>
      <c r="E45" s="4" t="n">
        <v>28.5</v>
      </c>
      <c r="F45" s="4" t="n">
        <v>0.5</v>
      </c>
      <c r="G45" s="17" t="n">
        <v>30.32</v>
      </c>
      <c r="H45" s="5" t="n"/>
      <c r="I45" s="5">
        <f>IF(H45=0,"",F45-H45)</f>
        <v/>
      </c>
      <c r="J45" s="4" t="n"/>
      <c r="K45" s="5" t="n">
        <v>0</v>
      </c>
      <c r="L45" s="11">
        <f>IF($B$2="-","",IF($B$2="Pauschale",IFERROR(INDEX('Projekt-Budget-Übersicht'!$H:$H,MATCH(A45,'Projekt-Budget-Übersicht'!$A:$A,0)),""),IF($B$2="SV",IFERROR(INDEX('Projekt-Budget-Übersicht'!$H:$H,MATCH(A45,'Projekt-Budget-Übersicht'!$A:$A,0)),""),IF($B$2="CAD",IFERROR(INDEX('Projekt-Budget-Übersicht'!$I:$I,MATCH(A45,'Projekt-Budget-Übersicht'!$A:$A,0)),""),IF($B$2="ADM",IFERROR(INDEX('Projekt-Budget-Übersicht'!$J:$J,MATCH(A45,'Projekt-Budget-Übersicht'!$A:$A,0)),""),"")))))</f>
        <v/>
      </c>
      <c r="M45" s="11">
        <f>IF($B$2="-","",L45*(F45+I45+K45))</f>
        <v/>
      </c>
      <c r="N45" s="11">
        <f>IFERROR(INDEX('Projekt-Budget-Übersicht'!$E:$E,MATCH(A45,'Projekt-Budget-Übersicht'!$A:$A,0)),"")</f>
        <v/>
      </c>
      <c r="O45" s="11" t="inlineStr"/>
      <c r="P45" s="11" t="inlineStr"/>
    </row>
    <row r="46">
      <c r="A46" s="4" t="inlineStr">
        <is>
          <t>5845.04 myStorage-BSK-John-Deere-Straße-79-Mannheim-1+2.OG</t>
        </is>
      </c>
      <c r="B46" s="4" t="inlineStr">
        <is>
          <t>3100-Erarbeiten des Brandschutzkonzept/Nachweis/Stellungnahme</t>
        </is>
      </c>
      <c r="C46" s="4" t="inlineStr">
        <is>
          <t>G</t>
        </is>
      </c>
      <c r="D46" s="4" t="n">
        <v>20</v>
      </c>
      <c r="E46" s="4" t="n">
        <v>19.5</v>
      </c>
      <c r="F46" s="4" t="n">
        <v>16.25</v>
      </c>
      <c r="G46" s="14" t="n">
        <v>97.5</v>
      </c>
      <c r="H46" s="5" t="n"/>
      <c r="I46" s="5">
        <f>IF(H46=0,"",F46-H46)</f>
        <v/>
      </c>
      <c r="J46" s="4" t="n"/>
      <c r="K46" s="5" t="n">
        <v>0</v>
      </c>
      <c r="L46" s="11">
        <f>IF($B$2="-","",IF($B$2="Pauschale",IFERROR(INDEX('Projekt-Budget-Übersicht'!$H:$H,MATCH(A46,'Projekt-Budget-Übersicht'!$A:$A,0)),""),IF($B$2="SV",IFERROR(INDEX('Projekt-Budget-Übersicht'!$H:$H,MATCH(A46,'Projekt-Budget-Übersicht'!$A:$A,0)),""),IF($B$2="CAD",IFERROR(INDEX('Projekt-Budget-Übersicht'!$I:$I,MATCH(A46,'Projekt-Budget-Übersicht'!$A:$A,0)),""),IF($B$2="ADM",IFERROR(INDEX('Projekt-Budget-Übersicht'!$J:$J,MATCH(A46,'Projekt-Budget-Übersicht'!$A:$A,0)),""),"")))))</f>
        <v/>
      </c>
      <c r="M46" s="11">
        <f>IF($B$2="-","",L46*(F46+I46+K46))</f>
        <v/>
      </c>
      <c r="N46" s="11">
        <f>IFERROR(INDEX('Projekt-Budget-Übersicht'!$E:$E,MATCH(A46,'Projekt-Budget-Übersicht'!$A:$A,0)),"")</f>
        <v/>
      </c>
      <c r="O46" s="11" t="inlineStr"/>
      <c r="P46" s="11" t="inlineStr"/>
    </row>
    <row r="47">
      <c r="A47" s="4" t="inlineStr">
        <is>
          <t>5910.07 Züblin-Roche-BSK-ESSWM-Laborausbau-3.OG-SandhoferStr116-Mannheim</t>
        </is>
      </c>
      <c r="B47" s="4" t="inlineStr">
        <is>
          <t>(aN) Pos. 2 BTB (SV)</t>
        </is>
      </c>
      <c r="C47" s="4" t="inlineStr">
        <is>
          <t>G</t>
        </is>
      </c>
      <c r="D47" s="4" t="n">
        <v>40</v>
      </c>
      <c r="E47" s="4" t="n">
        <v>13.75</v>
      </c>
      <c r="F47" s="4" t="n">
        <v>0.25</v>
      </c>
      <c r="G47" s="17" t="n">
        <v>34.38</v>
      </c>
      <c r="H47" s="5" t="n"/>
      <c r="I47" s="5">
        <f>IF(H47=0,"",F47-H47)</f>
        <v/>
      </c>
      <c r="J47" s="4" t="n"/>
      <c r="K47" s="5" t="n">
        <v>0</v>
      </c>
      <c r="L47" s="11">
        <f>IF($B$2="-","",IF($B$2="Pauschale",IFERROR(INDEX('Projekt-Budget-Übersicht'!$H:$H,MATCH(A47,'Projekt-Budget-Übersicht'!$A:$A,0)),""),IF($B$2="SV",IFERROR(INDEX('Projekt-Budget-Übersicht'!$H:$H,MATCH(A47,'Projekt-Budget-Übersicht'!$A:$A,0)),""),IF($B$2="CAD",IFERROR(INDEX('Projekt-Budget-Übersicht'!$I:$I,MATCH(A47,'Projekt-Budget-Übersicht'!$A:$A,0)),""),IF($B$2="ADM",IFERROR(INDEX('Projekt-Budget-Übersicht'!$J:$J,MATCH(A47,'Projekt-Budget-Übersicht'!$A:$A,0)),""),"")))))</f>
        <v/>
      </c>
      <c r="M47" s="11">
        <f>IF($B$2="-","",L47*(F47+I47+K47))</f>
        <v/>
      </c>
      <c r="N47" s="11">
        <f>IFERROR(INDEX('Projekt-Budget-Übersicht'!$E:$E,MATCH(A47,'Projekt-Budget-Übersicht'!$A:$A,0)),"")</f>
        <v/>
      </c>
      <c r="O47" s="11" t="inlineStr"/>
      <c r="P47" s="11" t="inlineStr"/>
    </row>
    <row r="48">
      <c r="A48" s="4" t="inlineStr">
        <is>
          <t>6238 Korntaler-Straße-1-Stammheim-Stadtteilhaus</t>
        </is>
      </c>
      <c r="B48" s="4" t="inlineStr">
        <is>
          <t>8000-Objektüberwachung</t>
        </is>
      </c>
      <c r="C48" s="4" t="inlineStr">
        <is>
          <t>G</t>
        </is>
      </c>
      <c r="D48" s="4" t="n">
        <v>50.5</v>
      </c>
      <c r="E48" s="4" t="n">
        <v>18.5</v>
      </c>
      <c r="F48" s="4" t="n">
        <v>2</v>
      </c>
      <c r="G48" s="17" t="n">
        <v>36.63</v>
      </c>
      <c r="H48" s="5" t="n"/>
      <c r="I48" s="5">
        <f>IF(H48=0,"",F48-H48)</f>
        <v/>
      </c>
      <c r="J48" s="4" t="n"/>
      <c r="K48" s="5" t="n">
        <v>0</v>
      </c>
      <c r="L48" s="11">
        <f>IF($B$2="-","",IF($B$2="Pauschale",IFERROR(INDEX('Projekt-Budget-Übersicht'!$H:$H,MATCH(A48,'Projekt-Budget-Übersicht'!$A:$A,0)),""),IF($B$2="SV",IFERROR(INDEX('Projekt-Budget-Übersicht'!$H:$H,MATCH(A48,'Projekt-Budget-Übersicht'!$A:$A,0)),""),IF($B$2="CAD",IFERROR(INDEX('Projekt-Budget-Übersicht'!$I:$I,MATCH(A48,'Projekt-Budget-Übersicht'!$A:$A,0)),""),IF($B$2="ADM",IFERROR(INDEX('Projekt-Budget-Übersicht'!$J:$J,MATCH(A48,'Projekt-Budget-Übersicht'!$A:$A,0)),""),"")))))</f>
        <v/>
      </c>
      <c r="M48" s="11">
        <f>IF($B$2="-","",L48*(F48+I48+K48))</f>
        <v/>
      </c>
      <c r="N48" s="11">
        <f>IFERROR(INDEX('Projekt-Budget-Übersicht'!$E:$E,MATCH(A48,'Projekt-Budget-Übersicht'!$A:$A,0)),"")</f>
        <v/>
      </c>
      <c r="O48" s="11" t="inlineStr"/>
      <c r="P48" s="11" t="inlineStr"/>
    </row>
    <row r="49">
      <c r="A49" s="4" t="inlineStr">
        <is>
          <t>6377 Alemannenstraße-21-Heimsheim-IAV</t>
        </is>
      </c>
      <c r="B49" s="4" t="inlineStr">
        <is>
          <t>8000-Objektüberwachung</t>
        </is>
      </c>
      <c r="C49" s="4" t="inlineStr">
        <is>
          <t>G</t>
        </is>
      </c>
      <c r="D49" s="4" t="n">
        <v>191.25</v>
      </c>
      <c r="E49" s="4" t="n">
        <v>97</v>
      </c>
      <c r="F49" s="4" t="n">
        <v>20.5</v>
      </c>
      <c r="G49" s="17" t="n">
        <v>50.72</v>
      </c>
      <c r="H49" s="5" t="n"/>
      <c r="I49" s="5">
        <f>IF(H49=0,"",F49-H49)</f>
        <v/>
      </c>
      <c r="J49" s="4" t="n"/>
      <c r="K49" s="5" t="n">
        <v>0</v>
      </c>
      <c r="L49" s="11">
        <f>IF($B$2="-","",IF($B$2="Pauschale",IFERROR(INDEX('Projekt-Budget-Übersicht'!$H:$H,MATCH(A49,'Projekt-Budget-Übersicht'!$A:$A,0)),""),IF($B$2="SV",IFERROR(INDEX('Projekt-Budget-Übersicht'!$H:$H,MATCH(A49,'Projekt-Budget-Übersicht'!$A:$A,0)),""),IF($B$2="CAD",IFERROR(INDEX('Projekt-Budget-Übersicht'!$I:$I,MATCH(A49,'Projekt-Budget-Übersicht'!$A:$A,0)),""),IF($B$2="ADM",IFERROR(INDEX('Projekt-Budget-Übersicht'!$J:$J,MATCH(A49,'Projekt-Budget-Übersicht'!$A:$A,0)),""),"")))))</f>
        <v/>
      </c>
      <c r="M49" s="11">
        <f>IF($B$2="-","",L49*(F49+I49+K49))</f>
        <v/>
      </c>
      <c r="N49" s="11">
        <f>IFERROR(INDEX('Projekt-Budget-Übersicht'!$E:$E,MATCH(A49,'Projekt-Budget-Übersicht'!$A:$A,0)),"")</f>
        <v/>
      </c>
      <c r="O49" s="11" t="inlineStr"/>
      <c r="P49" s="11" t="inlineStr"/>
    </row>
    <row r="50">
      <c r="A50" s="4" t="inlineStr">
        <is>
          <t>6649.03 formica-Anp-BSK-Otto-Hahn-Str-Hilden-Laer</t>
        </is>
      </c>
      <c r="B50" s="4" t="inlineStr">
        <is>
          <t>SV</t>
        </is>
      </c>
      <c r="C50" s="4" t="inlineStr">
        <is>
          <t>G</t>
        </is>
      </c>
      <c r="D50" s="4" t="n">
        <v>0</v>
      </c>
      <c r="E50" s="4" t="n">
        <v>-1</v>
      </c>
      <c r="F50" s="4" t="n">
        <v>0.75</v>
      </c>
      <c r="G50" s="4" t="n">
        <v>0</v>
      </c>
      <c r="H50" s="5" t="n"/>
      <c r="I50" s="5">
        <f>IF(H50=0,"",F50-H50)</f>
        <v/>
      </c>
      <c r="J50" s="4" t="n"/>
      <c r="K50" s="5">
        <f>IF('A. Kokott'!J51="T. Trautmann",'A. Kokott'!I51,0)+IF('J. Dorn'!J64="T. Trautmann",'J. Dorn'!I64,0)</f>
        <v/>
      </c>
      <c r="L50" s="11">
        <f>IF($B$2="-","",IF($B$2="Pauschale",IFERROR(INDEX('Projekt-Budget-Übersicht'!$H:$H,MATCH(A50,'Projekt-Budget-Übersicht'!$A:$A,0)),""),IF($B$2="SV",IFERROR(INDEX('Projekt-Budget-Übersicht'!$H:$H,MATCH(A50,'Projekt-Budget-Übersicht'!$A:$A,0)),""),IF($B$2="CAD",IFERROR(INDEX('Projekt-Budget-Übersicht'!$I:$I,MATCH(A50,'Projekt-Budget-Übersicht'!$A:$A,0)),""),IF($B$2="ADM",IFERROR(INDEX('Projekt-Budget-Übersicht'!$J:$J,MATCH(A50,'Projekt-Budget-Übersicht'!$A:$A,0)),""),"")))))</f>
        <v/>
      </c>
      <c r="M50" s="11">
        <f>IF($B$2="-","",L50*(F50+I50+K50))</f>
        <v/>
      </c>
      <c r="N50" s="11">
        <f>IFERROR(INDEX('Projekt-Budget-Übersicht'!$E:$E,MATCH(A50,'Projekt-Budget-Übersicht'!$A:$A,0)),"")</f>
        <v/>
      </c>
      <c r="O50" s="11" t="inlineStr"/>
      <c r="P50" s="11" t="inlineStr"/>
    </row>
    <row r="51">
      <c r="A51" s="13" t="inlineStr">
        <is>
          <t>6680.02 GSKOK-Heidelberg-Kopfklinik-LP3</t>
        </is>
      </c>
      <c r="B51" s="4" t="inlineStr">
        <is>
          <t>SV</t>
        </is>
      </c>
      <c r="C51" s="4" t="inlineStr">
        <is>
          <t>G</t>
        </is>
      </c>
      <c r="D51" s="4" t="n">
        <v>40</v>
      </c>
      <c r="E51" s="4" t="n">
        <v>166.5</v>
      </c>
      <c r="F51" s="4" t="n">
        <v>1.25</v>
      </c>
      <c r="G51" s="16" t="n">
        <v>416.25</v>
      </c>
      <c r="H51" s="5" t="n"/>
      <c r="I51" s="5">
        <f>IF(H51=0,"",F51-H51)</f>
        <v/>
      </c>
      <c r="J51" s="4" t="n"/>
      <c r="K51" s="5">
        <f>IF('S. Schüler'!J67="T. Trautmann",'S. Schüler'!I67,0)</f>
        <v/>
      </c>
      <c r="L51" s="11">
        <f>IF($B$2="-","",IF($B$2="Pauschale",IFERROR(INDEX('Projekt-Budget-Übersicht'!$H:$H,MATCH(A51,'Projekt-Budget-Übersicht'!$A:$A,0)),""),IF($B$2="SV",IFERROR(INDEX('Projekt-Budget-Übersicht'!$H:$H,MATCH(A51,'Projekt-Budget-Übersicht'!$A:$A,0)),""),IF($B$2="CAD",IFERROR(INDEX('Projekt-Budget-Übersicht'!$I:$I,MATCH(A51,'Projekt-Budget-Übersicht'!$A:$A,0)),""),IF($B$2="ADM",IFERROR(INDEX('Projekt-Budget-Übersicht'!$J:$J,MATCH(A51,'Projekt-Budget-Übersicht'!$A:$A,0)),""),"")))))</f>
        <v/>
      </c>
      <c r="M51" s="11">
        <f>IF($B$2="-","",L51*(F51+I51+K51))</f>
        <v/>
      </c>
      <c r="N51" s="11">
        <f>IFERROR(INDEX('Projekt-Budget-Übersicht'!$E:$E,MATCH(A51,'Projekt-Budget-Übersicht'!$A:$A,0)),"")</f>
        <v/>
      </c>
      <c r="O51" s="11" t="inlineStr"/>
      <c r="P51" s="11" t="inlineStr"/>
    </row>
    <row r="52">
      <c r="A52" s="15" t="n"/>
      <c r="B52" s="4" t="inlineStr">
        <is>
          <t>Teilnahme an Besprechungen (noch nicht beauftragt)</t>
        </is>
      </c>
      <c r="C52" s="4" t="inlineStr">
        <is>
          <t>G</t>
        </is>
      </c>
      <c r="D52" s="4" t="n">
        <v>0</v>
      </c>
      <c r="E52" s="4" t="n">
        <v>127.5</v>
      </c>
      <c r="F52" s="4" t="n">
        <v>1</v>
      </c>
      <c r="G52" s="4" t="n">
        <v>0</v>
      </c>
      <c r="H52" s="5" t="n"/>
      <c r="I52" s="5">
        <f>IF(H52=0,"",F52-H52)</f>
        <v/>
      </c>
      <c r="J52" s="4" t="n"/>
      <c r="K52" s="5">
        <f>IF('S. Schüler'!J68="T. Trautmann",'S. Schüler'!I68,0)</f>
        <v/>
      </c>
      <c r="L52" s="11">
        <f>IF($B$2="-","",IF($B$2="Pauschale",IFERROR(INDEX('Projekt-Budget-Übersicht'!$H:$H,MATCH(A52,'Projekt-Budget-Übersicht'!$A:$A,0)),""),IF($B$2="SV",IFERROR(INDEX('Projekt-Budget-Übersicht'!$H:$H,MATCH(A52,'Projekt-Budget-Übersicht'!$A:$A,0)),""),IF($B$2="CAD",IFERROR(INDEX('Projekt-Budget-Übersicht'!$I:$I,MATCH(A52,'Projekt-Budget-Übersicht'!$A:$A,0)),""),IF($B$2="ADM",IFERROR(INDEX('Projekt-Budget-Übersicht'!$J:$J,MATCH(A52,'Projekt-Budget-Übersicht'!$A:$A,0)),""),"")))))</f>
        <v/>
      </c>
      <c r="M52" s="11">
        <f>IF($B$2="-","",L52*(F52+I52+K52))</f>
        <v/>
      </c>
      <c r="N52" s="11">
        <f>IFERROR(INDEX('Projekt-Budget-Übersicht'!$E:$E,MATCH(A52,'Projekt-Budget-Übersicht'!$A:$A,0)),"")</f>
        <v/>
      </c>
      <c r="O52" s="11" t="inlineStr"/>
      <c r="P52" s="11" t="inlineStr"/>
    </row>
    <row r="53">
      <c r="A53" s="13" t="inlineStr">
        <is>
          <t>6693.02 Holnis-FRP-Quartier-D-Römerkreis-Heidelberg</t>
        </is>
      </c>
      <c r="B53" s="4" t="inlineStr">
        <is>
          <t>4302-Ortstermine, Besprechung Behörde, Feuerwehr etc...</t>
        </is>
      </c>
      <c r="C53" s="4" t="inlineStr">
        <is>
          <t>G</t>
        </is>
      </c>
      <c r="D53" s="4" t="n">
        <v>4</v>
      </c>
      <c r="E53" s="4" t="n">
        <v>3.25</v>
      </c>
      <c r="F53" s="4" t="n">
        <v>3.25</v>
      </c>
      <c r="G53" s="17" t="n">
        <v>81.25</v>
      </c>
      <c r="H53" s="5" t="n"/>
      <c r="I53" s="5">
        <f>IF(H53=0,"",F53-H53)</f>
        <v/>
      </c>
      <c r="J53" s="4" t="n"/>
      <c r="K53" s="5" t="n">
        <v>0</v>
      </c>
      <c r="L53" s="11">
        <f>IF($B$2="-","",IF($B$2="Pauschale",IFERROR(INDEX('Projekt-Budget-Übersicht'!$H:$H,MATCH(A53,'Projekt-Budget-Übersicht'!$A:$A,0)),""),IF($B$2="SV",IFERROR(INDEX('Projekt-Budget-Übersicht'!$H:$H,MATCH(A53,'Projekt-Budget-Übersicht'!$A:$A,0)),""),IF($B$2="CAD",IFERROR(INDEX('Projekt-Budget-Übersicht'!$I:$I,MATCH(A53,'Projekt-Budget-Übersicht'!$A:$A,0)),""),IF($B$2="ADM",IFERROR(INDEX('Projekt-Budget-Übersicht'!$J:$J,MATCH(A53,'Projekt-Budget-Übersicht'!$A:$A,0)),""),"")))))</f>
        <v/>
      </c>
      <c r="M53" s="11">
        <f>IF($B$2="-","",L53*(F53+I53+K53))</f>
        <v/>
      </c>
      <c r="N53" s="11">
        <f>IFERROR(INDEX('Projekt-Budget-Übersicht'!$E:$E,MATCH(A53,'Projekt-Budget-Übersicht'!$A:$A,0)),"")</f>
        <v/>
      </c>
      <c r="O53" s="11" t="inlineStr"/>
      <c r="P53" s="11" t="inlineStr"/>
    </row>
    <row r="54">
      <c r="A54" s="15" t="n"/>
      <c r="B54" s="4" t="inlineStr">
        <is>
          <t>9200-Erstellen od. Prüfen Feuerwehrpläne….</t>
        </is>
      </c>
      <c r="C54" s="4" t="inlineStr">
        <is>
          <t>G</t>
        </is>
      </c>
      <c r="D54" s="4" t="n">
        <v>10</v>
      </c>
      <c r="E54" s="4" t="n">
        <v>9.5</v>
      </c>
      <c r="F54" s="4" t="n">
        <v>0.5</v>
      </c>
      <c r="G54" s="14" t="n">
        <v>95</v>
      </c>
      <c r="H54" s="5" t="n"/>
      <c r="I54" s="5">
        <f>IF(H54=0,"",F54-H54)</f>
        <v/>
      </c>
      <c r="J54" s="4" t="n"/>
      <c r="K54" s="5">
        <f>IF('M. Warner'!J10="T. Trautmann",'M. Warner'!I10,0)</f>
        <v/>
      </c>
      <c r="L54" s="11">
        <f>IF($B$2="-","",IF($B$2="Pauschale",IFERROR(INDEX('Projekt-Budget-Übersicht'!$H:$H,MATCH(A54,'Projekt-Budget-Übersicht'!$A:$A,0)),""),IF($B$2="SV",IFERROR(INDEX('Projekt-Budget-Übersicht'!$H:$H,MATCH(A54,'Projekt-Budget-Übersicht'!$A:$A,0)),""),IF($B$2="CAD",IFERROR(INDEX('Projekt-Budget-Übersicht'!$I:$I,MATCH(A54,'Projekt-Budget-Übersicht'!$A:$A,0)),""),IF($B$2="ADM",IFERROR(INDEX('Projekt-Budget-Übersicht'!$J:$J,MATCH(A54,'Projekt-Budget-Übersicht'!$A:$A,0)),""),"")))))</f>
        <v/>
      </c>
      <c r="M54" s="11">
        <f>IF($B$2="-","",L54*(F54+I54+K54))</f>
        <v/>
      </c>
      <c r="N54" s="11">
        <f>IFERROR(INDEX('Projekt-Budget-Übersicht'!$E:$E,MATCH(A54,'Projekt-Budget-Übersicht'!$A:$A,0)),"")</f>
        <v/>
      </c>
      <c r="O54" s="11" t="inlineStr"/>
      <c r="P54" s="11" t="inlineStr"/>
    </row>
    <row r="55">
      <c r="A55" s="4" t="inlineStr">
        <is>
          <t>6803.03 Thor-BSD-Landwehrstraße1-Speyer</t>
        </is>
      </c>
      <c r="B55" s="4" t="inlineStr">
        <is>
          <t>(aN) BTB + BAB</t>
        </is>
      </c>
      <c r="C55" s="4" t="inlineStr">
        <is>
          <t>G</t>
        </is>
      </c>
      <c r="D55" s="4" t="n">
        <v>0</v>
      </c>
      <c r="E55" s="4" t="n">
        <v>9</v>
      </c>
      <c r="F55" s="4" t="n">
        <v>3</v>
      </c>
      <c r="G55" s="4" t="n">
        <v>0</v>
      </c>
      <c r="H55" s="5" t="n"/>
      <c r="I55" s="5">
        <f>IF(H55=0,"",F55-H55)</f>
        <v/>
      </c>
      <c r="J55" s="4" t="n"/>
      <c r="K55" s="5" t="n">
        <v>0</v>
      </c>
      <c r="L55" s="11">
        <f>IF($B$2="-","",IF($B$2="Pauschale",IFERROR(INDEX('Projekt-Budget-Übersicht'!$H:$H,MATCH(A55,'Projekt-Budget-Übersicht'!$A:$A,0)),""),IF($B$2="SV",IFERROR(INDEX('Projekt-Budget-Übersicht'!$H:$H,MATCH(A55,'Projekt-Budget-Übersicht'!$A:$A,0)),""),IF($B$2="CAD",IFERROR(INDEX('Projekt-Budget-Übersicht'!$I:$I,MATCH(A55,'Projekt-Budget-Übersicht'!$A:$A,0)),""),IF($B$2="ADM",IFERROR(INDEX('Projekt-Budget-Übersicht'!$J:$J,MATCH(A55,'Projekt-Budget-Übersicht'!$A:$A,0)),""),"")))))</f>
        <v/>
      </c>
      <c r="M55" s="11">
        <f>IF($B$2="-","",L55*(F55+I55+K55))</f>
        <v/>
      </c>
      <c r="N55" s="11">
        <f>IFERROR(INDEX('Projekt-Budget-Übersicht'!$E:$E,MATCH(A55,'Projekt-Budget-Übersicht'!$A:$A,0)),"")</f>
        <v/>
      </c>
      <c r="O55" s="11" t="inlineStr"/>
      <c r="P55" s="11" t="inlineStr"/>
    </row>
    <row r="56">
      <c r="A56" s="4" t="inlineStr">
        <is>
          <t>7040 Fraunhofer-AHO-BSK-ISE-Freiburg-Neubau-Hykos</t>
        </is>
      </c>
      <c r="B56" s="4" t="inlineStr">
        <is>
          <t>NAT 02 (aN) LP2 Hykos+H2T (Beratung a.N. bis Ausschreibung beauftragt)</t>
        </is>
      </c>
      <c r="C56" s="4" t="inlineStr">
        <is>
          <t>G</t>
        </is>
      </c>
      <c r="D56" s="4" t="n">
        <v>20</v>
      </c>
      <c r="E56" s="4" t="n">
        <v>56.75</v>
      </c>
      <c r="F56" s="4" t="n">
        <v>7.25</v>
      </c>
      <c r="G56" s="16" t="n">
        <v>283.75</v>
      </c>
      <c r="H56" s="5" t="n"/>
      <c r="I56" s="5">
        <f>IF(H56=0,"",F56-H56)</f>
        <v/>
      </c>
      <c r="J56" s="4" t="n"/>
      <c r="K56" s="5" t="n">
        <v>0</v>
      </c>
      <c r="L56" s="11">
        <f>IF($B$2="-","",IF($B$2="Pauschale",IFERROR(INDEX('Projekt-Budget-Übersicht'!$H:$H,MATCH(A56,'Projekt-Budget-Übersicht'!$A:$A,0)),""),IF($B$2="SV",IFERROR(INDEX('Projekt-Budget-Übersicht'!$H:$H,MATCH(A56,'Projekt-Budget-Übersicht'!$A:$A,0)),""),IF($B$2="CAD",IFERROR(INDEX('Projekt-Budget-Übersicht'!$I:$I,MATCH(A56,'Projekt-Budget-Übersicht'!$A:$A,0)),""),IF($B$2="ADM",IFERROR(INDEX('Projekt-Budget-Übersicht'!$J:$J,MATCH(A56,'Projekt-Budget-Übersicht'!$A:$A,0)),""),"")))))</f>
        <v/>
      </c>
      <c r="M56" s="11">
        <f>IF($B$2="-","",L56*(F56+I56+K56))</f>
        <v/>
      </c>
      <c r="N56" s="11">
        <f>IFERROR(INDEX('Projekt-Budget-Übersicht'!$E:$E,MATCH(A56,'Projekt-Budget-Übersicht'!$A:$A,0)),"")</f>
        <v/>
      </c>
      <c r="O56" s="11" t="inlineStr"/>
      <c r="P56" s="11" t="inlineStr"/>
    </row>
    <row r="57">
      <c r="A57" s="4" t="inlineStr">
        <is>
          <t>7365 UI-BTB-StGeorgenerStr-Freiburg-Breisgaucenter</t>
        </is>
      </c>
      <c r="B57" s="4" t="inlineStr">
        <is>
          <t>(aN) Pos. 1 Brandschutztechnische Beratung während der Planungsphase</t>
        </is>
      </c>
      <c r="C57" s="4" t="inlineStr">
        <is>
          <t>G</t>
        </is>
      </c>
      <c r="D57" s="4" t="n">
        <v>100</v>
      </c>
      <c r="E57" s="4" t="n">
        <v>88.5</v>
      </c>
      <c r="F57" s="4" t="n">
        <v>0.75</v>
      </c>
      <c r="G57" s="17" t="n">
        <v>88.5</v>
      </c>
      <c r="H57" s="5" t="n"/>
      <c r="I57" s="5">
        <f>IF(H57=0,"",F57-H57)</f>
        <v/>
      </c>
      <c r="J57" s="4" t="n"/>
      <c r="K57" s="5">
        <f>IF('R. Böttiger'!J39="T. Trautmann",'R. Böttiger'!I39,0)</f>
        <v/>
      </c>
      <c r="L57" s="11">
        <f>IF($B$2="-","",IF($B$2="Pauschale",IFERROR(INDEX('Projekt-Budget-Übersicht'!$H:$H,MATCH(A57,'Projekt-Budget-Übersicht'!$A:$A,0)),""),IF($B$2="SV",IFERROR(INDEX('Projekt-Budget-Übersicht'!$H:$H,MATCH(A57,'Projekt-Budget-Übersicht'!$A:$A,0)),""),IF($B$2="CAD",IFERROR(INDEX('Projekt-Budget-Übersicht'!$I:$I,MATCH(A57,'Projekt-Budget-Übersicht'!$A:$A,0)),""),IF($B$2="ADM",IFERROR(INDEX('Projekt-Budget-Übersicht'!$J:$J,MATCH(A57,'Projekt-Budget-Übersicht'!$A:$A,0)),""),"")))))</f>
        <v/>
      </c>
      <c r="M57" s="11">
        <f>IF($B$2="-","",L57*(F57+I57+K57))</f>
        <v/>
      </c>
      <c r="N57" s="11">
        <f>IFERROR(INDEX('Projekt-Budget-Übersicht'!$E:$E,MATCH(A57,'Projekt-Budget-Übersicht'!$A:$A,0)),"")</f>
        <v/>
      </c>
      <c r="O57" s="11" t="inlineStr"/>
      <c r="P57" s="11" t="inlineStr"/>
    </row>
    <row r="58">
      <c r="A58" s="4" t="inlineStr">
        <is>
          <t>7414 HJVV-BSK-NB-Wohnanlage-Trier-Ehrang</t>
        </is>
      </c>
      <c r="B58" s="4" t="inlineStr">
        <is>
          <t>SV</t>
        </is>
      </c>
      <c r="C58" s="4" t="inlineStr">
        <is>
          <t>G</t>
        </is>
      </c>
      <c r="D58" s="4" t="n">
        <v>40</v>
      </c>
      <c r="E58" s="4" t="n">
        <v>31.75</v>
      </c>
      <c r="F58" s="4" t="n">
        <v>5.75</v>
      </c>
      <c r="G58" s="17" t="n">
        <v>79.38</v>
      </c>
      <c r="H58" s="5" t="n"/>
      <c r="I58" s="5">
        <f>IF(H58=0,"",F58-H58)</f>
        <v/>
      </c>
      <c r="J58" s="4" t="n"/>
      <c r="K58" s="5" t="n">
        <v>0</v>
      </c>
      <c r="L58" s="11">
        <f>IF($B$2="-","",IF($B$2="Pauschale",IFERROR(INDEX('Projekt-Budget-Übersicht'!$H:$H,MATCH(A58,'Projekt-Budget-Übersicht'!$A:$A,0)),""),IF($B$2="SV",IFERROR(INDEX('Projekt-Budget-Übersicht'!$H:$H,MATCH(A58,'Projekt-Budget-Übersicht'!$A:$A,0)),""),IF($B$2="CAD",IFERROR(INDEX('Projekt-Budget-Übersicht'!$I:$I,MATCH(A58,'Projekt-Budget-Übersicht'!$A:$A,0)),""),IF($B$2="ADM",IFERROR(INDEX('Projekt-Budget-Übersicht'!$J:$J,MATCH(A58,'Projekt-Budget-Übersicht'!$A:$A,0)),""),"")))))</f>
        <v/>
      </c>
      <c r="M58" s="11">
        <f>IF($B$2="-","",L58*(F58+I58+K58))</f>
        <v/>
      </c>
      <c r="N58" s="11">
        <f>IFERROR(INDEX('Projekt-Budget-Übersicht'!$E:$E,MATCH(A58,'Projekt-Budget-Übersicht'!$A:$A,0)),"")</f>
        <v/>
      </c>
      <c r="O58" s="11" t="inlineStr"/>
      <c r="P58" s="11" t="inlineStr"/>
    </row>
    <row r="59">
      <c r="A59" s="4" t="inlineStr">
        <is>
          <t>7419.03 Zech-BSO-Sporthalle-Pestalozzistr10-Eppelheim</t>
        </is>
      </c>
      <c r="B59" s="4" t="inlineStr">
        <is>
          <t>SV</t>
        </is>
      </c>
      <c r="C59" s="4" t="inlineStr">
        <is>
          <t>G</t>
        </is>
      </c>
      <c r="D59" s="4" t="n">
        <v>8</v>
      </c>
      <c r="E59" s="4" t="n">
        <v>7.75</v>
      </c>
      <c r="F59" s="4" t="n">
        <v>0.75</v>
      </c>
      <c r="G59" s="14" t="n">
        <v>96.88</v>
      </c>
      <c r="H59" s="5" t="n"/>
      <c r="I59" s="5">
        <f>IF(H59=0,"",F59-H59)</f>
        <v/>
      </c>
      <c r="J59" s="4" t="n"/>
      <c r="K59" s="5">
        <f>IF('H. Bektas'!J35="T. Trautmann",'H. Bektas'!I35,0)+IF('R. Böttiger'!J42="T. Trautmann",'R. Böttiger'!I42,0)</f>
        <v/>
      </c>
      <c r="L59" s="11">
        <f>IF($B$2="-","",IF($B$2="Pauschale",IFERROR(INDEX('Projekt-Budget-Übersicht'!$H:$H,MATCH(A59,'Projekt-Budget-Übersicht'!$A:$A,0)),""),IF($B$2="SV",IFERROR(INDEX('Projekt-Budget-Übersicht'!$H:$H,MATCH(A59,'Projekt-Budget-Übersicht'!$A:$A,0)),""),IF($B$2="CAD",IFERROR(INDEX('Projekt-Budget-Übersicht'!$I:$I,MATCH(A59,'Projekt-Budget-Übersicht'!$A:$A,0)),""),IF($B$2="ADM",IFERROR(INDEX('Projekt-Budget-Übersicht'!$J:$J,MATCH(A59,'Projekt-Budget-Übersicht'!$A:$A,0)),""),"")))))</f>
        <v/>
      </c>
      <c r="M59" s="11">
        <f>IF($B$2="-","",L59*(F59+I59+K59))</f>
        <v/>
      </c>
      <c r="N59" s="11">
        <f>IFERROR(INDEX('Projekt-Budget-Übersicht'!$E:$E,MATCH(A59,'Projekt-Budget-Übersicht'!$A:$A,0)),"")</f>
        <v/>
      </c>
      <c r="O59" s="11" t="inlineStr"/>
      <c r="P59" s="11" t="inlineStr"/>
    </row>
    <row r="60">
      <c r="A60" s="4" t="inlineStr">
        <is>
          <t>7425 Thyson-BST-Weinstr-Süd-Bad-Dürkheim</t>
        </is>
      </c>
      <c r="B60" s="4" t="inlineStr">
        <is>
          <t>BTB</t>
        </is>
      </c>
      <c r="C60" s="4" t="inlineStr">
        <is>
          <t>G</t>
        </is>
      </c>
      <c r="D60" s="4" t="n">
        <v>2</v>
      </c>
      <c r="E60" s="4" t="n">
        <v>4.75</v>
      </c>
      <c r="F60" s="4" t="n">
        <v>2.75</v>
      </c>
      <c r="G60" s="16" t="n">
        <v>237.5</v>
      </c>
      <c r="H60" s="5" t="n"/>
      <c r="I60" s="5">
        <f>IF(H60=0,"",F60-H60)</f>
        <v/>
      </c>
      <c r="J60" s="4" t="n"/>
      <c r="K60" s="5" t="n">
        <v>0</v>
      </c>
      <c r="L60" s="11">
        <f>IF($B$2="-","",IF($B$2="Pauschale",IFERROR(INDEX('Projekt-Budget-Übersicht'!$H:$H,MATCH(A60,'Projekt-Budget-Übersicht'!$A:$A,0)),""),IF($B$2="SV",IFERROR(INDEX('Projekt-Budget-Übersicht'!$H:$H,MATCH(A60,'Projekt-Budget-Übersicht'!$A:$A,0)),""),IF($B$2="CAD",IFERROR(INDEX('Projekt-Budget-Übersicht'!$I:$I,MATCH(A60,'Projekt-Budget-Übersicht'!$A:$A,0)),""),IF($B$2="ADM",IFERROR(INDEX('Projekt-Budget-Übersicht'!$J:$J,MATCH(A60,'Projekt-Budget-Übersicht'!$A:$A,0)),""),"")))))</f>
        <v/>
      </c>
      <c r="M60" s="11">
        <f>IF($B$2="-","",L60*(F60+I60+K60))</f>
        <v/>
      </c>
      <c r="N60" s="11">
        <f>IFERROR(INDEX('Projekt-Budget-Übersicht'!$E:$E,MATCH(A60,'Projekt-Budget-Übersicht'!$A:$A,0)),"")</f>
        <v/>
      </c>
      <c r="O60" s="11" t="inlineStr"/>
      <c r="P60" s="11" t="inlineStr"/>
    </row>
    <row r="61">
      <c r="A61" s="4" t="inlineStr">
        <is>
          <t>7426 MPI-BTB-Biophysik-Max-von-Laue-Str3-FFM</t>
        </is>
      </c>
      <c r="B61" s="4" t="inlineStr">
        <is>
          <t>(aN) Pos. 1 Brandschutztechnische Beratung</t>
        </is>
      </c>
      <c r="C61" s="4" t="inlineStr">
        <is>
          <t>G</t>
        </is>
      </c>
      <c r="D61" s="4" t="n">
        <v>26</v>
      </c>
      <c r="E61" s="4" t="n">
        <v>41.25</v>
      </c>
      <c r="F61" s="4" t="n">
        <v>2.75</v>
      </c>
      <c r="G61" s="16" t="n">
        <v>158.65</v>
      </c>
      <c r="H61" s="5" t="n"/>
      <c r="I61" s="5">
        <f>IF(H61=0,"",F61-H61)</f>
        <v/>
      </c>
      <c r="J61" s="4" t="n"/>
      <c r="K61" s="5">
        <f>IF('J. Dorchies'!J23="T. Trautmann",'J. Dorchies'!I23,0)+IF('M. Bandlofsky'!J35="T. Trautmann",'M. Bandlofsky'!I35,0)</f>
        <v/>
      </c>
      <c r="L61" s="11">
        <f>IF($B$2="-","",IF($B$2="Pauschale",IFERROR(INDEX('Projekt-Budget-Übersicht'!$H:$H,MATCH(A61,'Projekt-Budget-Übersicht'!$A:$A,0)),""),IF($B$2="SV",IFERROR(INDEX('Projekt-Budget-Übersicht'!$H:$H,MATCH(A61,'Projekt-Budget-Übersicht'!$A:$A,0)),""),IF($B$2="CAD",IFERROR(INDEX('Projekt-Budget-Übersicht'!$I:$I,MATCH(A61,'Projekt-Budget-Übersicht'!$A:$A,0)),""),IF($B$2="ADM",IFERROR(INDEX('Projekt-Budget-Übersicht'!$J:$J,MATCH(A61,'Projekt-Budget-Übersicht'!$A:$A,0)),""),"")))))</f>
        <v/>
      </c>
      <c r="M61" s="11">
        <f>IF($B$2="-","",L61*(F61+I61+K61))</f>
        <v/>
      </c>
      <c r="N61" s="11">
        <f>IFERROR(INDEX('Projekt-Budget-Übersicht'!$E:$E,MATCH(A61,'Projekt-Budget-Übersicht'!$A:$A,0)),"")</f>
        <v/>
      </c>
      <c r="O61" s="11" t="inlineStr"/>
      <c r="P61" s="11" t="inlineStr"/>
    </row>
    <row r="62">
      <c r="A62" s="4" t="inlineStr">
        <is>
          <t>7485 Hijran-Sohrab-BSK-Europaplatz10-BKR</t>
        </is>
      </c>
      <c r="B62" s="4" t="inlineStr">
        <is>
          <t>(aN) Pos. 1 BST</t>
        </is>
      </c>
      <c r="C62" s="4" t="inlineStr">
        <is>
          <t>G</t>
        </is>
      </c>
      <c r="D62" s="4" t="n">
        <v>15.5</v>
      </c>
      <c r="E62" s="4" t="n">
        <v>15.5</v>
      </c>
      <c r="F62" s="4" t="n">
        <v>1.25</v>
      </c>
      <c r="G62" s="14" t="n">
        <v>100</v>
      </c>
      <c r="H62" s="5" t="n"/>
      <c r="I62" s="5">
        <f>IF(H62=0,"",F62-H62)</f>
        <v/>
      </c>
      <c r="J62" s="4" t="n"/>
      <c r="K62" s="5">
        <f>IF('S. Schüler'!J82="T. Trautmann",'S. Schüler'!I82,0)</f>
        <v/>
      </c>
      <c r="L62" s="11">
        <f>IF($B$2="-","",IF($B$2="Pauschale",IFERROR(INDEX('Projekt-Budget-Übersicht'!$H:$H,MATCH(A62,'Projekt-Budget-Übersicht'!$A:$A,0)),""),IF($B$2="SV",IFERROR(INDEX('Projekt-Budget-Übersicht'!$H:$H,MATCH(A62,'Projekt-Budget-Übersicht'!$A:$A,0)),""),IF($B$2="CAD",IFERROR(INDEX('Projekt-Budget-Übersicht'!$I:$I,MATCH(A62,'Projekt-Budget-Übersicht'!$A:$A,0)),""),IF($B$2="ADM",IFERROR(INDEX('Projekt-Budget-Übersicht'!$J:$J,MATCH(A62,'Projekt-Budget-Übersicht'!$A:$A,0)),""),"")))))</f>
        <v/>
      </c>
      <c r="M62" s="11">
        <f>IF($B$2="-","",L62*(F62+I62+K62))</f>
        <v/>
      </c>
      <c r="N62" s="11">
        <f>IFERROR(INDEX('Projekt-Budget-Übersicht'!$E:$E,MATCH(A62,'Projekt-Budget-Übersicht'!$A:$A,0)),"")</f>
        <v/>
      </c>
      <c r="O62" s="11" t="inlineStr"/>
      <c r="P62" s="11" t="inlineStr"/>
    </row>
    <row r="63">
      <c r="A63" s="4" t="inlineStr">
        <is>
          <t>7505 Züblin-AHO-Neubau-Grundschule-Gengenbach</t>
        </is>
      </c>
      <c r="B63" s="4" t="inlineStr">
        <is>
          <t>(p) LP 3 RL (SV)</t>
        </is>
      </c>
      <c r="C63" s="4" t="inlineStr">
        <is>
          <t>G</t>
        </is>
      </c>
      <c r="D63" s="4" t="n">
        <v>47</v>
      </c>
      <c r="E63" s="4" t="n">
        <v>9.75</v>
      </c>
      <c r="F63" s="4" t="n">
        <v>3.5</v>
      </c>
      <c r="G63" s="17" t="n">
        <v>20.74</v>
      </c>
      <c r="H63" s="5" t="n"/>
      <c r="I63" s="5">
        <f>IF(H63=0,"",F63-H63)</f>
        <v/>
      </c>
      <c r="J63" s="4" t="n"/>
      <c r="K63" s="5" t="n">
        <v>0</v>
      </c>
      <c r="L63" s="11">
        <f>IF($B$2="-","",IF($B$2="Pauschale",IFERROR(INDEX('Projekt-Budget-Übersicht'!$H:$H,MATCH(A63,'Projekt-Budget-Übersicht'!$A:$A,0)),""),IF($B$2="SV",IFERROR(INDEX('Projekt-Budget-Übersicht'!$H:$H,MATCH(A63,'Projekt-Budget-Übersicht'!$A:$A,0)),""),IF($B$2="CAD",IFERROR(INDEX('Projekt-Budget-Übersicht'!$I:$I,MATCH(A63,'Projekt-Budget-Übersicht'!$A:$A,0)),""),IF($B$2="ADM",IFERROR(INDEX('Projekt-Budget-Übersicht'!$J:$J,MATCH(A63,'Projekt-Budget-Übersicht'!$A:$A,0)),""),"")))))</f>
        <v/>
      </c>
      <c r="M63" s="11">
        <f>IF($B$2="-","",L63*(F63+I63+K63))</f>
        <v/>
      </c>
      <c r="N63" s="11">
        <f>IFERROR(INDEX('Projekt-Budget-Übersicht'!$E:$E,MATCH(A63,'Projekt-Budget-Übersicht'!$A:$A,0)),"")</f>
        <v/>
      </c>
      <c r="O63" s="11" t="inlineStr"/>
      <c r="P63" s="11" t="inlineStr"/>
    </row>
    <row r="64">
      <c r="A64" s="3" t="inlineStr"/>
      <c r="B64" s="3" t="inlineStr">
        <is>
          <t>Summe</t>
        </is>
      </c>
      <c r="C64" s="3" t="inlineStr"/>
      <c r="D64" s="3" t="inlineStr"/>
      <c r="E64" s="3" t="inlineStr"/>
      <c r="F64" s="6" t="n">
        <v>149.25</v>
      </c>
      <c r="G64" s="3" t="inlineStr"/>
      <c r="H64" s="3" t="inlineStr"/>
      <c r="I64" s="3" t="inlineStr"/>
      <c r="J64" s="3" t="inlineStr"/>
      <c r="K64" s="3" t="inlineStr"/>
      <c r="L64" s="3" t="n"/>
      <c r="M64" s="3" t="n"/>
      <c r="N64" s="3" t="n"/>
      <c r="O64" s="3" t="n"/>
      <c r="P64" s="3" t="n"/>
    </row>
    <row r="65">
      <c r="A65" s="3" t="inlineStr"/>
      <c r="B65" s="3" t="inlineStr">
        <is>
          <t>Bonusberechtigte Stunden</t>
        </is>
      </c>
      <c r="C65" s="3" t="inlineStr"/>
      <c r="D65" s="3" t="inlineStr"/>
      <c r="E65" s="3" t="inlineStr"/>
      <c r="F65" s="6">
        <f>G65+H65</f>
        <v/>
      </c>
      <c r="G65" s="6" t="n">
        <v>105.5</v>
      </c>
      <c r="H65" s="6">
        <f>SUM(H31,H32,H33,H34,H35,H36,H37,H38,H39,H40,H41,H42,H43,H44,H45,H46,H47,H48,H49,H50,H51,H52,H53,H54,H55,H56,H57,H58,H59,H60,H61,H62,H63)</f>
        <v/>
      </c>
      <c r="I65" s="3" t="inlineStr"/>
      <c r="J65" s="3" t="inlineStr"/>
      <c r="K65" s="3" t="inlineStr"/>
      <c r="L65" s="3" t="inlineStr"/>
      <c r="M65" s="3" t="inlineStr"/>
      <c r="N65" s="3" t="inlineStr"/>
      <c r="O65" s="3" t="inlineStr"/>
      <c r="P65" s="3" t="inlineStr"/>
    </row>
    <row r="66">
      <c r="A66" s="3" t="inlineStr"/>
      <c r="B66" s="3" t="inlineStr">
        <is>
          <t>Bonusberechtigte Stunden Sonderprojekt</t>
        </is>
      </c>
      <c r="C66" s="3" t="inlineStr"/>
      <c r="D66" s="3" t="inlineStr"/>
      <c r="E66" s="3" t="inlineStr"/>
      <c r="F66" s="6">
        <f>G66+H66</f>
        <v/>
      </c>
      <c r="G66" s="6" t="n">
        <v>16.25</v>
      </c>
      <c r="H66" s="6">
        <f>SUM(H28,H29,H30)</f>
        <v/>
      </c>
      <c r="I66" s="3" t="inlineStr"/>
      <c r="J66" s="3" t="inlineStr"/>
      <c r="K66" s="3" t="inlineStr"/>
      <c r="L66" s="3" t="inlineStr"/>
      <c r="M66" s="3" t="inlineStr"/>
      <c r="N66" s="3" t="inlineStr"/>
      <c r="O66" s="3" t="inlineStr"/>
      <c r="P66" s="3" t="inlineStr"/>
    </row>
    <row r="67">
      <c r="A67" s="3" t="inlineStr"/>
      <c r="B67" s="3" t="inlineStr">
        <is>
          <t>Zugeordnete Stunden von anderen MA</t>
        </is>
      </c>
      <c r="C67" s="3" t="inlineStr"/>
      <c r="D67" s="3" t="inlineStr"/>
      <c r="E67" s="3" t="inlineStr"/>
      <c r="F67" s="6">
        <f>SUM(K28:K63)</f>
        <v/>
      </c>
      <c r="G67" s="3" t="inlineStr"/>
      <c r="H67" s="3" t="inlineStr"/>
      <c r="I67" s="3" t="inlineStr"/>
      <c r="J67" s="3" t="inlineStr"/>
      <c r="K67" s="3" t="inlineStr"/>
      <c r="L67" s="3" t="inlineStr"/>
      <c r="M67" s="3" t="inlineStr"/>
      <c r="N67" s="3" t="inlineStr"/>
      <c r="O67" s="3" t="inlineStr"/>
      <c r="P67" s="3" t="inlineStr"/>
    </row>
    <row r="68">
      <c r="A68" s="18" t="inlineStr"/>
      <c r="B68" s="18" t="inlineStr">
        <is>
          <t>Gesamt Bonus Stunden</t>
        </is>
      </c>
      <c r="C68" s="18" t="inlineStr"/>
      <c r="D68" s="18" t="inlineStr"/>
      <c r="E68" s="18" t="inlineStr"/>
      <c r="F68" s="19">
        <f>F65+F66+F67</f>
        <v/>
      </c>
      <c r="G68" s="18" t="inlineStr"/>
      <c r="H68" s="18" t="inlineStr"/>
      <c r="I68" s="18" t="inlineStr"/>
      <c r="J68" s="18" t="inlineStr"/>
      <c r="K68" s="18" t="inlineStr"/>
      <c r="L68" s="18" t="n"/>
      <c r="M68" s="18" t="n"/>
      <c r="N68" s="18" t="n"/>
      <c r="O68" s="18" t="n"/>
      <c r="P68" s="18" t="n"/>
    </row>
    <row r="70">
      <c r="A70" s="2" t="inlineStr">
        <is>
          <t>--- September 2025 ---</t>
        </is>
      </c>
    </row>
    <row r="71">
      <c r="A71" s="3" t="inlineStr">
        <is>
          <t>Projekt</t>
        </is>
      </c>
      <c r="B71" s="3" t="inlineStr">
        <is>
          <t>Meilenstein</t>
        </is>
      </c>
      <c r="C71" s="3" t="inlineStr">
        <is>
          <t>Typ</t>
        </is>
      </c>
      <c r="D71" s="3" t="inlineStr">
        <is>
          <t>Soll (h)</t>
        </is>
      </c>
      <c r="E71" s="3" t="inlineStr">
        <is>
          <t>Ist (h)</t>
        </is>
      </c>
      <c r="F71" s="3" t="inlineStr">
        <is>
          <t>September 2025 (h)</t>
        </is>
      </c>
      <c r="G71" s="3" t="inlineStr">
        <is>
          <t>%</t>
        </is>
      </c>
      <c r="H71" s="3" t="inlineStr">
        <is>
          <t>Bonus-Anpassung (h)</t>
        </is>
      </c>
      <c r="I71" s="3" t="inlineStr">
        <is>
          <t>Differenz (h)</t>
        </is>
      </c>
      <c r="J71" s="3" t="inlineStr">
        <is>
          <t>Zuordnen an</t>
        </is>
      </c>
      <c r="K71" s="3" t="inlineStr">
        <is>
          <t>Von anderen (h)</t>
        </is>
      </c>
      <c r="L71" s="3" t="inlineStr">
        <is>
          <t>Stundensatz (€/h)</t>
        </is>
      </c>
      <c r="M71" s="3" t="inlineStr">
        <is>
          <t>Umsatz (€)</t>
        </is>
      </c>
      <c r="N71" s="3" t="inlineStr">
        <is>
          <t>Budget Gesamt (€)</t>
        </is>
      </c>
      <c r="O71" s="3" t="inlineStr">
        <is>
          <t>Budget Ist (€)</t>
        </is>
      </c>
      <c r="P71" s="3" t="inlineStr">
        <is>
          <t>Budget Erwirtschaftet (€)</t>
        </is>
      </c>
    </row>
    <row r="72">
      <c r="A72" s="13" t="inlineStr">
        <is>
          <t>0000 Sonderprojekt für Bonus</t>
        </is>
      </c>
      <c r="B72" s="4" t="inlineStr">
        <is>
          <t>Einarbeitung neuer Mitarbeiter (max. 8h/Monat pro MA)</t>
        </is>
      </c>
      <c r="C72" s="4" t="inlineStr">
        <is>
          <t>M</t>
        </is>
      </c>
      <c r="D72" s="4" t="n">
        <v>8</v>
      </c>
      <c r="E72" s="4" t="n">
        <v>0.25</v>
      </c>
      <c r="F72" s="4" t="n">
        <v>0.25</v>
      </c>
      <c r="G72" s="17" t="n">
        <v>3.12</v>
      </c>
      <c r="H72" s="5" t="n"/>
      <c r="I72" s="5">
        <f>IF(H72=0,"",F72-H72)</f>
        <v/>
      </c>
      <c r="J72" s="4" t="n"/>
      <c r="K72" s="5">
        <f>IF('A. Kokott'!J86="T. Trautmann",'A. Kokott'!I86,0)+IF('C. Trapp SV'!J57="T. Trautmann",'C. Trapp SV'!I57,0)+IF('J. Dorn'!J84="T. Trautmann",'J. Dorn'!I84,0)+IF('M. Bandlofsky'!J45="T. Trautmann",'M. Bandlofsky'!I45,0)+IF('O. Haag BS-CAD'!J93="T. Trautmann",'O. Haag BS-CAD'!I93,0)+IF('R. Wagen CAD'!J57="T. Trautmann",'R. Wagen CAD'!I57,0)+IF('U. Sutter ADM'!J52="T. Trautmann",'U. Sutter ADM'!I52,0)</f>
        <v/>
      </c>
      <c r="L72" s="11">
        <f>IF($B$2="-","",IF($B$2="Pauschale",IFERROR(INDEX('Projekt-Budget-Übersicht'!$H:$H,MATCH(A72,'Projekt-Budget-Übersicht'!$A:$A,0)),""),IF($B$2="SV",IFERROR(INDEX('Projekt-Budget-Übersicht'!$H:$H,MATCH(A72,'Projekt-Budget-Übersicht'!$A:$A,0)),""),IF($B$2="CAD",IFERROR(INDEX('Projekt-Budget-Übersicht'!$I:$I,MATCH(A72,'Projekt-Budget-Übersicht'!$A:$A,0)),""),IF($B$2="ADM",IFERROR(INDEX('Projekt-Budget-Übersicht'!$J:$J,MATCH(A72,'Projekt-Budget-Übersicht'!$A:$A,0)),""),"")))))</f>
        <v/>
      </c>
      <c r="M72" s="11">
        <f>IF($B$2="-","",L72*(F72+I72+K72))</f>
        <v/>
      </c>
      <c r="N72" s="11">
        <f>IFERROR(INDEX('Projekt-Budget-Übersicht'!$E:$E,MATCH(A72,'Projekt-Budget-Übersicht'!$A:$A,0)),"")</f>
        <v/>
      </c>
      <c r="O72" s="11" t="inlineStr"/>
      <c r="P72" s="11" t="inlineStr"/>
    </row>
    <row r="73">
      <c r="A73" s="15" t="n"/>
      <c r="B73" s="4" t="inlineStr">
        <is>
          <t>Erstellung Vorlagen (übergreifend) (max. 8h/Monat pro MA)</t>
        </is>
      </c>
      <c r="C73" s="4" t="inlineStr">
        <is>
          <t>M</t>
        </is>
      </c>
      <c r="D73" s="4" t="n">
        <v>8</v>
      </c>
      <c r="E73" s="4" t="n">
        <v>1</v>
      </c>
      <c r="F73" s="4" t="n">
        <v>1</v>
      </c>
      <c r="G73" s="17" t="n">
        <v>12.5</v>
      </c>
      <c r="H73" s="5" t="n"/>
      <c r="I73" s="5">
        <f>IF(H73=0,"",F73-H73)</f>
        <v/>
      </c>
      <c r="J73" s="4" t="n"/>
      <c r="K73" s="5">
        <f>IF('C. Trapp SV'!J58="T. Trautmann",'C. Trapp SV'!I58,0)+IF('J. Dorn'!J85="T. Trautmann",'J. Dorn'!I85,0)+IF('O. Haag BS-CAD'!J94="T. Trautmann",'O. Haag BS-CAD'!I94,0)+IF('P. Bergner'!J42="T. Trautmann",'P. Bergner'!I42,0)</f>
        <v/>
      </c>
      <c r="L73" s="11">
        <f>IF($B$2="-","",IF($B$2="Pauschale",IFERROR(INDEX('Projekt-Budget-Übersicht'!$H:$H,MATCH(A73,'Projekt-Budget-Übersicht'!$A:$A,0)),""),IF($B$2="SV",IFERROR(INDEX('Projekt-Budget-Übersicht'!$H:$H,MATCH(A73,'Projekt-Budget-Übersicht'!$A:$A,0)),""),IF($B$2="CAD",IFERROR(INDEX('Projekt-Budget-Übersicht'!$I:$I,MATCH(A73,'Projekt-Budget-Übersicht'!$A:$A,0)),""),IF($B$2="ADM",IFERROR(INDEX('Projekt-Budget-Übersicht'!$J:$J,MATCH(A73,'Projekt-Budget-Übersicht'!$A:$A,0)),""),"")))))</f>
        <v/>
      </c>
      <c r="M73" s="11">
        <f>IF($B$2="-","",L73*(F73+I73+K73))</f>
        <v/>
      </c>
      <c r="N73" s="11">
        <f>IFERROR(INDEX('Projekt-Budget-Übersicht'!$E:$E,MATCH(A73,'Projekt-Budget-Übersicht'!$A:$A,0)),"")</f>
        <v/>
      </c>
      <c r="O73" s="11" t="inlineStr"/>
      <c r="P73" s="11" t="inlineStr"/>
    </row>
    <row r="74">
      <c r="A74" s="13" t="inlineStr">
        <is>
          <t>1914.102 Retailer-T3-Lagardère Travel Retail Deutschland Foodservice GmbH</t>
        </is>
      </c>
      <c r="B74" s="4" t="inlineStr">
        <is>
          <t>(a.N) Brandschutztechnische Beratung</t>
        </is>
      </c>
      <c r="C74" s="4" t="inlineStr">
        <is>
          <t>G</t>
        </is>
      </c>
      <c r="D74" s="4" t="n">
        <v>60</v>
      </c>
      <c r="E74" s="4" t="n">
        <v>43.5</v>
      </c>
      <c r="F74" s="4" t="n">
        <v>3</v>
      </c>
      <c r="G74" s="17" t="n">
        <v>72.5</v>
      </c>
      <c r="H74" s="5" t="n"/>
      <c r="I74" s="5">
        <f>IF(H74=0,"",F74-H74)</f>
        <v/>
      </c>
      <c r="J74" s="4" t="n"/>
      <c r="K74" s="5" t="n">
        <v>0</v>
      </c>
      <c r="L74" s="11">
        <f>IF($B$2="-","",IF($B$2="Pauschale",IFERROR(INDEX('Projekt-Budget-Übersicht'!$H:$H,MATCH(A74,'Projekt-Budget-Übersicht'!$A:$A,0)),""),IF($B$2="SV",IFERROR(INDEX('Projekt-Budget-Übersicht'!$H:$H,MATCH(A74,'Projekt-Budget-Übersicht'!$A:$A,0)),""),IF($B$2="CAD",IFERROR(INDEX('Projekt-Budget-Übersicht'!$I:$I,MATCH(A74,'Projekt-Budget-Übersicht'!$A:$A,0)),""),IF($B$2="ADM",IFERROR(INDEX('Projekt-Budget-Übersicht'!$J:$J,MATCH(A74,'Projekt-Budget-Übersicht'!$A:$A,0)),""),"")))))</f>
        <v/>
      </c>
      <c r="M74" s="11">
        <f>IF($B$2="-","",L74*(F74+I74+K74))</f>
        <v/>
      </c>
      <c r="N74" s="11">
        <f>IFERROR(INDEX('Projekt-Budget-Übersicht'!$E:$E,MATCH(A74,'Projekt-Budget-Übersicht'!$A:$A,0)),"")</f>
        <v/>
      </c>
      <c r="O74" s="11" t="inlineStr"/>
      <c r="P74" s="11" t="inlineStr"/>
    </row>
    <row r="75">
      <c r="A75" s="15" t="n"/>
      <c r="B75" s="4" t="inlineStr">
        <is>
          <t>(a.N) Erstellung Brandschutztechnische Stellungnahme</t>
        </is>
      </c>
      <c r="C75" s="4" t="inlineStr">
        <is>
          <t>G</t>
        </is>
      </c>
      <c r="D75" s="4" t="n">
        <v>60</v>
      </c>
      <c r="E75" s="4" t="n">
        <v>68.25</v>
      </c>
      <c r="F75" s="4" t="n">
        <v>0.75</v>
      </c>
      <c r="G75" s="16" t="n">
        <v>113.75</v>
      </c>
      <c r="H75" s="5" t="n"/>
      <c r="I75" s="5">
        <f>IF(H75=0,"",F75-H75)</f>
        <v/>
      </c>
      <c r="J75" s="4" t="n"/>
      <c r="K75" s="5" t="n">
        <v>0</v>
      </c>
      <c r="L75" s="11">
        <f>IF($B$2="-","",IF($B$2="Pauschale",IFERROR(INDEX('Projekt-Budget-Übersicht'!$H:$H,MATCH(A75,'Projekt-Budget-Übersicht'!$A:$A,0)),""),IF($B$2="SV",IFERROR(INDEX('Projekt-Budget-Übersicht'!$H:$H,MATCH(A75,'Projekt-Budget-Übersicht'!$A:$A,0)),""),IF($B$2="CAD",IFERROR(INDEX('Projekt-Budget-Übersicht'!$I:$I,MATCH(A75,'Projekt-Budget-Übersicht'!$A:$A,0)),""),IF($B$2="ADM",IFERROR(INDEX('Projekt-Budget-Übersicht'!$J:$J,MATCH(A75,'Projekt-Budget-Übersicht'!$A:$A,0)),""),"")))))</f>
        <v/>
      </c>
      <c r="M75" s="11">
        <f>IF($B$2="-","",L75*(F75+I75+K75))</f>
        <v/>
      </c>
      <c r="N75" s="11">
        <f>IFERROR(INDEX('Projekt-Budget-Übersicht'!$E:$E,MATCH(A75,'Projekt-Budget-Übersicht'!$A:$A,0)),"")</f>
        <v/>
      </c>
      <c r="O75" s="11" t="inlineStr"/>
      <c r="P75" s="11" t="inlineStr"/>
    </row>
    <row r="76">
      <c r="A76" s="4" t="inlineStr">
        <is>
          <t>1914.111 Retailer-prosecur-ChangeGroup</t>
        </is>
      </c>
      <c r="B76" s="4" t="inlineStr">
        <is>
          <t>4101-Erläuterungsbericht Brandschutzkonzept….</t>
        </is>
      </c>
      <c r="C76" s="4" t="inlineStr">
        <is>
          <t>G</t>
        </is>
      </c>
      <c r="D76" s="4" t="n">
        <v>80</v>
      </c>
      <c r="E76" s="4" t="n">
        <v>68.75</v>
      </c>
      <c r="F76" s="4" t="n">
        <v>1.25</v>
      </c>
      <c r="G76" s="17" t="n">
        <v>85.94</v>
      </c>
      <c r="H76" s="5" t="n"/>
      <c r="I76" s="5">
        <f>IF(H76=0,"",F76-H76)</f>
        <v/>
      </c>
      <c r="J76" s="4" t="n"/>
      <c r="K76" s="5" t="n">
        <v>0</v>
      </c>
      <c r="L76" s="11">
        <f>IF($B$2="-","",IF($B$2="Pauschale",IFERROR(INDEX('Projekt-Budget-Übersicht'!$H:$H,MATCH(A76,'Projekt-Budget-Übersicht'!$A:$A,0)),""),IF($B$2="SV",IFERROR(INDEX('Projekt-Budget-Übersicht'!$H:$H,MATCH(A76,'Projekt-Budget-Übersicht'!$A:$A,0)),""),IF($B$2="CAD",IFERROR(INDEX('Projekt-Budget-Übersicht'!$I:$I,MATCH(A76,'Projekt-Budget-Übersicht'!$A:$A,0)),""),IF($B$2="ADM",IFERROR(INDEX('Projekt-Budget-Übersicht'!$J:$J,MATCH(A76,'Projekt-Budget-Übersicht'!$A:$A,0)),""),"")))))</f>
        <v/>
      </c>
      <c r="M76" s="11">
        <f>IF($B$2="-","",L76*(F76+I76+K76))</f>
        <v/>
      </c>
      <c r="N76" s="11">
        <f>IFERROR(INDEX('Projekt-Budget-Übersicht'!$E:$E,MATCH(A76,'Projekt-Budget-Übersicht'!$A:$A,0)),"")</f>
        <v/>
      </c>
      <c r="O76" s="11" t="inlineStr"/>
      <c r="P76" s="11" t="inlineStr"/>
    </row>
    <row r="77">
      <c r="A77" s="4" t="inlineStr">
        <is>
          <t>3869.23 (eh.3258.29) Breuninger-BSK-Bestandsgebäude-Marktstr1-3-Stuttgart</t>
        </is>
      </c>
      <c r="B77" s="4" t="inlineStr">
        <is>
          <t>SV</t>
        </is>
      </c>
      <c r="C77" s="4" t="inlineStr">
        <is>
          <t>G</t>
        </is>
      </c>
      <c r="D77" s="4" t="n">
        <v>70</v>
      </c>
      <c r="E77" s="4" t="n">
        <v>66</v>
      </c>
      <c r="F77" s="4" t="n">
        <v>4.75</v>
      </c>
      <c r="G77" s="14" t="n">
        <v>94.29000000000001</v>
      </c>
      <c r="H77" s="5" t="n"/>
      <c r="I77" s="5">
        <f>IF(H77=0,"",F77-H77)</f>
        <v/>
      </c>
      <c r="J77" s="4" t="n"/>
      <c r="K77" s="5" t="n">
        <v>0</v>
      </c>
      <c r="L77" s="11">
        <f>IF($B$2="-","",IF($B$2="Pauschale",IFERROR(INDEX('Projekt-Budget-Übersicht'!$H:$H,MATCH(A77,'Projekt-Budget-Übersicht'!$A:$A,0)),""),IF($B$2="SV",IFERROR(INDEX('Projekt-Budget-Übersicht'!$H:$H,MATCH(A77,'Projekt-Budget-Übersicht'!$A:$A,0)),""),IF($B$2="CAD",IFERROR(INDEX('Projekt-Budget-Übersicht'!$I:$I,MATCH(A77,'Projekt-Budget-Übersicht'!$A:$A,0)),""),IF($B$2="ADM",IFERROR(INDEX('Projekt-Budget-Übersicht'!$J:$J,MATCH(A77,'Projekt-Budget-Übersicht'!$A:$A,0)),""),"")))))</f>
        <v/>
      </c>
      <c r="M77" s="11">
        <f>IF($B$2="-","",L77*(F77+I77+K77))</f>
        <v/>
      </c>
      <c r="N77" s="11">
        <f>IFERROR(INDEX('Projekt-Budget-Übersicht'!$E:$E,MATCH(A77,'Projekt-Budget-Übersicht'!$A:$A,0)),"")</f>
        <v/>
      </c>
      <c r="O77" s="11" t="inlineStr"/>
      <c r="P77" s="11" t="inlineStr"/>
    </row>
    <row r="78">
      <c r="A78" s="4" t="inlineStr">
        <is>
          <t>3869.24 KES-BST-1.OG-Bestandsgebäude-Marktstr1-3-Stuttgart</t>
        </is>
      </c>
      <c r="B78" s="4" t="inlineStr">
        <is>
          <t>SV</t>
        </is>
      </c>
      <c r="C78" s="4" t="inlineStr">
        <is>
          <t>G</t>
        </is>
      </c>
      <c r="D78" s="4" t="n">
        <v>20</v>
      </c>
      <c r="E78" s="4" t="n">
        <v>25.25</v>
      </c>
      <c r="F78" s="4" t="n">
        <v>3.75</v>
      </c>
      <c r="G78" s="16" t="n">
        <v>126.25</v>
      </c>
      <c r="H78" s="5" t="n"/>
      <c r="I78" s="5">
        <f>IF(H78=0,"",F78-H78)</f>
        <v/>
      </c>
      <c r="J78" s="4" t="n"/>
      <c r="K78" s="5" t="n">
        <v>0</v>
      </c>
      <c r="L78" s="11">
        <f>IF($B$2="-","",IF($B$2="Pauschale",IFERROR(INDEX('Projekt-Budget-Übersicht'!$H:$H,MATCH(A78,'Projekt-Budget-Übersicht'!$A:$A,0)),""),IF($B$2="SV",IFERROR(INDEX('Projekt-Budget-Übersicht'!$H:$H,MATCH(A78,'Projekt-Budget-Übersicht'!$A:$A,0)),""),IF($B$2="CAD",IFERROR(INDEX('Projekt-Budget-Übersicht'!$I:$I,MATCH(A78,'Projekt-Budget-Übersicht'!$A:$A,0)),""),IF($B$2="ADM",IFERROR(INDEX('Projekt-Budget-Übersicht'!$J:$J,MATCH(A78,'Projekt-Budget-Übersicht'!$A:$A,0)),""),"")))))</f>
        <v/>
      </c>
      <c r="M78" s="11">
        <f>IF($B$2="-","",L78*(F78+I78+K78))</f>
        <v/>
      </c>
      <c r="N78" s="11">
        <f>IFERROR(INDEX('Projekt-Budget-Übersicht'!$E:$E,MATCH(A78,'Projekt-Budget-Übersicht'!$A:$A,0)),"")</f>
        <v/>
      </c>
      <c r="O78" s="11" t="inlineStr"/>
      <c r="P78" s="11" t="inlineStr"/>
    </row>
    <row r="79">
      <c r="A79" s="4" t="inlineStr">
        <is>
          <t>3869.25 Breuninger-Brandschutzbegehung-Marktstr1-3-Stuttgart</t>
        </is>
      </c>
      <c r="B79" s="4" t="inlineStr">
        <is>
          <t>(aN) Pos. 1 Brandschutzbegehung</t>
        </is>
      </c>
      <c r="C79" s="4" t="inlineStr">
        <is>
          <t>G</t>
        </is>
      </c>
      <c r="D79" s="4" t="n">
        <v>20</v>
      </c>
      <c r="E79" s="4" t="n">
        <v>18.25</v>
      </c>
      <c r="F79" s="4" t="n">
        <v>8</v>
      </c>
      <c r="G79" s="14" t="n">
        <v>91.25</v>
      </c>
      <c r="H79" s="5" t="n"/>
      <c r="I79" s="5">
        <f>IF(H79=0,"",F79-H79)</f>
        <v/>
      </c>
      <c r="J79" s="4" t="n"/>
      <c r="K79" s="5" t="n">
        <v>0</v>
      </c>
      <c r="L79" s="11">
        <f>IF($B$2="-","",IF($B$2="Pauschale",IFERROR(INDEX('Projekt-Budget-Übersicht'!$H:$H,MATCH(A79,'Projekt-Budget-Übersicht'!$A:$A,0)),""),IF($B$2="SV",IFERROR(INDEX('Projekt-Budget-Übersicht'!$H:$H,MATCH(A79,'Projekt-Budget-Übersicht'!$A:$A,0)),""),IF($B$2="CAD",IFERROR(INDEX('Projekt-Budget-Übersicht'!$I:$I,MATCH(A79,'Projekt-Budget-Übersicht'!$A:$A,0)),""),IF($B$2="ADM",IFERROR(INDEX('Projekt-Budget-Übersicht'!$J:$J,MATCH(A79,'Projekt-Budget-Übersicht'!$A:$A,0)),""),"")))))</f>
        <v/>
      </c>
      <c r="M79" s="11">
        <f>IF($B$2="-","",L79*(F79+I79+K79))</f>
        <v/>
      </c>
      <c r="N79" s="11">
        <f>IFERROR(INDEX('Projekt-Budget-Übersicht'!$E:$E,MATCH(A79,'Projekt-Budget-Übersicht'!$A:$A,0)),"")</f>
        <v/>
      </c>
      <c r="O79" s="11" t="inlineStr"/>
      <c r="P79" s="11" t="inlineStr"/>
    </row>
    <row r="80">
      <c r="A80" s="4" t="inlineStr">
        <is>
          <t>4249.12 Apleona-BSK-Geb10+11-Am-Keltenwald-Ehningen</t>
        </is>
      </c>
      <c r="B80" s="4" t="inlineStr">
        <is>
          <t>SV</t>
        </is>
      </c>
      <c r="C80" s="4" t="inlineStr">
        <is>
          <t>G</t>
        </is>
      </c>
      <c r="D80" s="4" t="n">
        <v>20</v>
      </c>
      <c r="E80" s="4" t="n">
        <v>26</v>
      </c>
      <c r="F80" s="4" t="n">
        <v>1</v>
      </c>
      <c r="G80" s="16" t="n">
        <v>130</v>
      </c>
      <c r="H80" s="5" t="n"/>
      <c r="I80" s="5">
        <f>IF(H80=0,"",F80-H80)</f>
        <v/>
      </c>
      <c r="J80" s="4" t="n"/>
      <c r="K80" s="5">
        <f>IF('M. Bandlofsky'!J48="T. Trautmann",'M. Bandlofsky'!I48,0)</f>
        <v/>
      </c>
      <c r="L80" s="11">
        <f>IF($B$2="-","",IF($B$2="Pauschale",IFERROR(INDEX('Projekt-Budget-Übersicht'!$H:$H,MATCH(A80,'Projekt-Budget-Übersicht'!$A:$A,0)),""),IF($B$2="SV",IFERROR(INDEX('Projekt-Budget-Übersicht'!$H:$H,MATCH(A80,'Projekt-Budget-Übersicht'!$A:$A,0)),""),IF($B$2="CAD",IFERROR(INDEX('Projekt-Budget-Übersicht'!$I:$I,MATCH(A80,'Projekt-Budget-Übersicht'!$A:$A,0)),""),IF($B$2="ADM",IFERROR(INDEX('Projekt-Budget-Übersicht'!$J:$J,MATCH(A80,'Projekt-Budget-Übersicht'!$A:$A,0)),""),"")))))</f>
        <v/>
      </c>
      <c r="M80" s="11">
        <f>IF($B$2="-","",L80*(F80+I80+K80))</f>
        <v/>
      </c>
      <c r="N80" s="11">
        <f>IFERROR(INDEX('Projekt-Budget-Übersicht'!$E:$E,MATCH(A80,'Projekt-Budget-Übersicht'!$A:$A,0)),"")</f>
        <v/>
      </c>
      <c r="O80" s="11" t="inlineStr"/>
      <c r="P80" s="11" t="inlineStr"/>
    </row>
    <row r="81">
      <c r="A81" s="4" t="inlineStr">
        <is>
          <t>4399.01 Hugo-Boss-AHO-NeubauH2-Dieselstr12-Metzingen</t>
        </is>
      </c>
      <c r="B81" s="4" t="inlineStr">
        <is>
          <t>(p) Pos. 4 LP 8 GL (SV)</t>
        </is>
      </c>
      <c r="C81" s="4" t="inlineStr">
        <is>
          <t>G</t>
        </is>
      </c>
      <c r="D81" s="4" t="n">
        <v>141</v>
      </c>
      <c r="E81" s="4" t="n">
        <v>30.25</v>
      </c>
      <c r="F81" s="4" t="n">
        <v>0.25</v>
      </c>
      <c r="G81" s="17" t="n">
        <v>21.45</v>
      </c>
      <c r="H81" s="5" t="n"/>
      <c r="I81" s="5">
        <f>IF(H81=0,"",F81-H81)</f>
        <v/>
      </c>
      <c r="J81" s="4" t="n"/>
      <c r="K81" s="5" t="n">
        <v>0</v>
      </c>
      <c r="L81" s="11">
        <f>IF($B$2="-","",IF($B$2="Pauschale",IFERROR(INDEX('Projekt-Budget-Übersicht'!$H:$H,MATCH(A81,'Projekt-Budget-Übersicht'!$A:$A,0)),""),IF($B$2="SV",IFERROR(INDEX('Projekt-Budget-Übersicht'!$H:$H,MATCH(A81,'Projekt-Budget-Übersicht'!$A:$A,0)),""),IF($B$2="CAD",IFERROR(INDEX('Projekt-Budget-Übersicht'!$I:$I,MATCH(A81,'Projekt-Budget-Übersicht'!$A:$A,0)),""),IF($B$2="ADM",IFERROR(INDEX('Projekt-Budget-Übersicht'!$J:$J,MATCH(A81,'Projekt-Budget-Übersicht'!$A:$A,0)),""),"")))))</f>
        <v/>
      </c>
      <c r="M81" s="11">
        <f>IF($B$2="-","",L81*(F81+I81+K81))</f>
        <v/>
      </c>
      <c r="N81" s="11">
        <f>IFERROR(INDEX('Projekt-Budget-Übersicht'!$E:$E,MATCH(A81,'Projekt-Budget-Übersicht'!$A:$A,0)),"")</f>
        <v/>
      </c>
      <c r="O81" s="11" t="inlineStr"/>
      <c r="P81" s="11" t="inlineStr"/>
    </row>
    <row r="82">
      <c r="A82" s="4" t="inlineStr">
        <is>
          <t>5291.01 RNV-BTB-NB-ABZ-Betriebshof-Ludwigshafen</t>
        </is>
      </c>
      <c r="B82" s="4" t="inlineStr">
        <is>
          <t>(p) Pos. 2.1.1.3 - Entwurfsplanung</t>
        </is>
      </c>
      <c r="C82" s="4" t="inlineStr">
        <is>
          <t>G</t>
        </is>
      </c>
      <c r="D82" s="4" t="n">
        <v>28</v>
      </c>
      <c r="E82" s="4" t="n">
        <v>41.5</v>
      </c>
      <c r="F82" s="4" t="n">
        <v>4.25</v>
      </c>
      <c r="G82" s="16" t="n">
        <v>148.21</v>
      </c>
      <c r="H82" s="5" t="n"/>
      <c r="I82" s="5">
        <f>IF(H82=0,"",F82-H82)</f>
        <v/>
      </c>
      <c r="J82" s="4" t="n"/>
      <c r="K82" s="5">
        <f>IF('M. Bandlofsky'!J49="T. Trautmann",'M. Bandlofsky'!I49,0)</f>
        <v/>
      </c>
      <c r="L82" s="11">
        <f>IF($B$2="-","",IF($B$2="Pauschale",IFERROR(INDEX('Projekt-Budget-Übersicht'!$H:$H,MATCH(A82,'Projekt-Budget-Übersicht'!$A:$A,0)),""),IF($B$2="SV",IFERROR(INDEX('Projekt-Budget-Übersicht'!$H:$H,MATCH(A82,'Projekt-Budget-Übersicht'!$A:$A,0)),""),IF($B$2="CAD",IFERROR(INDEX('Projekt-Budget-Übersicht'!$I:$I,MATCH(A82,'Projekt-Budget-Übersicht'!$A:$A,0)),""),IF($B$2="ADM",IFERROR(INDEX('Projekt-Budget-Übersicht'!$J:$J,MATCH(A82,'Projekt-Budget-Übersicht'!$A:$A,0)),""),"")))))</f>
        <v/>
      </c>
      <c r="M82" s="11">
        <f>IF($B$2="-","",L82*(F82+I82+K82))</f>
        <v/>
      </c>
      <c r="N82" s="11">
        <f>IFERROR(INDEX('Projekt-Budget-Übersicht'!$E:$E,MATCH(A82,'Projekt-Budget-Übersicht'!$A:$A,0)),"")</f>
        <v/>
      </c>
      <c r="O82" s="11" t="inlineStr"/>
      <c r="P82" s="11" t="inlineStr"/>
    </row>
    <row r="83">
      <c r="A83" s="4" t="inlineStr">
        <is>
          <t>5437.02 BAB-Bissierstraße-Freiburg-Metzgergrün</t>
        </is>
      </c>
      <c r="B83" s="4" t="inlineStr">
        <is>
          <t>8100-Prüfen der Ausführung auf prinzipielle Übereinstimmung (Stufe 1)....</t>
        </is>
      </c>
      <c r="C83" s="4" t="inlineStr">
        <is>
          <t>G</t>
        </is>
      </c>
      <c r="D83" s="4" t="n">
        <v>180</v>
      </c>
      <c r="E83" s="4" t="n">
        <v>162</v>
      </c>
      <c r="F83" s="4" t="n">
        <v>4</v>
      </c>
      <c r="G83" s="14" t="n">
        <v>90</v>
      </c>
      <c r="H83" s="5" t="n"/>
      <c r="I83" s="5">
        <f>IF(H83=0,"",F83-H83)</f>
        <v/>
      </c>
      <c r="J83" s="4" t="n"/>
      <c r="K83" s="5" t="n">
        <v>0</v>
      </c>
      <c r="L83" s="11">
        <f>IF($B$2="-","",IF($B$2="Pauschale",IFERROR(INDEX('Projekt-Budget-Übersicht'!$H:$H,MATCH(A83,'Projekt-Budget-Übersicht'!$A:$A,0)),""),IF($B$2="SV",IFERROR(INDEX('Projekt-Budget-Übersicht'!$H:$H,MATCH(A83,'Projekt-Budget-Übersicht'!$A:$A,0)),""),IF($B$2="CAD",IFERROR(INDEX('Projekt-Budget-Übersicht'!$I:$I,MATCH(A83,'Projekt-Budget-Übersicht'!$A:$A,0)),""),IF($B$2="ADM",IFERROR(INDEX('Projekt-Budget-Übersicht'!$J:$J,MATCH(A83,'Projekt-Budget-Übersicht'!$A:$A,0)),""),"")))))</f>
        <v/>
      </c>
      <c r="M83" s="11">
        <f>IF($B$2="-","",L83*(F83+I83+K83))</f>
        <v/>
      </c>
      <c r="N83" s="11">
        <f>IFERROR(INDEX('Projekt-Budget-Übersicht'!$E:$E,MATCH(A83,'Projekt-Budget-Übersicht'!$A:$A,0)),"")</f>
        <v/>
      </c>
      <c r="O83" s="11" t="inlineStr"/>
      <c r="P83" s="11" t="inlineStr"/>
    </row>
    <row r="84">
      <c r="A84" s="13" t="inlineStr">
        <is>
          <t>5437.03 AHO-Brandschutzdienstleistungen-BAII-Bissierstraße-Freiburg-Metzgergrün</t>
        </is>
      </c>
      <c r="B84" s="4" t="inlineStr">
        <is>
          <t>4000-Genehmigungsplanung</t>
        </is>
      </c>
      <c r="C84" s="4" t="inlineStr">
        <is>
          <t>G</t>
        </is>
      </c>
      <c r="D84" s="4" t="n">
        <v>71</v>
      </c>
      <c r="E84" s="4" t="n">
        <v>116.25</v>
      </c>
      <c r="F84" s="4" t="n">
        <v>0.75</v>
      </c>
      <c r="G84" s="16" t="n">
        <v>163.73</v>
      </c>
      <c r="H84" s="5" t="n"/>
      <c r="I84" s="5">
        <f>IF(H84=0,"",F84-H84)</f>
        <v/>
      </c>
      <c r="J84" s="4" t="n"/>
      <c r="K84" s="5" t="n">
        <v>0</v>
      </c>
      <c r="L84" s="11">
        <f>IF($B$2="-","",IF($B$2="Pauschale",IFERROR(INDEX('Projekt-Budget-Übersicht'!$H:$H,MATCH(A84,'Projekt-Budget-Übersicht'!$A:$A,0)),""),IF($B$2="SV",IFERROR(INDEX('Projekt-Budget-Übersicht'!$H:$H,MATCH(A84,'Projekt-Budget-Übersicht'!$A:$A,0)),""),IF($B$2="CAD",IFERROR(INDEX('Projekt-Budget-Übersicht'!$I:$I,MATCH(A84,'Projekt-Budget-Übersicht'!$A:$A,0)),""),IF($B$2="ADM",IFERROR(INDEX('Projekt-Budget-Übersicht'!$J:$J,MATCH(A84,'Projekt-Budget-Übersicht'!$A:$A,0)),""),"")))))</f>
        <v/>
      </c>
      <c r="M84" s="11">
        <f>IF($B$2="-","",L84*(F84+I84+K84))</f>
        <v/>
      </c>
      <c r="N84" s="11">
        <f>IFERROR(INDEX('Projekt-Budget-Übersicht'!$E:$E,MATCH(A84,'Projekt-Budget-Übersicht'!$A:$A,0)),"")</f>
        <v/>
      </c>
      <c r="O84" s="11" t="inlineStr"/>
      <c r="P84" s="11" t="inlineStr"/>
    </row>
    <row r="85">
      <c r="A85" s="15" t="n"/>
      <c r="B85" s="4" t="inlineStr">
        <is>
          <t>5000-Ausführungsplanung</t>
        </is>
      </c>
      <c r="C85" s="4" t="inlineStr">
        <is>
          <t>G</t>
        </is>
      </c>
      <c r="D85" s="4" t="n">
        <v>85</v>
      </c>
      <c r="E85" s="4" t="n">
        <v>58</v>
      </c>
      <c r="F85" s="4" t="n">
        <v>1.75</v>
      </c>
      <c r="G85" s="17" t="n">
        <v>68.23999999999999</v>
      </c>
      <c r="H85" s="5" t="n"/>
      <c r="I85" s="5">
        <f>IF(H85=0,"",F85-H85)</f>
        <v/>
      </c>
      <c r="J85" s="4" t="n"/>
      <c r="K85" s="5" t="n">
        <v>0</v>
      </c>
      <c r="L85" s="11">
        <f>IF($B$2="-","",IF($B$2="Pauschale",IFERROR(INDEX('Projekt-Budget-Übersicht'!$H:$H,MATCH(A85,'Projekt-Budget-Übersicht'!$A:$A,0)),""),IF($B$2="SV",IFERROR(INDEX('Projekt-Budget-Übersicht'!$H:$H,MATCH(A85,'Projekt-Budget-Übersicht'!$A:$A,0)),""),IF($B$2="CAD",IFERROR(INDEX('Projekt-Budget-Übersicht'!$I:$I,MATCH(A85,'Projekt-Budget-Übersicht'!$A:$A,0)),""),IF($B$2="ADM",IFERROR(INDEX('Projekt-Budget-Übersicht'!$J:$J,MATCH(A85,'Projekt-Budget-Übersicht'!$A:$A,0)),""),"")))))</f>
        <v/>
      </c>
      <c r="M85" s="11">
        <f>IF($B$2="-","",L85*(F85+I85+K85))</f>
        <v/>
      </c>
      <c r="N85" s="11">
        <f>IFERROR(INDEX('Projekt-Budget-Übersicht'!$E:$E,MATCH(A85,'Projekt-Budget-Übersicht'!$A:$A,0)),"")</f>
        <v/>
      </c>
      <c r="O85" s="11" t="inlineStr"/>
      <c r="P85" s="11" t="inlineStr"/>
    </row>
    <row r="86">
      <c r="A86" s="4" t="inlineStr">
        <is>
          <t>5757 Hirschberger-Straße-1-Schriesheim-Kurpfalz-Gymnasium</t>
        </is>
      </c>
      <c r="B86" s="4" t="inlineStr">
        <is>
          <t>8000-Objektüberwachung</t>
        </is>
      </c>
      <c r="C86" s="4" t="inlineStr">
        <is>
          <t>G</t>
        </is>
      </c>
      <c r="D86" s="4" t="n">
        <v>283</v>
      </c>
      <c r="E86" s="4" t="n">
        <v>249.5</v>
      </c>
      <c r="F86" s="4" t="n">
        <v>7</v>
      </c>
      <c r="G86" s="17" t="n">
        <v>88.16</v>
      </c>
      <c r="H86" s="5" t="n"/>
      <c r="I86" s="5">
        <f>IF(H86=0,"",F86-H86)</f>
        <v/>
      </c>
      <c r="J86" s="4" t="n"/>
      <c r="K86" s="5" t="n">
        <v>0</v>
      </c>
      <c r="L86" s="11">
        <f>IF($B$2="-","",IF($B$2="Pauschale",IFERROR(INDEX('Projekt-Budget-Übersicht'!$H:$H,MATCH(A86,'Projekt-Budget-Übersicht'!$A:$A,0)),""),IF($B$2="SV",IFERROR(INDEX('Projekt-Budget-Übersicht'!$H:$H,MATCH(A86,'Projekt-Budget-Übersicht'!$A:$A,0)),""),IF($B$2="CAD",IFERROR(INDEX('Projekt-Budget-Übersicht'!$I:$I,MATCH(A86,'Projekt-Budget-Übersicht'!$A:$A,0)),""),IF($B$2="ADM",IFERROR(INDEX('Projekt-Budget-Übersicht'!$J:$J,MATCH(A86,'Projekt-Budget-Übersicht'!$A:$A,0)),""),"")))))</f>
        <v/>
      </c>
      <c r="M86" s="11">
        <f>IF($B$2="-","",L86*(F86+I86+K86))</f>
        <v/>
      </c>
      <c r="N86" s="11">
        <f>IFERROR(INDEX('Projekt-Budget-Übersicht'!$E:$E,MATCH(A86,'Projekt-Budget-Übersicht'!$A:$A,0)),"")</f>
        <v/>
      </c>
      <c r="O86" s="11" t="inlineStr"/>
      <c r="P86" s="11" t="inlineStr"/>
    </row>
    <row r="87">
      <c r="A87" s="4" t="inlineStr">
        <is>
          <t>6106.01 KreisBergstrasse-AHO-NB-LGL-Lessinggymnasium-Biedensandstr55-Lampertheim</t>
        </is>
      </c>
      <c r="B87" s="4" t="inlineStr">
        <is>
          <t>RL</t>
        </is>
      </c>
      <c r="C87" s="4" t="inlineStr">
        <is>
          <t>G</t>
        </is>
      </c>
      <c r="D87" s="4" t="n">
        <v>160</v>
      </c>
      <c r="E87" s="4" t="n">
        <v>134.25</v>
      </c>
      <c r="F87" s="4" t="n">
        <v>3.75</v>
      </c>
      <c r="G87" s="17" t="n">
        <v>83.91</v>
      </c>
      <c r="H87" s="5" t="n"/>
      <c r="I87" s="5">
        <f>IF(H87=0,"",F87-H87)</f>
        <v/>
      </c>
      <c r="J87" s="4" t="n"/>
      <c r="K87" s="5">
        <f>IF('J. Dorn'!J89="T. Trautmann",'J. Dorn'!I89,0)</f>
        <v/>
      </c>
      <c r="L87" s="11">
        <f>IF($B$2="-","",IF($B$2="Pauschale",IFERROR(INDEX('Projekt-Budget-Übersicht'!$H:$H,MATCH(A87,'Projekt-Budget-Übersicht'!$A:$A,0)),""),IF($B$2="SV",IFERROR(INDEX('Projekt-Budget-Übersicht'!$H:$H,MATCH(A87,'Projekt-Budget-Übersicht'!$A:$A,0)),""),IF($B$2="CAD",IFERROR(INDEX('Projekt-Budget-Übersicht'!$I:$I,MATCH(A87,'Projekt-Budget-Übersicht'!$A:$A,0)),""),IF($B$2="ADM",IFERROR(INDEX('Projekt-Budget-Übersicht'!$J:$J,MATCH(A87,'Projekt-Budget-Übersicht'!$A:$A,0)),""),"")))))</f>
        <v/>
      </c>
      <c r="M87" s="11">
        <f>IF($B$2="-","",L87*(F87+I87+K87))</f>
        <v/>
      </c>
      <c r="N87" s="11">
        <f>IFERROR(INDEX('Projekt-Budget-Übersicht'!$E:$E,MATCH(A87,'Projekt-Budget-Übersicht'!$A:$A,0)),"")</f>
        <v/>
      </c>
      <c r="O87" s="11" t="inlineStr"/>
      <c r="P87" s="11" t="inlineStr"/>
    </row>
    <row r="88">
      <c r="A88" s="4" t="inlineStr">
        <is>
          <t>6344 Brodenheckstraße-Bitburg-Amtsgericht</t>
        </is>
      </c>
      <c r="B88" s="4" t="inlineStr">
        <is>
          <t>4000-Genehmigungsplanung</t>
        </is>
      </c>
      <c r="C88" s="4" t="inlineStr">
        <is>
          <t>G</t>
        </is>
      </c>
      <c r="D88" s="4" t="n">
        <v>37</v>
      </c>
      <c r="E88" s="4" t="n">
        <v>27.75</v>
      </c>
      <c r="F88" s="4" t="n">
        <v>0.5</v>
      </c>
      <c r="G88" s="17" t="n">
        <v>75</v>
      </c>
      <c r="H88" s="5" t="n"/>
      <c r="I88" s="5">
        <f>IF(H88=0,"",F88-H88)</f>
        <v/>
      </c>
      <c r="J88" s="4" t="n"/>
      <c r="K88" s="5">
        <f>IF('A. Kokott'!J97="T. Trautmann",'A. Kokott'!I97,0)+IF('J. Dorn'!J90="T. Trautmann",'J. Dorn'!I90,0)+IF('M. Bandlofsky'!J61="T. Trautmann",'M. Bandlofsky'!I61,0)+IF('O. Haag BS-CAD'!J106="T. Trautmann",'O. Haag BS-CAD'!I106,0)</f>
        <v/>
      </c>
      <c r="L88" s="11">
        <f>IF($B$2="-","",IF($B$2="Pauschale",IFERROR(INDEX('Projekt-Budget-Übersicht'!$H:$H,MATCH(A88,'Projekt-Budget-Übersicht'!$A:$A,0)),""),IF($B$2="SV",IFERROR(INDEX('Projekt-Budget-Übersicht'!$H:$H,MATCH(A88,'Projekt-Budget-Übersicht'!$A:$A,0)),""),IF($B$2="CAD",IFERROR(INDEX('Projekt-Budget-Übersicht'!$I:$I,MATCH(A88,'Projekt-Budget-Übersicht'!$A:$A,0)),""),IF($B$2="ADM",IFERROR(INDEX('Projekt-Budget-Übersicht'!$J:$J,MATCH(A88,'Projekt-Budget-Übersicht'!$A:$A,0)),""),"")))))</f>
        <v/>
      </c>
      <c r="M88" s="11">
        <f>IF($B$2="-","",L88*(F88+I88+K88))</f>
        <v/>
      </c>
      <c r="N88" s="11">
        <f>IFERROR(INDEX('Projekt-Budget-Übersicht'!$E:$E,MATCH(A88,'Projekt-Budget-Übersicht'!$A:$A,0)),"")</f>
        <v/>
      </c>
      <c r="O88" s="11" t="inlineStr"/>
      <c r="P88" s="11" t="inlineStr"/>
    </row>
    <row r="89">
      <c r="A89" s="4" t="inlineStr">
        <is>
          <t>6377 Alemannenstraße-21-Heimsheim-IAV</t>
        </is>
      </c>
      <c r="B89" s="4" t="inlineStr">
        <is>
          <t>8000-Objektüberwachung</t>
        </is>
      </c>
      <c r="C89" s="4" t="inlineStr">
        <is>
          <t>G</t>
        </is>
      </c>
      <c r="D89" s="4" t="n">
        <v>191.25</v>
      </c>
      <c r="E89" s="4" t="n">
        <v>142.25</v>
      </c>
      <c r="F89" s="4" t="n">
        <v>45.25</v>
      </c>
      <c r="G89" s="17" t="n">
        <v>74.38</v>
      </c>
      <c r="H89" s="5" t="n"/>
      <c r="I89" s="5">
        <f>IF(H89=0,"",F89-H89)</f>
        <v/>
      </c>
      <c r="J89" s="4" t="n"/>
      <c r="K89" s="5" t="n">
        <v>0</v>
      </c>
      <c r="L89" s="11">
        <f>IF($B$2="-","",IF($B$2="Pauschale",IFERROR(INDEX('Projekt-Budget-Übersicht'!$H:$H,MATCH(A89,'Projekt-Budget-Übersicht'!$A:$A,0)),""),IF($B$2="SV",IFERROR(INDEX('Projekt-Budget-Übersicht'!$H:$H,MATCH(A89,'Projekt-Budget-Übersicht'!$A:$A,0)),""),IF($B$2="CAD",IFERROR(INDEX('Projekt-Budget-Übersicht'!$I:$I,MATCH(A89,'Projekt-Budget-Übersicht'!$A:$A,0)),""),IF($B$2="ADM",IFERROR(INDEX('Projekt-Budget-Übersicht'!$J:$J,MATCH(A89,'Projekt-Budget-Übersicht'!$A:$A,0)),""),"")))))</f>
        <v/>
      </c>
      <c r="M89" s="11">
        <f>IF($B$2="-","",L89*(F89+I89+K89))</f>
        <v/>
      </c>
      <c r="N89" s="11">
        <f>IFERROR(INDEX('Projekt-Budget-Übersicht'!$E:$E,MATCH(A89,'Projekt-Budget-Übersicht'!$A:$A,0)),"")</f>
        <v/>
      </c>
      <c r="O89" s="11" t="inlineStr"/>
      <c r="P89" s="11" t="inlineStr"/>
    </row>
    <row r="90">
      <c r="A90" s="4" t="inlineStr">
        <is>
          <t>6377.04 IAV-BSK-Im-Kammertal10-Heimsheim</t>
        </is>
      </c>
      <c r="B90" s="4" t="inlineStr">
        <is>
          <t>SV</t>
        </is>
      </c>
      <c r="C90" s="4" t="inlineStr">
        <is>
          <t>G</t>
        </is>
      </c>
      <c r="D90" s="4" t="n">
        <v>22</v>
      </c>
      <c r="E90" s="4" t="n">
        <v>23.25</v>
      </c>
      <c r="F90" s="4" t="n">
        <v>3</v>
      </c>
      <c r="G90" s="16" t="n">
        <v>105.68</v>
      </c>
      <c r="H90" s="5" t="n"/>
      <c r="I90" s="5">
        <f>IF(H90=0,"",F90-H90)</f>
        <v/>
      </c>
      <c r="J90" s="4" t="n"/>
      <c r="K90" s="5">
        <f>IF('S. Schüler'!J104="T. Trautmann",'S. Schüler'!I104,0)</f>
        <v/>
      </c>
      <c r="L90" s="11">
        <f>IF($B$2="-","",IF($B$2="Pauschale",IFERROR(INDEX('Projekt-Budget-Übersicht'!$H:$H,MATCH(A90,'Projekt-Budget-Übersicht'!$A:$A,0)),""),IF($B$2="SV",IFERROR(INDEX('Projekt-Budget-Übersicht'!$H:$H,MATCH(A90,'Projekt-Budget-Übersicht'!$A:$A,0)),""),IF($B$2="CAD",IFERROR(INDEX('Projekt-Budget-Übersicht'!$I:$I,MATCH(A90,'Projekt-Budget-Übersicht'!$A:$A,0)),""),IF($B$2="ADM",IFERROR(INDEX('Projekt-Budget-Übersicht'!$J:$J,MATCH(A90,'Projekt-Budget-Übersicht'!$A:$A,0)),""),"")))))</f>
        <v/>
      </c>
      <c r="M90" s="11">
        <f>IF($B$2="-","",L90*(F90+I90+K90))</f>
        <v/>
      </c>
      <c r="N90" s="11">
        <f>IFERROR(INDEX('Projekt-Budget-Übersicht'!$E:$E,MATCH(A90,'Projekt-Budget-Übersicht'!$A:$A,0)),"")</f>
        <v/>
      </c>
      <c r="O90" s="11" t="inlineStr"/>
      <c r="P90" s="11" t="inlineStr"/>
    </row>
    <row r="91">
      <c r="A91" s="4" t="inlineStr">
        <is>
          <t>6497 SunYardOffice-Heidelberg</t>
        </is>
      </c>
      <c r="B91" s="4" t="inlineStr">
        <is>
          <t>4000-Genehmigungsplanung</t>
        </is>
      </c>
      <c r="C91" s="4" t="inlineStr">
        <is>
          <t>G</t>
        </is>
      </c>
      <c r="D91" s="4" t="n">
        <v>0</v>
      </c>
      <c r="E91" s="4" t="n">
        <v>0</v>
      </c>
      <c r="F91" s="4" t="n">
        <v>3.75</v>
      </c>
      <c r="G91" s="4" t="n">
        <v>0</v>
      </c>
      <c r="H91" s="5" t="n"/>
      <c r="I91" s="5">
        <f>IF(H91=0,"",F91-H91)</f>
        <v/>
      </c>
      <c r="J91" s="4" t="n"/>
      <c r="K91" s="5">
        <f>IF('A. Kokott'!J100="T. Trautmann",'A. Kokott'!I100,0)+IF('J. Dorn'!J91="T. Trautmann",'J. Dorn'!I91,0)</f>
        <v/>
      </c>
      <c r="L91" s="11">
        <f>IF($B$2="-","",IF($B$2="Pauschale",IFERROR(INDEX('Projekt-Budget-Übersicht'!$H:$H,MATCH(A91,'Projekt-Budget-Übersicht'!$A:$A,0)),""),IF($B$2="SV",IFERROR(INDEX('Projekt-Budget-Übersicht'!$H:$H,MATCH(A91,'Projekt-Budget-Übersicht'!$A:$A,0)),""),IF($B$2="CAD",IFERROR(INDEX('Projekt-Budget-Übersicht'!$I:$I,MATCH(A91,'Projekt-Budget-Übersicht'!$A:$A,0)),""),IF($B$2="ADM",IFERROR(INDEX('Projekt-Budget-Übersicht'!$J:$J,MATCH(A91,'Projekt-Budget-Übersicht'!$A:$A,0)),""),"")))))</f>
        <v/>
      </c>
      <c r="M91" s="11">
        <f>IF($B$2="-","",L91*(F91+I91+K91))</f>
        <v/>
      </c>
      <c r="N91" s="11">
        <f>IFERROR(INDEX('Projekt-Budget-Übersicht'!$E:$E,MATCH(A91,'Projekt-Budget-Übersicht'!$A:$A,0)),"")</f>
        <v/>
      </c>
      <c r="O91" s="11" t="inlineStr"/>
      <c r="P91" s="11" t="inlineStr"/>
    </row>
    <row r="92">
      <c r="A92" s="4" t="inlineStr">
        <is>
          <t>6680.02 GSKOK-Heidelberg-Kopfklinik-LP3</t>
        </is>
      </c>
      <c r="B92" s="4" t="inlineStr">
        <is>
          <t>Teilnahme an Besprechungen (noch nicht beauftragt)</t>
        </is>
      </c>
      <c r="C92" s="4" t="inlineStr">
        <is>
          <t>G</t>
        </is>
      </c>
      <c r="D92" s="4" t="n">
        <v>0</v>
      </c>
      <c r="E92" s="4" t="n">
        <v>139.75</v>
      </c>
      <c r="F92" s="4" t="n">
        <v>4</v>
      </c>
      <c r="G92" s="4" t="n">
        <v>0</v>
      </c>
      <c r="H92" s="5" t="n"/>
      <c r="I92" s="5">
        <f>IF(H92=0,"",F92-H92)</f>
        <v/>
      </c>
      <c r="J92" s="4" t="n"/>
      <c r="K92" s="5">
        <f>IF('S. Schüler'!J106="T. Trautmann",'S. Schüler'!I106,0)</f>
        <v/>
      </c>
      <c r="L92" s="11">
        <f>IF($B$2="-","",IF($B$2="Pauschale",IFERROR(INDEX('Projekt-Budget-Übersicht'!$H:$H,MATCH(A92,'Projekt-Budget-Übersicht'!$A:$A,0)),""),IF($B$2="SV",IFERROR(INDEX('Projekt-Budget-Übersicht'!$H:$H,MATCH(A92,'Projekt-Budget-Übersicht'!$A:$A,0)),""),IF($B$2="CAD",IFERROR(INDEX('Projekt-Budget-Übersicht'!$I:$I,MATCH(A92,'Projekt-Budget-Übersicht'!$A:$A,0)),""),IF($B$2="ADM",IFERROR(INDEX('Projekt-Budget-Übersicht'!$J:$J,MATCH(A92,'Projekt-Budget-Übersicht'!$A:$A,0)),""),"")))))</f>
        <v/>
      </c>
      <c r="M92" s="11">
        <f>IF($B$2="-","",L92*(F92+I92+K92))</f>
        <v/>
      </c>
      <c r="N92" s="11">
        <f>IFERROR(INDEX('Projekt-Budget-Übersicht'!$E:$E,MATCH(A92,'Projekt-Budget-Übersicht'!$A:$A,0)),"")</f>
        <v/>
      </c>
      <c r="O92" s="11" t="inlineStr"/>
      <c r="P92" s="11" t="inlineStr"/>
    </row>
    <row r="93">
      <c r="A93" s="4" t="inlineStr">
        <is>
          <t>7040 Fraunhofer-AHO-BSK-ISE-Freiburg-Neubau-Hykos</t>
        </is>
      </c>
      <c r="B93" s="4" t="inlineStr">
        <is>
          <t>NAT 02 (aN) LP2 Hykos+H2T (Beratung a.N. bis Ausschreibung beauftragt)</t>
        </is>
      </c>
      <c r="C93" s="4" t="inlineStr">
        <is>
          <t>G</t>
        </is>
      </c>
      <c r="D93" s="4" t="n">
        <v>20</v>
      </c>
      <c r="E93" s="4" t="n">
        <v>64.75</v>
      </c>
      <c r="F93" s="4" t="n">
        <v>8</v>
      </c>
      <c r="G93" s="16" t="n">
        <v>323.75</v>
      </c>
      <c r="H93" s="5" t="n"/>
      <c r="I93" s="5">
        <f>IF(H93=0,"",F93-H93)</f>
        <v/>
      </c>
      <c r="J93" s="4" t="n"/>
      <c r="K93" s="5" t="n">
        <v>0</v>
      </c>
      <c r="L93" s="11">
        <f>IF($B$2="-","",IF($B$2="Pauschale",IFERROR(INDEX('Projekt-Budget-Übersicht'!$H:$H,MATCH(A93,'Projekt-Budget-Übersicht'!$A:$A,0)),""),IF($B$2="SV",IFERROR(INDEX('Projekt-Budget-Übersicht'!$H:$H,MATCH(A93,'Projekt-Budget-Übersicht'!$A:$A,0)),""),IF($B$2="CAD",IFERROR(INDEX('Projekt-Budget-Übersicht'!$I:$I,MATCH(A93,'Projekt-Budget-Übersicht'!$A:$A,0)),""),IF($B$2="ADM",IFERROR(INDEX('Projekt-Budget-Übersicht'!$J:$J,MATCH(A93,'Projekt-Budget-Übersicht'!$A:$A,0)),""),"")))))</f>
        <v/>
      </c>
      <c r="M93" s="11">
        <f>IF($B$2="-","",L93*(F93+I93+K93))</f>
        <v/>
      </c>
      <c r="N93" s="11">
        <f>IFERROR(INDEX('Projekt-Budget-Übersicht'!$E:$E,MATCH(A93,'Projekt-Budget-Übersicht'!$A:$A,0)),"")</f>
        <v/>
      </c>
      <c r="O93" s="11" t="inlineStr"/>
      <c r="P93" s="11" t="inlineStr"/>
    </row>
    <row r="94">
      <c r="A94" s="4" t="inlineStr">
        <is>
          <t>7196 DRESO-BSK-TDE-Genset-Container-Austausch-NEA-Kleyerstr75-89-FFM</t>
        </is>
      </c>
      <c r="B94" s="4" t="inlineStr">
        <is>
          <t>SV</t>
        </is>
      </c>
      <c r="C94" s="4" t="inlineStr">
        <is>
          <t>G</t>
        </is>
      </c>
      <c r="D94" s="4" t="n">
        <v>19</v>
      </c>
      <c r="E94" s="4" t="n">
        <v>22</v>
      </c>
      <c r="F94" s="4" t="n">
        <v>0.25</v>
      </c>
      <c r="G94" s="16" t="n">
        <v>115.79</v>
      </c>
      <c r="H94" s="5" t="n"/>
      <c r="I94" s="5">
        <f>IF(H94=0,"",F94-H94)</f>
        <v/>
      </c>
      <c r="J94" s="4" t="n"/>
      <c r="K94" s="5">
        <f>IF('J. Dorn'!J102="T. Trautmann",'J. Dorn'!I102,0)+IF('R. Böttiger'!J60="T. Trautmann",'R. Böttiger'!I60,0)</f>
        <v/>
      </c>
      <c r="L94" s="11">
        <f>IF($B$2="-","",IF($B$2="Pauschale",IFERROR(INDEX('Projekt-Budget-Übersicht'!$H:$H,MATCH(A94,'Projekt-Budget-Übersicht'!$A:$A,0)),""),IF($B$2="SV",IFERROR(INDEX('Projekt-Budget-Übersicht'!$H:$H,MATCH(A94,'Projekt-Budget-Übersicht'!$A:$A,0)),""),IF($B$2="CAD",IFERROR(INDEX('Projekt-Budget-Übersicht'!$I:$I,MATCH(A94,'Projekt-Budget-Übersicht'!$A:$A,0)),""),IF($B$2="ADM",IFERROR(INDEX('Projekt-Budget-Übersicht'!$J:$J,MATCH(A94,'Projekt-Budget-Übersicht'!$A:$A,0)),""),"")))))</f>
        <v/>
      </c>
      <c r="M94" s="11">
        <f>IF($B$2="-","",L94*(F94+I94+K94))</f>
        <v/>
      </c>
      <c r="N94" s="11">
        <f>IFERROR(INDEX('Projekt-Budget-Übersicht'!$E:$E,MATCH(A94,'Projekt-Budget-Übersicht'!$A:$A,0)),"")</f>
        <v/>
      </c>
      <c r="O94" s="11" t="inlineStr"/>
      <c r="P94" s="11" t="inlineStr"/>
    </row>
    <row r="95">
      <c r="A95" s="4" t="inlineStr">
        <is>
          <t>7414 HJVV-BSK-NB-Wohnanlage-Trier-Ehrang</t>
        </is>
      </c>
      <c r="B95" s="4" t="inlineStr">
        <is>
          <t>SV</t>
        </is>
      </c>
      <c r="C95" s="4" t="inlineStr">
        <is>
          <t>G</t>
        </is>
      </c>
      <c r="D95" s="4" t="n">
        <v>40</v>
      </c>
      <c r="E95" s="4" t="n">
        <v>34.25</v>
      </c>
      <c r="F95" s="4" t="n">
        <v>2.5</v>
      </c>
      <c r="G95" s="17" t="n">
        <v>85.62</v>
      </c>
      <c r="H95" s="5" t="n"/>
      <c r="I95" s="5">
        <f>IF(H95=0,"",F95-H95)</f>
        <v/>
      </c>
      <c r="J95" s="4" t="n"/>
      <c r="K95" s="5" t="n">
        <v>0</v>
      </c>
      <c r="L95" s="11">
        <f>IF($B$2="-","",IF($B$2="Pauschale",IFERROR(INDEX('Projekt-Budget-Übersicht'!$H:$H,MATCH(A95,'Projekt-Budget-Übersicht'!$A:$A,0)),""),IF($B$2="SV",IFERROR(INDEX('Projekt-Budget-Übersicht'!$H:$H,MATCH(A95,'Projekt-Budget-Übersicht'!$A:$A,0)),""),IF($B$2="CAD",IFERROR(INDEX('Projekt-Budget-Übersicht'!$I:$I,MATCH(A95,'Projekt-Budget-Übersicht'!$A:$A,0)),""),IF($B$2="ADM",IFERROR(INDEX('Projekt-Budget-Übersicht'!$J:$J,MATCH(A95,'Projekt-Budget-Übersicht'!$A:$A,0)),""),"")))))</f>
        <v/>
      </c>
      <c r="M95" s="11">
        <f>IF($B$2="-","",L95*(F95+I95+K95))</f>
        <v/>
      </c>
      <c r="N95" s="11">
        <f>IFERROR(INDEX('Projekt-Budget-Übersicht'!$E:$E,MATCH(A95,'Projekt-Budget-Übersicht'!$A:$A,0)),"")</f>
        <v/>
      </c>
      <c r="O95" s="11" t="inlineStr"/>
      <c r="P95" s="11" t="inlineStr"/>
    </row>
    <row r="96">
      <c r="A96" s="4" t="inlineStr">
        <is>
          <t>7505 Züblin-AHO-Neubau-Grundschule-Gengenbach</t>
        </is>
      </c>
      <c r="B96" s="4" t="inlineStr">
        <is>
          <t>(p) LP 3 RL (SV)</t>
        </is>
      </c>
      <c r="C96" s="4" t="inlineStr">
        <is>
          <t>G</t>
        </is>
      </c>
      <c r="D96" s="4" t="n">
        <v>47</v>
      </c>
      <c r="E96" s="4" t="n">
        <v>46.5</v>
      </c>
      <c r="F96" s="4" t="n">
        <v>36.75</v>
      </c>
      <c r="G96" s="14" t="n">
        <v>98.94</v>
      </c>
      <c r="H96" s="5" t="n"/>
      <c r="I96" s="5">
        <f>IF(H96=0,"",F96-H96)</f>
        <v/>
      </c>
      <c r="J96" s="4" t="n"/>
      <c r="K96" s="5" t="n">
        <v>0</v>
      </c>
      <c r="L96" s="11">
        <f>IF($B$2="-","",IF($B$2="Pauschale",IFERROR(INDEX('Projekt-Budget-Übersicht'!$H:$H,MATCH(A96,'Projekt-Budget-Übersicht'!$A:$A,0)),""),IF($B$2="SV",IFERROR(INDEX('Projekt-Budget-Übersicht'!$H:$H,MATCH(A96,'Projekt-Budget-Übersicht'!$A:$A,0)),""),IF($B$2="CAD",IFERROR(INDEX('Projekt-Budget-Übersicht'!$I:$I,MATCH(A96,'Projekt-Budget-Übersicht'!$A:$A,0)),""),IF($B$2="ADM",IFERROR(INDEX('Projekt-Budget-Übersicht'!$J:$J,MATCH(A96,'Projekt-Budget-Übersicht'!$A:$A,0)),""),"")))))</f>
        <v/>
      </c>
      <c r="M96" s="11">
        <f>IF($B$2="-","",L96*(F96+I96+K96))</f>
        <v/>
      </c>
      <c r="N96" s="11">
        <f>IFERROR(INDEX('Projekt-Budget-Übersicht'!$E:$E,MATCH(A96,'Projekt-Budget-Übersicht'!$A:$A,0)),"")</f>
        <v/>
      </c>
      <c r="O96" s="11" t="inlineStr"/>
      <c r="P96" s="11" t="inlineStr"/>
    </row>
    <row r="97">
      <c r="A97" s="3" t="inlineStr"/>
      <c r="B97" s="3" t="inlineStr">
        <is>
          <t>Summe</t>
        </is>
      </c>
      <c r="C97" s="3" t="inlineStr"/>
      <c r="D97" s="3" t="inlineStr"/>
      <c r="E97" s="3" t="inlineStr"/>
      <c r="F97" s="6" t="n">
        <v>149.5</v>
      </c>
      <c r="G97" s="3" t="inlineStr"/>
      <c r="H97" s="3" t="inlineStr"/>
      <c r="I97" s="3" t="inlineStr"/>
      <c r="J97" s="3" t="inlineStr"/>
      <c r="K97" s="3" t="inlineStr"/>
      <c r="L97" s="3" t="n"/>
      <c r="M97" s="3" t="n"/>
      <c r="N97" s="3" t="n"/>
      <c r="O97" s="3" t="n"/>
      <c r="P97" s="3" t="n"/>
    </row>
    <row r="98">
      <c r="A98" s="3" t="inlineStr"/>
      <c r="B98" s="3" t="inlineStr">
        <is>
          <t>Bonusberechtigte Stunden</t>
        </is>
      </c>
      <c r="C98" s="3" t="inlineStr"/>
      <c r="D98" s="3" t="inlineStr"/>
      <c r="E98" s="3" t="inlineStr"/>
      <c r="F98" s="6">
        <f>G98+H98</f>
        <v/>
      </c>
      <c r="G98" s="6" t="n">
        <v>126.5</v>
      </c>
      <c r="H98" s="6">
        <f>SUM(H74,H75,H76,H77,H78,H79,H80,H81,H82,H83,H84,H85,H86,H87,H88,H89,H90,H91,H92,H93,H94,H95,H96)</f>
        <v/>
      </c>
      <c r="I98" s="3" t="inlineStr"/>
      <c r="J98" s="3" t="inlineStr"/>
      <c r="K98" s="3" t="inlineStr"/>
      <c r="L98" s="3" t="inlineStr"/>
      <c r="M98" s="3" t="inlineStr"/>
      <c r="N98" s="3" t="inlineStr"/>
      <c r="O98" s="3" t="inlineStr"/>
      <c r="P98" s="3" t="inlineStr"/>
    </row>
    <row r="99">
      <c r="A99" s="3" t="inlineStr"/>
      <c r="B99" s="3" t="inlineStr">
        <is>
          <t>Bonusberechtigte Stunden Sonderprojekt</t>
        </is>
      </c>
      <c r="C99" s="3" t="inlineStr"/>
      <c r="D99" s="3" t="inlineStr"/>
      <c r="E99" s="3" t="inlineStr"/>
      <c r="F99" s="6">
        <f>G99+H99</f>
        <v/>
      </c>
      <c r="G99" s="6" t="n">
        <v>1.25</v>
      </c>
      <c r="H99" s="6">
        <f>SUM(H72,H73)</f>
        <v/>
      </c>
      <c r="I99" s="3" t="inlineStr"/>
      <c r="J99" s="3" t="inlineStr"/>
      <c r="K99" s="3" t="inlineStr"/>
      <c r="L99" s="3" t="inlineStr"/>
      <c r="M99" s="3" t="inlineStr"/>
      <c r="N99" s="3" t="inlineStr"/>
      <c r="O99" s="3" t="inlineStr"/>
      <c r="P99" s="3" t="inlineStr"/>
    </row>
    <row r="100">
      <c r="A100" s="3" t="inlineStr"/>
      <c r="B100" s="3" t="inlineStr">
        <is>
          <t>Zugeordnete Stunden von anderen MA</t>
        </is>
      </c>
      <c r="C100" s="3" t="inlineStr"/>
      <c r="D100" s="3" t="inlineStr"/>
      <c r="E100" s="3" t="inlineStr"/>
      <c r="F100" s="6">
        <f>SUM(K72:K96)</f>
        <v/>
      </c>
      <c r="G100" s="3" t="inlineStr"/>
      <c r="H100" s="3" t="inlineStr"/>
      <c r="I100" s="3" t="inlineStr"/>
      <c r="J100" s="3" t="inlineStr"/>
      <c r="K100" s="3" t="inlineStr"/>
      <c r="L100" s="3" t="inlineStr"/>
      <c r="M100" s="3" t="inlineStr"/>
      <c r="N100" s="3" t="inlineStr"/>
      <c r="O100" s="3" t="inlineStr"/>
      <c r="P100" s="3" t="inlineStr"/>
    </row>
    <row r="101">
      <c r="A101" s="18" t="inlineStr"/>
      <c r="B101" s="18" t="inlineStr">
        <is>
          <t>Gesamt Bonus Stunden</t>
        </is>
      </c>
      <c r="C101" s="18" t="inlineStr"/>
      <c r="D101" s="18" t="inlineStr"/>
      <c r="E101" s="18" t="inlineStr"/>
      <c r="F101" s="19">
        <f>F98+F99+F100</f>
        <v/>
      </c>
      <c r="G101" s="18" t="inlineStr"/>
      <c r="H101" s="18" t="inlineStr"/>
      <c r="I101" s="18" t="inlineStr"/>
      <c r="J101" s="18" t="inlineStr"/>
      <c r="K101" s="18" t="inlineStr"/>
      <c r="L101" s="18" t="n"/>
      <c r="M101" s="18" t="n"/>
      <c r="N101" s="18" t="n"/>
      <c r="O101" s="18" t="n"/>
      <c r="P101" s="18" t="n"/>
    </row>
    <row r="103">
      <c r="A103" s="2" t="inlineStr">
        <is>
          <t>--- Übertragshilfe ---</t>
        </is>
      </c>
    </row>
    <row r="104">
      <c r="A104" s="3" t="inlineStr">
        <is>
          <t>Monat</t>
        </is>
      </c>
      <c r="B104" s="3" t="inlineStr">
        <is>
          <t>Mitarbeiter</t>
        </is>
      </c>
      <c r="C104" s="3" t="inlineStr">
        <is>
          <t>Prod. Stunden</t>
        </is>
      </c>
      <c r="D104" s="3" t="inlineStr">
        <is>
          <t>Bonusberechtigte Stunden</t>
        </is>
      </c>
      <c r="E104" s="3" t="inlineStr">
        <is>
          <t>Bonusberechtigte Stunden Sonderprojekt</t>
        </is>
      </c>
      <c r="F104" s="3" t="inlineStr">
        <is>
          <t>Zugeordnet von anderen</t>
        </is>
      </c>
      <c r="G104" s="3" t="inlineStr">
        <is>
          <t>Gesamt Bonus</t>
        </is>
      </c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</row>
    <row r="105">
      <c r="A105" s="4" t="inlineStr">
        <is>
          <t>Juli 2025</t>
        </is>
      </c>
      <c r="B105" s="4" t="inlineStr">
        <is>
          <t>T. Trautmann</t>
        </is>
      </c>
      <c r="C105" s="4">
        <f>F20</f>
        <v/>
      </c>
      <c r="D105" s="4">
        <f>F21</f>
        <v/>
      </c>
      <c r="E105" s="4">
        <f>F22</f>
        <v/>
      </c>
      <c r="F105" s="4">
        <f>F23</f>
        <v/>
      </c>
      <c r="G105" s="4">
        <f>F24</f>
        <v/>
      </c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</row>
    <row r="106">
      <c r="A106" s="4" t="inlineStr">
        <is>
          <t>August 2025</t>
        </is>
      </c>
      <c r="B106" s="4" t="inlineStr">
        <is>
          <t>T. Trautmann</t>
        </is>
      </c>
      <c r="C106" s="4">
        <f>F64</f>
        <v/>
      </c>
      <c r="D106" s="4">
        <f>F65</f>
        <v/>
      </c>
      <c r="E106" s="4">
        <f>F66</f>
        <v/>
      </c>
      <c r="F106" s="4">
        <f>F67</f>
        <v/>
      </c>
      <c r="G106" s="4">
        <f>F68</f>
        <v/>
      </c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</row>
    <row r="107">
      <c r="A107" s="4" t="inlineStr">
        <is>
          <t>September 2025</t>
        </is>
      </c>
      <c r="B107" s="4" t="inlineStr">
        <is>
          <t>T. Trautmann</t>
        </is>
      </c>
      <c r="C107" s="4">
        <f>F97</f>
        <v/>
      </c>
      <c r="D107" s="4">
        <f>F98</f>
        <v/>
      </c>
      <c r="E107" s="4">
        <f>F99</f>
        <v/>
      </c>
      <c r="F107" s="4">
        <f>F100</f>
        <v/>
      </c>
      <c r="G107" s="4">
        <f>F101</f>
        <v/>
      </c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</row>
    <row r="110">
      <c r="A110" s="2" t="inlineStr">
        <is>
          <t>--- Gesamtstunden 2025Q3 ---</t>
        </is>
      </c>
    </row>
    <row r="111">
      <c r="A111" s="12" t="inlineStr">
        <is>
          <t>Gesamt eingetragene Stunden:</t>
        </is>
      </c>
      <c r="B111" s="12" t="n">
        <v>381</v>
      </c>
      <c r="C111" s="12" t="n"/>
      <c r="D111" s="12" t="n"/>
      <c r="E111" s="12" t="n"/>
      <c r="F111" s="12" t="n"/>
      <c r="G111" s="12" t="n"/>
      <c r="H111" s="12" t="n"/>
      <c r="I111" s="12" t="n"/>
      <c r="J111" s="12" t="n"/>
      <c r="K111" s="12" t="n"/>
      <c r="L111" s="12" t="n"/>
      <c r="M111" s="12" t="n"/>
      <c r="N111" s="12" t="n"/>
      <c r="O111" s="12" t="n"/>
      <c r="P111" s="12" t="n"/>
    </row>
    <row r="112">
      <c r="A112" s="12" t="inlineStr">
        <is>
          <t>Bonusberechtigte Stunden (Quartal):</t>
        </is>
      </c>
      <c r="B112" s="20">
        <f>SUM(F21,F65,F98)</f>
        <v/>
      </c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2" t="n"/>
      <c r="L112" s="12" t="n"/>
      <c r="M112" s="12" t="n"/>
      <c r="N112" s="12" t="n"/>
      <c r="O112" s="12" t="n"/>
      <c r="P112" s="12" t="n"/>
    </row>
    <row r="113">
      <c r="A113" s="12" t="inlineStr">
        <is>
          <t>Bonusberechtigte Stunden Sonderprojekt (Quartal):</t>
        </is>
      </c>
      <c r="B113" s="20">
        <f>SUM(F22,F66,F99)</f>
        <v/>
      </c>
      <c r="C113" s="12" t="n"/>
      <c r="D113" s="12" t="n"/>
      <c r="E113" s="12" t="n"/>
      <c r="F113" s="12" t="n"/>
      <c r="G113" s="12" t="n"/>
      <c r="H113" s="12" t="n"/>
      <c r="I113" s="12" t="n"/>
      <c r="J113" s="12" t="n"/>
      <c r="K113" s="12" t="n"/>
      <c r="L113" s="12" t="n"/>
      <c r="M113" s="12" t="n"/>
      <c r="N113" s="12" t="n"/>
      <c r="O113" s="12" t="n"/>
      <c r="P113" s="12" t="n"/>
    </row>
  </sheetData>
  <mergeCells count="8">
    <mergeCell ref="A74:A75"/>
    <mergeCell ref="A84:A85"/>
    <mergeCell ref="A28:A30"/>
    <mergeCell ref="A39:A40"/>
    <mergeCell ref="A51:A52"/>
    <mergeCell ref="A72:A73"/>
    <mergeCell ref="A6:A8"/>
    <mergeCell ref="A53:A54"/>
  </mergeCells>
  <conditionalFormatting sqref="I6">
    <cfRule type="cellIs" priority="1" operator="lessThan" dxfId="0" stopIfTrue="1">
      <formula>0</formula>
    </cfRule>
  </conditionalFormatting>
  <conditionalFormatting sqref="I7">
    <cfRule type="cellIs" priority="2" operator="lessThan" dxfId="0" stopIfTrue="1">
      <formula>0</formula>
    </cfRule>
  </conditionalFormatting>
  <conditionalFormatting sqref="I8">
    <cfRule type="cellIs" priority="3" operator="lessThan" dxfId="0" stopIfTrue="1">
      <formula>0</formula>
    </cfRule>
  </conditionalFormatting>
  <conditionalFormatting sqref="I9">
    <cfRule type="cellIs" priority="4" operator="lessThan" dxfId="0" stopIfTrue="1">
      <formula>0</formula>
    </cfRule>
  </conditionalFormatting>
  <conditionalFormatting sqref="I10">
    <cfRule type="cellIs" priority="5" operator="lessThan" dxfId="0" stopIfTrue="1">
      <formula>0</formula>
    </cfRule>
  </conditionalFormatting>
  <conditionalFormatting sqref="I11">
    <cfRule type="cellIs" priority="6" operator="lessThan" dxfId="0" stopIfTrue="1">
      <formula>0</formula>
    </cfRule>
  </conditionalFormatting>
  <conditionalFormatting sqref="I12">
    <cfRule type="cellIs" priority="7" operator="lessThan" dxfId="0" stopIfTrue="1">
      <formula>0</formula>
    </cfRule>
  </conditionalFormatting>
  <conditionalFormatting sqref="I13">
    <cfRule type="cellIs" priority="8" operator="lessThan" dxfId="0" stopIfTrue="1">
      <formula>0</formula>
    </cfRule>
  </conditionalFormatting>
  <conditionalFormatting sqref="I14">
    <cfRule type="cellIs" priority="9" operator="lessThan" dxfId="0" stopIfTrue="1">
      <formula>0</formula>
    </cfRule>
  </conditionalFormatting>
  <conditionalFormatting sqref="I15">
    <cfRule type="cellIs" priority="10" operator="lessThan" dxfId="0" stopIfTrue="1">
      <formula>0</formula>
    </cfRule>
  </conditionalFormatting>
  <conditionalFormatting sqref="I16">
    <cfRule type="cellIs" priority="11" operator="lessThan" dxfId="0" stopIfTrue="1">
      <formula>0</formula>
    </cfRule>
  </conditionalFormatting>
  <conditionalFormatting sqref="I17">
    <cfRule type="cellIs" priority="12" operator="lessThan" dxfId="0" stopIfTrue="1">
      <formula>0</formula>
    </cfRule>
  </conditionalFormatting>
  <conditionalFormatting sqref="I18">
    <cfRule type="cellIs" priority="13" operator="lessThan" dxfId="0" stopIfTrue="1">
      <formula>0</formula>
    </cfRule>
  </conditionalFormatting>
  <conditionalFormatting sqref="I19">
    <cfRule type="cellIs" priority="14" operator="lessThan" dxfId="0" stopIfTrue="1">
      <formula>0</formula>
    </cfRule>
  </conditionalFormatting>
  <conditionalFormatting sqref="I28">
    <cfRule type="cellIs" priority="15" operator="lessThan" dxfId="0" stopIfTrue="1">
      <formula>0</formula>
    </cfRule>
  </conditionalFormatting>
  <conditionalFormatting sqref="I29">
    <cfRule type="cellIs" priority="16" operator="lessThan" dxfId="0" stopIfTrue="1">
      <formula>0</formula>
    </cfRule>
  </conditionalFormatting>
  <conditionalFormatting sqref="I30">
    <cfRule type="cellIs" priority="17" operator="lessThan" dxfId="0" stopIfTrue="1">
      <formula>0</formula>
    </cfRule>
  </conditionalFormatting>
  <conditionalFormatting sqref="I31">
    <cfRule type="cellIs" priority="18" operator="lessThan" dxfId="0" stopIfTrue="1">
      <formula>0</formula>
    </cfRule>
  </conditionalFormatting>
  <conditionalFormatting sqref="I32">
    <cfRule type="cellIs" priority="19" operator="lessThan" dxfId="0" stopIfTrue="1">
      <formula>0</formula>
    </cfRule>
  </conditionalFormatting>
  <conditionalFormatting sqref="I33">
    <cfRule type="cellIs" priority="20" operator="lessThan" dxfId="0" stopIfTrue="1">
      <formula>0</formula>
    </cfRule>
  </conditionalFormatting>
  <conditionalFormatting sqref="I34">
    <cfRule type="cellIs" priority="21" operator="lessThan" dxfId="0" stopIfTrue="1">
      <formula>0</formula>
    </cfRule>
  </conditionalFormatting>
  <conditionalFormatting sqref="I35">
    <cfRule type="cellIs" priority="22" operator="lessThan" dxfId="0" stopIfTrue="1">
      <formula>0</formula>
    </cfRule>
  </conditionalFormatting>
  <conditionalFormatting sqref="I36">
    <cfRule type="cellIs" priority="23" operator="lessThan" dxfId="0" stopIfTrue="1">
      <formula>0</formula>
    </cfRule>
  </conditionalFormatting>
  <conditionalFormatting sqref="I37">
    <cfRule type="cellIs" priority="24" operator="lessThan" dxfId="0" stopIfTrue="1">
      <formula>0</formula>
    </cfRule>
  </conditionalFormatting>
  <conditionalFormatting sqref="I38">
    <cfRule type="cellIs" priority="25" operator="lessThan" dxfId="0" stopIfTrue="1">
      <formula>0</formula>
    </cfRule>
  </conditionalFormatting>
  <conditionalFormatting sqref="I39">
    <cfRule type="cellIs" priority="26" operator="lessThan" dxfId="0" stopIfTrue="1">
      <formula>0</formula>
    </cfRule>
  </conditionalFormatting>
  <conditionalFormatting sqref="I40">
    <cfRule type="cellIs" priority="27" operator="lessThan" dxfId="0" stopIfTrue="1">
      <formula>0</formula>
    </cfRule>
  </conditionalFormatting>
  <conditionalFormatting sqref="I41">
    <cfRule type="cellIs" priority="28" operator="lessThan" dxfId="0" stopIfTrue="1">
      <formula>0</formula>
    </cfRule>
  </conditionalFormatting>
  <conditionalFormatting sqref="I42">
    <cfRule type="cellIs" priority="29" operator="lessThan" dxfId="0" stopIfTrue="1">
      <formula>0</formula>
    </cfRule>
  </conditionalFormatting>
  <conditionalFormatting sqref="I43">
    <cfRule type="cellIs" priority="30" operator="lessThan" dxfId="0" stopIfTrue="1">
      <formula>0</formula>
    </cfRule>
  </conditionalFormatting>
  <conditionalFormatting sqref="I44">
    <cfRule type="cellIs" priority="31" operator="lessThan" dxfId="0" stopIfTrue="1">
      <formula>0</formula>
    </cfRule>
  </conditionalFormatting>
  <conditionalFormatting sqref="I45">
    <cfRule type="cellIs" priority="32" operator="lessThan" dxfId="0" stopIfTrue="1">
      <formula>0</formula>
    </cfRule>
  </conditionalFormatting>
  <conditionalFormatting sqref="I46">
    <cfRule type="cellIs" priority="33" operator="lessThan" dxfId="0" stopIfTrue="1">
      <formula>0</formula>
    </cfRule>
  </conditionalFormatting>
  <conditionalFormatting sqref="I47">
    <cfRule type="cellIs" priority="34" operator="lessThan" dxfId="0" stopIfTrue="1">
      <formula>0</formula>
    </cfRule>
  </conditionalFormatting>
  <conditionalFormatting sqref="I48">
    <cfRule type="cellIs" priority="35" operator="lessThan" dxfId="0" stopIfTrue="1">
      <formula>0</formula>
    </cfRule>
  </conditionalFormatting>
  <conditionalFormatting sqref="I49">
    <cfRule type="cellIs" priority="36" operator="lessThan" dxfId="0" stopIfTrue="1">
      <formula>0</formula>
    </cfRule>
  </conditionalFormatting>
  <conditionalFormatting sqref="I50">
    <cfRule type="cellIs" priority="37" operator="lessThan" dxfId="0" stopIfTrue="1">
      <formula>0</formula>
    </cfRule>
  </conditionalFormatting>
  <conditionalFormatting sqref="I51">
    <cfRule type="cellIs" priority="38" operator="lessThan" dxfId="0" stopIfTrue="1">
      <formula>0</formula>
    </cfRule>
  </conditionalFormatting>
  <conditionalFormatting sqref="I52">
    <cfRule type="cellIs" priority="39" operator="lessThan" dxfId="0" stopIfTrue="1">
      <formula>0</formula>
    </cfRule>
  </conditionalFormatting>
  <conditionalFormatting sqref="I53">
    <cfRule type="cellIs" priority="40" operator="lessThan" dxfId="0" stopIfTrue="1">
      <formula>0</formula>
    </cfRule>
  </conditionalFormatting>
  <conditionalFormatting sqref="I54">
    <cfRule type="cellIs" priority="41" operator="lessThan" dxfId="0" stopIfTrue="1">
      <formula>0</formula>
    </cfRule>
  </conditionalFormatting>
  <conditionalFormatting sqref="I55">
    <cfRule type="cellIs" priority="42" operator="lessThan" dxfId="0" stopIfTrue="1">
      <formula>0</formula>
    </cfRule>
  </conditionalFormatting>
  <conditionalFormatting sqref="I56">
    <cfRule type="cellIs" priority="43" operator="lessThan" dxfId="0" stopIfTrue="1">
      <formula>0</formula>
    </cfRule>
  </conditionalFormatting>
  <conditionalFormatting sqref="I57">
    <cfRule type="cellIs" priority="44" operator="lessThan" dxfId="0" stopIfTrue="1">
      <formula>0</formula>
    </cfRule>
  </conditionalFormatting>
  <conditionalFormatting sqref="I58">
    <cfRule type="cellIs" priority="45" operator="lessThan" dxfId="0" stopIfTrue="1">
      <formula>0</formula>
    </cfRule>
  </conditionalFormatting>
  <conditionalFormatting sqref="I59">
    <cfRule type="cellIs" priority="46" operator="lessThan" dxfId="0" stopIfTrue="1">
      <formula>0</formula>
    </cfRule>
  </conditionalFormatting>
  <conditionalFormatting sqref="I60">
    <cfRule type="cellIs" priority="47" operator="lessThan" dxfId="0" stopIfTrue="1">
      <formula>0</formula>
    </cfRule>
  </conditionalFormatting>
  <conditionalFormatting sqref="I61">
    <cfRule type="cellIs" priority="48" operator="lessThan" dxfId="0" stopIfTrue="1">
      <formula>0</formula>
    </cfRule>
  </conditionalFormatting>
  <conditionalFormatting sqref="I62">
    <cfRule type="cellIs" priority="49" operator="lessThan" dxfId="0" stopIfTrue="1">
      <formula>0</formula>
    </cfRule>
  </conditionalFormatting>
  <conditionalFormatting sqref="I63">
    <cfRule type="cellIs" priority="50" operator="lessThan" dxfId="0" stopIfTrue="1">
      <formula>0</formula>
    </cfRule>
  </conditionalFormatting>
  <conditionalFormatting sqref="I72">
    <cfRule type="cellIs" priority="51" operator="lessThan" dxfId="0" stopIfTrue="1">
      <formula>0</formula>
    </cfRule>
  </conditionalFormatting>
  <conditionalFormatting sqref="I73">
    <cfRule type="cellIs" priority="52" operator="lessThan" dxfId="0" stopIfTrue="1">
      <formula>0</formula>
    </cfRule>
  </conditionalFormatting>
  <conditionalFormatting sqref="I74">
    <cfRule type="cellIs" priority="53" operator="lessThan" dxfId="0" stopIfTrue="1">
      <formula>0</formula>
    </cfRule>
  </conditionalFormatting>
  <conditionalFormatting sqref="I75">
    <cfRule type="cellIs" priority="54" operator="lessThan" dxfId="0" stopIfTrue="1">
      <formula>0</formula>
    </cfRule>
  </conditionalFormatting>
  <conditionalFormatting sqref="I76">
    <cfRule type="cellIs" priority="55" operator="lessThan" dxfId="0" stopIfTrue="1">
      <formula>0</formula>
    </cfRule>
  </conditionalFormatting>
  <conditionalFormatting sqref="I77">
    <cfRule type="cellIs" priority="56" operator="lessThan" dxfId="0" stopIfTrue="1">
      <formula>0</formula>
    </cfRule>
  </conditionalFormatting>
  <conditionalFormatting sqref="I78">
    <cfRule type="cellIs" priority="57" operator="lessThan" dxfId="0" stopIfTrue="1">
      <formula>0</formula>
    </cfRule>
  </conditionalFormatting>
  <conditionalFormatting sqref="I79">
    <cfRule type="cellIs" priority="58" operator="lessThan" dxfId="0" stopIfTrue="1">
      <formula>0</formula>
    </cfRule>
  </conditionalFormatting>
  <conditionalFormatting sqref="I80">
    <cfRule type="cellIs" priority="59" operator="lessThan" dxfId="0" stopIfTrue="1">
      <formula>0</formula>
    </cfRule>
  </conditionalFormatting>
  <conditionalFormatting sqref="I81">
    <cfRule type="cellIs" priority="60" operator="lessThan" dxfId="0" stopIfTrue="1">
      <formula>0</formula>
    </cfRule>
  </conditionalFormatting>
  <conditionalFormatting sqref="I82">
    <cfRule type="cellIs" priority="61" operator="lessThan" dxfId="0" stopIfTrue="1">
      <formula>0</formula>
    </cfRule>
  </conditionalFormatting>
  <conditionalFormatting sqref="I83">
    <cfRule type="cellIs" priority="62" operator="lessThan" dxfId="0" stopIfTrue="1">
      <formula>0</formula>
    </cfRule>
  </conditionalFormatting>
  <conditionalFormatting sqref="I84">
    <cfRule type="cellIs" priority="63" operator="lessThan" dxfId="0" stopIfTrue="1">
      <formula>0</formula>
    </cfRule>
  </conditionalFormatting>
  <conditionalFormatting sqref="I85">
    <cfRule type="cellIs" priority="64" operator="lessThan" dxfId="0" stopIfTrue="1">
      <formula>0</formula>
    </cfRule>
  </conditionalFormatting>
  <conditionalFormatting sqref="I86">
    <cfRule type="cellIs" priority="65" operator="lessThan" dxfId="0" stopIfTrue="1">
      <formula>0</formula>
    </cfRule>
  </conditionalFormatting>
  <conditionalFormatting sqref="I87">
    <cfRule type="cellIs" priority="66" operator="lessThan" dxfId="0" stopIfTrue="1">
      <formula>0</formula>
    </cfRule>
  </conditionalFormatting>
  <conditionalFormatting sqref="I88">
    <cfRule type="cellIs" priority="67" operator="lessThan" dxfId="0" stopIfTrue="1">
      <formula>0</formula>
    </cfRule>
  </conditionalFormatting>
  <conditionalFormatting sqref="I89">
    <cfRule type="cellIs" priority="68" operator="lessThan" dxfId="0" stopIfTrue="1">
      <formula>0</formula>
    </cfRule>
  </conditionalFormatting>
  <conditionalFormatting sqref="I90">
    <cfRule type="cellIs" priority="69" operator="lessThan" dxfId="0" stopIfTrue="1">
      <formula>0</formula>
    </cfRule>
  </conditionalFormatting>
  <conditionalFormatting sqref="I91">
    <cfRule type="cellIs" priority="70" operator="lessThan" dxfId="0" stopIfTrue="1">
      <formula>0</formula>
    </cfRule>
  </conditionalFormatting>
  <conditionalFormatting sqref="I92">
    <cfRule type="cellIs" priority="71" operator="lessThan" dxfId="0" stopIfTrue="1">
      <formula>0</formula>
    </cfRule>
  </conditionalFormatting>
  <conditionalFormatting sqref="I93">
    <cfRule type="cellIs" priority="72" operator="lessThan" dxfId="0" stopIfTrue="1">
      <formula>0</formula>
    </cfRule>
  </conditionalFormatting>
  <conditionalFormatting sqref="I94">
    <cfRule type="cellIs" priority="73" operator="lessThan" dxfId="0" stopIfTrue="1">
      <formula>0</formula>
    </cfRule>
  </conditionalFormatting>
  <conditionalFormatting sqref="I95">
    <cfRule type="cellIs" priority="74" operator="lessThan" dxfId="0" stopIfTrue="1">
      <formula>0</formula>
    </cfRule>
  </conditionalFormatting>
  <conditionalFormatting sqref="I96">
    <cfRule type="cellIs" priority="75" operator="lessThan" dxfId="0" stopIfTrue="1">
      <formula>0</formula>
    </cfRule>
  </conditionalFormatting>
  <dataValidations count="38">
    <dataValidation sqref="B2" showDropDown="0" showInputMessage="0" showErrorMessage="0" allowBlank="0" type="list">
      <formula1>"SV,CAD,ADM,Pauschale,-"</formula1>
    </dataValidation>
    <dataValidation sqref="J6" showDropDown="0" showInputMessage="0" showErrorMessage="0" allowBlank="1" type="list">
      <formula1>"A. Kokott,C. Trapp SV,D. Brucker,E. Bieler,J. Dorchies,J. Dorn,O. Haag BS-CAD,P. Bergner,R. Böttiger,S. Schüler,U. Sutter ADM"</formula1>
    </dataValidation>
    <dataValidation sqref="J7" showDropDown="0" showInputMessage="0" showErrorMessage="0" allowBlank="1" type="list">
      <formula1>"A. Kokott,C. Trapp SV,D. Brucker,E. Bieler,J. Dorchies,J. Dorn,M. Bandlofsky,O. Haag BS-CAD,P. Bergner,R. Wagen CAD,U. Sutter ADM"</formula1>
    </dataValidation>
    <dataValidation sqref="J8" showDropDown="0" showInputMessage="0" showErrorMessage="0" allowBlank="1" type="list">
      <formula1>"C. Trapp SV,J. Dorn,O. Haag BS-CAD,P. Bergner"</formula1>
    </dataValidation>
    <dataValidation sqref="J10" showDropDown="0" showInputMessage="0" showErrorMessage="0" allowBlank="1" type="list">
      <formula1>"E. Bieler"</formula1>
    </dataValidation>
    <dataValidation sqref="J14" showDropDown="0" showInputMessage="0" showErrorMessage="0" allowBlank="1" type="list">
      <formula1>"O. Haag BS-CAD"</formula1>
    </dataValidation>
    <dataValidation sqref="J15" showDropDown="0" showInputMessage="0" showErrorMessage="0" allowBlank="1" type="list">
      <formula1>"M. Bandlofsky CAD"</formula1>
    </dataValidation>
    <dataValidation sqref="J28" showDropDown="0" showInputMessage="0" showErrorMessage="0" allowBlank="1" type="list">
      <formula1>"A. Kokott,C. Trapp SV,D. Brucker,E. Bieler,J. Dorchies,J. Dorn,O. Haag BS-CAD,P. Bergner,R. Böttiger,S. Schüler,U. Sutter ADM"</formula1>
    </dataValidation>
    <dataValidation sqref="J29" showDropDown="0" showInputMessage="0" showErrorMessage="0" allowBlank="1" type="list">
      <formula1>"A. Kokott,C. Trapp SV,D. Brucker,E. Bieler,J. Dorchies,J. Dorn,M. Bandlofsky,O. Haag BS-CAD,P. Bergner,R. Wagen CAD,U. Sutter ADM"</formula1>
    </dataValidation>
    <dataValidation sqref="J30" showDropDown="0" showInputMessage="0" showErrorMessage="0" allowBlank="1" type="list">
      <formula1>"C. Trapp SV,J. Dorn,O. Haag BS-CAD,P. Bergner"</formula1>
    </dataValidation>
    <dataValidation sqref="J34" showDropDown="0" showInputMessage="0" showErrorMessage="0" allowBlank="1" type="list">
      <formula1>"E. Bieler"</formula1>
    </dataValidation>
    <dataValidation sqref="J40" showDropDown="0" showInputMessage="0" showErrorMessage="0" allowBlank="1" type="list">
      <formula1>"O. Haag BS-CAD"</formula1>
    </dataValidation>
    <dataValidation sqref="J41" showDropDown="0" showInputMessage="0" showErrorMessage="0" allowBlank="1" type="list">
      <formula1>"A. Kokott,J. Dorn"</formula1>
    </dataValidation>
    <dataValidation sqref="J42" showDropDown="0" showInputMessage="0" showErrorMessage="0" allowBlank="1" type="list">
      <formula1>"A. Kokott,J. Dorn"</formula1>
    </dataValidation>
    <dataValidation sqref="J43" showDropDown="0" showInputMessage="0" showErrorMessage="0" allowBlank="1" type="list">
      <formula1>"M. Bandlofsky CAD"</formula1>
    </dataValidation>
    <dataValidation sqref="J50" showDropDown="0" showInputMessage="0" showErrorMessage="0" allowBlank="1" type="list">
      <formula1>"A. Kokott,J. Dorn"</formula1>
    </dataValidation>
    <dataValidation sqref="J51" showDropDown="0" showInputMessage="0" showErrorMessage="0" allowBlank="1" type="list">
      <formula1>"S. Schüler"</formula1>
    </dataValidation>
    <dataValidation sqref="J52" showDropDown="0" showInputMessage="0" showErrorMessage="0" allowBlank="1" type="list">
      <formula1>"S. Schüler"</formula1>
    </dataValidation>
    <dataValidation sqref="J54" showDropDown="0" showInputMessage="0" showErrorMessage="0" allowBlank="1" type="list">
      <formula1>"M. Warner"</formula1>
    </dataValidation>
    <dataValidation sqref="J57" showDropDown="0" showInputMessage="0" showErrorMessage="0" allowBlank="1" type="list">
      <formula1>"R. Böttiger"</formula1>
    </dataValidation>
    <dataValidation sqref="J58" showDropDown="0" showInputMessage="0" showErrorMessage="0" allowBlank="1" type="list">
      <formula1>"D. Brucker,E. Bieler"</formula1>
    </dataValidation>
    <dataValidation sqref="J59" showDropDown="0" showInputMessage="0" showErrorMessage="0" allowBlank="1" type="list">
      <formula1>"H. Bektas,R. Böttiger"</formula1>
    </dataValidation>
    <dataValidation sqref="J61" showDropDown="0" showInputMessage="0" showErrorMessage="0" allowBlank="1" type="list">
      <formula1>"A. Kokott,E. Bieler,J. Dorchies,M. Bandlofsky"</formula1>
    </dataValidation>
    <dataValidation sqref="J62" showDropDown="0" showInputMessage="0" showErrorMessage="0" allowBlank="1" type="list">
      <formula1>"S. Schüler"</formula1>
    </dataValidation>
    <dataValidation sqref="J72" showDropDown="0" showInputMessage="0" showErrorMessage="0" allowBlank="1" type="list">
      <formula1>"A. Kokott,C. Trapp SV,D. Brucker,E. Bieler,J. Dorchies,J. Dorn,M. Bandlofsky,O. Haag BS-CAD,P. Bergner,R. Wagen CAD,U. Sutter ADM"</formula1>
    </dataValidation>
    <dataValidation sqref="J73" showDropDown="0" showInputMessage="0" showErrorMessage="0" allowBlank="1" type="list">
      <formula1>"C. Trapp SV,J. Dorn,O. Haag BS-CAD,P. Bergner"</formula1>
    </dataValidation>
    <dataValidation sqref="J78" showDropDown="0" showInputMessage="0" showErrorMessage="0" allowBlank="1" type="list">
      <formula1>"E. Bieler"</formula1>
    </dataValidation>
    <dataValidation sqref="J80" showDropDown="0" showInputMessage="0" showErrorMessage="0" allowBlank="1" type="list">
      <formula1>"M. Bandlofsky"</formula1>
    </dataValidation>
    <dataValidation sqref="J82" showDropDown="0" showInputMessage="0" showErrorMessage="0" allowBlank="1" type="list">
      <formula1>"M. Bandlofsky"</formula1>
    </dataValidation>
    <dataValidation sqref="J85" showDropDown="0" showInputMessage="0" showErrorMessage="0" allowBlank="1" type="list">
      <formula1>"O. Haag BS-CAD"</formula1>
    </dataValidation>
    <dataValidation sqref="J86" showDropDown="0" showInputMessage="0" showErrorMessage="0" allowBlank="1" type="list">
      <formula1>"M. Bandlofsky CAD"</formula1>
    </dataValidation>
    <dataValidation sqref="J87" showDropDown="0" showInputMessage="0" showErrorMessage="0" allowBlank="1" type="list">
      <formula1>"J. Dorn"</formula1>
    </dataValidation>
    <dataValidation sqref="J88" showDropDown="0" showInputMessage="0" showErrorMessage="0" allowBlank="1" type="list">
      <formula1>"A. Kokott,J. Dorn,M. Bandlofsky,O. Haag BS-CAD"</formula1>
    </dataValidation>
    <dataValidation sqref="J90" showDropDown="0" showInputMessage="0" showErrorMessage="0" allowBlank="1" type="list">
      <formula1>"S. Schüler"</formula1>
    </dataValidation>
    <dataValidation sqref="J91" showDropDown="0" showInputMessage="0" showErrorMessage="0" allowBlank="1" type="list">
      <formula1>"A. Kokott,J. Dorn,M. Bandlofsky"</formula1>
    </dataValidation>
    <dataValidation sqref="J92" showDropDown="0" showInputMessage="0" showErrorMessage="0" allowBlank="1" type="list">
      <formula1>"S. Schüler"</formula1>
    </dataValidation>
    <dataValidation sqref="J94" showDropDown="0" showInputMessage="0" showErrorMessage="0" allowBlank="1" type="list">
      <formula1>"J. Dorn,R. Böttiger"</formula1>
    </dataValidation>
    <dataValidation sqref="J95" showDropDown="0" showInputMessage="0" showErrorMessage="0" allowBlank="1" type="list">
      <formula1>"D. Brucker,E. Bieler"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8" customWidth="1" min="3" max="3"/>
    <col width="12" customWidth="1" min="4" max="4"/>
    <col width="12" customWidth="1" min="5" max="5"/>
    <col width="12" customWidth="1" min="6" max="6"/>
    <col width="8" customWidth="1" min="7" max="7"/>
    <col width="16" customWidth="1" min="8" max="8"/>
    <col width="12" customWidth="1" min="9" max="9"/>
    <col width="25" customWidth="1" min="10" max="10"/>
    <col width="15" customWidth="1" min="11" max="11"/>
    <col width="18" customWidth="1" min="12" max="12"/>
    <col width="15" customWidth="1" min="13" max="13"/>
    <col width="18" customWidth="1" min="14" max="14"/>
    <col width="15" customWidth="1" min="15" max="15"/>
    <col width="22" customWidth="1" min="16" max="16"/>
  </cols>
  <sheetData>
    <row r="1">
      <c r="A1" t="inlineStr">
        <is>
          <t>U. Sutter ADM - Quartalsreport 2025Q3</t>
        </is>
      </c>
    </row>
    <row r="2">
      <c r="A2" s="12" t="inlineStr">
        <is>
          <t>Position:</t>
        </is>
      </c>
      <c r="B2" t="inlineStr">
        <is>
          <t>SV</t>
        </is>
      </c>
    </row>
    <row r="4">
      <c r="A4" s="2" t="inlineStr">
        <is>
          <t>--- Juli 2025 ---</t>
        </is>
      </c>
    </row>
    <row r="5">
      <c r="A5" s="3" t="inlineStr">
        <is>
          <t>Projekt</t>
        </is>
      </c>
      <c r="B5" s="3" t="inlineStr">
        <is>
          <t>Meilenstein</t>
        </is>
      </c>
      <c r="C5" s="3" t="inlineStr">
        <is>
          <t>Typ</t>
        </is>
      </c>
      <c r="D5" s="3" t="inlineStr">
        <is>
          <t>Soll (h)</t>
        </is>
      </c>
      <c r="E5" s="3" t="inlineStr">
        <is>
          <t>Ist (h)</t>
        </is>
      </c>
      <c r="F5" s="3" t="inlineStr">
        <is>
          <t>Juli 2025 (h)</t>
        </is>
      </c>
      <c r="G5" s="3" t="inlineStr">
        <is>
          <t>%</t>
        </is>
      </c>
      <c r="H5" s="3" t="inlineStr">
        <is>
          <t>Bonus-Anpassung (h)</t>
        </is>
      </c>
      <c r="I5" s="3" t="inlineStr">
        <is>
          <t>Differenz (h)</t>
        </is>
      </c>
      <c r="J5" s="3" t="inlineStr">
        <is>
          <t>Zuordnen an</t>
        </is>
      </c>
      <c r="K5" s="3" t="inlineStr">
        <is>
          <t>Von anderen (h)</t>
        </is>
      </c>
      <c r="L5" s="3" t="inlineStr">
        <is>
          <t>Stundensatz (€/h)</t>
        </is>
      </c>
      <c r="M5" s="3" t="inlineStr">
        <is>
          <t>Umsatz (€)</t>
        </is>
      </c>
      <c r="N5" s="3" t="inlineStr">
        <is>
          <t>Budget Gesamt (€)</t>
        </is>
      </c>
      <c r="O5" s="3" t="inlineStr">
        <is>
          <t>Budget Ist (€)</t>
        </is>
      </c>
      <c r="P5" s="3" t="inlineStr">
        <is>
          <t>Budget Erwirtschaftet (€)</t>
        </is>
      </c>
    </row>
    <row r="6">
      <c r="A6" s="13" t="inlineStr">
        <is>
          <t>0000 Sonderprojekt für Bonus</t>
        </is>
      </c>
      <c r="B6" s="4" t="inlineStr">
        <is>
          <t>Angebote-Ausschreibungen-Kalkulationen (max. 8h/Monat pro MA)</t>
        </is>
      </c>
      <c r="C6" s="4" t="inlineStr">
        <is>
          <t>M</t>
        </is>
      </c>
      <c r="D6" s="4" t="n">
        <v>8</v>
      </c>
      <c r="E6" s="4" t="n">
        <v>8</v>
      </c>
      <c r="F6" s="4" t="n">
        <v>8</v>
      </c>
      <c r="G6" s="14" t="n">
        <v>100</v>
      </c>
      <c r="H6" s="5" t="n"/>
      <c r="I6" s="5">
        <f>IF(H6=0,"",F6-H6)</f>
        <v/>
      </c>
      <c r="J6" s="4" t="n"/>
      <c r="K6" s="5">
        <f>IF('A. Kokott'!J6="U. Sutter ADM",'A. Kokott'!I6,0)+IF('D. Brucker'!J6="U. Sutter ADM",'D. Brucker'!I6,0)+IF('E. Bieler'!J6="U. Sutter ADM",'E. Bieler'!I6,0)+IF('J. Dorchies'!J6="U. Sutter ADM",'J. Dorchies'!I6,0)+IF('O. Haag BS-CAD'!J6="U. Sutter ADM",'O. Haag BS-CAD'!I6,0)+IF('S. Schüler'!J6="U. Sutter ADM",'S. Schüler'!I6,0)+IF('T. Trautmann'!J6="U. Sutter ADM",'T. Trautmann'!I6,0)</f>
        <v/>
      </c>
      <c r="L6" s="11">
        <f>IF($B$2="-","",IF($B$2="Pauschale",IFERROR(INDEX('Projekt-Budget-Übersicht'!$H:$H,MATCH(A6,'Projekt-Budget-Übersicht'!$A:$A,0)),""),IF($B$2="SV",IFERROR(INDEX('Projekt-Budget-Übersicht'!$H:$H,MATCH(A6,'Projekt-Budget-Übersicht'!$A:$A,0)),""),IF($B$2="CAD",IFERROR(INDEX('Projekt-Budget-Übersicht'!$I:$I,MATCH(A6,'Projekt-Budget-Übersicht'!$A:$A,0)),""),IF($B$2="ADM",IFERROR(INDEX('Projekt-Budget-Übersicht'!$J:$J,MATCH(A6,'Projekt-Budget-Übersicht'!$A:$A,0)),""),"")))))</f>
        <v/>
      </c>
      <c r="M6" s="11">
        <f>IF($B$2="-","",L6*(F6+I6+K6))</f>
        <v/>
      </c>
      <c r="N6" s="11">
        <f>IFERROR(INDEX('Projekt-Budget-Übersicht'!$E:$E,MATCH(A6,'Projekt-Budget-Übersicht'!$A:$A,0)),"")</f>
        <v/>
      </c>
      <c r="O6" s="11" t="inlineStr"/>
      <c r="P6" s="11" t="inlineStr"/>
    </row>
    <row r="7">
      <c r="A7" s="15" t="n"/>
      <c r="B7" s="4" t="inlineStr">
        <is>
          <t>Einarbeitung neuer Mitarbeiter (max. 8h/Monat pro MA)</t>
        </is>
      </c>
      <c r="C7" s="4" t="inlineStr">
        <is>
          <t>M</t>
        </is>
      </c>
      <c r="D7" s="4" t="n">
        <v>8</v>
      </c>
      <c r="E7" s="4" t="n">
        <v>0.5</v>
      </c>
      <c r="F7" s="4" t="n">
        <v>0.5</v>
      </c>
      <c r="G7" s="17" t="n">
        <v>6.25</v>
      </c>
      <c r="H7" s="5" t="n"/>
      <c r="I7" s="5">
        <f>IF(H7=0,"",F7-H7)</f>
        <v/>
      </c>
      <c r="J7" s="4" t="n"/>
      <c r="K7" s="5">
        <f>IF('A. Kokott'!J7="U. Sutter ADM",'A. Kokott'!I7,0)+IF('C. Trapp SV'!J6="U. Sutter ADM",'C. Trapp SV'!I6,0)+IF('D. Brucker'!J7="U. Sutter ADM",'D. Brucker'!I7,0)+IF('E. Bieler'!J7="U. Sutter ADM",'E. Bieler'!I7,0)+IF('J. Dorchies'!J7="U. Sutter ADM",'J. Dorchies'!I7,0)+IF('J. Dorn'!J6="U. Sutter ADM",'J. Dorn'!I6,0)+IF('M. Bandlofsky'!J6="U. Sutter ADM",'M. Bandlofsky'!I6,0)+IF('T. Trautmann'!J7="U. Sutter ADM",'T. Trautmann'!I7,0)</f>
        <v/>
      </c>
      <c r="L7" s="11">
        <f>IF($B$2="-","",IF($B$2="Pauschale",IFERROR(INDEX('Projekt-Budget-Übersicht'!$H:$H,MATCH(A7,'Projekt-Budget-Übersicht'!$A:$A,0)),""),IF($B$2="SV",IFERROR(INDEX('Projekt-Budget-Übersicht'!$H:$H,MATCH(A7,'Projekt-Budget-Übersicht'!$A:$A,0)),""),IF($B$2="CAD",IFERROR(INDEX('Projekt-Budget-Übersicht'!$I:$I,MATCH(A7,'Projekt-Budget-Übersicht'!$A:$A,0)),""),IF($B$2="ADM",IFERROR(INDEX('Projekt-Budget-Übersicht'!$J:$J,MATCH(A7,'Projekt-Budget-Übersicht'!$A:$A,0)),""),"")))))</f>
        <v/>
      </c>
      <c r="M7" s="11">
        <f>IF($B$2="-","",L7*(F7+I7+K7))</f>
        <v/>
      </c>
      <c r="N7" s="11">
        <f>IFERROR(INDEX('Projekt-Budget-Übersicht'!$E:$E,MATCH(A7,'Projekt-Budget-Übersicht'!$A:$A,0)),"")</f>
        <v/>
      </c>
      <c r="O7" s="11" t="inlineStr"/>
      <c r="P7" s="11" t="inlineStr"/>
    </row>
    <row r="8">
      <c r="A8" s="4" t="inlineStr">
        <is>
          <t>1640.08 BTB-Bauherr-SLK-HN-1.BA</t>
        </is>
      </c>
      <c r="B8" s="4" t="inlineStr">
        <is>
          <t>8000-Objektüberwachung</t>
        </is>
      </c>
      <c r="C8" s="4" t="inlineStr">
        <is>
          <t>G</t>
        </is>
      </c>
      <c r="D8" s="4" t="n">
        <v>0</v>
      </c>
      <c r="E8" s="4" t="n">
        <v>42.75</v>
      </c>
      <c r="F8" s="4" t="n">
        <v>0.75</v>
      </c>
      <c r="G8" s="4" t="n">
        <v>0</v>
      </c>
      <c r="H8" s="5" t="n"/>
      <c r="I8" s="5">
        <f>IF(H8=0,"",F8-H8)</f>
        <v/>
      </c>
      <c r="J8" s="4" t="n"/>
      <c r="K8" s="5" t="n">
        <v>0</v>
      </c>
      <c r="L8" s="11">
        <f>IF($B$2="-","",IF($B$2="Pauschale",IFERROR(INDEX('Projekt-Budget-Übersicht'!$H:$H,MATCH(A8,'Projekt-Budget-Übersicht'!$A:$A,0)),""),IF($B$2="SV",IFERROR(INDEX('Projekt-Budget-Übersicht'!$H:$H,MATCH(A8,'Projekt-Budget-Übersicht'!$A:$A,0)),""),IF($B$2="CAD",IFERROR(INDEX('Projekt-Budget-Übersicht'!$I:$I,MATCH(A8,'Projekt-Budget-Übersicht'!$A:$A,0)),""),IF($B$2="ADM",IFERROR(INDEX('Projekt-Budget-Übersicht'!$J:$J,MATCH(A8,'Projekt-Budget-Übersicht'!$A:$A,0)),""),"")))))</f>
        <v/>
      </c>
      <c r="M8" s="11">
        <f>IF($B$2="-","",L8*(F8+I8+K8))</f>
        <v/>
      </c>
      <c r="N8" s="11">
        <f>IFERROR(INDEX('Projekt-Budget-Übersicht'!$E:$E,MATCH(A8,'Projekt-Budget-Übersicht'!$A:$A,0)),"")</f>
        <v/>
      </c>
      <c r="O8" s="11" t="inlineStr"/>
      <c r="P8" s="11" t="inlineStr"/>
    </row>
    <row r="9">
      <c r="A9" s="4" t="inlineStr">
        <is>
          <t>4126.041 Telluride-LP8-Bauzeitverlängerung-BA2-Klinikum-am-Gesundbrunnen-Heilbronn</t>
        </is>
      </c>
      <c r="B9" s="4" t="inlineStr">
        <is>
          <t>(aN) Pos. 2 weiterführende BAB über die Verlängerung der Bauzeit von 28 Monaten hinaus</t>
        </is>
      </c>
      <c r="C9" s="4" t="inlineStr">
        <is>
          <t>G</t>
        </is>
      </c>
      <c r="D9" s="4" t="n">
        <v>40</v>
      </c>
      <c r="E9" s="4" t="n">
        <v>468.75</v>
      </c>
      <c r="F9" s="4" t="n">
        <v>0.5</v>
      </c>
      <c r="G9" s="16" t="n">
        <v>1171.88</v>
      </c>
      <c r="H9" s="5" t="n"/>
      <c r="I9" s="5">
        <f>IF(H9=0,"",F9-H9)</f>
        <v/>
      </c>
      <c r="J9" s="4" t="n"/>
      <c r="K9" s="5">
        <f>IF('C. Trapp SV'!J7="U. Sutter ADM",'C. Trapp SV'!I7,0)</f>
        <v/>
      </c>
      <c r="L9" s="11">
        <f>IF($B$2="-","",IF($B$2="Pauschale",IFERROR(INDEX('Projekt-Budget-Übersicht'!$H:$H,MATCH(A9,'Projekt-Budget-Übersicht'!$A:$A,0)),""),IF($B$2="SV",IFERROR(INDEX('Projekt-Budget-Übersicht'!$H:$H,MATCH(A9,'Projekt-Budget-Übersicht'!$A:$A,0)),""),IF($B$2="CAD",IFERROR(INDEX('Projekt-Budget-Übersicht'!$I:$I,MATCH(A9,'Projekt-Budget-Übersicht'!$A:$A,0)),""),IF($B$2="ADM",IFERROR(INDEX('Projekt-Budget-Übersicht'!$J:$J,MATCH(A9,'Projekt-Budget-Übersicht'!$A:$A,0)),""),"")))))</f>
        <v/>
      </c>
      <c r="M9" s="11">
        <f>IF($B$2="-","",L9*(F9+I9+K9))</f>
        <v/>
      </c>
      <c r="N9" s="11">
        <f>IFERROR(INDEX('Projekt-Budget-Übersicht'!$E:$E,MATCH(A9,'Projekt-Budget-Übersicht'!$A:$A,0)),"")</f>
        <v/>
      </c>
      <c r="O9" s="11" t="inlineStr"/>
      <c r="P9" s="11" t="inlineStr"/>
    </row>
    <row r="10">
      <c r="A10" s="13" t="inlineStr">
        <is>
          <t>4436.04 BTB Krankenhaus-Bergstraße-Viernheimer-Straße-2-Heppenheim</t>
        </is>
      </c>
      <c r="B10" s="4" t="inlineStr">
        <is>
          <t>4105-Zusammenstellung Unterlagen für Einreichung bei BA….</t>
        </is>
      </c>
      <c r="C10" s="4" t="inlineStr">
        <is>
          <t>G</t>
        </is>
      </c>
      <c r="D10" s="4" t="n">
        <v>6</v>
      </c>
      <c r="E10" s="4" t="n">
        <v>16.75</v>
      </c>
      <c r="F10" s="4" t="n">
        <v>4</v>
      </c>
      <c r="G10" s="16" t="n">
        <v>279.17</v>
      </c>
      <c r="H10" s="5" t="n"/>
      <c r="I10" s="5">
        <f>IF(H10=0,"",F10-H10)</f>
        <v/>
      </c>
      <c r="J10" s="4" t="n"/>
      <c r="K10" s="5">
        <f>IF('C. Trapp SV'!J8="U. Sutter ADM",'C. Trapp SV'!I8,0)</f>
        <v/>
      </c>
      <c r="L10" s="11">
        <f>IF($B$2="-","",IF($B$2="Pauschale",IFERROR(INDEX('Projekt-Budget-Übersicht'!$H:$H,MATCH(A10,'Projekt-Budget-Übersicht'!$A:$A,0)),""),IF($B$2="SV",IFERROR(INDEX('Projekt-Budget-Übersicht'!$H:$H,MATCH(A10,'Projekt-Budget-Übersicht'!$A:$A,0)),""),IF($B$2="CAD",IFERROR(INDEX('Projekt-Budget-Übersicht'!$I:$I,MATCH(A10,'Projekt-Budget-Übersicht'!$A:$A,0)),""),IF($B$2="ADM",IFERROR(INDEX('Projekt-Budget-Übersicht'!$J:$J,MATCH(A10,'Projekt-Budget-Übersicht'!$A:$A,0)),""),"")))))</f>
        <v/>
      </c>
      <c r="M10" s="11">
        <f>IF($B$2="-","",L10*(F10+I10+K10))</f>
        <v/>
      </c>
      <c r="N10" s="11">
        <f>IFERROR(INDEX('Projekt-Budget-Übersicht'!$E:$E,MATCH(A10,'Projekt-Budget-Übersicht'!$A:$A,0)),"")</f>
        <v/>
      </c>
      <c r="O10" s="11" t="inlineStr"/>
      <c r="P10" s="11" t="inlineStr"/>
    </row>
    <row r="11">
      <c r="A11" s="15" t="n"/>
      <c r="B11" s="4" t="inlineStr">
        <is>
          <t>5102-Zusammenstellen Ergebnisse….</t>
        </is>
      </c>
      <c r="C11" s="4" t="inlineStr">
        <is>
          <t>G</t>
        </is>
      </c>
      <c r="D11" s="4" t="n">
        <v>6.5</v>
      </c>
      <c r="E11" s="4" t="n">
        <v>10.5</v>
      </c>
      <c r="F11" s="4" t="n">
        <v>0.75</v>
      </c>
      <c r="G11" s="16" t="n">
        <v>161.54</v>
      </c>
      <c r="H11" s="5" t="n"/>
      <c r="I11" s="5">
        <f>IF(H11=0,"",F11-H11)</f>
        <v/>
      </c>
      <c r="J11" s="4" t="n"/>
      <c r="K11" s="5">
        <f>IF('S. Schüler'!J14="U. Sutter ADM",'S. Schüler'!I14,0)</f>
        <v/>
      </c>
      <c r="L11" s="11">
        <f>IF($B$2="-","",IF($B$2="Pauschale",IFERROR(INDEX('Projekt-Budget-Übersicht'!$H:$H,MATCH(A11,'Projekt-Budget-Übersicht'!$A:$A,0)),""),IF($B$2="SV",IFERROR(INDEX('Projekt-Budget-Übersicht'!$H:$H,MATCH(A11,'Projekt-Budget-Übersicht'!$A:$A,0)),""),IF($B$2="CAD",IFERROR(INDEX('Projekt-Budget-Übersicht'!$I:$I,MATCH(A11,'Projekt-Budget-Übersicht'!$A:$A,0)),""),IF($B$2="ADM",IFERROR(INDEX('Projekt-Budget-Übersicht'!$J:$J,MATCH(A11,'Projekt-Budget-Übersicht'!$A:$A,0)),""),"")))))</f>
        <v/>
      </c>
      <c r="M11" s="11">
        <f>IF($B$2="-","",L11*(F11+I11+K11))</f>
        <v/>
      </c>
      <c r="N11" s="11">
        <f>IFERROR(INDEX('Projekt-Budget-Übersicht'!$E:$E,MATCH(A11,'Projekt-Budget-Übersicht'!$A:$A,0)),"")</f>
        <v/>
      </c>
      <c r="O11" s="11" t="inlineStr"/>
      <c r="P11" s="11" t="inlineStr"/>
    </row>
    <row r="12">
      <c r="A12" s="4" t="inlineStr">
        <is>
          <t>5328 Flugfeldklinikum-Böblingen</t>
        </is>
      </c>
      <c r="B12" s="4" t="inlineStr">
        <is>
          <t>5207-Planung Ausstattung Feuerlöscher....</t>
        </is>
      </c>
      <c r="C12" s="4" t="inlineStr">
        <is>
          <t>G</t>
        </is>
      </c>
      <c r="D12" s="4" t="n">
        <v>40</v>
      </c>
      <c r="E12" s="4" t="n">
        <v>59</v>
      </c>
      <c r="F12" s="4" t="n">
        <v>0.25</v>
      </c>
      <c r="G12" s="16" t="n">
        <v>147.5</v>
      </c>
      <c r="H12" s="5" t="n"/>
      <c r="I12" s="5">
        <f>IF(H12=0,"",F12-H12)</f>
        <v/>
      </c>
      <c r="J12" s="4" t="n"/>
      <c r="K12" s="5" t="n">
        <v>0</v>
      </c>
      <c r="L12" s="11">
        <f>IF($B$2="-","",IF($B$2="Pauschale",IFERROR(INDEX('Projekt-Budget-Übersicht'!$H:$H,MATCH(A12,'Projekt-Budget-Übersicht'!$A:$A,0)),""),IF($B$2="SV",IFERROR(INDEX('Projekt-Budget-Übersicht'!$H:$H,MATCH(A12,'Projekt-Budget-Übersicht'!$A:$A,0)),""),IF($B$2="CAD",IFERROR(INDEX('Projekt-Budget-Übersicht'!$I:$I,MATCH(A12,'Projekt-Budget-Übersicht'!$A:$A,0)),""),IF($B$2="ADM",IFERROR(INDEX('Projekt-Budget-Übersicht'!$J:$J,MATCH(A12,'Projekt-Budget-Übersicht'!$A:$A,0)),""),"")))))</f>
        <v/>
      </c>
      <c r="M12" s="11">
        <f>IF($B$2="-","",L12*(F12+I12+K12))</f>
        <v/>
      </c>
      <c r="N12" s="11">
        <f>IFERROR(INDEX('Projekt-Budget-Übersicht'!$E:$E,MATCH(A12,'Projekt-Budget-Übersicht'!$A:$A,0)),"")</f>
        <v/>
      </c>
      <c r="O12" s="11" t="inlineStr"/>
      <c r="P12" s="11" t="inlineStr"/>
    </row>
    <row r="13">
      <c r="A13" s="13" t="inlineStr">
        <is>
          <t>5328.06 Flugfeldklinikum-Böblingen-Fortschr-BSK-FFK</t>
        </is>
      </c>
      <c r="B13" s="4" t="inlineStr">
        <is>
          <t>3100-Erarbeiten des Brandschutzkonzept/Nachweis/Stellungnahme</t>
        </is>
      </c>
      <c r="C13" s="4" t="inlineStr">
        <is>
          <t>G</t>
        </is>
      </c>
      <c r="D13" s="4" t="n">
        <v>40</v>
      </c>
      <c r="E13" s="4" t="n">
        <v>4.75</v>
      </c>
      <c r="F13" s="4" t="n">
        <v>4.5</v>
      </c>
      <c r="G13" s="17" t="n">
        <v>11.88</v>
      </c>
      <c r="H13" s="5" t="n"/>
      <c r="I13" s="5">
        <f>IF(H13=0,"",F13-H13)</f>
        <v/>
      </c>
      <c r="J13" s="4" t="n"/>
      <c r="K13" s="5" t="n">
        <v>0</v>
      </c>
      <c r="L13" s="11">
        <f>IF($B$2="-","",IF($B$2="Pauschale",IFERROR(INDEX('Projekt-Budget-Übersicht'!$H:$H,MATCH(A13,'Projekt-Budget-Übersicht'!$A:$A,0)),""),IF($B$2="SV",IFERROR(INDEX('Projekt-Budget-Übersicht'!$H:$H,MATCH(A13,'Projekt-Budget-Übersicht'!$A:$A,0)),""),IF($B$2="CAD",IFERROR(INDEX('Projekt-Budget-Übersicht'!$I:$I,MATCH(A13,'Projekt-Budget-Übersicht'!$A:$A,0)),""),IF($B$2="ADM",IFERROR(INDEX('Projekt-Budget-Übersicht'!$J:$J,MATCH(A13,'Projekt-Budget-Übersicht'!$A:$A,0)),""),"")))))</f>
        <v/>
      </c>
      <c r="M13" s="11">
        <f>IF($B$2="-","",L13*(F13+I13+K13))</f>
        <v/>
      </c>
      <c r="N13" s="11">
        <f>IFERROR(INDEX('Projekt-Budget-Übersicht'!$E:$E,MATCH(A13,'Projekt-Budget-Übersicht'!$A:$A,0)),"")</f>
        <v/>
      </c>
      <c r="O13" s="11" t="inlineStr"/>
      <c r="P13" s="11" t="inlineStr"/>
    </row>
    <row r="14">
      <c r="A14" s="15" t="n"/>
      <c r="B14" s="4" t="inlineStr">
        <is>
          <t>5100-Beraten Planer ausführungsreife Lösungen….</t>
        </is>
      </c>
      <c r="C14" s="4" t="inlineStr">
        <is>
          <t>G</t>
        </is>
      </c>
      <c r="D14" s="4" t="n">
        <v>20</v>
      </c>
      <c r="E14" s="4" t="n">
        <v>2.75</v>
      </c>
      <c r="F14" s="4" t="n">
        <v>0.5</v>
      </c>
      <c r="G14" s="17" t="n">
        <v>13.75</v>
      </c>
      <c r="H14" s="5" t="n"/>
      <c r="I14" s="5">
        <f>IF(H14=0,"",F14-H14)</f>
        <v/>
      </c>
      <c r="J14" s="4" t="n"/>
      <c r="K14" s="5">
        <f>IF('J. Dorn'!J10="U. Sutter ADM",'J. Dorn'!I10,0)</f>
        <v/>
      </c>
      <c r="L14" s="11">
        <f>IF($B$2="-","",IF($B$2="Pauschale",IFERROR(INDEX('Projekt-Budget-Übersicht'!$H:$H,MATCH(A14,'Projekt-Budget-Übersicht'!$A:$A,0)),""),IF($B$2="SV",IFERROR(INDEX('Projekt-Budget-Übersicht'!$H:$H,MATCH(A14,'Projekt-Budget-Übersicht'!$A:$A,0)),""),IF($B$2="CAD",IFERROR(INDEX('Projekt-Budget-Übersicht'!$I:$I,MATCH(A14,'Projekt-Budget-Übersicht'!$A:$A,0)),""),IF($B$2="ADM",IFERROR(INDEX('Projekt-Budget-Übersicht'!$J:$J,MATCH(A14,'Projekt-Budget-Übersicht'!$A:$A,0)),""),"")))))</f>
        <v/>
      </c>
      <c r="M14" s="11">
        <f>IF($B$2="-","",L14*(F14+I14+K14))</f>
        <v/>
      </c>
      <c r="N14" s="11">
        <f>IFERROR(INDEX('Projekt-Budget-Übersicht'!$E:$E,MATCH(A14,'Projekt-Budget-Übersicht'!$A:$A,0)),"")</f>
        <v/>
      </c>
      <c r="O14" s="11" t="inlineStr"/>
      <c r="P14" s="11" t="inlineStr"/>
    </row>
    <row r="15">
      <c r="A15" s="4" t="inlineStr">
        <is>
          <t>5607.05 BAB-NB-J4-Zentralinstitut-für-seelische-Gesundheit-Mannheim</t>
        </is>
      </c>
      <c r="B15" s="4" t="inlineStr">
        <is>
          <t>(aN) 8200-Prüfen der Ausführung - system. stichprobenart. Kontrolle (Stufe 2)….</t>
        </is>
      </c>
      <c r="C15" s="4" t="inlineStr">
        <is>
          <t>G</t>
        </is>
      </c>
      <c r="D15" s="4" t="n">
        <v>240</v>
      </c>
      <c r="E15" s="4" t="n">
        <v>168.5</v>
      </c>
      <c r="F15" s="4" t="n">
        <v>2.75</v>
      </c>
      <c r="G15" s="17" t="n">
        <v>70.20999999999999</v>
      </c>
      <c r="H15" s="5" t="n"/>
      <c r="I15" s="5">
        <f>IF(H15=0,"",F15-H15)</f>
        <v/>
      </c>
      <c r="J15" s="4" t="n"/>
      <c r="K15" s="5">
        <f>IF('C. Trapp SV'!J17="U. Sutter ADM",'C. Trapp SV'!I17,0)</f>
        <v/>
      </c>
      <c r="L15" s="11">
        <f>IF($B$2="-","",IF($B$2="Pauschale",IFERROR(INDEX('Projekt-Budget-Übersicht'!$H:$H,MATCH(A15,'Projekt-Budget-Übersicht'!$A:$A,0)),""),IF($B$2="SV",IFERROR(INDEX('Projekt-Budget-Übersicht'!$H:$H,MATCH(A15,'Projekt-Budget-Übersicht'!$A:$A,0)),""),IF($B$2="CAD",IFERROR(INDEX('Projekt-Budget-Übersicht'!$I:$I,MATCH(A15,'Projekt-Budget-Übersicht'!$A:$A,0)),""),IF($B$2="ADM",IFERROR(INDEX('Projekt-Budget-Übersicht'!$J:$J,MATCH(A15,'Projekt-Budget-Übersicht'!$A:$A,0)),""),"")))))</f>
        <v/>
      </c>
      <c r="M15" s="11">
        <f>IF($B$2="-","",L15*(F15+I15+K15))</f>
        <v/>
      </c>
      <c r="N15" s="11">
        <f>IFERROR(INDEX('Projekt-Budget-Übersicht'!$E:$E,MATCH(A15,'Projekt-Budget-Übersicht'!$A:$A,0)),"")</f>
        <v/>
      </c>
      <c r="O15" s="11" t="inlineStr"/>
      <c r="P15" s="11" t="inlineStr"/>
    </row>
    <row r="16">
      <c r="A16" s="4" t="inlineStr">
        <is>
          <t>5607.07 Fortschr-QBS-NB-J4-Zentralinstitut-für-seelische-Gesundheit-Mannheim</t>
        </is>
      </c>
      <c r="B16" s="4" t="inlineStr">
        <is>
          <t>Prüfung Brandfallsteuertabelle</t>
        </is>
      </c>
      <c r="C16" s="4" t="inlineStr">
        <is>
          <t>G</t>
        </is>
      </c>
      <c r="D16" s="4" t="n">
        <v>60</v>
      </c>
      <c r="E16" s="4" t="n">
        <v>45.5</v>
      </c>
      <c r="F16" s="4" t="n">
        <v>0.5</v>
      </c>
      <c r="G16" s="17" t="n">
        <v>75.83</v>
      </c>
      <c r="H16" s="5" t="n"/>
      <c r="I16" s="5">
        <f>IF(H16=0,"",F16-H16)</f>
        <v/>
      </c>
      <c r="J16" s="4" t="n"/>
      <c r="K16" s="5" t="n">
        <v>0</v>
      </c>
      <c r="L16" s="11">
        <f>IF($B$2="-","",IF($B$2="Pauschale",IFERROR(INDEX('Projekt-Budget-Übersicht'!$H:$H,MATCH(A16,'Projekt-Budget-Übersicht'!$A:$A,0)),""),IF($B$2="SV",IFERROR(INDEX('Projekt-Budget-Übersicht'!$H:$H,MATCH(A16,'Projekt-Budget-Übersicht'!$A:$A,0)),""),IF($B$2="CAD",IFERROR(INDEX('Projekt-Budget-Übersicht'!$I:$I,MATCH(A16,'Projekt-Budget-Übersicht'!$A:$A,0)),""),IF($B$2="ADM",IFERROR(INDEX('Projekt-Budget-Übersicht'!$J:$J,MATCH(A16,'Projekt-Budget-Übersicht'!$A:$A,0)),""),"")))))</f>
        <v/>
      </c>
      <c r="M16" s="11">
        <f>IF($B$2="-","",L16*(F16+I16+K16))</f>
        <v/>
      </c>
      <c r="N16" s="11">
        <f>IFERROR(INDEX('Projekt-Budget-Übersicht'!$E:$E,MATCH(A16,'Projekt-Budget-Übersicht'!$A:$A,0)),"")</f>
        <v/>
      </c>
      <c r="O16" s="11" t="inlineStr"/>
      <c r="P16" s="11" t="inlineStr"/>
    </row>
    <row r="17">
      <c r="A17" s="4" t="inlineStr">
        <is>
          <t>6680.02 GSKOK-Heidelberg-Kopfklinik-LP3</t>
        </is>
      </c>
      <c r="B17" s="4" t="inlineStr">
        <is>
          <t>ADM</t>
        </is>
      </c>
      <c r="C17" s="4" t="inlineStr">
        <is>
          <t>G</t>
        </is>
      </c>
      <c r="D17" s="4" t="n">
        <v>2</v>
      </c>
      <c r="E17" s="4" t="n">
        <v>8.25</v>
      </c>
      <c r="F17" s="4" t="n">
        <v>1.75</v>
      </c>
      <c r="G17" s="16" t="n">
        <v>412.5</v>
      </c>
      <c r="H17" s="5" t="n"/>
      <c r="I17" s="5">
        <f>IF(H17=0,"",F17-H17)</f>
        <v/>
      </c>
      <c r="J17" s="4" t="n"/>
      <c r="K17" s="5" t="n">
        <v>0</v>
      </c>
      <c r="L17" s="11">
        <f>IF($B$2="-","",IF($B$2="Pauschale",IFERROR(INDEX('Projekt-Budget-Übersicht'!$H:$H,MATCH(A17,'Projekt-Budget-Übersicht'!$A:$A,0)),""),IF($B$2="SV",IFERROR(INDEX('Projekt-Budget-Übersicht'!$H:$H,MATCH(A17,'Projekt-Budget-Übersicht'!$A:$A,0)),""),IF($B$2="CAD",IFERROR(INDEX('Projekt-Budget-Übersicht'!$I:$I,MATCH(A17,'Projekt-Budget-Übersicht'!$A:$A,0)),""),IF($B$2="ADM",IFERROR(INDEX('Projekt-Budget-Übersicht'!$J:$J,MATCH(A17,'Projekt-Budget-Übersicht'!$A:$A,0)),""),"")))))</f>
        <v/>
      </c>
      <c r="M17" s="11">
        <f>IF($B$2="-","",L17*(F17+I17+K17))</f>
        <v/>
      </c>
      <c r="N17" s="11">
        <f>IFERROR(INDEX('Projekt-Budget-Übersicht'!$E:$E,MATCH(A17,'Projekt-Budget-Übersicht'!$A:$A,0)),"")</f>
        <v/>
      </c>
      <c r="O17" s="11" t="inlineStr"/>
      <c r="P17" s="11" t="inlineStr"/>
    </row>
    <row r="18">
      <c r="A18" s="13" t="inlineStr">
        <is>
          <t>6704 BSK-BTB+FWP-FuR-ZsG-Lörrach</t>
        </is>
      </c>
      <c r="B18" s="4" t="inlineStr">
        <is>
          <t>8101-Kontrolle Verwendbarkeitsnachweise/Bescheinigungen….</t>
        </is>
      </c>
      <c r="C18" s="4" t="inlineStr">
        <is>
          <t>G</t>
        </is>
      </c>
      <c r="D18" s="4" t="n">
        <v>20</v>
      </c>
      <c r="E18" s="4" t="n">
        <v>33.75</v>
      </c>
      <c r="F18" s="4" t="n">
        <v>0.75</v>
      </c>
      <c r="G18" s="16" t="n">
        <v>168.75</v>
      </c>
      <c r="H18" s="5" t="n"/>
      <c r="I18" s="5">
        <f>IF(H18=0,"",F18-H18)</f>
        <v/>
      </c>
      <c r="J18" s="4" t="n"/>
      <c r="K18" s="5">
        <f>IF('C. Trapp SV'!J21="U. Sutter ADM",'C. Trapp SV'!I21,0)</f>
        <v/>
      </c>
      <c r="L18" s="11">
        <f>IF($B$2="-","",IF($B$2="Pauschale",IFERROR(INDEX('Projekt-Budget-Übersicht'!$H:$H,MATCH(A18,'Projekt-Budget-Übersicht'!$A:$A,0)),""),IF($B$2="SV",IFERROR(INDEX('Projekt-Budget-Übersicht'!$H:$H,MATCH(A18,'Projekt-Budget-Übersicht'!$A:$A,0)),""),IF($B$2="CAD",IFERROR(INDEX('Projekt-Budget-Übersicht'!$I:$I,MATCH(A18,'Projekt-Budget-Übersicht'!$A:$A,0)),""),IF($B$2="ADM",IFERROR(INDEX('Projekt-Budget-Übersicht'!$J:$J,MATCH(A18,'Projekt-Budget-Übersicht'!$A:$A,0)),""),"")))))</f>
        <v/>
      </c>
      <c r="M18" s="11">
        <f>IF($B$2="-","",L18*(F18+I18+K18))</f>
        <v/>
      </c>
      <c r="N18" s="11">
        <f>IFERROR(INDEX('Projekt-Budget-Übersicht'!$E:$E,MATCH(A18,'Projekt-Budget-Übersicht'!$A:$A,0)),"")</f>
        <v/>
      </c>
      <c r="O18" s="11" t="inlineStr"/>
      <c r="P18" s="11" t="inlineStr"/>
    </row>
    <row r="19">
      <c r="A19" s="15" t="n"/>
      <c r="B19" s="4" t="inlineStr">
        <is>
          <t>8200-Prüfen der Ausführung - system. stichprobenart. Kontrolle (Stufe 2)….</t>
        </is>
      </c>
      <c r="C19" s="4" t="inlineStr">
        <is>
          <t>G</t>
        </is>
      </c>
      <c r="D19" s="4" t="n">
        <v>80</v>
      </c>
      <c r="E19" s="4" t="n">
        <v>158.75</v>
      </c>
      <c r="F19" s="4" t="n">
        <v>1.75</v>
      </c>
      <c r="G19" s="16" t="n">
        <v>198.44</v>
      </c>
      <c r="H19" s="5" t="n"/>
      <c r="I19" s="5">
        <f>IF(H19=0,"",F19-H19)</f>
        <v/>
      </c>
      <c r="J19" s="4" t="n"/>
      <c r="K19" s="5" t="n">
        <v>0</v>
      </c>
      <c r="L19" s="11">
        <f>IF($B$2="-","",IF($B$2="Pauschale",IFERROR(INDEX('Projekt-Budget-Übersicht'!$H:$H,MATCH(A19,'Projekt-Budget-Übersicht'!$A:$A,0)),""),IF($B$2="SV",IFERROR(INDEX('Projekt-Budget-Übersicht'!$H:$H,MATCH(A19,'Projekt-Budget-Übersicht'!$A:$A,0)),""),IF($B$2="CAD",IFERROR(INDEX('Projekt-Budget-Übersicht'!$I:$I,MATCH(A19,'Projekt-Budget-Übersicht'!$A:$A,0)),""),IF($B$2="ADM",IFERROR(INDEX('Projekt-Budget-Übersicht'!$J:$J,MATCH(A19,'Projekt-Budget-Übersicht'!$A:$A,0)),""),"")))))</f>
        <v/>
      </c>
      <c r="M19" s="11">
        <f>IF($B$2="-","",L19*(F19+I19+K19))</f>
        <v/>
      </c>
      <c r="N19" s="11">
        <f>IFERROR(INDEX('Projekt-Budget-Übersicht'!$E:$E,MATCH(A19,'Projekt-Budget-Übersicht'!$A:$A,0)),"")</f>
        <v/>
      </c>
      <c r="O19" s="11" t="inlineStr"/>
      <c r="P19" s="11" t="inlineStr"/>
    </row>
    <row r="20">
      <c r="A20" s="3" t="inlineStr"/>
      <c r="B20" s="3" t="inlineStr">
        <is>
          <t>Summe</t>
        </is>
      </c>
      <c r="C20" s="3" t="inlineStr"/>
      <c r="D20" s="3" t="inlineStr"/>
      <c r="E20" s="3" t="inlineStr"/>
      <c r="F20" s="6" t="n">
        <v>27.25</v>
      </c>
      <c r="G20" s="3" t="inlineStr"/>
      <c r="H20" s="3" t="inlineStr"/>
      <c r="I20" s="3" t="inlineStr"/>
      <c r="J20" s="3" t="inlineStr"/>
      <c r="K20" s="3" t="inlineStr"/>
      <c r="L20" s="3" t="n"/>
      <c r="M20" s="3" t="n"/>
      <c r="N20" s="3" t="n"/>
      <c r="O20" s="3" t="n"/>
      <c r="P20" s="3" t="n"/>
    </row>
    <row r="21">
      <c r="A21" s="3" t="inlineStr"/>
      <c r="B21" s="3" t="inlineStr">
        <is>
          <t>Bonusberechtigte Stunden</t>
        </is>
      </c>
      <c r="C21" s="3" t="inlineStr"/>
      <c r="D21" s="3" t="inlineStr"/>
      <c r="E21" s="3" t="inlineStr"/>
      <c r="F21" s="6">
        <f>G21+H21</f>
        <v/>
      </c>
      <c r="G21" s="6" t="n">
        <v>9</v>
      </c>
      <c r="H21" s="6">
        <f>SUM(H8,H9,H10,H11,H12,H13,H14,H15,H16,H17,H18,H19)</f>
        <v/>
      </c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</row>
    <row r="22">
      <c r="A22" s="3" t="inlineStr"/>
      <c r="B22" s="3" t="inlineStr">
        <is>
          <t>Bonusberechtigte Stunden Sonderprojekt</t>
        </is>
      </c>
      <c r="C22" s="3" t="inlineStr"/>
      <c r="D22" s="3" t="inlineStr"/>
      <c r="E22" s="3" t="inlineStr"/>
      <c r="F22" s="6">
        <f>G22+H22</f>
        <v/>
      </c>
      <c r="G22" s="6" t="n">
        <v>8.5</v>
      </c>
      <c r="H22" s="6">
        <f>SUM(H6,H7)</f>
        <v/>
      </c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</row>
    <row r="23">
      <c r="A23" s="3" t="inlineStr"/>
      <c r="B23" s="3" t="inlineStr">
        <is>
          <t>Zugeordnete Stunden von anderen MA</t>
        </is>
      </c>
      <c r="C23" s="3" t="inlineStr"/>
      <c r="D23" s="3" t="inlineStr"/>
      <c r="E23" s="3" t="inlineStr"/>
      <c r="F23" s="6">
        <f>SUM(K6:K19)</f>
        <v/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</row>
    <row r="24">
      <c r="A24" s="18" t="inlineStr"/>
      <c r="B24" s="18" t="inlineStr">
        <is>
          <t>Gesamt Bonus Stunden</t>
        </is>
      </c>
      <c r="C24" s="18" t="inlineStr"/>
      <c r="D24" s="18" t="inlineStr"/>
      <c r="E24" s="18" t="inlineStr"/>
      <c r="F24" s="19">
        <f>F21+F22+F23</f>
        <v/>
      </c>
      <c r="G24" s="18" t="inlineStr"/>
      <c r="H24" s="18" t="inlineStr"/>
      <c r="I24" s="18" t="inlineStr"/>
      <c r="J24" s="18" t="inlineStr"/>
      <c r="K24" s="18" t="inlineStr"/>
      <c r="L24" s="18" t="n"/>
      <c r="M24" s="18" t="n"/>
      <c r="N24" s="18" t="n"/>
      <c r="O24" s="18" t="n"/>
      <c r="P24" s="18" t="n"/>
    </row>
    <row r="26">
      <c r="A26" s="2" t="inlineStr">
        <is>
          <t>--- August 2025 ---</t>
        </is>
      </c>
    </row>
    <row r="27">
      <c r="A27" s="3" t="inlineStr">
        <is>
          <t>Projekt</t>
        </is>
      </c>
      <c r="B27" s="3" t="inlineStr">
        <is>
          <t>Meilenstein</t>
        </is>
      </c>
      <c r="C27" s="3" t="inlineStr">
        <is>
          <t>Typ</t>
        </is>
      </c>
      <c r="D27" s="3" t="inlineStr">
        <is>
          <t>Soll (h)</t>
        </is>
      </c>
      <c r="E27" s="3" t="inlineStr">
        <is>
          <t>Ist (h)</t>
        </is>
      </c>
      <c r="F27" s="3" t="inlineStr">
        <is>
          <t>August 2025 (h)</t>
        </is>
      </c>
      <c r="G27" s="3" t="inlineStr">
        <is>
          <t>%</t>
        </is>
      </c>
      <c r="H27" s="3" t="inlineStr">
        <is>
          <t>Bonus-Anpassung (h)</t>
        </is>
      </c>
      <c r="I27" s="3" t="inlineStr">
        <is>
          <t>Differenz (h)</t>
        </is>
      </c>
      <c r="J27" s="3" t="inlineStr">
        <is>
          <t>Zuordnen an</t>
        </is>
      </c>
      <c r="K27" s="3" t="inlineStr">
        <is>
          <t>Von anderen (h)</t>
        </is>
      </c>
      <c r="L27" s="3" t="inlineStr">
        <is>
          <t>Stundensatz (€/h)</t>
        </is>
      </c>
      <c r="M27" s="3" t="inlineStr">
        <is>
          <t>Umsatz (€)</t>
        </is>
      </c>
      <c r="N27" s="3" t="inlineStr">
        <is>
          <t>Budget Gesamt (€)</t>
        </is>
      </c>
      <c r="O27" s="3" t="inlineStr">
        <is>
          <t>Budget Ist (€)</t>
        </is>
      </c>
      <c r="P27" s="3" t="inlineStr">
        <is>
          <t>Budget Erwirtschaftet (€)</t>
        </is>
      </c>
    </row>
    <row r="28">
      <c r="A28" s="13" t="inlineStr">
        <is>
          <t>0000 Sonderprojekt für Bonus</t>
        </is>
      </c>
      <c r="B28" s="4" t="inlineStr">
        <is>
          <t>Angebote-Ausschreibungen-Kalkulationen (max. 8h/Monat pro MA)</t>
        </is>
      </c>
      <c r="C28" s="4" t="inlineStr">
        <is>
          <t>M</t>
        </is>
      </c>
      <c r="D28" s="4" t="n">
        <v>8</v>
      </c>
      <c r="E28" s="4" t="n">
        <v>8</v>
      </c>
      <c r="F28" s="4" t="n">
        <v>8</v>
      </c>
      <c r="G28" s="14" t="n">
        <v>100</v>
      </c>
      <c r="H28" s="5" t="n"/>
      <c r="I28" s="5">
        <f>IF(H28=0,"",F28-H28)</f>
        <v/>
      </c>
      <c r="J28" s="4" t="n"/>
      <c r="K28" s="5">
        <f>IF('A. Kokott'!J39="U. Sutter ADM",'A. Kokott'!I39,0)+IF('J. Dorn'!J45="U. Sutter ADM",'J. Dorn'!I45,0)+IF('O. Haag BS-CAD'!J51="U. Sutter ADM",'O. Haag BS-CAD'!I51,0)+IF('P. Bergner'!J21="U. Sutter ADM",'P. Bergner'!I21,0)+IF('R. Böttiger'!J31="U. Sutter ADM",'R. Böttiger'!I31,0)+IF('T. Trautmann'!J28="U. Sutter ADM",'T. Trautmann'!I28,0)</f>
        <v/>
      </c>
      <c r="L28" s="11">
        <f>IF($B$2="-","",IF($B$2="Pauschale",IFERROR(INDEX('Projekt-Budget-Übersicht'!$H:$H,MATCH(A28,'Projekt-Budget-Übersicht'!$A:$A,0)),""),IF($B$2="SV",IFERROR(INDEX('Projekt-Budget-Übersicht'!$H:$H,MATCH(A28,'Projekt-Budget-Übersicht'!$A:$A,0)),""),IF($B$2="CAD",IFERROR(INDEX('Projekt-Budget-Übersicht'!$I:$I,MATCH(A28,'Projekt-Budget-Übersicht'!$A:$A,0)),""),IF($B$2="ADM",IFERROR(INDEX('Projekt-Budget-Übersicht'!$J:$J,MATCH(A28,'Projekt-Budget-Übersicht'!$A:$A,0)),""),"")))))</f>
        <v/>
      </c>
      <c r="M28" s="11">
        <f>IF($B$2="-","",L28*(F28+I28+K28))</f>
        <v/>
      </c>
      <c r="N28" s="11">
        <f>IFERROR(INDEX('Projekt-Budget-Übersicht'!$E:$E,MATCH(A28,'Projekt-Budget-Übersicht'!$A:$A,0)),"")</f>
        <v/>
      </c>
      <c r="O28" s="11" t="inlineStr"/>
      <c r="P28" s="11" t="inlineStr"/>
    </row>
    <row r="29">
      <c r="A29" s="15" t="n"/>
      <c r="B29" s="4" t="inlineStr">
        <is>
          <t>Einarbeitung neuer Mitarbeiter (max. 8h/Monat pro MA)</t>
        </is>
      </c>
      <c r="C29" s="4" t="inlineStr">
        <is>
          <t>M</t>
        </is>
      </c>
      <c r="D29" s="4" t="n">
        <v>8</v>
      </c>
      <c r="E29" s="4" t="n">
        <v>3</v>
      </c>
      <c r="F29" s="4" t="n">
        <v>3</v>
      </c>
      <c r="G29" s="17" t="n">
        <v>37.5</v>
      </c>
      <c r="H29" s="5" t="n"/>
      <c r="I29" s="5">
        <f>IF(H29=0,"",F29-H29)</f>
        <v/>
      </c>
      <c r="J29" s="4" t="n"/>
      <c r="K29" s="5">
        <f>IF('A. Kokott'!J40="U. Sutter ADM",'A. Kokott'!I40,0)+IF('M. Bandlofsky'!J26="U. Sutter ADM",'M. Bandlofsky'!I26,0)+IF('O. Haag BS-CAD'!J52="U. Sutter ADM",'O. Haag BS-CAD'!I52,0)+IF('P. Bergner'!J22="U. Sutter ADM",'P. Bergner'!I22,0)+IF('R. Wagen CAD'!J31="U. Sutter ADM",'R. Wagen CAD'!I31,0)+IF('T. Trautmann'!J29="U. Sutter ADM",'T. Trautmann'!I29,0)</f>
        <v/>
      </c>
      <c r="L29" s="11">
        <f>IF($B$2="-","",IF($B$2="Pauschale",IFERROR(INDEX('Projekt-Budget-Übersicht'!$H:$H,MATCH(A29,'Projekt-Budget-Übersicht'!$A:$A,0)),""),IF($B$2="SV",IFERROR(INDEX('Projekt-Budget-Übersicht'!$H:$H,MATCH(A29,'Projekt-Budget-Übersicht'!$A:$A,0)),""),IF($B$2="CAD",IFERROR(INDEX('Projekt-Budget-Übersicht'!$I:$I,MATCH(A29,'Projekt-Budget-Übersicht'!$A:$A,0)),""),IF($B$2="ADM",IFERROR(INDEX('Projekt-Budget-Übersicht'!$J:$J,MATCH(A29,'Projekt-Budget-Übersicht'!$A:$A,0)),""),"")))))</f>
        <v/>
      </c>
      <c r="M29" s="11">
        <f>IF($B$2="-","",L29*(F29+I29+K29))</f>
        <v/>
      </c>
      <c r="N29" s="11">
        <f>IFERROR(INDEX('Projekt-Budget-Übersicht'!$E:$E,MATCH(A29,'Projekt-Budget-Übersicht'!$A:$A,0)),"")</f>
        <v/>
      </c>
      <c r="O29" s="11" t="inlineStr"/>
      <c r="P29" s="11" t="inlineStr"/>
    </row>
    <row r="30">
      <c r="A30" s="4" t="inlineStr">
        <is>
          <t>1640.08 BTB-Bauherr-SLK-HN-1.BA</t>
        </is>
      </c>
      <c r="B30" s="4" t="inlineStr">
        <is>
          <t>8000-Objektüberwachung</t>
        </is>
      </c>
      <c r="C30" s="4" t="inlineStr">
        <is>
          <t>G</t>
        </is>
      </c>
      <c r="D30" s="4" t="n">
        <v>0</v>
      </c>
      <c r="E30" s="4" t="n">
        <v>43.25</v>
      </c>
      <c r="F30" s="4" t="n">
        <v>0.5</v>
      </c>
      <c r="G30" s="4" t="n">
        <v>0</v>
      </c>
      <c r="H30" s="5" t="n"/>
      <c r="I30" s="5">
        <f>IF(H30=0,"",F30-H30)</f>
        <v/>
      </c>
      <c r="J30" s="4" t="n"/>
      <c r="K30" s="5" t="n">
        <v>0</v>
      </c>
      <c r="L30" s="11">
        <f>IF($B$2="-","",IF($B$2="Pauschale",IFERROR(INDEX('Projekt-Budget-Übersicht'!$H:$H,MATCH(A30,'Projekt-Budget-Übersicht'!$A:$A,0)),""),IF($B$2="SV",IFERROR(INDEX('Projekt-Budget-Übersicht'!$H:$H,MATCH(A30,'Projekt-Budget-Übersicht'!$A:$A,0)),""),IF($B$2="CAD",IFERROR(INDEX('Projekt-Budget-Übersicht'!$I:$I,MATCH(A30,'Projekt-Budget-Übersicht'!$A:$A,0)),""),IF($B$2="ADM",IFERROR(INDEX('Projekt-Budget-Übersicht'!$J:$J,MATCH(A30,'Projekt-Budget-Übersicht'!$A:$A,0)),""),"")))))</f>
        <v/>
      </c>
      <c r="M30" s="11">
        <f>IF($B$2="-","",L30*(F30+I30+K30))</f>
        <v/>
      </c>
      <c r="N30" s="11">
        <f>IFERROR(INDEX('Projekt-Budget-Übersicht'!$E:$E,MATCH(A30,'Projekt-Budget-Übersicht'!$A:$A,0)),"")</f>
        <v/>
      </c>
      <c r="O30" s="11" t="inlineStr"/>
      <c r="P30" s="11" t="inlineStr"/>
    </row>
    <row r="31">
      <c r="A31" s="13" t="inlineStr">
        <is>
          <t>4436.04 BTB Krankenhaus-Bergstraße-Viernheimer-Straße-2-Heppenheim</t>
        </is>
      </c>
      <c r="B31" s="4" t="inlineStr">
        <is>
          <t>5102-Zusammenstellen Ergebnisse….</t>
        </is>
      </c>
      <c r="C31" s="4" t="inlineStr">
        <is>
          <t>G</t>
        </is>
      </c>
      <c r="D31" s="4" t="n">
        <v>6.5</v>
      </c>
      <c r="E31" s="4" t="n">
        <v>13.25</v>
      </c>
      <c r="F31" s="4" t="n">
        <v>1.75</v>
      </c>
      <c r="G31" s="16" t="n">
        <v>203.85</v>
      </c>
      <c r="H31" s="5" t="n"/>
      <c r="I31" s="5">
        <f>IF(H31=0,"",F31-H31)</f>
        <v/>
      </c>
      <c r="J31" s="4" t="n"/>
      <c r="K31" s="5">
        <f>IF('S. Schüler'!J56="U. Sutter ADM",'S. Schüler'!I56,0)</f>
        <v/>
      </c>
      <c r="L31" s="11">
        <f>IF($B$2="-","",IF($B$2="Pauschale",IFERROR(INDEX('Projekt-Budget-Übersicht'!$H:$H,MATCH(A31,'Projekt-Budget-Übersicht'!$A:$A,0)),""),IF($B$2="SV",IFERROR(INDEX('Projekt-Budget-Übersicht'!$H:$H,MATCH(A31,'Projekt-Budget-Übersicht'!$A:$A,0)),""),IF($B$2="CAD",IFERROR(INDEX('Projekt-Budget-Übersicht'!$I:$I,MATCH(A31,'Projekt-Budget-Übersicht'!$A:$A,0)),""),IF($B$2="ADM",IFERROR(INDEX('Projekt-Budget-Übersicht'!$J:$J,MATCH(A31,'Projekt-Budget-Übersicht'!$A:$A,0)),""),"")))))</f>
        <v/>
      </c>
      <c r="M31" s="11">
        <f>IF($B$2="-","",L31*(F31+I31+K31))</f>
        <v/>
      </c>
      <c r="N31" s="11">
        <f>IFERROR(INDEX('Projekt-Budget-Übersicht'!$E:$E,MATCH(A31,'Projekt-Budget-Übersicht'!$A:$A,0)),"")</f>
        <v/>
      </c>
      <c r="O31" s="11" t="inlineStr"/>
      <c r="P31" s="11" t="inlineStr"/>
    </row>
    <row r="32">
      <c r="A32" s="21" t="n"/>
      <c r="B32" s="4" t="inlineStr">
        <is>
          <t>5103-Prüfen Baugenehmigung auf Widerspruch BSK....</t>
        </is>
      </c>
      <c r="C32" s="4" t="inlineStr">
        <is>
          <t>G</t>
        </is>
      </c>
      <c r="D32" s="4" t="n">
        <v>9.5</v>
      </c>
      <c r="E32" s="4" t="n">
        <v>3</v>
      </c>
      <c r="F32" s="4" t="n">
        <v>1.5</v>
      </c>
      <c r="G32" s="17" t="n">
        <v>31.58</v>
      </c>
      <c r="H32" s="5" t="n"/>
      <c r="I32" s="5">
        <f>IF(H32=0,"",F32-H32)</f>
        <v/>
      </c>
      <c r="J32" s="4" t="n"/>
      <c r="K32" s="5">
        <f>IF('S. Schüler'!J57="U. Sutter ADM",'S. Schüler'!I57,0)</f>
        <v/>
      </c>
      <c r="L32" s="11">
        <f>IF($B$2="-","",IF($B$2="Pauschale",IFERROR(INDEX('Projekt-Budget-Übersicht'!$H:$H,MATCH(A32,'Projekt-Budget-Übersicht'!$A:$A,0)),""),IF($B$2="SV",IFERROR(INDEX('Projekt-Budget-Übersicht'!$H:$H,MATCH(A32,'Projekt-Budget-Übersicht'!$A:$A,0)),""),IF($B$2="CAD",IFERROR(INDEX('Projekt-Budget-Übersicht'!$I:$I,MATCH(A32,'Projekt-Budget-Übersicht'!$A:$A,0)),""),IF($B$2="ADM",IFERROR(INDEX('Projekt-Budget-Übersicht'!$J:$J,MATCH(A32,'Projekt-Budget-Übersicht'!$A:$A,0)),""),"")))))</f>
        <v/>
      </c>
      <c r="M32" s="11">
        <f>IF($B$2="-","",L32*(F32+I32+K32))</f>
        <v/>
      </c>
      <c r="N32" s="11">
        <f>IFERROR(INDEX('Projekt-Budget-Übersicht'!$E:$E,MATCH(A32,'Projekt-Budget-Übersicht'!$A:$A,0)),"")</f>
        <v/>
      </c>
      <c r="O32" s="11" t="inlineStr"/>
      <c r="P32" s="11" t="inlineStr"/>
    </row>
    <row r="33">
      <c r="A33" s="21" t="n"/>
      <c r="B33" s="4" t="inlineStr">
        <is>
          <t>5205-Mitwirken Erstellen Brandmelde- und Alarmierungskonzept....</t>
        </is>
      </c>
      <c r="C33" s="4" t="inlineStr">
        <is>
          <t>G</t>
        </is>
      </c>
      <c r="D33" s="4" t="n">
        <v>19</v>
      </c>
      <c r="E33" s="4" t="n">
        <v>1.75</v>
      </c>
      <c r="F33" s="4" t="n">
        <v>0.25</v>
      </c>
      <c r="G33" s="17" t="n">
        <v>9.210000000000001</v>
      </c>
      <c r="H33" s="5" t="n"/>
      <c r="I33" s="5">
        <f>IF(H33=0,"",F33-H33)</f>
        <v/>
      </c>
      <c r="J33" s="4" t="n"/>
      <c r="K33" s="5" t="n">
        <v>0</v>
      </c>
      <c r="L33" s="11">
        <f>IF($B$2="-","",IF($B$2="Pauschale",IFERROR(INDEX('Projekt-Budget-Übersicht'!$H:$H,MATCH(A33,'Projekt-Budget-Übersicht'!$A:$A,0)),""),IF($B$2="SV",IFERROR(INDEX('Projekt-Budget-Übersicht'!$H:$H,MATCH(A33,'Projekt-Budget-Übersicht'!$A:$A,0)),""),IF($B$2="CAD",IFERROR(INDEX('Projekt-Budget-Übersicht'!$I:$I,MATCH(A33,'Projekt-Budget-Übersicht'!$A:$A,0)),""),IF($B$2="ADM",IFERROR(INDEX('Projekt-Budget-Übersicht'!$J:$J,MATCH(A33,'Projekt-Budget-Übersicht'!$A:$A,0)),""),"")))))</f>
        <v/>
      </c>
      <c r="M33" s="11">
        <f>IF($B$2="-","",L33*(F33+I33+K33))</f>
        <v/>
      </c>
      <c r="N33" s="11">
        <f>IFERROR(INDEX('Projekt-Budget-Übersicht'!$E:$E,MATCH(A33,'Projekt-Budget-Übersicht'!$A:$A,0)),"")</f>
        <v/>
      </c>
      <c r="O33" s="11" t="inlineStr"/>
      <c r="P33" s="11" t="inlineStr"/>
    </row>
    <row r="34">
      <c r="A34" s="15" t="n"/>
      <c r="B34" s="4" t="inlineStr">
        <is>
          <t>8100-Prüfen der Ausführung auf prinzipielle Übereinstimmung (Stufe 1)....</t>
        </is>
      </c>
      <c r="C34" s="4" t="inlineStr">
        <is>
          <t>G</t>
        </is>
      </c>
      <c r="D34" s="4" t="n">
        <v>115</v>
      </c>
      <c r="E34" s="4" t="n">
        <v>0.5</v>
      </c>
      <c r="F34" s="4" t="n">
        <v>0.25</v>
      </c>
      <c r="G34" s="17" t="n">
        <v>0.43</v>
      </c>
      <c r="H34" s="5" t="n"/>
      <c r="I34" s="5">
        <f>IF(H34=0,"",F34-H34)</f>
        <v/>
      </c>
      <c r="J34" s="4" t="n"/>
      <c r="K34" s="5" t="n">
        <v>0</v>
      </c>
      <c r="L34" s="11">
        <f>IF($B$2="-","",IF($B$2="Pauschale",IFERROR(INDEX('Projekt-Budget-Übersicht'!$H:$H,MATCH(A34,'Projekt-Budget-Übersicht'!$A:$A,0)),""),IF($B$2="SV",IFERROR(INDEX('Projekt-Budget-Übersicht'!$H:$H,MATCH(A34,'Projekt-Budget-Übersicht'!$A:$A,0)),""),IF($B$2="CAD",IFERROR(INDEX('Projekt-Budget-Übersicht'!$I:$I,MATCH(A34,'Projekt-Budget-Übersicht'!$A:$A,0)),""),IF($B$2="ADM",IFERROR(INDEX('Projekt-Budget-Übersicht'!$J:$J,MATCH(A34,'Projekt-Budget-Übersicht'!$A:$A,0)),""),"")))))</f>
        <v/>
      </c>
      <c r="M34" s="11">
        <f>IF($B$2="-","",L34*(F34+I34+K34))</f>
        <v/>
      </c>
      <c r="N34" s="11">
        <f>IFERROR(INDEX('Projekt-Budget-Übersicht'!$E:$E,MATCH(A34,'Projekt-Budget-Übersicht'!$A:$A,0)),"")</f>
        <v/>
      </c>
      <c r="O34" s="11" t="inlineStr"/>
      <c r="P34" s="11" t="inlineStr"/>
    </row>
    <row r="35">
      <c r="A35" s="13" t="inlineStr">
        <is>
          <t>5328 Flugfeldklinikum-Böblingen</t>
        </is>
      </c>
      <c r="B35" s="4" t="inlineStr">
        <is>
          <t>5101-Mitwirken Koordination Fachplanung….</t>
        </is>
      </c>
      <c r="C35" s="4" t="inlineStr">
        <is>
          <t>G</t>
        </is>
      </c>
      <c r="D35" s="4" t="n">
        <v>16</v>
      </c>
      <c r="E35" s="4" t="n">
        <v>74.25</v>
      </c>
      <c r="F35" s="4" t="n">
        <v>0.75</v>
      </c>
      <c r="G35" s="16" t="n">
        <v>464.06</v>
      </c>
      <c r="H35" s="5" t="n"/>
      <c r="I35" s="5">
        <f>IF(H35=0,"",F35-H35)</f>
        <v/>
      </c>
      <c r="J35" s="4" t="n"/>
      <c r="K35" s="5">
        <f>IF('M. Bandlofsky'!J32="U. Sutter ADM",'M. Bandlofsky'!I32,0)</f>
        <v/>
      </c>
      <c r="L35" s="11">
        <f>IF($B$2="-","",IF($B$2="Pauschale",IFERROR(INDEX('Projekt-Budget-Übersicht'!$H:$H,MATCH(A35,'Projekt-Budget-Übersicht'!$A:$A,0)),""),IF($B$2="SV",IFERROR(INDEX('Projekt-Budget-Übersicht'!$H:$H,MATCH(A35,'Projekt-Budget-Übersicht'!$A:$A,0)),""),IF($B$2="CAD",IFERROR(INDEX('Projekt-Budget-Übersicht'!$I:$I,MATCH(A35,'Projekt-Budget-Übersicht'!$A:$A,0)),""),IF($B$2="ADM",IFERROR(INDEX('Projekt-Budget-Übersicht'!$J:$J,MATCH(A35,'Projekt-Budget-Übersicht'!$A:$A,0)),""),"")))))</f>
        <v/>
      </c>
      <c r="M35" s="11">
        <f>IF($B$2="-","",L35*(F35+I35+K35))</f>
        <v/>
      </c>
      <c r="N35" s="11">
        <f>IFERROR(INDEX('Projekt-Budget-Übersicht'!$E:$E,MATCH(A35,'Projekt-Budget-Übersicht'!$A:$A,0)),"")</f>
        <v/>
      </c>
      <c r="O35" s="11" t="inlineStr"/>
      <c r="P35" s="11" t="inlineStr"/>
    </row>
    <row r="36">
      <c r="A36" s="15" t="n"/>
      <c r="B36" s="4" t="inlineStr">
        <is>
          <t>8104-Statusbericht Bewertung auf Möglichkeiten zur Inbetriebnahme….</t>
        </is>
      </c>
      <c r="C36" s="4" t="inlineStr">
        <is>
          <t>G</t>
        </is>
      </c>
      <c r="D36" s="4" t="n">
        <v>40</v>
      </c>
      <c r="E36" s="4" t="n">
        <v>0.25</v>
      </c>
      <c r="F36" s="4" t="n">
        <v>0.25</v>
      </c>
      <c r="G36" s="17" t="n">
        <v>0.62</v>
      </c>
      <c r="H36" s="5" t="n"/>
      <c r="I36" s="5">
        <f>IF(H36=0,"",F36-H36)</f>
        <v/>
      </c>
      <c r="J36" s="4" t="n"/>
      <c r="K36" s="5" t="n">
        <v>0</v>
      </c>
      <c r="L36" s="11">
        <f>IF($B$2="-","",IF($B$2="Pauschale",IFERROR(INDEX('Projekt-Budget-Übersicht'!$H:$H,MATCH(A36,'Projekt-Budget-Übersicht'!$A:$A,0)),""),IF($B$2="SV",IFERROR(INDEX('Projekt-Budget-Übersicht'!$H:$H,MATCH(A36,'Projekt-Budget-Übersicht'!$A:$A,0)),""),IF($B$2="CAD",IFERROR(INDEX('Projekt-Budget-Übersicht'!$I:$I,MATCH(A36,'Projekt-Budget-Übersicht'!$A:$A,0)),""),IF($B$2="ADM",IFERROR(INDEX('Projekt-Budget-Übersicht'!$J:$J,MATCH(A36,'Projekt-Budget-Übersicht'!$A:$A,0)),""),"")))))</f>
        <v/>
      </c>
      <c r="M36" s="11">
        <f>IF($B$2="-","",L36*(F36+I36+K36))</f>
        <v/>
      </c>
      <c r="N36" s="11">
        <f>IFERROR(INDEX('Projekt-Budget-Übersicht'!$E:$E,MATCH(A36,'Projekt-Budget-Übersicht'!$A:$A,0)),"")</f>
        <v/>
      </c>
      <c r="O36" s="11" t="inlineStr"/>
      <c r="P36" s="11" t="inlineStr"/>
    </row>
    <row r="37">
      <c r="A37" s="4" t="inlineStr">
        <is>
          <t>5328.06 Flugfeldklinikum-Böblingen-Fortschr-BSK-FFK</t>
        </is>
      </c>
      <c r="B37" s="4" t="inlineStr">
        <is>
          <t>5100-Beraten Planer ausführungsreife Lösungen….</t>
        </is>
      </c>
      <c r="C37" s="4" t="inlineStr">
        <is>
          <t>G</t>
        </is>
      </c>
      <c r="D37" s="4" t="n">
        <v>20</v>
      </c>
      <c r="E37" s="4" t="n">
        <v>6</v>
      </c>
      <c r="F37" s="4" t="n">
        <v>3.25</v>
      </c>
      <c r="G37" s="17" t="n">
        <v>30</v>
      </c>
      <c r="H37" s="5" t="n"/>
      <c r="I37" s="5">
        <f>IF(H37=0,"",F37-H37)</f>
        <v/>
      </c>
      <c r="J37" s="4" t="n"/>
      <c r="K37" s="5" t="n">
        <v>0</v>
      </c>
      <c r="L37" s="11">
        <f>IF($B$2="-","",IF($B$2="Pauschale",IFERROR(INDEX('Projekt-Budget-Übersicht'!$H:$H,MATCH(A37,'Projekt-Budget-Übersicht'!$A:$A,0)),""),IF($B$2="SV",IFERROR(INDEX('Projekt-Budget-Übersicht'!$H:$H,MATCH(A37,'Projekt-Budget-Übersicht'!$A:$A,0)),""),IF($B$2="CAD",IFERROR(INDEX('Projekt-Budget-Übersicht'!$I:$I,MATCH(A37,'Projekt-Budget-Übersicht'!$A:$A,0)),""),IF($B$2="ADM",IFERROR(INDEX('Projekt-Budget-Übersicht'!$J:$J,MATCH(A37,'Projekt-Budget-Übersicht'!$A:$A,0)),""),"")))))</f>
        <v/>
      </c>
      <c r="M37" s="11">
        <f>IF($B$2="-","",L37*(F37+I37+K37))</f>
        <v/>
      </c>
      <c r="N37" s="11">
        <f>IFERROR(INDEX('Projekt-Budget-Übersicht'!$E:$E,MATCH(A37,'Projekt-Budget-Übersicht'!$A:$A,0)),"")</f>
        <v/>
      </c>
      <c r="O37" s="11" t="inlineStr"/>
      <c r="P37" s="11" t="inlineStr"/>
    </row>
    <row r="38">
      <c r="A38" s="4" t="inlineStr">
        <is>
          <t>5607.05 BAB-NB-J4-Zentralinstitut-für-seelische-Gesundheit-Mannheim</t>
        </is>
      </c>
      <c r="B38" s="4" t="inlineStr">
        <is>
          <t>(aN) 8200-Prüfen der Ausführung - system. stichprobenart. Kontrolle (Stufe 2)….</t>
        </is>
      </c>
      <c r="C38" s="4" t="inlineStr">
        <is>
          <t>G</t>
        </is>
      </c>
      <c r="D38" s="4" t="n">
        <v>240</v>
      </c>
      <c r="E38" s="4" t="n">
        <v>172</v>
      </c>
      <c r="F38" s="4" t="n">
        <v>3.5</v>
      </c>
      <c r="G38" s="17" t="n">
        <v>71.67</v>
      </c>
      <c r="H38" s="5" t="n"/>
      <c r="I38" s="5">
        <f>IF(H38=0,"",F38-H38)</f>
        <v/>
      </c>
      <c r="J38" s="4" t="n"/>
      <c r="K38" s="5" t="n">
        <v>0</v>
      </c>
      <c r="L38" s="11">
        <f>IF($B$2="-","",IF($B$2="Pauschale",IFERROR(INDEX('Projekt-Budget-Übersicht'!$H:$H,MATCH(A38,'Projekt-Budget-Übersicht'!$A:$A,0)),""),IF($B$2="SV",IFERROR(INDEX('Projekt-Budget-Übersicht'!$H:$H,MATCH(A38,'Projekt-Budget-Übersicht'!$A:$A,0)),""),IF($B$2="CAD",IFERROR(INDEX('Projekt-Budget-Übersicht'!$I:$I,MATCH(A38,'Projekt-Budget-Übersicht'!$A:$A,0)),""),IF($B$2="ADM",IFERROR(INDEX('Projekt-Budget-Übersicht'!$J:$J,MATCH(A38,'Projekt-Budget-Übersicht'!$A:$A,0)),""),"")))))</f>
        <v/>
      </c>
      <c r="M38" s="11">
        <f>IF($B$2="-","",L38*(F38+I38+K38))</f>
        <v/>
      </c>
      <c r="N38" s="11">
        <f>IFERROR(INDEX('Projekt-Budget-Übersicht'!$E:$E,MATCH(A38,'Projekt-Budget-Übersicht'!$A:$A,0)),"")</f>
        <v/>
      </c>
      <c r="O38" s="11" t="inlineStr"/>
      <c r="P38" s="11" t="inlineStr"/>
    </row>
    <row r="39">
      <c r="A39" s="13" t="inlineStr">
        <is>
          <t>6643 BTB-FRP-FWP-Ersatzneubau-Krankenhaus-Hohenlohe-Öhringen-Vamed</t>
        </is>
      </c>
      <c r="B39" s="4" t="inlineStr">
        <is>
          <t>8101-Kontrolle Verwendbarkeitsnachweise/Bescheinigungen….</t>
        </is>
      </c>
      <c r="C39" s="4" t="inlineStr">
        <is>
          <t>G</t>
        </is>
      </c>
      <c r="D39" s="4" t="n">
        <v>80</v>
      </c>
      <c r="E39" s="4" t="n">
        <v>19.75</v>
      </c>
      <c r="F39" s="4" t="n">
        <v>2.25</v>
      </c>
      <c r="G39" s="17" t="n">
        <v>24.69</v>
      </c>
      <c r="H39" s="5" t="n"/>
      <c r="I39" s="5">
        <f>IF(H39=0,"",F39-H39)</f>
        <v/>
      </c>
      <c r="J39" s="4" t="n"/>
      <c r="K39" s="5">
        <f>IF('C. Trapp SV'!J45="U. Sutter ADM",'C. Trapp SV'!I45,0)</f>
        <v/>
      </c>
      <c r="L39" s="11">
        <f>IF($B$2="-","",IF($B$2="Pauschale",IFERROR(INDEX('Projekt-Budget-Übersicht'!$H:$H,MATCH(A39,'Projekt-Budget-Übersicht'!$A:$A,0)),""),IF($B$2="SV",IFERROR(INDEX('Projekt-Budget-Übersicht'!$H:$H,MATCH(A39,'Projekt-Budget-Übersicht'!$A:$A,0)),""),IF($B$2="CAD",IFERROR(INDEX('Projekt-Budget-Übersicht'!$I:$I,MATCH(A39,'Projekt-Budget-Übersicht'!$A:$A,0)),""),IF($B$2="ADM",IFERROR(INDEX('Projekt-Budget-Übersicht'!$J:$J,MATCH(A39,'Projekt-Budget-Übersicht'!$A:$A,0)),""),"")))))</f>
        <v/>
      </c>
      <c r="M39" s="11">
        <f>IF($B$2="-","",L39*(F39+I39+K39))</f>
        <v/>
      </c>
      <c r="N39" s="11">
        <f>IFERROR(INDEX('Projekt-Budget-Übersicht'!$E:$E,MATCH(A39,'Projekt-Budget-Übersicht'!$A:$A,0)),"")</f>
        <v/>
      </c>
      <c r="O39" s="11" t="inlineStr"/>
      <c r="P39" s="11" t="inlineStr"/>
    </row>
    <row r="40">
      <c r="A40" s="15" t="n"/>
      <c r="B40" s="4" t="inlineStr">
        <is>
          <t>8200-Prüfen der Ausführung - system. stichprobenart. Kontrolle (Stufe 2)….</t>
        </is>
      </c>
      <c r="C40" s="4" t="inlineStr">
        <is>
          <t>G</t>
        </is>
      </c>
      <c r="D40" s="4" t="n">
        <v>540</v>
      </c>
      <c r="E40" s="4" t="n">
        <v>448</v>
      </c>
      <c r="F40" s="4" t="n">
        <v>0.25</v>
      </c>
      <c r="G40" s="17" t="n">
        <v>82.95999999999999</v>
      </c>
      <c r="H40" s="5" t="n"/>
      <c r="I40" s="5">
        <f>IF(H40=0,"",F40-H40)</f>
        <v/>
      </c>
      <c r="J40" s="4" t="n"/>
      <c r="K40" s="5">
        <f>IF('C. Trapp SV'!J46="U. Sutter ADM",'C. Trapp SV'!I46,0)+IF('S. Roßkopf'!J9="U. Sutter ADM",'S. Roßkopf'!I9,0)</f>
        <v/>
      </c>
      <c r="L40" s="11">
        <f>IF($B$2="-","",IF($B$2="Pauschale",IFERROR(INDEX('Projekt-Budget-Übersicht'!$H:$H,MATCH(A40,'Projekt-Budget-Übersicht'!$A:$A,0)),""),IF($B$2="SV",IFERROR(INDEX('Projekt-Budget-Übersicht'!$H:$H,MATCH(A40,'Projekt-Budget-Übersicht'!$A:$A,0)),""),IF($B$2="CAD",IFERROR(INDEX('Projekt-Budget-Übersicht'!$I:$I,MATCH(A40,'Projekt-Budget-Übersicht'!$A:$A,0)),""),IF($B$2="ADM",IFERROR(INDEX('Projekt-Budget-Übersicht'!$J:$J,MATCH(A40,'Projekt-Budget-Übersicht'!$A:$A,0)),""),"")))))</f>
        <v/>
      </c>
      <c r="M40" s="11">
        <f>IF($B$2="-","",L40*(F40+I40+K40))</f>
        <v/>
      </c>
      <c r="N40" s="11">
        <f>IFERROR(INDEX('Projekt-Budget-Übersicht'!$E:$E,MATCH(A40,'Projekt-Budget-Übersicht'!$A:$A,0)),"")</f>
        <v/>
      </c>
      <c r="O40" s="11" t="inlineStr"/>
      <c r="P40" s="11" t="inlineStr"/>
    </row>
    <row r="41">
      <c r="A41" s="4" t="inlineStr">
        <is>
          <t>6680.02 GSKOK-Heidelberg-Kopfklinik-LP3</t>
        </is>
      </c>
      <c r="B41" s="4" t="inlineStr">
        <is>
          <t>ADM</t>
        </is>
      </c>
      <c r="C41" s="4" t="inlineStr">
        <is>
          <t>G</t>
        </is>
      </c>
      <c r="D41" s="4" t="n">
        <v>2</v>
      </c>
      <c r="E41" s="4" t="n">
        <v>10.25</v>
      </c>
      <c r="F41" s="4" t="n">
        <v>2</v>
      </c>
      <c r="G41" s="16" t="n">
        <v>512.5</v>
      </c>
      <c r="H41" s="5" t="n"/>
      <c r="I41" s="5">
        <f>IF(H41=0,"",F41-H41)</f>
        <v/>
      </c>
      <c r="J41" s="4" t="n"/>
      <c r="K41" s="5" t="n">
        <v>0</v>
      </c>
      <c r="L41" s="11">
        <f>IF($B$2="-","",IF($B$2="Pauschale",IFERROR(INDEX('Projekt-Budget-Übersicht'!$H:$H,MATCH(A41,'Projekt-Budget-Übersicht'!$A:$A,0)),""),IF($B$2="SV",IFERROR(INDEX('Projekt-Budget-Übersicht'!$H:$H,MATCH(A41,'Projekt-Budget-Übersicht'!$A:$A,0)),""),IF($B$2="CAD",IFERROR(INDEX('Projekt-Budget-Übersicht'!$I:$I,MATCH(A41,'Projekt-Budget-Übersicht'!$A:$A,0)),""),IF($B$2="ADM",IFERROR(INDEX('Projekt-Budget-Übersicht'!$J:$J,MATCH(A41,'Projekt-Budget-Übersicht'!$A:$A,0)),""),"")))))</f>
        <v/>
      </c>
      <c r="M41" s="11">
        <f>IF($B$2="-","",L41*(F41+I41+K41))</f>
        <v/>
      </c>
      <c r="N41" s="11">
        <f>IFERROR(INDEX('Projekt-Budget-Übersicht'!$E:$E,MATCH(A41,'Projekt-Budget-Übersicht'!$A:$A,0)),"")</f>
        <v/>
      </c>
      <c r="O41" s="11" t="inlineStr"/>
      <c r="P41" s="11" t="inlineStr"/>
    </row>
    <row r="42">
      <c r="A42" s="4" t="inlineStr">
        <is>
          <t>6704 BSK-BTB+FWP-FuR-ZsG-Lörrach</t>
        </is>
      </c>
      <c r="B42" s="4" t="inlineStr">
        <is>
          <t>8101-Kontrolle Verwendbarkeitsnachweise/Bescheinigungen….</t>
        </is>
      </c>
      <c r="C42" s="4" t="inlineStr">
        <is>
          <t>G</t>
        </is>
      </c>
      <c r="D42" s="4" t="n">
        <v>20</v>
      </c>
      <c r="E42" s="4" t="n">
        <v>34.75</v>
      </c>
      <c r="F42" s="4" t="n">
        <v>1</v>
      </c>
      <c r="G42" s="16" t="n">
        <v>173.75</v>
      </c>
      <c r="H42" s="5" t="n"/>
      <c r="I42" s="5">
        <f>IF(H42=0,"",F42-H42)</f>
        <v/>
      </c>
      <c r="J42" s="4" t="n"/>
      <c r="K42" s="5" t="n">
        <v>0</v>
      </c>
      <c r="L42" s="11">
        <f>IF($B$2="-","",IF($B$2="Pauschale",IFERROR(INDEX('Projekt-Budget-Übersicht'!$H:$H,MATCH(A42,'Projekt-Budget-Übersicht'!$A:$A,0)),""),IF($B$2="SV",IFERROR(INDEX('Projekt-Budget-Übersicht'!$H:$H,MATCH(A42,'Projekt-Budget-Übersicht'!$A:$A,0)),""),IF($B$2="CAD",IFERROR(INDEX('Projekt-Budget-Übersicht'!$I:$I,MATCH(A42,'Projekt-Budget-Übersicht'!$A:$A,0)),""),IF($B$2="ADM",IFERROR(INDEX('Projekt-Budget-Übersicht'!$J:$J,MATCH(A42,'Projekt-Budget-Übersicht'!$A:$A,0)),""),"")))))</f>
        <v/>
      </c>
      <c r="M42" s="11">
        <f>IF($B$2="-","",L42*(F42+I42+K42))</f>
        <v/>
      </c>
      <c r="N42" s="11">
        <f>IFERROR(INDEX('Projekt-Budget-Übersicht'!$E:$E,MATCH(A42,'Projekt-Budget-Übersicht'!$A:$A,0)),"")</f>
        <v/>
      </c>
      <c r="O42" s="11" t="inlineStr"/>
      <c r="P42" s="11" t="inlineStr"/>
    </row>
    <row r="43">
      <c r="A43" s="3" t="inlineStr"/>
      <c r="B43" s="3" t="inlineStr">
        <is>
          <t>Summe</t>
        </is>
      </c>
      <c r="C43" s="3" t="inlineStr"/>
      <c r="D43" s="3" t="inlineStr"/>
      <c r="E43" s="3" t="inlineStr"/>
      <c r="F43" s="6" t="n">
        <v>28.5</v>
      </c>
      <c r="G43" s="3" t="inlineStr"/>
      <c r="H43" s="3" t="inlineStr"/>
      <c r="I43" s="3" t="inlineStr"/>
      <c r="J43" s="3" t="inlineStr"/>
      <c r="K43" s="3" t="inlineStr"/>
      <c r="L43" s="3" t="n"/>
      <c r="M43" s="3" t="n"/>
      <c r="N43" s="3" t="n"/>
      <c r="O43" s="3" t="n"/>
      <c r="P43" s="3" t="n"/>
    </row>
    <row r="44">
      <c r="A44" s="3" t="inlineStr"/>
      <c r="B44" s="3" t="inlineStr">
        <is>
          <t>Bonusberechtigte Stunden</t>
        </is>
      </c>
      <c r="C44" s="3" t="inlineStr"/>
      <c r="D44" s="3" t="inlineStr"/>
      <c r="E44" s="3" t="inlineStr"/>
      <c r="F44" s="6">
        <f>G44+H44</f>
        <v/>
      </c>
      <c r="G44" s="6" t="n">
        <v>12</v>
      </c>
      <c r="H44" s="6">
        <f>SUM(H30,H31,H32,H33,H34,H35,H36,H37,H38,H39,H40,H41,H42)</f>
        <v/>
      </c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</row>
    <row r="45">
      <c r="A45" s="3" t="inlineStr"/>
      <c r="B45" s="3" t="inlineStr">
        <is>
          <t>Bonusberechtigte Stunden Sonderprojekt</t>
        </is>
      </c>
      <c r="C45" s="3" t="inlineStr"/>
      <c r="D45" s="3" t="inlineStr"/>
      <c r="E45" s="3" t="inlineStr"/>
      <c r="F45" s="6">
        <f>G45+H45</f>
        <v/>
      </c>
      <c r="G45" s="6" t="n">
        <v>11</v>
      </c>
      <c r="H45" s="6">
        <f>SUM(H28,H29)</f>
        <v/>
      </c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</row>
    <row r="46">
      <c r="A46" s="3" t="inlineStr"/>
      <c r="B46" s="3" t="inlineStr">
        <is>
          <t>Zugeordnete Stunden von anderen MA</t>
        </is>
      </c>
      <c r="C46" s="3" t="inlineStr"/>
      <c r="D46" s="3" t="inlineStr"/>
      <c r="E46" s="3" t="inlineStr"/>
      <c r="F46" s="6">
        <f>SUM(K28:K42)</f>
        <v/>
      </c>
      <c r="G46" s="3" t="inlineStr"/>
      <c r="H46" s="3" t="inlineStr"/>
      <c r="I46" s="3" t="inlineStr"/>
      <c r="J46" s="3" t="inlineStr"/>
      <c r="K46" s="3" t="inlineStr"/>
      <c r="L46" s="3" t="inlineStr"/>
      <c r="M46" s="3" t="inlineStr"/>
      <c r="N46" s="3" t="inlineStr"/>
      <c r="O46" s="3" t="inlineStr"/>
      <c r="P46" s="3" t="inlineStr"/>
    </row>
    <row r="47">
      <c r="A47" s="18" t="inlineStr"/>
      <c r="B47" s="18" t="inlineStr">
        <is>
          <t>Gesamt Bonus Stunden</t>
        </is>
      </c>
      <c r="C47" s="18" t="inlineStr"/>
      <c r="D47" s="18" t="inlineStr"/>
      <c r="E47" s="18" t="inlineStr"/>
      <c r="F47" s="19">
        <f>F44+F45+F46</f>
        <v/>
      </c>
      <c r="G47" s="18" t="inlineStr"/>
      <c r="H47" s="18" t="inlineStr"/>
      <c r="I47" s="18" t="inlineStr"/>
      <c r="J47" s="18" t="inlineStr"/>
      <c r="K47" s="18" t="inlineStr"/>
      <c r="L47" s="18" t="n"/>
      <c r="M47" s="18" t="n"/>
      <c r="N47" s="18" t="n"/>
      <c r="O47" s="18" t="n"/>
      <c r="P47" s="18" t="n"/>
    </row>
    <row r="49">
      <c r="A49" s="2" t="inlineStr">
        <is>
          <t>--- September 2025 ---</t>
        </is>
      </c>
    </row>
    <row r="50">
      <c r="A50" s="3" t="inlineStr">
        <is>
          <t>Projekt</t>
        </is>
      </c>
      <c r="B50" s="3" t="inlineStr">
        <is>
          <t>Meilenstein</t>
        </is>
      </c>
      <c r="C50" s="3" t="inlineStr">
        <is>
          <t>Typ</t>
        </is>
      </c>
      <c r="D50" s="3" t="inlineStr">
        <is>
          <t>Soll (h)</t>
        </is>
      </c>
      <c r="E50" s="3" t="inlineStr">
        <is>
          <t>Ist (h)</t>
        </is>
      </c>
      <c r="F50" s="3" t="inlineStr">
        <is>
          <t>September 2025 (h)</t>
        </is>
      </c>
      <c r="G50" s="3" t="inlineStr">
        <is>
          <t>%</t>
        </is>
      </c>
      <c r="H50" s="3" t="inlineStr">
        <is>
          <t>Bonus-Anpassung (h)</t>
        </is>
      </c>
      <c r="I50" s="3" t="inlineStr">
        <is>
          <t>Differenz (h)</t>
        </is>
      </c>
      <c r="J50" s="3" t="inlineStr">
        <is>
          <t>Zuordnen an</t>
        </is>
      </c>
      <c r="K50" s="3" t="inlineStr">
        <is>
          <t>Von anderen (h)</t>
        </is>
      </c>
      <c r="L50" s="3" t="inlineStr">
        <is>
          <t>Stundensatz (€/h)</t>
        </is>
      </c>
      <c r="M50" s="3" t="inlineStr">
        <is>
          <t>Umsatz (€)</t>
        </is>
      </c>
      <c r="N50" s="3" t="inlineStr">
        <is>
          <t>Budget Gesamt (€)</t>
        </is>
      </c>
      <c r="O50" s="3" t="inlineStr">
        <is>
          <t>Budget Ist (€)</t>
        </is>
      </c>
      <c r="P50" s="3" t="inlineStr">
        <is>
          <t>Budget Erwirtschaftet (€)</t>
        </is>
      </c>
    </row>
    <row r="51">
      <c r="A51" s="13" t="inlineStr">
        <is>
          <t>0000 Sonderprojekt für Bonus</t>
        </is>
      </c>
      <c r="B51" s="4" t="inlineStr">
        <is>
          <t>Angebote-Ausschreibungen-Kalkulationen (max. 8h/Monat pro MA)</t>
        </is>
      </c>
      <c r="C51" s="4" t="inlineStr">
        <is>
          <t>M</t>
        </is>
      </c>
      <c r="D51" s="4" t="n">
        <v>8</v>
      </c>
      <c r="E51" s="4" t="n">
        <v>8</v>
      </c>
      <c r="F51" s="4" t="n">
        <v>8</v>
      </c>
      <c r="G51" s="14" t="n">
        <v>100</v>
      </c>
      <c r="H51" s="5" t="n"/>
      <c r="I51" s="5">
        <f>IF(H51=0,"",F51-H51)</f>
        <v/>
      </c>
      <c r="J51" s="4" t="n"/>
      <c r="K51" s="5">
        <f>IF('A. Kokott'!J85="U. Sutter ADM",'A. Kokott'!I85,0)+IF('C. Trapp SV'!J56="U. Sutter ADM",'C. Trapp SV'!I56,0)+IF('D. Brucker'!J33="U. Sutter ADM",'D. Brucker'!I33,0)+IF('J. Dorn'!J83="U. Sutter ADM",'J. Dorn'!I83,0)+IF('O. Haag BS-CAD'!J92="U. Sutter ADM",'O. Haag BS-CAD'!I92,0)+IF('S. Schüler'!J93="U. Sutter ADM",'S. Schüler'!I93,0)</f>
        <v/>
      </c>
      <c r="L51" s="11">
        <f>IF($B$2="-","",IF($B$2="Pauschale",IFERROR(INDEX('Projekt-Budget-Übersicht'!$H:$H,MATCH(A51,'Projekt-Budget-Übersicht'!$A:$A,0)),""),IF($B$2="SV",IFERROR(INDEX('Projekt-Budget-Übersicht'!$H:$H,MATCH(A51,'Projekt-Budget-Übersicht'!$A:$A,0)),""),IF($B$2="CAD",IFERROR(INDEX('Projekt-Budget-Übersicht'!$I:$I,MATCH(A51,'Projekt-Budget-Übersicht'!$A:$A,0)),""),IF($B$2="ADM",IFERROR(INDEX('Projekt-Budget-Übersicht'!$J:$J,MATCH(A51,'Projekt-Budget-Übersicht'!$A:$A,0)),""),"")))))</f>
        <v/>
      </c>
      <c r="M51" s="11">
        <f>IF($B$2="-","",L51*(F51+I51+K51))</f>
        <v/>
      </c>
      <c r="N51" s="11">
        <f>IFERROR(INDEX('Projekt-Budget-Übersicht'!$E:$E,MATCH(A51,'Projekt-Budget-Übersicht'!$A:$A,0)),"")</f>
        <v/>
      </c>
      <c r="O51" s="11" t="inlineStr"/>
      <c r="P51" s="11" t="inlineStr"/>
    </row>
    <row r="52">
      <c r="A52" s="15" t="n"/>
      <c r="B52" s="4" t="inlineStr">
        <is>
          <t>Einarbeitung neuer Mitarbeiter (max. 8h/Monat pro MA)</t>
        </is>
      </c>
      <c r="C52" s="4" t="inlineStr">
        <is>
          <t>M</t>
        </is>
      </c>
      <c r="D52" s="4" t="n">
        <v>8</v>
      </c>
      <c r="E52" s="4" t="n">
        <v>2.5</v>
      </c>
      <c r="F52" s="4" t="n">
        <v>2.5</v>
      </c>
      <c r="G52" s="17" t="n">
        <v>31.25</v>
      </c>
      <c r="H52" s="5" t="n"/>
      <c r="I52" s="5">
        <f>IF(H52=0,"",F52-H52)</f>
        <v/>
      </c>
      <c r="J52" s="4" t="n"/>
      <c r="K52" s="5">
        <f>IF('A. Kokott'!J86="U. Sutter ADM",'A. Kokott'!I86,0)+IF('C. Trapp SV'!J57="U. Sutter ADM",'C. Trapp SV'!I57,0)+IF('J. Dorn'!J84="U. Sutter ADM",'J. Dorn'!I84,0)+IF('M. Bandlofsky'!J45="U. Sutter ADM",'M. Bandlofsky'!I45,0)+IF('O. Haag BS-CAD'!J93="U. Sutter ADM",'O. Haag BS-CAD'!I93,0)+IF('R. Wagen CAD'!J57="U. Sutter ADM",'R. Wagen CAD'!I57,0)+IF('T. Trautmann'!J72="U. Sutter ADM",'T. Trautmann'!I72,0)</f>
        <v/>
      </c>
      <c r="L52" s="11">
        <f>IF($B$2="-","",IF($B$2="Pauschale",IFERROR(INDEX('Projekt-Budget-Übersicht'!$H:$H,MATCH(A52,'Projekt-Budget-Übersicht'!$A:$A,0)),""),IF($B$2="SV",IFERROR(INDEX('Projekt-Budget-Übersicht'!$H:$H,MATCH(A52,'Projekt-Budget-Übersicht'!$A:$A,0)),""),IF($B$2="CAD",IFERROR(INDEX('Projekt-Budget-Übersicht'!$I:$I,MATCH(A52,'Projekt-Budget-Übersicht'!$A:$A,0)),""),IF($B$2="ADM",IFERROR(INDEX('Projekt-Budget-Übersicht'!$J:$J,MATCH(A52,'Projekt-Budget-Übersicht'!$A:$A,0)),""),"")))))</f>
        <v/>
      </c>
      <c r="M52" s="11">
        <f>IF($B$2="-","",L52*(F52+I52+K52))</f>
        <v/>
      </c>
      <c r="N52" s="11">
        <f>IFERROR(INDEX('Projekt-Budget-Übersicht'!$E:$E,MATCH(A52,'Projekt-Budget-Übersicht'!$A:$A,0)),"")</f>
        <v/>
      </c>
      <c r="O52" s="11" t="inlineStr"/>
      <c r="P52" s="11" t="inlineStr"/>
    </row>
    <row r="53">
      <c r="A53" s="4" t="inlineStr">
        <is>
          <t>1640.08 BTB-Bauherr-SLK-HN-1.BA</t>
        </is>
      </c>
      <c r="B53" s="4" t="inlineStr">
        <is>
          <t>8000-Objektüberwachung</t>
        </is>
      </c>
      <c r="C53" s="4" t="inlineStr">
        <is>
          <t>G</t>
        </is>
      </c>
      <c r="D53" s="4" t="n">
        <v>0</v>
      </c>
      <c r="E53" s="4" t="n">
        <v>44</v>
      </c>
      <c r="F53" s="4" t="n">
        <v>0.75</v>
      </c>
      <c r="G53" s="4" t="n">
        <v>0</v>
      </c>
      <c r="H53" s="5" t="n"/>
      <c r="I53" s="5">
        <f>IF(H53=0,"",F53-H53)</f>
        <v/>
      </c>
      <c r="J53" s="4" t="n"/>
      <c r="K53" s="5" t="n">
        <v>0</v>
      </c>
      <c r="L53" s="11">
        <f>IF($B$2="-","",IF($B$2="Pauschale",IFERROR(INDEX('Projekt-Budget-Übersicht'!$H:$H,MATCH(A53,'Projekt-Budget-Übersicht'!$A:$A,0)),""),IF($B$2="SV",IFERROR(INDEX('Projekt-Budget-Übersicht'!$H:$H,MATCH(A53,'Projekt-Budget-Übersicht'!$A:$A,0)),""),IF($B$2="CAD",IFERROR(INDEX('Projekt-Budget-Übersicht'!$I:$I,MATCH(A53,'Projekt-Budget-Übersicht'!$A:$A,0)),""),IF($B$2="ADM",IFERROR(INDEX('Projekt-Budget-Übersicht'!$J:$J,MATCH(A53,'Projekt-Budget-Übersicht'!$A:$A,0)),""),"")))))</f>
        <v/>
      </c>
      <c r="M53" s="11">
        <f>IF($B$2="-","",L53*(F53+I53+K53))</f>
        <v/>
      </c>
      <c r="N53" s="11">
        <f>IFERROR(INDEX('Projekt-Budget-Übersicht'!$E:$E,MATCH(A53,'Projekt-Budget-Übersicht'!$A:$A,0)),"")</f>
        <v/>
      </c>
      <c r="O53" s="11" t="inlineStr"/>
      <c r="P53" s="11" t="inlineStr"/>
    </row>
    <row r="54">
      <c r="A54" s="4" t="inlineStr">
        <is>
          <t>4436.04 BTB Krankenhaus-Bergstraße-Viernheimer-Straße-2-Heppenheim</t>
        </is>
      </c>
      <c r="B54" s="4" t="inlineStr">
        <is>
          <t>5102-Zusammenstellen Ergebnisse….</t>
        </is>
      </c>
      <c r="C54" s="4" t="inlineStr">
        <is>
          <t>G</t>
        </is>
      </c>
      <c r="D54" s="4" t="n">
        <v>6.5</v>
      </c>
      <c r="E54" s="4" t="n">
        <v>14.75</v>
      </c>
      <c r="F54" s="4" t="n">
        <v>1.5</v>
      </c>
      <c r="G54" s="16" t="n">
        <v>226.92</v>
      </c>
      <c r="H54" s="5" t="n"/>
      <c r="I54" s="5">
        <f>IF(H54=0,"",F54-H54)</f>
        <v/>
      </c>
      <c r="J54" s="4" t="n"/>
      <c r="K54" s="5" t="n">
        <v>0</v>
      </c>
      <c r="L54" s="11">
        <f>IF($B$2="-","",IF($B$2="Pauschale",IFERROR(INDEX('Projekt-Budget-Übersicht'!$H:$H,MATCH(A54,'Projekt-Budget-Übersicht'!$A:$A,0)),""),IF($B$2="SV",IFERROR(INDEX('Projekt-Budget-Übersicht'!$H:$H,MATCH(A54,'Projekt-Budget-Übersicht'!$A:$A,0)),""),IF($B$2="CAD",IFERROR(INDEX('Projekt-Budget-Übersicht'!$I:$I,MATCH(A54,'Projekt-Budget-Übersicht'!$A:$A,0)),""),IF($B$2="ADM",IFERROR(INDEX('Projekt-Budget-Übersicht'!$J:$J,MATCH(A54,'Projekt-Budget-Übersicht'!$A:$A,0)),""),"")))))</f>
        <v/>
      </c>
      <c r="M54" s="11">
        <f>IF($B$2="-","",L54*(F54+I54+K54))</f>
        <v/>
      </c>
      <c r="N54" s="11">
        <f>IFERROR(INDEX('Projekt-Budget-Übersicht'!$E:$E,MATCH(A54,'Projekt-Budget-Übersicht'!$A:$A,0)),"")</f>
        <v/>
      </c>
      <c r="O54" s="11" t="inlineStr"/>
      <c r="P54" s="11" t="inlineStr"/>
    </row>
    <row r="55">
      <c r="A55" s="4" t="inlineStr">
        <is>
          <t>5328.06 Flugfeldklinikum-Böblingen-Fortschr-BSK-FFK</t>
        </is>
      </c>
      <c r="B55" s="4" t="inlineStr">
        <is>
          <t>5100-Beraten Planer ausführungsreife Lösungen….</t>
        </is>
      </c>
      <c r="C55" s="4" t="inlineStr">
        <is>
          <t>G</t>
        </is>
      </c>
      <c r="D55" s="4" t="n">
        <v>20</v>
      </c>
      <c r="E55" s="4" t="n">
        <v>8.75</v>
      </c>
      <c r="F55" s="4" t="n">
        <v>1.5</v>
      </c>
      <c r="G55" s="17" t="n">
        <v>43.75</v>
      </c>
      <c r="H55" s="5" t="n"/>
      <c r="I55" s="5">
        <f>IF(H55=0,"",F55-H55)</f>
        <v/>
      </c>
      <c r="J55" s="4" t="n"/>
      <c r="K55" s="5">
        <f>IF('M. Bandlofsky'!J58="U. Sutter ADM",'M. Bandlofsky'!I58,0)</f>
        <v/>
      </c>
      <c r="L55" s="11">
        <f>IF($B$2="-","",IF($B$2="Pauschale",IFERROR(INDEX('Projekt-Budget-Übersicht'!$H:$H,MATCH(A55,'Projekt-Budget-Übersicht'!$A:$A,0)),""),IF($B$2="SV",IFERROR(INDEX('Projekt-Budget-Übersicht'!$H:$H,MATCH(A55,'Projekt-Budget-Übersicht'!$A:$A,0)),""),IF($B$2="CAD",IFERROR(INDEX('Projekt-Budget-Übersicht'!$I:$I,MATCH(A55,'Projekt-Budget-Übersicht'!$A:$A,0)),""),IF($B$2="ADM",IFERROR(INDEX('Projekt-Budget-Übersicht'!$J:$J,MATCH(A55,'Projekt-Budget-Übersicht'!$A:$A,0)),""),"")))))</f>
        <v/>
      </c>
      <c r="M55" s="11">
        <f>IF($B$2="-","",L55*(F55+I55+K55))</f>
        <v/>
      </c>
      <c r="N55" s="11">
        <f>IFERROR(INDEX('Projekt-Budget-Übersicht'!$E:$E,MATCH(A55,'Projekt-Budget-Übersicht'!$A:$A,0)),"")</f>
        <v/>
      </c>
      <c r="O55" s="11" t="inlineStr"/>
      <c r="P55" s="11" t="inlineStr"/>
    </row>
    <row r="56">
      <c r="A56" s="4" t="inlineStr">
        <is>
          <t>5607.05 BAB-NB-J4-Zentralinstitut-für-seelische-Gesundheit-Mannheim</t>
        </is>
      </c>
      <c r="B56" s="4" t="inlineStr">
        <is>
          <t>(aN) 8200-Prüfen der Ausführung - system. stichprobenart. Kontrolle (Stufe 2)….</t>
        </is>
      </c>
      <c r="C56" s="4" t="inlineStr">
        <is>
          <t>G</t>
        </is>
      </c>
      <c r="D56" s="4" t="n">
        <v>240</v>
      </c>
      <c r="E56" s="4" t="n">
        <v>188.5</v>
      </c>
      <c r="F56" s="4" t="n">
        <v>1</v>
      </c>
      <c r="G56" s="17" t="n">
        <v>78.54000000000001</v>
      </c>
      <c r="H56" s="5" t="n"/>
      <c r="I56" s="5">
        <f>IF(H56=0,"",F56-H56)</f>
        <v/>
      </c>
      <c r="J56" s="4" t="n"/>
      <c r="K56" s="5">
        <f>IF('C. Trapp SV'!J62="U. Sutter ADM",'C. Trapp SV'!I62,0)+IF('S. Roßkopf'!J19="U. Sutter ADM",'S. Roßkopf'!I19,0)</f>
        <v/>
      </c>
      <c r="L56" s="11">
        <f>IF($B$2="-","",IF($B$2="Pauschale",IFERROR(INDEX('Projekt-Budget-Übersicht'!$H:$H,MATCH(A56,'Projekt-Budget-Übersicht'!$A:$A,0)),""),IF($B$2="SV",IFERROR(INDEX('Projekt-Budget-Übersicht'!$H:$H,MATCH(A56,'Projekt-Budget-Übersicht'!$A:$A,0)),""),IF($B$2="CAD",IFERROR(INDEX('Projekt-Budget-Übersicht'!$I:$I,MATCH(A56,'Projekt-Budget-Übersicht'!$A:$A,0)),""),IF($B$2="ADM",IFERROR(INDEX('Projekt-Budget-Übersicht'!$J:$J,MATCH(A56,'Projekt-Budget-Übersicht'!$A:$A,0)),""),"")))))</f>
        <v/>
      </c>
      <c r="M56" s="11">
        <f>IF($B$2="-","",L56*(F56+I56+K56))</f>
        <v/>
      </c>
      <c r="N56" s="11">
        <f>IFERROR(INDEX('Projekt-Budget-Übersicht'!$E:$E,MATCH(A56,'Projekt-Budget-Übersicht'!$A:$A,0)),"")</f>
        <v/>
      </c>
      <c r="O56" s="11" t="inlineStr"/>
      <c r="P56" s="11" t="inlineStr"/>
    </row>
    <row r="57">
      <c r="A57" s="4" t="inlineStr">
        <is>
          <t>6643 BTB-FRP-FWP-Ersatzneubau-Krankenhaus-Hohenlohe-Öhringen-Vamed</t>
        </is>
      </c>
      <c r="B57" s="4" t="inlineStr">
        <is>
          <t>8101-Kontrolle Verwendbarkeitsnachweise/Bescheinigungen….</t>
        </is>
      </c>
      <c r="C57" s="4" t="inlineStr">
        <is>
          <t>G</t>
        </is>
      </c>
      <c r="D57" s="4" t="n">
        <v>80</v>
      </c>
      <c r="E57" s="4" t="n">
        <v>20.75</v>
      </c>
      <c r="F57" s="4" t="n">
        <v>1</v>
      </c>
      <c r="G57" s="17" t="n">
        <v>25.94</v>
      </c>
      <c r="H57" s="5" t="n"/>
      <c r="I57" s="5">
        <f>IF(H57=0,"",F57-H57)</f>
        <v/>
      </c>
      <c r="J57" s="4" t="n"/>
      <c r="K57" s="5" t="n">
        <v>0</v>
      </c>
      <c r="L57" s="11">
        <f>IF($B$2="-","",IF($B$2="Pauschale",IFERROR(INDEX('Projekt-Budget-Übersicht'!$H:$H,MATCH(A57,'Projekt-Budget-Übersicht'!$A:$A,0)),""),IF($B$2="SV",IFERROR(INDEX('Projekt-Budget-Übersicht'!$H:$H,MATCH(A57,'Projekt-Budget-Übersicht'!$A:$A,0)),""),IF($B$2="CAD",IFERROR(INDEX('Projekt-Budget-Übersicht'!$I:$I,MATCH(A57,'Projekt-Budget-Übersicht'!$A:$A,0)),""),IF($B$2="ADM",IFERROR(INDEX('Projekt-Budget-Übersicht'!$J:$J,MATCH(A57,'Projekt-Budget-Übersicht'!$A:$A,0)),""),"")))))</f>
        <v/>
      </c>
      <c r="M57" s="11">
        <f>IF($B$2="-","",L57*(F57+I57+K57))</f>
        <v/>
      </c>
      <c r="N57" s="11">
        <f>IFERROR(INDEX('Projekt-Budget-Übersicht'!$E:$E,MATCH(A57,'Projekt-Budget-Übersicht'!$A:$A,0)),"")</f>
        <v/>
      </c>
      <c r="O57" s="11" t="inlineStr"/>
      <c r="P57" s="11" t="inlineStr"/>
    </row>
    <row r="58">
      <c r="A58" s="4" t="inlineStr">
        <is>
          <t>6680.02 GSKOK-Heidelberg-Kopfklinik-LP3</t>
        </is>
      </c>
      <c r="B58" s="4" t="inlineStr">
        <is>
          <t>ADM</t>
        </is>
      </c>
      <c r="C58" s="4" t="inlineStr">
        <is>
          <t>G</t>
        </is>
      </c>
      <c r="D58" s="4" t="n">
        <v>2</v>
      </c>
      <c r="E58" s="4" t="n">
        <v>11</v>
      </c>
      <c r="F58" s="4" t="n">
        <v>0.75</v>
      </c>
      <c r="G58" s="16" t="n">
        <v>550</v>
      </c>
      <c r="H58" s="5" t="n"/>
      <c r="I58" s="5">
        <f>IF(H58=0,"",F58-H58)</f>
        <v/>
      </c>
      <c r="J58" s="4" t="n"/>
      <c r="K58" s="5" t="n">
        <v>0</v>
      </c>
      <c r="L58" s="11">
        <f>IF($B$2="-","",IF($B$2="Pauschale",IFERROR(INDEX('Projekt-Budget-Übersicht'!$H:$H,MATCH(A58,'Projekt-Budget-Übersicht'!$A:$A,0)),""),IF($B$2="SV",IFERROR(INDEX('Projekt-Budget-Übersicht'!$H:$H,MATCH(A58,'Projekt-Budget-Übersicht'!$A:$A,0)),""),IF($B$2="CAD",IFERROR(INDEX('Projekt-Budget-Übersicht'!$I:$I,MATCH(A58,'Projekt-Budget-Übersicht'!$A:$A,0)),""),IF($B$2="ADM",IFERROR(INDEX('Projekt-Budget-Übersicht'!$J:$J,MATCH(A58,'Projekt-Budget-Übersicht'!$A:$A,0)),""),"")))))</f>
        <v/>
      </c>
      <c r="M58" s="11">
        <f>IF($B$2="-","",L58*(F58+I58+K58))</f>
        <v/>
      </c>
      <c r="N58" s="11">
        <f>IFERROR(INDEX('Projekt-Budget-Übersicht'!$E:$E,MATCH(A58,'Projekt-Budget-Übersicht'!$A:$A,0)),"")</f>
        <v/>
      </c>
      <c r="O58" s="11" t="inlineStr"/>
      <c r="P58" s="11" t="inlineStr"/>
    </row>
    <row r="59">
      <c r="A59" s="4" t="inlineStr">
        <is>
          <t>6704 BSK-BTB+FWP-FuR-ZsG-Lörrach</t>
        </is>
      </c>
      <c r="B59" s="4" t="inlineStr">
        <is>
          <t>8101-Kontrolle Verwendbarkeitsnachweise/Bescheinigungen….</t>
        </is>
      </c>
      <c r="C59" s="4" t="inlineStr">
        <is>
          <t>G</t>
        </is>
      </c>
      <c r="D59" s="4" t="n">
        <v>20</v>
      </c>
      <c r="E59" s="4" t="n">
        <v>35.75</v>
      </c>
      <c r="F59" s="4" t="n">
        <v>1</v>
      </c>
      <c r="G59" s="16" t="n">
        <v>178.75</v>
      </c>
      <c r="H59" s="5" t="n"/>
      <c r="I59" s="5">
        <f>IF(H59=0,"",F59-H59)</f>
        <v/>
      </c>
      <c r="J59" s="4" t="n"/>
      <c r="K59" s="5" t="n">
        <v>0</v>
      </c>
      <c r="L59" s="11">
        <f>IF($B$2="-","",IF($B$2="Pauschale",IFERROR(INDEX('Projekt-Budget-Übersicht'!$H:$H,MATCH(A59,'Projekt-Budget-Übersicht'!$A:$A,0)),""),IF($B$2="SV",IFERROR(INDEX('Projekt-Budget-Übersicht'!$H:$H,MATCH(A59,'Projekt-Budget-Übersicht'!$A:$A,0)),""),IF($B$2="CAD",IFERROR(INDEX('Projekt-Budget-Übersicht'!$I:$I,MATCH(A59,'Projekt-Budget-Übersicht'!$A:$A,0)),""),IF($B$2="ADM",IFERROR(INDEX('Projekt-Budget-Übersicht'!$J:$J,MATCH(A59,'Projekt-Budget-Übersicht'!$A:$A,0)),""),"")))))</f>
        <v/>
      </c>
      <c r="M59" s="11">
        <f>IF($B$2="-","",L59*(F59+I59+K59))</f>
        <v/>
      </c>
      <c r="N59" s="11">
        <f>IFERROR(INDEX('Projekt-Budget-Übersicht'!$E:$E,MATCH(A59,'Projekt-Budget-Übersicht'!$A:$A,0)),"")</f>
        <v/>
      </c>
      <c r="O59" s="11" t="inlineStr"/>
      <c r="P59" s="11" t="inlineStr"/>
    </row>
    <row r="60">
      <c r="A60" s="3" t="inlineStr"/>
      <c r="B60" s="3" t="inlineStr">
        <is>
          <t>Summe</t>
        </is>
      </c>
      <c r="C60" s="3" t="inlineStr"/>
      <c r="D60" s="3" t="inlineStr"/>
      <c r="E60" s="3" t="inlineStr"/>
      <c r="F60" s="6" t="n">
        <v>18</v>
      </c>
      <c r="G60" s="3" t="inlineStr"/>
      <c r="H60" s="3" t="inlineStr"/>
      <c r="I60" s="3" t="inlineStr"/>
      <c r="J60" s="3" t="inlineStr"/>
      <c r="K60" s="3" t="inlineStr"/>
      <c r="L60" s="3" t="n"/>
      <c r="M60" s="3" t="n"/>
      <c r="N60" s="3" t="n"/>
      <c r="O60" s="3" t="n"/>
      <c r="P60" s="3" t="n"/>
    </row>
    <row r="61">
      <c r="A61" s="3" t="inlineStr"/>
      <c r="B61" s="3" t="inlineStr">
        <is>
          <t>Bonusberechtigte Stunden</t>
        </is>
      </c>
      <c r="C61" s="3" t="inlineStr"/>
      <c r="D61" s="3" t="inlineStr"/>
      <c r="E61" s="3" t="inlineStr"/>
      <c r="F61" s="6">
        <f>G61+H61</f>
        <v/>
      </c>
      <c r="G61" s="6" t="n">
        <v>4.25</v>
      </c>
      <c r="H61" s="6">
        <f>SUM(H53,H54,H55,H56,H57,H58,H59)</f>
        <v/>
      </c>
      <c r="I61" s="3" t="inlineStr"/>
      <c r="J61" s="3" t="inlineStr"/>
      <c r="K61" s="3" t="inlineStr"/>
      <c r="L61" s="3" t="inlineStr"/>
      <c r="M61" s="3" t="inlineStr"/>
      <c r="N61" s="3" t="inlineStr"/>
      <c r="O61" s="3" t="inlineStr"/>
      <c r="P61" s="3" t="inlineStr"/>
    </row>
    <row r="62">
      <c r="A62" s="3" t="inlineStr"/>
      <c r="B62" s="3" t="inlineStr">
        <is>
          <t>Bonusberechtigte Stunden Sonderprojekt</t>
        </is>
      </c>
      <c r="C62" s="3" t="inlineStr"/>
      <c r="D62" s="3" t="inlineStr"/>
      <c r="E62" s="3" t="inlineStr"/>
      <c r="F62" s="6">
        <f>G62+H62</f>
        <v/>
      </c>
      <c r="G62" s="6" t="n">
        <v>10.5</v>
      </c>
      <c r="H62" s="6">
        <f>SUM(H51,H52)</f>
        <v/>
      </c>
      <c r="I62" s="3" t="inlineStr"/>
      <c r="J62" s="3" t="inlineStr"/>
      <c r="K62" s="3" t="inlineStr"/>
      <c r="L62" s="3" t="inlineStr"/>
      <c r="M62" s="3" t="inlineStr"/>
      <c r="N62" s="3" t="inlineStr"/>
      <c r="O62" s="3" t="inlineStr"/>
      <c r="P62" s="3" t="inlineStr"/>
    </row>
    <row r="63">
      <c r="A63" s="3" t="inlineStr"/>
      <c r="B63" s="3" t="inlineStr">
        <is>
          <t>Zugeordnete Stunden von anderen MA</t>
        </is>
      </c>
      <c r="C63" s="3" t="inlineStr"/>
      <c r="D63" s="3" t="inlineStr"/>
      <c r="E63" s="3" t="inlineStr"/>
      <c r="F63" s="6">
        <f>SUM(K51:K59)</f>
        <v/>
      </c>
      <c r="G63" s="3" t="inlineStr"/>
      <c r="H63" s="3" t="inlineStr"/>
      <c r="I63" s="3" t="inlineStr"/>
      <c r="J63" s="3" t="inlineStr"/>
      <c r="K63" s="3" t="inlineStr"/>
      <c r="L63" s="3" t="inlineStr"/>
      <c r="M63" s="3" t="inlineStr"/>
      <c r="N63" s="3" t="inlineStr"/>
      <c r="O63" s="3" t="inlineStr"/>
      <c r="P63" s="3" t="inlineStr"/>
    </row>
    <row r="64">
      <c r="A64" s="18" t="inlineStr"/>
      <c r="B64" s="18" t="inlineStr">
        <is>
          <t>Gesamt Bonus Stunden</t>
        </is>
      </c>
      <c r="C64" s="18" t="inlineStr"/>
      <c r="D64" s="18" t="inlineStr"/>
      <c r="E64" s="18" t="inlineStr"/>
      <c r="F64" s="19">
        <f>F61+F62+F63</f>
        <v/>
      </c>
      <c r="G64" s="18" t="inlineStr"/>
      <c r="H64" s="18" t="inlineStr"/>
      <c r="I64" s="18" t="inlineStr"/>
      <c r="J64" s="18" t="inlineStr"/>
      <c r="K64" s="18" t="inlineStr"/>
      <c r="L64" s="18" t="n"/>
      <c r="M64" s="18" t="n"/>
      <c r="N64" s="18" t="n"/>
      <c r="O64" s="18" t="n"/>
      <c r="P64" s="18" t="n"/>
    </row>
    <row r="66">
      <c r="A66" s="2" t="inlineStr">
        <is>
          <t>--- Übertragshilfe ---</t>
        </is>
      </c>
    </row>
    <row r="67">
      <c r="A67" s="3" t="inlineStr">
        <is>
          <t>Monat</t>
        </is>
      </c>
      <c r="B67" s="3" t="inlineStr">
        <is>
          <t>Mitarbeiter</t>
        </is>
      </c>
      <c r="C67" s="3" t="inlineStr">
        <is>
          <t>Prod. Stunden</t>
        </is>
      </c>
      <c r="D67" s="3" t="inlineStr">
        <is>
          <t>Bonusberechtigte Stunden</t>
        </is>
      </c>
      <c r="E67" s="3" t="inlineStr">
        <is>
          <t>Bonusberechtigte Stunden Sonderprojekt</t>
        </is>
      </c>
      <c r="F67" s="3" t="inlineStr">
        <is>
          <t>Zugeordnet von anderen</t>
        </is>
      </c>
      <c r="G67" s="3" t="inlineStr">
        <is>
          <t>Gesamt Bonus</t>
        </is>
      </c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</row>
    <row r="68">
      <c r="A68" s="4" t="inlineStr">
        <is>
          <t>Juli 2025</t>
        </is>
      </c>
      <c r="B68" s="4" t="inlineStr">
        <is>
          <t>U. Sutter ADM</t>
        </is>
      </c>
      <c r="C68" s="4">
        <f>F20</f>
        <v/>
      </c>
      <c r="D68" s="4">
        <f>F21</f>
        <v/>
      </c>
      <c r="E68" s="4">
        <f>F22</f>
        <v/>
      </c>
      <c r="F68" s="4">
        <f>F23</f>
        <v/>
      </c>
      <c r="G68" s="4">
        <f>F24</f>
        <v/>
      </c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</row>
    <row r="69">
      <c r="A69" s="4" t="inlineStr">
        <is>
          <t>August 2025</t>
        </is>
      </c>
      <c r="B69" s="4" t="inlineStr">
        <is>
          <t>U. Sutter ADM</t>
        </is>
      </c>
      <c r="C69" s="4">
        <f>F43</f>
        <v/>
      </c>
      <c r="D69" s="4">
        <f>F44</f>
        <v/>
      </c>
      <c r="E69" s="4">
        <f>F45</f>
        <v/>
      </c>
      <c r="F69" s="4">
        <f>F46</f>
        <v/>
      </c>
      <c r="G69" s="4">
        <f>F47</f>
        <v/>
      </c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</row>
    <row r="70">
      <c r="A70" s="4" t="inlineStr">
        <is>
          <t>September 2025</t>
        </is>
      </c>
      <c r="B70" s="4" t="inlineStr">
        <is>
          <t>U. Sutter ADM</t>
        </is>
      </c>
      <c r="C70" s="4">
        <f>F60</f>
        <v/>
      </c>
      <c r="D70" s="4">
        <f>F61</f>
        <v/>
      </c>
      <c r="E70" s="4">
        <f>F62</f>
        <v/>
      </c>
      <c r="F70" s="4">
        <f>F63</f>
        <v/>
      </c>
      <c r="G70" s="4">
        <f>F64</f>
        <v/>
      </c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</row>
    <row r="73">
      <c r="A73" s="2" t="inlineStr">
        <is>
          <t>--- Gesamtstunden 2025Q3 ---</t>
        </is>
      </c>
    </row>
    <row r="74">
      <c r="A74" s="12" t="inlineStr">
        <is>
          <t>Gesamt eingetragene Stunden:</t>
        </is>
      </c>
      <c r="B74" s="12" t="n">
        <v>73.75</v>
      </c>
      <c r="C74" s="12" t="n"/>
      <c r="D74" s="12" t="n"/>
      <c r="E74" s="12" t="n"/>
      <c r="F74" s="12" t="n"/>
      <c r="G74" s="12" t="n"/>
      <c r="H74" s="12" t="n"/>
      <c r="I74" s="12" t="n"/>
      <c r="J74" s="12" t="n"/>
      <c r="K74" s="12" t="n"/>
      <c r="L74" s="12" t="n"/>
      <c r="M74" s="12" t="n"/>
      <c r="N74" s="12" t="n"/>
      <c r="O74" s="12" t="n"/>
      <c r="P74" s="12" t="n"/>
    </row>
    <row r="75">
      <c r="A75" s="12" t="inlineStr">
        <is>
          <t>Bonusberechtigte Stunden (Quartal):</t>
        </is>
      </c>
      <c r="B75" s="20">
        <f>SUM(F21,F44,F61)</f>
        <v/>
      </c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</row>
    <row r="76">
      <c r="A76" s="12" t="inlineStr">
        <is>
          <t>Bonusberechtigte Stunden Sonderprojekt (Quartal):</t>
        </is>
      </c>
      <c r="B76" s="20">
        <f>SUM(F22,F45,F62)</f>
        <v/>
      </c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2" t="n"/>
      <c r="P76" s="12" t="n"/>
    </row>
  </sheetData>
  <mergeCells count="9">
    <mergeCell ref="A35:A36"/>
    <mergeCell ref="A31:A34"/>
    <mergeCell ref="A13:A14"/>
    <mergeCell ref="A28:A29"/>
    <mergeCell ref="A39:A40"/>
    <mergeCell ref="A51:A52"/>
    <mergeCell ref="A6:A7"/>
    <mergeCell ref="A10:A11"/>
    <mergeCell ref="A18:A19"/>
  </mergeCells>
  <conditionalFormatting sqref="I6">
    <cfRule type="cellIs" priority="1" operator="lessThan" dxfId="0" stopIfTrue="1">
      <formula>0</formula>
    </cfRule>
  </conditionalFormatting>
  <conditionalFormatting sqref="I7">
    <cfRule type="cellIs" priority="2" operator="lessThan" dxfId="0" stopIfTrue="1">
      <formula>0</formula>
    </cfRule>
  </conditionalFormatting>
  <conditionalFormatting sqref="I8">
    <cfRule type="cellIs" priority="3" operator="lessThan" dxfId="0" stopIfTrue="1">
      <formula>0</formula>
    </cfRule>
  </conditionalFormatting>
  <conditionalFormatting sqref="I9">
    <cfRule type="cellIs" priority="4" operator="lessThan" dxfId="0" stopIfTrue="1">
      <formula>0</formula>
    </cfRule>
  </conditionalFormatting>
  <conditionalFormatting sqref="I10">
    <cfRule type="cellIs" priority="5" operator="lessThan" dxfId="0" stopIfTrue="1">
      <formula>0</formula>
    </cfRule>
  </conditionalFormatting>
  <conditionalFormatting sqref="I11">
    <cfRule type="cellIs" priority="6" operator="lessThan" dxfId="0" stopIfTrue="1">
      <formula>0</formula>
    </cfRule>
  </conditionalFormatting>
  <conditionalFormatting sqref="I12">
    <cfRule type="cellIs" priority="7" operator="lessThan" dxfId="0" stopIfTrue="1">
      <formula>0</formula>
    </cfRule>
  </conditionalFormatting>
  <conditionalFormatting sqref="I13">
    <cfRule type="cellIs" priority="8" operator="lessThan" dxfId="0" stopIfTrue="1">
      <formula>0</formula>
    </cfRule>
  </conditionalFormatting>
  <conditionalFormatting sqref="I14">
    <cfRule type="cellIs" priority="9" operator="lessThan" dxfId="0" stopIfTrue="1">
      <formula>0</formula>
    </cfRule>
  </conditionalFormatting>
  <conditionalFormatting sqref="I15">
    <cfRule type="cellIs" priority="10" operator="lessThan" dxfId="0" stopIfTrue="1">
      <formula>0</formula>
    </cfRule>
  </conditionalFormatting>
  <conditionalFormatting sqref="I16">
    <cfRule type="cellIs" priority="11" operator="lessThan" dxfId="0" stopIfTrue="1">
      <formula>0</formula>
    </cfRule>
  </conditionalFormatting>
  <conditionalFormatting sqref="I17">
    <cfRule type="cellIs" priority="12" operator="lessThan" dxfId="0" stopIfTrue="1">
      <formula>0</formula>
    </cfRule>
  </conditionalFormatting>
  <conditionalFormatting sqref="I18">
    <cfRule type="cellIs" priority="13" operator="lessThan" dxfId="0" stopIfTrue="1">
      <formula>0</formula>
    </cfRule>
  </conditionalFormatting>
  <conditionalFormatting sqref="I19">
    <cfRule type="cellIs" priority="14" operator="lessThan" dxfId="0" stopIfTrue="1">
      <formula>0</formula>
    </cfRule>
  </conditionalFormatting>
  <conditionalFormatting sqref="I28">
    <cfRule type="cellIs" priority="15" operator="lessThan" dxfId="0" stopIfTrue="1">
      <formula>0</formula>
    </cfRule>
  </conditionalFormatting>
  <conditionalFormatting sqref="I29">
    <cfRule type="cellIs" priority="16" operator="lessThan" dxfId="0" stopIfTrue="1">
      <formula>0</formula>
    </cfRule>
  </conditionalFormatting>
  <conditionalFormatting sqref="I30">
    <cfRule type="cellIs" priority="17" operator="lessThan" dxfId="0" stopIfTrue="1">
      <formula>0</formula>
    </cfRule>
  </conditionalFormatting>
  <conditionalFormatting sqref="I31">
    <cfRule type="cellIs" priority="18" operator="lessThan" dxfId="0" stopIfTrue="1">
      <formula>0</formula>
    </cfRule>
  </conditionalFormatting>
  <conditionalFormatting sqref="I32">
    <cfRule type="cellIs" priority="19" operator="lessThan" dxfId="0" stopIfTrue="1">
      <formula>0</formula>
    </cfRule>
  </conditionalFormatting>
  <conditionalFormatting sqref="I33">
    <cfRule type="cellIs" priority="20" operator="lessThan" dxfId="0" stopIfTrue="1">
      <formula>0</formula>
    </cfRule>
  </conditionalFormatting>
  <conditionalFormatting sqref="I34">
    <cfRule type="cellIs" priority="21" operator="lessThan" dxfId="0" stopIfTrue="1">
      <formula>0</formula>
    </cfRule>
  </conditionalFormatting>
  <conditionalFormatting sqref="I35">
    <cfRule type="cellIs" priority="22" operator="lessThan" dxfId="0" stopIfTrue="1">
      <formula>0</formula>
    </cfRule>
  </conditionalFormatting>
  <conditionalFormatting sqref="I36">
    <cfRule type="cellIs" priority="23" operator="lessThan" dxfId="0" stopIfTrue="1">
      <formula>0</formula>
    </cfRule>
  </conditionalFormatting>
  <conditionalFormatting sqref="I37">
    <cfRule type="cellIs" priority="24" operator="lessThan" dxfId="0" stopIfTrue="1">
      <formula>0</formula>
    </cfRule>
  </conditionalFormatting>
  <conditionalFormatting sqref="I38">
    <cfRule type="cellIs" priority="25" operator="lessThan" dxfId="0" stopIfTrue="1">
      <formula>0</formula>
    </cfRule>
  </conditionalFormatting>
  <conditionalFormatting sqref="I39">
    <cfRule type="cellIs" priority="26" operator="lessThan" dxfId="0" stopIfTrue="1">
      <formula>0</formula>
    </cfRule>
  </conditionalFormatting>
  <conditionalFormatting sqref="I40">
    <cfRule type="cellIs" priority="27" operator="lessThan" dxfId="0" stopIfTrue="1">
      <formula>0</formula>
    </cfRule>
  </conditionalFormatting>
  <conditionalFormatting sqref="I41">
    <cfRule type="cellIs" priority="28" operator="lessThan" dxfId="0" stopIfTrue="1">
      <formula>0</formula>
    </cfRule>
  </conditionalFormatting>
  <conditionalFormatting sqref="I42">
    <cfRule type="cellIs" priority="29" operator="lessThan" dxfId="0" stopIfTrue="1">
      <formula>0</formula>
    </cfRule>
  </conditionalFormatting>
  <conditionalFormatting sqref="I51">
    <cfRule type="cellIs" priority="30" operator="lessThan" dxfId="0" stopIfTrue="1">
      <formula>0</formula>
    </cfRule>
  </conditionalFormatting>
  <conditionalFormatting sqref="I52">
    <cfRule type="cellIs" priority="31" operator="lessThan" dxfId="0" stopIfTrue="1">
      <formula>0</formula>
    </cfRule>
  </conditionalFormatting>
  <conditionalFormatting sqref="I53">
    <cfRule type="cellIs" priority="32" operator="lessThan" dxfId="0" stopIfTrue="1">
      <formula>0</formula>
    </cfRule>
  </conditionalFormatting>
  <conditionalFormatting sqref="I54">
    <cfRule type="cellIs" priority="33" operator="lessThan" dxfId="0" stopIfTrue="1">
      <formula>0</formula>
    </cfRule>
  </conditionalFormatting>
  <conditionalFormatting sqref="I55">
    <cfRule type="cellIs" priority="34" operator="lessThan" dxfId="0" stopIfTrue="1">
      <formula>0</formula>
    </cfRule>
  </conditionalFormatting>
  <conditionalFormatting sqref="I56">
    <cfRule type="cellIs" priority="35" operator="lessThan" dxfId="0" stopIfTrue="1">
      <formula>0</formula>
    </cfRule>
  </conditionalFormatting>
  <conditionalFormatting sqref="I57">
    <cfRule type="cellIs" priority="36" operator="lessThan" dxfId="0" stopIfTrue="1">
      <formula>0</formula>
    </cfRule>
  </conditionalFormatting>
  <conditionalFormatting sqref="I58">
    <cfRule type="cellIs" priority="37" operator="lessThan" dxfId="0" stopIfTrue="1">
      <formula>0</formula>
    </cfRule>
  </conditionalFormatting>
  <conditionalFormatting sqref="I59">
    <cfRule type="cellIs" priority="38" operator="lessThan" dxfId="0" stopIfTrue="1">
      <formula>0</formula>
    </cfRule>
  </conditionalFormatting>
  <dataValidations count="29">
    <dataValidation sqref="B2" showDropDown="0" showInputMessage="0" showErrorMessage="0" allowBlank="0" type="list">
      <formula1>"SV,CAD,ADM,Pauschale,-"</formula1>
    </dataValidation>
    <dataValidation sqref="J6" showDropDown="0" showInputMessage="0" showErrorMessage="0" allowBlank="1" type="list">
      <formula1>"A. Kokott,C. Trapp SV,D. Brucker,E. Bieler,J. Dorchies,J. Dorn,O. Haag BS-CAD,P. Bergner,R. Böttiger,S. Schüler,T. Trautmann"</formula1>
    </dataValidation>
    <dataValidation sqref="J7" showDropDown="0" showInputMessage="0" showErrorMessage="0" allowBlank="1" type="list">
      <formula1>"A. Kokott,C. Trapp SV,D. Brucker,E. Bieler,J. Dorchies,J. Dorn,M. Bandlofsky,O. Haag BS-CAD,P. Bergner,R. Wagen CAD,T. Trautmann"</formula1>
    </dataValidation>
    <dataValidation sqref="J9" showDropDown="0" showInputMessage="0" showErrorMessage="0" allowBlank="1" type="list">
      <formula1>"C. Trapp SV"</formula1>
    </dataValidation>
    <dataValidation sqref="J10" showDropDown="0" showInputMessage="0" showErrorMessage="0" allowBlank="1" type="list">
      <formula1>"C. Trapp SV"</formula1>
    </dataValidation>
    <dataValidation sqref="J11" showDropDown="0" showInputMessage="0" showErrorMessage="0" allowBlank="1" type="list">
      <formula1>"S. Schüler"</formula1>
    </dataValidation>
    <dataValidation sqref="J12" showDropDown="0" showInputMessage="0" showErrorMessage="0" allowBlank="1" type="list">
      <formula1>"M. Bandlofsky"</formula1>
    </dataValidation>
    <dataValidation sqref="J14" showDropDown="0" showInputMessage="0" showErrorMessage="0" allowBlank="1" type="list">
      <formula1>"J. Dorn,M. Bandlofsky"</formula1>
    </dataValidation>
    <dataValidation sqref="J15" showDropDown="0" showInputMessage="0" showErrorMessage="0" allowBlank="1" type="list">
      <formula1>"C. Trapp SV,S. Roßkopf"</formula1>
    </dataValidation>
    <dataValidation sqref="J18" showDropDown="0" showInputMessage="0" showErrorMessage="0" allowBlank="1" type="list">
      <formula1>"C. Trapp SV"</formula1>
    </dataValidation>
    <dataValidation sqref="J19" showDropDown="0" showInputMessage="0" showErrorMessage="0" allowBlank="1" type="list">
      <formula1>"C. Trapp SV"</formula1>
    </dataValidation>
    <dataValidation sqref="J28" showDropDown="0" showInputMessage="0" showErrorMessage="0" allowBlank="1" type="list">
      <formula1>"A. Kokott,C. Trapp SV,D. Brucker,E. Bieler,J. Dorchies,J. Dorn,O. Haag BS-CAD,P. Bergner,R. Böttiger,S. Schüler,T. Trautmann"</formula1>
    </dataValidation>
    <dataValidation sqref="J29" showDropDown="0" showInputMessage="0" showErrorMessage="0" allowBlank="1" type="list">
      <formula1>"A. Kokott,C. Trapp SV,D. Brucker,E. Bieler,J. Dorchies,J. Dorn,M. Bandlofsky,O. Haag BS-CAD,P. Bergner,R. Wagen CAD,T. Trautmann"</formula1>
    </dataValidation>
    <dataValidation sqref="J31" showDropDown="0" showInputMessage="0" showErrorMessage="0" allowBlank="1" type="list">
      <formula1>"S. Schüler"</formula1>
    </dataValidation>
    <dataValidation sqref="J32" showDropDown="0" showInputMessage="0" showErrorMessage="0" allowBlank="1" type="list">
      <formula1>"S. Schüler"</formula1>
    </dataValidation>
    <dataValidation sqref="J33" showDropDown="0" showInputMessage="0" showErrorMessage="0" allowBlank="1" type="list">
      <formula1>"C. Trapp SV"</formula1>
    </dataValidation>
    <dataValidation sqref="J35" showDropDown="0" showInputMessage="0" showErrorMessage="0" allowBlank="1" type="list">
      <formula1>"C. Trapp SV,M. Bandlofsky"</formula1>
    </dataValidation>
    <dataValidation sqref="J37" showDropDown="0" showInputMessage="0" showErrorMessage="0" allowBlank="1" type="list">
      <formula1>"J. Dorn,M. Bandlofsky"</formula1>
    </dataValidation>
    <dataValidation sqref="J38" showDropDown="0" showInputMessage="0" showErrorMessage="0" allowBlank="1" type="list">
      <formula1>"C. Trapp SV,S. Roßkopf"</formula1>
    </dataValidation>
    <dataValidation sqref="J39" showDropDown="0" showInputMessage="0" showErrorMessage="0" allowBlank="1" type="list">
      <formula1>"C. Trapp SV"</formula1>
    </dataValidation>
    <dataValidation sqref="J40" showDropDown="0" showInputMessage="0" showErrorMessage="0" allowBlank="1" type="list">
      <formula1>"C. Trapp SV,S. Roßkopf"</formula1>
    </dataValidation>
    <dataValidation sqref="J42" showDropDown="0" showInputMessage="0" showErrorMessage="0" allowBlank="1" type="list">
      <formula1>"C. Trapp SV"</formula1>
    </dataValidation>
    <dataValidation sqref="J51" showDropDown="0" showInputMessage="0" showErrorMessage="0" allowBlank="1" type="list">
      <formula1>"A. Kokott,C. Trapp SV,D. Brucker,E. Bieler,J. Dorchies,J. Dorn,O. Haag BS-CAD,P. Bergner,R. Böttiger,S. Schüler,T. Trautmann"</formula1>
    </dataValidation>
    <dataValidation sqref="J52" showDropDown="0" showInputMessage="0" showErrorMessage="0" allowBlank="1" type="list">
      <formula1>"A. Kokott,C. Trapp SV,D. Brucker,E. Bieler,J. Dorchies,J. Dorn,M. Bandlofsky,O. Haag BS-CAD,P. Bergner,R. Wagen CAD,T. Trautmann"</formula1>
    </dataValidation>
    <dataValidation sqref="J54" showDropDown="0" showInputMessage="0" showErrorMessage="0" allowBlank="1" type="list">
      <formula1>"S. Schüler"</formula1>
    </dataValidation>
    <dataValidation sqref="J55" showDropDown="0" showInputMessage="0" showErrorMessage="0" allowBlank="1" type="list">
      <formula1>"J. Dorn,M. Bandlofsky"</formula1>
    </dataValidation>
    <dataValidation sqref="J56" showDropDown="0" showInputMessage="0" showErrorMessage="0" allowBlank="1" type="list">
      <formula1>"C. Trapp SV,S. Roßkopf"</formula1>
    </dataValidation>
    <dataValidation sqref="J57" showDropDown="0" showInputMessage="0" showErrorMessage="0" allowBlank="1" type="list">
      <formula1>"C. Trapp SV"</formula1>
    </dataValidation>
    <dataValidation sqref="J59" showDropDown="0" showInputMessage="0" showErrorMessage="0" allowBlank="1" type="list">
      <formula1>"C. Trapp SV"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2025-11-12T20:30:36Z</dcterms:created>
  <dcterms:modified xmlns:dcterms="http://purl.org/dc/terms/" xmlns:xsi="http://www.w3.org/2001/XMLSchema-instance" xsi:type="dcterms:W3CDTF">2025-11-12T20:30:43Z</dcterms:modified>
</cp:coreProperties>
</file>